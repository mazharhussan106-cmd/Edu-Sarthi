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Anki Import" sheetId="4" state="visible" r:id="rId4"/>
    <sheet xmlns:r="http://schemas.openxmlformats.org/officeDocument/2006/relationships" name="Anki Quiz" sheetId="5" state="visible" r:id="rId5"/>
    <sheet xmlns:r="http://schemas.openxmlformats.org/officeDocument/2006/relationships" name="Summary" sheetId="6" state="visible" r:id="rId6"/>
  </sheets>
  <definedNames>
    <definedName name="_xlnm._FilterDatabase" localSheetId="1" hidden="1">'Code concept (56-pt) cards'!$A$2:$BN$42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Microsoft Excel – Beginner to Advanced</t>
        </is>
      </c>
    </row>
    <row r="2">
      <c r="A2" s="2" t="inlineStr">
        <is>
          <t>Subject: Microsoft Excel   ·   Learner: Self learner, English   ·   Cards: 40</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4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Task in learner's language</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81" customHeight="1">
      <c r="A3" s="17" t="inlineStr">
        <is>
          <t>XL-001</t>
        </is>
      </c>
      <c r="B3" s="17" t="inlineStr">
        <is>
          <t>01 Basics &amp; Cells</t>
        </is>
      </c>
      <c r="C3" s="17" t="inlineStr">
        <is>
          <t>Beginner</t>
        </is>
      </c>
      <c r="D3" s="17" t="n">
        <v>1</v>
      </c>
      <c r="E3" s="17" t="inlineStr">
        <is>
          <t>Claude knowledge</t>
        </is>
      </c>
      <c r="F3" s="18" t="inlineStr">
        <is>
          <t>Cells, ranges and cell references</t>
        </is>
      </c>
      <c r="G3" s="18" t="inlineStr">
        <is>
          <t>How does Excel name one box on the sheet, and how do you point to a whole block of boxes in a formula?</t>
        </is>
      </c>
      <c r="H3" s="18" t="inlineStr">
        <is>
          <t>cell = सेल | range = रेंज | reference = रेफ़रेंस</t>
        </is>
      </c>
      <c r="I3" s="18" t="inlineStr">
        <is>
          <t>Core concept</t>
        </is>
      </c>
      <c r="J3" s="18" t="inlineStr">
        <is>
          <t>Very high</t>
        </is>
      </c>
      <c r="K3" s="18" t="n">
        <v>5</v>
      </c>
      <c r="L3" s="18" t="inlineStr">
        <is>
          <t>A worksheet is a grid, so each box needs an address; the column letter plus row number, like C3, works like a map coordinate.</t>
        </is>
      </c>
      <c r="M3" s="18" t="inlineStr">
        <is>
          <t>Click a cell and look at the Name Box on the left of the formula bar to see its exact address.</t>
        </is>
      </c>
      <c r="N3" s="18" t="inlineStr">
        <is>
          <t>Write the column letter first, then the row number: C3, not 3C. A colon joins two corners of a range.</t>
        </is>
      </c>
      <c r="O3" s="18" t="inlineStr">
        <is>
          <t>Think of a cinema seat: Row 3, Seat C is C3. A range A1:B2 is a small group of friends booking four seats together.</t>
        </is>
      </c>
      <c r="P3" s="18" t="inlineStr">
        <is>
          <t>A chessboard where one square glows with the label C3 and a rectangle of four squares is outlined in green.</t>
        </is>
      </c>
      <c r="Q3" s="18" t="inlineStr">
        <is>
          <t>The calm feeling of finally knowing exactly where every number lives.</t>
        </is>
      </c>
      <c r="R3" s="18" t="inlineStr">
        <is>
          <t>A cell is one box on the sheet, and a range is a block of cells.</t>
        </is>
      </c>
      <c r="S3" s="18" t="inlineStr">
        <is>
          <t>सेल = शीट का एक खाना; रेंज = कई खानों का समूह</t>
        </is>
      </c>
      <c r="T3" s="19" t="inlineStr">
        <is>
          <t>A1: 10
A2: 20
A3: 30
B1: =SUM(A1:A3)</t>
        </is>
      </c>
      <c r="U3" s="19" t="inlineStr">
        <is>
          <t>60</t>
        </is>
      </c>
      <c r="V3" s="18" t="inlineStr">
        <is>
          <t>A cell address is the column letter followed by the row number. A range uses a colon between its first and last cell, so A1:A3 means A1, A2 and A3. Formulas use these addresses so the answer updates when the numbers change.</t>
        </is>
      </c>
      <c r="W3" s="18" t="inlineStr">
        <is>
          <t>Har khane ka ek address hota hai, jaise A1. Kai khane ek saath lene hon to colon lagate hain, jaise A1:A3. Formula me address likhne se number badalne par answer khud badal jata hai.</t>
        </is>
      </c>
      <c r="X3" s="18" t="inlineStr">
        <is>
          <t>Like a cinema seat number: row and seat together tell you exactly one seat, and a seat block is a group of neighbouring seats.</t>
        </is>
      </c>
      <c r="Y3" s="19" t="inlineStr">
        <is>
          <t>=FUNCTION(first_cell:last_cell)</t>
        </is>
      </c>
      <c r="Z3" s="18" t="inlineStr">
        <is>
          <t>A = column letter | 1 = row number | A1 = one cell | A1:A3 = range from A1 down to A3</t>
        </is>
      </c>
      <c r="AA3" s="19" t="inlineStr">
        <is>
          <t>A1: 10
B1: =A1 (shows 10, B1 just points to one cell)</t>
        </is>
      </c>
      <c r="AB3" s="19" t="inlineStr">
        <is>
          <t>A1: 10
A2: 20
A3: 30
B1: =SUM(A1:A3) (shows 60, a range down one column)</t>
        </is>
      </c>
      <c r="AC3" s="19" t="inlineStr">
        <is>
          <t>A1: 5
A2: 10
B1: 15
B2: 20
C1: =SUM(A1:B2) (shows 50, a block across two columns)</t>
        </is>
      </c>
      <c r="AD3" s="19" t="inlineStr">
        <is>
          <t>=SUM(A1,A3) adds only A1 and A3 (comma picks separate cells)
=SUM(A:A) adds the whole column A
Name Box: type D10 and press Enter to jump to D10</t>
        </is>
      </c>
      <c r="AE3" s="18" t="inlineStr">
        <is>
          <t>SUM, AVERAGE, Name Box, formulas</t>
        </is>
      </c>
      <c r="AF3" s="18" t="inlineStr">
        <is>
          <t>Worksheet, Workbook, Named range, Table</t>
        </is>
      </c>
      <c r="AG3" s="18" t="inlineStr">
        <is>
          <t>Named range, Excel Table column reference</t>
        </is>
      </c>
      <c r="AH3" s="18" t="inlineStr">
        <is>
          <t>cell, range, row, column, address, selection</t>
        </is>
      </c>
      <c r="AI3" s="18" t="inlineStr">
        <is>
          <t>Budgets and totals | Marks sheets | Any formula you write</t>
        </is>
      </c>
      <c r="AJ3" s="18" t="inlineStr">
        <is>
          <t>A: My total shows 0, what did I do wrong? | B: Check your range; you may have typed A1:A2 instead of A1:A3 and missed a row.</t>
        </is>
      </c>
      <c r="AK3" s="18" t="inlineStr">
        <is>
          <t>✗ A1:A3 means only the two cells A1 and A3 → ✓ A1:A3 means every cell from A1 through A3, including A2</t>
        </is>
      </c>
      <c r="AL3" s="18" t="inlineStr">
        <is>
          <t>A1:A3 vs A1,A3: the colon takes the whole block, the comma takes only the cells you name.</t>
        </is>
      </c>
      <c r="AM3" s="18" t="inlineStr">
        <is>
          <t>Do not type numbers into a formula when the cell address can be used, or the answer will not update.</t>
        </is>
      </c>
      <c r="AN3" s="19" t="inlineStr">
        <is>
          <t>A1: 10
A2: 20
A3: 30
B1: =SUM(A1,A3)</t>
        </is>
      </c>
      <c r="AO3" s="19" t="inlineStr">
        <is>
          <t>A1: 10
A2: 20
A3: 30
B1: =SUM(A1:A3)</t>
        </is>
      </c>
      <c r="AP3" s="18" t="inlineStr">
        <is>
          <t>Colon = continues through all cells; comma = counts only the ones named.</t>
        </is>
      </c>
      <c r="AQ3" s="18" t="inlineStr">
        <is>
          <t>A school clerk sums the marks of one student by pointing a formula at the row range of that student.</t>
        </is>
      </c>
      <c r="AR3" s="18" t="inlineStr">
        <is>
          <t>Interview question: What is the difference between a cell reference and a range, and which symbol makes a range?</t>
        </is>
      </c>
      <c r="AS3" s="18" t="inlineStr">
        <is>
          <t>It is like telling a friend your flat number instead of saying the whole street, and a floor range instead of one flat.</t>
        </is>
      </c>
      <c r="AT3" s="18" t="inlineStr">
        <is>
          <t>A sheet has A1 = 4, A2 = 6, A3 = 8 and A4 = 10. What does =SUM(A2:A4) return?</t>
        </is>
      </c>
      <c r="AU3" s="18" t="inlineStr">
        <is>
          <t>A) 18 B) 24 C) 28 D) 30</t>
        </is>
      </c>
      <c r="AV3" s="18" t="inlineStr">
        <is>
          <t>B</t>
        </is>
      </c>
      <c r="AW3" s="18" t="inlineStr">
        <is>
          <t>A2:A4 covers A2, A3 and A4, so 6 + 8 + 10 = 24; 28 would include A1 only by mistake, and 30 is a different total.</t>
        </is>
      </c>
      <c r="AX3" s="19" t="inlineStr">
        <is>
          <t>The address of the cell in column C and row 3 is ____ → C3</t>
        </is>
      </c>
      <c r="AY3" s="18" t="inlineStr">
        <is>
          <t>Write a formula that adds the numbers in cells B2 down to B6.</t>
        </is>
      </c>
      <c r="AZ3" s="19" t="inlineStr">
        <is>
          <t>B7: =SUM(B2:B6)</t>
        </is>
      </c>
      <c r="BA3" s="18" t="inlineStr">
        <is>
          <t>Type five numbers in column A and write a SUM formula for them in A6.</t>
        </is>
      </c>
      <c r="BB3" s="19" t="inlineStr">
        <is>
          <t>A1: 4
A2: 6
A3: 8
A4: 10
B1: =SUM(A2:A4)
What does B1 show?</t>
        </is>
      </c>
      <c r="BC3" s="19" t="inlineStr">
        <is>
          <t>24</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81" customHeight="1">
      <c r="A4" s="17" t="inlineStr">
        <is>
          <t>XL-002</t>
        </is>
      </c>
      <c r="B4" s="17" t="inlineStr">
        <is>
          <t>01 Basics &amp; Cells</t>
        </is>
      </c>
      <c r="C4" s="17" t="inlineStr">
        <is>
          <t>Beginner</t>
        </is>
      </c>
      <c r="D4" s="17" t="n">
        <v>2</v>
      </c>
      <c r="E4" s="17" t="inlineStr">
        <is>
          <t>Claude knowledge</t>
        </is>
      </c>
      <c r="F4" s="18" t="inlineStr">
        <is>
          <t>Data types: text, number, date</t>
        </is>
      </c>
      <c r="G4" s="18" t="inlineStr">
        <is>
          <t>Why can a cell that looks like a number refuse to add up, and what does Excel secretly store behind a date?</t>
        </is>
      </c>
      <c r="H4" s="18" t="inlineStr">
        <is>
          <t>text = टेक्स्ट | number = नंबर | date = डेट</t>
        </is>
      </c>
      <c r="I4" s="18" t="inlineStr">
        <is>
          <t>Core concept</t>
        </is>
      </c>
      <c r="J4" s="18" t="inlineStr">
        <is>
          <t>Very high</t>
        </is>
      </c>
      <c r="K4" s="18" t="n">
        <v>5</v>
      </c>
      <c r="L4" s="18" t="inlineStr">
        <is>
          <t>Excel must know whether a value is a word, an amount or a day, because each kind follows different maths rules.</t>
        </is>
      </c>
      <c r="M4" s="18" t="inlineStr">
        <is>
          <t>If a number sits on the left of its cell, it is probably stored as text, so check it before you add it.</t>
        </is>
      </c>
      <c r="N4" s="18" t="inlineStr">
        <is>
          <t>Typing an apostrophe before a number, like '100, makes Excel store it as text on purpose.</t>
        </is>
      </c>
      <c r="O4" s="18" t="inlineStr">
        <is>
          <t>Excel is a strict clerk with three boxes marked Words, Amounts and Days, and he drops every entry into one box without asking you.</t>
        </is>
      </c>
      <c r="P4" s="18" t="inlineStr">
        <is>
          <t>Three coloured trays on a desk, with a paper marked 100 sitting in the Words tray looking out of place.</t>
        </is>
      </c>
      <c r="Q4" s="18" t="inlineStr">
        <is>
          <t>Relief when a total that showed the wrong value finally starts adding correctly.</t>
        </is>
      </c>
      <c r="R4" s="18" t="inlineStr">
        <is>
          <t>Excel stores each entry as text, a number or a date, and treats them differently.</t>
        </is>
      </c>
      <c r="S4" s="18" t="inlineStr">
        <is>
          <t>टेक्स्ट = शब्द, नंबर = संख्या, डेट = तारीख</t>
        </is>
      </c>
      <c r="T4" s="19" t="inlineStr">
        <is>
          <t>A1: 100
A2: '100 (typed with an apostrophe, so it is text)
B1: =ISNUMBER(A1)
B2: =ISNUMBER(A2)</t>
        </is>
      </c>
      <c r="U4" s="19" t="inlineStr">
        <is>
          <t>B1 shows TRUE and B2 shows FALSE</t>
        </is>
      </c>
      <c r="V4" s="18" t="inlineStr">
        <is>
          <t>ISNUMBER checks if a cell holds a real number. A1 is a number, but A2 was stored as text because of the apostrophe, even though it looks the same. Dates are numbers too: Excel counts days from 1 January 1900, and 1 January 2024 is stored as 45292.</t>
        </is>
      </c>
      <c r="W4" s="18" t="inlineStr">
        <is>
          <t>Excel teen cheez alag rakhta hai: text, number aur date. Text ke andar 100 likha ho to wo jodne me nahi aata. Date asal me ek number hai jo din ginta hai.</t>
        </is>
      </c>
      <c r="X4" s="18" t="inlineStr">
        <is>
          <t>Like a bank counter with separate windows for cash, cheques and letters, each handled by different rules.</t>
        </is>
      </c>
      <c r="Y4" s="19" t="inlineStr">
        <is>
          <t>=ISNUMBER(cell)  |  =ISTEXT(cell)</t>
        </is>
      </c>
      <c r="Z4" s="18" t="inlineStr">
        <is>
          <t>ISNUMBER = test function | cell = what to check | result = TRUE or FALSE</t>
        </is>
      </c>
      <c r="AA4" s="19" t="inlineStr">
        <is>
          <t>A1: Asha
B1: =ISTEXT(A1) (shows TRUE, a word is text)</t>
        </is>
      </c>
      <c r="AB4" s="19" t="inlineStr">
        <is>
          <t>A1: 100
A2: '100
B1: =SUM(A1:A2) (shows 100, SUM skips the text one)</t>
        </is>
      </c>
      <c r="AC4" s="19" t="inlineStr">
        <is>
          <t>A1: =DATE(2024,1,1)
A2: =DATE(2024,3,1)
B1: =A2-A1 (cell format General, shows 60 days)</t>
        </is>
      </c>
      <c r="AD4" s="19" t="inlineStr">
        <is>
          <t>Format cell as General to see the date serial number, for example 45292
=VALUE(A2) converts text like "100" into the number 100
Data tab &gt; Text to Columns &gt; Finish converts a column of text numbers</t>
        </is>
      </c>
      <c r="AE4" s="18" t="inlineStr">
        <is>
          <t>ISNUMBER, ISTEXT, VALUE, Format Cells</t>
        </is>
      </c>
      <c r="AF4" s="18" t="inlineStr">
        <is>
          <t>Number format, Text to Columns, Date serial number, VALUE</t>
        </is>
      </c>
      <c r="AG4" s="18" t="inlineStr">
        <is>
          <t>VALUE function, Text to Columns, multiply by 1</t>
        </is>
      </c>
      <c r="AH4" s="18" t="inlineStr">
        <is>
          <t>text, number, date, time, logical, error value</t>
        </is>
      </c>
      <c r="AI4" s="18" t="inlineStr">
        <is>
          <t>Importing data from other systems | Cleaning mark lists | Date calculations like due dates</t>
        </is>
      </c>
      <c r="AJ4" s="18" t="inlineStr">
        <is>
          <t>A: My SUM ignores some numbers in the column, why? | B: They are probably stored as text; look for left-aligned values and convert them.</t>
        </is>
      </c>
      <c r="AK4" s="18" t="inlineStr">
        <is>
          <t>✗ Anything that looks like a number is a number → ✓ A value can look like 100 but be stored as text, and then SUM ignores it</t>
        </is>
      </c>
      <c r="AL4" s="18" t="inlineStr">
        <is>
          <t>Text 100 vs number 100: text looks the same but is ignored by SUM and sorts like a word.</t>
        </is>
      </c>
      <c r="AM4" s="18" t="inlineStr">
        <is>
          <t>Do not type numbers with extra spaces or apostrophes if you need to calculate with them.</t>
        </is>
      </c>
      <c r="AN4" s="19" t="inlineStr">
        <is>
          <t>A1: 100
A2: '100
A3: 50
B1: =SUM(A1:A3) (expecting 250)</t>
        </is>
      </c>
      <c r="AO4" s="19" t="inlineStr">
        <is>
          <t>A1: 100
A2: '100
A3: 50
B2: =VALUE(A2)
B1: =SUM(A1,B2,A3) (shows 250)</t>
        </is>
      </c>
      <c r="AP4" s="18" t="inlineStr">
        <is>
          <t>Left = Letters (text), Right = Right numbers; this is the default alignment.</t>
        </is>
      </c>
      <c r="AQ4" s="18" t="inlineStr">
        <is>
          <t>A sales analyst imports a CSV and converts text numbers so that totals match the source report.</t>
        </is>
      </c>
      <c r="AR4" s="18" t="inlineStr">
        <is>
          <t>Interview question: Why does SUM give the wrong total when some numbers are stored as text?</t>
        </is>
      </c>
      <c r="AS4" s="18" t="inlineStr">
        <is>
          <t>It is like a shopkeeper who counts only real notes and puts photocopies of notes aside.</t>
        </is>
      </c>
      <c r="AT4" s="18" t="inlineStr">
        <is>
          <t>A cell shows 2500 on the left side of the cell, and SUM leaves it out. What is the most likely reason?</t>
        </is>
      </c>
      <c r="AU4" s="18" t="inlineStr">
        <is>
          <t>A) It is stored as text B) It is formatted as currency C) It is stored as a date D) The column is too narrow</t>
        </is>
      </c>
      <c r="AV4" s="18" t="inlineStr">
        <is>
          <t>A</t>
        </is>
      </c>
      <c r="AW4" s="18" t="inlineStr">
        <is>
          <t>Numbers align right by default and SUM skips text; currency or date formats do not make SUM skip a value.</t>
        </is>
      </c>
      <c r="AX4" s="19" t="inlineStr">
        <is>
          <t>Excel stores the date 1 January 2024 internally as the number ____ → 45292</t>
        </is>
      </c>
      <c r="AY4" s="18" t="inlineStr">
        <is>
          <t>Write a formula that tells whether cell A1 holds a number.</t>
        </is>
      </c>
      <c r="AZ4" s="19" t="inlineStr">
        <is>
          <t>B1: =ISNUMBER(A1)</t>
        </is>
      </c>
      <c r="BA4" s="18" t="inlineStr">
        <is>
          <t>Type a number and the same number with an apostrophe, then compare them with ISNUMBER.</t>
        </is>
      </c>
      <c r="BB4" s="19" t="inlineStr">
        <is>
          <t>A1: 50
A2: '50 (text)
A3: 50
B1: =SUM(A1:A3)
What does B1 show?</t>
        </is>
      </c>
      <c r="BC4" s="19" t="inlineStr">
        <is>
          <t>100</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94.5" customHeight="1">
      <c r="A5" s="17" t="inlineStr">
        <is>
          <t>XL-003</t>
        </is>
      </c>
      <c r="B5" s="17" t="inlineStr">
        <is>
          <t>01 Basics &amp; Cells</t>
        </is>
      </c>
      <c r="C5" s="17" t="inlineStr">
        <is>
          <t>Beginner</t>
        </is>
      </c>
      <c r="D5" s="17" t="n">
        <v>3</v>
      </c>
      <c r="E5" s="17" t="inlineStr">
        <is>
          <t>Claude knowledge</t>
        </is>
      </c>
      <c r="F5" s="18" t="inlineStr">
        <is>
          <t>AutoFill and the fill handle</t>
        </is>
      </c>
      <c r="G5" s="18" t="inlineStr">
        <is>
          <t>Which tiny square at a cell's corner lets you drag a pattern or formula down a column?</t>
        </is>
      </c>
      <c r="H5" s="18" t="inlineStr">
        <is>
          <t>AutoFill = ऑटोफ़िल | fill handle = फ़िल हैंडल</t>
        </is>
      </c>
      <c r="I5" s="18" t="inlineStr">
        <is>
          <t>Excel feature</t>
        </is>
      </c>
      <c r="J5" s="18" t="inlineStr">
        <is>
          <t>Very high</t>
        </is>
      </c>
      <c r="K5" s="18" t="n">
        <v>5</v>
      </c>
      <c r="L5" s="18" t="inlineStr">
        <is>
          <t>Typing the same pattern a hundred times is slow, so Excel guesses the pattern and repeats it for you.</t>
        </is>
      </c>
      <c r="M5" s="18" t="inlineStr">
        <is>
          <t>Double-click the fill handle to fill down as far as the data in the next column goes.</t>
        </is>
      </c>
      <c r="N5" s="18" t="inlineStr">
        <is>
          <t>Select the cell, then grab the small square at its bottom-right corner; the pointer turns into a thin black plus.</t>
        </is>
      </c>
      <c r="O5" s="18" t="inlineStr">
        <is>
          <t>The fill handle is a tiny tap at the corner of a water tank; pull it down and the pattern pours into every cell below.</t>
        </is>
      </c>
      <c r="P5" s="18" t="inlineStr">
        <is>
          <t>A green square at the corner of a cell, being dragged down while numbers appear one after another.</t>
        </is>
      </c>
      <c r="Q5" s="18" t="inlineStr">
        <is>
          <t>A happy surprise when a whole column fills itself in one second.</t>
        </is>
      </c>
      <c r="R5" s="18" t="inlineStr">
        <is>
          <t>AutoFill copies or continues a pattern by dragging the fill handle.</t>
        </is>
      </c>
      <c r="S5" s="18" t="inlineStr">
        <is>
          <t>ऑटोफ़िल = खींचकर पैटर्न या फ़ॉर्मूला अपने आप भरना</t>
        </is>
      </c>
      <c r="T5" s="19" t="inlineStr">
        <is>
          <t>A1: 1
A2: 2
Select A1:A2, drag the fill handle down to A5</t>
        </is>
      </c>
      <c r="U5" s="19" t="inlineStr">
        <is>
          <t>A3 shows 3, A4 shows 4, A5 shows 5</t>
        </is>
      </c>
      <c r="V5" s="18" t="inlineStr">
        <is>
          <t>Excel reads the first two values to find the step, here +1, and continues it. For text such as day names it continues the built-in list. For formulas it copies the formula and moves the relative references.</t>
        </is>
      </c>
      <c r="W5" s="18" t="inlineStr">
        <is>
          <t>Do cell select karke handle kheenchoge to Excel pattern samajh kar aage bhar deta hai. Ek hi number ho to wo copy ho jata hai. Formula ho to wo bhi neeche copy hota hai.</t>
        </is>
      </c>
      <c r="X5" s="18" t="inlineStr">
        <is>
          <t>Like showing a child 2, 4 and then saying carry on; the child continues 6, 8, 10 by the same rule.</t>
        </is>
      </c>
      <c r="Y5" s="19" t="inlineStr">
        <is>
          <t>Select cells &gt; drag the fill handle (bottom-right square)</t>
        </is>
      </c>
      <c r="Z5" s="18" t="inlineStr">
        <is>
          <t>Selected cells = the pattern | fill handle = small square | drag direction = where the pattern continues</t>
        </is>
      </c>
      <c r="AA5" s="19" t="inlineStr">
        <is>
          <t>A1: 1
A2: 2
Select A1:A2, drag the handle to A5 (A5 shows 5, a number series)</t>
        </is>
      </c>
      <c r="AB5" s="19" t="inlineStr">
        <is>
          <t>A1: Mon
Drag the handle down to A3 (A2 shows Tue, A3 shows Wed, a text list)</t>
        </is>
      </c>
      <c r="AC5" s="19" t="inlineStr">
        <is>
          <t>A1: 5
A2: 7
A3: 9
B1: =A1*2
Double-click the handle of B1 (B2 shows 14, B3 shows 18, a formula copy)</t>
        </is>
      </c>
      <c r="AD5" s="19" t="inlineStr">
        <is>
          <t>A single number such as 5 is copied, not counted, when you drag
Hold Ctrl while dragging a single number to make it count up (Windows)
Click the small Auto Fill Options button after dragging to choose Copy Cells or Fill Series</t>
        </is>
      </c>
      <c r="AE5" s="18" t="inlineStr">
        <is>
          <t>Fill series, relative references, Flash Fill, Ctrl+D</t>
        </is>
      </c>
      <c r="AF5" s="18" t="inlineStr">
        <is>
          <t>Relative reference, Custom lists, Ctrl+D, Flash Fill</t>
        </is>
      </c>
      <c r="AG5" s="18" t="inlineStr">
        <is>
          <t>Ctrl+D to fill down, Home tab &gt; Fill &gt; Series</t>
        </is>
      </c>
      <c r="AH5" s="18" t="inlineStr">
        <is>
          <t>AutoFill, fill handle, fill series, fill down, fill right, series</t>
        </is>
      </c>
      <c r="AI5" s="18" t="inlineStr">
        <is>
          <t>Serial numbers on a list | Dates and months across columns | Copying one formula to every row</t>
        </is>
      </c>
      <c r="AJ5" s="18" t="inlineStr">
        <is>
          <t>A: I typed 1 and dragged but I got 1, 1, 1; why? | B: A single number is copied, so enter 1 and 2 first and drag both cells.</t>
        </is>
      </c>
      <c r="AK5" s="18" t="inlineStr">
        <is>
          <t>✗ Dragging one number always counts up, 1, 2, 3 → ✓ A single number is copied; give two cells to show the step, or hold Ctrl while dragging</t>
        </is>
      </c>
      <c r="AL5" s="18" t="inlineStr">
        <is>
          <t>Fill handle vs Ctrl+D: the handle drags to any distance and pattern, Ctrl+D copies the cell above into the selected cells.</t>
        </is>
      </c>
      <c r="AM5" s="18" t="inlineStr">
        <is>
          <t>Do not drag blindly over a long list when double-clicking the fill handle does the work in one move.</t>
        </is>
      </c>
      <c r="AN5" s="19" t="inlineStr">
        <is>
          <t>A1: 1
Drag the handle down to A5 (expecting 1, 2, 3, 4, 5)</t>
        </is>
      </c>
      <c r="AO5" s="19" t="inlineStr">
        <is>
          <t>A1: 1
A2: 2
Select A1:A2 and drag the handle down to A5</t>
        </is>
      </c>
      <c r="AP5" s="18" t="inlineStr">
        <is>
          <t>Two cells show the step; one cell shows only copy.</t>
        </is>
      </c>
      <c r="AQ5" s="18" t="inlineStr">
        <is>
          <t>An office assistant numbers 200 employee rows by dragging the handle instead of typing every number.</t>
        </is>
      </c>
      <c r="AR5" s="18" t="inlineStr">
        <is>
          <t>Interview question: How do you quickly copy a formula down 500 rows without dragging?</t>
        </is>
      </c>
      <c r="AS5" s="18" t="inlineStr">
        <is>
          <t>It is like a teacher writing the first two roll numbers and asking the class monitor to continue the list.</t>
        </is>
      </c>
      <c r="AT5" s="18" t="inlineStr">
        <is>
          <t>A1 contains 5 and nothing else. You drag the fill handle from A1 down to A3 without pressing any key. What does A3 show?</t>
        </is>
      </c>
      <c r="AU5" s="18" t="inlineStr">
        <is>
          <t>A) 3 B) 5 C) 7 D) 15</t>
        </is>
      </c>
      <c r="AV5" s="18" t="inlineStr">
        <is>
          <t>B</t>
        </is>
      </c>
      <c r="AW5" s="18" t="inlineStr">
        <is>
          <t>One plain number is copied, so A2 and A3 both show 5; counting needs two example cells or the Ctrl key.</t>
        </is>
      </c>
      <c r="AX5" s="19" t="inlineStr">
        <is>
          <t>The small square at the bottom-right corner of a selected cell is called the ____ → fill handle</t>
        </is>
      </c>
      <c r="AY5" s="18" t="inlineStr">
        <is>
          <t>Fill the numbers 10, 20, 30, 40 in column A using only two typed cells.</t>
        </is>
      </c>
      <c r="AZ5" s="19" t="inlineStr">
        <is>
          <t>A1: 10
A2: 20
Select A1:A2 and drag the fill handle down to A4</t>
        </is>
      </c>
      <c r="BA5" s="18" t="inlineStr">
        <is>
          <t>Type Jan in one cell and drag it across to see the months continue.</t>
        </is>
      </c>
      <c r="BB5" s="19" t="inlineStr">
        <is>
          <t>A1: 10
A2: 20
You select A1:A2 and drag the fill handle down to A4.
What does A4 show?</t>
        </is>
      </c>
      <c r="BC5" s="19" t="inlineStr">
        <is>
          <t>40</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81" customHeight="1">
      <c r="A6" s="17" t="inlineStr">
        <is>
          <t>XL-004</t>
        </is>
      </c>
      <c r="B6" s="17" t="inlineStr">
        <is>
          <t>01 Basics &amp; Cells</t>
        </is>
      </c>
      <c r="C6" s="17" t="inlineStr">
        <is>
          <t>Beginner</t>
        </is>
      </c>
      <c r="D6" s="17" t="n">
        <v>4</v>
      </c>
      <c r="E6" s="17" t="inlineStr">
        <is>
          <t>Claude knowledge</t>
        </is>
      </c>
      <c r="F6" s="18" t="inlineStr">
        <is>
          <t>Flash Fill</t>
        </is>
      </c>
      <c r="G6" s="18" t="inlineStr">
        <is>
          <t>Which feature watches one example you type and then completes the whole column without a formula?</t>
        </is>
      </c>
      <c r="H6" s="18" t="inlineStr">
        <is>
          <t>Flash Fill = फ़्लैश फ़िल</t>
        </is>
      </c>
      <c r="I6" s="18" t="inlineStr">
        <is>
          <t>Excel feature</t>
        </is>
      </c>
      <c r="J6" s="18" t="inlineStr">
        <is>
          <t>Medium</t>
        </is>
      </c>
      <c r="K6" s="18" t="n">
        <v>3</v>
      </c>
      <c r="L6" s="18" t="inlineStr">
        <is>
          <t>Added in Excel 2013, it learns a pattern from your typed example so you can split or join text without writing formulas.</t>
        </is>
      </c>
      <c r="M6" s="18" t="inlineStr">
        <is>
          <t>Press Ctrl+E on Windows right after typing the first example to apply it instantly. On other versions use Data tab &gt; Flash Fill.</t>
        </is>
      </c>
      <c r="N6" s="18" t="inlineStr">
        <is>
          <t>Type the first result in the cell next to your data, move to the next cell below, then press Ctrl+E.</t>
        </is>
      </c>
      <c r="O6" s="18" t="inlineStr">
        <is>
          <t>A parrot hears you say Asha once and then repeats the first name for every row on its own.</t>
        </is>
      </c>
      <c r="P6" s="18" t="inlineStr">
        <is>
          <t>A column of full names with a lightning bolt, and the first names appearing in the next column row by row.</t>
        </is>
      </c>
      <c r="Q6" s="18" t="inlineStr">
        <is>
          <t>A little delight when messy text sorts itself out in a blink.</t>
        </is>
      </c>
      <c r="R6" s="18" t="inlineStr">
        <is>
          <t>Flash Fill copies a pattern you typed once to the other rows.</t>
        </is>
      </c>
      <c r="S6" s="18" t="inlineStr">
        <is>
          <t>फ़्लैश फ़िल = एक उदाहरण देखकर बाकी पंक्तियाँ अपने आप भरना</t>
        </is>
      </c>
      <c r="T6" s="19" t="inlineStr">
        <is>
          <t>A1: Asha Rao
A2: Sita Devi
B1: Asha (typed by you)
Click B2, press Ctrl+E</t>
        </is>
      </c>
      <c r="U6" s="19" t="inlineStr">
        <is>
          <t>B2 shows Sita</t>
        </is>
      </c>
      <c r="V6" s="18" t="inlineStr">
        <is>
          <t>Excel compares your typed example with the cell beside it and finds the pattern, here the first word. It then fills the rest of the column using that pattern. The result is plain text, not a formula, so it will not update later.</t>
        </is>
      </c>
      <c r="W6" s="18" t="inlineStr">
        <is>
          <t>Pehli row me jo chahiye wo khud likho, phir Ctrl+E dabao. Excel pattern pehchan kar baaki sab bhar deta hai. Ye formula nahi hai, sirf text hai.</t>
        </is>
      </c>
      <c r="X6" s="18" t="inlineStr">
        <is>
          <t>Like showing a tailor one sample shirt, then asking him to stitch the rest in exactly the same style.</t>
        </is>
      </c>
      <c r="Y6" s="19" t="inlineStr">
        <is>
          <t>Type first example &gt; Ctrl+E (or Data tab &gt; Flash Fill)</t>
        </is>
      </c>
      <c r="Z6" s="18" t="inlineStr">
        <is>
          <t>Source column = the data | typed example = the pattern | Ctrl+E = apply to all rows</t>
        </is>
      </c>
      <c r="AA6" s="19" t="inlineStr">
        <is>
          <t>A1: Asha Rao
A2: Sita Devi
B1: Asha
Click B2, press Ctrl+E (B2 shows Sita, a split)</t>
        </is>
      </c>
      <c r="AB6" s="19" t="inlineStr">
        <is>
          <t>A1: Asha
B1: Rao
C1: Asha Rao (typed)
Click C2, press Ctrl+E (joins first and last name for each row)</t>
        </is>
      </c>
      <c r="AC6" s="19" t="inlineStr">
        <is>
          <t>A1: 9876543210
B1: 98765-43210 (typed)
Click B2, press Ctrl+E (adds a dash in the same place for all rows)</t>
        </is>
      </c>
      <c r="AD6" s="19" t="inlineStr">
        <is>
          <t>Data tab &gt; Flash Fill does the same as Ctrl+E
File &gt; Options &gt; Advanced &gt; Automatically Flash Fill turns the live suggestion on or off
If the grey preview appears while you type, press Enter to accept it</t>
        </is>
      </c>
      <c r="AE6" s="18" t="inlineStr">
        <is>
          <t>Text to Columns, LEFT, MID, CONCAT</t>
        </is>
      </c>
      <c r="AF6" s="18" t="inlineStr">
        <is>
          <t>Text to Columns, LEFT and RIGHT, TEXTJOIN, AutoFill</t>
        </is>
      </c>
      <c r="AG6" s="18" t="inlineStr">
        <is>
          <t>Text to Columns, LEFT/MID/RIGHT formulas, TEXTSPLIT in Microsoft 365</t>
        </is>
      </c>
      <c r="AH6" s="18" t="inlineStr">
        <is>
          <t>Flash Fill, pattern, split, join, extract, clean</t>
        </is>
      </c>
      <c r="AI6" s="18" t="inlineStr">
        <is>
          <t>Splitting full names | Fixing phone number format | Making email IDs from names</t>
        </is>
      </c>
      <c r="AJ6" s="18" t="inlineStr">
        <is>
          <t>A: I have full names in one column, can I get only first names fast? | B: Type the first name once next to it and press Ctrl+E.</t>
        </is>
      </c>
      <c r="AK6" s="18" t="inlineStr">
        <is>
          <t>✗ Flash Fill creates a formula that updates when the data changes → ✓ Flash Fill writes fixed values, so you must run it again after the source changes</t>
        </is>
      </c>
      <c r="AL6" s="18" t="inlineStr">
        <is>
          <t>Flash Fill vs AutoFill: Flash Fill learns a text pattern from an example, while AutoFill continues a number or list series.</t>
        </is>
      </c>
      <c r="AM6" s="18" t="inlineStr">
        <is>
          <t>Do not trust Flash Fill blindly on messy data; always scan the results for wrong rows.</t>
        </is>
      </c>
      <c r="AN6" s="19" t="inlineStr">
        <is>
          <t>A1: Asha Rao
A2: Sita Devi
Select B2 and press Ctrl+E with B1 left empty</t>
        </is>
      </c>
      <c r="AO6" s="19" t="inlineStr">
        <is>
          <t>A1: Asha Rao
A2: Sita Devi
B1: Asha (typed)
Click B2, press Ctrl+E</t>
        </is>
      </c>
      <c r="AP6" s="18" t="inlineStr">
        <is>
          <t>Type one, press Ctrl+E, check all.</t>
        </is>
      </c>
      <c r="AQ6" s="18" t="inlineStr">
        <is>
          <t>A data entry person splits 1,000 full names into first and last name columns in a few seconds.</t>
        </is>
      </c>
      <c r="AR6" s="18" t="inlineStr">
        <is>
          <t>Interview question: How can you split a name column without writing a formula?</t>
        </is>
      </c>
      <c r="AS6" s="18" t="inlineStr">
        <is>
          <t>It is like showing a friend one correctly written address label and asking him to copy the style on the rest.</t>
        </is>
      </c>
      <c r="AT6" s="18" t="inlineStr">
        <is>
          <t>You used Flash Fill to get first names in column B. Later you change the name in A2. What happens to the value in B2?</t>
        </is>
      </c>
      <c r="AU6" s="18" t="inlineStr">
        <is>
          <t>A) It updates by itself B) It turns into an error C) It stays as it was D) It is deleted</t>
        </is>
      </c>
      <c r="AV6" s="18" t="inlineStr">
        <is>
          <t>C</t>
        </is>
      </c>
      <c r="AW6" s="18" t="inlineStr">
        <is>
          <t>Flash Fill pastes fixed values, not formulas, so B2 does not follow A2 afterwards.</t>
        </is>
      </c>
      <c r="AX6" s="19" t="inlineStr">
        <is>
          <t>The Windows shortcut for Flash Fill is Ctrl + ____ → E</t>
        </is>
      </c>
      <c r="AY6" s="18" t="inlineStr">
        <is>
          <t>Column A has full names. Get only the first name in column B using Flash Fill.</t>
        </is>
      </c>
      <c r="AZ6" s="19" t="inlineStr">
        <is>
          <t>B1: type the first name by hand
Click B2 and press Ctrl+E</t>
        </is>
      </c>
      <c r="BA6" s="18" t="inlineStr">
        <is>
          <t>Take five full names and use Flash Fill to make short names such as A. Rao.</t>
        </is>
      </c>
      <c r="BB6" s="19" t="inlineStr">
        <is>
          <t>A1: Ravi Kumar
A2: Sita Devi
You type Ravi in B1, click B2 and press Ctrl+E.
What does B2 show?</t>
        </is>
      </c>
      <c r="BC6" s="19" t="inlineStr">
        <is>
          <t>Sita</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81" customHeight="1">
      <c r="A7" s="17" t="inlineStr">
        <is>
          <t>XL-005</t>
        </is>
      </c>
      <c r="B7" s="17" t="inlineStr">
        <is>
          <t>01 Basics &amp; Cells</t>
        </is>
      </c>
      <c r="C7" s="17" t="inlineStr">
        <is>
          <t>Beginner</t>
        </is>
      </c>
      <c r="D7" s="17" t="n">
        <v>5</v>
      </c>
      <c r="E7" s="17" t="inlineStr">
        <is>
          <t>Claude knowledge</t>
        </is>
      </c>
      <c r="F7" s="18" t="inlineStr">
        <is>
          <t>Relative vs absolute references ($)</t>
        </is>
      </c>
      <c r="G7" s="18" t="inlineStr">
        <is>
          <t>Why does a copied formula sometimes point to the wrong cell, and what sign pins a cell in place?</t>
        </is>
      </c>
      <c r="H7" s="18" t="inlineStr">
        <is>
          <t>absolute = एब्सोल्यूट | relative = रिलेटिव | dollar sign = डॉलर साइन</t>
        </is>
      </c>
      <c r="I7" s="18" t="inlineStr">
        <is>
          <t>Core concept</t>
        </is>
      </c>
      <c r="J7" s="18" t="inlineStr">
        <is>
          <t>Very high</t>
        </is>
      </c>
      <c r="K7" s="18" t="n">
        <v>5</v>
      </c>
      <c r="L7" s="18" t="inlineStr">
        <is>
          <t>Excel moves references when you copy a formula, and the dollar sign was added so you can lock a part that must not move.</t>
        </is>
      </c>
      <c r="M7" s="18" t="inlineStr">
        <is>
          <t>Press F4 while the cursor is on a reference to cycle through A1, $A$1, A$1 and $A1 (on some laptops press Fn+F4).</t>
        </is>
      </c>
      <c r="N7" s="18" t="inlineStr">
        <is>
          <t>The dollar sign goes before the part to lock: $B$1 locks column and row, B$1 locks only the row.</t>
        </is>
      </c>
      <c r="O7" s="18" t="inlineStr">
        <is>
          <t>A dollar sign is a pin that nails the cell to the board, so the formula cannot slide it when you copy it.</t>
        </is>
      </c>
      <c r="P7" s="18" t="inlineStr">
        <is>
          <t>A cell with a gold pin pushed through it while other cell references slide downward with the copied formulas.</t>
        </is>
      </c>
      <c r="Q7" s="18" t="inlineStr">
        <is>
          <t>A moment of relief when a whole column of answers turns out right after one tiny dollar sign.</t>
        </is>
      </c>
      <c r="R7" s="18" t="inlineStr">
        <is>
          <t>A relative reference moves when copied; an absolute reference with dollar signs stays fixed.</t>
        </is>
      </c>
      <c r="S7" s="18" t="inlineStr">
        <is>
          <t>रिलेटिव = कॉपी करने पर बदलता है; एब्सोल्यूट ($) = जगह पर टिका रहता है</t>
        </is>
      </c>
      <c r="T7" s="19" t="inlineStr">
        <is>
          <t>A2: 200
A3: 300
B1: 0.1 (rate)
C2: =A2*$B$1
C3: =A3*$B$1</t>
        </is>
      </c>
      <c r="U7" s="19" t="inlineStr">
        <is>
          <t>C2 shows 20 and C3 shows 30</t>
        </is>
      </c>
      <c r="V7" s="18" t="inlineStr">
        <is>
          <t>When C2 is copied down, A2 becomes A3 because it is relative. $B$1 stays B1 because both its column and row are locked. This lets every row use the same rate cell.</t>
        </is>
      </c>
      <c r="W7" s="18" t="inlineStr">
        <is>
          <t>Normal reference formula ke saath neeche khisakta hai. Dollar lagane se wo cell wahi rukta hai. Isliye rate wale cell par $ lagate hain.</t>
        </is>
      </c>
      <c r="X7" s="18" t="inlineStr">
        <is>
          <t>Like asking each student to check the person next to them (relative), but also asking everyone to look at one fixed notice board (absolute).</t>
        </is>
      </c>
      <c r="Y7" s="19" t="inlineStr">
        <is>
          <t>A1 (relative) | $A$1 (absolute) | A$1 or $A1 (mixed)</t>
        </is>
      </c>
      <c r="Z7" s="18" t="inlineStr">
        <is>
          <t>$ before the letter = lock the column | $ before the number = lock the row | no $ = free to move</t>
        </is>
      </c>
      <c r="AA7" s="19" t="inlineStr">
        <is>
          <t>A2: 200
A3: 300
C2: =A2*2 (copied to C3 it becomes =A3*2 and shows 600, relative)</t>
        </is>
      </c>
      <c r="AB7" s="19" t="inlineStr">
        <is>
          <t>A2: 200
A3: 300
B1: 0.1
C2: =A2*$B$1 (copied to C3 it stays $B$1 and shows 30, absolute)</t>
        </is>
      </c>
      <c r="AC7" s="19" t="inlineStr">
        <is>
          <t>A2: 2
A3: 3
B1: 4
C1: 5
B2: =$A2*B$1 (shows 8; copied to C3 it becomes =$A3*C$1 and shows 15, mixed)</t>
        </is>
      </c>
      <c r="AD7" s="19" t="inlineStr">
        <is>
          <t>F4 once makes $A$1, twice makes A$1, three times makes $A1, four times gives A1 again
Named range, for example Rate, works like an absolute reference
Copying a formula right changes the column letter; copying down changes the row number</t>
        </is>
      </c>
      <c r="AE7" s="18" t="inlineStr">
        <is>
          <t>AutoFill, SUM, VLOOKUP, percentage calculations</t>
        </is>
      </c>
      <c r="AF7" s="18" t="inlineStr">
        <is>
          <t>AutoFill, Named range, Mixed reference, F4 key</t>
        </is>
      </c>
      <c r="AG7" s="18" t="inlineStr">
        <is>
          <t>Named range, Excel Table structured references</t>
        </is>
      </c>
      <c r="AH7" s="18" t="inlineStr">
        <is>
          <t>relative, absolute, mixed, anchor, lock, F4</t>
        </is>
      </c>
      <c r="AI7" s="18" t="inlineStr">
        <is>
          <t>Applying one tax or discount rate to a price list | Multiplication tables | Lookup tables that must not shift</t>
        </is>
      </c>
      <c r="AJ7" s="18" t="inlineStr">
        <is>
          <t>A: Only my first row is right after I drag the formula down; the rest show zero. | B: Your rate cell moved; press F4 to lock it as $B$1.</t>
        </is>
      </c>
      <c r="AK7" s="18" t="inlineStr">
        <is>
          <t>✗ A copied formula always points to the same cells as the original → ✓ A normal reference shifts when copied; only the ones with $ stay fixed</t>
        </is>
      </c>
      <c r="AL7" s="18" t="inlineStr">
        <is>
          <t>B1 vs $B$1: B1 shifts when copied, $B$1 never shifts.</t>
        </is>
      </c>
      <c r="AM7" s="18" t="inlineStr">
        <is>
          <t>Do not copy a formula that uses a fixed rate cell without first adding the dollar signs.</t>
        </is>
      </c>
      <c r="AN7" s="19" t="inlineStr">
        <is>
          <t>B1: 10
A2: 200
A3: 300
C2: =A2*B1
C3 (copied) becomes =A3*B2 and shows 0</t>
        </is>
      </c>
      <c r="AO7" s="19" t="inlineStr">
        <is>
          <t>B1: 10
A2: 200
A3: 300
C2: =A2*$B$1
C3 (copied) stays =A3*$B$1 and shows 3000</t>
        </is>
      </c>
      <c r="AP7" s="18" t="inlineStr">
        <is>
          <t>Dollar = Done moving; no dollar means the cell can wander.</t>
        </is>
      </c>
      <c r="AQ7" s="18" t="inlineStr">
        <is>
          <t>A finance analyst applies one GST rate cell to hundreds of price rows using $ in the formula.</t>
        </is>
      </c>
      <c r="AR7" s="18" t="inlineStr">
        <is>
          <t>Interview question: What does $A$1 mean, and when would you use it instead of A1?</t>
        </is>
      </c>
      <c r="AS7" s="18" t="inlineStr">
        <is>
          <t>It is like fixing one price tag to a shelf so that it does not move while the other items change places.</t>
        </is>
      </c>
      <c r="AT7" s="18" t="inlineStr">
        <is>
          <t>C2 holds =A2*B1. You copy C2 down to C3. What does C3 contain?</t>
        </is>
      </c>
      <c r="AU7" s="18" t="inlineStr">
        <is>
          <t>A) =A3*B1 B) =A3*B2 C) =A2*B2 D) =A3*$B$1</t>
        </is>
      </c>
      <c r="AV7" s="18" t="inlineStr">
        <is>
          <t>B</t>
        </is>
      </c>
      <c r="AW7" s="18" t="inlineStr">
        <is>
          <t>Without dollar signs both references move down by one row, so A2 becomes A3 and B1 becomes B2.</t>
        </is>
      </c>
      <c r="AX7" s="19" t="inlineStr">
        <is>
          <t>To lock both the column and row of B1 in a formula, write ____ → $B$1</t>
        </is>
      </c>
      <c r="AY7" s="18" t="inlineStr">
        <is>
          <t>Price is in A2:A4 and the discount rate is in D1. Write the formula for C2 so it can be copied down.</t>
        </is>
      </c>
      <c r="AZ7" s="19" t="inlineStr">
        <is>
          <t>C2: =A2*$D$1</t>
        </is>
      </c>
      <c r="BA7" s="18" t="inlineStr">
        <is>
          <t>Make a small price list and one tax cell, then copy a formula that uses the tax with a dollar sign.</t>
        </is>
      </c>
      <c r="BB7" s="19" t="inlineStr">
        <is>
          <t>A1: 5
B2: 10
B3: 20
C2: =B2*$A$1
You copy C2 to C3.
What does C3 show?</t>
        </is>
      </c>
      <c r="BC7" s="19" t="inlineStr">
        <is>
          <t>100</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81" customHeight="1">
      <c r="A8" s="17" t="inlineStr">
        <is>
          <t>XL-006</t>
        </is>
      </c>
      <c r="B8" s="17" t="inlineStr">
        <is>
          <t>02 Basic Functions</t>
        </is>
      </c>
      <c r="C8" s="17" t="inlineStr">
        <is>
          <t>Beginner</t>
        </is>
      </c>
      <c r="D8" s="17" t="n">
        <v>6</v>
      </c>
      <c r="E8" s="17" t="inlineStr">
        <is>
          <t>Claude knowledge</t>
        </is>
      </c>
      <c r="F8" s="18" t="inlineStr">
        <is>
          <t>SUM and AutoSum</t>
        </is>
      </c>
      <c r="G8" s="18" t="inlineStr">
        <is>
          <t>Which function adds a block of numbers, and what shortcut types it for you?</t>
        </is>
      </c>
      <c r="H8" s="18" t="inlineStr">
        <is>
          <t>SUM = सम | AutoSum = ऑटो-सम</t>
        </is>
      </c>
      <c r="I8" s="18" t="inlineStr">
        <is>
          <t>Function</t>
        </is>
      </c>
      <c r="J8" s="18" t="inlineStr">
        <is>
          <t>Very high</t>
        </is>
      </c>
      <c r="K8" s="18" t="n">
        <v>5</v>
      </c>
      <c r="L8" s="18" t="inlineStr">
        <is>
          <t>Adding is the most common job in a spreadsheet, so Excel gives a ready-made function and a button for it.</t>
        </is>
      </c>
      <c r="M8" s="18" t="inlineStr">
        <is>
          <t>Select the cells below a column and press Alt+= on Windows to get the SUM written for you.</t>
        </is>
      </c>
      <c r="N8" s="18" t="inlineStr">
        <is>
          <t>Type =SUM( then select the range with the mouse and close the bracket; do not forget the equals sign.</t>
        </is>
      </c>
      <c r="O8" s="18" t="inlineStr">
        <is>
          <t>A shopkeeper tips all the coins from a tray into one pile, and the pile's weight is the SUM.</t>
        </is>
      </c>
      <c r="P8" s="18" t="inlineStr">
        <is>
          <t>A column of numbers with a bold total line under it, drawn as a green rectangle with the formula.</t>
        </is>
      </c>
      <c r="Q8" s="18" t="inlineStr">
        <is>
          <t>Confidence from seeing the correct total appear without a calculator.</t>
        </is>
      </c>
      <c r="R8" s="18" t="inlineStr">
        <is>
          <t>SUM adds all the numbers in the cells you give it.</t>
        </is>
      </c>
      <c r="S8" s="18" t="inlineStr">
        <is>
          <t>SUM = जोड़ना, सारी संख्याओं का कुल</t>
        </is>
      </c>
      <c r="T8" s="19" t="inlineStr">
        <is>
          <t>A1: 10
A2: 20
A3: 30
A4: =SUM(A1:A3)</t>
        </is>
      </c>
      <c r="U8" s="19" t="inlineStr">
        <is>
          <t>60</t>
        </is>
      </c>
      <c r="V8" s="18" t="inlineStr">
        <is>
          <t>SUM adds every number in the range. It ignores text and empty cells in the range. AutoSum, on the Home tab or with Alt+=, writes the SUM formula and guesses the range for you.</t>
        </is>
      </c>
      <c r="W8" s="18" t="inlineStr">
        <is>
          <t>SUM sab number jod deta hai. Text ya khali cell ho to use chhod deta hai. Alt+= dabane se Excel khud formula likh deta hai.</t>
        </is>
      </c>
      <c r="X8" s="18" t="inlineStr">
        <is>
          <t>Like emptying all small piles of money on a table into one big pile and counting that pile.</t>
        </is>
      </c>
      <c r="Y8" s="19" t="inlineStr">
        <is>
          <t>=SUM(number1, [number2], ...)</t>
        </is>
      </c>
      <c r="Z8" s="18" t="inlineStr">
        <is>
          <t>= starts a formula | SUM = function name | ( ) = brackets | A1:A3 = numbers to add</t>
        </is>
      </c>
      <c r="AA8" s="19" t="inlineStr">
        <is>
          <t>A1: 10
A2: 20
A3: 30
A4: =SUM(A1:A3) (shows 60, a simple range)</t>
        </is>
      </c>
      <c r="AB8" s="19" t="inlineStr">
        <is>
          <t>A1: 10
A2: 20
A3: 30
B1: =SUM(A1:A3,5) (shows 65, a range plus a typed number)</t>
        </is>
      </c>
      <c r="AC8" s="19" t="inlineStr">
        <is>
          <t>A1: 10
A2: n/a
A3: 30
B1: =SUM(A1:A3) (shows 40, the text n/a is ignored)</t>
        </is>
      </c>
      <c r="AD8" s="19" t="inlineStr">
        <is>
          <t>=SUM(A:A) adds the whole column A
Select A4 under the numbers and press Alt+= then Enter (Windows) for AutoSum
Home tab &gt; Editing group &gt; AutoSum button (the sigma sign) does the same</t>
        </is>
      </c>
      <c r="AE8" s="18" t="inlineStr">
        <is>
          <t>AVERAGE, SUMIF, AutoSum, Alt+=</t>
        </is>
      </c>
      <c r="AF8" s="18" t="inlineStr">
        <is>
          <t>SUMIF, SUMIFS, AVERAGE, COUNT</t>
        </is>
      </c>
      <c r="AG8" s="18" t="inlineStr">
        <is>
          <t>Plus signs like =A1+A2+A3, the status bar total, SUMIF for conditions</t>
        </is>
      </c>
      <c r="AH8" s="18" t="inlineStr">
        <is>
          <t>SUM, SUMIF, SUMIFS, SUMPRODUCT, SUBTOTAL, AutoSum</t>
        </is>
      </c>
      <c r="AI8" s="18" t="inlineStr">
        <is>
          <t>Monthly expense totals | Marks totals | Sales reports</t>
        </is>
      </c>
      <c r="AJ8" s="18" t="inlineStr">
        <is>
          <t>A: How do I add the whole column quickly? | B: Click the empty cell below it and press Alt+=, then Enter.</t>
        </is>
      </c>
      <c r="AK8" s="18" t="inlineStr">
        <is>
          <t>✗ SUM will turn text like "five" into 5 → ✓ SUM ignores text in a range, so type real numbers</t>
        </is>
      </c>
      <c r="AL8" s="18" t="inlineStr">
        <is>
          <t>SUM vs SUBTOTAL: SUM adds everything in the range, while SUBTOTAL can skip rows hidden by a filter.</t>
        </is>
      </c>
      <c r="AM8" s="18" t="inlineStr">
        <is>
          <t>Do not add a long column with plus signs when one SUM range can do it.</t>
        </is>
      </c>
      <c r="AN8" s="19" t="inlineStr">
        <is>
          <t>A1: 10
A2: 20
A3: 30
A4: SUM(A1:A3)</t>
        </is>
      </c>
      <c r="AO8" s="19" t="inlineStr">
        <is>
          <t>A1: 10
A2: 20
A3: 30
A4: =SUM(A1:A3)</t>
        </is>
      </c>
      <c r="AP8" s="18" t="inlineStr">
        <is>
          <t>SUM = Stack Up Many numbers.</t>
        </is>
      </c>
      <c r="AQ8" s="18" t="inlineStr">
        <is>
          <t>An accounts assistant totals daily sales in a month column with one SUM formula.</t>
        </is>
      </c>
      <c r="AR8" s="18" t="inlineStr">
        <is>
          <t>Interview question: How do you add a column of numbers quickly, and what does SUM do with text?</t>
        </is>
      </c>
      <c r="AS8" s="18" t="inlineStr">
        <is>
          <t>It is like adding up all the bills on a monthly grocery list.</t>
        </is>
      </c>
      <c r="AT8" s="18" t="inlineStr">
        <is>
          <t>A1 = 2, A2 holds the text '3 (typed with an apostrophe) and A3 = 4. What does =SUM(A1:A3) show?</t>
        </is>
      </c>
      <c r="AU8" s="18" t="inlineStr">
        <is>
          <t>A) 9 B) 6 C) #VALUE! D) 2</t>
        </is>
      </c>
      <c r="AV8" s="18" t="inlineStr">
        <is>
          <t>B</t>
        </is>
      </c>
      <c r="AW8" s="18" t="inlineStr">
        <is>
          <t>SUM skips text inside a range, so only 2 and 4 are added; 9 would count the text as 3.</t>
        </is>
      </c>
      <c r="AX8" s="19" t="inlineStr">
        <is>
          <t>The Windows shortcut for AutoSum is Alt + ____ → =</t>
        </is>
      </c>
      <c r="AY8" s="18" t="inlineStr">
        <is>
          <t>Add the numbers in A1 to A2 and also B2 in one formula.</t>
        </is>
      </c>
      <c r="AZ8" s="19" t="inlineStr">
        <is>
          <t>C1: =SUM(A1:A2,B2)</t>
        </is>
      </c>
      <c r="BA8" s="18" t="inlineStr">
        <is>
          <t>Type five expenses in a column and use AutoSum to get the total.</t>
        </is>
      </c>
      <c r="BB8" s="19" t="inlineStr">
        <is>
          <t>A1: 12
A2: 8
B1: 5
B2: 15
C1: =SUM(A1:A2,B2)
What does C1 show?</t>
        </is>
      </c>
      <c r="BC8" s="19" t="inlineStr">
        <is>
          <t>35</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94.5" customHeight="1">
      <c r="A9" s="17" t="inlineStr">
        <is>
          <t>XL-007</t>
        </is>
      </c>
      <c r="B9" s="17" t="inlineStr">
        <is>
          <t>02 Basic Functions</t>
        </is>
      </c>
      <c r="C9" s="17" t="inlineStr">
        <is>
          <t>Beginner</t>
        </is>
      </c>
      <c r="D9" s="17" t="n">
        <v>7</v>
      </c>
      <c r="E9" s="17" t="inlineStr">
        <is>
          <t>Claude knowledge</t>
        </is>
      </c>
      <c r="F9" s="18" t="inlineStr">
        <is>
          <t>AVERAGE, MIN and MAX</t>
        </is>
      </c>
      <c r="G9" s="18" t="inlineStr">
        <is>
          <t>Which three functions give the typical, smallest and biggest number of a list?</t>
        </is>
      </c>
      <c r="H9" s="18" t="inlineStr">
        <is>
          <t>AVERAGE = एवरेज | MIN = मिन | MAX = मैक्स</t>
        </is>
      </c>
      <c r="I9" s="18" t="inlineStr">
        <is>
          <t>Function</t>
        </is>
      </c>
      <c r="J9" s="18" t="inlineStr">
        <is>
          <t>Very high</t>
        </is>
      </c>
      <c r="K9" s="18" t="n">
        <v>5</v>
      </c>
      <c r="L9" s="18" t="inlineStr">
        <is>
          <t>These names come from the maths words average, minimum and maximum, which are needed in almost every report.</t>
        </is>
      </c>
      <c r="M9" s="18" t="inlineStr">
        <is>
          <t>Click the AutoSum drop-down arrow on the Home tab to pick Average, Min or Max without typing.</t>
        </is>
      </c>
      <c r="N9" s="18" t="inlineStr">
        <is>
          <t>Spell AVERAGE fully, because =AVG( is not an Excel function and gives a #NAME? error.</t>
        </is>
      </c>
      <c r="O9" s="18" t="inlineStr">
        <is>
          <t>Three friends stand in a line by height: the shortest is MIN, the tallest is MAX and the typical height is AVERAGE.</t>
        </is>
      </c>
      <c r="P9" s="18" t="inlineStr">
        <is>
          <t>A row of bars with the smallest in blue, the tallest in orange and a dotted line across the middle.</t>
        </is>
      </c>
      <c r="Q9" s="18" t="inlineStr">
        <is>
          <t>A sense of control when you can summarise a long list in three quick numbers.</t>
        </is>
      </c>
      <c r="R9" s="18" t="inlineStr">
        <is>
          <t>AVERAGE gives the mean, MIN the lowest and MAX the highest value.</t>
        </is>
      </c>
      <c r="S9" s="18" t="inlineStr">
        <is>
          <t>एवरेज = औसत, MIN = सबसे छोटा, MAX = सबसे बड़ा</t>
        </is>
      </c>
      <c r="T9" s="19" t="inlineStr">
        <is>
          <t>A1: 70
A2: 80
A3: 90
A4: 60
B1: =AVERAGE(A1:A4)
B2: =MIN(A1:A4)
B3: =MAX(A1:A4)</t>
        </is>
      </c>
      <c r="U9" s="19" t="inlineStr">
        <is>
          <t>B1 shows 75, B2 shows 60, B3 shows 90</t>
        </is>
      </c>
      <c r="V9" s="18" t="inlineStr">
        <is>
          <t>AVERAGE adds the numbers and divides by how many numbers there are: (70+80+90+60)/4 = 75. MIN finds the lowest, which is 60, and MAX finds the highest, which is 90. All three ignore text and empty cells in a range.</t>
        </is>
      </c>
      <c r="W9" s="18" t="inlineStr">
        <is>
          <t>AVERAGE sab jodkar number ginti se bhaag deta hai. MIN sabse chhota aur MAX sabse bada number batata hai. Khali ya text cell ginti me nahi aate.</t>
        </is>
      </c>
      <c r="X9" s="18" t="inlineStr">
        <is>
          <t>Like checking a class: the shortest student, the tallest student and the typical height of all students.</t>
        </is>
      </c>
      <c r="Y9" s="19" t="inlineStr">
        <is>
          <t>=AVERAGE(range)  |  =MIN(range)  |  =MAX(range)</t>
        </is>
      </c>
      <c r="Z9" s="18" t="inlineStr">
        <is>
          <t>AVERAGE, MIN, MAX = function names | range = cells to look at | brackets = hold the range</t>
        </is>
      </c>
      <c r="AA9" s="19" t="inlineStr">
        <is>
          <t>A1: 70
A2: 80
A3: 90
A4: 60
B1: =AVERAGE(A1:A4) (shows 75, the mean)</t>
        </is>
      </c>
      <c r="AB9" s="19" t="inlineStr">
        <is>
          <t>A1: 70
A2: 80
A3: 90
B1: =MAX(A1:A3,100) (shows 100, a typed number joins the range)</t>
        </is>
      </c>
      <c r="AC9" s="19" t="inlineStr">
        <is>
          <t>A1: -5
A2: 3
A3: 0
B1: =MIN(A1:A3) (shows -5, negatives count too)</t>
        </is>
      </c>
      <c r="AD9" s="19" t="inlineStr">
        <is>
          <t>=AVERAGE(A1:A4) skips blank cells but counts zero
=LARGE(A1:A4,2) gives the second biggest number
Status bar at the bottom shows Average, Count and Sum for selected cells</t>
        </is>
      </c>
      <c r="AE9" s="18" t="inlineStr">
        <is>
          <t>SUM, COUNT, IF, LARGE, SMALL</t>
        </is>
      </c>
      <c r="AF9" s="18" t="inlineStr">
        <is>
          <t>MEDIAN, LARGE, SMALL, COUNT</t>
        </is>
      </c>
      <c r="AG9" s="18" t="inlineStr">
        <is>
          <t>MEDIAN, LARGE and SMALL, PivotTable summaries</t>
        </is>
      </c>
      <c r="AH9" s="18" t="inlineStr">
        <is>
          <t>AVERAGE, AVERAGEIF, MIN, MAX, MEDIAN, LARGE</t>
        </is>
      </c>
      <c r="AI9" s="18" t="inlineStr">
        <is>
          <t>Class marks analysis | Price comparison | Sales performance reports</t>
        </is>
      </c>
      <c r="AJ9" s="18" t="inlineStr">
        <is>
          <t>A: My class average looks too low, why? | B: Check whether absent students were typed as 0, because zero is counted but blank is not.</t>
        </is>
      </c>
      <c r="AK9" s="18" t="inlineStr">
        <is>
          <t>✗ AVERAGE ignores zero values like blanks → ✓ AVERAGE counts a typed 0 as a number, but skips empty cells</t>
        </is>
      </c>
      <c r="AL9" s="18" t="inlineStr">
        <is>
          <t>AVERAGE vs MEDIAN: AVERAGE is the sum divided by the count, MEDIAN is the middle value when sorted.</t>
        </is>
      </c>
      <c r="AM9" s="18" t="inlineStr">
        <is>
          <t>Do not type 0 for missing marks if the average must skip them; leave the cell blank.</t>
        </is>
      </c>
      <c r="AN9" s="19" t="inlineStr">
        <is>
          <t>A1: 70
A2: 80
A3: 90
B1: =AVG(A1:A3)</t>
        </is>
      </c>
      <c r="AO9" s="19" t="inlineStr">
        <is>
          <t>A1: 70
A2: 80
A3: 90
B1: =AVERAGE(A1:A3)</t>
        </is>
      </c>
      <c r="AP9" s="18" t="inlineStr">
        <is>
          <t>MIN is little, MAX is big, AVERAGE is the middle ground.</t>
        </is>
      </c>
      <c r="AQ9" s="18" t="inlineStr">
        <is>
          <t>A teacher finds the highest, lowest and average score of a class test in three cells.</t>
        </is>
      </c>
      <c r="AR9" s="18" t="inlineStr">
        <is>
          <t>Interview question: What is the difference between AVERAGE and MEDIAN, and how does a zero affect AVERAGE?</t>
        </is>
      </c>
      <c r="AS9" s="18" t="inlineStr">
        <is>
          <t>It is like checking the cheapest, costliest and usual price of tomatoes in the market.</t>
        </is>
      </c>
      <c r="AT9" s="18" t="inlineStr">
        <is>
          <t>Cells A1, A2, A3 hold 50, 0 (typed zero) and 100. What does =AVERAGE(A1:A3) show?</t>
        </is>
      </c>
      <c r="AU9" s="18" t="inlineStr">
        <is>
          <t>A) 75 B) 50 C) 150 D) 0</t>
        </is>
      </c>
      <c r="AV9" s="18" t="inlineStr">
        <is>
          <t>B</t>
        </is>
      </c>
      <c r="AW9" s="18" t="inlineStr">
        <is>
          <t>The zero counts as a value, so the total 150 is divided by 3 giving 50; 75 would ignore the zero.</t>
        </is>
      </c>
      <c r="AX9" s="19" t="inlineStr">
        <is>
          <t>The function that returns the biggest number in a range is ____ → MAX</t>
        </is>
      </c>
      <c r="AY9" s="18" t="inlineStr">
        <is>
          <t>Find the lowest mark in cells A1 to A5 using a formula.</t>
        </is>
      </c>
      <c r="AZ9" s="19" t="inlineStr">
        <is>
          <t>B1: =MIN(A1:A5)</t>
        </is>
      </c>
      <c r="BA9" s="18" t="inlineStr">
        <is>
          <t>Type six marks and write all three formulas, then check them with your eyes.</t>
        </is>
      </c>
      <c r="BB9" s="19" t="inlineStr">
        <is>
          <t>A1: 4
A2: 8
A3: (empty)
A4: 12
B1: =AVERAGE(A1:A4)
What does B1 show?</t>
        </is>
      </c>
      <c r="BC9" s="19" t="inlineStr">
        <is>
          <t>8</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94.5" customHeight="1">
      <c r="A10" s="17" t="inlineStr">
        <is>
          <t>XL-008</t>
        </is>
      </c>
      <c r="B10" s="17" t="inlineStr">
        <is>
          <t>02 Basic Functions</t>
        </is>
      </c>
      <c r="C10" s="17" t="inlineStr">
        <is>
          <t>Beginner</t>
        </is>
      </c>
      <c r="D10" s="17" t="n">
        <v>8</v>
      </c>
      <c r="E10" s="17" t="inlineStr">
        <is>
          <t>Claude knowledge</t>
        </is>
      </c>
      <c r="F10" s="18" t="inlineStr">
        <is>
          <t>COUNT, COUNTA and COUNTBLANK</t>
        </is>
      </c>
      <c r="G10" s="18" t="inlineStr">
        <is>
          <t>Which functions count only numbers, count every filled cell, or count the empty ones?</t>
        </is>
      </c>
      <c r="H10" s="18" t="inlineStr">
        <is>
          <t>COUNT = काउंट | COUNTA = काउंट-ए | COUNTBLANK = काउंट-ब्लैंक</t>
        </is>
      </c>
      <c r="I10" s="18" t="inlineStr">
        <is>
          <t>Function</t>
        </is>
      </c>
      <c r="J10" s="18" t="inlineStr">
        <is>
          <t>High</t>
        </is>
      </c>
      <c r="K10" s="18" t="n">
        <v>4</v>
      </c>
      <c r="L10" s="18" t="inlineStr">
        <is>
          <t>Lists often need to be counted, not added, so Excel gives separate counters for numbers, any entry and empty cells.</t>
        </is>
      </c>
      <c r="M10" s="18" t="inlineStr">
        <is>
          <t>Select a range and look at the status bar: Count there shows how many filled cells you picked.</t>
        </is>
      </c>
      <c r="N10" s="18" t="inlineStr">
        <is>
          <t>COUNTBLANK is one word with no space; COUNTA ends with a capital A that means All entries.</t>
        </is>
      </c>
      <c r="O10" s="18" t="inlineStr">
        <is>
          <t>A bus conductor counts tickets (COUNT numbers), every passenger (COUNTA) and the empty seats (COUNTBLANK).</t>
        </is>
      </c>
      <c r="P10" s="18" t="inlineStr">
        <is>
          <t>A bus with some seats filled by people with number tickets and some seats left empty and dotted.</t>
        </is>
      </c>
      <c r="Q10" s="18" t="inlineStr">
        <is>
          <t>A quiet satisfaction when attendance or form counts match.</t>
        </is>
      </c>
      <c r="R10" s="18" t="inlineStr">
        <is>
          <t>COUNT counts numbers, COUNTA counts any filled cell and COUNTBLANK counts empty cells.</t>
        </is>
      </c>
      <c r="S10" s="18" t="inlineStr">
        <is>
          <t>COUNT = सिर्फ़ संख्याएँ गिनो, COUNTA = भरे हुए सारे खाने, COUNTBLANK = खाली खाने</t>
        </is>
      </c>
      <c r="T10" s="19" t="inlineStr">
        <is>
          <t>A1: 10
A2: Asha
A3: (empty)
A4: 25
B1: =COUNT(A1:A4)
B2: =COUNTA(A1:A4)
B3: =COUNTBLANK(A1:A4)</t>
        </is>
      </c>
      <c r="U10" s="19" t="inlineStr">
        <is>
          <t>B1 shows 2, B2 shows 3, B3 shows 1</t>
        </is>
      </c>
      <c r="V10" s="18" t="inlineStr">
        <is>
          <t>COUNT counts only numbers (10 and 25), so it gives 2. COUNTA counts every cell that holds something, here 10, Asha and 25, so it gives 3. COUNTBLANK counts the single empty cell A3, and it also counts cells that hold a formula returning empty text.</t>
        </is>
      </c>
      <c r="W10" s="18" t="inlineStr">
        <is>
          <t>COUNT sirf number ginta hai. COUNTA jo bhi likha ho wo sab ginta hai. COUNTBLANK khali khane ginta hai.</t>
        </is>
      </c>
      <c r="X10" s="18" t="inlineStr">
        <is>
          <t>Like counting only the ticket numbers, then every person on the bus, then the empty seats.</t>
        </is>
      </c>
      <c r="Y10" s="19" t="inlineStr">
        <is>
          <t>=COUNT(range)  |  =COUNTA(range)  |  =COUNTBLANK(range)</t>
        </is>
      </c>
      <c r="Z10" s="18" t="inlineStr">
        <is>
          <t>COUNT = numbers only | COUNTA = anything filled | COUNTBLANK = empty cells | range = where to look</t>
        </is>
      </c>
      <c r="AA10" s="19" t="inlineStr">
        <is>
          <t>A1: 10
A2: Asha
A3: 25
B1: =COUNT(A1:A3) (shows 2, numbers only)</t>
        </is>
      </c>
      <c r="AB10" s="19" t="inlineStr">
        <is>
          <t>A1: Ravi
A2: Sita
A3: Amit
B1: =COUNTA(A1:A3) (shows 3, names are counted)</t>
        </is>
      </c>
      <c r="AC10" s="19" t="inlineStr">
        <is>
          <t>B1: P
B2: (empty)
B3: P
B4: (empty)
C1: =COUNTBLANK(B1:B4) (shows 2, empty attendance rows)</t>
        </is>
      </c>
      <c r="AD10" s="19" t="inlineStr">
        <is>
          <t>=COUNTA(A:A)-1 counts the entries in a column after removing a header row
=COUNTIF(A1:A10,"P") counts only cells equal to P
=ROWS(A1:A10)-COUNTA(A1:A10) also gives the empty cells count</t>
        </is>
      </c>
      <c r="AE10" s="18" t="inlineStr">
        <is>
          <t>COUNTIF, SUM, IF, ISBLANK</t>
        </is>
      </c>
      <c r="AF10" s="18" t="inlineStr">
        <is>
          <t>COUNTIF, COUNTIFS, ISBLANK, ROWS</t>
        </is>
      </c>
      <c r="AG10" s="18" t="inlineStr">
        <is>
          <t>COUNTIF, status bar Count, PivotTable count</t>
        </is>
      </c>
      <c r="AH10" s="18" t="inlineStr">
        <is>
          <t>COUNT, COUNTA, COUNTBLANK, COUNTIF, COUNTIFS, ROWS</t>
        </is>
      </c>
      <c r="AI10" s="18" t="inlineStr">
        <is>
          <t>Attendance sheets | Survey responses | Checking missing data in a form</t>
        </is>
      </c>
      <c r="AJ10" s="18" t="inlineStr">
        <is>
          <t>A: I need to know how many students submitted their name. | B: Use COUNTA on the name column; COUNT would give zero since names are text.</t>
        </is>
      </c>
      <c r="AK10" s="18" t="inlineStr">
        <is>
          <t>✗ COUNT counts every filled cell → ✓ COUNT counts only numbers; use COUNTA to count text and numbers together</t>
        </is>
      </c>
      <c r="AL10" s="18" t="inlineStr">
        <is>
          <t>COUNT vs COUNTA: COUNT counts numbers only, COUNTA counts any non-empty cell including text.</t>
        </is>
      </c>
      <c r="AM10" s="18" t="inlineStr">
        <is>
          <t>Do not use COUNT on a column of names, because it will return 0.</t>
        </is>
      </c>
      <c r="AN10" s="19" t="inlineStr">
        <is>
          <t>A1: Ravi
A2: Sita
A3: Amit
B1: =COUNT(A1:A3) (expecting 3)</t>
        </is>
      </c>
      <c r="AO10" s="19" t="inlineStr">
        <is>
          <t>A1: Ravi
A2: Sita
A3: Amit
B1: =COUNTA(A1:A3)</t>
        </is>
      </c>
      <c r="AP10" s="18" t="inlineStr">
        <is>
          <t>A in COUNTA = All entries; COUNT alone = numbers only.</t>
        </is>
      </c>
      <c r="AQ10" s="18" t="inlineStr">
        <is>
          <t>A coordinator counts how many feedback forms are still blank using COUNTBLANK.</t>
        </is>
      </c>
      <c r="AR10" s="18" t="inlineStr">
        <is>
          <t>Interview question: What is the difference between COUNT and COUNTA, and how do you count empty cells?</t>
        </is>
      </c>
      <c r="AS10" s="18" t="inlineStr">
        <is>
          <t>It is like counting how many seats on a train are taken and how many are still free.</t>
        </is>
      </c>
      <c r="AT10" s="18" t="inlineStr">
        <is>
          <t>A1 = 5, A2 = Amit, A3 is empty and A4 = 9. What does =COUNT(A1:A4) return?</t>
        </is>
      </c>
      <c r="AU10" s="18" t="inlineStr">
        <is>
          <t>A) 4 B) 3 C) 2 D) 1</t>
        </is>
      </c>
      <c r="AV10" s="18" t="inlineStr">
        <is>
          <t>C</t>
        </is>
      </c>
      <c r="AW10" s="18" t="inlineStr">
        <is>
          <t>COUNT counts only numbers, so 5 and 9 give 2; 3 would be COUNTA, which also counts the name.</t>
        </is>
      </c>
      <c r="AX10" s="19" t="inlineStr">
        <is>
          <t>The function that counts empty cells in a range is ____ → COUNTBLANK</t>
        </is>
      </c>
      <c r="AY10" s="18" t="inlineStr">
        <is>
          <t>Count how many cells from A1 to A10 contain anything at all.</t>
        </is>
      </c>
      <c r="AZ10" s="19" t="inlineStr">
        <is>
          <t>B1: =COUNTA(A1:A10)</t>
        </is>
      </c>
      <c r="BA10" s="18" t="inlineStr">
        <is>
          <t>Make a short list with a name, a number and a blank cell, and write all three counting formulas.</t>
        </is>
      </c>
      <c r="BB10" s="19" t="inlineStr">
        <is>
          <t>A1: 7
A2: hello
A3: (empty)
A4: 3
A5: (empty)
B1: =COUNTA(A1:A5)-COUNT(A1:A5)
What does B1 show?</t>
        </is>
      </c>
      <c r="BC10" s="19" t="inlineStr">
        <is>
          <t>1</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81" customHeight="1">
      <c r="A11" s="17" t="inlineStr">
        <is>
          <t>XL-009</t>
        </is>
      </c>
      <c r="B11" s="17" t="inlineStr">
        <is>
          <t>02 Basic Functions</t>
        </is>
      </c>
      <c r="C11" s="17" t="inlineStr">
        <is>
          <t>Beginner</t>
        </is>
      </c>
      <c r="D11" s="17" t="n">
        <v>9</v>
      </c>
      <c r="E11" s="17" t="inlineStr">
        <is>
          <t>Claude knowledge</t>
        </is>
      </c>
      <c r="F11" s="18" t="inlineStr">
        <is>
          <t>ROUND, ROUNDUP and ROUNDDOWN</t>
        </is>
      </c>
      <c r="G11" s="18" t="inlineStr">
        <is>
          <t>Which three functions change a number to fewer digits, rounding normally, always up or always down?</t>
        </is>
      </c>
      <c r="H11" s="18" t="inlineStr">
        <is>
          <t>ROUND = राउंड | ROUNDUP = राउंड-अप | ROUNDDOWN = राउंड-डाउन</t>
        </is>
      </c>
      <c r="I11" s="18" t="inlineStr">
        <is>
          <t>Function</t>
        </is>
      </c>
      <c r="J11" s="18" t="inlineStr">
        <is>
          <t>High</t>
        </is>
      </c>
      <c r="K11" s="18" t="n">
        <v>4</v>
      </c>
      <c r="L11" s="18" t="inlineStr">
        <is>
          <t>Calculations such as tax or interest give long decimals, so Excel offers functions that cut them to the digits you need.</t>
        </is>
      </c>
      <c r="M11" s="18" t="inlineStr">
        <is>
          <t>A negative digits value, like -2, rounds to the left of the decimal point, to hundreds.</t>
        </is>
      </c>
      <c r="N11" s="18" t="inlineStr">
        <is>
          <t>The second argument counts digits after the decimal point; ROUND(7.456,2) needs the comma and the 2.</t>
        </is>
      </c>
      <c r="O11" s="18" t="inlineStr">
        <is>
          <t>A lift stops at a floor: ROUND goes to the nearest floor, ROUNDUP always goes up and ROUNDDOWN always goes down.</t>
        </is>
      </c>
      <c r="P11" s="18" t="inlineStr">
        <is>
          <t>A glass lift in a tall building with three buttons, an up arrow, a down arrow and a middle button.</t>
        </is>
      </c>
      <c r="Q11" s="18" t="inlineStr">
        <is>
          <t>Tidy satisfaction when long decimals become clean amounts.</t>
        </is>
      </c>
      <c r="R11" s="18" t="inlineStr">
        <is>
          <t>These functions change the stored value to a chosen number of digits.</t>
        </is>
      </c>
      <c r="S11" s="18" t="inlineStr">
        <is>
          <t>ROUND = पास की पूर्ण संख्या पर, ROUNDUP = हमेशा ऊपर, ROUNDDOWN = हमेशा नीचे</t>
        </is>
      </c>
      <c r="T11" s="19" t="inlineStr">
        <is>
          <t>A1: 7.456
B1: =ROUND(A1,2)
B2: =ROUNDUP(A1,2)
B3: =ROUNDDOWN(A1,2)</t>
        </is>
      </c>
      <c r="U11" s="19" t="inlineStr">
        <is>
          <t>B1 shows 7.46, B2 shows 7.46, B3 shows 7.45</t>
        </is>
      </c>
      <c r="V11" s="18" t="inlineStr">
        <is>
          <t>ROUND looks at the next digit, 6, and rounds up to 7.46. ROUNDUP always moves away from zero, so it also gives 7.46. ROUNDDOWN always cuts toward zero, so it gives 7.45. The second number is how many decimal places to keep.</t>
        </is>
      </c>
      <c r="W11" s="18" t="inlineStr">
        <is>
          <t>ROUND paas wali value par le jata hai. ROUNDUP hamesha upar le jata hai aur ROUNDDOWN hamesha neeche. Doosra number batata hai kitne decimal rakhne hain.</t>
        </is>
      </c>
      <c r="X11" s="18" t="inlineStr">
        <is>
          <t>Like deciding the bus fare: round to the nearest rupee, always charge up, or always drop the paise.</t>
        </is>
      </c>
      <c r="Y11" s="19" t="inlineStr">
        <is>
          <t>=ROUND(number, num_digits)</t>
        </is>
      </c>
      <c r="Z11" s="18" t="inlineStr">
        <is>
          <t>number = value or cell | num_digits = decimals to keep | negative digits = round tens, hundreds</t>
        </is>
      </c>
      <c r="AA11" s="19" t="inlineStr">
        <is>
          <t>A1: 2.5
B1: =ROUND(A1,0) (shows 3, a half rounds away from zero)</t>
        </is>
      </c>
      <c r="AB11" s="19" t="inlineStr">
        <is>
          <t>A1: 1234
B1: =ROUND(A1,-2) (shows 1200, a negative digits value rounds to hundreds)</t>
        </is>
      </c>
      <c r="AC11" s="19" t="inlineStr">
        <is>
          <t>A1: 9.99
B1: =ROUNDDOWN(A1,0) (shows 9, the decimals are cut off)</t>
        </is>
      </c>
      <c r="AD11" s="19" t="inlineStr">
        <is>
          <t>=ROUNDUP(4.01,0) gives 5
=ROUNDDOWN(-3.7,0) gives -3 because it moves toward zero
=INT(7.9) gives 7 and always goes to the lower whole number</t>
        </is>
      </c>
      <c r="AE11" s="18" t="inlineStr">
        <is>
          <t>SUM, IF, percentage formulas, currency</t>
        </is>
      </c>
      <c r="AF11" s="18" t="inlineStr">
        <is>
          <t>INT, TRUNC, CEILING, FLOOR</t>
        </is>
      </c>
      <c r="AG11" s="18" t="inlineStr">
        <is>
          <t>INT, TRUNC, Number format with fewer decimals, MROUND</t>
        </is>
      </c>
      <c r="AH11" s="18" t="inlineStr">
        <is>
          <t>ROUND, ROUNDUP, ROUNDDOWN, INT, TRUNC, MROUND</t>
        </is>
      </c>
      <c r="AI11" s="18" t="inlineStr">
        <is>
          <t>Bills and invoices | Tax and interest calculations | Marks converted to whole numbers</t>
        </is>
      </c>
      <c r="AJ11" s="18" t="inlineStr">
        <is>
          <t>A: I formatted the cell to two decimals, but my total is off by a paisa. | B: Formatting only changes the display; use ROUND to change the actual value.</t>
        </is>
      </c>
      <c r="AK11" s="18" t="inlineStr">
        <is>
          <t>✗ Formatting a cell to 2 decimals also rounds the stored number → ✓ Format only changes how it looks; ROUND changes the stored value</t>
        </is>
      </c>
      <c r="AL11" s="18" t="inlineStr">
        <is>
          <t>ROUNDDOWN vs INT: for negative numbers ROUNDDOWN moves toward zero, while INT moves to the lower whole number.</t>
        </is>
      </c>
      <c r="AM11" s="18" t="inlineStr">
        <is>
          <t>Do not rely on cell formatting when the rounded value must be used in later formulas.</t>
        </is>
      </c>
      <c r="AN11" s="19" t="inlineStr">
        <is>
          <t>A1: 7.456
B1: =ROUND(A1) (expecting 7.46)</t>
        </is>
      </c>
      <c r="AO11" s="19" t="inlineStr">
        <is>
          <t>A1: 7.456
B1: =ROUND(A1,2)</t>
        </is>
      </c>
      <c r="AP11" s="18" t="inlineStr">
        <is>
          <t>ROUND is Regular, UP is Upwards always, DOWN is Down always.</t>
        </is>
      </c>
      <c r="AQ11" s="18" t="inlineStr">
        <is>
          <t>A billing clerk rounds each line item to two decimals so that the invoice total matches the bank amount.</t>
        </is>
      </c>
      <c r="AR11" s="18" t="inlineStr">
        <is>
          <t>Interview question: What is the difference between formatting to two decimals and using ROUND?</t>
        </is>
      </c>
      <c r="AS11" s="18" t="inlineStr">
        <is>
          <t>It is like a shopkeeper rounding the bill to the nearest rupee when no small change is available.</t>
        </is>
      </c>
      <c r="AT11" s="18" t="inlineStr">
        <is>
          <t>What does the formula =ROUNDDOWN(-3.7,0) return?</t>
        </is>
      </c>
      <c r="AU11" s="18" t="inlineStr">
        <is>
          <t>A) -4 B) -3 C) -3.7 D) 0</t>
        </is>
      </c>
      <c r="AV11" s="18" t="inlineStr">
        <is>
          <t>B</t>
        </is>
      </c>
      <c r="AW11" s="18" t="inlineStr">
        <is>
          <t>ROUNDDOWN moves toward zero, so -3.7 becomes -3; -4 would be ROUNDUP, which moves away from zero.</t>
        </is>
      </c>
      <c r="AX11" s="19" t="inlineStr">
        <is>
          <t>=ROUND(1234,-2) gives ____ → 1200</t>
        </is>
      </c>
      <c r="AY11" s="18" t="inlineStr">
        <is>
          <t>Round the number in A1 to one decimal place and always upwards.</t>
        </is>
      </c>
      <c r="AZ11" s="19" t="inlineStr">
        <is>
          <t>B1: =ROUNDUP(A1,1)</t>
        </is>
      </c>
      <c r="BA11" s="18" t="inlineStr">
        <is>
          <t>Take the number 5.678 and write ROUND, ROUNDUP and ROUNDDOWN to two decimals.</t>
        </is>
      </c>
      <c r="BB11" s="19" t="inlineStr">
        <is>
          <t>A1: 15.249
B1: =ROUNDUP(A1,1)
What does B1 show?</t>
        </is>
      </c>
      <c r="BC11" s="19" t="inlineStr">
        <is>
          <t>15.3</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81" customHeight="1">
      <c r="A12" s="17" t="inlineStr">
        <is>
          <t>XL-010</t>
        </is>
      </c>
      <c r="B12" s="17" t="inlineStr">
        <is>
          <t>03 Formatting &amp; Organising</t>
        </is>
      </c>
      <c r="C12" s="17" t="inlineStr">
        <is>
          <t>Beginner</t>
        </is>
      </c>
      <c r="D12" s="17" t="n">
        <v>10</v>
      </c>
      <c r="E12" s="17" t="inlineStr">
        <is>
          <t>Claude knowledge</t>
        </is>
      </c>
      <c r="F12" s="18" t="inlineStr">
        <is>
          <t>Number formats (currency, date, percent)</t>
        </is>
      </c>
      <c r="G12" s="18" t="inlineStr">
        <is>
          <t>How can the same stored value appear as money, as a percentage or as a calendar date?</t>
        </is>
      </c>
      <c r="H12" s="18" t="inlineStr">
        <is>
          <t>format = फ़ॉर्मेट | currency = करेंसी | percent = परसेंट</t>
        </is>
      </c>
      <c r="I12" s="18" t="inlineStr">
        <is>
          <t>Excel feature</t>
        </is>
      </c>
      <c r="J12" s="18" t="inlineStr">
        <is>
          <t>Very high</t>
        </is>
      </c>
      <c r="K12" s="18" t="n">
        <v>5</v>
      </c>
      <c r="L12" s="18" t="inlineStr">
        <is>
          <t>Excel stores one plain value, and number formats were added so the same value can be shown in a readable style.</t>
        </is>
      </c>
      <c r="M12" s="18" t="inlineStr">
        <is>
          <t>Press Ctrl+1 to open Format Cells with all the number formats and decimal options in one place.</t>
        </is>
      </c>
      <c r="N12" s="18" t="inlineStr">
        <is>
          <t>On Windows, Ctrl+Shift+4 is currency, Ctrl+Shift+5 is percent and Ctrl+Shift+3 is date; the symbol depends on your region.</t>
        </is>
      </c>
      <c r="O12" s="18" t="inlineStr">
        <is>
          <t>A cell wears a costume: the same value 0.25 can go to the party as 25%, and 1234.5 puts on a rupee or dollar sign.</t>
        </is>
      </c>
      <c r="P12" s="18" t="inlineStr">
        <is>
          <t>One plain number in the middle with three outfits beside it labelled money, percent and date.</t>
        </is>
      </c>
      <c r="Q12" s="18" t="inlineStr">
        <is>
          <t>Pride when a plain sheet suddenly looks like a professional report.</t>
        </is>
      </c>
      <c r="R12" s="18" t="inlineStr">
        <is>
          <t>A number format changes how a value looks without changing the value itself.</t>
        </is>
      </c>
      <c r="S12" s="18" t="inlineStr">
        <is>
          <t>नंबर फ़ॉर्मेट = वही संख्या अलग रूप में दिखाना (पैसा, प्रतिशत, तारीख)</t>
        </is>
      </c>
      <c r="T12" s="19" t="inlineStr">
        <is>
          <t>A1: 0.25
Select A1, press Ctrl+Shift+5 (Home tab &gt; Number group &gt; %)</t>
        </is>
      </c>
      <c r="U12" s="19" t="inlineStr">
        <is>
          <t>A1 shows 25%</t>
        </is>
      </c>
      <c r="V12" s="18" t="inlineStr">
        <is>
          <t>The number format changes only the display. The stored value of A1 is still 0.25, and Percentage format multiplies it by 100 for display and adds the % sign. Dates are stored as serial numbers, so Date format turns 45292 into a calendar date.</t>
        </is>
      </c>
      <c r="W12" s="18" t="inlineStr">
        <is>
          <t>Number format sirf dikhane ka tareeka badalta hai, asli value wahi rehti hai. 0.25 ko percent format dene par 25% dikhta hai. Date bhi asal me ek number hai jise date jaisa dikhaya jata hai.</t>
        </is>
      </c>
      <c r="X12" s="18" t="inlineStr">
        <is>
          <t>Like a person who stays the same but wears different clothes for office, a wedding or a gym.</t>
        </is>
      </c>
      <c r="Y12" s="19" t="inlineStr">
        <is>
          <t>Ctrl+1 &gt; Number tab &gt; choose Category (Currency, Percentage, Date)</t>
        </is>
      </c>
      <c r="Z12" s="18" t="inlineStr">
        <is>
          <t>Category = type of format | Decimal places = digits shown | Symbol = currency sign</t>
        </is>
      </c>
      <c r="AA12" s="19" t="inlineStr">
        <is>
          <t>A1: 1234.5
Select A1, press Ctrl+Shift+4 (shows $1,234.50 with US English settings, a currency format)</t>
        </is>
      </c>
      <c r="AB12" s="19" t="inlineStr">
        <is>
          <t>A1: 0.25
Select A1, press Ctrl+Shift+5 (shows 25%, a percent format)</t>
        </is>
      </c>
      <c r="AC12" s="19" t="inlineStr">
        <is>
          <t>A1: 45292
Select A1, press Ctrl+Shift+3 (shows 1-Jan-24 with US English settings, a date format)</t>
        </is>
      </c>
      <c r="AD12" s="19" t="inlineStr">
        <is>
          <t>Ctrl+1 &gt; Currency lets you choose the symbol such as the rupee
Home tab &gt; Increase Decimal or Decrease Decimal changes the digits shown
Typing 25% directly in an empty cell stores 0.25 with Percentage format</t>
        </is>
      </c>
      <c r="AE12" s="18" t="inlineStr">
        <is>
          <t>ROUND, TEXT, Format Cells, Home tab</t>
        </is>
      </c>
      <c r="AF12" s="18" t="inlineStr">
        <is>
          <t>Format Cells, ROUND, TEXT function, Date serial number</t>
        </is>
      </c>
      <c r="AG12" s="18" t="inlineStr">
        <is>
          <t>TEXT function, Accounting format, Custom number formats</t>
        </is>
      </c>
      <c r="AH12" s="18" t="inlineStr">
        <is>
          <t>General, Number, Currency, Accounting, Percentage, Date</t>
        </is>
      </c>
      <c r="AI12" s="18" t="inlineStr">
        <is>
          <t>Invoices and price lists | Growth and discount percentages | Date columns in schedules</t>
        </is>
      </c>
      <c r="AJ12" s="18" t="inlineStr">
        <is>
          <t>A: I typed 0.5 but I want to show 50%. Should I type 50 instead? | B: No, keep 0.5 and apply the Percentage format.</t>
        </is>
      </c>
      <c r="AK12" s="18" t="inlineStr">
        <is>
          <t>✗ Applying the Percentage format to 5 changes it into 5% → ✓ It shows 500%, because the format multiplies the stored value by 100</t>
        </is>
      </c>
      <c r="AL12" s="18" t="inlineStr">
        <is>
          <t>Number format vs ROUND: a format changes only how the value looks, ROUND changes the stored value.</t>
        </is>
      </c>
      <c r="AM12" s="18" t="inlineStr">
        <is>
          <t>Do not type the currency symbol by hand when a Currency format can add it for you.</t>
        </is>
      </c>
      <c r="AN12" s="19" t="inlineStr">
        <is>
          <t>A1: 5
Select A1 and apply Percentage format (expecting 5%)</t>
        </is>
      </c>
      <c r="AO12" s="19" t="inlineStr">
        <is>
          <t>A1: 0.05
Select A1 and press Ctrl+Shift+5 (shows 5%)</t>
        </is>
      </c>
      <c r="AP12" s="18" t="inlineStr">
        <is>
          <t>Shift+4 is the dollar key, Shift+5 is the percent key.</t>
        </is>
      </c>
      <c r="AQ12" s="18" t="inlineStr">
        <is>
          <t>A finance assistant formats a price column as currency and a growth column as percent before sending a report.</t>
        </is>
      </c>
      <c r="AR12" s="18" t="inlineStr">
        <is>
          <t>Interview question: If you format 0.25 as a percentage, what is stored in the cell?</t>
        </is>
      </c>
      <c r="AS12" s="18" t="inlineStr">
        <is>
          <t>It is like the same weight shown in kilograms on one scale and in grams on another.</t>
        </is>
      </c>
      <c r="AT12" s="18" t="inlineStr">
        <is>
          <t>You type 25% directly into an empty cell. What value does Excel store in that cell?</t>
        </is>
      </c>
      <c r="AU12" s="18" t="inlineStr">
        <is>
          <t>A) 25 B) 0.25 C) 2.5 D) 0.025</t>
        </is>
      </c>
      <c r="AV12" s="18" t="inlineStr">
        <is>
          <t>B</t>
        </is>
      </c>
      <c r="AW12" s="18" t="inlineStr">
        <is>
          <t>Excel stores a percent as a fraction of 1, so 25% is 0.25; the % sign is only how it is displayed.</t>
        </is>
      </c>
      <c r="AX12" s="19" t="inlineStr">
        <is>
          <t>The Windows shortcut to apply Percentage format is Ctrl+Shift+____ → 5</t>
        </is>
      </c>
      <c r="AY12" s="18" t="inlineStr">
        <is>
          <t>Make the number 1234.5 in cell A1 appear as currency with two decimals.</t>
        </is>
      </c>
      <c r="AZ12" s="19" t="inlineStr">
        <is>
          <t>Select A1 and press Ctrl+Shift+4</t>
        </is>
      </c>
      <c r="BA12" s="18" t="inlineStr">
        <is>
          <t>Type 0.18 and show it as a percent, then type a big number and show it as currency.</t>
        </is>
      </c>
      <c r="BB12" s="19" t="inlineStr">
        <is>
          <t>A1: 0.07
Select A1 and press Ctrl+Shift+5.
What does A1 show?</t>
        </is>
      </c>
      <c r="BC12" s="19" t="inlineStr">
        <is>
          <t>7%</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48.5" customHeight="1">
      <c r="A13" s="17" t="inlineStr">
        <is>
          <t>XL-011</t>
        </is>
      </c>
      <c r="B13" s="17" t="inlineStr">
        <is>
          <t>03 Formatting &amp; Organising</t>
        </is>
      </c>
      <c r="C13" s="17" t="inlineStr">
        <is>
          <t>Beginner</t>
        </is>
      </c>
      <c r="D13" s="17" t="n">
        <v>11</v>
      </c>
      <c r="E13" s="17" t="inlineStr">
        <is>
          <t>Claude knowledge</t>
        </is>
      </c>
      <c r="F13" s="18" t="inlineStr">
        <is>
          <t>Sort</t>
        </is>
      </c>
      <c r="G13" s="18" t="inlineStr">
        <is>
          <t>Which Excel feature puts rows in order, such as A to Z or smallest to largest, without retyping anything?</t>
        </is>
      </c>
      <c r="H13" s="18" t="inlineStr">
        <is>
          <t>Sort = सॉर्ट (sort)</t>
        </is>
      </c>
      <c r="I13" s="18" t="inlineStr">
        <is>
          <t>Data tab feature</t>
        </is>
      </c>
      <c r="J13" s="18" t="inlineStr">
        <is>
          <t>Very high</t>
        </is>
      </c>
      <c r="K13" s="18" t="n">
        <v>5</v>
      </c>
      <c r="L13" s="18" t="inlineStr">
        <is>
          <t>The word sort means to arrange things in order; Excel has had a Sort button on the Data tab for many versions to reorder rows by one or more columns.</t>
        </is>
      </c>
      <c r="M13" s="18" t="inlineStr">
        <is>
          <t>Click one cell inside your table before sorting so Excel picks the whole table, and rows stay together.</t>
        </is>
      </c>
      <c r="N13" s="18" t="inlineStr">
        <is>
          <t>No typing needed. Click one cell in the column, then Data tab &gt; Sort A to Z or Sort Z to A.</t>
        </is>
      </c>
      <c r="O13" s="18" t="inlineStr">
        <is>
          <t>A teacher lines up students by height for a photo: the tallest goes first and every student keeps their own bag with them.</t>
        </is>
      </c>
      <c r="P13" s="18" t="inlineStr">
        <is>
          <t>A long line of school children standing from shortest to tallest, each holding their own bag.</t>
        </is>
      </c>
      <c r="Q13" s="18" t="inlineStr">
        <is>
          <t>The calm feeling of a messy list turning neat in one click.</t>
        </is>
      </c>
      <c r="R13" s="18" t="inlineStr">
        <is>
          <t>Sort rearranges the rows of a table in order based on the values in one or more columns.</t>
        </is>
      </c>
      <c r="S13" s="18" t="inlineStr">
        <is>
          <t>डेटा को क्रम में लगाना (A से Z या छोटे से बड़े)</t>
        </is>
      </c>
      <c r="T13" s="19" t="inlineStr">
        <is>
          <t>A1: Name
B1: Marks
A2: Ravi
B2: 72
A3: Asha
B3: 90
A4: Meena
B4: 65
Steps: click B2 &gt; Data tab &gt; Sort Largest to Smallest</t>
        </is>
      </c>
      <c r="U13" s="19" t="inlineStr">
        <is>
          <t>Rows become: Asha 90, Ravi 72, Meena 65 (each name stays with its own marks)</t>
        </is>
      </c>
      <c r="V13" s="18" t="inlineStr">
        <is>
          <t>Sort reorders whole rows, not just the column you clicked, as long as Excel sees your data as one table. The header row stays on top when Excel detects headers. You can sort text A to Z, numbers small to large, or dates old to new.</t>
        </is>
      </c>
      <c r="W13" s="18" t="inlineStr">
        <is>
          <t>Sort ka matlab hai list ko order me lagana. Ek cell par click karo, Data tab me Sort dabao, aur poori row apne data ke saath move hoti hai.</t>
        </is>
      </c>
      <c r="X13" s="18" t="inlineStr">
        <is>
          <t>Like arranging books on a shelf by their title: every book moves to a new spot, but each book stays in one piece.</t>
        </is>
      </c>
      <c r="Y13" s="19" t="inlineStr">
        <is>
          <t>Data tab &gt; Sort A to Z / Sort Z to A, or Data tab &gt; Sort for the full dialog</t>
        </is>
      </c>
      <c r="Z13" s="18" t="inlineStr">
        <is>
          <t>Data tab = where the buttons live | Sort A to Z = smallest or alphabetical first | Sort Z to A = largest or reverse alphabetical first | Sort dialog = choose column, order and extra levels</t>
        </is>
      </c>
      <c r="AA13" s="19" t="inlineStr">
        <is>
          <t>A1: Name
A2: Ravi
A3: Asha
A4: Meena
Steps: click A2 &gt; Data tab &gt; Sort A to Z
Result: Asha, Meena, Ravi</t>
        </is>
      </c>
      <c r="AB13" s="19" t="inlineStr">
        <is>
          <t>A1: Class, B1: Marks (class A and B mixed)
Steps: Data tab &gt; Sort &gt; Sort by Class (A to Z) &gt; Add Level &gt; Then by Marks (Largest to Smallest) &gt; OK
Result: classes grouped, and highest marks first inside each class</t>
        </is>
      </c>
      <c r="AC13" s="19" t="inlineStr">
        <is>
          <t>Select only column B (Marks) and click Sort Smallest to Largest
Excel asks: Expand the selection or Continue with the current selection
Choose Expand the selection so names move with the marks</t>
        </is>
      </c>
      <c r="AD13" s="19" t="inlineStr">
        <is>
          <t>Data tab &gt; Sort &gt; Add Level           (sort by two columns)
Data tab &gt; Sort &gt; My data has headers  (tick when row 1 is headings)
Data tab &gt; Sort &gt; Order: Custom List... (for Low, Medium, High)</t>
        </is>
      </c>
      <c r="AE13" s="18" t="inlineStr">
        <is>
          <t>Filter, Excel Tables, Freeze Panes, Conditional Formatting</t>
        </is>
      </c>
      <c r="AF13" s="18" t="inlineStr">
        <is>
          <t>Filter, SORT function, Custom Lists, Excel Tables</t>
        </is>
      </c>
      <c r="AG13" s="18" t="inlineStr">
        <is>
          <t>SORT function (Microsoft 365 or Excel 2021 or later), Filter button drop-down sort options</t>
        </is>
      </c>
      <c r="AH13" s="18" t="inlineStr">
        <is>
          <t>Sort, Filter, Group, Rank, Order</t>
        </is>
      </c>
      <c r="AI13" s="18" t="inlineStr">
        <is>
          <t>Ranking students by marks | Arranging a customer list A to Z | Putting dates in order before a report</t>
        </is>
      </c>
      <c r="AJ13" s="18" t="inlineStr">
        <is>
          <t>A: My marks list is all mixed up and I need the topper first. | B: Click any cell in the Marks column, then use Data tab &gt; Sort Largest to Smallest.</t>
        </is>
      </c>
      <c r="AK13" s="18" t="inlineStr">
        <is>
          <t>✗ Sorting one column changes only that column's order → ✓ If you select only one column and choose Continue with the current selection, the other columns do not move and the rows no longer match; pick Expand the selection</t>
        </is>
      </c>
      <c r="AL13" s="18" t="inlineStr">
        <is>
          <t>Sort vs Filter: Sort changes the order of all rows, while Filter only hides rows that do not match and keeps the order.</t>
        </is>
      </c>
      <c r="AM13" s="18" t="inlineStr">
        <is>
          <t>Do not select a single column in the middle of a table and sort it alone, because the rows will no longer match.</t>
        </is>
      </c>
      <c r="AN13" s="19" t="inlineStr">
        <is>
          <t>Select only B2:B4 &gt; Data tab &gt; Sort Smallest to Largest &gt; Continue with the current selection</t>
        </is>
      </c>
      <c r="AO13" s="19" t="inlineStr">
        <is>
          <t>Click one cell inside the table (for example B2) &gt; Data tab &gt; Sort Smallest to Largest (or choose Expand the selection)</t>
        </is>
      </c>
      <c r="AP13" s="18" t="inlineStr">
        <is>
          <t>Sort = Same rows Stay together, they only change order.</t>
        </is>
      </c>
      <c r="AQ13" s="18" t="inlineStr">
        <is>
          <t>A teacher sorts the class result sheet by total marks so the top ten students are at the top of the report.</t>
        </is>
      </c>
      <c r="AR13" s="18" t="inlineStr">
        <is>
          <t>Interviewer asks: How do you sort a table by two columns, such as Department and then Salary?</t>
        </is>
      </c>
      <c r="AS13" s="18" t="inlineStr">
        <is>
          <t>Arranging contacts in your phone by name so you can find a friend quickly.</t>
        </is>
      </c>
      <c r="AT13" s="18" t="inlineStr">
        <is>
          <t>You select only column B (Marks) in a Name and Marks table and sort it, choosing Continue with the current selection. What happens to the names in column A?</t>
        </is>
      </c>
      <c r="AU13" s="18" t="inlineStr">
        <is>
          <t>A) They move together with the marks B) They stay where they were, so names no longer match marks C) They are sorted A to Z as well D) Excel deletes them</t>
        </is>
      </c>
      <c r="AV13" s="18" t="inlineStr">
        <is>
          <t>B</t>
        </is>
      </c>
      <c r="AW13" s="18" t="inlineStr">
        <is>
          <t>Continue with the current selection sorts only the selected cells, so column A is untouched and the rows no longer match.</t>
        </is>
      </c>
      <c r="AX13" s="19" t="inlineStr">
        <is>
          <t>To keep names with their marks, choose ____ the selection when Excel asks → Expand</t>
        </is>
      </c>
      <c r="AY13" s="18" t="inlineStr">
        <is>
          <t>Make a small list of three items with prices and put it in order from the lowest price to the highest.</t>
        </is>
      </c>
      <c r="AZ13" s="19" t="inlineStr">
        <is>
          <t>A1: Item
B1: Price
A2: Pen
B2: 20
A3: Book
B3: 50
A4: Ink
B4: 5
Steps: click B2 &gt; Data tab &gt; Sort Smallest to Largest
Result: Ink 5, Pen 20, Book 50</t>
        </is>
      </c>
      <c r="BA13" s="18" t="inlineStr">
        <is>
          <t>Write down five of your own expenses in two columns and sort them from the biggest amount to the smallest.</t>
        </is>
      </c>
      <c r="BB13" s="19" t="inlineStr">
        <is>
          <t>A1: Item, B1: Price. A2: Pen 20, A3: Book 50, A4: Ink 5. You click B2 and use Data tab &gt; Sort Smallest to Largest. In what order do the items appear from row 2 to row 4?</t>
        </is>
      </c>
      <c r="BC13" s="19" t="inlineStr">
        <is>
          <t>Ink, Pen, Book (prices 5, 20, 50)</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48.5" customHeight="1">
      <c r="A14" s="17" t="inlineStr">
        <is>
          <t>XL-012</t>
        </is>
      </c>
      <c r="B14" s="17" t="inlineStr">
        <is>
          <t>03 Formatting &amp; Organising</t>
        </is>
      </c>
      <c r="C14" s="17" t="inlineStr">
        <is>
          <t>Beginner</t>
        </is>
      </c>
      <c r="D14" s="17" t="n">
        <v>12</v>
      </c>
      <c r="E14" s="17" t="inlineStr">
        <is>
          <t>Claude knowledge</t>
        </is>
      </c>
      <c r="F14" s="18" t="inlineStr">
        <is>
          <t>Filter</t>
        </is>
      </c>
      <c r="G14" s="18" t="inlineStr">
        <is>
          <t>Which Excel feature lets you show only the rows you want, such as one city, while the other rows stay safe but out of sight?</t>
        </is>
      </c>
      <c r="H14" s="18" t="inlineStr">
        <is>
          <t>Filter = फ़िल्टर (filter)</t>
        </is>
      </c>
      <c r="I14" s="18" t="inlineStr">
        <is>
          <t>Data tab feature</t>
        </is>
      </c>
      <c r="J14" s="18" t="inlineStr">
        <is>
          <t>Very high</t>
        </is>
      </c>
      <c r="K14" s="18" t="n">
        <v>5</v>
      </c>
      <c r="L14" s="18" t="inlineStr">
        <is>
          <t>A filter lets some things pass and blocks others; Excel borrowed the word for AutoFilter, which adds small drop-down arrows to the header row.</t>
        </is>
      </c>
      <c r="M14" s="18" t="inlineStr">
        <is>
          <t>Press Ctrl+Shift+L to turn filter arrows on or off quickly on Windows Excel.</t>
        </is>
      </c>
      <c r="N14" s="18" t="inlineStr">
        <is>
          <t>Click a cell in your table, then press Ctrl+Shift+L. Do not select a blank row first.</t>
        </is>
      </c>
      <c r="O14" s="18" t="inlineStr">
        <is>
          <t>A tea strainer lets only the liquid through and keeps the leaves aside, but the leaves are still in the strainer, not thrown away.</t>
        </is>
      </c>
      <c r="P14" s="18" t="inlineStr">
        <is>
          <t>A tea strainer over a cup, with tea leaves resting in it and clear tea dripping through.</t>
        </is>
      </c>
      <c r="Q14" s="18" t="inlineStr">
        <is>
          <t>Relief when a huge sheet shrinks to just the rows you care about.</t>
        </is>
      </c>
      <c r="R14" s="18" t="inlineStr">
        <is>
          <t>Filter hides the rows that do not match your condition and shows only the rows that do.</t>
        </is>
      </c>
      <c r="S14" s="18" t="inlineStr">
        <is>
          <t>सिर्फ़ ज़रूरी पंक्तियाँ दिखाना, बाकी छिपाना</t>
        </is>
      </c>
      <c r="T14" s="19" t="inlineStr">
        <is>
          <t>A1: Name
B1: City
A2: Asha
B2: Delhi
A3: Ravi
B3: Pune
A4: Meena
B4: Delhi
Steps: click A1 &gt; Ctrl+Shift+L &gt; click arrow in B1 &gt; untick Select All &gt; tick Delhi &gt; OK</t>
        </is>
      </c>
      <c r="U14" s="19" t="inlineStr">
        <is>
          <t>Only Asha and Meena rows are visible; row 3 (Ravi) is hidden, not deleted, and the row numbers on the left skip from 2 to 4</t>
        </is>
      </c>
      <c r="V14" s="18" t="inlineStr">
        <is>
          <t>Filter adds a drop-down arrow to each header cell. When you pick values, Excel hides every row that does not match. The hidden rows are still in the sheet and come back when you clear the filter.</t>
        </is>
      </c>
      <c r="W14" s="18" t="inlineStr">
        <is>
          <t>Filter se aap sirf wahi rows dekhte ho jo aapko chahiye. Baaki rows delete nahi hoti, bas chhup jaati hain, aur filter hatane par wapas aa jaati hain.</t>
        </is>
      </c>
      <c r="X14" s="18" t="inlineStr">
        <is>
          <t>Like a shop website's filter for Size: M, which hides other sizes but does not remove them from the shop.</t>
        </is>
      </c>
      <c r="Y14" s="19" t="inlineStr">
        <is>
          <t>Data tab &gt; Filter (or Ctrl+Shift+L), then use the arrow in a header cell</t>
        </is>
      </c>
      <c r="Z14" s="18" t="inlineStr">
        <is>
          <t>Header arrow = opens the filter menu | Tick boxes = choose which values to show | Text Filters / Number Filters = conditions such as contains or greater than | Clear = removes the filter</t>
        </is>
      </c>
      <c r="AA14" s="19" t="inlineStr">
        <is>
          <t>Text filter: click arrow in City &gt; tick only Delhi &gt; OK
Result: only rows where City is Delhi are shown</t>
        </is>
      </c>
      <c r="AB14" s="19" t="inlineStr">
        <is>
          <t>Number filter: A1: Item, B1: Qty. A2: Pen 10, A3: Book 3, A4: Ink 7
Click arrow in Qty &gt; Number Filters &gt; Greater Than &gt; 5 &gt; OK
Result: Pen and Ink rows are shown</t>
        </is>
      </c>
      <c r="AC14" s="19" t="inlineStr">
        <is>
          <t>Remove the filter: Data tab &gt; Clear (to show all rows again) or press Ctrl+Shift+L to switch the arrows off
Result: all rows are visible again</t>
        </is>
      </c>
      <c r="AD14" s="19" t="inlineStr">
        <is>
          <t>Text Filters &gt; Contains...          (names that include some letters)
Number Filters &gt; Top 10...          (largest values)
Filter by Color                       (cell colour or font colour)</t>
        </is>
      </c>
      <c r="AE14" s="18" t="inlineStr">
        <is>
          <t>Sort, Excel Tables, Conditional Formatting, Freeze Panes</t>
        </is>
      </c>
      <c r="AF14" s="18" t="inlineStr">
        <is>
          <t>Sort, Advanced Filter, FILTER function, Slicers</t>
        </is>
      </c>
      <c r="AG14" s="18" t="inlineStr">
        <is>
          <t>FILTER function (Microsoft 365 or Excel 2021 or later), Advanced Filter, PivotTable</t>
        </is>
      </c>
      <c r="AH14" s="18" t="inlineStr">
        <is>
          <t>Filter, AutoFilter, Slicer, Search box, Clear</t>
        </is>
      </c>
      <c r="AI14" s="18" t="inlineStr">
        <is>
          <t>Looking at one city or one month of sales | Finding all unpaid fees in a list | Checking only the rows that need follow-up</t>
        </is>
      </c>
      <c r="AJ14" s="18" t="inlineStr">
        <is>
          <t>A: I only want to see the students from class 10, but the sheet has 500 rows. | B: Press Ctrl+Shift+L, click the arrow on the Class column and tick only 10.</t>
        </is>
      </c>
      <c r="AK14" s="18" t="inlineStr">
        <is>
          <t>✗ Filter deletes the rows that do not match → ✓ Filter only hides them; they come back when you clear the filter, so your data is safe</t>
        </is>
      </c>
      <c r="AL14" s="18" t="inlineStr">
        <is>
          <t>Filter vs Sort: Filter hides rows that do not match, while Sort keeps every row and only changes their order.</t>
        </is>
      </c>
      <c r="AM14" s="18" t="inlineStr">
        <is>
          <t>Do not copy numbers from a filtered sheet and assume hidden rows are included; check what was visible before you total or send it.</t>
        </is>
      </c>
      <c r="AN14" s="19" t="inlineStr">
        <is>
          <t>Select row 3 (Ravi) &gt; right-click &gt; Delete to remove people who are not in Delhi</t>
        </is>
      </c>
      <c r="AO14" s="19" t="inlineStr">
        <is>
          <t>Click A1 &gt; Ctrl+Shift+L &gt; click arrow in City &gt; tick only Delhi &gt; OK</t>
        </is>
      </c>
      <c r="AP14" s="18" t="inlineStr">
        <is>
          <t>Filter = Few rows Visible, rest Hidden (not gone).</t>
        </is>
      </c>
      <c r="AQ14" s="18" t="inlineStr">
        <is>
          <t>A shop owner filters the sales sheet to one product and one month to prepare a short report.</t>
        </is>
      </c>
      <c r="AR14" s="18" t="inlineStr">
        <is>
          <t>Interviewer asks: What is the difference between hiding rows with Filter and deleting them?</t>
        </is>
      </c>
      <c r="AS14" s="18" t="inlineStr">
        <is>
          <t>Using the Show only vegetarian option on a food app to see fewer dishes.</t>
        </is>
      </c>
      <c r="AT14" s="18" t="inlineStr">
        <is>
          <t>After you filter a City column to show only Delhi, where do the Pune rows go?</t>
        </is>
      </c>
      <c r="AU14" s="18" t="inlineStr">
        <is>
          <t>A) They are permanently deleted B) They are moved to a new sheet C) They are hidden but still in the sheet D) They are changed to Delhi</t>
        </is>
      </c>
      <c r="AV14" s="18" t="inlineStr">
        <is>
          <t>C</t>
        </is>
      </c>
      <c r="AW14" s="18" t="inlineStr">
        <is>
          <t>Filter only hides non-matching rows; the row numbers skip, and clearing the filter brings them back.</t>
        </is>
      </c>
      <c r="AX14" s="19" t="inlineStr">
        <is>
          <t>The keyboard shortcut to turn filter arrows on or off is ____ → Ctrl+Shift+L</t>
        </is>
      </c>
      <c r="AY14" s="18" t="inlineStr">
        <is>
          <t>Show only the items that have a quantity greater than 5 from a small three-row list.</t>
        </is>
      </c>
      <c r="AZ14" s="19" t="inlineStr">
        <is>
          <t>A1: Item
B1: Qty
A2: Pen
B2: 10
A3: Book
B3: 3
A4: Ink
B4: 7
Steps: click A1 &gt; Ctrl+Shift+L &gt; arrow in B1 &gt; Number Filters &gt; Greater Than &gt; 5 &gt; OK
Result: Pen and Ink are visible</t>
        </is>
      </c>
      <c r="BA14" s="18" t="inlineStr">
        <is>
          <t>Make a list of ten of your friends with their cities and filter it to show only one city.</t>
        </is>
      </c>
      <c r="BB14" s="19" t="inlineStr">
        <is>
          <t>A1: Item, B1: Qty. A2: Pen 10, A3: Book 3, A4: Ink 7. You apply Number Filters &gt; Greater Than &gt; 5 on Qty. Which items stay visible?</t>
        </is>
      </c>
      <c r="BC14" s="19" t="inlineStr">
        <is>
          <t>Pen and Ink (Book is hidden)</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121.5" customHeight="1">
      <c r="A15" s="17" t="inlineStr">
        <is>
          <t>XL-013</t>
        </is>
      </c>
      <c r="B15" s="17" t="inlineStr">
        <is>
          <t>03 Formatting &amp; Organising</t>
        </is>
      </c>
      <c r="C15" s="17" t="inlineStr">
        <is>
          <t>Beginner</t>
        </is>
      </c>
      <c r="D15" s="17" t="n">
        <v>13</v>
      </c>
      <c r="E15" s="17" t="inlineStr">
        <is>
          <t>Claude knowledge</t>
        </is>
      </c>
      <c r="F15" s="18" t="inlineStr">
        <is>
          <t>Freeze Panes</t>
        </is>
      </c>
      <c r="G15" s="18" t="inlineStr">
        <is>
          <t>Which Excel feature keeps the heading row in view while you scroll down a very long list?</t>
        </is>
      </c>
      <c r="H15" s="18" t="inlineStr">
        <is>
          <t>Freeze Panes = फ़्रीज़ पेन्स (freeze panes)</t>
        </is>
      </c>
      <c r="I15" s="18" t="inlineStr">
        <is>
          <t>View tab feature</t>
        </is>
      </c>
      <c r="J15" s="18" t="inlineStr">
        <is>
          <t>Very high</t>
        </is>
      </c>
      <c r="K15" s="18" t="n">
        <v>5</v>
      </c>
      <c r="L15" s="18" t="inlineStr">
        <is>
          <t>A pane is one section of the Excel window; Freeze Panes locks selected sections so they stay fixed on screen while the rest scrolls.</t>
        </is>
      </c>
      <c r="M15" s="18" t="inlineStr">
        <is>
          <t>Select the cell just below and to the right of what you want frozen, then use View tab &gt; Freeze Panes &gt; Freeze Panes.</t>
        </is>
      </c>
      <c r="N15" s="18" t="inlineStr">
        <is>
          <t>No typing. Click a cell, then View tab &gt; Freeze Panes. Remember to choose the top option when you have clicked a cell.</t>
        </is>
      </c>
      <c r="O15" s="18" t="inlineStr">
        <is>
          <t>A pinned name tag on a moving bus stays in the same place on your shirt while the whole bus moves along the road.</t>
        </is>
      </c>
      <c r="P15" s="18" t="inlineStr">
        <is>
          <t>A long spreadsheet scrolling down while the blue heading row stays pinned at the top of the screen.</t>
        </is>
      </c>
      <c r="Q15" s="18" t="inlineStr">
        <is>
          <t>The comfort of never losing track of which column is which.</t>
        </is>
      </c>
      <c r="R15" s="18" t="inlineStr">
        <is>
          <t>Freeze Panes keeps chosen top rows and left columns visible while you scroll through the rest of the sheet.</t>
        </is>
      </c>
      <c r="S15" s="18" t="inlineStr">
        <is>
          <t>ऊपर की पंक्ति या बाएँ कॉलम को स्क्रॉल करते समय स्थिर रखना</t>
        </is>
      </c>
      <c r="T15" s="19" t="inlineStr">
        <is>
          <t>A1: Name
B1: Marks
(many rows below)
Steps: View tab &gt; Freeze Panes &gt; Freeze Top Row</t>
        </is>
      </c>
      <c r="U15" s="19" t="inlineStr">
        <is>
          <t>Row 1 (Name, Marks) stays at the top of the screen while you scroll down; a thin line appears under row 1</t>
        </is>
      </c>
      <c r="V15" s="18" t="inlineStr">
        <is>
          <t>Freezing splits the window and locks the top part or the left part. The frozen area stays visible when you scroll. Freeze Top Row and Freeze First Column are quick one-click options.</t>
        </is>
      </c>
      <c r="W15" s="18" t="inlineStr">
        <is>
          <t>Freeze Panes se heading wali row ya pehla column screen par fix ho jata hai. Neeche scroll karne par bhi heading dikhti rehti hai.</t>
        </is>
      </c>
      <c r="X15" s="18" t="inlineStr">
        <is>
          <t>Like the header of a bus timetable board that stays fixed while the list of stops changes below.</t>
        </is>
      </c>
      <c r="Y15" s="19" t="inlineStr">
        <is>
          <t>View tab &gt; Freeze Panes &gt; Freeze Top Row / Freeze First Column / Freeze Panes</t>
        </is>
      </c>
      <c r="Z15" s="18" t="inlineStr">
        <is>
          <t>View tab = where the button is | Freeze Top Row = locks row 1 | Freeze First Column = locks column A | Freeze Panes = locks everything above and left of the selected cell</t>
        </is>
      </c>
      <c r="AA15" s="19" t="inlineStr">
        <is>
          <t>Freeze the heading row: View tab &gt; Freeze Panes &gt; Freeze Top Row
Result: row 1 stays visible while you scroll down</t>
        </is>
      </c>
      <c r="AB15" s="19" t="inlineStr">
        <is>
          <t>Freeze the first column: View tab &gt; Freeze Panes &gt; Freeze First Column
Result: column A (names) stays visible while you scroll right</t>
        </is>
      </c>
      <c r="AC15" s="19" t="inlineStr">
        <is>
          <t>Freeze row 1 and column A together: click B2 &gt; View tab &gt; Freeze Panes &gt; Freeze Panes
Result: both the heading row and the name column stay in view</t>
        </is>
      </c>
      <c r="AD15" s="19" t="inlineStr">
        <is>
          <t>Click B2 then Freeze Panes       (freezes row 1 and column A)
Click A3 then Freeze Panes       (freezes rows 1 and 2 only)
View tab &gt; Freeze Panes &gt; Unfreeze Panes   (turns it off)</t>
        </is>
      </c>
      <c r="AE15" s="18" t="inlineStr">
        <is>
          <t>Excel Tables, Filter, Sort, Print Titles</t>
        </is>
      </c>
      <c r="AF15" s="18" t="inlineStr">
        <is>
          <t>Split, Unfreeze Panes, Print Titles, Excel Tables</t>
        </is>
      </c>
      <c r="AG15" s="18" t="inlineStr">
        <is>
          <t>Excel Tables (headers replace column letters while scrolling), Split window</t>
        </is>
      </c>
      <c r="AH15" s="18" t="inlineStr">
        <is>
          <t>Freeze Panes, Unfreeze Panes, Split, Zoom, Scroll</t>
        </is>
      </c>
      <c r="AI15" s="18" t="inlineStr">
        <is>
          <t>Long student lists with 500 rows | Monthly sales sheets with many columns | Any sheet where headings go out of view</t>
        </is>
      </c>
      <c r="AJ15" s="18" t="inlineStr">
        <is>
          <t>A: When I scroll down I forget which column is Marks and which is Age. | B: Click View tab &gt; Freeze Panes &gt; Freeze Top Row and the headings will stay on screen.</t>
        </is>
      </c>
      <c r="AK15" s="18" t="inlineStr">
        <is>
          <t>✗ Freeze Panes keeps the cell you click frozen → ✓ It freezes the rows above and the columns to the left of the selected cell, not the cell itself</t>
        </is>
      </c>
      <c r="AL15" s="18" t="inlineStr">
        <is>
          <t>Freeze Panes vs Split: Freeze Panes locks the top or left part in place, while Split makes separate scrollable windows in the same sheet.</t>
        </is>
      </c>
      <c r="AM15" s="18" t="inlineStr">
        <is>
          <t>Do not freeze too many rows or columns, because the frozen part can fill the whole screen on a small phone or laptop.</t>
        </is>
      </c>
      <c r="AN15" s="19" t="inlineStr">
        <is>
          <t>Click row 1 and then Freeze Panes with C5 selected by mistake</t>
        </is>
      </c>
      <c r="AO15" s="19" t="inlineStr">
        <is>
          <t>View tab &gt; Freeze Panes &gt; Freeze Top Row (or click A2 and choose Freeze Panes)</t>
        </is>
      </c>
      <c r="AP15" s="18" t="inlineStr">
        <is>
          <t>Freeze what is Above and to the Left of the cell you click.</t>
        </is>
      </c>
      <c r="AQ15" s="18" t="inlineStr">
        <is>
          <t>A clerk freezes the top row of a 2,000-row fee sheet so column headings are always visible while entering data.</t>
        </is>
      </c>
      <c r="AR15" s="18" t="inlineStr">
        <is>
          <t>Interviewer asks: How do you keep both the first row and the first column visible when scrolling a big sheet?</t>
        </is>
      </c>
      <c r="AS15" s="18" t="inlineStr">
        <is>
          <t>Like the fixed menu bar of a website that stays on top while you scroll.</t>
        </is>
      </c>
      <c r="AT15" s="18" t="inlineStr">
        <is>
          <t>You want rows 1 and 2 and column A to stay fixed while scrolling. Which cell should you click before choosing Freeze Panes?</t>
        </is>
      </c>
      <c r="AU15" s="18" t="inlineStr">
        <is>
          <t>A) A2 B) B2 C) B3 D) C3</t>
        </is>
      </c>
      <c r="AV15" s="18" t="inlineStr">
        <is>
          <t>C</t>
        </is>
      </c>
      <c r="AW15" s="18" t="inlineStr">
        <is>
          <t>Excel freezes everything above and to the left of the clicked cell: rows 1 and 2 are above row 3, and column A is left of column B.</t>
        </is>
      </c>
      <c r="AX15" s="19" t="inlineStr">
        <is>
          <t>To turn frozen rows off, choose View tab &gt; Freeze Panes &gt; ____ → Unfreeze Panes</t>
        </is>
      </c>
      <c r="AY15" s="18" t="inlineStr">
        <is>
          <t>Keep the top heading row of a long list fixed while scrolling down.</t>
        </is>
      </c>
      <c r="AZ15" s="19" t="inlineStr">
        <is>
          <t>Steps: View tab &gt; Freeze Panes &gt; Freeze Top Row
Result: row 1 stays on the screen</t>
        </is>
      </c>
      <c r="BA15" s="18" t="inlineStr">
        <is>
          <t>Open any long list of yours and freeze both the top row and the first column, then scroll to test it.</t>
        </is>
      </c>
      <c r="BB15" s="19" t="inlineStr">
        <is>
          <t>You want rows 1 and 2 and also column A to stay fixed. Which cell do you click before using View tab &gt; Freeze Panes &gt; Freeze Panes?</t>
        </is>
      </c>
      <c r="BC15" s="19" t="inlineStr">
        <is>
          <t>B3</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135" customHeight="1">
      <c r="A16" s="17" t="inlineStr">
        <is>
          <t>XL-014</t>
        </is>
      </c>
      <c r="B16" s="17" t="inlineStr">
        <is>
          <t>03 Formatting &amp; Organising</t>
        </is>
      </c>
      <c r="C16" s="17" t="inlineStr">
        <is>
          <t>Intermediate</t>
        </is>
      </c>
      <c r="D16" s="17" t="n">
        <v>14</v>
      </c>
      <c r="E16" s="17" t="inlineStr">
        <is>
          <t>Claude knowledge</t>
        </is>
      </c>
      <c r="F16" s="18" t="inlineStr">
        <is>
          <t>Excel Tables (Ctrl+T)</t>
        </is>
      </c>
      <c r="G16" s="18" t="inlineStr">
        <is>
          <t>Which shortcut turns a plain range of data into a smart, named, expanding list with built-in filters?</t>
        </is>
      </c>
      <c r="H16" s="18" t="inlineStr">
        <is>
          <t>Table = टेबल (table), Ctrl+T = कंट्रोल टी</t>
        </is>
      </c>
      <c r="I16" s="18" t="inlineStr">
        <is>
          <t>Feature with shortcut</t>
        </is>
      </c>
      <c r="J16" s="18" t="inlineStr">
        <is>
          <t>High</t>
        </is>
      </c>
      <c r="K16" s="18" t="n">
        <v>4</v>
      </c>
      <c r="L16" s="18" t="inlineStr">
        <is>
          <t>Excel Tables were introduced in Excel 2007, replacing the older Lists feature, to make data ranges grow and shrink automatically.</t>
        </is>
      </c>
      <c r="M16" s="18" t="inlineStr">
        <is>
          <t>Give the table a clear name on Table Design tab, such as SalesTable, so your formulas are easy to read.</t>
        </is>
      </c>
      <c r="N16" s="18" t="inlineStr">
        <is>
          <t>Click one cell in the data, press Ctrl+T, and tick My table has headers in the box that appears.</t>
        </is>
      </c>
      <c r="O16" s="18" t="inlineStr">
        <is>
          <t>A rubber band tied around your books stretches when you add one more book, so no book is ever left outside.</t>
        </is>
      </c>
      <c r="P16" s="18" t="inlineStr">
        <is>
          <t>A neat table with blue and white stripes and small filter arrows that grows downward as you type a new row.</t>
        </is>
      </c>
      <c r="Q16" s="18" t="inlineStr">
        <is>
          <t>Delight when a formula includes the new row automatically.</t>
        </is>
      </c>
      <c r="R16" s="18" t="inlineStr">
        <is>
          <t>An Excel Table turns a range into a named object that grows with new rows and has filters and banded rows built in.</t>
        </is>
      </c>
      <c r="S16" s="18" t="inlineStr">
        <is>
          <t>डेटा को स्मार्ट टेबल बनाना जो अपने आप बढ़ती है</t>
        </is>
      </c>
      <c r="T16" s="19" t="inlineStr">
        <is>
          <t>A1: Item
B1: Sales
A2: Pen
B2: 100
A3: Book
B3: 250
Steps: click A1 &gt; Ctrl+T &gt; tick My table has headers &gt; OK
D1: =SUM(Table1[Sales])</t>
        </is>
      </c>
      <c r="U16" s="19" t="inlineStr">
        <is>
          <t>350</t>
        </is>
      </c>
      <c r="V16" s="18" t="inlineStr">
        <is>
          <t>Ctrl+T converts the range into a table, usually named Table1 if it is your first table. A formula like =SUM(Table1[Sales]) uses the column name, and it automatically includes any new rows you add below the table.</t>
        </is>
      </c>
      <c r="W16" s="18" t="inlineStr">
        <is>
          <t>Ctrl+T dabane se aapka data ek smart table ban jata hai. Naya row likhte hi table badh jati hai aur formula me naya data bhi aa jata hai.</t>
        </is>
      </c>
      <c r="X16" s="18" t="inlineStr">
        <is>
          <t>Like a rubber band around a bundle of notes: add one more note and the band stretches to hold it.</t>
        </is>
      </c>
      <c r="Y16" s="19" t="inlineStr">
        <is>
          <t>Ctrl+T, then =FUNCTION(TableName[ColumnName])</t>
        </is>
      </c>
      <c r="Z16" s="18" t="inlineStr">
        <is>
          <t>Ctrl+T = create table | My table has headers = tells Excel row 1 is headings | TableName = name shown on the Table Design tab | [ColumnName] = which column the formula uses</t>
        </is>
      </c>
      <c r="AA16" s="19" t="inlineStr">
        <is>
          <t>Create the table: click any cell in the data &gt; Ctrl+T &gt; tick My table has headers &gt; OK
Result: striped rows with filter arrows appear</t>
        </is>
      </c>
      <c r="AB16" s="19" t="inlineStr">
        <is>
          <t>Rename the table: click inside the table &gt; Table Design tab &gt; Table Name box &gt; type SalesTable &gt; Enter
Result: formulas can now use =SUM(SalesTable[Sales])</t>
        </is>
      </c>
      <c r="AC16" s="19" t="inlineStr">
        <is>
          <t>Add a total: click inside the table &gt; Table Design tab &gt; tick Total Row
Result: a Total row appears at the bottom with a sum of the last column</t>
        </is>
      </c>
      <c r="AD16" s="19" t="inlineStr">
        <is>
          <t>Table Design tab &gt; Total Row           (adds a totals row)
Type a new row right below the table    (table expands by itself)
Table Design tab &gt; Convert to Range    (turns it back to a plain range)</t>
        </is>
      </c>
      <c r="AE16" s="18" t="inlineStr">
        <is>
          <t>Filter, Sort, Structured references, PivotTable</t>
        </is>
      </c>
      <c r="AF16" s="18" t="inlineStr">
        <is>
          <t>Structured references, Named ranges, PivotTable, Filter</t>
        </is>
      </c>
      <c r="AG16" s="18" t="inlineStr">
        <is>
          <t>Plain range with fixed references like A2:A100, Named range, Dynamic array range in Microsoft 365</t>
        </is>
      </c>
      <c r="AH16" s="18" t="inlineStr">
        <is>
          <t>Table, Table Name, Structured reference, Total Row, Slicer</t>
        </is>
      </c>
      <c r="AI16" s="18" t="inlineStr">
        <is>
          <t>Sales sheets that grow every day | Student lists where new students are added | Source data for PivotTables and charts</t>
        </is>
      </c>
      <c r="AJ16" s="18" t="inlineStr">
        <is>
          <t>A: My SUM formula missed the new row I typed at the bottom. | B: Press Ctrl+T on your data, then use =SUM(Table1[Sales]) so it includes new rows by itself.</t>
        </is>
      </c>
      <c r="AK16" s="18" t="inlineStr">
        <is>
          <t>✗ An Excel Table is just a formatting colour on the cells → ✓ It is a real object: it has a name, grows with new rows, and lets formulas use column names</t>
        </is>
      </c>
      <c r="AL16" s="18" t="inlineStr">
        <is>
          <t>Table vs Range: A plain range stays the same size unless you edit formulas, while an Excel Table grows and shrinks as rows are added or removed.</t>
        </is>
      </c>
      <c r="AM16" s="18" t="inlineStr">
        <is>
          <t>Do not leave blank rows or merged cells inside your data before pressing Ctrl+T, because they make tables messy to use.</t>
        </is>
      </c>
      <c r="AN16" s="19" t="inlineStr">
        <is>
          <t>Press Ctrl+T on data that has headings and UNTICK My table has headers</t>
        </is>
      </c>
      <c r="AO16" s="19" t="inlineStr">
        <is>
          <t>Press Ctrl+T on data that has headings and TICK My table has headers</t>
        </is>
      </c>
      <c r="AP16" s="18" t="inlineStr">
        <is>
          <t>Ctrl+T = Turn data into a Table that Tracks new rows.</t>
        </is>
      </c>
      <c r="AQ16" s="18" t="inlineStr">
        <is>
          <t>An accountant keeps daily sales in an Excel Table so monthly totals update the moment a new row is added.</t>
        </is>
      </c>
      <c r="AR16" s="18" t="inlineStr">
        <is>
          <t>Interviewer asks: What are the benefits of using an Excel Table instead of a normal range?</t>
        </is>
      </c>
      <c r="AS16" s="18" t="inlineStr">
        <is>
          <t>Like a shopping list that makes space by itself when you add one more item.</t>
        </is>
      </c>
      <c r="AT16" s="18" t="inlineStr">
        <is>
          <t>A table named Table1 has Sales values 100 and 250, and you type 50 in the next empty row directly below it. What does =SUM(Table1[Sales]) give?</t>
        </is>
      </c>
      <c r="AU16" s="18" t="inlineStr">
        <is>
          <t>A) 350 B) 400 C) 300 D) 150</t>
        </is>
      </c>
      <c r="AV16" s="18" t="inlineStr">
        <is>
          <t>B</t>
        </is>
      </c>
      <c r="AW16" s="18" t="inlineStr">
        <is>
          <t>The table expands to include the new row, so the sum is 100 + 250 + 50 = 400; 350 would be the old total before the new row.</t>
        </is>
      </c>
      <c r="AX16" s="19" t="inlineStr">
        <is>
          <t>The keyboard shortcut to create a table is ____ → Ctrl+T</t>
        </is>
      </c>
      <c r="AY16" s="18" t="inlineStr">
        <is>
          <t>Turn a small list of two items and their sales into a table and total the sales with a formula.</t>
        </is>
      </c>
      <c r="AZ16" s="19" t="inlineStr">
        <is>
          <t>A1: Item
B1: Sales
A2: Pen
B2: 100
A3: Book
B3: 250
Steps: click A1 &gt; Ctrl+T &gt; OK
D1: =SUM(Table1[Sales])
Result: 350</t>
        </is>
      </c>
      <c r="BA16" s="18" t="inlineStr">
        <is>
          <t>Convert one of your own lists into a table, rename it, and add one new row to see the table grow.</t>
        </is>
      </c>
      <c r="BB16" s="19" t="inlineStr">
        <is>
          <t>Table1 has Sales values 100 and 250. You type Ink and 50 in the row directly below the table. D1 has =SUM(Table1[Sales]). What does D1 show?</t>
        </is>
      </c>
      <c r="BC16" s="19" t="inlineStr">
        <is>
          <t>400</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135" customHeight="1">
      <c r="A17" s="17" t="inlineStr">
        <is>
          <t>XL-015</t>
        </is>
      </c>
      <c r="B17" s="17" t="inlineStr">
        <is>
          <t>03 Formatting &amp; Organising</t>
        </is>
      </c>
      <c r="C17" s="17" t="inlineStr">
        <is>
          <t>Intermediate</t>
        </is>
      </c>
      <c r="D17" s="17" t="n">
        <v>15</v>
      </c>
      <c r="E17" s="17" t="inlineStr">
        <is>
          <t>Claude knowledge</t>
        </is>
      </c>
      <c r="F17" s="18" t="inlineStr">
        <is>
          <t>Conditional Formatting</t>
        </is>
      </c>
      <c r="G17" s="18" t="inlineStr">
        <is>
          <t>Which feature changes the colour of cells by itself when their values meet a rule, such as marks above 50?</t>
        </is>
      </c>
      <c r="H17" s="18" t="inlineStr">
        <is>
          <t>Conditional Formatting = कंडीशनल फ़ॉर्मेटिंग (conditional formatting)</t>
        </is>
      </c>
      <c r="I17" s="18" t="inlineStr">
        <is>
          <t>Home tab feature</t>
        </is>
      </c>
      <c r="J17" s="18" t="inlineStr">
        <is>
          <t>High</t>
        </is>
      </c>
      <c r="K17" s="18" t="n">
        <v>4</v>
      </c>
      <c r="L17" s="18" t="inlineStr">
        <is>
          <t>Formatting that depends on a condition: Excel checks each cell against your rule and applies colours, icons or bars only when the rule is true.</t>
        </is>
      </c>
      <c r="M17" s="18" t="inlineStr">
        <is>
          <t>Use Clear Rules from the same menu to remove a rule you no longer need, so the sheet does not get confusing.</t>
        </is>
      </c>
      <c r="N17" s="18" t="inlineStr">
        <is>
          <t>Select the cells first, then Home tab &gt; Conditional Formatting. Selecting the wrong range is the most common slip.</t>
        </is>
      </c>
      <c r="O17" s="18" t="inlineStr">
        <is>
          <t>A traffic signal changes colour by itself when the cars arrive, and nobody has to press a button each time.</t>
        </is>
      </c>
      <c r="P17" s="18" t="inlineStr">
        <is>
          <t>A column of numbers where the big ones glow red and the small ones stay plain white.</t>
        </is>
      </c>
      <c r="Q17" s="18" t="inlineStr">
        <is>
          <t>Excitement when problem cells jump out without any searching.</t>
        </is>
      </c>
      <c r="R17" s="18" t="inlineStr">
        <is>
          <t>Conditional Formatting colours or marks cells automatically based on a rule about their values.</t>
        </is>
      </c>
      <c r="S17" s="18" t="inlineStr">
        <is>
          <t>नियम के आधार पर सेल का रंग अपने आप बदलना</t>
        </is>
      </c>
      <c r="T17" s="19" t="inlineStr">
        <is>
          <t>A1: 30
A2: 55
A3: 80
Steps: select A1:A3 &gt; Home tab &gt; Conditional Formatting &gt; Highlight Cells Rules &gt; Greater Than &gt; type 50 &gt; Light Red Fill &gt; OK</t>
        </is>
      </c>
      <c r="U17" s="19" t="inlineStr">
        <is>
          <t>A2 (55) and A3 (80) are filled with light red; A1 (30) stays plain</t>
        </is>
      </c>
      <c r="V17" s="18" t="inlineStr">
        <is>
          <t>Excel tests each selected cell against your rule. If the rule is true the chosen format is shown. If you change a value later, the colour updates by itself.</t>
        </is>
      </c>
      <c r="W17" s="18" t="inlineStr">
        <is>
          <t>Conditional Formatting me aap rule batate ho, jaise 50 se bada. Excel un cells ko apne aap color kar deta hai, aur value badalne par color bhi badal jata hai.</t>
        </is>
      </c>
      <c r="X17" s="18" t="inlineStr">
        <is>
          <t>Like a school bell that rings only when the time is 2 pm and stays silent at other times.</t>
        </is>
      </c>
      <c r="Y17" s="19" t="inlineStr">
        <is>
          <t>Home tab &gt; Conditional Formatting &gt; Highlight Cells Rules / Top/Bottom Rules / Data Bars / Color Scales</t>
        </is>
      </c>
      <c r="Z17" s="18" t="inlineStr">
        <is>
          <t>Select cells = where the rule applies | Highlight Cells Rules = compare to a value | Top/Bottom Rules = largest or smallest | Data Bars and Color Scales = show size visually</t>
        </is>
      </c>
      <c r="AA17" s="19" t="inlineStr">
        <is>
          <t>Highlight by value: select A1:A3 &gt; Home tab &gt; Conditional Formatting &gt; Highlight Cells Rules &gt; Greater Than &gt; 50
Result: cells above 50 get the colour</t>
        </is>
      </c>
      <c r="AB17" s="19" t="inlineStr">
        <is>
          <t>Highlight duplicates: select the names &gt; Conditional Formatting &gt; Highlight Cells Rules &gt; Duplicate Values &gt; OK
Result: repeated names are coloured</t>
        </is>
      </c>
      <c r="AC17" s="19" t="inlineStr">
        <is>
          <t>Show size as bars: select numbers &gt; Conditional Formatting &gt; Data Bars &gt; choose a colour
Result: each cell shows a bar whose length matches its value</t>
        </is>
      </c>
      <c r="AD17" s="19" t="inlineStr">
        <is>
          <t>Conditional Formatting &gt; Top/Bottom Rules &gt; Top 10 Items...   (largest values)
Conditional Formatting &gt; Clear Rules &gt; Clear Rules from Selected Cells
Conditional Formatting &gt; New Rule &gt; Use a formula to determine which cells to format</t>
        </is>
      </c>
      <c r="AE17" s="18" t="inlineStr">
        <is>
          <t>Filter, Sort, Excel Tables, IF</t>
        </is>
      </c>
      <c r="AF17" s="18" t="inlineStr">
        <is>
          <t>Data Bars, Color Scales, Icon Sets, Filter by Color</t>
        </is>
      </c>
      <c r="AG17" s="18" t="inlineStr">
        <is>
          <t>Fill colour by hand (does not update), IF formula with a text flag</t>
        </is>
      </c>
      <c r="AH17" s="18" t="inlineStr">
        <is>
          <t>Conditional Formatting, Data Bars, Color Scales, Icon Sets, Clear Rules</t>
        </is>
      </c>
      <c r="AI17" s="18" t="inlineStr">
        <is>
          <t>Marking marks below the pass mark | Highlighting overdue dates in a task list | Spotting duplicate entries in a list</t>
        </is>
      </c>
      <c r="AJ17" s="18" t="inlineStr">
        <is>
          <t>A: I want every mark under 40 to turn red so I can spot failures fast. | B: Select the marks, then Home tab &gt; Conditional Formatting &gt; Highlight Cells Rules &gt; Less Than &gt; 40.</t>
        </is>
      </c>
      <c r="AK17" s="18" t="inlineStr">
        <is>
          <t>✗ Conditional Formatting changes the value inside the cell → ✓ It changes only how the cell looks; the number or text itself stays the same</t>
        </is>
      </c>
      <c r="AL17" s="18" t="inlineStr">
        <is>
          <t>Conditional Formatting vs normal fill colour: A normal fill stays the same forever, while Conditional Formatting changes when the value or rule result changes.</t>
        </is>
      </c>
      <c r="AM17" s="18" t="inlineStr">
        <is>
          <t>Do not stack many rules with different colours on the same cells, because the sheet becomes hard to read.</t>
        </is>
      </c>
      <c r="AN17" s="19" t="inlineStr">
        <is>
          <t>Select only cell A1 &gt; Conditional Formatting &gt; Greater Than &gt; 50 (but the data is in A1:A3)</t>
        </is>
      </c>
      <c r="AO17" s="19" t="inlineStr">
        <is>
          <t>Select A1:A3 &gt; Home tab &gt; Conditional Formatting &gt; Highlight Cells Rules &gt; Greater Than &gt; 50</t>
        </is>
      </c>
      <c r="AP17" s="18" t="inlineStr">
        <is>
          <t>Condition true = colour shows; condition false = no colour.</t>
        </is>
      </c>
      <c r="AQ17" s="18" t="inlineStr">
        <is>
          <t>A school office highlights attendance below 75 percent in red so teachers can see at a glance who needs follow-up.</t>
        </is>
      </c>
      <c r="AR17" s="18" t="inlineStr">
        <is>
          <t>Interviewer asks: How would you highlight all duplicate values in a column?</t>
        </is>
      </c>
      <c r="AS17" s="18" t="inlineStr">
        <is>
          <t>Like a phone battery icon that turns red by itself when the charge is low.</t>
        </is>
      </c>
      <c r="AT17" s="18" t="inlineStr">
        <is>
          <t>A1 has 30, A2 has 55 and A3 has 80. You apply Highlight Cells Rules &gt; Greater Than &gt; 50 to A1:A3. Which cells are coloured?</t>
        </is>
      </c>
      <c r="AU17" s="18" t="inlineStr">
        <is>
          <t>A) Only A3 B) A1 and A2 C) A2 and A3 D) All three</t>
        </is>
      </c>
      <c r="AV17" s="18" t="inlineStr">
        <is>
          <t>C</t>
        </is>
      </c>
      <c r="AW17" s="18" t="inlineStr">
        <is>
          <t>55 and 80 are greater than 50; 30 is not. Only A3 would be wrong because 55 also passes the rule.</t>
        </is>
      </c>
      <c r="AX17" s="19" t="inlineStr">
        <is>
          <t>To remove a rule, use Conditional Formatting &gt; ____ Rules → Clear</t>
        </is>
      </c>
      <c r="AY17" s="18" t="inlineStr">
        <is>
          <t>Colour all marks that are above 50 in a small three-cell list.</t>
        </is>
      </c>
      <c r="AZ17" s="19" t="inlineStr">
        <is>
          <t>A1: 30
A2: 55
A3: 80
Steps: select A1:A3 &gt; Home tab &gt; Conditional Formatting &gt; Highlight Cells Rules &gt; Greater Than &gt; 50 &gt; OK
Result: A2 and A3 are coloured</t>
        </is>
      </c>
      <c r="BA17" s="18" t="inlineStr">
        <is>
          <t>Write ten of your own numbers and highlight the ones that are below a limit you choose.</t>
        </is>
      </c>
      <c r="BB17" s="19" t="inlineStr">
        <is>
          <t>A1: 10, A2: 45, A3: 60, A4: 25. You apply Highlight Cells Rules &gt; Less Than &gt; 30 to A1:A4. Which cells get coloured?</t>
        </is>
      </c>
      <c r="BC17" s="19" t="inlineStr">
        <is>
          <t>A1 and A4 (10 and 25)</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108" customHeight="1">
      <c r="A18" s="17" t="inlineStr">
        <is>
          <t>XL-016</t>
        </is>
      </c>
      <c r="B18" s="17" t="inlineStr">
        <is>
          <t>03 Formatting &amp; Organising</t>
        </is>
      </c>
      <c r="C18" s="17" t="inlineStr">
        <is>
          <t>Intermediate</t>
        </is>
      </c>
      <c r="D18" s="17" t="n">
        <v>16</v>
      </c>
      <c r="E18" s="17" t="inlineStr">
        <is>
          <t>Claude knowledge</t>
        </is>
      </c>
      <c r="F18" s="18" t="inlineStr">
        <is>
          <t>Data Validation drop-down list</t>
        </is>
      </c>
      <c r="G18" s="18" t="inlineStr">
        <is>
          <t>How can you let a person pick only from a fixed set of choices in a cell, instead of typing anything?</t>
        </is>
      </c>
      <c r="H18" s="18" t="inlineStr">
        <is>
          <t>Data Validation = डेटा वैलिडेशन (data validation)</t>
        </is>
      </c>
      <c r="I18" s="18" t="inlineStr">
        <is>
          <t>Data tab feature</t>
        </is>
      </c>
      <c r="J18" s="18" t="inlineStr">
        <is>
          <t>High</t>
        </is>
      </c>
      <c r="K18" s="18" t="n">
        <v>4</v>
      </c>
      <c r="L18" s="18" t="inlineStr">
        <is>
          <t>Validation means checking that something is correct; Excel Data Validation checks entries against rules, and the List option shows a drop-down of allowed values.</t>
        </is>
      </c>
      <c r="M18" s="18" t="inlineStr">
        <is>
          <t>Point the list Source to a range of cells so you can update choices later without reopening the dialog.</t>
        </is>
      </c>
      <c r="N18" s="18" t="inlineStr">
        <is>
          <t>In Source, separate typed choices with commas, like Yes,No. Some regional settings use a semicolon instead.</t>
        </is>
      </c>
      <c r="O18" s="18" t="inlineStr">
        <is>
          <t>A canteen menu board has only five dishes, so students point at one and nobody orders a dish that does not exist.</t>
        </is>
      </c>
      <c r="P18" s="18" t="inlineStr">
        <is>
          <t>A cell with a small arrow that opens a tidy list showing Yes and No.</t>
        </is>
      </c>
      <c r="Q18" s="18" t="inlineStr">
        <is>
          <t>Satisfaction when everyone fills the sheet in the same clean way.</t>
        </is>
      </c>
      <c r="R18" s="18" t="inlineStr">
        <is>
          <t>Data Validation limits what can be entered in a cell, and a List shows a drop-down with allowed choices.</t>
        </is>
      </c>
      <c r="S18" s="18" t="inlineStr">
        <is>
          <t>सेल में सिर्फ़ तय विकल्प चुनने देना (ड्रॉप-डाउन)</t>
        </is>
      </c>
      <c r="T18" s="19" t="inlineStr">
        <is>
          <t>Steps: click B2 &gt; Data tab &gt; Data Validation &gt; Settings &gt; Allow: List &gt; Source: Yes,No &gt; OK</t>
        </is>
      </c>
      <c r="U18" s="19" t="inlineStr">
        <is>
          <t>Cell B2 shows a small drop-down arrow with two choices: Yes and No; typing anything else shows an error message</t>
        </is>
      </c>
      <c r="V18" s="18" t="inlineStr">
        <is>
          <t>The List option tells Excel which values are allowed in the cell. The person clicks the arrow and picks one, which prevents spelling mistakes. You can also type the values or point to a range of cells.</t>
        </is>
      </c>
      <c r="W18" s="18" t="inlineStr">
        <is>
          <t>Data Validation se aap cell me sirf tay kiye hue options hi allow karte ho. Cell par arrow aata hai aur user list me se choose karta hai, galat spelling nahi ho sakti.</t>
        </is>
      </c>
      <c r="X18" s="18" t="inlineStr">
        <is>
          <t>Like a vending machine with fixed buttons: you can press only the choices that exist.</t>
        </is>
      </c>
      <c r="Y18" s="19" t="inlineStr">
        <is>
          <t>Data tab &gt; Data Validation &gt; Settings &gt; Allow: List &gt; Source: choice1,choice2</t>
        </is>
      </c>
      <c r="Z18" s="18" t="inlineStr">
        <is>
          <t>Allow: List = type of rule | Source = the allowed choices | In-cell dropdown = shows the arrow | Error Alert tab = message when a wrong entry is typed</t>
        </is>
      </c>
      <c r="AA18" s="19" t="inlineStr">
        <is>
          <t>Typed list: Data Validation &gt; Allow: List &gt; Source: Yes,No
Result: cell shows a Yes or No drop-down</t>
        </is>
      </c>
      <c r="AB18" s="19" t="inlineStr">
        <is>
          <t>Range list: type Delhi, Pune, Mumbai in E1:E3 &gt; select B2 &gt; Data Validation &gt; Allow: List &gt; Source: =$E$1:$E$3
Result: drop-down shows the three cities from the range</t>
        </is>
      </c>
      <c r="AC18" s="19" t="inlineStr">
        <is>
          <t>Number rule: Data Validation &gt; Allow: Whole number &gt; between 1 and 100
Result: Excel accepts only whole numbers from 1 to 100 and shows an error for others</t>
        </is>
      </c>
      <c r="AD18" s="19" t="inlineStr">
        <is>
          <t>Source: Red,Green,Blue                (typed list)
Source: =$E$1:$E$3                 (cells list)
Error Alert tab &gt; Style: Stop            (blocks wrong entries)</t>
        </is>
      </c>
      <c r="AE18" s="18" t="inlineStr">
        <is>
          <t>Excel Tables, IF, Conditional Formatting, Filter</t>
        </is>
      </c>
      <c r="AF18" s="18" t="inlineStr">
        <is>
          <t>Input Message, Error Alert, Named ranges, Excel Tables</t>
        </is>
      </c>
      <c r="AG18" s="18" t="inlineStr">
        <is>
          <t>Typing freely and checking later, Form controls, a Table-based list that grows</t>
        </is>
      </c>
      <c r="AH18" s="18" t="inlineStr">
        <is>
          <t>Data Validation, Drop-down, Source, Input Message, Error Alert</t>
        </is>
      </c>
      <c r="AI18" s="18" t="inlineStr">
        <is>
          <t>Attendance sheets with Present or Absent | Order forms with fixed product names | Surveys with a fixed set of answers</t>
        </is>
      </c>
      <c r="AJ18" s="18" t="inlineStr">
        <is>
          <t>A: Some people type Dehli and some type Delhi, so my filter breaks. | B: Add a Data Validation drop-down list for City so everyone picks the same spelling.</t>
        </is>
      </c>
      <c r="AK18" s="18" t="inlineStr">
        <is>
          <t>✗ Data Validation fully stops wrong data from ever entering the cell → ✓ Typing is checked, but pasting values over the cell can bypass the rule, so check pasted data too</t>
        </is>
      </c>
      <c r="AL18" s="18" t="inlineStr">
        <is>
          <t>Data Validation vs Conditional Formatting: Validation controls what can be entered, while Conditional Formatting only changes how cells look.</t>
        </is>
      </c>
      <c r="AM18" s="18" t="inlineStr">
        <is>
          <t>Do not type spaces after commas in a typed list unless you want them to become part of the choice.</t>
        </is>
      </c>
      <c r="AN18" s="19" t="inlineStr">
        <is>
          <t>Source: Yes No   (one single choice with a space between the words)</t>
        </is>
      </c>
      <c r="AO18" s="19" t="inlineStr">
        <is>
          <t>Source: Yes,No   (two separate choices)</t>
        </is>
      </c>
      <c r="AP18" s="18" t="inlineStr">
        <is>
          <t>Validation = Value limits; List = Lets only listed choices in.</t>
        </is>
      </c>
      <c r="AQ18" s="18" t="inlineStr">
        <is>
          <t>A school coordinator uses a Present, Absent, Leave drop-down in the attendance sheet so counts are always correct.</t>
        </is>
      </c>
      <c r="AR18" s="18" t="inlineStr">
        <is>
          <t>Interviewer asks: How would you stop users from typing wrong spellings in a Status column?</t>
        </is>
      </c>
      <c r="AS18" s="18" t="inlineStr">
        <is>
          <t>Like the fixed Yes or No buttons on a form instead of a blank box.</t>
        </is>
      </c>
      <c r="AT18" s="18" t="inlineStr">
        <is>
          <t>In Data Validation with Allow: List, the Source box contains Red,Green,Blue. How many choices appear in the drop-down?</t>
        </is>
      </c>
      <c r="AU18" s="18" t="inlineStr">
        <is>
          <t>A) 1 B) 2 C) 3 D) 4</t>
        </is>
      </c>
      <c r="AV18" s="18" t="inlineStr">
        <is>
          <t>C</t>
        </is>
      </c>
      <c r="AW18" s="18" t="inlineStr">
        <is>
          <t>Commas separate the typed list into Red, Green and Blue, which makes three choices.</t>
        </is>
      </c>
      <c r="AX18" s="19" t="inlineStr">
        <is>
          <t>In Data Validation, the setting to choose a drop-down is Allow: ____ → List</t>
        </is>
      </c>
      <c r="AY18" s="18" t="inlineStr">
        <is>
          <t>Make a cell that lets the user pick only Yes or No.</t>
        </is>
      </c>
      <c r="AZ18" s="19" t="inlineStr">
        <is>
          <t>Steps: click B2 &gt; Data tab &gt; Data Validation &gt; Settings &gt; Allow: List &gt; Source: Yes,No &gt; OK
Result: B2 shows a drop-down with Yes and No</t>
        </is>
      </c>
      <c r="BA18" s="18" t="inlineStr">
        <is>
          <t>Create a drop-down of your own favourite fruits in one cell and test that a wrong word is rejected.</t>
        </is>
      </c>
      <c r="BB18" s="19" t="inlineStr">
        <is>
          <t>In Data Validation, Allow is List and Source is typed as Pen,Book,Ink. How many items are in the drop-down and which is the second?</t>
        </is>
      </c>
      <c r="BC18" s="19" t="inlineStr">
        <is>
          <t>3 items; the second is Book</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121.5" customHeight="1">
      <c r="A19" s="17" t="inlineStr">
        <is>
          <t>XL-017</t>
        </is>
      </c>
      <c r="B19" s="17" t="inlineStr">
        <is>
          <t>03 Formatting &amp; Organising</t>
        </is>
      </c>
      <c r="C19" s="17" t="inlineStr">
        <is>
          <t>Beginner</t>
        </is>
      </c>
      <c r="D19" s="17" t="n">
        <v>17</v>
      </c>
      <c r="E19" s="17" t="inlineStr">
        <is>
          <t>Claude knowledge</t>
        </is>
      </c>
      <c r="F19" s="18" t="inlineStr">
        <is>
          <t>Remove Duplicates</t>
        </is>
      </c>
      <c r="G19" s="18" t="inlineStr">
        <is>
          <t>Which Data tab button deletes repeated rows from a list and keeps just one of each?</t>
        </is>
      </c>
      <c r="H19" s="18" t="inlineStr">
        <is>
          <t>Remove Duplicates = रिमूव डुप्लिकेट्स (remove duplicates)</t>
        </is>
      </c>
      <c r="I19" s="18" t="inlineStr">
        <is>
          <t>Data tab feature</t>
        </is>
      </c>
      <c r="J19" s="18" t="inlineStr">
        <is>
          <t>High</t>
        </is>
      </c>
      <c r="K19" s="18" t="n">
        <v>4</v>
      </c>
      <c r="L19" s="18" t="inlineStr">
        <is>
          <t>A duplicate is an exact copy; Excel added this tool so people could clean lists that contain the same entry more than once.</t>
        </is>
      </c>
      <c r="M19" s="18" t="inlineStr">
        <is>
          <t>Make a copy of your sheet first, because Remove Duplicates permanently deletes rows and you cannot rely on a filter to bring them back.</t>
        </is>
      </c>
      <c r="N19" s="18" t="inlineStr">
        <is>
          <t>Click one cell in the list, then Data tab &gt; Remove Duplicates and tick only the columns that must match.</t>
        </is>
      </c>
      <c r="O19" s="18" t="inlineStr">
        <is>
          <t>A teacher sees the same student sign the register twice, crosses out the second signature, and keeps only one for each child.</t>
        </is>
      </c>
      <c r="P19" s="18" t="inlineStr">
        <is>
          <t>A list of names where the second Asha slides out of the sheet and a clean list remains.</t>
        </is>
      </c>
      <c r="Q19" s="18" t="inlineStr">
        <is>
          <t>Relief when a messy repeated list becomes clean and countable.</t>
        </is>
      </c>
      <c r="R19" s="18" t="inlineStr">
        <is>
          <t>Remove Duplicates deletes rows that repeat the same values in the columns you choose, keeping the first one.</t>
        </is>
      </c>
      <c r="S19" s="18" t="inlineStr">
        <is>
          <t>दोहराई गई पंक्तियाँ हटाना, सिर्फ़ पहली रखना</t>
        </is>
      </c>
      <c r="T19" s="19" t="inlineStr">
        <is>
          <t>A1: Name
A2: Asha
A3: Ravi
A4: Asha
A5: Meena
Steps: click A1 &gt; Data tab &gt; Remove Duplicates &gt; tick Name &gt; OK</t>
        </is>
      </c>
      <c r="U19" s="19" t="inlineStr">
        <is>
          <t>Message: 1 duplicate values found and removed; 3 unique values remain. Column A now has Name, Asha, Ravi, Meena</t>
        </is>
      </c>
      <c r="V19" s="18" t="inlineStr">
        <is>
          <t>Excel compares the values in the ticked columns. When it finds the same values again, it deletes the later row and keeps the first one. It is not case-sensitive, so Asha and ASHA count as the same.</t>
        </is>
      </c>
      <c r="W19" s="18" t="inlineStr">
        <is>
          <t>Remove Duplicates se list me jo naam do baar aaye hain, unme se pehla rakha jata hai aur baaki delete ho jate hain. Delete hone se pehle ek copy bana lena achha rehta hai.</t>
        </is>
      </c>
      <c r="X19" s="18" t="inlineStr">
        <is>
          <t>Like keeping only one copy of the same photo in your gallery and deleting the repeated ones.</t>
        </is>
      </c>
      <c r="Y19" s="19" t="inlineStr">
        <is>
          <t>Data tab &gt; Remove Duplicates &gt; tick the columns to compare &gt; OK</t>
        </is>
      </c>
      <c r="Z19" s="18" t="inlineStr">
        <is>
          <t>Data tab = where the button lives | My data has headers = row 1 is not compared | Column tick boxes = columns that must match | OK = deletes the repeats</t>
        </is>
      </c>
      <c r="AA19" s="19" t="inlineStr">
        <is>
          <t>One column: select a list of names &gt; Data tab &gt; Remove Duplicates &gt; tick Name &gt; OK
Result: each name appears only once</t>
        </is>
      </c>
      <c r="AB19" s="19" t="inlineStr">
        <is>
          <t>Two columns: tick Name and City &gt; OK
Result: a row is removed only when both Name and City match an earlier row</t>
        </is>
      </c>
      <c r="AC19" s="19" t="inlineStr">
        <is>
          <t>Check first without deleting: select names &gt; Home tab &gt; Conditional Formatting &gt; Highlight Cells Rules &gt; Duplicate Values &gt; OK
Result: repeated names are coloured and nothing is deleted</t>
        </is>
      </c>
      <c r="AD19" s="19" t="inlineStr">
        <is>
          <t>Tick only Name                       (rows match by name alone)
Tick Name and City                   (rows match only if both are the same)
UNIQUE function in Microsoft 365   (creates a new list without deleting)</t>
        </is>
      </c>
      <c r="AE19" s="18" t="inlineStr">
        <is>
          <t>Sort, Filter, Conditional Formatting, Excel Tables</t>
        </is>
      </c>
      <c r="AF19" s="18" t="inlineStr">
        <is>
          <t>UNIQUE function, Conditional Formatting duplicates, COUNTIF, PivotTable</t>
        </is>
      </c>
      <c r="AG19" s="18" t="inlineStr">
        <is>
          <t>UNIQUE function (Microsoft 365 or Excel 2021 or later), Highlight duplicates then delete by hand, PivotTable</t>
        </is>
      </c>
      <c r="AH19" s="18" t="inlineStr">
        <is>
          <t>Duplicate, Unique, Remove, Compare, Clean data</t>
        </is>
      </c>
      <c r="AI19" s="18" t="inlineStr">
        <is>
          <t>Cleaning an email or mobile number list | Making a list of unique customers | Preparing data before a PivotTable</t>
        </is>
      </c>
      <c r="AJ19" s="18" t="inlineStr">
        <is>
          <t>A: My list has the same student three times and the count is wrong. | B: Use Data tab &gt; Remove Duplicates, tick the Name column, and keep a backup copy first.</t>
        </is>
      </c>
      <c r="AK19" s="18" t="inlineStr">
        <is>
          <t>✗ Remove Duplicates deletes every row that appears more than once, including the first → ✓ It keeps the first one and removes only the later repeats</t>
        </is>
      </c>
      <c r="AL19" s="18" t="inlineStr">
        <is>
          <t>Remove Duplicates vs Duplicate Values highlighting: Remove Duplicates deletes repeated rows, while highlighting only colours them so you can review.</t>
        </is>
      </c>
      <c r="AM19" s="18" t="inlineStr">
        <is>
          <t>Do not use Remove Duplicates on your only copy of the data without checking which columns you ticked.</t>
        </is>
      </c>
      <c r="AN19" s="19" t="inlineStr">
        <is>
          <t>Select only column A (Name) of a Name and City list &gt; Remove Duplicates &gt; Continue with the current selection</t>
        </is>
      </c>
      <c r="AO19" s="19" t="inlineStr">
        <is>
          <t>Click one cell in the list &gt; Data tab &gt; Remove Duplicates &gt; tick the columns that define a repeat (for example Name and City)</t>
        </is>
      </c>
      <c r="AP19" s="18" t="inlineStr">
        <is>
          <t>Remove Duplicates = Remove repeats, Keep the first.</t>
        </is>
      </c>
      <c r="AQ19" s="18" t="inlineStr">
        <is>
          <t>A marketing assistant removes repeated email addresses from a mailing list so nobody gets the same message twice.</t>
        </is>
      </c>
      <c r="AR19" s="18" t="inlineStr">
        <is>
          <t>Interviewer asks: How do you find and remove duplicate entries in Excel without using formulas?</t>
        </is>
      </c>
      <c r="AS19" s="18" t="inlineStr">
        <is>
          <t>Like removing the same song that was downloaded twice from your playlist.</t>
        </is>
      </c>
      <c r="AT19" s="18" t="inlineStr">
        <is>
          <t>A Name column has Pen, Book, Pen, Pen, Ink and you run Remove Duplicates on it. How many unique values remain?</t>
        </is>
      </c>
      <c r="AU19" s="18" t="inlineStr">
        <is>
          <t>A) 5 B) 4 C) 3 D) 2</t>
        </is>
      </c>
      <c r="AV19" s="18" t="inlineStr">
        <is>
          <t>C</t>
        </is>
      </c>
      <c r="AW19" s="18" t="inlineStr">
        <is>
          <t>The unique values are Pen, Book and Ink, so 3 remain and 2 repeated Pen rows are removed.</t>
        </is>
      </c>
      <c r="AX19" s="19" t="inlineStr">
        <is>
          <t>The tab that holds the Remove Duplicates button is the ____ tab → Data</t>
        </is>
      </c>
      <c r="AY19" s="18" t="inlineStr">
        <is>
          <t>Remove the repeated name from a small list so each name appears only once.</t>
        </is>
      </c>
      <c r="AZ19" s="19" t="inlineStr">
        <is>
          <t>A1: Name
A2: Asha
A3: Ravi
A4: Asha
Steps: click A1 &gt; Data tab &gt; Remove Duplicates &gt; tick Name &gt; OK
Result: Asha, Ravi</t>
        </is>
      </c>
      <c r="BA19" s="18" t="inlineStr">
        <is>
          <t>Type ten names with a few repeats on purpose and remove the duplicates, then count what remains.</t>
        </is>
      </c>
      <c r="BB19" s="19" t="inlineStr">
        <is>
          <t>A1: Name. A2: Pen, A3: Book, A4: Pen, A5: Pen, A6: Ink. You use Data tab &gt; Remove Duplicates on the Name column. How many duplicates are removed and how many unique values remain?</t>
        </is>
      </c>
      <c r="BC19" s="19" t="inlineStr">
        <is>
          <t>2 duplicates removed; 3 unique values remain (Pen, Book, Ink)</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135" customHeight="1">
      <c r="A20" s="17" t="inlineStr">
        <is>
          <t>XL-018</t>
        </is>
      </c>
      <c r="B20" s="17" t="inlineStr">
        <is>
          <t>03 Formatting &amp; Organising</t>
        </is>
      </c>
      <c r="C20" s="17" t="inlineStr">
        <is>
          <t>Intermediate</t>
        </is>
      </c>
      <c r="D20" s="17" t="n">
        <v>18</v>
      </c>
      <c r="E20" s="17" t="inlineStr">
        <is>
          <t>Claude knowledge</t>
        </is>
      </c>
      <c r="F20" s="18" t="inlineStr">
        <is>
          <t>Paste Special</t>
        </is>
      </c>
      <c r="G20" s="18" t="inlineStr">
        <is>
          <t>How can you paste only the value, or only the format, or flip rows to columns, instead of a plain full paste?</t>
        </is>
      </c>
      <c r="H20" s="18" t="inlineStr">
        <is>
          <t>Paste Special = पेस्ट स्पेशल (paste special)</t>
        </is>
      </c>
      <c r="I20" s="18" t="inlineStr">
        <is>
          <t>Home tab feature with shortcut</t>
        </is>
      </c>
      <c r="J20" s="18" t="inlineStr">
        <is>
          <t>High</t>
        </is>
      </c>
      <c r="K20" s="18" t="n">
        <v>4</v>
      </c>
      <c r="L20" s="18" t="inlineStr">
        <is>
          <t>Normal paste copies everything; Paste Special was added so users could choose exactly which parts, such as values or formats, to bring over.</t>
        </is>
      </c>
      <c r="M20" s="18" t="inlineStr">
        <is>
          <t>After copying cells, press Ctrl+Alt+V on Windows to open the Paste Special box quickly.</t>
        </is>
      </c>
      <c r="N20" s="18" t="inlineStr">
        <is>
          <t>Press Ctrl+C first, then Ctrl+Alt+V. The Paste Special box only opens after you copy cells.</t>
        </is>
      </c>
      <c r="O20" s="18" t="inlineStr">
        <is>
          <t>At a buffet you choose only the rice and skip the curry, so you carry just the part you wanted to your plate.</t>
        </is>
      </c>
      <c r="P20" s="18" t="inlineStr">
        <is>
          <t>A small dialog box with round buttons named All, Values, Formats and a tick box named Transpose.</t>
        </is>
      </c>
      <c r="Q20" s="18" t="inlineStr">
        <is>
          <t>The pleasure of pasting without breaking anything.</t>
        </is>
      </c>
      <c r="R20" s="18" t="inlineStr">
        <is>
          <t>Paste Special lets you paste only selected parts of copied cells, such as values, formats or a calculation.</t>
        </is>
      </c>
      <c r="S20" s="18" t="inlineStr">
        <is>
          <t>कॉपी की हुई चीज़ का सिर्फ़ चुना हुआ हिस्सा पेस्ट करना</t>
        </is>
      </c>
      <c r="T20" s="19" t="inlineStr">
        <is>
          <t>A1: 10
A2: 20
A3: =SUM(A1:A2)
Steps: click A3 &gt; Ctrl+C &gt; click B1 &gt; Ctrl+Alt+V &gt; choose Values &gt; OK
B1 now holds a plain number, not a formula</t>
        </is>
      </c>
      <c r="U20" s="19" t="inlineStr">
        <is>
          <t>B1 shows 30 and is a fixed number (it does not change if A1 or A2 changes)</t>
        </is>
      </c>
      <c r="V20" s="18" t="inlineStr">
        <is>
          <t>A normal paste copies the formula, and its references can change. Paste Special with Values pastes only the result, so it stays fixed. Other options paste formats, apply a maths operation, or transpose rows and columns.</t>
        </is>
      </c>
      <c r="W20" s="18" t="inlineStr">
        <is>
          <t>Paste Special me aap batate ho ki kya paste karna hai. Values chuno to formula nahi, sirf number aata hai. Isse result fix ho jata hai.</t>
        </is>
      </c>
      <c r="X20" s="18" t="inlineStr">
        <is>
          <t>Like photocopying only the answer from a worked-out sheet, not the working steps.</t>
        </is>
      </c>
      <c r="Y20" s="19" t="inlineStr">
        <is>
          <t>Ctrl+C, then Ctrl+Alt+V (or Home tab &gt; Paste &gt; Paste Special)</t>
        </is>
      </c>
      <c r="Z20" s="18" t="inlineStr">
        <is>
          <t>Ctrl+C = copy first | Ctrl+Alt+V = open Paste Special | Values / Formulas / Formats = what to paste | Operation (Add, Multiply) = maths on the target | Transpose = swap rows and columns</t>
        </is>
      </c>
      <c r="AA20" s="19" t="inlineStr">
        <is>
          <t>Values: copy A3 (=SUM(A1:A2)) &gt; click B1 &gt; Ctrl+Alt+V &gt; Values &gt; OK
Result: B1 holds the number 30, no formula</t>
        </is>
      </c>
      <c r="AB20" s="19" t="inlineStr">
        <is>
          <t>Transpose: A1: Pen, A2: Book, A3: Ink &gt; copy A1:A3 &gt; click C1 &gt; Ctrl+Alt+V &gt; tick Transpose &gt; OK
Result: C1: Pen, D1: Book, E1: Ink (column turned into a row)</t>
        </is>
      </c>
      <c r="AC20" s="19" t="inlineStr">
        <is>
          <t>Multiply: type 10 in D1 &gt; copy D1 &gt; select A1:A2 (5 and 8) &gt; Ctrl+Alt+V &gt; Multiply &gt; OK
Result: A1 becomes 50 and A2 becomes 80</t>
        </is>
      </c>
      <c r="AD20" s="19" t="inlineStr">
        <is>
          <t>Ctrl+Alt+V &gt; Values          (numbers only, no formulas)
Ctrl+Alt+V &gt; Formats         (copy only the look)
Ctrl+Alt+V &gt; Column widths    (copy the width of columns)</t>
        </is>
      </c>
      <c r="AE20" s="18" t="inlineStr">
        <is>
          <t>Copy, Formulas, Transpose, Conditional Formatting</t>
        </is>
      </c>
      <c r="AF20" s="18" t="inlineStr">
        <is>
          <t>Copy and Paste, Transpose, Format Painter, Fill Handle</t>
        </is>
      </c>
      <c r="AG20" s="18" t="inlineStr">
        <is>
          <t>Format Painter (formats only), TRANSPOSE function, a plain Ctrl+V and manual edits</t>
        </is>
      </c>
      <c r="AH20" s="18" t="inlineStr">
        <is>
          <t>Paste, Paste Special, Values, Formats, Transpose</t>
        </is>
      </c>
      <c r="AI20" s="18" t="inlineStr">
        <is>
          <t>Freezing a formula result as a fixed number | Turning a list in a column into a row | Copying the look of one table to another</t>
        </is>
      </c>
      <c r="AJ20" s="18" t="inlineStr">
        <is>
          <t>A: When I copy my formula result to another sheet it shows a wrong number or an error. | B: Copy it, then use Ctrl+Alt+V and choose Values so only the number is pasted.</t>
        </is>
      </c>
      <c r="AK20" s="18" t="inlineStr">
        <is>
          <t>✗ Ctrl+V and Paste Special Values give the same thing → ✓ Ctrl+V pastes the formula, which can change or break, while Values pastes only the final number</t>
        </is>
      </c>
      <c r="AL20" s="18" t="inlineStr">
        <is>
          <t>Paste Special Values vs Format Painter: Values pastes the data without formulas, while Format Painter copies only how cells look.</t>
        </is>
      </c>
      <c r="AM20" s="18" t="inlineStr">
        <is>
          <t>Do not paste values over cells that still need their formulas, because the formulas are lost.</t>
        </is>
      </c>
      <c r="AN20" s="19" t="inlineStr">
        <is>
          <t>Press Ctrl+V to paste a copied formula result into a report and expect it to stay fixed</t>
        </is>
      </c>
      <c r="AO20" s="19" t="inlineStr">
        <is>
          <t>Ctrl+C &gt; Ctrl+Alt+V &gt; Values &gt; OK</t>
        </is>
      </c>
      <c r="AP20" s="18" t="inlineStr">
        <is>
          <t>Paste Special = Pick just what you Show on the new spot.</t>
        </is>
      </c>
      <c r="AQ20" s="18" t="inlineStr">
        <is>
          <t>An analyst pastes a monthly report as values before emailing it so that no formulas point to missing sheets.</t>
        </is>
      </c>
      <c r="AR20" s="18" t="inlineStr">
        <is>
          <t>Interviewer asks: How do you convert formulas to static values in Excel?</t>
        </is>
      </c>
      <c r="AS20" s="18" t="inlineStr">
        <is>
          <t>Like taking a screenshot of an answer instead of sharing the whole calculation.</t>
        </is>
      </c>
      <c r="AT20" s="18" t="inlineStr">
        <is>
          <t>You copy a cell with =SUM(A1:A2) that shows 30, and paste into B1 using Paste Special &gt; Values. What is in B1?</t>
        </is>
      </c>
      <c r="AU20" s="18" t="inlineStr">
        <is>
          <t>A) The formula =SUM(A1:A2) B) The number 30 as a fixed value C) The text SUM D) Nothing</t>
        </is>
      </c>
      <c r="AV20" s="18" t="inlineStr">
        <is>
          <t>B</t>
        </is>
      </c>
      <c r="AW20" s="18" t="inlineStr">
        <is>
          <t>Values pastes only the calculated result; the formula stays only in the original cell.</t>
        </is>
      </c>
      <c r="AX20" s="19" t="inlineStr">
        <is>
          <t>On Windows, the shortcut to open Paste Special is Ctrl+Alt+____ → V</t>
        </is>
      </c>
      <c r="AY20" s="18" t="inlineStr">
        <is>
          <t>Copy a total from a formula cell and paste it as a plain number.</t>
        </is>
      </c>
      <c r="AZ20" s="19" t="inlineStr">
        <is>
          <t>A1: 10
A2: 20
A3: =SUM(A1:A2)
Steps: click A3 &gt; Ctrl+C &gt; click B1 &gt; Ctrl+Alt+V &gt; Values &gt; OK
Result: B1 shows 30 as a plain number</t>
        </is>
      </c>
      <c r="BA20" s="18" t="inlineStr">
        <is>
          <t>Copy a small column of your own numbers and paste it as a row using Transpose.</t>
        </is>
      </c>
      <c r="BB20" s="19" t="inlineStr">
        <is>
          <t>A1: 5, A2: 8, D1: 2. You copy D1, select A1:A2, then Ctrl+Alt+V &gt; Multiply &gt; OK. What are A1 and A2 afterwards?</t>
        </is>
      </c>
      <c r="BC20" s="19" t="inlineStr">
        <is>
          <t>A1 is 10 and A2 is 16</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108" customHeight="1">
      <c r="A21" s="17" t="inlineStr">
        <is>
          <t>XL-019</t>
        </is>
      </c>
      <c r="B21" s="17" t="inlineStr">
        <is>
          <t>04 Logic</t>
        </is>
      </c>
      <c r="C21" s="17" t="inlineStr">
        <is>
          <t>Beginner</t>
        </is>
      </c>
      <c r="D21" s="17" t="n">
        <v>19</v>
      </c>
      <c r="E21" s="17" t="inlineStr">
        <is>
          <t>Claude knowledge</t>
        </is>
      </c>
      <c r="F21" s="18" t="inlineStr">
        <is>
          <t>IF</t>
        </is>
      </c>
      <c r="G21" s="18" t="inlineStr">
        <is>
          <t>Which function lets Excel choose between two results depending on whether a test is true or false?</t>
        </is>
      </c>
      <c r="H21" s="18" t="inlineStr">
        <is>
          <t>IF = इफ़ (if)</t>
        </is>
      </c>
      <c r="I21" s="18" t="inlineStr">
        <is>
          <t>Logical function</t>
        </is>
      </c>
      <c r="J21" s="18" t="inlineStr">
        <is>
          <t>Very high</t>
        </is>
      </c>
      <c r="K21" s="18" t="n">
        <v>5</v>
      </c>
      <c r="L21" s="18" t="inlineStr">
        <is>
          <t>IF comes from plain English if, as in if it rains, take an umbrella; it has been a core Excel function since the earliest versions.</t>
        </is>
      </c>
      <c r="M21" s="18" t="inlineStr">
        <is>
          <t>Write the test first in your head in plain words, then convert it, such as marks at least 40.</t>
        </is>
      </c>
      <c r="N21" s="18" t="inlineStr">
        <is>
          <t>Put text results inside double quotes, like "Pass". Do not forget the commas between the three parts.</t>
        </is>
      </c>
      <c r="O21" s="18" t="inlineStr">
        <is>
          <t>A guard at a cinema door checks your ticket: if it is valid you go in, otherwise you are told to go home.</t>
        </is>
      </c>
      <c r="P21" s="18" t="inlineStr">
        <is>
          <t>A road with a signpost that points left for Pass and right for Fail.</t>
        </is>
      </c>
      <c r="Q21" s="18" t="inlineStr">
        <is>
          <t>Power to make a sheet decide things for you.</t>
        </is>
      </c>
      <c r="R21" s="18" t="inlineStr">
        <is>
          <t>IF checks a condition and returns one result if it is true and another if it is false.</t>
        </is>
      </c>
      <c r="S21" s="18" t="inlineStr">
        <is>
          <t>शर्त जाँचकर दो में से एक परिणाम देना</t>
        </is>
      </c>
      <c r="T21" s="19" t="inlineStr">
        <is>
          <t>A1: 55
B1: =IF(A1&gt;=40,"Pass","Fail")</t>
        </is>
      </c>
      <c r="U21" s="19" t="inlineStr">
        <is>
          <t>Pass</t>
        </is>
      </c>
      <c r="V21" s="18" t="inlineStr">
        <is>
          <t>IF takes three parts: a test, the result if the test is true, and the result if the test is false. Here 55 is greater than or equal to 40, so Excel returns Pass. Text results must be inside double quotes.</t>
        </is>
      </c>
      <c r="W21" s="18" t="inlineStr">
        <is>
          <t>IF function pehle condition check karta hai. Condition sahi hai to pehla jawab deta hai, galat hai to doosra. Text ko double quotes me likhna zaroori hai.</t>
        </is>
      </c>
      <c r="X21" s="18" t="inlineStr">
        <is>
          <t>Like a lift that goes up if you press up and goes down if you press down.</t>
        </is>
      </c>
      <c r="Y21" s="19" t="inlineStr">
        <is>
          <t>=IF(logical_test, value_if_true, value_if_false)</t>
        </is>
      </c>
      <c r="Z21" s="18" t="inlineStr">
        <is>
          <t>logical_test = the question that is TRUE or FALSE | value_if_true = result when true | value_if_false = result when false | , = separates the parts</t>
        </is>
      </c>
      <c r="AA21" s="19" t="inlineStr">
        <is>
          <t>Text result: A1: 55
B1: =IF(A1&gt;=40,"Pass","Fail")
Shows: Pass</t>
        </is>
      </c>
      <c r="AB21" s="19" t="inlineStr">
        <is>
          <t>Number result (discount): A1: 1200
B1: =IF(A1&gt;=1000,A1*0.1,0)
Shows: 120</t>
        </is>
      </c>
      <c r="AC21" s="19" t="inlineStr">
        <is>
          <t>Check for blank: A1 is empty
B1: =IF(A1="","Empty","Filled")
Shows: Empty</t>
        </is>
      </c>
      <c r="AD21" s="19" t="inlineStr">
        <is>
          <t>=IF(A1&gt;=80,"A",IF(A1&gt;=40,"B","C"))   (nested IF: A1 = 55 gives B)
=IF(A1&gt;=40,"Pass")                   (if false it shows FALSE)
=IF(A1&lt;&gt;"","Done","")              (blank when not done)</t>
        </is>
      </c>
      <c r="AE21" s="18" t="inlineStr">
        <is>
          <t>AND, OR, SUM, COUNTIF</t>
        </is>
      </c>
      <c r="AF21" s="18" t="inlineStr">
        <is>
          <t>AND, OR, IFS, IFERROR</t>
        </is>
      </c>
      <c r="AG21" s="18" t="inlineStr">
        <is>
          <t>IFS function (Excel 2019 or later), SWITCH function, Conditional Formatting for colours</t>
        </is>
      </c>
      <c r="AH21" s="18" t="inlineStr">
        <is>
          <t>IF, IFS, IFERROR, AND, OR, NOT</t>
        </is>
      </c>
      <c r="AI21" s="18" t="inlineStr">
        <is>
          <t>Pass or Fail results in a marksheet | Discounts for bills above a limit | Showing Paid or Due on a fee list</t>
        </is>
      </c>
      <c r="AJ21" s="18" t="inlineStr">
        <is>
          <t>A: I want a column that says Pass when marks are 40 or more, and Fail otherwise. | B: Use =IF(A1&gt;=40,"Pass","Fail") and copy it down the column.</t>
        </is>
      </c>
      <c r="AK21" s="18" t="inlineStr">
        <is>
          <t>✗ IF(A1&gt;=40,Pass,Fail) works without quotes around text → ✓ Without quotes Excel treats Pass as a name and shows #NAME?; write "Pass" and "Fail"</t>
        </is>
      </c>
      <c r="AL21" s="18" t="inlineStr">
        <is>
          <t>IF vs IFS: IF checks one test with two results, while IFS (newer versions) checks many tests in order without nesting.</t>
        </is>
      </c>
      <c r="AM21" s="18" t="inlineStr">
        <is>
          <t>Do not nest many IFs inside each other when a simple lookup would be clearer.</t>
        </is>
      </c>
      <c r="AN21" s="19" t="inlineStr">
        <is>
          <t>=IF(A1&gt;=40,Pass,Fail)</t>
        </is>
      </c>
      <c r="AO21" s="19" t="inlineStr">
        <is>
          <t>=IF(A1&gt;=40,"Pass","Fail")</t>
        </is>
      </c>
      <c r="AP21" s="18" t="inlineStr">
        <is>
          <t>IF = Test, Then this, Else that.</t>
        </is>
      </c>
      <c r="AQ21" s="18" t="inlineStr">
        <is>
          <t>A school teacher uses IF to mark each student Pass or Fail from the total marks column.</t>
        </is>
      </c>
      <c r="AR21" s="18" t="inlineStr">
        <is>
          <t>Interviewer asks: Write a formula that gives a 10 percent discount if the bill is 1000 or more, else zero.</t>
        </is>
      </c>
      <c r="AS21" s="18" t="inlineStr">
        <is>
          <t>Like deciding: if it is cold, wear a jacket; otherwise do not.</t>
        </is>
      </c>
      <c r="AT21" s="18" t="inlineStr">
        <is>
          <t>B2 holds the number 50. What does =IF(B2&gt;50,"High","Low") show?</t>
        </is>
      </c>
      <c r="AU21" s="18" t="inlineStr">
        <is>
          <t>A) High B) Low C) 50 D) FALSE</t>
        </is>
      </c>
      <c r="AV21" s="18" t="inlineStr">
        <is>
          <t>B</t>
        </is>
      </c>
      <c r="AW21" s="18" t="inlineStr">
        <is>
          <t>50 is not greater than 50, so the test is false and the third part, Low, is returned.</t>
        </is>
      </c>
      <c r="AX21" s="19" t="inlineStr">
        <is>
          <t>In =IF(A1&gt;=40,"Pass",____), type the text shown when the mark is below 40 → "Fail"</t>
        </is>
      </c>
      <c r="AY21" s="18" t="inlineStr">
        <is>
          <t>Write a formula that shows Pass if A1 is 40 or more, otherwise Fail.</t>
        </is>
      </c>
      <c r="AZ21" s="19" t="inlineStr">
        <is>
          <t>A1: 35
B1: =IF(A1&gt;=40,"Pass","Fail")
Result: Fail</t>
        </is>
      </c>
      <c r="BA21" s="18" t="inlineStr">
        <is>
          <t>Write an IF formula of your own that shows Yes if your daily steps are above 5000, and No otherwise.</t>
        </is>
      </c>
      <c r="BB21" s="19" t="inlineStr">
        <is>
          <t>A1: 35
B1: =IF(A1&gt;=40,"Pass","Fail")
What does B1 show?</t>
        </is>
      </c>
      <c r="BC21" s="19" t="inlineStr">
        <is>
          <t>Fail</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94.5" customHeight="1">
      <c r="A22" s="17" t="inlineStr">
        <is>
          <t>XL-020</t>
        </is>
      </c>
      <c r="B22" s="17" t="inlineStr">
        <is>
          <t>04 Logic</t>
        </is>
      </c>
      <c r="C22" s="17" t="inlineStr">
        <is>
          <t>Intermediate</t>
        </is>
      </c>
      <c r="D22" s="17" t="n">
        <v>20</v>
      </c>
      <c r="E22" s="17" t="inlineStr">
        <is>
          <t>Claude knowledge</t>
        </is>
      </c>
      <c r="F22" s="18" t="inlineStr">
        <is>
          <t>AND and OR</t>
        </is>
      </c>
      <c r="G22" s="18" t="inlineStr">
        <is>
          <t>Which two functions let one test check several conditions, where one demands that all pass and the other only that any pass?</t>
        </is>
      </c>
      <c r="H22" s="18" t="inlineStr">
        <is>
          <t>AND = एंड (and), OR = ओआर (or)</t>
        </is>
      </c>
      <c r="I22" s="18" t="inlineStr">
        <is>
          <t>Logical functions</t>
        </is>
      </c>
      <c r="J22" s="18" t="inlineStr">
        <is>
          <t>High</t>
        </is>
      </c>
      <c r="K22" s="18" t="n">
        <v>5</v>
      </c>
      <c r="L22" s="18" t="inlineStr">
        <is>
          <t>AND and OR come from basic logic and ordinary English words, and they let a formula combine several conditions into one TRUE or FALSE answer.</t>
        </is>
      </c>
      <c r="M22" s="18" t="inlineStr">
        <is>
          <t>Put AND or OR inside IF as its first part to make rules such as pass both subjects.</t>
        </is>
      </c>
      <c r="N22" s="18" t="inlineStr">
        <is>
          <t>Separate conditions with commas inside the brackets. Close the brackets for both AND and IF.</t>
        </is>
      </c>
      <c r="O22" s="18" t="inlineStr">
        <is>
          <t>To enter a ride you need height AND a ticket, but to get in a quick queue you need a senior card OR a disabled pass.</t>
        </is>
      </c>
      <c r="P22" s="18" t="inlineStr">
        <is>
          <t>Two gates in a row for AND, and two separate doors with either one open for OR.</t>
        </is>
      </c>
      <c r="Q22" s="18" t="inlineStr">
        <is>
          <t>Clarity when a tricky rule becomes one short formula.</t>
        </is>
      </c>
      <c r="R22" s="18" t="inlineStr">
        <is>
          <t>AND returns TRUE only if all conditions are true; OR returns TRUE if at least one condition is true.</t>
        </is>
      </c>
      <c r="S22" s="18" t="inlineStr">
        <is>
          <t>AND में सारी शर्तें सही हों, OR में कोई एक सही हो</t>
        </is>
      </c>
      <c r="T22" s="19" t="inlineStr">
        <is>
          <t>A1: 50
B1: 30
C1: =AND(A1&gt;=40,B1&gt;=40)
D1: =OR(A1&gt;=40,B1&gt;=40)</t>
        </is>
      </c>
      <c r="U22" s="19" t="inlineStr">
        <is>
          <t>C1 shows FALSE and D1 shows TRUE</t>
        </is>
      </c>
      <c r="V22" s="18" t="inlineStr">
        <is>
          <t>AND checks every condition, and since B1 (30) is below 40 it gives FALSE. OR needs only one true condition, and A1 (50) is at least 40, so it gives TRUE. Both return TRUE or FALSE, which you can place inside IF.</t>
        </is>
      </c>
      <c r="W22" s="18" t="inlineStr">
        <is>
          <t>AND me saari conditions sahi honi chahiye, warna FALSE. OR me koi ek condition sahi ho to TRUE. Dono TRUE ya FALSE dete hain.</t>
        </is>
      </c>
      <c r="X22" s="18" t="inlineStr">
        <is>
          <t>AND is like needing both a key and a password to open a locker; OR is like opening it with either the key or the spare card.</t>
        </is>
      </c>
      <c r="Y22" s="19" t="inlineStr">
        <is>
          <t>=AND(test1, test2, ...) and =OR(test1, test2, ...)</t>
        </is>
      </c>
      <c r="Z22" s="18" t="inlineStr">
        <is>
          <t>AND = all must be true | OR = any one true is enough | test1, test2 = comparisons such as A1&gt;=40 | Result = TRUE or FALSE</t>
        </is>
      </c>
      <c r="AA22" s="19" t="inlineStr">
        <is>
          <t>AND result: A1: 50, B1: 30
C1: =AND(A1&gt;=40,B1&gt;=40)
Shows: FALSE</t>
        </is>
      </c>
      <c r="AB22" s="19" t="inlineStr">
        <is>
          <t>OR result: A1: 50, B1: 30
C1: =OR(A1&gt;=40,B1&gt;=40)
Shows: TRUE</t>
        </is>
      </c>
      <c r="AC22" s="19" t="inlineStr">
        <is>
          <t>Inside IF: A1: 50, B1: 30
C1: =IF(AND(A1&gt;=40,B1&gt;=40),"Pass","Fail")
Shows: Fail</t>
        </is>
      </c>
      <c r="AD22" s="19" t="inlineStr">
        <is>
          <t>=AND(A1&gt;=40,B1&gt;=40,C1&gt;=40)     (three conditions: all must be true)
=OR(A1="Yes",B1="Yes")        (any one Yes gives TRUE)
=NOT(A1&gt;=40)                   (reverses TRUE and FALSE)</t>
        </is>
      </c>
      <c r="AE22" s="18" t="inlineStr">
        <is>
          <t>IF, COUNTIFS, Conditional Formatting, NOT</t>
        </is>
      </c>
      <c r="AF22" s="18" t="inlineStr">
        <is>
          <t>IF, NOT, XOR, IFS</t>
        </is>
      </c>
      <c r="AG22" s="18" t="inlineStr">
        <is>
          <t>Nested IF formulas, multiplying and adding test results (advanced), COUNTIFS for counting</t>
        </is>
      </c>
      <c r="AH22" s="18" t="inlineStr">
        <is>
          <t>AND, OR, NOT, XOR, IF</t>
        </is>
      </c>
      <c r="AI22" s="18" t="inlineStr">
        <is>
          <t>Pass only if two subjects are passed | Discount if customer is new or bill is large | Alert when stock is low and not ordered</t>
        </is>
      </c>
      <c r="AJ22" s="18" t="inlineStr">
        <is>
          <t>A: A scholarship is for students with marks 80 or more, or attendance 90 or more. | B: Then use =OR(A1&gt;=80,B1&gt;=90) because only one of the two needs to be true.</t>
        </is>
      </c>
      <c r="AK22" s="18" t="inlineStr">
        <is>
          <t>✗ AND and OR work the same way, just with different names → ✓ AND needs every condition true, while OR needs only one true condition</t>
        </is>
      </c>
      <c r="AL22" s="18" t="inlineStr">
        <is>
          <t>AND vs OR: AND is strict and needs all conditions to pass, while OR is relaxed and needs any one to pass.</t>
        </is>
      </c>
      <c r="AM22" s="18" t="inlineStr">
        <is>
          <t>Do not write =A1&gt;=40 AND B1&gt;=40 as in plain English; Excel needs the AND function with brackets and commas.</t>
        </is>
      </c>
      <c r="AN22" s="19" t="inlineStr">
        <is>
          <t>=IF(A1&gt;=40 AND B1&gt;=40,"Pass","Fail")</t>
        </is>
      </c>
      <c r="AO22" s="19" t="inlineStr">
        <is>
          <t>=IF(AND(A1&gt;=40,B1&gt;=40),"Pass","Fail")</t>
        </is>
      </c>
      <c r="AP22" s="18" t="inlineStr">
        <is>
          <t>AND = All needed; OR = One is enough.</t>
        </is>
      </c>
      <c r="AQ22" s="18" t="inlineStr">
        <is>
          <t>An HR sheet marks an employee Eligible if experience is 2 years or more and performance rating is at least 3.</t>
        </is>
      </c>
      <c r="AR22" s="18" t="inlineStr">
        <is>
          <t>Interviewer asks: How do you check two conditions together inside an IF formula?</t>
        </is>
      </c>
      <c r="AS22" s="18" t="inlineStr">
        <is>
          <t>Like needing both a ticket and an ID to enter an exam hall, or either a bus or a train to reach school.</t>
        </is>
      </c>
      <c r="AT22" s="18" t="inlineStr">
        <is>
          <t>A scholarship is given if marks (A1) are 80 or more, OR attendance (B1) is 90 or more. Which formula is correct?</t>
        </is>
      </c>
      <c r="AU22" s="18" t="inlineStr">
        <is>
          <t>A) =AND(A1&gt;=80,B1&gt;=90) B) =OR(A1&gt;=80,B1&gt;=90) C) =NOT(A1&gt;=80) D) =IF(A1&gt;=80)</t>
        </is>
      </c>
      <c r="AV22" s="18" t="inlineStr">
        <is>
          <t>B</t>
        </is>
      </c>
      <c r="AW22" s="18" t="inlineStr">
        <is>
          <t>The rule needs only one of the two conditions to be true, which is what OR does; AND would need both.</t>
        </is>
      </c>
      <c r="AX22" s="19" t="inlineStr">
        <is>
          <t>To make a test pass only when all conditions are true, use ____ → AND</t>
        </is>
      </c>
      <c r="AY22" s="18" t="inlineStr">
        <is>
          <t>Write a formula that shows Pass only if both A1 and B1 are 40 or more.</t>
        </is>
      </c>
      <c r="AZ22" s="19" t="inlineStr">
        <is>
          <t>A1: 50
B1: 30
C1: =IF(AND(A1&gt;=40,B1&gt;=40),"Pass","Fail")
Result: Fail</t>
        </is>
      </c>
      <c r="BA22" s="18" t="inlineStr">
        <is>
          <t>Write a rule of your own, such as going out if homework is done AND it is not raining, and turn it into an AND formula.</t>
        </is>
      </c>
      <c r="BB22" s="19" t="inlineStr">
        <is>
          <t>A1: 60, B1: 20
C1: =IF(OR(A1&gt;=50,B1&gt;=50),"Yes","No")
What does C1 show?</t>
        </is>
      </c>
      <c r="BC22" s="19" t="inlineStr">
        <is>
          <t>Yes</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row r="23" ht="121.5" customHeight="1">
      <c r="A23" s="17" t="inlineStr">
        <is>
          <t>XL-021</t>
        </is>
      </c>
      <c r="B23" s="17" t="inlineStr">
        <is>
          <t>04 Logic</t>
        </is>
      </c>
      <c r="C23" s="17" t="inlineStr">
        <is>
          <t>Intermediate</t>
        </is>
      </c>
      <c r="D23" s="17" t="n">
        <v>21</v>
      </c>
      <c r="E23" s="17" t="inlineStr">
        <is>
          <t>Claude knowledge</t>
        </is>
      </c>
      <c r="F23" s="18" t="inlineStr">
        <is>
          <t>IFS and nested IF</t>
        </is>
      </c>
      <c r="G23" s="18" t="inlineStr">
        <is>
          <t>How do you make Excel pick one result out of three or more, depending on a number such as marks?</t>
        </is>
      </c>
      <c r="H23" s="18" t="inlineStr">
        <is>
          <t>IFS = आई-एफ-एस, nested IF = नेस्टेड इफ</t>
        </is>
      </c>
      <c r="I23" s="18" t="inlineStr">
        <is>
          <t>Logical function</t>
        </is>
      </c>
      <c r="J23" s="18" t="inlineStr">
        <is>
          <t>Very high</t>
        </is>
      </c>
      <c r="K23" s="18" t="n">
        <v>5</v>
      </c>
      <c r="L23" s="18" t="inlineStr">
        <is>
          <t>IF could only choose between two results, so people put one IF inside another (nested IF). IFS was added later (Excel 2019 and Microsoft 365) to make long chains easier to read.</t>
        </is>
      </c>
      <c r="M23" s="18" t="inlineStr">
        <is>
          <t>In IFS, always test the strictest condition first and end with TRUE as the catch-all result.</t>
        </is>
      </c>
      <c r="N23" s="18" t="inlineStr">
        <is>
          <t>Keep the pairs in order: condition, result, condition, result. Do not forget a comma after every result.</t>
        </is>
      </c>
      <c r="O23" s="18" t="inlineStr">
        <is>
          <t>A bouncer at a club checks you at gate one for VIP, gate two for members, and gate three lets everyone else in; the first gate you pass decides where you stand.</t>
        </is>
      </c>
      <c r="P23" s="18" t="inlineStr">
        <is>
          <t>A row of three doors in a corridor, each with a sign, and a person walking through the first door that matches their ticket.</t>
        </is>
      </c>
      <c r="Q23" s="18" t="inlineStr">
        <is>
          <t>Feeling of control when a messy list of marks turns into clean grades with a single formula.</t>
        </is>
      </c>
      <c r="R23" s="18" t="inlineStr">
        <is>
          <t>IFS checks several conditions in order and returns the result of the first one that is true.</t>
        </is>
      </c>
      <c r="S23" s="18" t="inlineStr">
        <is>
          <t>कई शर्तों को क्रम से जाँचकर पहली सही शर्त का परिणाम देना</t>
        </is>
      </c>
      <c r="T23" s="19" t="inlineStr">
        <is>
          <t>A1: 72
B1: =IFS(A1&gt;=90,"A",A1&gt;=75,"B",A1&gt;=60,"C",TRUE,"F")</t>
        </is>
      </c>
      <c r="U23" s="19" t="inlineStr">
        <is>
          <t>C</t>
        </is>
      </c>
      <c r="V23" s="18" t="inlineStr">
        <is>
          <t>Excel tests A1&gt;=90 first, then A1&gt;=75, then A1&gt;=60. 72 fails the first two and passes the third, so the answer is C. The last pair TRUE,"F" works as an else, so a score below 60 gives F.</t>
        </is>
      </c>
      <c r="W23" s="18" t="inlineStr">
        <is>
          <t>Excel checks your conditions one by one from left to right. The first one that is true gives the answer and Excel stops there. So put the biggest limit first.</t>
        </is>
      </c>
      <c r="X23" s="18" t="inlineStr">
        <is>
          <t>Like a railway ticket check: the first rule that fits your ticket class decides your coach, and the later rules are never read.</t>
        </is>
      </c>
      <c r="Y23" s="19" t="inlineStr">
        <is>
          <t>=IFS(condition1, result1, condition2, result2, ..., TRUE, default_result)
=IF(condition, result_if_true, IF(condition2, result2, result_if_all_false))</t>
        </is>
      </c>
      <c r="Z23" s="18" t="inlineStr">
        <is>
          <t>condition = a test that is TRUE or FALSE | result = what to show when that test is TRUE | TRUE as last condition = catch-all for everything else</t>
        </is>
      </c>
      <c r="AA23" s="19" t="inlineStr">
        <is>
          <t>A1: 55
B1: =IF(A1&gt;=90,"A",IF(A1&gt;=60,"B","C"))</t>
        </is>
      </c>
      <c r="AB23" s="19" t="inlineStr">
        <is>
          <t>A1: 15
B1: =IFS(A1&lt;13,"Child",A1&lt;20,"Teen",TRUE,"Adult")</t>
        </is>
      </c>
      <c r="AC23" s="19" t="inlineStr">
        <is>
          <t>A1: 50
B1: =IFS(A1&gt;=90,"A",A1&gt;=60,"B")</t>
        </is>
      </c>
      <c r="AD23" s="19" t="inlineStr">
        <is>
          <t>=IFS(A1&gt;=90,"A",A1&gt;=60,"B",TRUE,"C")  - with a TRUE catch-all, no error
=IFS(A1&gt;=90,"A",A1&gt;=60,"B")  - gives #N/A when A1 is 50, because no condition is true
=IF(A1&gt;=60,"Pass","Fail")  - plain IF for two outcomes only</t>
        </is>
      </c>
      <c r="AE23" s="18" t="inlineStr">
        <is>
          <t>AND, OR, IFERROR, VLOOKUP</t>
        </is>
      </c>
      <c r="AF23" s="18" t="inlineStr">
        <is>
          <t>IF, AND, OR, SWITCH</t>
        </is>
      </c>
      <c r="AG23" s="18" t="inlineStr">
        <is>
          <t>Nested IF, SWITCH, VLOOKUP with approximate match, XLOOKUP with match mode</t>
        </is>
      </c>
      <c r="AH23" s="18" t="inlineStr">
        <is>
          <t>IF, IFS, IFERROR, IFNA, AND, OR, NOT</t>
        </is>
      </c>
      <c r="AI23" s="18" t="inlineStr">
        <is>
          <t>Grading marks into A, B, C | Sales commission slabs | Age or price groups</t>
        </is>
      </c>
      <c r="AJ23" s="18" t="inlineStr">
        <is>
          <t>A: My grade formula gives C for a score of 95, why? | B: Check your order, put the score of 90 or more first, because Excel stops at the first true condition.</t>
        </is>
      </c>
      <c r="AK23" s="18" t="inlineStr">
        <is>
          <t>✗ Excel checks all the conditions and picks the best one → ✓ Excel stops at the first TRUE condition, so the order of conditions changes the answer</t>
        </is>
      </c>
      <c r="AL23" s="18" t="inlineStr">
        <is>
          <t>IFS vs nested IF: both do the same job, but IFS is easier to read and needs Excel 2019 or Microsoft 365, while nested IF works in every version.</t>
        </is>
      </c>
      <c r="AM23" s="18" t="inlineStr">
        <is>
          <t>Do not build nested IFs more than three or four levels deep, because they become very hard to read and fix.</t>
        </is>
      </c>
      <c r="AN23" s="19" t="inlineStr">
        <is>
          <t>A1: 95
B1: =IFS(A1&gt;=60,"C",A1&gt;=75,"B",A1&gt;=90,"A",TRUE,"F")</t>
        </is>
      </c>
      <c r="AO23" s="19" t="inlineStr">
        <is>
          <t>A1: 95
B1: =IFS(A1&gt;=90,"A",A1&gt;=75,"B",A1&gt;=60,"C",TRUE,"F")</t>
        </is>
      </c>
      <c r="AP23" s="18" t="inlineStr">
        <is>
          <t>Biggest first, TRUE last: big limits go in front, catch-all goes at the back.</t>
        </is>
      </c>
      <c r="AQ23" s="18" t="inlineStr">
        <is>
          <t>A school office uses IFS on a marks sheet to turn every student's score into a grade in one column.</t>
        </is>
      </c>
      <c r="AR23" s="18" t="inlineStr">
        <is>
          <t>Interview question: how do you give grades A, B and C to 500 students without writing a formula for each grade?</t>
        </is>
      </c>
      <c r="AS23" s="18" t="inlineStr">
        <is>
          <t>Like a bus fare chart: you check the first rule that fits your age and pay that fare.</t>
        </is>
      </c>
      <c r="AT23" s="18" t="inlineStr">
        <is>
          <t>A1 holds 60. What does =IFS(A1&gt;90,"A",A1&gt;60,"B",TRUE,"C") show?</t>
        </is>
      </c>
      <c r="AU23" s="18" t="inlineStr">
        <is>
          <t>A) A B) B C) C D) #N/A</t>
        </is>
      </c>
      <c r="AV23" s="18" t="inlineStr">
        <is>
          <t>C</t>
        </is>
      </c>
      <c r="AW23" s="18" t="inlineStr">
        <is>
          <t>60 is not more than 90 and not more than 60, so both tests fail and the TRUE catch-all gives C. B is tempting but needs A1&gt;60, not equal.</t>
        </is>
      </c>
      <c r="AX23" s="19" t="inlineStr">
        <is>
          <t>=____(A1&gt;=90,"A",A1&gt;=60,"B",TRUE,"C") → IFS</t>
        </is>
      </c>
      <c r="AY23" s="18" t="inlineStr">
        <is>
          <t>In A1 write 65. In B1 show "High" if A1 is 80 or more, "Medium" if 50 or more, otherwise "Low".</t>
        </is>
      </c>
      <c r="AZ23" s="19" t="inlineStr">
        <is>
          <t>A1: 65
B1: =IFS(A1&gt;=80,"High",A1&gt;=50,"Medium",TRUE,"Low")</t>
        </is>
      </c>
      <c r="BA23" s="18" t="inlineStr">
        <is>
          <t>Write a formula that turns your own monthly spending into the words Low, Normal or High.</t>
        </is>
      </c>
      <c r="BB23" s="19" t="inlineStr">
        <is>
          <t>A1: 85
B1: =IFS(A1&gt;=90,"A",A1&gt;=75,"B",A1&gt;=60,"C",TRUE,"F")
What does B1 show?</t>
        </is>
      </c>
      <c r="BC23" s="19" t="inlineStr">
        <is>
          <t>B</t>
        </is>
      </c>
      <c r="BD23" s="17">
        <f>IF(K23="","",REPT("★",K23)&amp;REPT("☆",5-K23)&amp;" ("&amp;K23&amp;"/5)")</f>
        <v/>
      </c>
      <c r="BE23" s="17">
        <f>IF(S23="","","Meaning: "&amp;S23&amp;"  =  ______   (Answer: "&amp;F23&amp;")")</f>
        <v/>
      </c>
      <c r="BF23" s="17" t="inlineStr">
        <is>
          <t>New</t>
        </is>
      </c>
      <c r="BG23" s="17" t="n"/>
      <c r="BH23" s="17" t="n"/>
      <c r="BI23" s="17" t="n"/>
      <c r="BJ23" s="17" t="n"/>
      <c r="BK23" s="17" t="n"/>
      <c r="BL23" s="17" t="n"/>
      <c r="BM23" s="17" t="n"/>
      <c r="BN23" s="17" t="n"/>
    </row>
    <row r="24" ht="94.5" customHeight="1">
      <c r="A24" s="17" t="inlineStr">
        <is>
          <t>XL-022</t>
        </is>
      </c>
      <c r="B24" s="17" t="inlineStr">
        <is>
          <t>04 Logic</t>
        </is>
      </c>
      <c r="C24" s="17" t="inlineStr">
        <is>
          <t>Intermediate</t>
        </is>
      </c>
      <c r="D24" s="17" t="n">
        <v>22</v>
      </c>
      <c r="E24" s="17" t="inlineStr">
        <is>
          <t>Claude knowledge</t>
        </is>
      </c>
      <c r="F24" s="18" t="inlineStr">
        <is>
          <t>IFERROR</t>
        </is>
      </c>
      <c r="G24" s="18" t="inlineStr">
        <is>
          <t>Which function replaces an ugly error value with a friendly message or a blank?</t>
        </is>
      </c>
      <c r="H24" s="18" t="inlineStr">
        <is>
          <t>IFERROR = इफ-एरर</t>
        </is>
      </c>
      <c r="I24" s="18" t="inlineStr">
        <is>
          <t>Logical function</t>
        </is>
      </c>
      <c r="J24" s="18" t="inlineStr">
        <is>
          <t>Very high</t>
        </is>
      </c>
      <c r="K24" s="18" t="n">
        <v>5</v>
      </c>
      <c r="L24" s="18" t="inlineStr">
        <is>
          <t>Real sheets often show errors like #DIV/0! that scare readers, so Excel (from 2007) added one function that catches any error and shows something else instead.</t>
        </is>
      </c>
      <c r="M24" s="18" t="inlineStr">
        <is>
          <t>Use IFERROR only on the part that may fail, and never use it to hide errors you have not understood.</t>
        </is>
      </c>
      <c r="N24" s="18" t="inlineStr">
        <is>
          <t>Two arguments: the formula first, the fallback second. Remember the word is one piece, IFERROR, with no space.</t>
        </is>
      </c>
      <c r="O24" s="18" t="inlineStr">
        <is>
          <t>A goalkeeper stands under your formula; when an error shot comes in, he catches it and throws a smiling message back.</t>
        </is>
      </c>
      <c r="P24" s="18" t="inlineStr">
        <is>
          <t>A goalkeeper in a bright jersey catching a red ball marked with a hash sign and handing a note that says Check B1.</t>
        </is>
      </c>
      <c r="Q24" s="18" t="inlineStr">
        <is>
          <t>Relief when a report full of red errors suddenly looks clean and professional.</t>
        </is>
      </c>
      <c r="R24" s="18" t="inlineStr">
        <is>
          <t>IFERROR returns your formula's result, but if that formula gives any error, it returns a value you choose.</t>
        </is>
      </c>
      <c r="S24" s="18" t="inlineStr">
        <is>
          <t>अगर फ़ॉर्मूले में एरर आए तो उसकी जगह अपनी पसंद का मान दिखाना</t>
        </is>
      </c>
      <c r="T24" s="19" t="inlineStr">
        <is>
          <t>A1: 10
B1: 0
C1: =IFERROR(A1/B1,"Check B1")</t>
        </is>
      </c>
      <c r="U24" s="19" t="inlineStr">
        <is>
          <t>Check B1</t>
        </is>
      </c>
      <c r="V24" s="18" t="inlineStr">
        <is>
          <t>A1/B1 divides by zero, so it gives #DIV/0!. IFERROR sees the error and shows the second argument instead. If there was no error, you would see the normal result.</t>
        </is>
      </c>
      <c r="W24" s="18" t="inlineStr">
        <is>
          <t>Pehle Excel tumhara formula chalata hai. Agar error aaye to tumhara diya hua message dikhata hai, nahi to normal answer dikhata hai.</t>
        </is>
      </c>
      <c r="X24" s="18" t="inlineStr">
        <is>
          <t>Like a spare tyre in a car: you only use it when the main one fails, and normally you never notice it.</t>
        </is>
      </c>
      <c r="Y24" s="19" t="inlineStr">
        <is>
          <t>=IFERROR(value, value_if_error)</t>
        </is>
      </c>
      <c r="Z24" s="18" t="inlineStr">
        <is>
          <t>value = the formula or cell that may give an error | value_if_error = what to show when it does</t>
        </is>
      </c>
      <c r="AA24" s="19" t="inlineStr">
        <is>
          <t>A1: 10
B1: 0
C1: =IFERROR(A1/B1,0)</t>
        </is>
      </c>
      <c r="AB24" s="19" t="inlineStr">
        <is>
          <t>A1: 10
B1: 4
C1: =IFERROR(A1/B1,"n/a")</t>
        </is>
      </c>
      <c r="AC24" s="19" t="inlineStr">
        <is>
          <t>A1: Asha
B1: 50
A2: Meena
B2: 60
D1: Ravi
E1: =IFERROR(VLOOKUP(D1,A1:B2,2,FALSE),"Not found")</t>
        </is>
      </c>
      <c r="AD24" s="19" t="inlineStr">
        <is>
          <t>=IFERROR(A1/B1,"")  - shows a blank cell on error
=IFNA(VLOOKUP(D1,A1:B2,2,FALSE),"Not found")  - catches only #N/A
=IFERROR(A1/B1,0)  - shows 0 on error</t>
        </is>
      </c>
      <c r="AE24" s="18" t="inlineStr">
        <is>
          <t>VLOOKUP, XLOOKUP, division, INDEX and MATCH</t>
        </is>
      </c>
      <c r="AF24" s="18" t="inlineStr">
        <is>
          <t>IFNA, ISERROR, IF, error values</t>
        </is>
      </c>
      <c r="AG24" s="18" t="inlineStr">
        <is>
          <t>IFNA, IF with ISERROR, ISNUMBER checks</t>
        </is>
      </c>
      <c r="AH24" s="18" t="inlineStr">
        <is>
          <t>IFERROR, IFNA, ISERROR, ISERR, ISNA, IF</t>
        </is>
      </c>
      <c r="AI24" s="18" t="inlineStr">
        <is>
          <t>Percentage columns that divide by zero | Lookups for names that may be missing | Dashboards that must look clean</t>
        </is>
      </c>
      <c r="AJ24" s="18" t="inlineStr">
        <is>
          <t>A: My percent column shows #DIV/0! in empty rows, how can I hide it? | B: Wrap the formula in IFERROR and give an empty text like "" as the second argument.</t>
        </is>
      </c>
      <c r="AK24" s="18" t="inlineStr">
        <is>
          <t>✗ IFERROR fixes the real problem in the formula → ✓ IFERROR only hides the error message; the wrong data or formula is still there</t>
        </is>
      </c>
      <c r="AL24" s="18" t="inlineStr">
        <is>
          <t>IFERROR vs IFNA: IFERROR catches every error type, while IFNA catches only #N/A, so IFNA is safer when you only expect a missing lookup.</t>
        </is>
      </c>
      <c r="AM24" s="18" t="inlineStr">
        <is>
          <t>Do not wrap a whole big formula in IFERROR without testing it first, because it can hide real mistakes.</t>
        </is>
      </c>
      <c r="AN24" s="19" t="inlineStr">
        <is>
          <t>A1: 10
B1: 0
C1: =IFERROR("Error",A1/B1)</t>
        </is>
      </c>
      <c r="AO24" s="19" t="inlineStr">
        <is>
          <t>A1: 10
B1: 0
C1: =IFERROR(A1/B1,"Error")</t>
        </is>
      </c>
      <c r="AP24" s="18" t="inlineStr">
        <is>
          <t>Try first, rescue second: formula first, fallback second.</t>
        </is>
      </c>
      <c r="AQ24" s="18" t="inlineStr">
        <is>
          <t>A sales report uses IFERROR around its growth percent so that new products with no old sales do not show errors.</t>
        </is>
      </c>
      <c r="AR24" s="18" t="inlineStr">
        <is>
          <t>Interview question: what is the difference between IFERROR and IFNA, and when would you pick IFNA?</t>
        </is>
      </c>
      <c r="AS24" s="18" t="inlineStr">
        <is>
          <t>Like an auto reply that says I am away when nobody can answer your call.</t>
        </is>
      </c>
      <c r="AT24" s="18" t="inlineStr">
        <is>
          <t>A1 holds the text abc. What does =IFERROR(A1*2,"Bad") show?</t>
        </is>
      </c>
      <c r="AU24" s="18" t="inlineStr">
        <is>
          <t>A) 0 B) #VALUE! C) Bad D) abc</t>
        </is>
      </c>
      <c r="AV24" s="18" t="inlineStr">
        <is>
          <t>C</t>
        </is>
      </c>
      <c r="AW24" s="18" t="inlineStr">
        <is>
          <t>Multiplying text by 2 gives #VALUE!, and IFERROR replaces that error with Bad. The error itself is never shown.</t>
        </is>
      </c>
      <c r="AX24" s="19" t="inlineStr">
        <is>
          <t>=____(A1/B1,"Check") → IFERROR</t>
        </is>
      </c>
      <c r="AY24" s="18" t="inlineStr">
        <is>
          <t>In A1 write 8 and in B1 write 0. In C1 divide A1 by B1, but show the number -1 if the division fails.</t>
        </is>
      </c>
      <c r="AZ24" s="19" t="inlineStr">
        <is>
          <t>A1: 8
B1: 0
C1: =IFERROR(A1/B1,-1)</t>
        </is>
      </c>
      <c r="BA24" s="18" t="inlineStr">
        <is>
          <t>Write a formula that divides two of your own numbers and shows the word Retry when the second number is zero.</t>
        </is>
      </c>
      <c r="BB24" s="19" t="inlineStr">
        <is>
          <t>A1: 8
B1: 0
C1: =IFERROR(A1/B1,-1)
What does C1 show?</t>
        </is>
      </c>
      <c r="BC24" s="19" t="inlineStr">
        <is>
          <t>-1</t>
        </is>
      </c>
      <c r="BD24" s="17">
        <f>IF(K24="","",REPT("★",K24)&amp;REPT("☆",5-K24)&amp;" ("&amp;K24&amp;"/5)")</f>
        <v/>
      </c>
      <c r="BE24" s="17">
        <f>IF(S24="","","Meaning: "&amp;S24&amp;"  =  ______   (Answer: "&amp;F24&amp;")")</f>
        <v/>
      </c>
      <c r="BF24" s="17" t="inlineStr">
        <is>
          <t>New</t>
        </is>
      </c>
      <c r="BG24" s="17" t="n"/>
      <c r="BH24" s="17" t="n"/>
      <c r="BI24" s="17" t="n"/>
      <c r="BJ24" s="17" t="n"/>
      <c r="BK24" s="17" t="n"/>
      <c r="BL24" s="17" t="n"/>
      <c r="BM24" s="17" t="n"/>
      <c r="BN24" s="17" t="n"/>
    </row>
    <row r="25" ht="108" customHeight="1">
      <c r="A25" s="17" t="inlineStr">
        <is>
          <t>XL-023</t>
        </is>
      </c>
      <c r="B25" s="17" t="inlineStr">
        <is>
          <t>04 Logic</t>
        </is>
      </c>
      <c r="C25" s="17" t="inlineStr">
        <is>
          <t>Intermediate</t>
        </is>
      </c>
      <c r="D25" s="17" t="n">
        <v>23</v>
      </c>
      <c r="E25" s="17" t="inlineStr">
        <is>
          <t>Claude knowledge</t>
        </is>
      </c>
      <c r="F25" s="18" t="inlineStr">
        <is>
          <t>Common errors: #N/A, #REF!, #DIV/0!, #VALUE!</t>
        </is>
      </c>
      <c r="G25" s="18" t="inlineStr">
        <is>
          <t>What do the error codes that start with a hash sign tell you about what went wrong in a formula?</t>
        </is>
      </c>
      <c r="H25" s="18" t="inlineStr">
        <is>
          <t>#N/A = हैश एन-ए, #REF! = हैश रेफ़, #DIV/0! = हैश डिव ज़ीरो, #VALUE! = हैश वैल्यू</t>
        </is>
      </c>
      <c r="I25" s="18" t="inlineStr">
        <is>
          <t>Error values</t>
        </is>
      </c>
      <c r="J25" s="18" t="inlineStr">
        <is>
          <t>Very high</t>
        </is>
      </c>
      <c r="K25" s="18" t="n">
        <v>5</v>
      </c>
      <c r="L25" s="18" t="inlineStr">
        <is>
          <t>Excel shows a special error value instead of a wrong number, so the code itself is a clue; for example DIV/0 is short for division by zero and REF is short for reference.</t>
        </is>
      </c>
      <c r="M25" s="18" t="inlineStr">
        <is>
          <t>Read the code first: each one points to a different cause, so the code saves you from guessing.</t>
        </is>
      </c>
      <c r="N25" s="18" t="inlineStr">
        <is>
          <t>These are shown by Excel, you do not type them. They always begin with # and most end with ! (but #N/A has a slash).</t>
        </is>
      </c>
      <c r="O25" s="18" t="inlineStr">
        <is>
          <t>Four warning lamps on a car dashboard: one for dividing by zero, one for a lost cell, one for a missing item and one for the wrong kind of value.</t>
        </is>
      </c>
      <c r="P25" s="18" t="inlineStr">
        <is>
          <t>A car dashboard with four small red lamps, each labelled with a different hash-sign code.</t>
        </is>
      </c>
      <c r="Q25" s="18" t="inlineStr">
        <is>
          <t>Panic when red codes appear, then calm once you know each code has a simple cause.</t>
        </is>
      </c>
      <c r="R25" s="18" t="inlineStr">
        <is>
          <t>Error values are codes that Excel shows when a formula cannot give a proper answer, and each code names a different cause.</t>
        </is>
      </c>
      <c r="S25" s="18" t="inlineStr">
        <is>
          <t>फ़ॉर्मूला सही उत्तर न दे पाए तो Excel जो एरर कोड दिखाता है</t>
        </is>
      </c>
      <c r="T25" s="19" t="inlineStr">
        <is>
          <t>A1: 10
B1: 0
C1: =A1/B1</t>
        </is>
      </c>
      <c r="U25" s="19" t="e">
        <v>#DIV/0!</v>
      </c>
      <c r="V25" s="18" t="inlineStr">
        <is>
          <t>#DIV/0! means a division by zero or by an empty cell. #N/A means a looked-up value was not found. #REF! means the formula points to a cell that no longer exists. #VALUE! means a number was expected but the cell holds text or a wrong type.</t>
        </is>
      </c>
      <c r="W25" s="18" t="inlineStr">
        <is>
          <t>Har error ka matlab alag hota hai. #DIV/0! zero se divide, #N/A value mili nahi, #REF! cell delete ho gaya, #VALUE! number ki jagah text.</t>
        </is>
      </c>
      <c r="X25" s="18" t="inlineStr">
        <is>
          <t>Like the different error messages from an ATM: wrong PIN, low balance and card blocked each need a different fix.</t>
        </is>
      </c>
      <c r="Y25" s="19" t="inlineStr">
        <is>
          <t>#DIV/0! = divide by zero | #N/A = not available | #REF! = invalid reference | #VALUE! = wrong type of value</t>
        </is>
      </c>
      <c r="Z25" s="18" t="inlineStr">
        <is>
          <t>#DIV/0! = divisor is 0 or blank | #N/A = lookup found nothing | #REF! = referred cell or column was deleted | #VALUE! = text where a number is needed</t>
        </is>
      </c>
      <c r="AA25" s="19" t="inlineStr">
        <is>
          <t>A1: 10
B1: 0
C1: =A1/B1</t>
        </is>
      </c>
      <c r="AB25" s="19" t="inlineStr">
        <is>
          <t>A1: Asha
B1: 50
A2: Meena
B2: 60
D1: =VLOOKUP("Ravi",A1:B2,2,FALSE)</t>
        </is>
      </c>
      <c r="AC25" s="19" t="inlineStr">
        <is>
          <t>A1: 5
B1: 7
C1: =A1+B1
Then delete column B. The formula now shows =A1+#REF! and the result is #REF!</t>
        </is>
      </c>
      <c r="AD25" s="19" t="inlineStr">
        <is>
          <t>=A1+1 with A1 = Asha  - #VALUE!, because text cannot be added
=A1/B1 with B1 empty  - #DIV/0!, because an empty cell counts as 0
=IFERROR(A1/B1,"")  - hides any of these errors</t>
        </is>
      </c>
      <c r="AE25" s="18" t="inlineStr">
        <is>
          <t>IFERROR, IFNA, VLOOKUP, Trace Precedents</t>
        </is>
      </c>
      <c r="AF25" s="18" t="inlineStr">
        <is>
          <t>IFERROR, ISERROR, Formula Auditing, VLOOKUP</t>
        </is>
      </c>
      <c r="AG25" s="18" t="inlineStr">
        <is>
          <t>IFERROR to hide them, Formulas tab &gt; Error Checking to find them</t>
        </is>
      </c>
      <c r="AH25" s="18" t="inlineStr">
        <is>
          <t>#DIV/0!, #N/A, #REF!, #VALUE!, #NAME?, #NUM!, #NULL!</t>
        </is>
      </c>
      <c r="AI25" s="18" t="inlineStr">
        <is>
          <t>Fixing broken reports | Checking lookups that did not match | Cleaning data before sharing a file</t>
        </is>
      </c>
      <c r="AJ25" s="18" t="inlineStr">
        <is>
          <t>A: My VLOOKUP shows #N/A, is my formula broken? | B: Not always, it usually means the value you search for is not in the first column of the table.</t>
        </is>
      </c>
      <c r="AK25" s="18" t="inlineStr">
        <is>
          <t>✗ Every error means my formula is typed wrong → ✓ Often the formula is fine and the data is the problem, such as a zero, a missing name or text instead of a number</t>
        </is>
      </c>
      <c r="AL25" s="18" t="inlineStr">
        <is>
          <t>#N/A vs #REF!: #N/A means the value was not found, while #REF! means the formula points to a cell or column that was deleted.</t>
        </is>
      </c>
      <c r="AM25" s="18" t="inlineStr">
        <is>
          <t>Do not just paste values over errors to hide them, find the cause so the same error does not return.</t>
        </is>
      </c>
      <c r="AN25" s="19" t="inlineStr">
        <is>
          <t>A1: 10 kg
B1: =A1*2</t>
        </is>
      </c>
      <c r="AO25" s="19" t="inlineStr">
        <is>
          <t>A1: 10
B1: =A1*2
C1: kg</t>
        </is>
      </c>
      <c r="AP25" s="18" t="inlineStr">
        <is>
          <t>DIV = divide, REF = reference, N/A = not available, VALUE = wrong value type.</t>
        </is>
      </c>
      <c r="AQ25" s="18" t="inlineStr">
        <is>
          <t>An analyst checks a monthly report and uses the error code to find that deleted columns caused #REF! in totals.</t>
        </is>
      </c>
      <c r="AR25" s="18" t="inlineStr">
        <is>
          <t>Interview question: what does #N/A mean in a VLOOKUP and how can you handle it?</t>
        </is>
      </c>
      <c r="AS25" s="18" t="inlineStr">
        <is>
          <t>Like a phone saying number not found versus number not reachable: the message tells you what to do next.</t>
        </is>
      </c>
      <c r="AT25" s="18" t="inlineStr">
        <is>
          <t>A name that is not in the list is searched with =VLOOKUP("Zoya",A1:B3,2,FALSE). Which error appears?</t>
        </is>
      </c>
      <c r="AU25" s="18" t="inlineStr">
        <is>
          <t>A) #REF! B) #N/A C) #VALUE! D) #DIV/0!</t>
        </is>
      </c>
      <c r="AV25" s="18" t="inlineStr">
        <is>
          <t>B</t>
        </is>
      </c>
      <c r="AW25" s="18" t="inlineStr">
        <is>
          <t>A lookup that finds no match returns #N/A. #REF! would need a column number larger than the table, which is not the case here.</t>
        </is>
      </c>
      <c r="AX25" s="19" t="inlineStr">
        <is>
          <t>Dividing a number by an empty cell gives ____ → #DIV/0!</t>
        </is>
      </c>
      <c r="AY25" s="18" t="inlineStr">
        <is>
          <t>In A1 write 20 and in B1 write 0. In C1 divide A1 by B1 and note which error appears.</t>
        </is>
      </c>
      <c r="AZ25" s="19" t="inlineStr">
        <is>
          <t>A1: 20
B1: 0
C1: =A1/B1
C1 shows #DIV/0!</t>
        </is>
      </c>
      <c r="BA25" s="18" t="inlineStr">
        <is>
          <t>Make each of the four errors on purpose in a new sheet and write a short note on what caused each one.</t>
        </is>
      </c>
      <c r="BB25" s="19" t="inlineStr">
        <is>
          <t>A1: 20
B1: 0
C1: =A1/B1
What does C1 show?</t>
        </is>
      </c>
      <c r="BC25" s="19" t="e">
        <v>#DIV/0!</v>
      </c>
      <c r="BD25" s="17">
        <f>IF(K25="","",REPT("★",K25)&amp;REPT("☆",5-K25)&amp;" ("&amp;K25&amp;"/5)")</f>
        <v/>
      </c>
      <c r="BE25" s="17">
        <f>IF(S25="","","Meaning: "&amp;S25&amp;"  =  ______   (Answer: "&amp;F25&amp;")")</f>
        <v/>
      </c>
      <c r="BF25" s="17" t="inlineStr">
        <is>
          <t>New</t>
        </is>
      </c>
      <c r="BG25" s="17" t="n"/>
      <c r="BH25" s="17" t="n"/>
      <c r="BI25" s="17" t="n"/>
      <c r="BJ25" s="17" t="n"/>
      <c r="BK25" s="17" t="n"/>
      <c r="BL25" s="17" t="n"/>
      <c r="BM25" s="17" t="n"/>
      <c r="BN25" s="17" t="n"/>
    </row>
    <row r="26" ht="162" customHeight="1">
      <c r="A26" s="17" t="inlineStr">
        <is>
          <t>XL-024</t>
        </is>
      </c>
      <c r="B26" s="17" t="inlineStr">
        <is>
          <t>05 Conditional Maths</t>
        </is>
      </c>
      <c r="C26" s="17" t="inlineStr">
        <is>
          <t>Intermediate</t>
        </is>
      </c>
      <c r="D26" s="17" t="n">
        <v>24</v>
      </c>
      <c r="E26" s="17" t="inlineStr">
        <is>
          <t>Claude knowledge</t>
        </is>
      </c>
      <c r="F26" s="18" t="inlineStr">
        <is>
          <t>COUNTIF and SUMIF</t>
        </is>
      </c>
      <c r="G26" s="18" t="inlineStr">
        <is>
          <t>Which two functions count or add only the cells that meet one condition, such as only one city?</t>
        </is>
      </c>
      <c r="H26" s="18" t="inlineStr">
        <is>
          <t>COUNTIF = काउंट-इफ, SUMIF = सम-इफ</t>
        </is>
      </c>
      <c r="I26" s="18" t="inlineStr">
        <is>
          <t>Conditional function</t>
        </is>
      </c>
      <c r="J26" s="18" t="inlineStr">
        <is>
          <t>Very high</t>
        </is>
      </c>
      <c r="K26" s="18" t="n">
        <v>5</v>
      </c>
      <c r="L26" s="18" t="inlineStr">
        <is>
          <t>Plain COUNT and SUM treat every cell the same, but users needed totals for one group only, so Excel added versions that first check a condition (IF) and then count or add.</t>
        </is>
      </c>
      <c r="M26" s="18" t="inlineStr">
        <is>
          <t>Put the condition in a cell and point to it, so you can change the city or limit without editing the formula.</t>
        </is>
      </c>
      <c r="N26" s="18" t="inlineStr">
        <is>
          <t>Put text conditions inside double quotes, for example "Delhi", and put comparisons inside quotes too, for example "&gt;100".</t>
        </is>
      </c>
      <c r="O26" s="18" t="inlineStr">
        <is>
          <t>A cashier sorting coins counts only the five-rupee coins into the box; COUNTIF counts the matching coins and SUMIF adds up their value.</t>
        </is>
      </c>
      <c r="P26" s="18" t="inlineStr">
        <is>
          <t>A hand picking only the red marbles out of a mixed bowl and then counting or weighing them.</t>
        </is>
      </c>
      <c r="Q26" s="18" t="inlineStr">
        <is>
          <t>Satisfaction when one formula answers a question like how many sales came from Delhi.</t>
        </is>
      </c>
      <c r="R26" s="18" t="inlineStr">
        <is>
          <t>COUNTIF counts the cells that meet one condition, and SUMIF adds the numbers that meet one condition.</t>
        </is>
      </c>
      <c r="S26" s="18" t="inlineStr">
        <is>
          <t>एक शर्त पूरी करने वाले सेल गिनना या उनका जोड़ निकालना</t>
        </is>
      </c>
      <c r="T26" s="19" t="inlineStr">
        <is>
          <t>A1: Delhi
A2: Pune
A3: Delhi
A4: Goa
A5: Delhi
B1: 100
B2: 200
B3: 150
B4: 50
B5: 300
D1: =COUNTIF(A1:A5,"Delhi")
D2: =SUMIF(A1:A5,"Delhi",B1:B5)</t>
        </is>
      </c>
      <c r="U26" s="19" t="inlineStr">
        <is>
          <t>D1 shows 3
D2 shows 550</t>
        </is>
      </c>
      <c r="V26" s="18" t="inlineStr">
        <is>
          <t>COUNTIF looks at A1:A5 and counts the cells equal to Delhi, which is 3. SUMIF checks the same range for Delhi and adds the matching numbers in B1:B5, which are 100, 150 and 300, giving 550.</t>
        </is>
      </c>
      <c r="W26" s="18" t="inlineStr">
        <is>
          <t>COUNTIF gintii karta hai kitne cells condition se match karte hain. SUMIF unhi rows ke numbers jod deta hai. Order yaad rakho: range, condition, phir sum range.</t>
        </is>
      </c>
      <c r="X26" s="18" t="inlineStr">
        <is>
          <t>Like a teacher counting only the girls in a class, or adding only the girls' marks, while ignoring the boys.</t>
        </is>
      </c>
      <c r="Y26" s="19" t="inlineStr">
        <is>
          <t>=COUNTIF(range, criteria)
=SUMIF(range, criteria, [sum_range])</t>
        </is>
      </c>
      <c r="Z26" s="18" t="inlineStr">
        <is>
          <t>range = cells that are checked | criteria = the condition such as "Delhi" or "&gt;100" | sum_range = the numbers to add (if left out, the checked range itself is added)</t>
        </is>
      </c>
      <c r="AA26" s="19" t="inlineStr">
        <is>
          <t>A1: Delhi
A2: Pune
A3: Delhi
B1: 100
B2: 200
B3: 150
D1: =COUNTIF(A1:A3,"Delhi")</t>
        </is>
      </c>
      <c r="AB26" s="19" t="inlineStr">
        <is>
          <t>B1: 100
B2: 200
B3: 150
B4: 50
B5: 300
D1: =SUMIF(B1:B5,"&gt;100")</t>
        </is>
      </c>
      <c r="AC26" s="19" t="inlineStr">
        <is>
          <t>A1: Delhi
A2: Pune
A3: Delhi
A4: Goa
A5: Delhi
D1: =COUNTIF(A1:A5,"P*")</t>
        </is>
      </c>
      <c r="AD26" s="19" t="inlineStr">
        <is>
          <t>=COUNTIF(A1:A5,D1)  - condition taken from cell D1
=COUNTIF(B1:B5,"&gt;=150")  - counts values 150 or more
=COUNTIF(A1:A5,"&lt;&gt;Delhi")  - counts cells that are not Delhi</t>
        </is>
      </c>
      <c r="AE26" s="18" t="inlineStr">
        <is>
          <t>Wildcards (* and ?), comparison signs, cell references, COUNTIFS</t>
        </is>
      </c>
      <c r="AF26" s="18" t="inlineStr">
        <is>
          <t>COUNTIFS, SUMIFS, COUNT, SUM</t>
        </is>
      </c>
      <c r="AG26" s="18" t="inlineStr">
        <is>
          <t>COUNTIFS, SUMIFS, SUMPRODUCT, PivotTable</t>
        </is>
      </c>
      <c r="AH26" s="18" t="inlineStr">
        <is>
          <t>COUNT, COUNTA, COUNTIF, COUNTIFS, SUM, SUMIF, SUMIFS</t>
        </is>
      </c>
      <c r="AI26" s="18" t="inlineStr">
        <is>
          <t>Total sales for one city | Counting students who passed | Adding expenses of one category</t>
        </is>
      </c>
      <c r="AJ26" s="18" t="inlineStr">
        <is>
          <t>A: How can I add only the sales of Delhi from this long list? | B: Use SUMIF, give the city column, the word Delhi and then the sales column.</t>
        </is>
      </c>
      <c r="AK26" s="18" t="inlineStr">
        <is>
          <t>✗ SUMIF takes the condition first and then the range → ✓ The order is range, criteria and then sum_range</t>
        </is>
      </c>
      <c r="AL26" s="18" t="inlineStr">
        <is>
          <t>SUMIF vs SUMIFS: SUMIF handles one condition and puts sum_range last, while SUMIFS handles many conditions and puts sum_range first.</t>
        </is>
      </c>
      <c r="AM26" s="18" t="inlineStr">
        <is>
          <t>Do not forget the quotes around conditions with signs, such as "&gt;100"; writing &gt;100 without quotes gives an error.</t>
        </is>
      </c>
      <c r="AN26" s="19" t="inlineStr">
        <is>
          <t>A1: Delhi
A2: Pune
A3: Delhi
A4: Goa
A5: Delhi
B1: 100
B2: 200
B3: 150
B4: 50
B5: 300
D1: =SUMIF(B1:B5,"Delhi",A1:A5)</t>
        </is>
      </c>
      <c r="AO26" s="19" t="inlineStr">
        <is>
          <t>A1: Delhi
A2: Pune
A3: Delhi
A4: Goa
A5: Delhi
B1: 100
B2: 200
B3: 150
B4: 50
B5: 300
D1: =SUMIF(A1:A5,"Delhi",B1:B5)</t>
        </is>
      </c>
      <c r="AP26" s="18" t="inlineStr">
        <is>
          <t>Check where, check what, then add which: range, criteria, sum_range.</t>
        </is>
      </c>
      <c r="AQ26" s="18" t="inlineStr">
        <is>
          <t>A shop owner uses SUMIF to get the total sales of each product from a long daily sales list.</t>
        </is>
      </c>
      <c r="AR26" s="18" t="inlineStr">
        <is>
          <t>Interview question: how do you total the sales of only one region, and how do you count the rows for it?</t>
        </is>
      </c>
      <c r="AS26" s="18" t="inlineStr">
        <is>
          <t>Like counting only the red cars in a parking lot, or adding only their prices.</t>
        </is>
      </c>
      <c r="AT26" s="18" t="inlineStr">
        <is>
          <t>B1:B5 holds 100, 200, 150, 50 and 300. What does =COUNTIF(B1:B5,"&gt;100") show?</t>
        </is>
      </c>
      <c r="AU26" s="18" t="inlineStr">
        <is>
          <t>A) 2 B) 3 C) 4 D) 650</t>
        </is>
      </c>
      <c r="AV26" s="18" t="inlineStr">
        <is>
          <t>B</t>
        </is>
      </c>
      <c r="AW26" s="18" t="inlineStr">
        <is>
          <t>The values above 100 are 200, 150 and 300, which makes 3 cells; 650 is their sum, which is what SUMIF would give.</t>
        </is>
      </c>
      <c r="AX26" s="19" t="inlineStr">
        <is>
          <t>=____(A1:A5,"Delhi") counts the cells that equal Delhi → COUNTIF</t>
        </is>
      </c>
      <c r="AY26" s="18" t="inlineStr">
        <is>
          <t>A1 to A4 hold Red, Blue, Red, Red and B1 to B4 hold 5, 3, 2, 10. Add only the numbers where the colour is Red.</t>
        </is>
      </c>
      <c r="AZ26" s="19" t="inlineStr">
        <is>
          <t>A1: Red
A2: Blue
A3: Red
A4: Red
B1: 5
B2: 3
B3: 2
B4: 10
D1: =SUMIF(A1:A4,"Red",B1:B4)</t>
        </is>
      </c>
      <c r="BA26" s="18" t="inlineStr">
        <is>
          <t>Take your own small list of expenses with categories and write a formula to total only one category.</t>
        </is>
      </c>
      <c r="BB26" s="19" t="inlineStr">
        <is>
          <t>A1: Red
A2: Blue
A3: Red
A4: Red
B1: 5
B2: 3
B3: 2
B4: 10
D1: =SUMIF(A1:A4,"Red",B1:B4)
What does D1 show?</t>
        </is>
      </c>
      <c r="BC26" s="19" t="inlineStr">
        <is>
          <t>17</t>
        </is>
      </c>
      <c r="BD26" s="17">
        <f>IF(K26="","",REPT("★",K26)&amp;REPT("☆",5-K26)&amp;" ("&amp;K26&amp;"/5)")</f>
        <v/>
      </c>
      <c r="BE26" s="17">
        <f>IF(S26="","","Meaning: "&amp;S26&amp;"  =  ______   (Answer: "&amp;F26&amp;")")</f>
        <v/>
      </c>
      <c r="BF26" s="17" t="inlineStr">
        <is>
          <t>New</t>
        </is>
      </c>
      <c r="BG26" s="17" t="n"/>
      <c r="BH26" s="17" t="n"/>
      <c r="BI26" s="17" t="n"/>
      <c r="BJ26" s="17" t="n"/>
      <c r="BK26" s="17" t="n"/>
      <c r="BL26" s="17" t="n"/>
      <c r="BM26" s="17" t="n"/>
      <c r="BN26" s="17" t="n"/>
    </row>
    <row r="27" ht="229.5" customHeight="1">
      <c r="A27" s="17" t="inlineStr">
        <is>
          <t>XL-025</t>
        </is>
      </c>
      <c r="B27" s="17" t="inlineStr">
        <is>
          <t>05 Conditional Maths</t>
        </is>
      </c>
      <c r="C27" s="17" t="inlineStr">
        <is>
          <t>Intermediate</t>
        </is>
      </c>
      <c r="D27" s="17" t="n">
        <v>25</v>
      </c>
      <c r="E27" s="17" t="inlineStr">
        <is>
          <t>Claude knowledge</t>
        </is>
      </c>
      <c r="F27" s="18" t="inlineStr">
        <is>
          <t>COUNTIFS and SUMIFS</t>
        </is>
      </c>
      <c r="G27" s="18" t="inlineStr">
        <is>
          <t>Which functions count or add only the rows that meet two or more conditions at the same time?</t>
        </is>
      </c>
      <c r="H27" s="18" t="inlineStr">
        <is>
          <t>COUNTIFS = काउंट-इफ़-एस, SUMIFS = सम-इफ़-एस</t>
        </is>
      </c>
      <c r="I27" s="18" t="inlineStr">
        <is>
          <t>Conditional function</t>
        </is>
      </c>
      <c r="J27" s="18" t="inlineStr">
        <is>
          <t>High</t>
        </is>
      </c>
      <c r="K27" s="18" t="n">
        <v>5</v>
      </c>
      <c r="L27" s="18" t="inlineStr">
        <is>
          <t>COUNTIF and SUMIF allowed only one condition, so Excel 2007 added versions with an S at the end that accept many conditions, all of which must be true together.</t>
        </is>
      </c>
      <c r="M27" s="18" t="inlineStr">
        <is>
          <t>In SUMIFS the sum range comes first, then each pair of range and condition, and all ranges must be the same size.</t>
        </is>
      </c>
      <c r="N27" s="18" t="inlineStr">
        <is>
          <t>Write pairs one after another: range, condition, range, condition. Every condition with a sign needs quotes, like "&gt;100".</t>
        </is>
      </c>
      <c r="O27" s="18" t="inlineStr">
        <is>
          <t>A security guard at a gate checks both your ID and your ticket, and only people who pass both checks are counted or paid.</t>
        </is>
      </c>
      <c r="P27" s="18" t="inlineStr">
        <is>
          <t>A tall gate with two scanners, one reading a card and one reading a ticket, and a counter above it clicking up.</t>
        </is>
      </c>
      <c r="Q27" s="18" t="inlineStr">
        <is>
          <t>Confidence when a question with two filters, like Delhi and January, gets one exact number.</t>
        </is>
      </c>
      <c r="R27" s="18" t="inlineStr">
        <is>
          <t>COUNTIFS counts and SUMIFS adds the rows where all of your conditions are true together.</t>
        </is>
      </c>
      <c r="S27" s="18" t="inlineStr">
        <is>
          <t>एक साथ कई शर्तें पूरी होने पर गिनना या जोड़ना</t>
        </is>
      </c>
      <c r="T27" s="19" t="inlineStr">
        <is>
          <t>A1: Delhi
A2: Delhi
A3: Pune
A4: Delhi
A5: Pune
B1: Jan
B2: Feb
B3: Jan
B4: Jan
B5: Feb
C1: 100
C2: 150
C3: 200
C4: 300
C5: 50
E1: =COUNTIFS(A1:A5,"Delhi",B1:B5,"Jan")
E2: =SUMIFS(C1:C5,A1:A5,"Delhi",B1:B5,"Jan")</t>
        </is>
      </c>
      <c r="U27" s="19" t="inlineStr">
        <is>
          <t>E1 shows 2
E2 shows 400</t>
        </is>
      </c>
      <c r="V27" s="18" t="inlineStr">
        <is>
          <t>Rows 1 and 4 are both Delhi and Jan, so COUNTIFS gives 2. SUMIFS adds the sales of those two rows, 100 and 300, which gives 400.</t>
        </is>
      </c>
      <c r="W27" s="18" t="inlineStr">
        <is>
          <t>Yahan har condition sahi honi chahiye, tabhi row count ya add hoti hai. SUMIFS me pehle wo column likho jise add karna hai, phir conditions.</t>
        </is>
      </c>
      <c r="X27" s="18" t="inlineStr">
        <is>
          <t>Like a job filter on a website: you want jobs in Delhi and full time, and a job must match both to be shown.</t>
        </is>
      </c>
      <c r="Y27" s="19" t="inlineStr">
        <is>
          <t>=COUNTIFS(range1, criteria1, [range2, criteria2], ...)
=SUMIFS(sum_range, range1, criteria1, [range2, criteria2], ...)</t>
        </is>
      </c>
      <c r="Z27" s="18" t="inlineStr">
        <is>
          <t>sum_range = numbers to add (SUMIFS only, written first) | range = cells to check | criteria = condition for that range | all ranges = must have the same size</t>
        </is>
      </c>
      <c r="AA27" s="19" t="inlineStr">
        <is>
          <t>A1: Delhi
A2: Delhi
A3: Pune
B1: Jan
B2: Feb
B3: Jan
E1: =COUNTIFS(A1:A3,"Delhi",B1:B3,"Jan")</t>
        </is>
      </c>
      <c r="AB27" s="19" t="inlineStr">
        <is>
          <t>A1: Delhi
A2: Delhi
A3: Pune
A4: Delhi
C1: 100
C2: 150
C3: 200
C4: 300
E1: =SUMIFS(C1:C4,A1:A4,"Delhi",C1:C4,"&gt;100")</t>
        </is>
      </c>
      <c r="AC27" s="19" t="inlineStr">
        <is>
          <t>C1: 100
C2: 150
C3: 200
C4: 300
C5: 50
E1: =COUNTIFS(C1:C5,"&gt;=100",C1:C5,"&lt;=200")</t>
        </is>
      </c>
      <c r="AD27" s="19" t="inlineStr">
        <is>
          <t>=COUNTIFS(A1:A5,"Pune")  - works with just one condition too
=SUMIFS(C1:C5,A1:A5,E1,B1:B5,E2)  - conditions taken from cells E1 and E2
=COUNTIFS(C1:C5,"&gt;=100",C1:C5,"&lt;=200")  - same range used twice to make a between check</t>
        </is>
      </c>
      <c r="AE27" s="18" t="inlineStr">
        <is>
          <t>Wildcards, date conditions, cell references, PivotTable</t>
        </is>
      </c>
      <c r="AF27" s="18" t="inlineStr">
        <is>
          <t>COUNTIF, SUMIF, AVERAGEIFS, SUMPRODUCT</t>
        </is>
      </c>
      <c r="AG27" s="18" t="inlineStr">
        <is>
          <t>SUMPRODUCT, PivotTable, FILTER with SUM (Microsoft 365)</t>
        </is>
      </c>
      <c r="AH27" s="18" t="inlineStr">
        <is>
          <t>COUNTIF, COUNTIFS, SUMIF, SUMIFS, AVERAGEIF, AVERAGEIFS, MAXIFS</t>
        </is>
      </c>
      <c r="AI27" s="18" t="inlineStr">
        <is>
          <t>Sales for one city in one month | Counting students who scored between two limits | Adding expenses by category and date</t>
        </is>
      </c>
      <c r="AJ27" s="18" t="inlineStr">
        <is>
          <t>A: I need sales of Delhi but only for January, can SUMIF do that? | B: Use SUMIFS, it takes more than one condition and all of them must be true.</t>
        </is>
      </c>
      <c r="AK27" s="18" t="inlineStr">
        <is>
          <t>✗ COUNTIFS counts a row if any one condition is true → ✓ COUNTIFS counts a row only when all the conditions are true at the same time (it is AND, not OR)</t>
        </is>
      </c>
      <c r="AL27" s="18" t="inlineStr">
        <is>
          <t>SUMIFS vs SUMIF: SUMIFS writes the sum range first and allows many conditions, while SUMIF writes the sum range last and allows one.</t>
        </is>
      </c>
      <c r="AM27" s="18" t="inlineStr">
        <is>
          <t>Do not use ranges of different sizes in one SUMIFS formula, because Excel will show a #VALUE! error.</t>
        </is>
      </c>
      <c r="AN27" s="19" t="inlineStr">
        <is>
          <t>C1: 100
C2: 150
C3: 200
A1: Delhi
A2: Delhi
A3: Pune
E1: =SUMIFS(A1:A3,"Delhi",C1:C3)</t>
        </is>
      </c>
      <c r="AO27" s="19" t="inlineStr">
        <is>
          <t>C1: 100
C2: 150
C3: 200
A1: Delhi
A2: Delhi
A3: Pune
E1: =SUMIFS(C1:C3,A1:A3,"Delhi")</t>
        </is>
      </c>
      <c r="AP27" s="18" t="inlineStr">
        <is>
          <t>SUMIFS starts with the sum: first what to add, then every where and what.</t>
        </is>
      </c>
      <c r="AQ27" s="18" t="inlineStr">
        <is>
          <t>A finance team uses SUMIFS to get total spend for one department in one quarter from a large expense list.</t>
        </is>
      </c>
      <c r="AR27" s="18" t="inlineStr">
        <is>
          <t>Interview question: how do you total sales for one region and one month, and how does SUMIFS differ from SUMIF?</t>
        </is>
      </c>
      <c r="AS27" s="18" t="inlineStr">
        <is>
          <t>Like searching a shopping site for shoes that are black and under 2000 rupees.</t>
        </is>
      </c>
      <c r="AT27" s="18" t="inlineStr">
        <is>
          <t>With the table in the card, what does =SUMIFS(C1:C5,A1:A5,"Pune",B1:B5,"Feb") show?</t>
        </is>
      </c>
      <c r="AU27" s="18" t="inlineStr">
        <is>
          <t>A) 250 B) 200 C) 50 D) 0</t>
        </is>
      </c>
      <c r="AV27" s="18" t="inlineStr">
        <is>
          <t>C</t>
        </is>
      </c>
      <c r="AW27" s="18" t="inlineStr">
        <is>
          <t>Only row 5 is both Pune and Feb, and its sales are 50. 250 is all Pune sales and 200 is Pune in Jan.</t>
        </is>
      </c>
      <c r="AX27" s="19" t="inlineStr">
        <is>
          <t>=____(A1:A5,"Delhi",B1:B5,"Jan") counts rows that match both conditions → COUNTIFS</t>
        </is>
      </c>
      <c r="AY27" s="18" t="inlineStr">
        <is>
          <t>Using the same table, count the rows where the city is Delhi and the month is Feb.</t>
        </is>
      </c>
      <c r="AZ27" s="19" t="inlineStr">
        <is>
          <t>E1: =COUNTIFS(A1:A5,"Delhi",B1:B5,"Feb")</t>
        </is>
      </c>
      <c r="BA27" s="18" t="inlineStr">
        <is>
          <t>Make a small table of your own with category, month and amount, then total one category for one month.</t>
        </is>
      </c>
      <c r="BB27" s="19" t="inlineStr">
        <is>
          <t>A1: Delhi
A2: Delhi
A3: Pune
A4: Delhi
A5: Pune
B1: Jan
B2: Feb
B3: Jan
B4: Jan
B5: Feb
C1: 100
C2: 150
C3: 200
C4: 300
C5: 50
E1: =SUMIFS(C1:C5,B1:B5,"Jan",C1:C5,"&gt;100")
What does E1 show?</t>
        </is>
      </c>
      <c r="BC27" s="19" t="inlineStr">
        <is>
          <t>500</t>
        </is>
      </c>
      <c r="BD27" s="17">
        <f>IF(K27="","",REPT("★",K27)&amp;REPT("☆",5-K27)&amp;" ("&amp;K27&amp;"/5)")</f>
        <v/>
      </c>
      <c r="BE27" s="17">
        <f>IF(S27="","","Meaning: "&amp;S27&amp;"  =  ______   (Answer: "&amp;F27&amp;")")</f>
        <v/>
      </c>
      <c r="BF27" s="17" t="inlineStr">
        <is>
          <t>New</t>
        </is>
      </c>
      <c r="BG27" s="17" t="n"/>
      <c r="BH27" s="17" t="n"/>
      <c r="BI27" s="17" t="n"/>
      <c r="BJ27" s="17" t="n"/>
      <c r="BK27" s="17" t="n"/>
      <c r="BL27" s="17" t="n"/>
      <c r="BM27" s="17" t="n"/>
      <c r="BN27" s="17" t="n"/>
    </row>
    <row r="28" ht="162" customHeight="1">
      <c r="A28" s="17" t="inlineStr">
        <is>
          <t>XL-026</t>
        </is>
      </c>
      <c r="B28" s="17" t="inlineStr">
        <is>
          <t>06 Lookup</t>
        </is>
      </c>
      <c r="C28" s="17" t="inlineStr">
        <is>
          <t>Intermediate</t>
        </is>
      </c>
      <c r="D28" s="17" t="n">
        <v>26</v>
      </c>
      <c r="E28" s="17" t="inlineStr">
        <is>
          <t>Claude knowledge</t>
        </is>
      </c>
      <c r="F28" s="18" t="inlineStr">
        <is>
          <t>VLOOKUP</t>
        </is>
      </c>
      <c r="G28" s="18" t="inlineStr">
        <is>
          <t>Which function searches the first column of a table for a value and brings back something from the same row?</t>
        </is>
      </c>
      <c r="H28" s="18" t="inlineStr">
        <is>
          <t>VLOOKUP = वी-लुकअप</t>
        </is>
      </c>
      <c r="I28" s="18" t="inlineStr">
        <is>
          <t>Lookup function</t>
        </is>
      </c>
      <c r="J28" s="18" t="inlineStr">
        <is>
          <t>Very high</t>
        </is>
      </c>
      <c r="K28" s="18" t="n">
        <v>5</v>
      </c>
      <c r="L28" s="18" t="inlineStr">
        <is>
          <t>The V stands for vertical, because it searches down the first column of a table. It has been in Excel for decades and is still widely used even though XLOOKUP is newer.</t>
        </is>
      </c>
      <c r="M28" s="18" t="inlineStr">
        <is>
          <t>Almost always type FALSE (or 0) as the last argument so that you get an exact match.</t>
        </is>
      </c>
      <c r="N28" s="18" t="inlineStr">
        <is>
          <t>Four arguments in order: what to find, where to look, which column number, FALSE. Do not forget the last FALSE.</t>
        </is>
      </c>
      <c r="O28" s="18" t="inlineStr">
        <is>
          <t>A librarian looks down the first column of the catalogue for your book number, then walks across the same row to read the shelf name.</t>
        </is>
      </c>
      <c r="P28" s="18" t="inlineStr">
        <is>
          <t>A finger sliding down a list of IDs and then turning right along the row to read the name.</t>
        </is>
      </c>
      <c r="Q28" s="18" t="inlineStr">
        <is>
          <t>Delight when a long list is matched to names in seconds instead of by eye.</t>
        </is>
      </c>
      <c r="R28" s="18" t="inlineStr">
        <is>
          <t>VLOOKUP finds a value in the first column of a table and returns a value from another column of the same row.</t>
        </is>
      </c>
      <c r="S28" s="18" t="inlineStr">
        <is>
          <t>टेबल के पहले कॉलम में खोजकर उसी पंक्ति की दूसरी जानकारी लाना</t>
        </is>
      </c>
      <c r="T28" s="19" t="inlineStr">
        <is>
          <t>A1: 101
B1: Asha
A2: 102
B2: Ravi
A3: 103
B3: Meena
D1: 102
E1: =VLOOKUP(D1,A1:B3,2,FALSE)</t>
        </is>
      </c>
      <c r="U28" s="19" t="inlineStr">
        <is>
          <t>Ravi</t>
        </is>
      </c>
      <c r="V28" s="18" t="inlineStr">
        <is>
          <t>Excel looks for 102 in the first column of A1:B3 and finds it in row 2. It then returns the value from column 2 of the table in that row, which is Ravi. FALSE makes sure only an exact match is accepted.</t>
        </is>
      </c>
      <c r="W28" s="18" t="inlineStr">
        <is>
          <t>Pehle column me ID dhundo, phir usi row me aage jao aur jo column number diya hai wahan se value le aao. Last me FALSE likho warna galat match mil sakta hai.</t>
        </is>
      </c>
      <c r="X28" s="18" t="inlineStr">
        <is>
          <t>Like looking up a name in a phone book and then reading the number next to it on the same line.</t>
        </is>
      </c>
      <c r="Y28" s="19" t="inlineStr">
        <is>
          <t>=VLOOKUP(lookup_value, table_array, col_index_num, [range_lookup])</t>
        </is>
      </c>
      <c r="Z28" s="18" t="inlineStr">
        <is>
          <t>lookup_value = what you search for | table_array = the table, whose first column is searched | col_index_num = which column of the table to return, counting from 1 | range_lookup = FALSE for exact match, TRUE for approximate</t>
        </is>
      </c>
      <c r="AA28" s="19" t="inlineStr">
        <is>
          <t>A1: 101
B1: Asha
A2: 102
B2: Ravi
A3: 103
B3: Meena
D1: 102
E1: =VLOOKUP(D1,A1:B3,2,FALSE)</t>
        </is>
      </c>
      <c r="AB28" s="19" t="inlineStr">
        <is>
          <t>A1: 0
B1: F
A2: 50
B2: C
A3: 80
B3: A
E1: =VLOOKUP(65,A1:B3,2,TRUE)</t>
        </is>
      </c>
      <c r="AC28" s="19" t="inlineStr">
        <is>
          <t>A1: 101
B1: Asha
C1: 500
A2: 102
B2: Ravi
C2: 700
A3: 103
B3: Meena
C3: 650
E1: =VLOOKUP(103,A1:C3,3,FALSE)</t>
        </is>
      </c>
      <c r="AD28" s="19" t="inlineStr">
        <is>
          <t>=VLOOKUP(D1,A1:B3,2,0)  - 0 works the same as FALSE
=VLOOKUP(104,A1:B3,2,FALSE)  - gives #N/A when the value is not found
=VLOOKUP(D1,A1:B3,3,FALSE)  - gives #REF! because the table has only 2 columns</t>
        </is>
      </c>
      <c r="AE28" s="18" t="inlineStr">
        <is>
          <t>IFERROR, absolute references ($A$1:$B$3), TRIM, data validation lists</t>
        </is>
      </c>
      <c r="AF28" s="18" t="inlineStr">
        <is>
          <t>HLOOKUP, XLOOKUP, INDEX and MATCH, IFERROR</t>
        </is>
      </c>
      <c r="AG28" s="18" t="inlineStr">
        <is>
          <t>XLOOKUP, INDEX and MATCH, FILTER (Microsoft 365)</t>
        </is>
      </c>
      <c r="AH28" s="18" t="inlineStr">
        <is>
          <t>VLOOKUP, HLOOKUP, XLOOKUP, LOOKUP, MATCH, INDEX</t>
        </is>
      </c>
      <c r="AI28" s="18" t="inlineStr">
        <is>
          <t>Finding a price from a product code | Matching student names to roll numbers | Bringing data from one sheet into another</t>
        </is>
      </c>
      <c r="AJ28" s="18" t="inlineStr">
        <is>
          <t>A: Why does my VLOOKUP give a wrong name for some IDs? | B: You left out the last argument, so Excel did an approximate match, add FALSE to get an exact match.</t>
        </is>
      </c>
      <c r="AK28" s="18" t="inlineStr">
        <is>
          <t>✗ VLOOKUP can return a value from a column on the left of the search column → ✓ VLOOKUP always searches the first column of the table and can only return from that column or columns to its right</t>
        </is>
      </c>
      <c r="AL28" s="18" t="inlineStr">
        <is>
          <t>VLOOKUP vs HLOOKUP: VLOOKUP searches down the first column, while HLOOKUP searches across the first row.</t>
        </is>
      </c>
      <c r="AM28" s="18" t="inlineStr">
        <is>
          <t>Do not leave out the last argument, because the default is an approximate match that can give wrong answers on unsorted data.</t>
        </is>
      </c>
      <c r="AN28" s="19" t="inlineStr">
        <is>
          <t>A1: 101
B1: Asha
A2: 102
B2: Ravi
A3: 103
B3: Meena
D1: 102
E1: =VLOOKUP(D1,A1:B3,3,FALSE)</t>
        </is>
      </c>
      <c r="AO28" s="19" t="inlineStr">
        <is>
          <t>A1: 101
B1: Asha
A2: 102
B2: Ravi
A3: 103
B3: Meena
D1: 102
E1: =VLOOKUP(D1,A1:B3,2,FALSE)</t>
        </is>
      </c>
      <c r="AP28" s="18" t="inlineStr">
        <is>
          <t>V for vertical, then four steps: find what, in where, which column, FALSE for exact.</t>
        </is>
      </c>
      <c r="AQ28" s="18" t="inlineStr">
        <is>
          <t>An accounts clerk uses VLOOKUP to pull each customer's name and city into an invoice list from a master customer table.</t>
        </is>
      </c>
      <c r="AR28" s="18" t="inlineStr">
        <is>
          <t>Interview question: why do you add FALSE at the end of a VLOOKUP and what happens if you leave it out?</t>
        </is>
      </c>
      <c r="AS28" s="18" t="inlineStr">
        <is>
          <t>Like finding a student by roll number on a result list and reading the marks in the same row.</t>
        </is>
      </c>
      <c r="AT28" s="18" t="inlineStr">
        <is>
          <t>A1:B3 holds IDs 101, 102, 103 with names in column B. What does =VLOOKUP(104,A1:B3,2,FALSE) show?</t>
        </is>
      </c>
      <c r="AU28" s="18" t="inlineStr">
        <is>
          <t>A) Meena B) 0 C) #N/A D) #REF!</t>
        </is>
      </c>
      <c r="AV28" s="18" t="inlineStr">
        <is>
          <t>C</t>
        </is>
      </c>
      <c r="AW28" s="18" t="inlineStr">
        <is>
          <t>104 is not in the first column, so an exact lookup gives #N/A. #REF! would appear only if the column number were larger than the table.</t>
        </is>
      </c>
      <c r="AX28" s="19" t="inlineStr">
        <is>
          <t>=VLOOKUP(D1,A1:B3,2,____) gives an exact match when the last argument is → FALSE</t>
        </is>
      </c>
      <c r="AY28" s="18" t="inlineStr">
        <is>
          <t>A1 to A3 hold Pen, Book, Bag and B1 to B3 hold 10, 50, 300. In D1 write Book. Find its price and multiply it by 2.</t>
        </is>
      </c>
      <c r="AZ28" s="19" t="inlineStr">
        <is>
          <t>A1: Pen
B1: 10
A2: Book
B2: 50
A3: Bag
B3: 300
D1: Book
E1: =VLOOKUP(D1,A1:B3,2,FALSE)*2</t>
        </is>
      </c>
      <c r="BA28" s="18" t="inlineStr">
        <is>
          <t>Make a small price list of five items and write a VLOOKUP that shows the price of any item you type.</t>
        </is>
      </c>
      <c r="BB28" s="19" t="inlineStr">
        <is>
          <t>A1: Pen
B1: 10
A2: Book
B2: 50
A3: Bag
B3: 300
D1: Book
E1: =VLOOKUP(D1,A1:B3,2,FALSE)*2
What does E1 show?</t>
        </is>
      </c>
      <c r="BC28" s="19" t="inlineStr">
        <is>
          <t>100</t>
        </is>
      </c>
      <c r="BD28" s="17">
        <f>IF(K28="","",REPT("★",K28)&amp;REPT("☆",5-K28)&amp;" ("&amp;K28&amp;"/5)")</f>
        <v/>
      </c>
      <c r="BE28" s="17">
        <f>IF(S28="","","Meaning: "&amp;S28&amp;"  =  ______   (Answer: "&amp;F28&amp;")")</f>
        <v/>
      </c>
      <c r="BF28" s="17" t="inlineStr">
        <is>
          <t>New</t>
        </is>
      </c>
      <c r="BG28" s="17" t="n"/>
      <c r="BH28" s="17" t="n"/>
      <c r="BI28" s="17" t="n"/>
      <c r="BJ28" s="17" t="n"/>
      <c r="BK28" s="17" t="n"/>
      <c r="BL28" s="17" t="n"/>
      <c r="BM28" s="17" t="n"/>
      <c r="BN28" s="17" t="n"/>
    </row>
    <row r="29" ht="148.5" customHeight="1">
      <c r="A29" s="17" t="inlineStr">
        <is>
          <t>XL-027</t>
        </is>
      </c>
      <c r="B29" s="17" t="inlineStr">
        <is>
          <t>06 Lookup</t>
        </is>
      </c>
      <c r="C29" s="17" t="inlineStr">
        <is>
          <t>Advanced</t>
        </is>
      </c>
      <c r="D29" s="17" t="n">
        <v>27</v>
      </c>
      <c r="E29" s="17" t="inlineStr">
        <is>
          <t>Claude knowledge</t>
        </is>
      </c>
      <c r="F29" s="18" t="inlineStr">
        <is>
          <t>INDEX and MATCH</t>
        </is>
      </c>
      <c r="G29" s="18" t="inlineStr">
        <is>
          <t>Which pair of functions can look up a value in any column, even one to the left of the search column?</t>
        </is>
      </c>
      <c r="H29" s="18" t="inlineStr">
        <is>
          <t>INDEX = इंडेक्स, MATCH = मैच</t>
        </is>
      </c>
      <c r="I29" s="18" t="inlineStr">
        <is>
          <t>Lookup function pair</t>
        </is>
      </c>
      <c r="J29" s="18" t="inlineStr">
        <is>
          <t>High</t>
        </is>
      </c>
      <c r="K29" s="18" t="n">
        <v>4</v>
      </c>
      <c r="L29" s="18" t="inlineStr">
        <is>
          <t>VLOOKUP can only return a value to the right of the column it searches, so users paired two older functions to look in any direction. That pairing became the standard flexible lookup before XLOOKUP existed.</t>
        </is>
      </c>
      <c r="M29" s="18" t="inlineStr">
        <is>
          <t>Use 0 as the third argument of MATCH for an exact match, and keep the INDEX range and MATCH range the same size.</t>
        </is>
      </c>
      <c r="N29" s="18" t="inlineStr">
        <is>
          <t>Write MATCH inside INDEX: =INDEX(return_range, MATCH(value, search_range, 0)). Count the closing brackets.</t>
        </is>
      </c>
      <c r="O29" s="18" t="inlineStr">
        <is>
          <t>MATCH is a detective who says the suspect is in seat number 2; INDEX is the clerk who walks to seat number 2 and reads the name tag.</t>
        </is>
      </c>
      <c r="P29" s="18" t="inlineStr">
        <is>
          <t>A detective pointing at the second seat in a row while a clerk reads the card on that seat.</t>
        </is>
      </c>
      <c r="Q29" s="18" t="inlineStr">
        <is>
          <t>Feeling of power when you can finally look up to the left, where VLOOKUP could not go.</t>
        </is>
      </c>
      <c r="R29" s="18" t="inlineStr">
        <is>
          <t>MATCH finds the position of a value in a list, and INDEX uses that position to return a value from another list.</t>
        </is>
      </c>
      <c r="S29" s="18" t="inlineStr">
        <is>
          <t>MATCH से स्थान ढूँढकर INDEX से उस स्थान की वैल्यू निकालना</t>
        </is>
      </c>
      <c r="T29" s="19" t="inlineStr">
        <is>
          <t>A1: Asha
A2: Ravi
A3: Meena
B1: 50
B2: 70
B3: 60
D1: =INDEX(B1:B3,MATCH("Ravi",A1:A3,0))</t>
        </is>
      </c>
      <c r="U29" s="19" t="inlineStr">
        <is>
          <t>70</t>
        </is>
      </c>
      <c r="V29" s="18" t="inlineStr">
        <is>
          <t>MATCH("Ravi",A1:A3,0) finds Ravi in position 2 of the list. INDEX(B1:B3,2) then returns the second value of B1:B3, which is 70. The 0 in MATCH means exact match.</t>
        </is>
      </c>
      <c r="W29" s="18" t="inlineStr">
        <is>
          <t>Pehle MATCH batata hai naam kaun si position par hai. Phir INDEX us position par dusre column se value nikalta hai. Dono milkar VLOOKUP jaisa kaam karte hain.</t>
        </is>
      </c>
      <c r="X29" s="18" t="inlineStr">
        <is>
          <t>Like finding which locker number holds your bag (MATCH) and then opening that locker to take the bag out (INDEX).</t>
        </is>
      </c>
      <c r="Y29" s="19" t="inlineStr">
        <is>
          <t>=INDEX(array, row_num, [column_num])
=MATCH(lookup_value, lookup_array, [match_type])
=INDEX(return_range, MATCH(value, search_range, 0))</t>
        </is>
      </c>
      <c r="Z29" s="18" t="inlineStr">
        <is>
          <t>INDEX array = where the answer lives | row_num = which row of that range | MATCH lookup_array = where to search | match_type 0 = exact match</t>
        </is>
      </c>
      <c r="AA29" s="19" t="inlineStr">
        <is>
          <t>A1: Asha
A2: Ravi
A3: Meena
B1: 50
B2: 70
B3: 60
D1: =INDEX(B1:B3,MATCH("Ravi",A1:A3,0))</t>
        </is>
      </c>
      <c r="AB29" s="19" t="inlineStr">
        <is>
          <t>A1: Asha
B1: 101
A2: Ravi
B2: 102
A3: Meena
B3: 103
D1: =INDEX(A1:A3,MATCH(103,B1:B3,0))</t>
        </is>
      </c>
      <c r="AC29" s="19" t="inlineStr">
        <is>
          <t>A1: (empty)
B1: Jan
C1: Feb
A2: Delhi
B2: 10
C2: 20
A3: Pune
B3: 30
C3: 40
E1: =INDEX(B2:C3,MATCH("Pune",A2:A3,0),MATCH("Feb",B1:C1,0))</t>
        </is>
      </c>
      <c r="AD29" s="19" t="inlineStr">
        <is>
          <t>=MATCH("Ravi",A1:A3,0)  - shows 2, the position only
=INDEX(B1:B3,2)  - shows 70, the second item
=IFERROR(INDEX(B1:B3,MATCH("Zoya",A1:A3,0)),"Not found")  - friendly message when missing</t>
        </is>
      </c>
      <c r="AE29" s="18" t="inlineStr">
        <is>
          <t>IFERROR, absolute references, two-way lookups, data validation lists</t>
        </is>
      </c>
      <c r="AF29" s="18" t="inlineStr">
        <is>
          <t>VLOOKUP, XLOOKUP, MATCH, OFFSET</t>
        </is>
      </c>
      <c r="AG29" s="18" t="inlineStr">
        <is>
          <t>VLOOKUP, XLOOKUP (Excel 2021 and Microsoft 365)</t>
        </is>
      </c>
      <c r="AH29" s="18" t="inlineStr">
        <is>
          <t>INDEX, MATCH, VLOOKUP, HLOOKUP, XLOOKUP, LOOKUP, XMATCH</t>
        </is>
      </c>
      <c r="AI29" s="18" t="inlineStr">
        <is>
          <t>Looking up a value to the left of the key column | Two-way lookups by row name and column name | Large sheets where inserting columns must not break formulas</t>
        </is>
      </c>
      <c r="AJ29" s="18" t="inlineStr">
        <is>
          <t>A: My ID is in column B but the name is in column A, VLOOKUP cannot go left. | B: Use INDEX on the name column and MATCH on the ID column, that works in either direction.</t>
        </is>
      </c>
      <c r="AK29" s="18" t="inlineStr">
        <is>
          <t>✗ INDEX and MATCH are only a harder way to write VLOOKUP → ✓ They can look in any direction and keep working when columns are inserted, which VLOOKUP's fixed column number cannot</t>
        </is>
      </c>
      <c r="AL29" s="18" t="inlineStr">
        <is>
          <t>INDEX vs MATCH: INDEX gives the value at a position, while MATCH gives the position of a value.</t>
        </is>
      </c>
      <c r="AM29" s="18" t="inlineStr">
        <is>
          <t>Do not leave out the 0 in MATCH on unsorted data, because Excel may pick a wrong row instead of an exact match.</t>
        </is>
      </c>
      <c r="AN29" s="19" t="inlineStr">
        <is>
          <t>A1: Asha
A2: Ravi
A3: Meena
B1: 50
B2: 70
B3: 60
D1: =INDEX(B1:B3,MATCH("Ravi",A1:A3))</t>
        </is>
      </c>
      <c r="AO29" s="19" t="inlineStr">
        <is>
          <t>A1: Asha
A2: Ravi
A3: Meena
B1: 50
B2: 70
B3: 60
D1: =INDEX(B1:B3,MATCH("Ravi",A1:A3,0))</t>
        </is>
      </c>
      <c r="AP29" s="18" t="inlineStr">
        <is>
          <t>MATCH finds the spot, INDEX fetches the stuff at that spot.</t>
        </is>
      </c>
      <c r="AQ29" s="18" t="inlineStr">
        <is>
          <t>An analyst uses INDEX and MATCH to pull a product price by code even when the code column sits to the right of the price column.</t>
        </is>
      </c>
      <c r="AR29" s="18" t="inlineStr">
        <is>
          <t>Interview question: why do many people prefer INDEX and MATCH over VLOOKUP?</t>
        </is>
      </c>
      <c r="AS29" s="18" t="inlineStr">
        <is>
          <t>Like asking the bell number of a flat from the notice board, then pressing that bell.</t>
        </is>
      </c>
      <c r="AT29" s="18" t="inlineStr">
        <is>
          <t>A1:A3 holds Asha, Ravi, Meena and B1:B3 holds 50, 70, 60. What does =INDEX(B1:B3,MATCH("Meena",A1:A3,0)) show?</t>
        </is>
      </c>
      <c r="AU29" s="18" t="inlineStr">
        <is>
          <t>A) 3 B) 60 C) 70 D) Meena</t>
        </is>
      </c>
      <c r="AV29" s="18" t="inlineStr">
        <is>
          <t>B</t>
        </is>
      </c>
      <c r="AW29" s="18" t="inlineStr">
        <is>
          <t>MATCH gives position 3 and INDEX returns the third value of B1:B3, which is 60. The answer 3 would come from MATCH alone.</t>
        </is>
      </c>
      <c r="AX29" s="19" t="inlineStr">
        <is>
          <t>=INDEX(B1:B3,____("Ravi",A1:A3,0)) finds the position of Ravi → MATCH</t>
        </is>
      </c>
      <c r="AY29" s="18" t="inlineStr">
        <is>
          <t>A1 to A3 hold Pen, Book, Bag and B1 to B3 hold 10, 50, 300. Find the item name whose price is 50 using INDEX and MATCH.</t>
        </is>
      </c>
      <c r="AZ29" s="19" t="inlineStr">
        <is>
          <t>A1: Pen
B1: 10
A2: Book
B2: 50
A3: Bag
B3: 300
D1: =INDEX(A1:A3,MATCH(50,B1:B3,0))</t>
        </is>
      </c>
      <c r="BA29" s="18" t="inlineStr">
        <is>
          <t>Take a table with an ID column to the right of a name column and write a lookup that finds the name from an ID.</t>
        </is>
      </c>
      <c r="BB29" s="19" t="inlineStr">
        <is>
          <t>A1: Pen
B1: 10
A2: Book
B2: 50
A3: Bag
B3: 300
D1: =INDEX(A1:A3,MATCH(50,B1:B3,0))
What does D1 show?</t>
        </is>
      </c>
      <c r="BC29" s="19" t="inlineStr">
        <is>
          <t>Book</t>
        </is>
      </c>
      <c r="BD29" s="17">
        <f>IF(K29="","",REPT("★",K29)&amp;REPT("☆",5-K29)&amp;" ("&amp;K29&amp;"/5)")</f>
        <v/>
      </c>
      <c r="BE29" s="17">
        <f>IF(S29="","","Meaning: "&amp;S29&amp;"  =  ______   (Answer: "&amp;F29&amp;")")</f>
        <v/>
      </c>
      <c r="BF29" s="17" t="inlineStr">
        <is>
          <t>New</t>
        </is>
      </c>
      <c r="BG29" s="17" t="n"/>
      <c r="BH29" s="17" t="n"/>
      <c r="BI29" s="17" t="n"/>
      <c r="BJ29" s="17" t="n"/>
      <c r="BK29" s="17" t="n"/>
      <c r="BL29" s="17" t="n"/>
      <c r="BM29" s="17" t="n"/>
      <c r="BN29" s="17" t="n"/>
    </row>
    <row r="30" ht="175.5" customHeight="1">
      <c r="A30" s="17" t="inlineStr">
        <is>
          <t>XL-028</t>
        </is>
      </c>
      <c r="B30" s="17" t="inlineStr">
        <is>
          <t>06 Lookup</t>
        </is>
      </c>
      <c r="C30" s="17" t="inlineStr">
        <is>
          <t>Advanced</t>
        </is>
      </c>
      <c r="D30" s="17" t="n">
        <v>28</v>
      </c>
      <c r="E30" s="17" t="inlineStr">
        <is>
          <t>Claude knowledge</t>
        </is>
      </c>
      <c r="F30" s="18" t="inlineStr">
        <is>
          <t>XLOOKUP</t>
        </is>
      </c>
      <c r="G30" s="18" t="inlineStr">
        <is>
          <t>Which newer lookup function can search in any direction and has a built-in message for when nothing is found?</t>
        </is>
      </c>
      <c r="H30" s="18" t="inlineStr">
        <is>
          <t>XLOOKUP = एक्स-लुकअप</t>
        </is>
      </c>
      <c r="I30" s="18" t="inlineStr">
        <is>
          <t>Lookup function</t>
        </is>
      </c>
      <c r="J30" s="18" t="inlineStr">
        <is>
          <t>High</t>
        </is>
      </c>
      <c r="K30" s="18" t="n">
        <v>5</v>
      </c>
      <c r="L30" s="18" t="inlineStr">
        <is>
          <t>XLOOKUP was introduced by Microsoft to replace VLOOKUP and HLOOKUP with one simpler function. It is available in Microsoft 365 and Excel 2021 and later, but not in Excel 2019 or older.</t>
        </is>
      </c>
      <c r="M30" s="18" t="inlineStr">
        <is>
          <t>Use the fourth argument to show a friendly message such as Not found instead of wrapping the formula in IFERROR.</t>
        </is>
      </c>
      <c r="N30" s="18" t="inlineStr">
        <is>
          <t>Give the search range and the return range as two separate ranges of the same size, with no column number.</t>
        </is>
      </c>
      <c r="O30" s="18" t="inlineStr">
        <is>
          <t>X marks the spot on a treasure map: you give the thing to find, the row of clues to search, and the row where the treasure is listed.</t>
        </is>
      </c>
      <c r="P30" s="18" t="inlineStr">
        <is>
          <t>A treasure map with a big X over one row, an arrow pointing sideways to the matching value.</t>
        </is>
      </c>
      <c r="Q30" s="18" t="inlineStr">
        <is>
          <t>Relief at not having to count column numbers any more.</t>
        </is>
      </c>
      <c r="R30" s="18" t="inlineStr">
        <is>
          <t>XLOOKUP searches one range for a value and returns the matching item from another range.</t>
        </is>
      </c>
      <c r="S30" s="18" t="inlineStr">
        <is>
          <t>एक रेंज में खोजकर दूसरी रेंज से मिलती-जुलती वैल्यू देना</t>
        </is>
      </c>
      <c r="T30" s="19" t="inlineStr">
        <is>
          <t>A1: Asha
A2: Ravi
A3: Meena
B1: 50
B2: 70
B3: 60
D1: =XLOOKUP("Ravi",A1:A3,B1:B3)</t>
        </is>
      </c>
      <c r="U30" s="19" t="inlineStr">
        <is>
          <t>70</t>
        </is>
      </c>
      <c r="V30" s="18" t="inlineStr">
        <is>
          <t>XLOOKUP finds Ravi in A1:A3, which is the second item, and returns the second item of B1:B3, which is 70. By default it looks for an exact match, so you do not need to type FALSE.</t>
        </is>
      </c>
      <c r="W30" s="18" t="inlineStr">
        <is>
          <t>Pehla range me value dhundo, dusre range se answer lao. Column number ginna nahi padta aur exact match apne aap hota hai.</t>
        </is>
      </c>
      <c r="X30" s="18" t="inlineStr">
        <is>
          <t>Like finding a name on the left page of a register and reading the marks on the matching line of the right page.</t>
        </is>
      </c>
      <c r="Y30" s="19" t="inlineStr">
        <is>
          <t>=XLOOKUP(lookup_value, lookup_array, return_array, [if_not_found], [match_mode], [search_mode])</t>
        </is>
      </c>
      <c r="Z30" s="18" t="inlineStr">
        <is>
          <t>lookup_value = what to find | lookup_array = where to search | return_array = where the answer comes from | if_not_found = message when no match | match_mode = 0 exact, -1 exact or next smaller, 1 exact or next larger, 2 wildcard</t>
        </is>
      </c>
      <c r="AA30" s="19" t="inlineStr">
        <is>
          <t>A1: Asha
A2: Ravi
A3: Meena
B1: 50
B2: 70
B3: 60
D1: =XLOOKUP("Ravi",A1:A3,B1:B3)</t>
        </is>
      </c>
      <c r="AB30" s="19" t="inlineStr">
        <is>
          <t>A1: Asha
A2: Ravi
A3: Meena
B1: 50
B2: 70
B3: 60
D1: =XLOOKUP("Zoya",A1:A3,B1:B3,"Not found")</t>
        </is>
      </c>
      <c r="AC30" s="19" t="inlineStr">
        <is>
          <t>A1: 0
A2: 50
A3: 80
B1: F
B2: C
B3: A
D1: =XLOOKUP(65,A1:A3,B1:B3,,-1)</t>
        </is>
      </c>
      <c r="AD30" s="19" t="inlineStr">
        <is>
          <t>=XLOOKUP("ravi",A1:A3,B1:B3)  - upper and lower case do not matter
=XLOOKUP("R*",A1:A3,B1:B3,"None",2)  - match mode 2 allows wildcards
=XLOOKUP("Ravi",A1:A3,B1:B3,"None",0,-1)  - search mode -1 searches from the last item to the first</t>
        </is>
      </c>
      <c r="AE30" s="18" t="inlineStr">
        <is>
          <t>IFERROR, wildcards, FILTER, UNIQUE</t>
        </is>
      </c>
      <c r="AF30" s="18" t="inlineStr">
        <is>
          <t>VLOOKUP, INDEX and MATCH, XMATCH, FILTER</t>
        </is>
      </c>
      <c r="AG30" s="18" t="inlineStr">
        <is>
          <t>VLOOKUP, INDEX and MATCH, LOOKUP</t>
        </is>
      </c>
      <c r="AH30" s="18" t="inlineStr">
        <is>
          <t>XLOOKUP, XMATCH, VLOOKUP, HLOOKUP, INDEX, MATCH, FILTER</t>
        </is>
      </c>
      <c r="AI30" s="18" t="inlineStr">
        <is>
          <t>Looking up prices or names in modern workbooks | Looking up to the left of the key column | Grading with approximate match</t>
        </is>
      </c>
      <c r="AJ30" s="18" t="inlineStr">
        <is>
          <t>A: Can I find a value to the left without using INDEX and MATCH? | B: Yes, XLOOKUP can, but your Excel must be Microsoft 365 or Excel 2021 or later.</t>
        </is>
      </c>
      <c r="AK30" s="18" t="inlineStr">
        <is>
          <t>✗ XLOOKUP works in every Excel version like VLOOKUP → ✓ XLOOKUP needs Microsoft 365 or Excel 2021 or later and will show #NAME? in older versions</t>
        </is>
      </c>
      <c r="AL30" s="18" t="inlineStr">
        <is>
          <t>XLOOKUP vs VLOOKUP: XLOOKUP takes separate search and return ranges and does an exact match by default, while VLOOKUP needs a column number and defaults to approximate.</t>
        </is>
      </c>
      <c r="AM30" s="18" t="inlineStr">
        <is>
          <t>Do not share a file that uses XLOOKUP with people who have Excel 2019 or older, because they will see errors.</t>
        </is>
      </c>
      <c r="AN30" s="19" t="inlineStr">
        <is>
          <t>A1: Asha
A2: Ravi
A3: Meena
B1: 50
B2: 70
B3: 60
D1: =XLOOKUP("Ravi",A1:B3,2)</t>
        </is>
      </c>
      <c r="AO30" s="19" t="inlineStr">
        <is>
          <t>A1: Asha
A2: Ravi
A3: Meena
B1: 50
B2: 70
B3: 60
D1: =XLOOKUP("Ravi",A1:A3,B1:B3)</t>
        </is>
      </c>
      <c r="AP30" s="18" t="inlineStr">
        <is>
          <t>X marks it: find, search here, return from there.</t>
        </is>
      </c>
      <c r="AQ30" s="18" t="inlineStr">
        <is>
          <t>A team on Microsoft 365 uses XLOOKUP to pull each product's price and shows Not found for new codes that are not yet in the list.</t>
        </is>
      </c>
      <c r="AR30" s="18" t="inlineStr">
        <is>
          <t>Interview question: how is XLOOKUP better than VLOOKUP, and which versions of Excel support it?</t>
        </is>
      </c>
      <c r="AS30" s="18" t="inlineStr">
        <is>
          <t>Like finding a contact in your phone and reading the number saved next to that name.</t>
        </is>
      </c>
      <c r="AT30" s="18" t="inlineStr">
        <is>
          <t>A1:A3 holds Asha, Ravi, Meena and B1:B3 holds 50, 70, 60. What does =XLOOKUP("ravi",A1:A3,B1:B3) show?</t>
        </is>
      </c>
      <c r="AU30" s="18" t="inlineStr">
        <is>
          <t>A) 70 B) #N/A C) 50 D) 60</t>
        </is>
      </c>
      <c r="AV30" s="18" t="inlineStr">
        <is>
          <t>A</t>
        </is>
      </c>
      <c r="AW30" s="18" t="inlineStr">
        <is>
          <t>XLOOKUP ignores upper and lower case, so ravi matches Ravi in position 2 and returns 70.</t>
        </is>
      </c>
      <c r="AX30" s="19" t="inlineStr">
        <is>
          <t>=____("Ravi",A1:A3,B1:B3) is the lookup function that needs Microsoft 365 or Excel 2021 → XLOOKUP</t>
        </is>
      </c>
      <c r="AY30" s="18" t="inlineStr">
        <is>
          <t>A1 to A3 hold Pen, Book, Bag and B1 to B3 hold 10, 50, 300. Look up Cap and show the words Not found if it is missing.</t>
        </is>
      </c>
      <c r="AZ30" s="19" t="inlineStr">
        <is>
          <t>A1: Pen
B1: 10
A2: Book
B2: 50
A3: Bag
B3: 300
D1: =XLOOKUP("Cap",A1:A3,B1:B3,"Not found")</t>
        </is>
      </c>
      <c r="BA30" s="18" t="inlineStr">
        <is>
          <t>Rewrite one of your older VLOOKUP formulas as an XLOOKUP and note what became simpler.</t>
        </is>
      </c>
      <c r="BB30" s="19" t="inlineStr">
        <is>
          <t>A1: Pen
B1: 10
A2: Book
B2: 50
A3: Bag
B3: 300
D1: =XLOOKUP("Cap",A1:A3,B1:B3,"Not found")
What does D1 show?</t>
        </is>
      </c>
      <c r="BC30" s="19" t="inlineStr">
        <is>
          <t>Not found</t>
        </is>
      </c>
      <c r="BD30" s="17">
        <f>IF(K30="","",REPT("★",K30)&amp;REPT("☆",5-K30)&amp;" ("&amp;K30&amp;"/5)")</f>
        <v/>
      </c>
      <c r="BE30" s="17">
        <f>IF(S30="","","Meaning: "&amp;S30&amp;"  =  ______   (Answer: "&amp;F30&amp;")")</f>
        <v/>
      </c>
      <c r="BF30" s="17" t="inlineStr">
        <is>
          <t>New</t>
        </is>
      </c>
      <c r="BG30" s="17" t="n"/>
      <c r="BH30" s="17" t="n"/>
      <c r="BI30" s="17" t="n"/>
      <c r="BJ30" s="17" t="n"/>
      <c r="BK30" s="17" t="n"/>
      <c r="BL30" s="17" t="n"/>
      <c r="BM30" s="17" t="n"/>
      <c r="BN30" s="17" t="n"/>
    </row>
    <row r="31" ht="121.5" customHeight="1">
      <c r="A31" s="17" t="inlineStr">
        <is>
          <t>XL-029</t>
        </is>
      </c>
      <c r="B31" s="17" t="inlineStr">
        <is>
          <t>07 Text</t>
        </is>
      </c>
      <c r="C31" s="17" t="inlineStr">
        <is>
          <t>Beginner</t>
        </is>
      </c>
      <c r="D31" s="17" t="n">
        <v>29</v>
      </c>
      <c r="E31" s="17" t="inlineStr">
        <is>
          <t>Claude knowledge</t>
        </is>
      </c>
      <c r="F31" s="18" t="inlineStr">
        <is>
          <t>LEFT, RIGHT and MID</t>
        </is>
      </c>
      <c r="G31" s="18" t="inlineStr">
        <is>
          <t>Which functions pull out the first few, last few or middle few characters from a piece of text?</t>
        </is>
      </c>
      <c r="H31" s="18" t="inlineStr">
        <is>
          <t>LEFT = लेफ़्ट, RIGHT = राइट, MID = मिड</t>
        </is>
      </c>
      <c r="I31" s="18" t="inlineStr">
        <is>
          <t>Text function</t>
        </is>
      </c>
      <c r="J31" s="18" t="inlineStr">
        <is>
          <t>High</t>
        </is>
      </c>
      <c r="K31" s="18" t="n">
        <v>4</v>
      </c>
      <c r="L31" s="18" t="inlineStr">
        <is>
          <t>Text in sheets often has useful parts joined together, like a code with a year inside, so Excel gives three functions to cut a piece from the left end, the right end or the middle.</t>
        </is>
      </c>
      <c r="M31" s="18" t="inlineStr">
        <is>
          <t>Count the start position for MID carefully, because spaces and dashes count as characters too.</t>
        </is>
      </c>
      <c r="N31" s="18" t="inlineStr">
        <is>
          <t>LEFT and RIGHT take two arguments, MID takes three. Always give the text first.</t>
        </is>
      </c>
      <c r="O31" s="18" t="inlineStr">
        <is>
          <t>A baker cuts a long loaf: LEFT takes the left end, RIGHT takes the right end and MID takes a slice from the middle.</t>
        </is>
      </c>
      <c r="P31" s="18" t="inlineStr">
        <is>
          <t>A long loaf of bread on a board with three coloured slices cut from the left, the middle and the right.</t>
        </is>
      </c>
      <c r="Q31" s="18" t="inlineStr">
        <is>
          <t>Satisfaction when a messy code splits into neat parts without any retyping.</t>
        </is>
      </c>
      <c r="R31" s="18" t="inlineStr">
        <is>
          <t>LEFT, RIGHT and MID return a chosen number of characters from the start, the end or the middle of text.</t>
        </is>
      </c>
      <c r="S31" s="18" t="inlineStr">
        <is>
          <t>टेक्स्ट के शुरू, अंत या बीच से कुछ अक्षर निकालना</t>
        </is>
      </c>
      <c r="T31" s="19" t="inlineStr">
        <is>
          <t>A1: EDU-2025-07
B1: =LEFT(A1,3)
B2: =RIGHT(A1,2)
B3: =MID(A1,5,4)</t>
        </is>
      </c>
      <c r="U31" s="19" t="inlineStr">
        <is>
          <t>B1 shows EDU
B2 shows 07
B3 shows 2025</t>
        </is>
      </c>
      <c r="V31" s="18" t="inlineStr">
        <is>
          <t>LEFT takes the first 3 characters, RIGHT takes the last 2 characters, and MID starts at character 5 and takes 4 characters. The dash counts as character 4, so the year starts at 5.</t>
        </is>
      </c>
      <c r="W31" s="18" t="inlineStr">
        <is>
          <t>LEFT shuru se, RIGHT aakhir se aur MID beech se akshar nikalta hai. MID me batana padta hai kahan se shuru karna hai aur kitne akshar lene hain.</t>
        </is>
      </c>
      <c r="X31" s="18" t="inlineStr">
        <is>
          <t>Like cutting a train ticket number: the first digits show the train, the last digits show the seat.</t>
        </is>
      </c>
      <c r="Y31" s="19" t="inlineStr">
        <is>
          <t>=LEFT(text, [num_chars])
=RIGHT(text, [num_chars])
=MID(text, start_num, num_chars)</t>
        </is>
      </c>
      <c r="Z31" s="18" t="inlineStr">
        <is>
          <t>text = the cell or text to cut | num_chars = how many characters to take | start_num = position of the first character to take (MID only, counting from 1)</t>
        </is>
      </c>
      <c r="AA31" s="19" t="inlineStr">
        <is>
          <t>A1: EDU-2025-07
B1: =MID(A1,5,4)</t>
        </is>
      </c>
      <c r="AB31" s="19" t="inlineStr">
        <is>
          <t>A1: Asha Rao
B1: =LEFT(A1,FIND(" ",A1)-1)</t>
        </is>
      </c>
      <c r="AC31" s="19" t="inlineStr">
        <is>
          <t>A1: 98765
B1: =LEFT(A1,2)</t>
        </is>
      </c>
      <c r="AD31" s="19" t="inlineStr">
        <is>
          <t>=RIGHT(A1)  - last 1 character, because num_chars defaults to 1
=MID(A1,6,3)  - with Asha Rao, gives Rao
=VALUE(LEFT(A1,2))  - turns the cut text into a real number</t>
        </is>
      </c>
      <c r="AE31" s="18" t="inlineStr">
        <is>
          <t>FIND, LEN, VALUE, TRIM</t>
        </is>
      </c>
      <c r="AF31" s="18" t="inlineStr">
        <is>
          <t>FIND, SEARCH, LEN, TEXTBEFORE</t>
        </is>
      </c>
      <c r="AG31" s="18" t="inlineStr">
        <is>
          <t>Data tab &gt; Text to Columns, Flash Fill (Ctrl+E), TEXTBEFORE and TEXTAFTER (Microsoft 365)</t>
        </is>
      </c>
      <c r="AH31" s="18" t="inlineStr">
        <is>
          <t>LEFT, RIGHT, MID, LEN, FIND, SEARCH, TRIM</t>
        </is>
      </c>
      <c r="AI31" s="18" t="inlineStr">
        <is>
          <t>Splitting codes like invoice numbers | Taking first names from full names | Getting the year or area code from an ID</t>
        </is>
      </c>
      <c r="AJ31" s="18" t="inlineStr">
        <is>
          <t>A: How do I get just the year out of a code like EDU-2025-07? | B: Use MID, start at character 5 and take 4 characters, that gives 2025.</t>
        </is>
      </c>
      <c r="AK31" s="18" t="inlineStr">
        <is>
          <t>✗ The result of LEFT on a number is still a number → ✓ LEFT, RIGHT and MID always return text, so use VALUE if you need to calculate with the result</t>
        </is>
      </c>
      <c r="AL31" s="18" t="inlineStr">
        <is>
          <t>LEFT vs RIGHT: LEFT cuts from the start of the text, while RIGHT cuts from the end of the text.</t>
        </is>
      </c>
      <c r="AM31" s="18" t="inlineStr">
        <is>
          <t>Do not count start positions by eye in long text; use FIND to locate the dash or space instead.</t>
        </is>
      </c>
      <c r="AN31" s="19" t="inlineStr">
        <is>
          <t>A1: EDU-2025-07
B1: =LEFT(3,A1)</t>
        </is>
      </c>
      <c r="AO31" s="19" t="inlineStr">
        <is>
          <t>A1: EDU-2025-07
B1: =LEFT(A1,3)</t>
        </is>
      </c>
      <c r="AP31" s="18" t="inlineStr">
        <is>
          <t>Text first, number second: LEFT(text, how many).</t>
        </is>
      </c>
      <c r="AQ31" s="18" t="inlineStr">
        <is>
          <t>A data clerk uses MID to pull the year out of thousands of invoice numbers so they can be grouped by year.</t>
        </is>
      </c>
      <c r="AR31" s="18" t="inlineStr">
        <is>
          <t>Interview question: how do you take the first name from a full name stored in one cell?</t>
        </is>
      </c>
      <c r="AS31" s="18" t="inlineStr">
        <is>
          <t>Like reading only the first three letters of a bus number to know which route it belongs to.</t>
        </is>
      </c>
      <c r="AT31" s="18" t="inlineStr">
        <is>
          <t>A1 holds INV-4501. What does =MID(A1,5,2) show?</t>
        </is>
      </c>
      <c r="AU31" s="18" t="inlineStr">
        <is>
          <t>A) 4501 B) 45 C) -4 D) 50</t>
        </is>
      </c>
      <c r="AV31" s="18" t="inlineStr">
        <is>
          <t>B</t>
        </is>
      </c>
      <c r="AW31" s="18" t="inlineStr">
        <is>
          <t>The characters are I, N, V, dash, then 4 is at position 5, so taking 2 characters gives 45. The answer 4501 would need 4 characters.</t>
        </is>
      </c>
      <c r="AX31" s="19" t="inlineStr">
        <is>
          <t>=____(A1,3) gives the first 3 characters of the text in A1 → LEFT</t>
        </is>
      </c>
      <c r="AY31" s="18" t="inlineStr">
        <is>
          <t>In A1 write ORDER-9087. In B1 show the first 5 letters, a slash, and the last 2 characters joined together.</t>
        </is>
      </c>
      <c r="AZ31" s="19" t="inlineStr">
        <is>
          <t>A1: ORDER-9087
B1: =LEFT(A1,5)&amp;"/"&amp;RIGHT(A1,2)</t>
        </is>
      </c>
      <c r="BA31" s="18" t="inlineStr">
        <is>
          <t>Write your own phone number or ID in a cell and use these functions to split it into two or three parts.</t>
        </is>
      </c>
      <c r="BB31" s="19" t="inlineStr">
        <is>
          <t>A1: ORDER-9087
B1: =LEFT(A1,5)&amp;"/"&amp;RIGHT(A1,2)
What does B1 show?</t>
        </is>
      </c>
      <c r="BC31" s="19" t="inlineStr">
        <is>
          <t>ORDER/87</t>
        </is>
      </c>
      <c r="BD31" s="17">
        <f>IF(K31="","",REPT("★",K31)&amp;REPT("☆",5-K31)&amp;" ("&amp;K31&amp;"/5)")</f>
        <v/>
      </c>
      <c r="BE31" s="17">
        <f>IF(S31="","","Meaning: "&amp;S31&amp;"  =  ______   (Answer: "&amp;F31&amp;")")</f>
        <v/>
      </c>
      <c r="BF31" s="17" t="inlineStr">
        <is>
          <t>New</t>
        </is>
      </c>
      <c r="BG31" s="17" t="n"/>
      <c r="BH31" s="17" t="n"/>
      <c r="BI31" s="17" t="n"/>
      <c r="BJ31" s="17" t="n"/>
      <c r="BK31" s="17" t="n"/>
      <c r="BL31" s="17" t="n"/>
      <c r="BM31" s="17" t="n"/>
      <c r="BN31" s="17" t="n"/>
    </row>
    <row r="32" ht="121.5" customHeight="1">
      <c r="A32" s="17" t="inlineStr">
        <is>
          <t>XL-030</t>
        </is>
      </c>
      <c r="B32" s="17" t="inlineStr">
        <is>
          <t>07 Text</t>
        </is>
      </c>
      <c r="C32" s="17" t="inlineStr">
        <is>
          <t>Beginner</t>
        </is>
      </c>
      <c r="D32" s="17" t="n">
        <v>30</v>
      </c>
      <c r="E32" s="17" t="inlineStr">
        <is>
          <t>Claude knowledge</t>
        </is>
      </c>
      <c r="F32" s="18" t="inlineStr">
        <is>
          <t>LEN, TRIM and CLEAN</t>
        </is>
      </c>
      <c r="G32" s="18" t="inlineStr">
        <is>
          <t>Which functions count characters, remove extra spaces and remove hidden line breaks from text?</t>
        </is>
      </c>
      <c r="H32" s="18" t="inlineStr">
        <is>
          <t>LEN = लेन, TRIM = ट्रिम, CLEAN = क्लीन</t>
        </is>
      </c>
      <c r="I32" s="18" t="inlineStr">
        <is>
          <t>Text function</t>
        </is>
      </c>
      <c r="J32" s="18" t="inlineStr">
        <is>
          <t>High</t>
        </is>
      </c>
      <c r="K32" s="18" t="n">
        <v>4</v>
      </c>
      <c r="L32" s="18" t="inlineStr">
        <is>
          <t>Data copied from websites or other software often has extra spaces and hidden characters, so Excel gives LEN to measure text, TRIM to remove extra spaces and CLEAN to remove non-printing characters.</t>
        </is>
      </c>
      <c r="M32" s="18" t="inlineStr">
        <is>
          <t>Use =TRIM(CLEAN(A1)) before lookups when data was copied from outside, because hidden spaces cause #N/A.</t>
        </is>
      </c>
      <c r="N32" s="18" t="inlineStr">
        <is>
          <t>Each takes one cell or text as its only argument. Do not type spaces between the function name and the bracket.</t>
        </is>
      </c>
      <c r="O32" s="18" t="inlineStr">
        <is>
          <t>A tailor measures the cloth with LEN, trims the loose threads with TRIM, and cleans away the dust with CLEAN.</t>
        </is>
      </c>
      <c r="P32" s="18" t="inlineStr">
        <is>
          <t>A tailor with a measuring tape, small scissors and a brush working on one piece of cloth.</t>
        </is>
      </c>
      <c r="Q32" s="18" t="inlineStr">
        <is>
          <t>Relief when a lookup that never matched suddenly works after the text is cleaned.</t>
        </is>
      </c>
      <c r="R32" s="18" t="inlineStr">
        <is>
          <t>LEN counts the characters in text, TRIM removes extra spaces, and CLEAN removes hidden non-printing characters.</t>
        </is>
      </c>
      <c r="S32" s="18" t="inlineStr">
        <is>
          <t>अक्षर गिनना, फालतू स्पेस हटाना और छिपे हुए अक्षर साफ़ करना</t>
        </is>
      </c>
      <c r="T32" s="19" t="inlineStr">
        <is>
          <t>A1: (two spaces)Asha(three spaces)Rao(two spaces)
B1: =LEN(A1)
B2: =TRIM(A1)
B3: =LEN(TRIM(A1))</t>
        </is>
      </c>
      <c r="U32" s="19" t="inlineStr">
        <is>
          <t>B1 shows 14
B2 shows Asha Rao
B3 shows 8</t>
        </is>
      </c>
      <c r="V32" s="18" t="inlineStr">
        <is>
          <t>The text has 2 leading spaces, Asha (4), 3 spaces, Rao (3) and 2 trailing spaces, so LEN gives 14. TRIM removes the spaces at both ends and keeps only one space between words, leaving Asha Rao, which has 8 characters.</t>
        </is>
      </c>
      <c r="W32" s="18" t="inlineStr">
        <is>
          <t>LEN akshar ginta hai, spaces ko bhi. TRIM shuru aur aakhir ke spaces hata deta hai aur beech me sirf ek space chhodta hai. CLEAN chhipe hue line break jaise akshar hata deta hai.</t>
        </is>
      </c>
      <c r="X32" s="18" t="inlineStr">
        <is>
          <t>Like tidying a shelf: LEN counts the books, TRIM removes the gaps, and CLEAN wipes the dust.</t>
        </is>
      </c>
      <c r="Y32" s="19" t="inlineStr">
        <is>
          <t>=LEN(text)
=TRIM(text)
=CLEAN(text)</t>
        </is>
      </c>
      <c r="Z32" s="18" t="inlineStr">
        <is>
          <t>text = a cell or text value | LEN = returns a number | TRIM = returns text with single spaces between words | CLEAN = returns text without non-printing characters</t>
        </is>
      </c>
      <c r="AA32" s="19" t="inlineStr">
        <is>
          <t>A1: 9876543210
B1: =LEN(A1)=10</t>
        </is>
      </c>
      <c r="AB32" s="19" t="inlineStr">
        <is>
          <t>A1: (two spaces)Ravi(three spaces)Kumar(two spaces)
B1: =TRIM(A1)</t>
        </is>
      </c>
      <c r="AC32" s="19" t="inlineStr">
        <is>
          <t>A1: =CHAR(10) joined between Hi and there, so the cell holds a line break
B1: =CLEAN(A1)</t>
        </is>
      </c>
      <c r="AD32" s="19" t="inlineStr">
        <is>
          <t>=LEN(A1)-LEN(TRIM(A1))  - number of extra spaces removed by TRIM
=TRIM(SUBSTITUTE(A1,CHAR(160)," "))  - TRIM alone does not remove non-breaking spaces from the web
=TRIM(CLEAN(A1))  - fixes both spaces and hidden characters</t>
        </is>
      </c>
      <c r="AE32" s="18" t="inlineStr">
        <is>
          <t>VLOOKUP, SUBSTITUTE, data validation, LEFT and RIGHT</t>
        </is>
      </c>
      <c r="AF32" s="18" t="inlineStr">
        <is>
          <t>SUBSTITUTE, PROPER, UPPER, LOWER</t>
        </is>
      </c>
      <c r="AG32" s="18" t="inlineStr">
        <is>
          <t>Find and Replace (Ctrl+H), Flash Fill (Ctrl+E), Power Query Trim and Clean</t>
        </is>
      </c>
      <c r="AH32" s="18" t="inlineStr">
        <is>
          <t>LEN, TRIM, CLEAN, SUBSTITUTE, UPPER, LOWER, PROPER</t>
        </is>
      </c>
      <c r="AI32" s="18" t="inlineStr">
        <is>
          <t>Cleaning names before a lookup | Checking that phone numbers have 10 digits | Fixing text copied from websites</t>
        </is>
      </c>
      <c r="AJ32" s="18" t="inlineStr">
        <is>
          <t>A: My VLOOKUP says #N/A even though the name is clearly in the list. | B: Check for extra spaces with LEN, then use TRIM on the name and try again.</t>
        </is>
      </c>
      <c r="AK32" s="18" t="inlineStr">
        <is>
          <t>✗ TRIM removes every space from the text → ✓ TRIM removes spaces at the start and end and reduces spaces between words to one, but it does not remove them all</t>
        </is>
      </c>
      <c r="AL32" s="18" t="inlineStr">
        <is>
          <t>TRIM vs CLEAN: TRIM removes extra spaces, while CLEAN removes non-printing characters like line breaks.</t>
        </is>
      </c>
      <c r="AM32" s="18" t="inlineStr">
        <is>
          <t>Do not type over cleaned data in place without a backup, copy the TRIM results and paste them as values in a new column.</t>
        </is>
      </c>
      <c r="AN32" s="19" t="inlineStr">
        <is>
          <t>A1: Hi(line break)there
B1: =TRIM(A1)</t>
        </is>
      </c>
      <c r="AO32" s="19" t="inlineStr">
        <is>
          <t>A1: Hi(line break)there
B1: =CLEAN(A1)</t>
        </is>
      </c>
      <c r="AP32" s="18" t="inlineStr">
        <is>
          <t>LEN = length, TRIM = trim spaces, CLEAN = clean hidden marks.</t>
        </is>
      </c>
      <c r="AQ32" s="18" t="inlineStr">
        <is>
          <t>A data clerk runs TRIM and CLEAN on a customer list so that lookups and duplicate checks work correctly.</t>
        </is>
      </c>
      <c r="AR32" s="18" t="inlineStr">
        <is>
          <t>Interview question: a lookup fails although both names look the same, how do you find and fix the cause?</t>
        </is>
      </c>
      <c r="AS32" s="18" t="inlineStr">
        <is>
          <t>Like removing extra spaces and stray marks from a message before sending it.</t>
        </is>
      </c>
      <c r="AT32" s="18" t="inlineStr">
        <is>
          <t>A1 holds two spaces, then Hi, then two spaces. What does =LEN(TRIM(A1)) show?</t>
        </is>
      </c>
      <c r="AU32" s="18" t="inlineStr">
        <is>
          <t>A) 6 B) 4 C) 2 D) 0</t>
        </is>
      </c>
      <c r="AV32" s="18" t="inlineStr">
        <is>
          <t>C</t>
        </is>
      </c>
      <c r="AW32" s="18" t="inlineStr">
        <is>
          <t>TRIM removes all the spaces at both ends, leaving Hi, which has 2 characters. 6 would be LEN without TRIM.</t>
        </is>
      </c>
      <c r="AX32" s="19" t="inlineStr">
        <is>
          <t>=____(A1) removes extra spaces from the text in A1 → TRIM</t>
        </is>
      </c>
      <c r="AY32" s="18" t="inlineStr">
        <is>
          <t>In A1 write Meena with two spaces on each side. In B1 show how many characters Meena has after the extra spaces are removed.</t>
        </is>
      </c>
      <c r="AZ32" s="19" t="inlineStr">
        <is>
          <t>A1: (two spaces)Meena(two spaces)
B1: =LEN(TRIM(A1))</t>
        </is>
      </c>
      <c r="BA32" s="18" t="inlineStr">
        <is>
          <t>Type your name in a cell with spaces on both sides and use LEN and TRIM to prove the spaces are there and then gone.</t>
        </is>
      </c>
      <c r="BB32" s="19" t="inlineStr">
        <is>
          <t>A1: (one space)Ravi(two spaces)Kumar(one space)
B1: =LEN(A1)-LEN(TRIM(A1))
What does B1 show?</t>
        </is>
      </c>
      <c r="BC32" s="19" t="inlineStr">
        <is>
          <t>3</t>
        </is>
      </c>
      <c r="BD32" s="17">
        <f>IF(K32="","",REPT("★",K32)&amp;REPT("☆",5-K32)&amp;" ("&amp;K32&amp;"/5)")</f>
        <v/>
      </c>
      <c r="BE32" s="17">
        <f>IF(S32="","","Meaning: "&amp;S32&amp;"  =  ______   (Answer: "&amp;F32&amp;")")</f>
        <v/>
      </c>
      <c r="BF32" s="17" t="inlineStr">
        <is>
          <t>New</t>
        </is>
      </c>
      <c r="BG32" s="17" t="n"/>
      <c r="BH32" s="17" t="n"/>
      <c r="BI32" s="17" t="n"/>
      <c r="BJ32" s="17" t="n"/>
      <c r="BK32" s="17" t="n"/>
      <c r="BL32" s="17" t="n"/>
      <c r="BM32" s="17" t="n"/>
      <c r="BN32" s="17" t="n"/>
    </row>
    <row r="33" ht="108" customHeight="1">
      <c r="A33" s="17" t="inlineStr">
        <is>
          <t>XL-031</t>
        </is>
      </c>
      <c r="B33" s="17" t="inlineStr">
        <is>
          <t>07 Text</t>
        </is>
      </c>
      <c r="C33" s="17" t="inlineStr">
        <is>
          <t>Intermediate</t>
        </is>
      </c>
      <c r="D33" s="17" t="n">
        <v>31</v>
      </c>
      <c r="E33" s="17" t="inlineStr">
        <is>
          <t>Claude knowledge</t>
        </is>
      </c>
      <c r="F33" s="18" t="inlineStr">
        <is>
          <t>TEXTJOIN, CONCAT and the &amp; operator</t>
        </is>
      </c>
      <c r="G33" s="18" t="inlineStr">
        <is>
          <t>How do you glue the text from two or more cells into one cell?</t>
        </is>
      </c>
      <c r="H33" s="18" t="inlineStr">
        <is>
          <t>TEXTJOIN = टेक्स्ट-जॉइन, CONCAT = कॉन्कैट, &amp; = एम्परसैंड (and)</t>
        </is>
      </c>
      <c r="I33" s="18" t="inlineStr">
        <is>
          <t>Text function and operator</t>
        </is>
      </c>
      <c r="J33" s="18" t="inlineStr">
        <is>
          <t>Very high</t>
        </is>
      </c>
      <c r="K33" s="18" t="n">
        <v>4</v>
      </c>
      <c r="L33" s="18" t="inlineStr">
        <is>
          <t>The &amp; operator has been in Excel for decades. CONCAT and TEXTJOIN were added later (Excel 2019 and Microsoft 365) to join whole ranges and to use a separator.</t>
        </is>
      </c>
      <c r="M33" s="18" t="inlineStr">
        <is>
          <t>Use TEXTJOIN when you have a separator and a range, because it can skip empty cells for you.</t>
        </is>
      </c>
      <c r="N33" s="18" t="inlineStr">
        <is>
          <t>Put text inside double quotes, like " ". A missing quote gives an error.</t>
        </is>
      </c>
      <c r="O33" s="18" t="inlineStr">
        <is>
          <t>Think of a train. The &amp; is a small hook joining two coaches, CONCAT joins a whole row of coaches, and TEXTJOIN adds a seat label between each coach.</t>
        </is>
      </c>
      <c r="P33" s="18" t="inlineStr">
        <is>
          <t>Three train coaches with names written on them, each linked by a hook, and a small comma sign between each pair.</t>
        </is>
      </c>
      <c r="Q33" s="18" t="inlineStr">
        <is>
          <t>Relief when ten messy columns become one clean name column in a second.</t>
        </is>
      </c>
      <c r="R33" s="18" t="inlineStr">
        <is>
          <t>These tools join the text of several cells into one piece of text.</t>
        </is>
      </c>
      <c r="S33" s="18" t="inlineStr">
        <is>
          <t>कई सेल का टेक्स्ट जोड़कर एक सेल में लिखना</t>
        </is>
      </c>
      <c r="T33" s="19" t="inlineStr">
        <is>
          <t>A1: Asha
B1: Rao
C1: =A1&amp;" "&amp;B1
D1: =TEXTJOIN(", ",TRUE,A1:B1)
E1: =CONCAT(A1,"-",B1)</t>
        </is>
      </c>
      <c r="U33" s="19" t="inlineStr">
        <is>
          <t>C1 shows Asha Rao
D1 shows Asha, Rao
E1 shows Asha-Rao</t>
        </is>
      </c>
      <c r="V33" s="18" t="inlineStr">
        <is>
          <t>The &amp; operator joins two pieces of text, and you add your own space inside quotes. CONCAT joins everything you give it, including a full range, but has no separator. TEXTJOIN takes a separator first, then TRUE or FALSE for skipping empty cells, then the cells.</t>
        </is>
      </c>
      <c r="W33" s="18" t="inlineStr">
        <is>
          <t>Agar do cell ka text ek cell me chahiye to &amp; use karo. Bahut cells ko comma ya dash ke saath jodna ho to TEXTJOIN sabse aasaan hai. CONCAT bas cells ko bina kisi gap ke chipka deta hai.</t>
        </is>
      </c>
      <c r="X33" s="18" t="inlineStr">
        <is>
          <t>Like stringing beads on a thread: &amp; ties two beads, CONCAT ties a whole row, and TEXTJOIN puts a small spacer bead between each one.</t>
        </is>
      </c>
      <c r="Y33" s="19" t="inlineStr">
        <is>
          <t>=A1&amp;B1 | =CONCAT(text1, [text2], ...) | =TEXTJOIN(delimiter, ignore_empty, text1, [text2], ...)</t>
        </is>
      </c>
      <c r="Z33" s="18" t="inlineStr">
        <is>
          <t>delimiter = text placed between items, in quotes | ignore_empty = TRUE skips blank cells, FALSE keeps them | text1 = a cell or a range to join</t>
        </is>
      </c>
      <c r="AA33" s="19" t="inlineStr">
        <is>
          <t>A1: Order
B1: 5
C1: =A1&amp;" "&amp;B1</t>
        </is>
      </c>
      <c r="AB33" s="19" t="inlineStr">
        <is>
          <t>A1: Red
A2: (empty cell)
A3: Blue
B1: =TEXTJOIN(", ",TRUE,A1:A3)</t>
        </is>
      </c>
      <c r="AC33" s="19" t="inlineStr">
        <is>
          <t>A1: 4
A2: 5
A3: 6
B1: =CONCAT(A1:A3)</t>
        </is>
      </c>
      <c r="AD33" s="19" t="inlineStr">
        <is>
          <t>A1: Red
A2: (empty cell)
A3: Blue
B1: =TEXTJOIN("-",FALSE,A1:A3)   shows Red--Blue because FALSE keeps the empty cell
B2: =TEXTJOIN("-",TRUE,A1:A3)   shows Red-Blue</t>
        </is>
      </c>
      <c r="AE33" s="18" t="inlineStr">
        <is>
          <t>TRIM, UPPER, LEFT, TEXT</t>
        </is>
      </c>
      <c r="AF33" s="18" t="inlineStr">
        <is>
          <t>CONCATENATE, TRIM, SUBSTITUTE</t>
        </is>
      </c>
      <c r="AG33" s="18" t="inlineStr">
        <is>
          <t>The older CONCATENATE function, Flash Fill (Ctrl+E), Power Query merge columns</t>
        </is>
      </c>
      <c r="AH33" s="18" t="inlineStr">
        <is>
          <t>&amp;, CONCAT, CONCATENATE, TEXTJOIN, TEXTSPLIT</t>
        </is>
      </c>
      <c r="AI33" s="18" t="inlineStr">
        <is>
          <t>Joining first name and last name | Making a comma-separated list of items | Building an ID or a message from several columns</t>
        </is>
      </c>
      <c r="AJ33" s="18" t="inlineStr">
        <is>
          <t>A: My first names and last names are in two columns, but I need one full name column. | B: Type =A2&amp;" "&amp;B2 in the first row and drag it down, and you get full names with a space.</t>
        </is>
      </c>
      <c r="AK33" s="18" t="inlineStr">
        <is>
          <t>✗ I can join two text cells with the plus sign, like =A1+B1 → ✓ The + sign is for numbers and gives #VALUE! with text, so use &amp; instead</t>
        </is>
      </c>
      <c r="AL33" s="18" t="inlineStr">
        <is>
          <t>CONCAT vs TEXTJOIN: CONCAT only glues items together, while TEXTJOIN also puts a separator between them and can skip empty cells.</t>
        </is>
      </c>
      <c r="AM33" s="18" t="inlineStr">
        <is>
          <t>Do not use CONCAT when you need a separator, because you would have to type the separator again and again.</t>
        </is>
      </c>
      <c r="AN33" s="19" t="inlineStr">
        <is>
          <t>A1: Asha
B1: Rao
C1: =A1+B1</t>
        </is>
      </c>
      <c r="AO33" s="19" t="inlineStr">
        <is>
          <t>A1: Asha
B1: Rao
C1: =A1&amp;" "&amp;B1</t>
        </is>
      </c>
      <c r="AP33" s="18" t="inlineStr">
        <is>
          <t>&amp; means "and": Asha and Rao become Asha Rao.</t>
        </is>
      </c>
      <c r="AQ33" s="18" t="inlineStr">
        <is>
          <t>A sales sheet often joins city and state columns into one address line before it is printed on a label.</t>
        </is>
      </c>
      <c r="AR33" s="18" t="inlineStr">
        <is>
          <t>Interview: What is the difference between CONCATENATE, CONCAT and TEXTJOIN?</t>
        </is>
      </c>
      <c r="AS33" s="18" t="inlineStr">
        <is>
          <t>It is like writing your full name on a form by joining your first name and surname with a space.</t>
        </is>
      </c>
      <c r="AT33" s="18" t="inlineStr">
        <is>
          <t>A1 has Hi, A2 is an empty cell, A3 has Yes. What does =TEXTJOIN("-",TRUE,A1:A3) show?</t>
        </is>
      </c>
      <c r="AU33" s="18" t="inlineStr">
        <is>
          <t>A) Hi-Yes B) Hi-blank-Yes C) Yes-Hi D) #VALUE!</t>
        </is>
      </c>
      <c r="AV33" s="18" t="inlineStr">
        <is>
          <t>A</t>
        </is>
      </c>
      <c r="AW33" s="18" t="inlineStr">
        <is>
          <t>TRUE tells TEXTJOIN to skip the empty cell, so only one dash is placed between Hi and Yes. FALSE would give Hi--Yes.</t>
        </is>
      </c>
      <c r="AX33" s="19" t="inlineStr">
        <is>
          <t>=____(", ",TRUE,A1:A3) joins the range with commas and skips empty cells → TEXTJOIN</t>
        </is>
      </c>
      <c r="AY33" s="18" t="inlineStr">
        <is>
          <t>A1 has a first name and B1 has a last name. Write a formula in C1 that shows both names with one space between them.</t>
        </is>
      </c>
      <c r="AZ33" s="19" t="inlineStr">
        <is>
          <t>A1: Asha
B1: Rao
C1: =A1&amp;" "&amp;B1</t>
        </is>
      </c>
      <c r="BA33" s="18" t="inlineStr">
        <is>
          <t>Write a formula that joins your own city and country with a comma and a space.</t>
        </is>
      </c>
      <c r="BB33" s="19" t="inlineStr">
        <is>
          <t>A1: Sun
A2: Mon
A3: Tue
B1: =TEXTJOIN("/",TRUE,A1:A3)
What does B1 show?</t>
        </is>
      </c>
      <c r="BC33" s="19" t="inlineStr">
        <is>
          <t>Sun/Mon/Tue</t>
        </is>
      </c>
      <c r="BD33" s="17">
        <f>IF(K33="","",REPT("★",K33)&amp;REPT("☆",5-K33)&amp;" ("&amp;K33&amp;"/5)")</f>
        <v/>
      </c>
      <c r="BE33" s="17">
        <f>IF(S33="","","Meaning: "&amp;S33&amp;"  =  ______   (Answer: "&amp;F33&amp;")")</f>
        <v/>
      </c>
      <c r="BF33" s="17" t="inlineStr">
        <is>
          <t>New</t>
        </is>
      </c>
      <c r="BG33" s="17" t="n"/>
      <c r="BH33" s="17" t="n"/>
      <c r="BI33" s="17" t="n"/>
      <c r="BJ33" s="17" t="n"/>
      <c r="BK33" s="17" t="n"/>
      <c r="BL33" s="17" t="n"/>
      <c r="BM33" s="17" t="n"/>
      <c r="BN33" s="17" t="n"/>
    </row>
    <row r="34" ht="81" customHeight="1">
      <c r="A34" s="17" t="inlineStr">
        <is>
          <t>XL-032</t>
        </is>
      </c>
      <c r="B34" s="17" t="inlineStr">
        <is>
          <t>07 Text</t>
        </is>
      </c>
      <c r="C34" s="17" t="inlineStr">
        <is>
          <t>Intermediate</t>
        </is>
      </c>
      <c r="D34" s="17" t="n">
        <v>32</v>
      </c>
      <c r="E34" s="17" t="inlineStr">
        <is>
          <t>Claude knowledge</t>
        </is>
      </c>
      <c r="F34" s="18" t="inlineStr">
        <is>
          <t>TEXT function</t>
        </is>
      </c>
      <c r="G34" s="18" t="inlineStr">
        <is>
          <t>Which function lets you decide how a number or date looks, but gives it back as text?</t>
        </is>
      </c>
      <c r="H34" s="18" t="inlineStr">
        <is>
          <t>TEXT = टेक्स्ट</t>
        </is>
      </c>
      <c r="I34" s="18" t="inlineStr">
        <is>
          <t>Text function</t>
        </is>
      </c>
      <c r="J34" s="18" t="inlineStr">
        <is>
          <t>High</t>
        </is>
      </c>
      <c r="K34" s="18" t="n">
        <v>4</v>
      </c>
      <c r="L34" s="18" t="inlineStr">
        <is>
          <t>Excel stores numbers and dates as plain numbers inside. TEXT was made so you can show them in a chosen format when you join them with other words.</t>
        </is>
      </c>
      <c r="M34" s="18" t="inlineStr">
        <is>
          <t>Use TEXT when you put a date or percentage inside a sentence, or the sentence will show the raw serial number.</t>
        </is>
      </c>
      <c r="N34" s="18" t="inlineStr">
        <is>
          <t>The format goes in double quotes, like "dd-mm-yyyy". Month is mm and minutes are also mm, so check the result.</t>
        </is>
      </c>
      <c r="O34" s="18" t="inlineStr">
        <is>
          <t>A tailor takes a plain cloth number and stitches it into a chosen style. After stitching, it is a finished shirt that you can no longer measure like cloth.</t>
        </is>
      </c>
      <c r="P34" s="18" t="inlineStr">
        <is>
          <t>A tailor shop where a plain roll of cloth marked 0.256 comes out as a shirt labelled 26 percent.</t>
        </is>
      </c>
      <c r="Q34" s="18" t="inlineStr">
        <is>
          <t>Satisfaction when a messy number turns into a neat sentence that reads well.</t>
        </is>
      </c>
      <c r="R34" s="18" t="inlineStr">
        <is>
          <t>TEXT changes a number or date into text shown in the format you choose.</t>
        </is>
      </c>
      <c r="S34" s="18" t="inlineStr">
        <is>
          <t>नंबर या तारीख को चुने हुए फ़ॉर्मेट में टेक्स्ट बनाना</t>
        </is>
      </c>
      <c r="T34" s="19" t="inlineStr">
        <is>
          <t>A1: 3.14159
B1: =TEXT(A1,"0.00")
B2: =TEXT(0.256,"0%")
B3: =TEXT(DATE(2024,8,15),"dd-mm-yyyy")</t>
        </is>
      </c>
      <c r="U34" s="19" t="inlineStr">
        <is>
          <t>B1 shows 3.14
B2 shows 26%
B3 shows 15-08-2024</t>
        </is>
      </c>
      <c r="V34" s="18" t="inlineStr">
        <is>
          <t>TEXT takes a value and a format code in quotes. It returns text that looks the way the code says, so 0.00 means two decimals and 0% means percentage. The result is text, so you cannot add it up like a number.</t>
        </is>
      </c>
      <c r="W34" s="18" t="inlineStr">
        <is>
          <t>TEXT ka kaam hai number ya date ko aapke pasand ke style me dikhana. Jaise 0.256 ko 26% likhna. Lekin result text ban jata hai, isliye uspar sum nahi chalta.</t>
        </is>
      </c>
      <c r="X34" s="18" t="inlineStr">
        <is>
          <t>Like putting a price in a printed price tag: the tag looks nice, but you cannot do maths on the paper any more.</t>
        </is>
      </c>
      <c r="Y34" s="19" t="inlineStr">
        <is>
          <t>=TEXT(value, format_text)</t>
        </is>
      </c>
      <c r="Z34" s="18" t="inlineStr">
        <is>
          <t>value = the number or date or a cell | format_text = the format code inside double quotes</t>
        </is>
      </c>
      <c r="AA34" s="19" t="inlineStr">
        <is>
          <t>A1: 1234567
B1: =TEXT(A1,"#,##0")</t>
        </is>
      </c>
      <c r="AB34" s="19" t="inlineStr">
        <is>
          <t>B1: =TEXT(DATE(2024,8,15),"dddd")</t>
        </is>
      </c>
      <c r="AC34" s="19" t="inlineStr">
        <is>
          <t>A1: Score
B1: 0.256
C1: ="Pass rate: "&amp;TEXT(B1,"0%")</t>
        </is>
      </c>
      <c r="AD34" s="19" t="inlineStr">
        <is>
          <t>=TEXT(7,"000")   shows 007 so leading zeros stay
=TEXT(DATE(2024,8,15),"mmm yyyy")   shows Aug 2024
=TEXT(1234.5,"0.0")   shows 1234.5</t>
        </is>
      </c>
      <c r="AE34" s="18" t="inlineStr">
        <is>
          <t>DATE, TODAY, &amp; operator, TEXTJOIN</t>
        </is>
      </c>
      <c r="AF34" s="18" t="inlineStr">
        <is>
          <t>Format Cells (Ctrl+1), VALUE, DATE</t>
        </is>
      </c>
      <c r="AG34" s="18" t="inlineStr">
        <is>
          <t>Format Cells (Ctrl+1) when you only need to change how a cell looks</t>
        </is>
      </c>
      <c r="AH34" s="18" t="inlineStr">
        <is>
          <t>TEXT, VALUE, FIXED, DOLLAR, NUMBERVALUE</t>
        </is>
      </c>
      <c r="AI34" s="18" t="inlineStr">
        <is>
          <t>Showing a date inside a sentence | Adding leading zeros to codes | Showing percentages or money inside a message</t>
        </is>
      </c>
      <c r="AJ34" s="18" t="inlineStr">
        <is>
          <t>A: My sentence shows 45519 instead of the date. | B: Wrap the date in TEXT, like TEXT(A1,"dd-mm-yyyy"), and it will look like a date.</t>
        </is>
      </c>
      <c r="AK34" s="18" t="inlineStr">
        <is>
          <t>✗ After TEXT(A1,"0.00") the result is still a number I can add → ✓ The result is text, so use VALUE or keep the original cell for calculations</t>
        </is>
      </c>
      <c r="AL34" s="18" t="inlineStr">
        <is>
          <t>TEXT function vs Format Cells: Format Cells only changes how a cell looks and keeps the number, while TEXT makes a new text value.</t>
        </is>
      </c>
      <c r="AM34" s="18" t="inlineStr">
        <is>
          <t>Do not use TEXT on a column that you plan to sum or sort as numbers later.</t>
        </is>
      </c>
      <c r="AN34" s="19" t="inlineStr">
        <is>
          <t>B1: ="Date: "&amp;DATE(2024,8,15)</t>
        </is>
      </c>
      <c r="AO34" s="19" t="inlineStr">
        <is>
          <t>B1: ="Date: "&amp;TEXT(DATE(2024,8,15),"dd-mm-yyyy")</t>
        </is>
      </c>
      <c r="AP34" s="18" t="inlineStr">
        <is>
          <t>TEXT = Tailor the look, but it becomes TEXT.</t>
        </is>
      </c>
      <c r="AQ34" s="18" t="inlineStr">
        <is>
          <t>A monthly report header uses TEXT to show the month name, such as "Report for Aug 2024", from a date cell.</t>
        </is>
      </c>
      <c r="AR34" s="18" t="inlineStr">
        <is>
          <t>Interview: How do you show a date as the day name, like Monday, using a formula?</t>
        </is>
      </c>
      <c r="AS34" s="18" t="inlineStr">
        <is>
          <t>It is like writing the amount on a cheque in a fixed style so everyone reads it the same way.</t>
        </is>
      </c>
      <c r="AT34" s="18" t="inlineStr">
        <is>
          <t>B1: =TEXT(0.256,"0%") What do you get, and what type of value is it?</t>
        </is>
      </c>
      <c r="AU34" s="18" t="inlineStr">
        <is>
          <t>A) The number 0.256 B) The number 26 C) The text 26% D) The text 0.256%</t>
        </is>
      </c>
      <c r="AV34" s="18" t="inlineStr">
        <is>
          <t>C</t>
        </is>
      </c>
      <c r="AW34" s="18" t="inlineStr">
        <is>
          <t>The format 0% multiplies by 100 and adds the sign, and TEXT always returns text, so it is the text 26%.</t>
        </is>
      </c>
      <c r="AX34" s="19" t="inlineStr">
        <is>
          <t>=____(7,"000") shows 007 → TEXT</t>
        </is>
      </c>
      <c r="AY34" s="18" t="inlineStr">
        <is>
          <t>A1 has the number 1234567. Show it with commas in B1 using TEXT.</t>
        </is>
      </c>
      <c r="AZ34" s="19" t="inlineStr">
        <is>
          <t>A1: 1234567
B1: =TEXT(A1,"#,##0")</t>
        </is>
      </c>
      <c r="BA34" s="18" t="inlineStr">
        <is>
          <t>Write a formula that shows today's date inside a sentence like "Today is 06-10-2026".</t>
        </is>
      </c>
      <c r="BB34" s="19" t="inlineStr">
        <is>
          <t>B1: =TEXT(DATE(2024,8,15),"dddd")
Which day name does B1 show?</t>
        </is>
      </c>
      <c r="BC34" s="19" t="inlineStr">
        <is>
          <t>Thursday</t>
        </is>
      </c>
      <c r="BD34" s="17">
        <f>IF(K34="","",REPT("★",K34)&amp;REPT("☆",5-K34)&amp;" ("&amp;K34&amp;"/5)")</f>
        <v/>
      </c>
      <c r="BE34" s="17">
        <f>IF(S34="","","Meaning: "&amp;S34&amp;"  =  ______   (Answer: "&amp;F34&amp;")")</f>
        <v/>
      </c>
      <c r="BF34" s="17" t="inlineStr">
        <is>
          <t>New</t>
        </is>
      </c>
      <c r="BG34" s="17" t="n"/>
      <c r="BH34" s="17" t="n"/>
      <c r="BI34" s="17" t="n"/>
      <c r="BJ34" s="17" t="n"/>
      <c r="BK34" s="17" t="n"/>
      <c r="BL34" s="17" t="n"/>
      <c r="BM34" s="17" t="n"/>
      <c r="BN34" s="17" t="n"/>
    </row>
    <row r="35" ht="135" customHeight="1">
      <c r="A35" s="17" t="inlineStr">
        <is>
          <t>XL-033</t>
        </is>
      </c>
      <c r="B35" s="17" t="inlineStr">
        <is>
          <t>07 Text</t>
        </is>
      </c>
      <c r="C35" s="17" t="inlineStr">
        <is>
          <t>Intermediate</t>
        </is>
      </c>
      <c r="D35" s="17" t="n">
        <v>33</v>
      </c>
      <c r="E35" s="17" t="inlineStr">
        <is>
          <t>Claude knowledge</t>
        </is>
      </c>
      <c r="F35" s="18" t="inlineStr">
        <is>
          <t>Text to Columns</t>
        </is>
      </c>
      <c r="G35" s="18" t="inlineStr">
        <is>
          <t>Which Data tab tool cuts one column of text into many columns at a comma or space?</t>
        </is>
      </c>
      <c r="H35" s="18" t="inlineStr">
        <is>
          <t>Text to Columns = टेक्स्ट टू कॉलम्स</t>
        </is>
      </c>
      <c r="I35" s="18" t="inlineStr">
        <is>
          <t>Data tool (Data tab)</t>
        </is>
      </c>
      <c r="J35" s="18" t="inlineStr">
        <is>
          <t>High</t>
        </is>
      </c>
      <c r="K35" s="18" t="n">
        <v>4</v>
      </c>
      <c r="L35" s="18" t="inlineStr">
        <is>
          <t>Data from other systems often arrives in one long column with commas or spaces. This wizard was built to split such data into separate columns quickly.</t>
        </is>
      </c>
      <c r="M35" s="18" t="inlineStr">
        <is>
          <t>Always make sure the cells to the right are empty, because Text to Columns writes over them.</t>
        </is>
      </c>
      <c r="N35" s="18" t="inlineStr">
        <is>
          <t>Windows shortcut Alt, A, E opens the wizard. Press the keys one after the other, not together.</t>
        </is>
      </c>
      <c r="O35" s="18" t="inlineStr">
        <is>
          <t>Imagine a long loaf of bread with a comma written on it at every cut mark. You run a knife along the commas and get neat slices in separate boxes.</t>
        </is>
      </c>
      <c r="P35" s="18" t="inlineStr">
        <is>
          <t>A long loaf with commas drawn on it being cut into slices that fall into a row of boxes.</t>
        </is>
      </c>
      <c r="Q35" s="18" t="inlineStr">
        <is>
          <t>Relief when one jammed column opens into clean columns without any typing.</t>
        </is>
      </c>
      <c r="R35" s="18" t="inlineStr">
        <is>
          <t>Text to Columns splits the text of one column into several columns using a separator or a fixed width.</t>
        </is>
      </c>
      <c r="S35" s="18" t="inlineStr">
        <is>
          <t>एक कॉलम के टेक्स्ट को कई कॉलम में बाँटना</t>
        </is>
      </c>
      <c r="T35" s="19" t="inlineStr">
        <is>
          <t>A1: Asha,Rao,Delhi
Steps: select A1 &gt; Data tab &gt; Text to Columns &gt; Delimited &gt; Next &gt; tick Comma &gt; Finish</t>
        </is>
      </c>
      <c r="U35" s="19" t="inlineStr">
        <is>
          <t>A1 shows Asha, B1 shows Rao, C1 shows Delhi</t>
        </is>
      </c>
      <c r="V35" s="18" t="inlineStr">
        <is>
          <t>The wizard has three steps. Step 1 chooses Delimited (a separator) or Fixed width. Step 2 chooses the separator, and step 3 lets you pick the format of each new column and where to put it. The original column is replaced unless you change the destination.</t>
        </is>
      </c>
      <c r="W35" s="18" t="inlineStr">
        <is>
          <t>Jab ek hi cell me comma ya space se alag kiya hua data ho, to Text to Columns usse alag alag cell me tod deta hai. Dhyan rakho ki dahine taraf ke cell me data hoga to wo mit jayega.</t>
        </is>
      </c>
      <c r="X35" s="18" t="inlineStr">
        <is>
          <t>Like sorting a mixed bag of letters into pigeonholes by the stamp on each one.</t>
        </is>
      </c>
      <c r="Y35" s="19" t="inlineStr">
        <is>
          <t>Data tab &gt; Data Tools group &gt; Text to Columns (Alt, A, E)</t>
        </is>
      </c>
      <c r="Z35" s="18" t="inlineStr">
        <is>
          <t>Delimited = split at a separator like comma | Fixed width = split at set positions | Destination = where the new columns start | Column data format = General, Text or Date for each part</t>
        </is>
      </c>
      <c r="AA35" s="19" t="inlineStr">
        <is>
          <t>A1: Asha,Rao,Delhi
Select A1 &gt; Data tab &gt; Text to Columns &gt; Delimited &gt; Comma &gt; Finish
Result: three cells in A1:C1</t>
        </is>
      </c>
      <c r="AB35" s="19" t="inlineStr">
        <is>
          <t>A1: 110045
Select A1 &gt; Text to Columns &gt; Fixed width &gt; click a break line after the 3rd digit &gt; Next &gt; click the second column and choose Text &gt; Finish
Result: A1 shows 110 and B1 shows 045 (with General, B1 would show 45)</t>
        </is>
      </c>
      <c r="AC35" s="19" t="inlineStr">
        <is>
          <t>A1: 00123,Delhi (imported text)
Select A1 &gt; Text to Columns &gt; Delimited &gt; Comma &gt; Next &gt; click the first column and choose Text &gt; Finish
Result: A1 shows 00123 and B1 shows Delhi (with General, A1 would show 123)</t>
        </is>
      </c>
      <c r="AD35" s="19" t="inlineStr">
        <is>
          <t>Step 2 can use Space, Tab, Semicolon or Other (type your own sign, like -)
Step 2 has the option Treat consecutive delimiters as one
Step 3 Destination box lets you choose C1 so that the original column stays safe</t>
        </is>
      </c>
      <c r="AE35" s="18" t="inlineStr">
        <is>
          <t>TRIM, Flash Fill, VALUE, Paste Special</t>
        </is>
      </c>
      <c r="AF35" s="18" t="inlineStr">
        <is>
          <t>Flash Fill (Ctrl+E), TEXTSPLIT, Power Query</t>
        </is>
      </c>
      <c r="AG35" s="18" t="inlineStr">
        <is>
          <t>Flash Fill (Ctrl+E), TEXTSPLIT (Microsoft 365), Power Query split column</t>
        </is>
      </c>
      <c r="AH35" s="18" t="inlineStr">
        <is>
          <t>Text to Columns, Flash Fill, LEFT, MID, RIGHT, TEXTSPLIT</t>
        </is>
      </c>
      <c r="AI35" s="18" t="inlineStr">
        <is>
          <t>Splitting CSV text pasted into one column | Separating full names into first and last name | Fixing numbers that are stored as text</t>
        </is>
      </c>
      <c r="AJ35" s="18" t="inlineStr">
        <is>
          <t>A: I pasted a file and all my data landed in column A with commas. | B: Select column A and use Data, Text to Columns, choose Delimited and Comma. Then each part gets its own column.</t>
        </is>
      </c>
      <c r="AK35" s="18" t="inlineStr">
        <is>
          <t>✗ Text to Columns keeps my original column and puts the parts beside it → ✓ It replaces the original cells and anything to its right, so set a Destination first if you want to keep the original</t>
        </is>
      </c>
      <c r="AL35" s="18" t="inlineStr">
        <is>
          <t>Text to Columns vs Flash Fill: Text to Columns splits using a fixed rule you choose, while Flash Fill guesses a pattern from an example you type.</t>
        </is>
      </c>
      <c r="AM35" s="18" t="inlineStr">
        <is>
          <t>Do not run it on a column that has important data in the cells to its right.</t>
        </is>
      </c>
      <c r="AN35" s="19" t="inlineStr">
        <is>
          <t>Select column A, which has full names, and run Text to Columns without checking the cells in column B that already hold ages</t>
        </is>
      </c>
      <c r="AO35" s="19" t="inlineStr">
        <is>
          <t>Insert two empty columns after column A first, or set Destination to an empty area like D1, then run Text to Columns</t>
        </is>
      </c>
      <c r="AP35" s="18" t="inlineStr">
        <is>
          <t>Text to Columns = cut the loaf at the commas.</t>
        </is>
      </c>
      <c r="AQ35" s="18" t="inlineStr">
        <is>
          <t>A teacher pastes a list of names and marks from a text file, then splits it into a name column and a marks column.</t>
        </is>
      </c>
      <c r="AR35" s="18" t="inlineStr">
        <is>
          <t>Interview: How would you split "Asha Rao" into first name and last name for 5000 rows?</t>
        </is>
      </c>
      <c r="AS35" s="18" t="inlineStr">
        <is>
          <t>It is like cutting an address written on one line into house, street and city boxes on a form.</t>
        </is>
      </c>
      <c r="AT35" s="18" t="inlineStr">
        <is>
          <t>A1 holds Pune;Agra;Delhi. Which separator should you choose in the wizard to place each city in its own column?</t>
        </is>
      </c>
      <c r="AU35" s="18" t="inlineStr">
        <is>
          <t>A) Comma B) Space C) Semicolon D) Tab</t>
        </is>
      </c>
      <c r="AV35" s="18" t="inlineStr">
        <is>
          <t>C</t>
        </is>
      </c>
      <c r="AW35" s="18" t="inlineStr">
        <is>
          <t>The cities are separated by semicolon signs, so the Semicolon box must be ticked. Choosing Comma would leave the whole text in one cell.</t>
        </is>
      </c>
      <c r="AX35" s="19" t="inlineStr">
        <is>
          <t>Data tab &gt; ____ to Columns splits one column into many → Text</t>
        </is>
      </c>
      <c r="AY35" s="18" t="inlineStr">
        <is>
          <t>A1 has Asha,Rao,Delhi. Split it into three columns using the wizard.</t>
        </is>
      </c>
      <c r="AZ35" s="19" t="inlineStr">
        <is>
          <t>Select A1 &gt; Data tab &gt; Text to Columns &gt; Delimited &gt; Next &gt; tick Comma &gt; Finish</t>
        </is>
      </c>
      <c r="BA35" s="18" t="inlineStr">
        <is>
          <t>Type three words with commas in one cell and split them into three cells yourself.</t>
        </is>
      </c>
      <c r="BB35" s="19" t="inlineStr">
        <is>
          <t>A1: 10;20;30
B1 and C1 are empty
You use Text to Columns on A1, Delimited, Semicolon. What do A1, B1 and C1 show?</t>
        </is>
      </c>
      <c r="BC35" s="19" t="inlineStr">
        <is>
          <t>A1 shows 10, B1 shows 20, C1 shows 30</t>
        </is>
      </c>
      <c r="BD35" s="17">
        <f>IF(K35="","",REPT("★",K35)&amp;REPT("☆",5-K35)&amp;" ("&amp;K35&amp;"/5)")</f>
        <v/>
      </c>
      <c r="BE35" s="17">
        <f>IF(S35="","","Meaning: "&amp;S35&amp;"  =  ______   (Answer: "&amp;F35&amp;")")</f>
        <v/>
      </c>
      <c r="BF35" s="17" t="inlineStr">
        <is>
          <t>New</t>
        </is>
      </c>
      <c r="BG35" s="17" t="n"/>
      <c r="BH35" s="17" t="n"/>
      <c r="BI35" s="17" t="n"/>
      <c r="BJ35" s="17" t="n"/>
      <c r="BK35" s="17" t="n"/>
      <c r="BL35" s="17" t="n"/>
      <c r="BM35" s="17" t="n"/>
      <c r="BN35" s="17" t="n"/>
    </row>
    <row r="36" ht="108" customHeight="1">
      <c r="A36" s="17" t="inlineStr">
        <is>
          <t>XL-034</t>
        </is>
      </c>
      <c r="B36" s="17" t="inlineStr">
        <is>
          <t>08 Dates</t>
        </is>
      </c>
      <c r="C36" s="17" t="inlineStr">
        <is>
          <t>Beginner</t>
        </is>
      </c>
      <c r="D36" s="17" t="n">
        <v>34</v>
      </c>
      <c r="E36" s="17" t="inlineStr">
        <is>
          <t>Claude knowledge</t>
        </is>
      </c>
      <c r="F36" s="18" t="inlineStr">
        <is>
          <t>TODAY, NOW and DATE</t>
        </is>
      </c>
      <c r="G36" s="18" t="inlineStr">
        <is>
          <t>Which functions give you the current date, the current date and time, or a date you build from year, month and day?</t>
        </is>
      </c>
      <c r="H36" s="18" t="inlineStr">
        <is>
          <t>TODAY = टुडे, NOW = नाउ, DATE = डेट</t>
        </is>
      </c>
      <c r="I36" s="18" t="inlineStr">
        <is>
          <t>Date and time functions</t>
        </is>
      </c>
      <c r="J36" s="18" t="inlineStr">
        <is>
          <t>Very high</t>
        </is>
      </c>
      <c r="K36" s="18" t="n">
        <v>5</v>
      </c>
      <c r="L36" s="18" t="inlineStr">
        <is>
          <t>Excel stores a date as a serial number, counting days from 1 January 1900 in the default system. These functions give you that number in a safe way, and the cell format shows it as a date.</t>
        </is>
      </c>
      <c r="M36" s="18" t="inlineStr">
        <is>
          <t>To type a date that never changes, use Ctrl+; for the date and Ctrl+Shift+; for the time.</t>
        </is>
      </c>
      <c r="N36" s="18" t="inlineStr">
        <is>
          <t>TODAY and NOW need empty brackets, like =TODAY(). Without brackets you get #NAME?.</t>
        </is>
      </c>
      <c r="O36" s="18" t="inlineStr">
        <is>
          <t>A calendar on the wall flips by itself every midnight and shows today. DATE is you writing a day on the calendar yourself with year, month and day.</t>
        </is>
      </c>
      <c r="P36" s="18" t="inlineStr">
        <is>
          <t>A wall calendar whose page flips every midnight, with a clock stuck to the corner showing the time.</t>
        </is>
      </c>
      <c r="Q36" s="18" t="inlineStr">
        <is>
          <t>A calm feeling that the sheet is always up to date without extra work.</t>
        </is>
      </c>
      <c r="R36" s="18" t="inlineStr">
        <is>
          <t>TODAY gives today's date, NOW gives today's date with the time, and DATE makes a date from year, month and day.</t>
        </is>
      </c>
      <c r="S36" s="18" t="inlineStr">
        <is>
          <t>आज की तारीख, अभी की तारीख और समय, और साल-महीना-दिन से तारीख बनाना</t>
        </is>
      </c>
      <c r="T36" s="19" t="inlineStr">
        <is>
          <t>A1: =DATE(2024,3,5)
A2: =A1+30
A3: =TODAY()
A4: =NOW()</t>
        </is>
      </c>
      <c r="U36" s="19" t="inlineStr">
        <is>
          <t>A1 shows 05-03-2024 (format dd-mm-yyyy)
A2 shows 04-04-2024
A3 shows the date of the day you open the file
A4 shows that date and the current time</t>
        </is>
      </c>
      <c r="V36" s="18" t="inlineStr">
        <is>
          <t>DATE takes year, month and day and returns a real date that Excel can calculate with. Adding a number to a date moves it forward by that many days. TODAY and NOW update every time the sheet recalculates or is opened.</t>
        </is>
      </c>
      <c r="W36" s="18" t="inlineStr">
        <is>
          <t>TODAY() aaj ki date deta hai aur NOW() date ke saath abhi ka time bhi. DATE(saal, mahina, din) se aap apni date bana sakte ho. Date me number jodne se din aage badhte hain.</t>
        </is>
      </c>
      <c r="X36" s="18" t="inlineStr">
        <is>
          <t>Like a wall clock that keeps updating on its own, while DATE is a note you write once.</t>
        </is>
      </c>
      <c r="Y36" s="19" t="inlineStr">
        <is>
          <t>=TODAY() | =NOW() | =DATE(year, month, day)</t>
        </is>
      </c>
      <c r="Z36" s="18" t="inlineStr">
        <is>
          <t>TODAY() = no arguments, today's date | NOW() = no arguments, date and time | year = four-digit year | month = 1 to 12 | day = 1 to 31</t>
        </is>
      </c>
      <c r="AA36" s="19" t="inlineStr">
        <is>
          <t>A1: =DATE(2024,8,15)</t>
        </is>
      </c>
      <c r="AB36" s="19" t="inlineStr">
        <is>
          <t>A1: =DATE(2025,12,31)
A2: =TODAY()
A3: =A1-A2</t>
        </is>
      </c>
      <c r="AC36" s="19" t="inlineStr">
        <is>
          <t>A1: =NOW()
Format the cell with Ctrl+1 &gt; Custom &gt; hh:mm to see only the time</t>
        </is>
      </c>
      <c r="AD36" s="19" t="inlineStr">
        <is>
          <t>=DATE(2024,14,1)   month 14 rolls over and shows 01-02-2025
=DATE(2024,1,31)+1   shows 01-02-2024
=TODAY()+7   shows the date one week from today</t>
        </is>
      </c>
      <c r="AE36" s="18" t="inlineStr">
        <is>
          <t>TEXT, EDATE, NETWORKDAYS, IF</t>
        </is>
      </c>
      <c r="AF36" s="18" t="inlineStr">
        <is>
          <t>EDATE, EOMONTH, DATEDIF, WEEKDAY</t>
        </is>
      </c>
      <c r="AG36" s="18" t="inlineStr">
        <is>
          <t>Ctrl+; for a fixed date, Ctrl+Shift+; for a fixed time</t>
        </is>
      </c>
      <c r="AH36" s="18" t="inlineStr">
        <is>
          <t>TODAY, NOW, DATE, YEAR, MONTH, DAY, WEEKDAY</t>
        </is>
      </c>
      <c r="AI36" s="18" t="inlineStr">
        <is>
          <t>Due dates and days left | Age and service calculations | Time stamps in reports</t>
        </is>
      </c>
      <c r="AJ36" s="18" t="inlineStr">
        <is>
          <t>A: I want a cell that always shows how many days are left for the exam. | B: Put the exam date in A1 and write =A1-TODAY() in B1. It changes every day by itself.</t>
        </is>
      </c>
      <c r="AK36" s="18" t="inlineStr">
        <is>
          <t>✗ TODAY() stays fixed at the day I typed it → ✓ TODAY() changes every day when the file is opened or recalculated, so use Ctrl+; if you want a fixed date</t>
        </is>
      </c>
      <c r="AL36" s="18" t="inlineStr">
        <is>
          <t>TODAY vs NOW: TODAY gives only the date, while NOW gives the date and the current time.</t>
        </is>
      </c>
      <c r="AM36" s="18" t="inlineStr">
        <is>
          <t>Do not use TODAY() for a record that must keep its original date, such as an invoice date.</t>
        </is>
      </c>
      <c r="AN36" s="19" t="inlineStr">
        <is>
          <t>A1: =TODAY</t>
        </is>
      </c>
      <c r="AO36" s="19" t="inlineStr">
        <is>
          <t>A1: =TODAY()</t>
        </is>
      </c>
      <c r="AP36" s="18" t="inlineStr">
        <is>
          <t>TODAY = date, NOW = date plus clock, DATE = you decide.</t>
        </is>
      </c>
      <c r="AQ36" s="18" t="inlineStr">
        <is>
          <t>A fee tracker uses =TODAY() to show how many days late each student is.</t>
        </is>
      </c>
      <c r="AR36" s="18" t="inlineStr">
        <is>
          <t>Interview: How can you enter a date that does not change when the file is reopened?</t>
        </is>
      </c>
      <c r="AS36" s="18" t="inlineStr">
        <is>
          <t>It is like a phone lock screen that always shows the current date and time.</t>
        </is>
      </c>
      <c r="AT36" s="18" t="inlineStr">
        <is>
          <t>A1: =DATE(2024,12,31)+1 The cell is formatted as dd-mm-yyyy. What does A1 show?</t>
        </is>
      </c>
      <c r="AU36" s="18" t="inlineStr">
        <is>
          <t>A) 31-12-2025 B) 01-01-2025 C) 32-12-2024 D) #VALUE!</t>
        </is>
      </c>
      <c r="AV36" s="18" t="inlineStr">
        <is>
          <t>B</t>
        </is>
      </c>
      <c r="AW36" s="18" t="inlineStr">
        <is>
          <t>Adding 1 to a date moves it to the next day, and the day after 31 December 2024 is 1 January 2025.</t>
        </is>
      </c>
      <c r="AX36" s="19" t="inlineStr">
        <is>
          <t>____() shows the current date and updates every day → TODAY</t>
        </is>
      </c>
      <c r="AY36" s="18" t="inlineStr">
        <is>
          <t>Make a date 15 August 2024 using a formula, then show the date 10 days later in the next cell.</t>
        </is>
      </c>
      <c r="AZ36" s="19" t="inlineStr">
        <is>
          <t>A1: =DATE(2024,8,15)
A2: =A1+10</t>
        </is>
      </c>
      <c r="BA36" s="18" t="inlineStr">
        <is>
          <t>Write a formula that shows how many days are left until your next birthday date.</t>
        </is>
      </c>
      <c r="BB36" s="19" t="inlineStr">
        <is>
          <t>A1: =DATE(2024,1,31)+1
A1 is formatted as dd-mm-yyyy. What does A1 show?</t>
        </is>
      </c>
      <c r="BC36" s="19" t="inlineStr">
        <is>
          <t>01-02-2024</t>
        </is>
      </c>
      <c r="BD36" s="17">
        <f>IF(K36="","",REPT("★",K36)&amp;REPT("☆",5-K36)&amp;" ("&amp;K36&amp;"/5)")</f>
        <v/>
      </c>
      <c r="BE36" s="17">
        <f>IF(S36="","","Meaning: "&amp;S36&amp;"  =  ______   (Answer: "&amp;F36&amp;")")</f>
        <v/>
      </c>
      <c r="BF36" s="17" t="inlineStr">
        <is>
          <t>New</t>
        </is>
      </c>
      <c r="BG36" s="17" t="n"/>
      <c r="BH36" s="17" t="n"/>
      <c r="BI36" s="17" t="n"/>
      <c r="BJ36" s="17" t="n"/>
      <c r="BK36" s="17" t="n"/>
      <c r="BL36" s="17" t="n"/>
      <c r="BM36" s="17" t="n"/>
      <c r="BN36" s="17" t="n"/>
    </row>
    <row r="37" ht="108" customHeight="1">
      <c r="A37" s="17" t="inlineStr">
        <is>
          <t>XL-035</t>
        </is>
      </c>
      <c r="B37" s="17" t="inlineStr">
        <is>
          <t>08 Dates</t>
        </is>
      </c>
      <c r="C37" s="17" t="inlineStr">
        <is>
          <t>Intermediate</t>
        </is>
      </c>
      <c r="D37" s="17" t="n">
        <v>35</v>
      </c>
      <c r="E37" s="17" t="inlineStr">
        <is>
          <t>Claude knowledge</t>
        </is>
      </c>
      <c r="F37" s="18" t="inlineStr">
        <is>
          <t>DATEDIF, EDATE, EOMONTH and NETWORKDAYS</t>
        </is>
      </c>
      <c r="G37" s="18" t="inlineStr">
        <is>
          <t>Which functions find the years between two dates, move a date by months, find a month end, or count working days?</t>
        </is>
      </c>
      <c r="H37" s="18" t="inlineStr">
        <is>
          <t>DATEDIF = डेट-डिफ, EDATE = ई-डेट, EOMONTH = ई-ओ-मंथ, NETWORKDAYS = नेटवर्क-डेज़</t>
        </is>
      </c>
      <c r="I37" s="18" t="inlineStr">
        <is>
          <t>Date functions</t>
        </is>
      </c>
      <c r="J37" s="18" t="inlineStr">
        <is>
          <t>Medium</t>
        </is>
      </c>
      <c r="K37" s="18" t="n">
        <v>4</v>
      </c>
      <c r="L37" s="18" t="inlineStr">
        <is>
          <t>These functions came from Lotus 1-2-3 and Excel add-ins. DATEDIF still works in Excel but is not listed in the function wizard, so you must type it.</t>
        </is>
      </c>
      <c r="M37" s="18" t="inlineStr">
        <is>
          <t>Give NETWORKDAYS a range of holiday dates as the third argument so that holidays are not counted.</t>
        </is>
      </c>
      <c r="N37" s="18" t="inlineStr">
        <is>
          <t>DATEDIF has no tooltip help while typing, so type the unit in quotes, like "Y". Start date must come before end date.</t>
        </is>
      </c>
      <c r="O37" s="18" t="inlineStr">
        <is>
          <t>A school clerk has four jobs. One counts completed years of a student, one moves the fee date by months, one finds the last day of the month, and one counts school days without Sundays.</t>
        </is>
      </c>
      <c r="P37" s="18" t="inlineStr">
        <is>
          <t>A clerk at a desk with a calendar, a stamp, a month-end red circle and a list of holidays.</t>
        </is>
      </c>
      <c r="Q37" s="18" t="inlineStr">
        <is>
          <t>Confidence that the due dates and ages in your sheet are correct.</t>
        </is>
      </c>
      <c r="R37" s="18" t="inlineStr">
        <is>
          <t>These four functions measure the gap between dates, move dates by months, find month ends, and count working days.</t>
        </is>
      </c>
      <c r="S37" s="18" t="inlineStr">
        <is>
          <t>तारीखों का अंतर निकालना, महीने आगे-पीछे करना, महीने का आखिरी दिन और कार्य दिवस गिनना</t>
        </is>
      </c>
      <c r="T37" s="19" t="inlineStr">
        <is>
          <t>A1: =DATE(2000,1,15)
A2: =DATE(2024,3,10)
B1: =DATEDIF(A1,A2,"Y")
B2: =EDATE(A2,1)
B3: =EOMONTH(A2,0)
B4: =NETWORKDAYS(DATE(2024,3,4),DATE(2024,3,10))</t>
        </is>
      </c>
      <c r="U37" s="19" t="inlineStr">
        <is>
          <t>B1 shows 24
B2 shows 10-04-2024 (format dd-mm-yyyy)
B3 shows 31-03-2024
B4 shows 5</t>
        </is>
      </c>
      <c r="V37" s="18" t="inlineStr">
        <is>
          <t>DATEDIF counts complete years ("Y"), months ("M") or days ("D") between a start and an end date. EDATE moves a date by whole months, and EOMONTH returns the last day of a month that many months away. NETWORKDAYS counts Monday to Friday between two dates, including both ends.</t>
        </is>
      </c>
      <c r="W37" s="18" t="inlineStr">
        <is>
          <t>DATEDIF poore saal, mahine ya din batata hai. EDATE date ko mahine se aage ya peeche karta hai. EOMONTH mahine ka aakhri din deta hai, aur NETWORKDAYS Saturday Sunday chhod kar kaam ke din ginta hai.</t>
        </is>
      </c>
      <c r="X37" s="18" t="inlineStr">
        <is>
          <t>Like a school diary: it knows your age in full years, the next fee date, the last day of the month and the number of school days.</t>
        </is>
      </c>
      <c r="Y37" s="19" t="inlineStr">
        <is>
          <t>=DATEDIF(start, end, unit) | =EDATE(start, months) | =EOMONTH(start, months) | =NETWORKDAYS(start, end, [holidays])</t>
        </is>
      </c>
      <c r="Z37" s="18" t="inlineStr">
        <is>
          <t>unit = "Y" years, "M" months or "D" days | months = how many months to move, negative goes back | holidays = optional list of dates to skip</t>
        </is>
      </c>
      <c r="AA37" s="19" t="inlineStr">
        <is>
          <t>A1: =DATE(2000,1,15)
A2: =DATE(2024,3,10)
B1: =DATEDIF(A1,A2,"M")</t>
        </is>
      </c>
      <c r="AB37" s="19" t="inlineStr">
        <is>
          <t>A1: =DATE(2024,1,31)
B1: =EDATE(A1,1)</t>
        </is>
      </c>
      <c r="AC37" s="19" t="inlineStr">
        <is>
          <t>A1: =DATE(2024,3,4)
A2: =DATE(2024,3,10)
A3: =DATE(2024,3,6)
B1: =NETWORKDAYS(A1,A2,A3)</t>
        </is>
      </c>
      <c r="AD37" s="19" t="inlineStr">
        <is>
          <t>=EOMONTH(DATE(2024,2,10),0)   shows 29-02-2024
=EOMONTH(DATE(2024,2,10),1)   shows 31-03-2024
=EDATE(DATE(2024,3,10),-2)   shows 10-01-2024</t>
        </is>
      </c>
      <c r="AE37" s="18" t="inlineStr">
        <is>
          <t>DATE, TODAY, IF, TEXT</t>
        </is>
      </c>
      <c r="AF37" s="18" t="inlineStr">
        <is>
          <t>TODAY, DATE, WORKDAY, YEARFRAC</t>
        </is>
      </c>
      <c r="AG37" s="18" t="inlineStr">
        <is>
          <t>YEARFRAC, WORKDAY, simple subtraction like =A2-A1 for days</t>
        </is>
      </c>
      <c r="AH37" s="18" t="inlineStr">
        <is>
          <t>DATEDIF, EDATE, EOMONTH, NETWORKDAYS, WORKDAY, YEARFRAC</t>
        </is>
      </c>
      <c r="AI37" s="18" t="inlineStr">
        <is>
          <t>Age and service years | EMI and fee due dates | Project working days</t>
        </is>
      </c>
      <c r="AJ37" s="18" t="inlineStr">
        <is>
          <t>A: How do I find the age of a student from the birth date? | B: Use =DATEDIF(birth date, TODAY(), "Y"). It gives the completed years only.</t>
        </is>
      </c>
      <c r="AK37" s="18" t="inlineStr">
        <is>
          <t>✗ NETWORKDAYS skips the start date and the end date → ✓ NETWORKDAYS counts both the start date and the end date if they are working days</t>
        </is>
      </c>
      <c r="AL37" s="18" t="inlineStr">
        <is>
          <t>NETWORKDAYS vs WORKDAY: NETWORKDAYS counts working days between two dates, while WORKDAY gives the date after a number of working days.</t>
        </is>
      </c>
      <c r="AM37" s="18" t="inlineStr">
        <is>
          <t>Do not put the later date first in DATEDIF, because it gives the #NUM! error.</t>
        </is>
      </c>
      <c r="AN37" s="19" t="inlineStr">
        <is>
          <t>A1: =DATE(2000,1,15)
A2: =DATE(2024,3,10)
B1: =DATEDIF(A2,A1,"Y")</t>
        </is>
      </c>
      <c r="AO37" s="19" t="inlineStr">
        <is>
          <t>A1: =DATE(2000,1,15)
A2: =DATE(2024,3,10)
B1: =DATEDIF(A1,A2,"Y")</t>
        </is>
      </c>
      <c r="AP37" s="18" t="inlineStr">
        <is>
          <t>DATEDIF = Difference, EDATE = Extra months, EOMONTH = End Of MONTH, NETWORKDAYS = Net work days.</t>
        </is>
      </c>
      <c r="AQ37" s="18" t="inlineStr">
        <is>
          <t>A HR sheet uses DATEDIF to show service years and NETWORKDAYS to count the working days of a leave.</t>
        </is>
      </c>
      <c r="AR37" s="18" t="inlineStr">
        <is>
          <t>Interview: How do you calculate the exact age in years from a date of birth?</t>
        </is>
      </c>
      <c r="AS37" s="18" t="inlineStr">
        <is>
          <t>It is like counting the working days left before a deadline on a calendar without Sundays.</t>
        </is>
      </c>
      <c r="AT37" s="18" t="inlineStr">
        <is>
          <t>=NETWORKDAYS(DATE(2024,3,1),DATE(2024,3,8)) is typed in a cell. Mar 1, 2024 is a Friday. What does it return?</t>
        </is>
      </c>
      <c r="AU37" s="18" t="inlineStr">
        <is>
          <t>A) 5 B) 6 C) 7 D) 8</t>
        </is>
      </c>
      <c r="AV37" s="18" t="inlineStr">
        <is>
          <t>B</t>
        </is>
      </c>
      <c r="AW37" s="18" t="inlineStr">
        <is>
          <t>Friday 1 March counts, then Monday 4 to Friday 8 March gives 5 more days, so 1 + 5 = 6.</t>
        </is>
      </c>
      <c r="AX37" s="19" t="inlineStr">
        <is>
          <t>____(A1,A2,"Y") counts the complete years between two dates → DATEDIF</t>
        </is>
      </c>
      <c r="AY37" s="18" t="inlineStr">
        <is>
          <t>Show the last day of the month for a date in A1 using a formula.</t>
        </is>
      </c>
      <c r="AZ37" s="19" t="inlineStr">
        <is>
          <t>A1: =DATE(2024,2,10)
B1: =EOMONTH(A1,0)</t>
        </is>
      </c>
      <c r="BA37" s="18" t="inlineStr">
        <is>
          <t>Write a formula that counts your completed years of age from your own birth date.</t>
        </is>
      </c>
      <c r="BB37" s="19" t="inlineStr">
        <is>
          <t>A1: =DATE(2024,1,15)
B1: =EOMONTH(A1,1)
B1 is formatted as dd-mm-yyyy. What does it show?</t>
        </is>
      </c>
      <c r="BC37" s="19" t="inlineStr">
        <is>
          <t>29-02-2024</t>
        </is>
      </c>
      <c r="BD37" s="17">
        <f>IF(K37="","",REPT("★",K37)&amp;REPT("☆",5-K37)&amp;" ("&amp;K37&amp;"/5)")</f>
        <v/>
      </c>
      <c r="BE37" s="17">
        <f>IF(S37="","","Meaning: "&amp;S37&amp;"  =  ______   (Answer: "&amp;F37&amp;")")</f>
        <v/>
      </c>
      <c r="BF37" s="17" t="inlineStr">
        <is>
          <t>New</t>
        </is>
      </c>
      <c r="BG37" s="17" t="n"/>
      <c r="BH37" s="17" t="n"/>
      <c r="BI37" s="17" t="n"/>
      <c r="BJ37" s="17" t="n"/>
      <c r="BK37" s="17" t="n"/>
      <c r="BL37" s="17" t="n"/>
      <c r="BM37" s="17" t="n"/>
      <c r="BN37" s="17" t="n"/>
    </row>
    <row r="38" ht="175.5" customHeight="1">
      <c r="A38" s="17" t="inlineStr">
        <is>
          <t>XL-036</t>
        </is>
      </c>
      <c r="B38" s="17" t="inlineStr">
        <is>
          <t>09 Analysis</t>
        </is>
      </c>
      <c r="C38" s="17" t="inlineStr">
        <is>
          <t>Intermediate</t>
        </is>
      </c>
      <c r="D38" s="17" t="n">
        <v>36</v>
      </c>
      <c r="E38" s="17" t="inlineStr">
        <is>
          <t>Claude knowledge</t>
        </is>
      </c>
      <c r="F38" s="18" t="inlineStr">
        <is>
          <t>PivotTable</t>
        </is>
      </c>
      <c r="G38" s="18" t="inlineStr">
        <is>
          <t>Which Excel tool sums and groups thousands of rows into a small report by dragging fields?</t>
        </is>
      </c>
      <c r="H38" s="18" t="inlineStr">
        <is>
          <t>PivotTable = पिवट-टेबल</t>
        </is>
      </c>
      <c r="I38" s="18" t="inlineStr">
        <is>
          <t>Analysis tool (Insert tab)</t>
        </is>
      </c>
      <c r="J38" s="18" t="inlineStr">
        <is>
          <t>Very high</t>
        </is>
      </c>
      <c r="K38" s="18" t="n">
        <v>5</v>
      </c>
      <c r="L38" s="18" t="inlineStr">
        <is>
          <t>Microsoft introduced PivotTables in Excel 5 in the 1990s so that people could summarise big lists without writing formulas. The name comes from pivoting, which means turning the data around to view it from another side.</t>
        </is>
      </c>
      <c r="M38" s="18" t="inlineStr">
        <is>
          <t>Keep your data as a clean table with one heading in every column and no blank rows before you start.</t>
        </is>
      </c>
      <c r="N38" s="18" t="inlineStr">
        <is>
          <t>On Windows, Alt, N, V opens the PivotTable menu (exact keys can differ by Excel version). Press the keys one after the other.</t>
        </is>
      </c>
      <c r="O38" s="18" t="inlineStr">
        <is>
          <t>A shopkeeper has a pile of bills. He puts a magic turntable on the counter, drops region names on one side and sales on the other, and the turntable adds up everything by itself.</t>
        </is>
      </c>
      <c r="P38" s="18" t="inlineStr">
        <is>
          <t>A round turntable on a shop counter with bills sliding on it and a small neat table coming out.</t>
        </is>
      </c>
      <c r="Q38" s="18" t="inlineStr">
        <is>
          <t>Power and pride when a thousand rows become a tidy summary in ten seconds.</t>
        </is>
      </c>
      <c r="R38" s="18" t="inlineStr">
        <is>
          <t>A PivotTable summarises a list of data into a small report grouped by the fields you choose.</t>
        </is>
      </c>
      <c r="S38" s="18" t="inlineStr">
        <is>
          <t>बड़े डेटा का छोटा सारांश रिपोर्ट बनाने का टूल</t>
        </is>
      </c>
      <c r="T38" s="19" t="inlineStr">
        <is>
          <t>A1: Region
B1: Sales
A2: North
B2: 100
A3: South
B3: 50
A4: North
B4: 70
A5: South
B5: 30
Steps: click any cell in A1:B5 &gt; Insert tab &gt; PivotTable &gt; OK &gt; drag Region to Rows and Sales to Values</t>
        </is>
      </c>
      <c r="U38" s="19" t="inlineStr">
        <is>
          <t>The PivotTable shows North 170, South 80 and Grand Total 250</t>
        </is>
      </c>
      <c r="V38" s="18" t="inlineStr">
        <is>
          <t>Excel reads your headings as fields. When you drag a field to Rows, each different value gets one row, and a field in Values is summed by default for numbers. The source data is not changed.</t>
        </is>
      </c>
      <c r="W38" s="18" t="inlineStr">
        <is>
          <t>PivotTable me aap fields ko kheench kar rakhte ho, aur Excel khud group karke jod deta hai. Original data waisa hi rehta hai. Data badle to Refresh karna padta hai.</t>
        </is>
      </c>
      <c r="X38" s="18" t="inlineStr">
        <is>
          <t>Like a shopkeeper sorting a pile of bills by area and adding each pile into one total.</t>
        </is>
      </c>
      <c r="Y38" s="19" t="inlineStr">
        <is>
          <t>Insert tab &gt; PivotTable &gt; choose the data range &gt; OK &gt; drag fields to Filters, Columns, Rows and Values</t>
        </is>
      </c>
      <c r="Z38" s="18" t="inlineStr">
        <is>
          <t>Rows = the groups down the side | Columns = the groups across the top | Values = the numbers to add or count | Filters = a drop-down to focus on part of the data</t>
        </is>
      </c>
      <c r="AA38" s="19" t="inlineStr">
        <is>
          <t>A1: Region
B1: Sales
North 100, South 50, North 70, South 30 in the rows below
Rows = Region, Values = Sum of Sales
Result: North 170, South 80</t>
        </is>
      </c>
      <c r="AB38" s="19" t="inlineStr">
        <is>
          <t>A1: Item
B1: Qty
Pen 5, Book 2, Pen 3, in the rows below
Rows = Item, Values = Count of Item
Result: Book 1, Pen 2 (count of rows, not the quantity)</t>
        </is>
      </c>
      <c r="AC38" s="19" t="inlineStr">
        <is>
          <t>A1: Region
B1: Month
C1: Sales
Rows = Region, Columns = Month, Values = Sum of Sales
Result: a grid with one row per region and one column per month</t>
        </is>
      </c>
      <c r="AD38" s="19" t="inlineStr">
        <is>
          <t>Click Sum of Sales &gt; Value Field Settings &gt; choose Average to get the average instead
Right-click the PivotTable &gt; Refresh after the data changes (or Alt+F5)
Drag a field to Filters to get a drop-down above the table</t>
        </is>
      </c>
      <c r="AE38" s="18" t="inlineStr">
        <is>
          <t>Slicer, Pivot Chart, Table (Ctrl+T), Refresh</t>
        </is>
      </c>
      <c r="AF38" s="18" t="inlineStr">
        <is>
          <t>Table (Ctrl+T), SUMIF, Slicer, Power Query</t>
        </is>
      </c>
      <c r="AG38" s="18" t="inlineStr">
        <is>
          <t>SUMIFS and COUNTIFS formulas, Power Query group by</t>
        </is>
      </c>
      <c r="AH38" s="18" t="inlineStr">
        <is>
          <t>PivotTable, PivotChart, Slicer, Field, Refresh</t>
        </is>
      </c>
      <c r="AI38" s="18" t="inlineStr">
        <is>
          <t>Sales by region and month | Marks by class | Expenses by category</t>
        </is>
      </c>
      <c r="AJ38" s="18" t="inlineStr">
        <is>
          <t>A: My manager wants total sales for every region from 5000 rows by evening. | B: Make a PivotTable, drag Region to Rows and Sales to Values, and you will have it in a minute.</t>
        </is>
      </c>
      <c r="AK38" s="18" t="inlineStr">
        <is>
          <t>✗ The PivotTable updates by itself when I change the source data → ✓ You must right-click and choose Refresh (Alt+F5), because the PivotTable keeps its own copy until refreshed</t>
        </is>
      </c>
      <c r="AL38" s="18" t="inlineStr">
        <is>
          <t>PivotTable vs Table (Ctrl+T): A Table is the list of data with filters and banding, while a PivotTable is a separate summary report built from it.</t>
        </is>
      </c>
      <c r="AM38" s="18" t="inlineStr">
        <is>
          <t>Do not type over the numbers inside a PivotTable, because the next refresh will change them back.</t>
        </is>
      </c>
      <c r="AN38" s="19" t="inlineStr">
        <is>
          <t>Select a range with blank heading cells and then Insert &gt; PivotTable</t>
        </is>
      </c>
      <c r="AO38" s="19" t="inlineStr">
        <is>
          <t>Give every column a heading in row 1, remove blank rows, then click inside the data and choose Insert &gt; PivotTable</t>
        </is>
      </c>
      <c r="AP38" s="18" t="inlineStr">
        <is>
          <t>Pivot = turn the data around to see it from another side.</t>
        </is>
      </c>
      <c r="AQ38" s="18" t="inlineStr">
        <is>
          <t>A shop owner makes a PivotTable from one year of bills to see total sales for each product and each month.</t>
        </is>
      </c>
      <c r="AR38" s="18" t="inlineStr">
        <is>
          <t>Interview: How do you get the total sales for each region from 10000 rows without writing a formula?</t>
        </is>
      </c>
      <c r="AS38" s="18" t="inlineStr">
        <is>
          <t>It is like sorting a drawer of receipts into piles by month and writing the total on top of each pile.</t>
        </is>
      </c>
      <c r="AT38" s="18" t="inlineStr">
        <is>
          <t>A PivotTable is made from a sales list. After you add three new rows to the list, what must you do to see them in the PivotTable?</t>
        </is>
      </c>
      <c r="AU38" s="18" t="inlineStr">
        <is>
          <t>A) Press Ctrl+S B) Right-click the PivotTable and choose Refresh C) Close and reopen Excel D) Retype the Values field</t>
        </is>
      </c>
      <c r="AV38" s="18" t="inlineStr">
        <is>
          <t>B</t>
        </is>
      </c>
      <c r="AW38" s="18" t="inlineStr">
        <is>
          <t>A PivotTable keeps a stored copy of the data, so Refresh (Alt+F5) is needed to read the new rows. Saving does not refresh it.</t>
        </is>
      </c>
      <c r="AX38" s="19" t="inlineStr">
        <is>
          <t>Drag the Region field to ____ to get one row per region in the PivotTable → Rows</t>
        </is>
      </c>
      <c r="AY38" s="18" t="inlineStr">
        <is>
          <t>Make a PivotTable that shows the total sales for each region.</t>
        </is>
      </c>
      <c r="AZ38" s="19" t="inlineStr">
        <is>
          <t>Click any cell in the data &gt; Insert tab &gt; PivotTable &gt; OK &gt; drag Region to Rows &gt; drag Sales to Values</t>
        </is>
      </c>
      <c r="BA38" s="18" t="inlineStr">
        <is>
          <t>Make a small list of your own expenses with a category column and build a PivotTable that totals each category.</t>
        </is>
      </c>
      <c r="BB38" s="19" t="inlineStr">
        <is>
          <t>A1: Region, B1: Sales
A2: East, B2: 40
A3: West, B3: 25
A4: East, B4: 60
Rows = Region, Values = Sum of Sales. What does the PivotTable show for East and for the Grand Total?</t>
        </is>
      </c>
      <c r="BC38" s="19" t="inlineStr">
        <is>
          <t>East 100, West 25, Grand Total 125</t>
        </is>
      </c>
      <c r="BD38" s="17">
        <f>IF(K38="","",REPT("★",K38)&amp;REPT("☆",5-K38)&amp;" ("&amp;K38&amp;"/5)")</f>
        <v/>
      </c>
      <c r="BE38" s="17">
        <f>IF(S38="","","Meaning: "&amp;S38&amp;"  =  ______   (Answer: "&amp;F38&amp;")")</f>
        <v/>
      </c>
      <c r="BF38" s="17" t="inlineStr">
        <is>
          <t>New</t>
        </is>
      </c>
      <c r="BG38" s="17" t="n"/>
      <c r="BH38" s="17" t="n"/>
      <c r="BI38" s="17" t="n"/>
      <c r="BJ38" s="17" t="n"/>
      <c r="BK38" s="17" t="n"/>
      <c r="BL38" s="17" t="n"/>
      <c r="BM38" s="17" t="n"/>
      <c r="BN38" s="17" t="n"/>
    </row>
    <row r="39" ht="135" customHeight="1">
      <c r="A39" s="17" t="inlineStr">
        <is>
          <t>XL-037</t>
        </is>
      </c>
      <c r="B39" s="17" t="inlineStr">
        <is>
          <t>09 Analysis</t>
        </is>
      </c>
      <c r="C39" s="17" t="inlineStr">
        <is>
          <t>Intermediate</t>
        </is>
      </c>
      <c r="D39" s="17" t="n">
        <v>37</v>
      </c>
      <c r="E39" s="17" t="inlineStr">
        <is>
          <t>Claude knowledge</t>
        </is>
      </c>
      <c r="F39" s="18" t="inlineStr">
        <is>
          <t>Charts: choosing and building one</t>
        </is>
      </c>
      <c r="G39" s="18" t="inlineStr">
        <is>
          <t>Which Insert tab feature turns rows of numbers into bars, lines or slices, and how do you pick the right kind?</t>
        </is>
      </c>
      <c r="H39" s="18" t="inlineStr">
        <is>
          <t>Chart = चार्ट</t>
        </is>
      </c>
      <c r="I39" s="18" t="inlineStr">
        <is>
          <t>Analysis tool (Insert tab)</t>
        </is>
      </c>
      <c r="J39" s="18" t="inlineStr">
        <is>
          <t>Very high</t>
        </is>
      </c>
      <c r="K39" s="18" t="n">
        <v>5</v>
      </c>
      <c r="L39" s="18" t="inlineStr">
        <is>
          <t>Charts have been part of spreadsheets since Lotus 1-2-3 because a picture shows a pattern faster than a list of numbers. Excel gives many types, and each type answers a different kind of question.</t>
        </is>
      </c>
      <c r="M39" s="18" t="inlineStr">
        <is>
          <t>Pick the chart by the question: compare items with columns, show change over time with a line, and show parts of a whole with a pie of only a few slices.</t>
        </is>
      </c>
      <c r="N39" s="18" t="inlineStr">
        <is>
          <t>Select the data with its headings first. Alt+F1 puts a chart on the sheet, and F11 puts it on a new chart sheet.</t>
        </is>
      </c>
      <c r="O39" s="18" t="inlineStr">
        <is>
          <t>A teacher has three tools. A ruler of bars to compare students, a rope that rises and falls to show progress over months, and a pizza to show who ate how much.</t>
        </is>
      </c>
      <c r="P39" s="18" t="inlineStr">
        <is>
          <t>A column chart next to a line chart and a pizza-shaped pie with labels.</t>
        </is>
      </c>
      <c r="Q39" s="18" t="inlineStr">
        <is>
          <t>Pride when your boss understands the report at one glance.</t>
        </is>
      </c>
      <c r="R39" s="18" t="inlineStr">
        <is>
          <t>A chart is a picture of your data that makes comparisons, trends or shares easy to see.</t>
        </is>
      </c>
      <c r="S39" s="18" t="inlineStr">
        <is>
          <t>डेटा को तस्वीर (बार, लाइन, पाई) में दिखाने का तरीका</t>
        </is>
      </c>
      <c r="T39" s="19" t="inlineStr">
        <is>
          <t>A1: Month
B1: Sales
A2: Jan
B2: 10
A3: Feb
B3: 20
A4: Mar
B4: 15
Steps: click any cell in A1:B4 &gt; Insert tab &gt; Charts group &gt; Clustered Column</t>
        </is>
      </c>
      <c r="U39" s="19" t="inlineStr">
        <is>
          <t>A column chart appears with three bars for Jan, Feb and Mar, with heights 10, 20 and 15</t>
        </is>
      </c>
      <c r="V39" s="18" t="inlineStr">
        <is>
          <t>Excel reads the first column as the labels and the other columns as the values. The tallest bar is Feb, so the picture shows the comparison at once. You can then add a title with Chart Design &gt; Add Chart Element.</t>
        </is>
      </c>
      <c r="W39" s="18" t="inlineStr">
        <is>
          <t>Pehle data select karo, phir Insert tab me chart ka type chuno. Compare karna ho to column, samay ke saath badlav dekhna ho to line, aur hissa dikhana ho to pie chuno.</t>
        </is>
      </c>
      <c r="X39" s="18" t="inlineStr">
        <is>
          <t>Like choosing the right vehicle: a bus to carry many people, a train to run along a fixed route, and a cake knife to cut slices.</t>
        </is>
      </c>
      <c r="Y39" s="19" t="inlineStr">
        <is>
          <t>Select data &gt; Insert tab &gt; Charts group &gt; pick a chart type</t>
        </is>
      </c>
      <c r="Z39" s="18" t="inlineStr">
        <is>
          <t>Category labels = the first column | Series = each column of numbers | Chart title = the heading | Legend = the key to the colours | Data labels = numbers written on the chart</t>
        </is>
      </c>
      <c r="AA39" s="19" t="inlineStr">
        <is>
          <t>A1: Month
B1: Sales
Jan 10, Feb 20, Mar 15 in the rows below
Insert &gt; Column &gt; Clustered Column
Result: three bars to compare the months</t>
        </is>
      </c>
      <c r="AB39" s="19" t="inlineStr">
        <is>
          <t>A1: Day
B1: Temp
Mon 30, Tue 32, Wed 35, Thu 33 in the rows below
Insert &gt; Line
Result: a line that rises and falls to show the trend</t>
        </is>
      </c>
      <c r="AC39" s="19" t="inlineStr">
        <is>
          <t>A1: Item
B1: Amount
Rent 50, Food 30, Travel 20 in the rows below
Insert &gt; Pie &gt; right-click a slice &gt; Add Data Labels
Result: three slices, and the labels can show 50%, 30% and 20%</t>
        </is>
      </c>
      <c r="AD39" s="19" t="inlineStr">
        <is>
          <t>Alt+F1 creates a chart on the same sheet from the selected data
F11 creates a chart on a new chart sheet
Insert &gt; Recommended Charts lets Excel suggest chart types</t>
        </is>
      </c>
      <c r="AE39" s="18" t="inlineStr">
        <is>
          <t>PivotTable, Table (Ctrl+T), Conditional formatting, Slicer</t>
        </is>
      </c>
      <c r="AF39" s="18" t="inlineStr">
        <is>
          <t>PivotChart, Sparklines, Conditional formatting</t>
        </is>
      </c>
      <c r="AG39" s="18" t="inlineStr">
        <is>
          <t>Sparklines (Insert tab) for a tiny chart inside one cell</t>
        </is>
      </c>
      <c r="AH39" s="18" t="inlineStr">
        <is>
          <t>Column, Bar, Line, Pie, Scatter, Legend, Axis</t>
        </is>
      </c>
      <c r="AI39" s="18" t="inlineStr">
        <is>
          <t>Monthly sales reports | Marks comparison | Budget share</t>
        </is>
      </c>
      <c r="AJ39" s="18" t="inlineStr">
        <is>
          <t>A: I have monthly sales for 12 months and want to show the trend. | B: Select the data and use Insert, Line. A line chart shows the ups and downs over time clearly.</t>
        </is>
      </c>
      <c r="AK39" s="18" t="inlineStr">
        <is>
          <t>✗ A pie chart is good for 12 months of data → ✓ A pie with many slices is hard to read, so use a column or line chart for many values</t>
        </is>
      </c>
      <c r="AL39" s="18" t="inlineStr">
        <is>
          <t>Column chart vs Bar chart: Column bars stand upright, while Bar chart bars lie sideways and suit long labels.</t>
        </is>
      </c>
      <c r="AM39" s="18" t="inlineStr">
        <is>
          <t>Do not use a pie chart for data that does not make a whole, such as temperatures of different days.</t>
        </is>
      </c>
      <c r="AN39" s="19" t="inlineStr">
        <is>
          <t>Select only column B (the numbers) and insert a chart, so the month names are missing</t>
        </is>
      </c>
      <c r="AO39" s="19" t="inlineStr">
        <is>
          <t>Select A1:B4 including the headings and the month names, then insert the chart</t>
        </is>
      </c>
      <c r="AP39" s="18" t="inlineStr">
        <is>
          <t>Column compares, Line follows time, Pie shows parts of one whole.</t>
        </is>
      </c>
      <c r="AQ39" s="18" t="inlineStr">
        <is>
          <t>A manager inserts a line chart of weekly sales to show whether the sales are growing.</t>
        </is>
      </c>
      <c r="AR39" s="18" t="inlineStr">
        <is>
          <t>Interview: Which chart would you use to show the share of each expense in a monthly budget, and why?</t>
        </is>
      </c>
      <c r="AS39" s="18" t="inlineStr">
        <is>
          <t>It is like a speedometer picture: you read the situation at a glance without reading numbers.</t>
        </is>
      </c>
      <c r="AT39" s="18" t="inlineStr">
        <is>
          <t>You have sales for 12 months and want to show how they went up and down during the year. Which chart suits best?</t>
        </is>
      </c>
      <c r="AU39" s="18" t="inlineStr">
        <is>
          <t>A) Pie B) Line C) Doughnut D) Radar</t>
        </is>
      </c>
      <c r="AV39" s="18" t="inlineStr">
        <is>
          <t>B</t>
        </is>
      </c>
      <c r="AW39" s="18" t="inlineStr">
        <is>
          <t>A line chart connects points in time order, so rises and falls are easy to follow. A pie suits only a few parts of one whole.</t>
        </is>
      </c>
      <c r="AX39" s="19" t="inlineStr">
        <is>
          <t>Use a ____ chart to show how a value changes over many months → line</t>
        </is>
      </c>
      <c r="AY39" s="18" t="inlineStr">
        <is>
          <t>Make a column chart from the month and sales table so that you can compare the months.</t>
        </is>
      </c>
      <c r="AZ39" s="19" t="inlineStr">
        <is>
          <t>Select A1:B4 &gt; Insert tab &gt; Charts group &gt; Column &gt; Clustered Column</t>
        </is>
      </c>
      <c r="BA39" s="18" t="inlineStr">
        <is>
          <t>Write down three small tables of your own and choose the best chart for each one.</t>
        </is>
      </c>
      <c r="BB39" s="19" t="inlineStr">
        <is>
          <t>A1: Item, B1: Cost
A2: Pen, B2: 5
A3: Book, B3: 15
A4: Bag, B4: 30
You insert a pie chart and show percentage labels. What percentage does the Bag slice show?</t>
        </is>
      </c>
      <c r="BC39" s="19" t="inlineStr">
        <is>
          <t>60%</t>
        </is>
      </c>
      <c r="BD39" s="17">
        <f>IF(K39="","",REPT("★",K39)&amp;REPT("☆",5-K39)&amp;" ("&amp;K39&amp;"/5)")</f>
        <v/>
      </c>
      <c r="BE39" s="17">
        <f>IF(S39="","","Meaning: "&amp;S39&amp;"  =  ______   (Answer: "&amp;F39&amp;")")</f>
        <v/>
      </c>
      <c r="BF39" s="17" t="inlineStr">
        <is>
          <t>New</t>
        </is>
      </c>
      <c r="BG39" s="17" t="n"/>
      <c r="BH39" s="17" t="n"/>
      <c r="BI39" s="17" t="n"/>
      <c r="BJ39" s="17" t="n"/>
      <c r="BK39" s="17" t="n"/>
      <c r="BL39" s="17" t="n"/>
      <c r="BM39" s="17" t="n"/>
      <c r="BN39" s="17" t="n"/>
    </row>
    <row r="40" ht="121.5" customHeight="1">
      <c r="A40" s="17" t="inlineStr">
        <is>
          <t>XL-038</t>
        </is>
      </c>
      <c r="B40" s="17" t="inlineStr">
        <is>
          <t>09 Analysis</t>
        </is>
      </c>
      <c r="C40" s="17" t="inlineStr">
        <is>
          <t>Intermediate</t>
        </is>
      </c>
      <c r="D40" s="17" t="n">
        <v>38</v>
      </c>
      <c r="E40" s="17" t="inlineStr">
        <is>
          <t>Claude knowledge</t>
        </is>
      </c>
      <c r="F40" s="18" t="inlineStr">
        <is>
          <t>Named ranges</t>
        </is>
      </c>
      <c r="G40" s="18" t="inlineStr">
        <is>
          <t>How can you give a group of cells your own name and then use that name in formulas?</t>
        </is>
      </c>
      <c r="H40" s="18" t="inlineStr">
        <is>
          <t>Named range = नेम्ड रेंज</t>
        </is>
      </c>
      <c r="I40" s="18" t="inlineStr">
        <is>
          <t>Excel feature (Formulas tab)</t>
        </is>
      </c>
      <c r="J40" s="18" t="inlineStr">
        <is>
          <t>Medium</t>
        </is>
      </c>
      <c r="K40" s="18" t="n">
        <v>3</v>
      </c>
      <c r="L40" s="18" t="inlineStr">
        <is>
          <t>Names were added so that formulas could say Sales or TaxRate instead of hard-to-read cell addresses like $B$2:$B$40. This makes a formula easier to read and fix.</t>
        </is>
      </c>
      <c r="M40" s="18" t="inlineStr">
        <is>
          <t>Press Ctrl+F3 to open the Name Manager and see, edit or delete all the names in the workbook.</t>
        </is>
      </c>
      <c r="N40" s="18" t="inlineStr">
        <is>
          <t>A name cannot have spaces, cannot start with a digit and cannot look like a cell address such as A1. Use an underscore, like Total_Sales.</t>
        </is>
      </c>
      <c r="O40" s="18" t="inlineStr">
        <is>
          <t>Your phone contact stores a long number under the name Mom. A named range stores a long cell address under a short name so that you never type the number again.</t>
        </is>
      </c>
      <c r="P40" s="18" t="inlineStr">
        <is>
          <t>A phone contact card with the name Mom and a long number, but the number is a range of cells on a sheet.</t>
        </is>
      </c>
      <c r="Q40" s="18" t="inlineStr">
        <is>
          <t>Relief when a formula finally reads like a sentence.</t>
        </is>
      </c>
      <c r="R40" s="18" t="inlineStr">
        <is>
          <t>A named range is a short name that you give to a cell or a group of cells.</t>
        </is>
      </c>
      <c r="S40" s="18" t="inlineStr">
        <is>
          <t>सेल या सेल समूह को दिया गया छोटा नाम</t>
        </is>
      </c>
      <c r="T40" s="19" t="inlineStr">
        <is>
          <t>A1: 10
A2: 20
A3: 30
Steps: select A1:A3 &gt; click the Name Box (left of the formula bar) &gt; type Sales &gt; press Enter
B1: =SUM(Sales)</t>
        </is>
      </c>
      <c r="U40" s="19" t="inlineStr">
        <is>
          <t>B1 shows 60</t>
        </is>
      </c>
      <c r="V40" s="18" t="inlineStr">
        <is>
          <t>The Name Box lets you give the selected cells a name. A formula can then use the name in place of the address. Names stay the same even if you copy the formula to other cells, because they point to fixed cells.</t>
        </is>
      </c>
      <c r="W40" s="18" t="inlineStr">
        <is>
          <t>Cell range ko ek chhota naam do, jaise Sales. Phir formula me A1:A3 ki jagah Sales likho. Padhna aur samajhna dono aasaan ho jata hai.</t>
        </is>
      </c>
      <c r="X40" s="18" t="inlineStr">
        <is>
          <t>Like saving a phone number under a contact name: you call the name, not the number.</t>
        </is>
      </c>
      <c r="Y40" s="19" t="inlineStr">
        <is>
          <t>Name Box: type a name for the selected cells | Formulas tab &gt; Define Name | Ctrl+F3 opens Name Manager | Ctrl+Shift+F3 creates names from labels</t>
        </is>
      </c>
      <c r="Z40" s="18" t="inlineStr">
        <is>
          <t>Name = letters, numbers and underscore, no spaces | Refers to = the cells the name points to | Scope = Workbook or one sheet</t>
        </is>
      </c>
      <c r="AA40" s="19" t="inlineStr">
        <is>
          <t>A1: 10
A2: 20
A3: 30
Select A1:A3, type Sales in the Name Box, press Enter
B1: =SUM(Sales)</t>
        </is>
      </c>
      <c r="AB40" s="19" t="inlineStr">
        <is>
          <t>Select D1, type TaxRate in the Name Box, then type 0.18 in D1
B1: 200
C1: =B1*TaxRate</t>
        </is>
      </c>
      <c r="AC40" s="19" t="inlineStr">
        <is>
          <t>A1: Marks
A2: 40
A3: 50
A4: 60
Select A1:A4 &gt; Formulas tab &gt; Create from Selection (Ctrl+Shift+F3) &gt; tick Top row &gt; OK
B1: =AVERAGE(Marks)</t>
        </is>
      </c>
      <c r="AD40" s="19" t="inlineStr">
        <is>
          <t>Ctrl+F3 opens the Name Manager to edit or delete a name
Formulas tab &gt; Define Name &gt; Scope can be set to a single sheet
Click the Name Box drop-down and choose a name to jump to its cells</t>
        </is>
      </c>
      <c r="AE40" s="18" t="inlineStr">
        <is>
          <t>SUM, AVERAGE, XLOOKUP, Data Validation</t>
        </is>
      </c>
      <c r="AF40" s="18" t="inlineStr">
        <is>
          <t>Table (Ctrl+T), Absolute reference ($A$1), Data Validation</t>
        </is>
      </c>
      <c r="AG40" s="18" t="inlineStr">
        <is>
          <t>Absolute references like $A$1:$A$3, Tables (Ctrl+T) with column names</t>
        </is>
      </c>
      <c r="AH40" s="18" t="inlineStr">
        <is>
          <t>Name Box, Name Manager, Define Name, Scope, Create from Selection</t>
        </is>
      </c>
      <c r="AI40" s="18" t="inlineStr">
        <is>
          <t>Tax rate or discount in a formula | Drop-down lists | Formulas shared with others</t>
        </is>
      </c>
      <c r="AJ40" s="18" t="inlineStr">
        <is>
          <t>A: I keep forgetting which cell holds the tax rate in my formulas. | B: Name that cell TaxRate and write =B1*TaxRate. The formula explains itself.</t>
        </is>
      </c>
      <c r="AK40" s="18" t="inlineStr">
        <is>
          <t>✗ I can name a range Total Sales with a space between the words → ✓ Spaces are not allowed in names, so use an underscore like Total_Sales</t>
        </is>
      </c>
      <c r="AL40" s="18" t="inlineStr">
        <is>
          <t>Named range vs Table (Ctrl+T): A named range points to fixed cells, while a Table grows automatically and gives names to its columns.</t>
        </is>
      </c>
      <c r="AM40" s="18" t="inlineStr">
        <is>
          <t>Do not use names that look like cell addresses, such as Q1 or A1, because Excel will not accept them.</t>
        </is>
      </c>
      <c r="AN40" s="19" t="inlineStr">
        <is>
          <t>Name Box: type Total Sales and press Enter</t>
        </is>
      </c>
      <c r="AO40" s="19" t="inlineStr">
        <is>
          <t>Name Box: type Total_Sales and press Enter</t>
        </is>
      </c>
      <c r="AP40" s="18" t="inlineStr">
        <is>
          <t>Name it once, use it everywhere, like a contact in your phone.</t>
        </is>
      </c>
      <c r="AQ40" s="18" t="inlineStr">
        <is>
          <t>A budget workbook names the tax cell TaxRate so that every formula shows =Price*TaxRate.</t>
        </is>
      </c>
      <c r="AR40" s="18" t="inlineStr">
        <is>
          <t>Interview: What is a named range and why would you use one?</t>
        </is>
      </c>
      <c r="AS40" s="18" t="inlineStr">
        <is>
          <t>It is like writing Mom on a speed-dial button instead of remembering her full phone number.</t>
        </is>
      </c>
      <c r="AT40" s="18" t="inlineStr">
        <is>
          <t>Which of these is a valid name for a range in Excel?</t>
        </is>
      </c>
      <c r="AU40" s="18" t="inlineStr">
        <is>
          <t>A) 2024Sales B) Sales Tax C) Sales_Tax D) A1</t>
        </is>
      </c>
      <c r="AV40" s="18" t="inlineStr">
        <is>
          <t>C</t>
        </is>
      </c>
      <c r="AW40" s="18" t="inlineStr">
        <is>
          <t>Names may use letters, digits and underscores but cannot start with a digit, contain spaces or look like a cell address. Only Sales_Tax follows these rules.</t>
        </is>
      </c>
      <c r="AX40" s="19" t="inlineStr">
        <is>
          <t>Select the cells, type the name in the ____ left of the formula bar and press Enter → Name Box</t>
        </is>
      </c>
      <c r="AY40" s="18" t="inlineStr">
        <is>
          <t>Name the cells A1:A2 as Marks and then find their sum with a formula.</t>
        </is>
      </c>
      <c r="AZ40" s="19" t="inlineStr">
        <is>
          <t>A1: 5
A2: 15
Select A1:A2, type Marks in the Name Box, press Enter
B1: =SUM(Marks)</t>
        </is>
      </c>
      <c r="BA40" s="18" t="inlineStr">
        <is>
          <t>Name one cell of your own as Rate and write a formula that multiplies another cell by it.</t>
        </is>
      </c>
      <c r="BB40" s="19" t="inlineStr">
        <is>
          <t>A1: 5
A2: 15
A1:A2 is named Marks.
B1: =SUM(Marks)*2
What does B1 show?</t>
        </is>
      </c>
      <c r="BC40" s="19" t="inlineStr">
        <is>
          <t>40</t>
        </is>
      </c>
      <c r="BD40" s="17">
        <f>IF(K40="","",REPT("★",K40)&amp;REPT("☆",5-K40)&amp;" ("&amp;K40&amp;"/5)")</f>
        <v/>
      </c>
      <c r="BE40" s="17">
        <f>IF(S40="","","Meaning: "&amp;S40&amp;"  =  ______   (Answer: "&amp;F40&amp;")")</f>
        <v/>
      </c>
      <c r="BF40" s="17" t="inlineStr">
        <is>
          <t>New</t>
        </is>
      </c>
      <c r="BG40" s="17" t="n"/>
      <c r="BH40" s="17" t="n"/>
      <c r="BI40" s="17" t="n"/>
      <c r="BJ40" s="17" t="n"/>
      <c r="BK40" s="17" t="n"/>
      <c r="BL40" s="17" t="n"/>
      <c r="BM40" s="17" t="n"/>
      <c r="BN40" s="17" t="n"/>
    </row>
    <row r="41" ht="148.5" customHeight="1">
      <c r="A41" s="17" t="inlineStr">
        <is>
          <t>XL-039</t>
        </is>
      </c>
      <c r="B41" s="17" t="inlineStr">
        <is>
          <t>09 Analysis</t>
        </is>
      </c>
      <c r="C41" s="17" t="inlineStr">
        <is>
          <t>Advanced</t>
        </is>
      </c>
      <c r="D41" s="17" t="n">
        <v>39</v>
      </c>
      <c r="E41" s="17" t="inlineStr">
        <is>
          <t>Claude knowledge</t>
        </is>
      </c>
      <c r="F41" s="18" t="inlineStr">
        <is>
          <t>Dynamic arrays: FILTER, UNIQUE and SORT</t>
        </is>
      </c>
      <c r="G41" s="18" t="inlineStr">
        <is>
          <t>Which newer functions return a whole list of results that spill into the cells below by themselves?</t>
        </is>
      </c>
      <c r="H41" s="18" t="inlineStr">
        <is>
          <t>FILTER = फ़िल्टर, UNIQUE = यूनीक, SORT = सॉर्ट</t>
        </is>
      </c>
      <c r="I41" s="18" t="inlineStr">
        <is>
          <t>Dynamic array functions</t>
        </is>
      </c>
      <c r="J41" s="18" t="inlineStr">
        <is>
          <t>Medium</t>
        </is>
      </c>
      <c r="K41" s="18" t="n">
        <v>4</v>
      </c>
      <c r="L41" s="18" t="inlineStr">
        <is>
          <t>Older Excel gave one result per formula. Dynamic arrays came to Microsoft 365 and Excel 2021, so one formula can return many values that spill into nearby cells. They do not exist in Excel 2019 or older.</t>
        </is>
      </c>
      <c r="M41" s="18" t="inlineStr">
        <is>
          <t>The cells where the result will spill must be empty, or Excel shows a #SPILL! error.</t>
        </is>
      </c>
      <c r="N41" s="18" t="inlineStr">
        <is>
          <t>Type the formula in one cell and press Enter only. Do not drag it down, because the answer fills the cells itself.</t>
        </is>
      </c>
      <c r="O41" s="18" t="inlineStr">
        <is>
          <t>A watering can with one spout: you pour once in the first cell and the water, which is the list of results, flows down into all the cells below it.</t>
        </is>
      </c>
      <c r="P41" s="18" t="inlineStr">
        <is>
          <t>A watering can pouring a stream of names down a column of empty cells.</t>
        </is>
      </c>
      <c r="Q41" s="18" t="inlineStr">
        <is>
          <t>A happy surprise when one formula fills a whole list.</t>
        </is>
      </c>
      <c r="R41" s="18" t="inlineStr">
        <is>
          <t>FILTER picks rows that meet a rule, UNIQUE removes repeats, and SORT puts items in order, and the results spill into the cells below.</t>
        </is>
      </c>
      <c r="S41" s="18" t="inlineStr">
        <is>
          <t>एक फ़ॉर्मूला से पूरी सूची निकालना जो नीचे के सेल में अपने आप भर जाती है</t>
        </is>
      </c>
      <c r="T41" s="19" t="inlineStr">
        <is>
          <t>A1: Pune
A2: Agra
A3: Pune
A4: Delhi
A5: Agra
B1: =SORT(UNIQUE(A1:A5))</t>
        </is>
      </c>
      <c r="U41" s="19" t="inlineStr">
        <is>
          <t>B1 shows Agra, B2 shows Delhi, B3 shows Pune</t>
        </is>
      </c>
      <c r="V41" s="18" t="inlineStr">
        <is>
          <t>UNIQUE removes the repeated cities and keeps each city once. SORT then puts them in A to Z order. Because this is one formula in B1, the three answers spill into B1, B2 and B3 by themselves.</t>
        </is>
      </c>
      <c r="W41" s="18" t="inlineStr">
        <is>
          <t>Ek formula likho aur uska result neeche ke cells me khud fail jata hai. UNIQUE repeat hata deta hai, SORT sajata hai, aur FILTER sirf wahi rows deta hai jo shart puri karti hain. Ye Microsoft 365 ya Excel 2021 me milta hai.</t>
        </is>
      </c>
      <c r="X41" s="18" t="inlineStr">
        <is>
          <t>Like a sieve and a sorting tray: the sieve keeps only the wanted items, the tray removes repeats and arranges them.</t>
        </is>
      </c>
      <c r="Y41" s="19" t="inlineStr">
        <is>
          <t>=FILTER(array, include, [if_empty]) | =UNIQUE(array) | =SORT(array, [sort_index], [sort_order])</t>
        </is>
      </c>
      <c r="Z41" s="18" t="inlineStr">
        <is>
          <t>array = the cells to work on | include = a test like B2:B5&gt;=60 | if_empty = text to show when nothing matches | sort_index = which column to sort by | sort_order = 1 for A to Z, -1 for Z to A</t>
        </is>
      </c>
      <c r="AA41" s="19" t="inlineStr">
        <is>
          <t>A1: Pune
A2: Agra
A3: Pune
A4: Delhi
B1: =UNIQUE(A1:A4)</t>
        </is>
      </c>
      <c r="AB41" s="19" t="inlineStr">
        <is>
          <t>A1: Asha
B1: 80
A2: Ravi
B2: 45
A3: Meena
B3: 90
A4: Tara
B4: 60
D1: =FILTER(A1:B4,B1:B4&gt;=60)</t>
        </is>
      </c>
      <c r="AC41" s="19" t="inlineStr">
        <is>
          <t>A1: Asha
B1: 80
A2: Ravi
B2: 45
A3: Meena
B3: 90
A4: Tara
B4: 60
D1: =SORT(A1:B4,2,-1)</t>
        </is>
      </c>
      <c r="AD41" s="19" t="inlineStr">
        <is>
          <t>=FILTER(A1:B4,B1:B4&gt;=100,"No match")   shows No match when nothing fits
=SORT(A1:A4)   sorts one column A to Z
=SUM(D1#)   the # sign points to the whole spilled result</t>
        </is>
      </c>
      <c r="AE41" s="18" t="inlineStr">
        <is>
          <t>SUM, COUNTA, XLOOKUP, Table (Ctrl+T)</t>
        </is>
      </c>
      <c r="AF41" s="18" t="inlineStr">
        <is>
          <t>XLOOKUP, SORTBY, Table (Ctrl+T), Power Query</t>
        </is>
      </c>
      <c r="AG41" s="18" t="inlineStr">
        <is>
          <t>The Filter button (Ctrl+Shift+L), Remove Duplicates on the Data tab, PivotTable</t>
        </is>
      </c>
      <c r="AH41" s="18" t="inlineStr">
        <is>
          <t>FILTER, UNIQUE, SORT, SORTBY, SEQUENCE, XLOOKUP</t>
        </is>
      </c>
      <c r="AI41" s="18" t="inlineStr">
        <is>
          <t>A live list of students who passed | A list of each city only once | A ranked leaderboard</t>
        </is>
      </c>
      <c r="AJ41" s="18" t="inlineStr">
        <is>
          <t>A: I want a list of only the students with 60 marks or more that updates when marks change. | B: Use =FILTER with the marks test. The list changes by itself when the marks change, and it needs Microsoft 365 or Excel 2021.</t>
        </is>
      </c>
      <c r="AK41" s="18" t="inlineStr">
        <is>
          <t>✗ I must copy the FILTER formula down to fill the list → ✓ You write it once in the first cell and the result spills down by itself</t>
        </is>
      </c>
      <c r="AL41" s="18" t="inlineStr">
        <is>
          <t>FILTER function vs Filter button: The Filter button hides rows in the same place, while the FILTER function writes a new list in other cells and the original data stays unchanged.</t>
        </is>
      </c>
      <c r="AM41" s="18" t="inlineStr">
        <is>
          <t>Do not put data in the cells below a spilling formula, because it will block the result with a #SPILL! error.</t>
        </is>
      </c>
      <c r="AN41" s="19" t="inlineStr">
        <is>
          <t>A1: Asha
B1: 80
A2: Ravi
B2: 45
D1: =FILTER(A1:B2,B1:B2&gt;=60)
E1: typed text blocks the spill (D1 shows #SPILL!)</t>
        </is>
      </c>
      <c r="AO41" s="19" t="inlineStr">
        <is>
          <t>A1: Asha
B1: 80
A2: Ravi
B2: 45
D1: =FILTER(A1:B2,B1:B2&gt;=60)
E1: clear it so that the spill area D1:E1 is empty</t>
        </is>
      </c>
      <c r="AP41" s="18" t="inlineStr">
        <is>
          <t>FILTER keeps, UNIQUE de-duplicates, SORT arranges, and one formula spills.</t>
        </is>
      </c>
      <c r="AQ41" s="18" t="inlineStr">
        <is>
          <t>A teacher uses FILTER to keep a live list of students below 40 marks that updates when the marks change.</t>
        </is>
      </c>
      <c r="AR41" s="18" t="inlineStr">
        <is>
          <t>Interview: How can you get a sorted list of the different cities from a column with repeats, using only one formula?</t>
        </is>
      </c>
      <c r="AS41" s="18" t="inlineStr">
        <is>
          <t>It is like pouring tea once and the cup fills itself to the right level without you doing anything more.</t>
        </is>
      </c>
      <c r="AT41" s="18" t="inlineStr">
        <is>
          <t>A1: 3, A2: 8, A3: 5. What does =FILTER(A1:A3,A1:A3&gt;4) return?</t>
        </is>
      </c>
      <c r="AU41" s="18" t="inlineStr">
        <is>
          <t>A) 8 and 5 in two cells B) 5 and 8 in two cells C) 3 only D) #SPILL!</t>
        </is>
      </c>
      <c r="AV41" s="18" t="inlineStr">
        <is>
          <t>A</t>
        </is>
      </c>
      <c r="AW41" s="18" t="inlineStr">
        <is>
          <t>Only 8 and 5 are greater than 4, and FILTER keeps the original order, so it returns 8 and then 5.</t>
        </is>
      </c>
      <c r="AX41" s="19" t="inlineStr">
        <is>
          <t>=____(A1:A5) removes repeated values and returns each one once → UNIQUE</t>
        </is>
      </c>
      <c r="AY41" s="18" t="inlineStr">
        <is>
          <t>From names in A1:A4 and marks in B1:B4, list only the rows with marks of 60 or more.</t>
        </is>
      </c>
      <c r="AZ41" s="19" t="inlineStr">
        <is>
          <t>A1: Asha
B1: 80
A2: Ravi
B2: 45
A3: Meena
B3: 90
A4: Tara
B4: 60
D1: =FILTER(A1:B4,B1:B4&gt;=60)</t>
        </is>
      </c>
      <c r="BA41" s="18" t="inlineStr">
        <is>
          <t>Write a short column of repeated items and use one formula to list each item once in order.</t>
        </is>
      </c>
      <c r="BB41" s="19" t="inlineStr">
        <is>
          <t>A1: Pune
A2: Agra
A3: Pune
A4: Delhi
A5: Agra
C1: =SORT(UNIQUE(A1:A5))
What do C1, C2 and C3 show?</t>
        </is>
      </c>
      <c r="BC41" s="19" t="inlineStr">
        <is>
          <t>C1 shows Agra, C2 shows Delhi, C3 shows Pune</t>
        </is>
      </c>
      <c r="BD41" s="17">
        <f>IF(K41="","",REPT("★",K41)&amp;REPT("☆",5-K41)&amp;" ("&amp;K41&amp;"/5)")</f>
        <v/>
      </c>
      <c r="BE41" s="17">
        <f>IF(S41="","","Meaning: "&amp;S41&amp;"  =  ______   (Answer: "&amp;F41&amp;")")</f>
        <v/>
      </c>
      <c r="BF41" s="17" t="inlineStr">
        <is>
          <t>New</t>
        </is>
      </c>
      <c r="BG41" s="17" t="n"/>
      <c r="BH41" s="17" t="n"/>
      <c r="BI41" s="17" t="n"/>
      <c r="BJ41" s="17" t="n"/>
      <c r="BK41" s="17" t="n"/>
      <c r="BL41" s="17" t="n"/>
      <c r="BM41" s="17" t="n"/>
      <c r="BN41" s="17" t="n"/>
    </row>
    <row r="42" ht="162" customHeight="1">
      <c r="A42" s="17" t="inlineStr">
        <is>
          <t>XL-040</t>
        </is>
      </c>
      <c r="B42" s="17" t="inlineStr">
        <is>
          <t>09 Analysis</t>
        </is>
      </c>
      <c r="C42" s="17" t="inlineStr">
        <is>
          <t>Advanced</t>
        </is>
      </c>
      <c r="D42" s="17" t="n">
        <v>40</v>
      </c>
      <c r="E42" s="17" t="inlineStr">
        <is>
          <t>Claude knowledge</t>
        </is>
      </c>
      <c r="F42" s="18" t="inlineStr">
        <is>
          <t>Power Query</t>
        </is>
      </c>
      <c r="G42" s="18" t="inlineStr">
        <is>
          <t>Which Data tab tool cleans and combines data with recorded steps that you can run again with one click?</t>
        </is>
      </c>
      <c r="H42" s="18" t="inlineStr">
        <is>
          <t>Power Query = पावर क्वेरी</t>
        </is>
      </c>
      <c r="I42" s="18" t="inlineStr">
        <is>
          <t>Data tool (Get &amp; Transform)</t>
        </is>
      </c>
      <c r="J42" s="18" t="inlineStr">
        <is>
          <t>Medium</t>
        </is>
      </c>
      <c r="K42" s="18" t="n">
        <v>4</v>
      </c>
      <c r="L42" s="18" t="inlineStr">
        <is>
          <t>Microsoft made Power Query so that people could clean data without writing code. It started as an add-in for Excel 2010 and 2013, and it is built into Excel 2016 and later as Get &amp; Transform on the Data tab.</t>
        </is>
      </c>
      <c r="M42" s="18" t="inlineStr">
        <is>
          <t>After you set up the steps once, new data only needs Data &gt; Refresh All, not the same cleaning work again.</t>
        </is>
      </c>
      <c r="N42" s="18" t="inlineStr">
        <is>
          <t>These steps are for Windows Excel. Click Data tab &gt; Get Data and choose a source. Mac Excel has Power Query too, but with fewer options.</t>
        </is>
      </c>
      <c r="O42" s="18" t="inlineStr">
        <is>
          <t>A cleaning robot watches you tidy one messy file and writes down every move in a notebook. Next month it opens the new messy file and repeats every move for you.</t>
        </is>
      </c>
      <c r="P42" s="18" t="inlineStr">
        <is>
          <t>A small robot with a notebook of steps and a pile of messy tables turning into one clean table.</t>
        </is>
      </c>
      <c r="Q42" s="18" t="inlineStr">
        <is>
          <t>Relief and freedom from repeating the same boring clean-up each month.</t>
        </is>
      </c>
      <c r="R42" s="18" t="inlineStr">
        <is>
          <t>Power Query imports data, cleans it with recorded steps, and loads the result into a sheet that you can refresh.</t>
        </is>
      </c>
      <c r="S42" s="18" t="inlineStr">
        <is>
          <t>डेटा लाना, साफ़ करना और हर बार एक क्लिक में दोबारा चलाना</t>
        </is>
      </c>
      <c r="T42" s="19" t="inlineStr">
        <is>
          <t>A1: Name
A2: Asha
A3: Ravi
A4: Asha
A5: Meena
Steps: click any cell in A1:A5 &gt; Data tab &gt; From Table/Range &gt; OK &gt; select the Name column &gt; Home tab &gt; Remove Rows &gt; Remove Duplicates &gt; Close &amp; Load</t>
        </is>
      </c>
      <c r="U42" s="19" t="inlineStr">
        <is>
          <t>A new sheet shows a table with three names: Asha, Ravi and Meena</t>
        </is>
      </c>
      <c r="V42" s="18" t="inlineStr">
        <is>
          <t>Power Query opens its own editor where each action becomes a step in the Applied Steps list on the right. When you choose Close &amp; Load, the result is written to a sheet as a table. Your original data is not changed.</t>
        </is>
      </c>
      <c r="W42" s="18" t="inlineStr">
        <is>
          <t>Power Query me aap ek baar saaf karne ke steps banate ho, aur Excel unhe yaad rakhta hai. Agli baar naya data aaye to Refresh All dabao aur wahi saare steps dobara chal jate hain.</t>
        </is>
      </c>
      <c r="X42" s="18" t="inlineStr">
        <is>
          <t>Like a recipe card: you write the steps once and can cook the same dish again with new ingredients.</t>
        </is>
      </c>
      <c r="Y42" s="19" t="inlineStr">
        <is>
          <t>Data tab &gt; Get Data (or From Table/Range, or From Text/CSV) &gt; Power Query Editor &gt; Close &amp; Load</t>
        </is>
      </c>
      <c r="Z42" s="18" t="inlineStr">
        <is>
          <t>Source = where the data comes from | Applied Steps = the list of recorded actions | Transform = clean-up actions like Remove Duplicates | Close &amp; Load = write the result to a sheet | Refresh All = run all steps again</t>
        </is>
      </c>
      <c r="AA42" s="19" t="inlineStr">
        <is>
          <t>Data tab &gt; Get Data &gt; From File &gt; From Text/CSV &gt; choose a CSV file &gt; Load
Result: the CSV rows appear in a new sheet as a table</t>
        </is>
      </c>
      <c r="AB42" s="19" t="inlineStr">
        <is>
          <t>A1: Name
A2: Asha
A3: Ravi
A4: Asha
Click a cell &gt; Data &gt; From Table/Range &gt; select Name column &gt; Remove Rows &gt; Remove Duplicates &gt; Close &amp; Load
Result: Asha and Ravi, one time each</t>
        </is>
      </c>
      <c r="AC42" s="19" t="inlineStr">
        <is>
          <t>Data tab &gt; Get Data &gt; Combine Queries &gt; Append &gt; choose two tables &gt; OK &gt; Close &amp; Load
Result: the rows of the second table are added below the first table in one list</t>
        </is>
      </c>
      <c r="AD42" s="19" t="inlineStr">
        <is>
          <t>Data tab &gt; Refresh All (Ctrl+Alt+F5) runs every query again
Home tab &gt; Merge Queries joins two tables like a lookup
Click the cross next to a step in Applied Steps to delete that step</t>
        </is>
      </c>
      <c r="AE42" s="18" t="inlineStr">
        <is>
          <t>Table (Ctrl+T), PivotTable, CSV files, Refresh All</t>
        </is>
      </c>
      <c r="AF42" s="18" t="inlineStr">
        <is>
          <t>PivotTable, Text to Columns, Table (Ctrl+T)</t>
        </is>
      </c>
      <c r="AG42" s="18" t="inlineStr">
        <is>
          <t>Manual clean-up, Text to Columns, Remove Duplicates on the Data tab, VBA macros</t>
        </is>
      </c>
      <c r="AH42" s="18" t="inlineStr">
        <is>
          <t>Power Query, Get &amp; Transform, Applied Steps, Query, Refresh All, M language</t>
        </is>
      </c>
      <c r="AI42" s="18" t="inlineStr">
        <is>
          <t>Monthly CSV imports | Combining many files into one table | Cleaning exported data before a PivotTable</t>
        </is>
      </c>
      <c r="AJ42" s="18" t="inlineStr">
        <is>
          <t>A: Every month I get a new export and clean the same columns by hand. | B: Record the clean-up in Power Query once, and next month just click Refresh All.</t>
        </is>
      </c>
      <c r="AK42" s="18" t="inlineStr">
        <is>
          <t>✗ Power Query changes my original data table → ✓ It reads the source and writes a new result table, so the original data stays as it was</t>
        </is>
      </c>
      <c r="AL42" s="18" t="inlineStr">
        <is>
          <t>Power Query vs a macro: Power Query records data-cleaning steps that refresh with new data, while a macro (VBA) records any clicks and keystrokes in Excel as code.</t>
        </is>
      </c>
      <c r="AM42" s="18" t="inlineStr">
        <is>
          <t>Do not edit the loaded result table by hand, because the next refresh will overwrite your changes.</t>
        </is>
      </c>
      <c r="AN42" s="19" t="inlineStr">
        <is>
          <t>Clean the new month's file by hand again, and then paste it over the old data every time</t>
        </is>
      </c>
      <c r="AO42" s="19" t="inlineStr">
        <is>
          <t>Load the file with Data &gt; From Text/CSV, clean it in Power Query once, then use Data &gt; Refresh All each month</t>
        </is>
      </c>
      <c r="AP42" s="18" t="inlineStr">
        <is>
          <t>Power Query = record the clean-up once, replay it forever.</t>
        </is>
      </c>
      <c r="AQ42" s="18" t="inlineStr">
        <is>
          <t>An accountant loads a bank CSV every month, removes blank rows, changes the date type and refreshes the same query.</t>
        </is>
      </c>
      <c r="AR42" s="18" t="inlineStr">
        <is>
          <t>Interview: How would you combine twelve monthly files with the same columns into one table in Excel?</t>
        </is>
      </c>
      <c r="AS42" s="18" t="inlineStr">
        <is>
          <t>It is like a washing machine program: you choose the steps once and press start every week.</t>
        </is>
      </c>
      <c r="AT42" s="18" t="inlineStr">
        <is>
          <t>A query already loads a CSV file. Next month the CSV file has new rows in the same place. What is the fastest way to bring them into the sheet?</t>
        </is>
      </c>
      <c r="AU42" s="18" t="inlineStr">
        <is>
          <t>A) Data tab &gt; Refresh All B) Repeat all steps by hand C) Delete the query D) Press F9</t>
        </is>
      </c>
      <c r="AV42" s="18" t="inlineStr">
        <is>
          <t>A</t>
        </is>
      </c>
      <c r="AW42" s="18" t="inlineStr">
        <is>
          <t>Refresh All runs the saved steps again on the changed source. F9 recalculates formulas but does not refresh a query.</t>
        </is>
      </c>
      <c r="AX42" s="19" t="inlineStr">
        <is>
          <t>In Power Query, the list of recorded actions on the right is called ____ Steps → Applied</t>
        </is>
      </c>
      <c r="AY42" s="18" t="inlineStr">
        <is>
          <t>Load a table into Power Query and remove duplicate names, then load it back to a sheet.</t>
        </is>
      </c>
      <c r="AZ42" s="19" t="inlineStr">
        <is>
          <t>Click a cell in the table &gt; Data tab &gt; From Table/Range &gt; OK &gt; select Name column &gt; Home tab &gt; Remove Rows &gt; Remove Duplicates &gt; Close &amp; Load</t>
        </is>
      </c>
      <c r="BA42" s="18" t="inlineStr">
        <is>
          <t>Make a small list with repeated names and clean it with Power Query, then add one more name and refresh.</t>
        </is>
      </c>
      <c r="BB42" s="19" t="inlineStr">
        <is>
          <t>A1: Name, A2: Asha, A3: Ravi, A4: Asha, A5: Meena
You load it in Power Query, remove duplicates on Name and click Close &amp; Load. How many names are in the loaded table, not counting the heading?</t>
        </is>
      </c>
      <c r="BC42" s="19" t="inlineStr">
        <is>
          <t>3</t>
        </is>
      </c>
      <c r="BD42" s="17">
        <f>IF(K42="","",REPT("★",K42)&amp;REPT("☆",5-K42)&amp;" ("&amp;K42&amp;"/5)")</f>
        <v/>
      </c>
      <c r="BE42" s="17">
        <f>IF(S42="","","Meaning: "&amp;S42&amp;"  =  ______   (Answer: "&amp;F42&amp;")")</f>
        <v/>
      </c>
      <c r="BF42" s="17" t="inlineStr">
        <is>
          <t>New</t>
        </is>
      </c>
      <c r="BG42" s="17" t="n"/>
      <c r="BH42" s="17" t="n"/>
      <c r="BI42" s="17" t="n"/>
      <c r="BJ42" s="17" t="n"/>
      <c r="BK42" s="17" t="n"/>
      <c r="BL42" s="17" t="n"/>
      <c r="BM42" s="17" t="n"/>
      <c r="BN42" s="17" t="n"/>
    </row>
  </sheetData>
  <autoFilter ref="A2:BN42"/>
  <mergeCells count="6">
    <mergeCell ref="AT1:BC1"/>
    <mergeCell ref="BD1:BE1"/>
    <mergeCell ref="F1:Q1"/>
    <mergeCell ref="A1:E1"/>
    <mergeCell ref="BF1:BN1"/>
    <mergeCell ref="R1:AS1"/>
  </mergeCells>
  <dataValidations count="2">
    <dataValidation sqref="BF3:BF42" showDropDown="0" showInputMessage="0" showErrorMessage="0" allowBlank="1" type="list">
      <formula1>"New,Learning,Known"</formula1>
    </dataValidation>
    <dataValidation sqref="BM3:BM42"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XL-001</t>
        </is>
      </c>
    </row>
    <row r="4">
      <c r="A4" s="23" t="inlineStr">
        <is>
          <t>FRONT · Recognition (pehchano)</t>
        </is>
      </c>
    </row>
    <row r="5" ht="30" customHeight="1">
      <c r="A5" s="24" t="inlineStr">
        <is>
          <t>ID</t>
        </is>
      </c>
      <c r="B5" s="17">
        <f>INDEX('Code concept (56-pt) cards'!$A$3:$BN$42,MATCH($B$2,'Code concept (56-pt) cards'!$A$3:$A$42,0),MATCH("ID",'Code concept (56-pt) cards'!$A$2:$BN$2,0))&amp;""</f>
        <v/>
      </c>
    </row>
    <row r="6" ht="30" customHeight="1">
      <c r="A6" s="24" t="inlineStr">
        <is>
          <t>Topic</t>
        </is>
      </c>
      <c r="B6" s="17">
        <f>INDEX('Code concept (56-pt) cards'!$A$3:$BN$42,MATCH($B$2,'Code concept (56-pt) cards'!$A$3:$A$42,0),MATCH("Topic",'Code concept (56-pt) cards'!$A$2:$BN$2,0))&amp;""</f>
        <v/>
      </c>
    </row>
    <row r="7" ht="30" customHeight="1">
      <c r="A7" s="24" t="inlineStr">
        <is>
          <t>Level</t>
        </is>
      </c>
      <c r="B7" s="17">
        <f>INDEX('Code concept (56-pt) cards'!$A$3:$BN$42,MATCH($B$2,'Code concept (56-pt) cards'!$A$3:$A$42,0),MATCH("Level",'Code concept (56-pt) cards'!$A$2:$BN$2,0))&amp;""</f>
        <v/>
      </c>
    </row>
    <row r="8" ht="30" customHeight="1">
      <c r="A8" s="24" t="inlineStr">
        <is>
          <t>Concept</t>
        </is>
      </c>
      <c r="B8" s="17">
        <f>INDEX('Code concept (56-pt) cards'!$A$3:$BN$42,MATCH($B$2,'Code concept (56-pt) cards'!$A$3:$A$42,0),MATCH("Concept",'Code concept (56-pt) cards'!$A$2:$BN$2,0))&amp;""</f>
        <v/>
      </c>
    </row>
    <row r="9" ht="30" customHeight="1">
      <c r="A9" s="24" t="inlineStr">
        <is>
          <t>Recall cue</t>
        </is>
      </c>
      <c r="B9" s="17">
        <f>INDEX('Code concept (56-pt) cards'!$A$3:$BN$42,MATCH($B$2,'Code concept (56-pt) cards'!$A$3:$A$42,0),MATCH("Recall cue",'Code concept (56-pt) cards'!$A$2:$BN$2,0))&amp;""</f>
        <v/>
      </c>
    </row>
    <row r="10" ht="30" customHeight="1">
      <c r="A10" s="24" t="inlineStr">
        <is>
          <t>Read aloud</t>
        </is>
      </c>
      <c r="B10" s="17">
        <f>INDEX('Code concept (56-pt) cards'!$A$3:$BN$42,MATCH($B$2,'Code concept (56-pt) cards'!$A$3:$A$42,0),MATCH("Read aloud",'Code concept (56-pt) cards'!$A$2:$BN$2,0))&amp;""</f>
        <v/>
      </c>
    </row>
    <row r="11" ht="30" customHeight="1">
      <c r="A11" s="24" t="inlineStr">
        <is>
          <t>Type</t>
        </is>
      </c>
      <c r="B11" s="17">
        <f>INDEX('Code concept (56-pt) cards'!$A$3:$BN$42,MATCH($B$2,'Code concept (56-pt) cards'!$A$3:$A$42,0),MATCH("Type",'Code concept (56-pt) cards'!$A$2:$BN$2,0))&amp;""</f>
        <v/>
      </c>
    </row>
    <row r="12" ht="30" customHeight="1">
      <c r="A12" s="24" t="inlineStr">
        <is>
          <t>How often used</t>
        </is>
      </c>
      <c r="B12" s="17">
        <f>INDEX('Code concept (56-pt) cards'!$A$3:$BN$42,MATCH($B$2,'Code concept (56-pt) cards'!$A$3:$A$42,0),MATCH("How often used",'Code concept (56-pt) cards'!$A$2:$BN$2,0))&amp;""</f>
        <v/>
      </c>
    </row>
    <row r="13" ht="30" customHeight="1">
      <c r="A13" s="24" t="inlineStr">
        <is>
          <t>Importance (1-5)</t>
        </is>
      </c>
      <c r="B13" s="17">
        <f>INDEX('Code concept (56-pt) cards'!$A$3:$BN$42,MATCH($B$2,'Code concept (56-pt) cards'!$A$3:$A$42,0),MATCH("Importance (1-5)",'Code concept (56-pt) cards'!$A$2:$BN$2,0))&amp;""</f>
        <v/>
      </c>
    </row>
    <row r="14" ht="40.5" customHeight="1">
      <c r="A14" s="24" t="inlineStr">
        <is>
          <t>Origin / why it exists</t>
        </is>
      </c>
      <c r="B14" s="17">
        <f>INDEX('Code concept (56-pt) cards'!$A$3:$BN$42,MATCH($B$2,'Code concept (56-pt) cards'!$A$3:$A$42,0),MATCH("Origin / why it exists",'Code concept (56-pt) cards'!$A$2:$BN$2,0))&amp;""</f>
        <v/>
      </c>
    </row>
    <row r="15" ht="30" customHeight="1">
      <c r="A15" s="24" t="inlineStr">
        <is>
          <t>Pro tip</t>
        </is>
      </c>
      <c r="B15" s="17">
        <f>INDEX('Code concept (56-pt) cards'!$A$3:$BN$42,MATCH($B$2,'Code concept (56-pt) cards'!$A$3:$A$42,0),MATCH("Pro tip",'Code concept (56-pt) cards'!$A$2:$BN$2,0))&amp;""</f>
        <v/>
      </c>
    </row>
    <row r="16" ht="30" customHeight="1">
      <c r="A16" s="24" t="inlineStr">
        <is>
          <t>Typing hint</t>
        </is>
      </c>
      <c r="B16" s="17">
        <f>INDEX('Code concept (56-pt) cards'!$A$3:$BN$42,MATCH($B$2,'Code concept (56-pt) cards'!$A$3:$A$42,0),MATCH("Typing hint",'Code concept (56-pt) cards'!$A$2:$BN$2,0))&amp;""</f>
        <v/>
      </c>
    </row>
    <row r="17" ht="30" customHeight="1">
      <c r="A17" s="24" t="inlineStr">
        <is>
          <t>Memory story</t>
        </is>
      </c>
      <c r="B17" s="17">
        <f>INDEX('Code concept (56-pt) cards'!$A$3:$BN$42,MATCH($B$2,'Code concept (56-pt) cards'!$A$3:$A$42,0),MATCH("Memory story",'Code concept (56-pt) cards'!$A$2:$BN$2,0))&amp;""</f>
        <v/>
      </c>
    </row>
    <row r="18" ht="30" customHeight="1">
      <c r="A18" s="24" t="inlineStr">
        <is>
          <t>Picture it</t>
        </is>
      </c>
      <c r="B18" s="17">
        <f>INDEX('Code concept (56-pt) cards'!$A$3:$BN$42,MATCH($B$2,'Code concept (56-pt) cards'!$A$3:$A$42,0),MATCH("Picture it",'Code concept (56-pt) cards'!$A$2:$BN$2,0))&amp;""</f>
        <v/>
      </c>
    </row>
    <row r="19" ht="30" customHeight="1">
      <c r="A19" s="24" t="inlineStr">
        <is>
          <t>Emotion hook</t>
        </is>
      </c>
      <c r="B19" s="17">
        <f>INDEX('Code concept (56-pt) cards'!$A$3:$BN$42,MATCH($B$2,'Code concept (56-pt) cards'!$A$3:$A$42,0),MATCH("Emotion hook",'Code concept (56-pt) cards'!$A$2:$BN$2,0))&amp;""</f>
        <v/>
      </c>
    </row>
    <row r="20" ht="30" customHeight="1">
      <c r="A20" s="24" t="inlineStr">
        <is>
          <t>Importance ★</t>
        </is>
      </c>
      <c r="B20" s="17">
        <f>INDEX('Code concept (56-pt) cards'!$A$3:$BN$42,MATCH($B$2,'Code concept (56-pt) cards'!$A$3:$A$42,0),MATCH("Importance ★",'Code concept (56-pt) cards'!$A$2:$BN$2,0))&amp;""</f>
        <v/>
      </c>
    </row>
    <row r="21">
      <c r="A21" s="25" t="inlineStr">
        <is>
          <t>BACK · Understanding (samjho)</t>
        </is>
      </c>
    </row>
    <row r="22" ht="30" customHeight="1">
      <c r="A22" s="24" t="inlineStr">
        <is>
          <t>Meaning (short)</t>
        </is>
      </c>
      <c r="B22" s="17">
        <f>INDEX('Code concept (56-pt) cards'!$A$3:$BN$42,MATCH($B$2,'Code concept (56-pt) cards'!$A$3:$A$42,0),MATCH("Meaning (short)",'Code concept (56-pt) cards'!$A$2:$BN$2,0))&amp;""</f>
        <v/>
      </c>
    </row>
    <row r="23" ht="30" customHeight="1">
      <c r="A23" s="24" t="inlineStr">
        <is>
          <t>Meaning in learner's language</t>
        </is>
      </c>
      <c r="B23" s="17">
        <f>INDEX('Code concept (56-pt) cards'!$A$3:$BN$42,MATCH($B$2,'Code concept (56-pt) cards'!$A$3:$A$42,0),MATCH("Meaning in learner's language",'Code concept (56-pt) cards'!$A$2:$BN$2,0))&amp;""</f>
        <v/>
      </c>
    </row>
    <row r="24" ht="229.5" customHeight="1">
      <c r="A24" s="24" t="inlineStr">
        <is>
          <t>Code</t>
        </is>
      </c>
      <c r="B24" s="26">
        <f>INDEX('Code concept (56-pt) cards'!$A$3:$BN$42,MATCH($B$2,'Code concept (56-pt) cards'!$A$3:$A$42,0),MATCH("Code",'Code concept (56-pt) cards'!$A$2:$BN$2,0))&amp;""</f>
        <v/>
      </c>
    </row>
    <row r="25" ht="54" customHeight="1">
      <c r="A25" s="24" t="inlineStr">
        <is>
          <t>Output</t>
        </is>
      </c>
      <c r="B25" s="26">
        <f>INDEX('Code concept (56-pt) cards'!$A$3:$BN$42,MATCH($B$2,'Code concept (56-pt) cards'!$A$3:$A$42,0),MATCH("Output",'Code concept (56-pt) cards'!$A$2:$BN$2,0))&amp;""</f>
        <v/>
      </c>
    </row>
    <row r="26" ht="40.5" customHeight="1">
      <c r="A26" s="24" t="inlineStr">
        <is>
          <t>Explanation</t>
        </is>
      </c>
      <c r="B26" s="17">
        <f>INDEX('Code concept (56-pt) cards'!$A$3:$BN$42,MATCH($B$2,'Code concept (56-pt) cards'!$A$3:$A$42,0),MATCH("Explanation",'Code concept (56-pt) cards'!$A$2:$BN$2,0))&amp;""</f>
        <v/>
      </c>
    </row>
    <row r="27" ht="40.5" customHeight="1">
      <c r="A27" s="24" t="inlineStr">
        <is>
          <t>Simple explanation (Hinglish)</t>
        </is>
      </c>
      <c r="B27" s="17">
        <f>INDEX('Code concept (56-pt) cards'!$A$3:$BN$42,MATCH($B$2,'Code concept (56-pt) cards'!$A$3:$A$42,0),MATCH("Simple explanation (Hinglish)",'Code concept (56-pt) cards'!$A$2:$BN$2,0))&amp;""</f>
        <v/>
      </c>
    </row>
    <row r="28" ht="30" customHeight="1">
      <c r="A28" s="24" t="inlineStr">
        <is>
          <t>Real-life analogy</t>
        </is>
      </c>
      <c r="B28" s="17">
        <f>INDEX('Code concept (56-pt) cards'!$A$3:$BN$42,MATCH($B$2,'Code concept (56-pt) cards'!$A$3:$A$42,0),MATCH("Real-life analogy",'Code concept (56-pt) cards'!$A$2:$BN$2,0))&amp;""</f>
        <v/>
      </c>
    </row>
    <row r="29" ht="30" customHeight="1">
      <c r="A29" s="24" t="inlineStr">
        <is>
          <t>Syntax pattern</t>
        </is>
      </c>
      <c r="B29" s="26">
        <f>INDEX('Code concept (56-pt) cards'!$A$3:$BN$42,MATCH($B$2,'Code concept (56-pt) cards'!$A$3:$A$42,0),MATCH("Syntax pattern",'Code concept (56-pt) cards'!$A$2:$BN$2,0))&amp;""</f>
        <v/>
      </c>
    </row>
    <row r="30" ht="40.5" customHeight="1">
      <c r="A30" s="24" t="inlineStr">
        <is>
          <t>Anatomy</t>
        </is>
      </c>
      <c r="B30" s="17">
        <f>INDEX('Code concept (56-pt) cards'!$A$3:$BN$42,MATCH($B$2,'Code concept (56-pt) cards'!$A$3:$A$42,0),MATCH("Anatomy",'Code concept (56-pt) cards'!$A$2:$BN$2,0))&amp;""</f>
        <v/>
      </c>
    </row>
    <row r="31" ht="40.5" customHeight="1">
      <c r="A31" s="24" t="inlineStr">
        <is>
          <t>Example 1</t>
        </is>
      </c>
      <c r="B31" s="26">
        <f>INDEX('Code concept (56-pt) cards'!$A$3:$BN$42,MATCH($B$2,'Code concept (56-pt) cards'!$A$3:$A$42,0),MATCH("Example 1",'Code concept (56-pt) cards'!$A$2:$BN$2,0))&amp;""</f>
        <v/>
      </c>
    </row>
    <row r="32" ht="54" customHeight="1">
      <c r="A32" s="24" t="inlineStr">
        <is>
          <t>Example 2</t>
        </is>
      </c>
      <c r="B32" s="26">
        <f>INDEX('Code concept (56-pt) cards'!$A$3:$BN$42,MATCH($B$2,'Code concept (56-pt) cards'!$A$3:$A$42,0),MATCH("Example 2",'Code concept (56-pt) cards'!$A$2:$BN$2,0))&amp;""</f>
        <v/>
      </c>
    </row>
    <row r="33" ht="40.5" customHeight="1">
      <c r="A33" s="24" t="inlineStr">
        <is>
          <t>Example 3</t>
        </is>
      </c>
      <c r="B33" s="26">
        <f>INDEX('Code concept (56-pt) cards'!$A$3:$BN$42,MATCH($B$2,'Code concept (56-pt) cards'!$A$3:$A$42,0),MATCH("Example 3",'Code concept (56-pt) cards'!$A$2:$BN$2,0))&amp;""</f>
        <v/>
      </c>
    </row>
    <row r="34" ht="40.5" customHeight="1">
      <c r="A34" s="24" t="inlineStr">
        <is>
          <t>Variation</t>
        </is>
      </c>
      <c r="B34" s="26">
        <f>INDEX('Code concept (56-pt) cards'!$A$3:$BN$42,MATCH($B$2,'Code concept (56-pt) cards'!$A$3:$A$42,0),MATCH("Variation",'Code concept (56-pt) cards'!$A$2:$BN$2,0))&amp;""</f>
        <v/>
      </c>
    </row>
    <row r="35" ht="30" customHeight="1">
      <c r="A35" s="24" t="inlineStr">
        <is>
          <t>Used with</t>
        </is>
      </c>
      <c r="B35" s="17">
        <f>INDEX('Code concept (56-pt) cards'!$A$3:$BN$42,MATCH($B$2,'Code concept (56-pt) cards'!$A$3:$A$42,0),MATCH("Used with",'Code concept (56-pt) cards'!$A$2:$BN$2,0))&amp;""</f>
        <v/>
      </c>
    </row>
    <row r="36" ht="30" customHeight="1">
      <c r="A36" s="24" t="inlineStr">
        <is>
          <t>Related concepts</t>
        </is>
      </c>
      <c r="B36" s="17">
        <f>INDEX('Code concept (56-pt) cards'!$A$3:$BN$42,MATCH($B$2,'Code concept (56-pt) cards'!$A$3:$A$42,0),MATCH("Related concepts",'Code concept (56-pt) cards'!$A$2:$BN$2,0))&amp;""</f>
        <v/>
      </c>
    </row>
    <row r="37" ht="30" customHeight="1">
      <c r="A37" s="24" t="inlineStr">
        <is>
          <t>Alternatives</t>
        </is>
      </c>
      <c r="B37" s="17">
        <f>INDEX('Code concept (56-pt) cards'!$A$3:$BN$42,MATCH($B$2,'Code concept (56-pt) cards'!$A$3:$A$42,0),MATCH("Alternatives",'Code concept (56-pt) cards'!$A$2:$BN$2,0))&amp;""</f>
        <v/>
      </c>
    </row>
    <row r="38" ht="30" customHeight="1">
      <c r="A38" s="24" t="inlineStr">
        <is>
          <t>Family / group</t>
        </is>
      </c>
      <c r="B38" s="17">
        <f>INDEX('Code concept (56-pt) cards'!$A$3:$BN$42,MATCH($B$2,'Code concept (56-pt) cards'!$A$3:$A$42,0),MATCH("Family / group",'Code concept (56-pt) cards'!$A$2:$BN$2,0))&amp;""</f>
        <v/>
      </c>
    </row>
    <row r="39" ht="30" customHeight="1">
      <c r="A39" s="24" t="inlineStr">
        <is>
          <t>Where it is used</t>
        </is>
      </c>
      <c r="B39" s="17">
        <f>INDEX('Code concept (56-pt) cards'!$A$3:$BN$42,MATCH($B$2,'Code concept (56-pt) cards'!$A$3:$A$42,0),MATCH("Where it is used",'Code concept (56-pt) cards'!$A$2:$BN$2,0))&amp;""</f>
        <v/>
      </c>
    </row>
    <row r="40" ht="40.5" customHeight="1">
      <c r="A40" s="24" t="inlineStr">
        <is>
          <t>Mini conversation</t>
        </is>
      </c>
      <c r="B40" s="17">
        <f>INDEX('Code concept (56-pt) cards'!$A$3:$BN$42,MATCH($B$2,'Code concept (56-pt) cards'!$A$3:$A$42,0),MATCH("Mini conversation",'Code concept (56-pt) cards'!$A$2:$BN$2,0))&amp;""</f>
        <v/>
      </c>
    </row>
    <row r="41" ht="40.5" customHeight="1">
      <c r="A41" s="24" t="inlineStr">
        <is>
          <t>Common mistake</t>
        </is>
      </c>
      <c r="B41" s="17">
        <f>INDEX('Code concept (56-pt) cards'!$A$3:$BN$42,MATCH($B$2,'Code concept (56-pt) cards'!$A$3:$A$42,0),MATCH("Common mistake",'Code concept (56-pt) cards'!$A$2:$BN$2,0))&amp;""</f>
        <v/>
      </c>
    </row>
    <row r="42" ht="30" customHeight="1">
      <c r="A42" s="24" t="inlineStr">
        <is>
          <t>Commonly confused with</t>
        </is>
      </c>
      <c r="B42" s="17">
        <f>INDEX('Code concept (56-pt) cards'!$A$3:$BN$42,MATCH($B$2,'Code concept (56-pt) cards'!$A$3:$A$42,0),MATCH("Commonly confused with",'Code concept (56-pt) cards'!$A$2:$BN$2,0))&amp;""</f>
        <v/>
      </c>
    </row>
    <row r="43" ht="30" customHeight="1">
      <c r="A43" s="24" t="inlineStr">
        <is>
          <t>Avoid / don't</t>
        </is>
      </c>
      <c r="B43" s="17">
        <f>INDEX('Code concept (56-pt) cards'!$A$3:$BN$42,MATCH($B$2,'Code concept (56-pt) cards'!$A$3:$A$42,0),MATCH("Avoid / don't",'Code concept (56-pt) cards'!$A$2:$BN$2,0))&amp;""</f>
        <v/>
      </c>
    </row>
    <row r="44" ht="30" customHeight="1">
      <c r="A44" s="24" t="inlineStr">
        <is>
          <t>Wrong code</t>
        </is>
      </c>
      <c r="B44" s="26">
        <f>INDEX('Code concept (56-pt) cards'!$A$3:$BN$42,MATCH($B$2,'Code concept (56-pt) cards'!$A$3:$A$42,0),MATCH("Wrong code",'Code concept (56-pt) cards'!$A$2:$BN$2,0))&amp;""</f>
        <v/>
      </c>
    </row>
    <row r="45" ht="30" customHeight="1">
      <c r="A45" s="24" t="inlineStr">
        <is>
          <t>Right code</t>
        </is>
      </c>
      <c r="B45" s="26">
        <f>INDEX('Code concept (56-pt) cards'!$A$3:$BN$42,MATCH($B$2,'Code concept (56-pt) cards'!$A$3:$A$42,0),MATCH("Right code",'Code concept (56-pt) cards'!$A$2:$BN$2,0))&amp;""</f>
        <v/>
      </c>
    </row>
    <row r="46" ht="30" customHeight="1">
      <c r="A46" s="24" t="inlineStr">
        <is>
          <t>Memory trick</t>
        </is>
      </c>
      <c r="B46" s="17">
        <f>INDEX('Code concept (56-pt) cards'!$A$3:$BN$42,MATCH($B$2,'Code concept (56-pt) cards'!$A$3:$A$42,0),MATCH("Memory trick",'Code concept (56-pt) cards'!$A$2:$BN$2,0))&amp;""</f>
        <v/>
      </c>
    </row>
    <row r="47" ht="30" customHeight="1">
      <c r="A47" s="24" t="inlineStr">
        <is>
          <t>Real life: project / work</t>
        </is>
      </c>
      <c r="B47" s="17">
        <f>INDEX('Code concept (56-pt) cards'!$A$3:$BN$42,MATCH($B$2,'Code concept (56-pt) cards'!$A$3:$A$42,0),MATCH("Real life: project / work",'Code concept (56-pt) cards'!$A$2:$BN$2,0))&amp;""</f>
        <v/>
      </c>
    </row>
    <row r="48" ht="30" customHeight="1">
      <c r="A48" s="24" t="inlineStr">
        <is>
          <t>Real life: interview / exam</t>
        </is>
      </c>
      <c r="B48" s="17">
        <f>INDEX('Code concept (56-pt) cards'!$A$3:$BN$42,MATCH($B$2,'Code concept (56-pt) cards'!$A$3:$A$42,0),MATCH("Real life: interview / exam",'Code concept (56-pt) cards'!$A$2:$BN$2,0))&amp;""</f>
        <v/>
      </c>
    </row>
    <row r="49" ht="30" customHeight="1">
      <c r="A49" s="24" t="inlineStr">
        <is>
          <t>Real life: daily life</t>
        </is>
      </c>
      <c r="B49" s="17">
        <f>INDEX('Code concept (56-pt) cards'!$A$3:$BN$42,MATCH($B$2,'Code concept (56-pt) cards'!$A$3:$A$42,0),MATCH("Real life: daily life",'Code concept (56-pt) cards'!$A$2:$BN$2,0))&amp;""</f>
        <v/>
      </c>
    </row>
    <row r="50">
      <c r="A50" s="27" t="inlineStr">
        <is>
          <t>PRACTICE · Khud karo</t>
        </is>
      </c>
    </row>
    <row r="51" ht="30" customHeight="1">
      <c r="A51" s="24" t="inlineStr">
        <is>
          <t>MCQ question</t>
        </is>
      </c>
      <c r="B51" s="17">
        <f>INDEX('Code concept (56-pt) cards'!$A$3:$BN$42,MATCH($B$2,'Code concept (56-pt) cards'!$A$3:$A$42,0),MATCH("MCQ question",'Code concept (56-pt) cards'!$A$2:$BN$2,0))&amp;""</f>
        <v/>
      </c>
    </row>
    <row r="52" ht="30" customHeight="1">
      <c r="A52" s="24" t="inlineStr">
        <is>
          <t>MCQ options</t>
        </is>
      </c>
      <c r="B52" s="17">
        <f>INDEX('Code concept (56-pt) cards'!$A$3:$BN$42,MATCH($B$2,'Code concept (56-pt) cards'!$A$3:$A$42,0),MATCH("MCQ options",'Code concept (56-pt) cards'!$A$2:$BN$2,0))&amp;""</f>
        <v/>
      </c>
    </row>
    <row r="53" ht="30" customHeight="1">
      <c r="A53" s="24" t="inlineStr">
        <is>
          <t>MCQ answer</t>
        </is>
      </c>
      <c r="B53" s="17">
        <f>INDEX('Code concept (56-pt) cards'!$A$3:$BN$42,MATCH($B$2,'Code concept (56-pt) cards'!$A$3:$A$42,0),MATCH("MCQ answer",'Code concept (56-pt) cards'!$A$2:$BN$2,0))&amp;""</f>
        <v/>
      </c>
    </row>
    <row r="54" ht="30" customHeight="1">
      <c r="A54" s="24" t="inlineStr">
        <is>
          <t>Why that answer</t>
        </is>
      </c>
      <c r="B54" s="17">
        <f>INDEX('Code concept (56-pt) cards'!$A$3:$BN$42,MATCH($B$2,'Code concept (56-pt) cards'!$A$3:$A$42,0),MATCH("Why that answer",'Code concept (56-pt) cards'!$A$2:$BN$2,0))&amp;""</f>
        <v/>
      </c>
    </row>
    <row r="55" ht="30" customHeight="1">
      <c r="A55" s="24" t="inlineStr">
        <is>
          <t>Fill the blank</t>
        </is>
      </c>
      <c r="B55" s="26">
        <f>INDEX('Code concept (56-pt) cards'!$A$3:$BN$42,MATCH($B$2,'Code concept (56-pt) cards'!$A$3:$A$42,0),MATCH("Fill the blank",'Code concept (56-pt) cards'!$A$2:$BN$2,0))&amp;""</f>
        <v/>
      </c>
    </row>
    <row r="56" ht="30" customHeight="1">
      <c r="A56" s="24" t="inlineStr">
        <is>
          <t>Task in learner's language</t>
        </is>
      </c>
      <c r="B56" s="17">
        <f>INDEX('Code concept (56-pt) cards'!$A$3:$BN$42,MATCH($B$2,'Code concept (56-pt) cards'!$A$3:$A$42,0),MATCH("Task in learner's language",'Code concept (56-pt) cards'!$A$2:$BN$2,0))&amp;""</f>
        <v/>
      </c>
    </row>
    <row r="57" ht="135" customHeight="1">
      <c r="A57" s="24" t="inlineStr">
        <is>
          <t>Task answer</t>
        </is>
      </c>
      <c r="B57" s="26">
        <f>INDEX('Code concept (56-pt) cards'!$A$3:$BN$42,MATCH($B$2,'Code concept (56-pt) cards'!$A$3:$A$42,0),MATCH("Task answer",'Code concept (56-pt) cards'!$A$2:$BN$2,0))&amp;""</f>
        <v/>
      </c>
    </row>
    <row r="58" ht="30" customHeight="1">
      <c r="A58" s="24" t="inlineStr">
        <is>
          <t>Write your own</t>
        </is>
      </c>
      <c r="B58" s="17">
        <f>INDEX('Code concept (56-pt) cards'!$A$3:$BN$42,MATCH($B$2,'Code concept (56-pt) cards'!$A$3:$A$42,0),MATCH("Write your own",'Code concept (56-pt) cards'!$A$2:$BN$2,0))&amp;""</f>
        <v/>
      </c>
    </row>
    <row r="59" ht="40.5" customHeight="1">
      <c r="A59" s="24" t="inlineStr">
        <is>
          <t>Practice question</t>
        </is>
      </c>
      <c r="B59" s="26">
        <f>INDEX('Code concept (56-pt) cards'!$A$3:$BN$42,MATCH($B$2,'Code concept (56-pt) cards'!$A$3:$A$42,0),MATCH("Practice question",'Code concept (56-pt) cards'!$A$2:$BN$2,0))&amp;""</f>
        <v/>
      </c>
    </row>
    <row r="60" ht="30" customHeight="1">
      <c r="A60" s="24" t="inlineStr">
        <is>
          <t>Practice answer</t>
        </is>
      </c>
      <c r="B60" s="26">
        <f>INDEX('Code concept (56-pt) cards'!$A$3:$BN$42,MATCH($B$2,'Code concept (56-pt) cards'!$A$3:$A$42,0),MATCH("Practice answer",'Code concept (56-pt) cards'!$A$2:$BN$2,0))&amp;""</f>
        <v/>
      </c>
    </row>
    <row r="61" ht="30" customHeight="1">
      <c r="A61" s="24" t="inlineStr">
        <is>
          <t>Quick recall (reverse)</t>
        </is>
      </c>
      <c r="B61" s="17">
        <f>INDEX('Code concept (56-pt) cards'!$A$3:$BN$42,MATCH($B$2,'Code concept (56-pt) cards'!$A$3:$A$42,0),MATCH("Quick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cards'!$A$3:$A$42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Cells, ranges and cell references
How does Excel name one box on the sheet, and how do you point to a whole block of boxes in a formula?
A1: 10
A2: 20
A3: 30
B1: =SUM(A1:A3)</t>
        </is>
      </c>
      <c r="B2" s="29" t="inlineStr">
        <is>
          <t>MEANING (SHORT):
A cell is one box on the sheet, and a range is a block of cells.
MEANING IN LEARNER'S LANGUAGE:
सेल = शीट का एक खाना; रेंज = कई खानों का समूह
CODE:
A1: 10
A2: 20
A3: 30
B1: =SUM(A1:A3)
OUTPUT:
60
EXPLANATION:
A cell address is the column letter followed by the row number. A range uses a colon between its first and last cell, so A1:A3 means A1, A2 and A3. Formulas use these addresses so the answer updates when the numbers change.
SIMPLE EXPLANATION (HINGLISH):
Har khane ka ek address hota hai, jaise A1. Kai khane ek saath lene hon to colon lagate hain, jaise A1:A3. Formula me address likhne se number badalne par answer khud badal jata hai.
REAL-LIFE ANALOGY:
Like a cinema seat number: row and seat together tell you exactly one seat, and a seat block is a group of neighbouring seats.
SYNTAX PATTERN:
=FUNCTION(first_cell:last_cell)
ANATOMY:
A = column letter | 1 = row number | A1 = one cell | A1:A3 = range from A1 down to A3
EXAMPLE 1:
A1: 10
B1: =A1 (shows 10, B1 just points to one cell)
EXAMPLE 2:
A1: 10
A2: 20
A3: 30
B1: =SUM(A1:A3) (shows 60, a range down one column)
EXAMPLE 3:
A1: 5
A2: 10
B1: 15
B2: 20
C1: =SUM(A1:B2) (shows 50, a block across two columns)
VARIATION:
=SUM(A1,A3) adds only A1 and A3 (comma picks separate cells)
=SUM(A:A) adds the whole column A
Name Box: type D10 and press Enter to jump to D10
USED WITH:
SUM, AVERAGE, Name Box, formulas
RELATED CONCEPTS:
Worksheet, Workbook, Named range, Table
ALTERNATIVES:
Named range, Excel Table column reference
FAMILY / GROUP:
cell, range, row, column, address, selection
WHERE IT IS USED:
Budgets and totals | Marks sheets | Any formula you write
MINI CONVERSATION:
A: My total shows 0, what did I do wrong? | B: Check your range; you may have typed A1:A2 instead of A1:A3 and missed a row.
COMMON MISTAKE:
✗ A1:A3 means only the two cells A1 and A3 → ✓ A1:A3 means every cell from A1 through A3, including A2
COMMONLY CONFUSED WITH:
A1:A3 vs A1,A3: the colon takes the whole block, the comma takes only the cells you name.
AVOID / DON'T:
Do not type numbers into a formula when the cell address can be used, or the answer will not update.
WRONG CODE:
A1: 10
A2: 20
A3: 30
B1: =SUM(A1,A3)
RIGHT CODE:
A1: 10
A2: 20
A3: 30
B1: =SUM(A1:A3)
MEMORY TRICK:
Colon = continues through all cells; comma = counts only the ones named.
REAL LIFE: PROJECT / WORK:
A school clerk sums the marks of one student by pointing a formula at the row range of that student.
REAL LIFE: INTERVIEW / EXAM:
Interview question: What is the difference between a cell reference and a range, and which symbol makes a range?
REAL LIFE: DAILY LIFE:
It is like telling a friend your flat number instead of saying the whole street, and a floor range instead of one flat.</t>
        </is>
      </c>
      <c r="C2" s="29" t="inlineStr">
        <is>
          <t>01_Basics_&amp;_Cells_Beginner_XL-001</t>
        </is>
      </c>
    </row>
    <row r="3" ht="409" customHeight="1">
      <c r="A3" s="29" t="inlineStr">
        <is>
          <t>Data types: text, number, date
Why can a cell that looks like a number refuse to add up, and what does Excel secretly store behind a date?
A1: 100
A2: '100 (typed with an apostrophe, so it is text)
B1: =ISNUMBER(A1)
B2: =ISNUMBER(A2)</t>
        </is>
      </c>
      <c r="B3" s="29" t="inlineStr">
        <is>
          <t>MEANING (SHORT):
Excel stores each entry as text, a number or a date, and treats them differently.
MEANING IN LEARNER'S LANGUAGE:
टेक्स्ट = शब्द, नंबर = संख्या, डेट = तारीख
CODE:
A1: 100
A2: '100 (typed with an apostrophe, so it is text)
B1: =ISNUMBER(A1)
B2: =ISNUMBER(A2)
OUTPUT:
B1 shows TRUE and B2 shows FALSE
EXPLANATION:
ISNUMBER checks if a cell holds a real number. A1 is a number, but A2 was stored as text because of the apostrophe, even though it looks the same. Dates are numbers too: Excel counts days from 1 January 1900, and 1 January 2024 is stored as 45292.
SIMPLE EXPLANATION (HINGLISH):
Excel teen cheez alag rakhta hai: text, number aur date. Text ke andar 100 likha ho to wo jodne me nahi aata. Date asal me ek number hai jo din ginta hai.
REAL-LIFE ANALOGY:
Like a bank counter with separate windows for cash, cheques and letters, each handled by different rules.
SYNTAX PATTERN:
=ISNUMBER(cell)  |  =ISTEXT(cell)
ANATOMY:
ISNUMBER = test function | cell = what to check | result = TRUE or FALSE
EXAMPLE 1:
A1: Asha
B1: =ISTEXT(A1) (shows TRUE, a word is text)
EXAMPLE 2:
A1: 100
A2: '100
B1: =SUM(A1:A2) (shows 100, SUM skips the text one)
EXAMPLE 3:
A1: =DATE(2024,1,1)
A2: =DATE(2024,3,1)
B1: =A2-A1 (cell format General, shows 60 days)
VARIATION:
Format cell as General to see the date serial number, for example 45292
=VALUE(A2) converts text like "100" into the number 100
Data tab &gt; Text to Columns &gt; Finish converts a column of text numbers
USED WITH:
ISNUMBER, ISTEXT, VALUE, Format Cells
RELATED CONCEPTS:
Number format, Text to Columns, Date serial number, VALUE
ALTERNATIVES:
VALUE function, Text to Columns, multiply by 1
FAMILY / GROUP:
text, number, date, time, logical, error value
WHERE IT IS USED:
Importing data from other systems | Cleaning mark lists | Date calculations like due dates
MINI CONVERSATION:
A: My SUM ignores some numbers in the column, why? | B: They are probably stored as text; look for left-aligned values and convert them.
COMMON MISTAKE:
✗ Anything that looks like a number is a number → ✓ A value can look like 100 but be stored as text, and then SUM ignores it
COMMONLY CONFUSED WITH:
Text 100 vs number 100: text looks the same but is ignored by SUM and sorts like a word.
AVOID / DON'T:
Do not type numbers with extra spaces or apostrophes if you need to calculate with them.
WRONG CODE:
A1: 100
A2: '100
A3: 50
B1: =SUM(A1:A3) (expecting 250)
RIGHT CODE:
A1: 100
A2: '100
A3: 50
B2: =VALUE(A2)
B1: =SUM(A1,B2,A3) (shows 250)
MEMORY TRICK:
Left = Letters (text), Right = Right numbers; this is the default alignment.
REAL LIFE: PROJECT / WORK:
A sales analyst imports a CSV and converts text numbers so that totals match the source report.
REAL LIFE: INTERVIEW / EXAM:
Interview question: Why does SUM give the wrong total when some numbers are stored as text?
REAL LIFE: DAILY LIFE:
It is like a shopkeeper who counts only real notes and puts photocopies of notes aside.</t>
        </is>
      </c>
      <c r="C3" s="29" t="inlineStr">
        <is>
          <t>01_Basics_&amp;_Cells_Beginner_XL-002</t>
        </is>
      </c>
    </row>
    <row r="4" ht="409" customHeight="1">
      <c r="A4" s="29" t="inlineStr">
        <is>
          <t>AutoFill and the fill handle
Which tiny square at a cell's corner lets you drag a pattern or formula down a column?
A1: 1
A2: 2
Select A1:A2, drag the fill handle down to A5</t>
        </is>
      </c>
      <c r="B4" s="29" t="inlineStr">
        <is>
          <t>MEANING (SHORT):
AutoFill copies or continues a pattern by dragging the fill handle.
MEANING IN LEARNER'S LANGUAGE:
ऑटोफ़िल = खींचकर पैटर्न या फ़ॉर्मूला अपने आप भरना
CODE:
A1: 1
A2: 2
Select A1:A2, drag the fill handle down to A5
OUTPUT:
A3 shows 3, A4 shows 4, A5 shows 5
EXPLANATION:
Excel reads the first two values to find the step, here +1, and continues it. For text such as day names it continues the built-in list. For formulas it copies the formula and moves the relative references.
SIMPLE EXPLANATION (HINGLISH):
Do cell select karke handle kheenchoge to Excel pattern samajh kar aage bhar deta hai. Ek hi number ho to wo copy ho jata hai. Formula ho to wo bhi neeche copy hota hai.
REAL-LIFE ANALOGY:
Like showing a child 2, 4 and then saying carry on; the child continues 6, 8, 10 by the same rule.
SYNTAX PATTERN:
Select cells &gt; drag the fill handle (bottom-right square)
ANATOMY:
Selected cells = the pattern | fill handle = small square | drag direction = where the pattern continues
EXAMPLE 1:
A1: 1
A2: 2
Select A1:A2, drag the handle to A5 (A5 shows 5, a number series)
EXAMPLE 2:
A1: Mon
Drag the handle down to A3 (A2 shows Tue, A3 shows Wed, a text list)
EXAMPLE 3:
A1: 5
A2: 7
A3: 9
B1: =A1*2
Double-click the handle of B1 (B2 shows 14, B3 shows 18, a formula copy)
VARIATION:
A single number such as 5 is copied, not counted, when you drag
Hold Ctrl while dragging a single number to make it count up (Windows)
Click the small Auto Fill Options button after dragging to choose Copy Cells or Fill Series
USED WITH:
Fill series, relative references, Flash Fill, Ctrl+D
RELATED CONCEPTS:
Relative reference, Custom lists, Ctrl+D, Flash Fill
ALTERNATIVES:
Ctrl+D to fill down, Home tab &gt; Fill &gt; Series
FAMILY / GROUP:
AutoFill, fill handle, fill series, fill down, fill right, series
WHERE IT IS USED:
Serial numbers on a list | Dates and months across columns | Copying one formula to every row
MINI CONVERSATION:
A: I typed 1 and dragged but I got 1, 1, 1; why? | B: A single number is copied, so enter 1 and 2 first and drag both cells.
COMMON MISTAKE:
✗ Dragging one number always counts up, 1, 2, 3 → ✓ A single number is copied; give two cells to show the step, or hold Ctrl while dragging
COMMONLY CONFUSED WITH:
Fill handle vs Ctrl+D: the handle drags to any distance and pattern, Ctrl+D copies the cell above into the selected cells.
AVOID / DON'T:
Do not drag blindly over a long list when double-clicking the fill handle does the work in one move.
WRONG CODE:
A1: 1
Drag the handle down to A5 (expecting 1, 2, 3, 4, 5)
RIGHT CODE:
A1: 1
A2: 2
Select A1:A2 and drag the handle down to A5
MEMORY TRICK:
Two cells show the step; one cell shows only copy.
REAL LIFE: PROJECT / WORK:
An office assistant numbers 200 employee rows by dragging the handle instead of typing every number.
REAL LIFE: INTERVIEW / EXAM:
Interview question: How do you quickly copy a formula down 500 rows without dragging?
REAL LIFE: DAILY LIFE:
It is like a teacher writing the first two roll numbers and asking the class monitor to continue the list.</t>
        </is>
      </c>
      <c r="C4" s="29" t="inlineStr">
        <is>
          <t>01_Basics_&amp;_Cells_Beginner_XL-003</t>
        </is>
      </c>
    </row>
    <row r="5" ht="409" customHeight="1">
      <c r="A5" s="29" t="inlineStr">
        <is>
          <t>Flash Fill
Which feature watches one example you type and then completes the whole column without a formula?
A1: Asha Rao
A2: Sita Devi
B1: Asha (typed by you)
Click B2, press Ctrl+E</t>
        </is>
      </c>
      <c r="B5" s="29" t="inlineStr">
        <is>
          <t>MEANING (SHORT):
Flash Fill copies a pattern you typed once to the other rows.
MEANING IN LEARNER'S LANGUAGE:
फ़्लैश फ़िल = एक उदाहरण देखकर बाकी पंक्तियाँ अपने आप भरना
CODE:
A1: Asha Rao
A2: Sita Devi
B1: Asha (typed by you)
Click B2, press Ctrl+E
OUTPUT:
B2 shows Sita
EXPLANATION:
Excel compares your typed example with the cell beside it and finds the pattern, here the first word. It then fills the rest of the column using that pattern. The result is plain text, not a formula, so it will not update later.
SIMPLE EXPLANATION (HINGLISH):
Pehli row me jo chahiye wo khud likho, phir Ctrl+E dabao. Excel pattern pehchan kar baaki sab bhar deta hai. Ye formula nahi hai, sirf text hai.
REAL-LIFE ANALOGY:
Like showing a tailor one sample shirt, then asking him to stitch the rest in exactly the same style.
SYNTAX PATTERN:
Type first example &gt; Ctrl+E (or Data tab &gt; Flash Fill)
ANATOMY:
Source column = the data | typed example = the pattern | Ctrl+E = apply to all rows
EXAMPLE 1:
A1: Asha Rao
A2: Sita Devi
B1: Asha
Click B2, press Ctrl+E (B2 shows Sita, a split)
EXAMPLE 2:
A1: Asha
B1: Rao
C1: Asha Rao (typed)
Click C2, press Ctrl+E (joins first and last name for each row)
EXAMPLE 3:
A1: 9876543210
B1: 98765-43210 (typed)
Click B2, press Ctrl+E (adds a dash in the same place for all rows)
VARIATION:
Data tab &gt; Flash Fill does the same as Ctrl+E
File &gt; Options &gt; Advanced &gt; Automatically Flash Fill turns the live suggestion on or off
If the grey preview appears while you type, press Enter to accept it
USED WITH:
Text to Columns, LEFT, MID, CONCAT
RELATED CONCEPTS:
Text to Columns, LEFT and RIGHT, TEXTJOIN, AutoFill
ALTERNATIVES:
Text to Columns, LEFT/MID/RIGHT formulas, TEXTSPLIT in Microsoft 365
FAMILY / GROUP:
Flash Fill, pattern, split, join, extract, clean
WHERE IT IS USED:
Splitting full names | Fixing phone number format | Making email IDs from names
MINI CONVERSATION:
A: I have full names in one column, can I get only first names fast? | B: Type the first name once next to it and press Ctrl+E.
COMMON MISTAKE:
✗ Flash Fill creates a formula that updates when the data changes → ✓ Flash Fill writes fixed values, so you must run it again after the source changes
COMMONLY CONFUSED WITH:
Flash Fill vs AutoFill: Flash Fill learns a text pattern from an example, while AutoFill continues a number or list series.
AVOID / DON'T:
Do not trust Flash Fill blindly on messy data; always scan the results for wrong rows.
WRONG CODE:
A1: Asha Rao
A2: Sita Devi
Select B2 and press Ctrl+E with B1 left empty
RIGHT CODE:
A1: Asha Rao
A2: Sita Devi
B1: Asha (typed)
Click B2, press Ctrl+E
MEMORY TRICK:
Type one, press Ctrl+E, check all.
REAL LIFE: PROJECT / WORK:
A data entry person splits 1,000 full names into first and last name columns in a few seconds.
REAL LIFE: INTERVIEW / EXAM:
Interview question: How can you split a name column without writing a formula?
REAL LIFE: DAILY LIFE:
It is like showing a friend one correctly written address label and asking him to copy the style on the rest.</t>
        </is>
      </c>
      <c r="C5" s="29" t="inlineStr">
        <is>
          <t>01_Basics_&amp;_Cells_Beginner_XL-004</t>
        </is>
      </c>
    </row>
    <row r="6" ht="409" customHeight="1">
      <c r="A6" s="29" t="inlineStr">
        <is>
          <t>Relative vs absolute references ($)
Why does a copied formula sometimes point to the wrong cell, and what sign pins a cell in place?
A2: 200
A3: 300
B1: 0.1 (rate)
C2: =A2*$B$1
C3: =A3*$B$1</t>
        </is>
      </c>
      <c r="B6" s="29" t="inlineStr">
        <is>
          <t>MEANING (SHORT):
A relative reference moves when copied; an absolute reference with dollar signs stays fixed.
MEANING IN LEARNER'S LANGUAGE:
रिलेटिव = कॉपी करने पर बदलता है; एब्सोल्यूट ($) = जगह पर टिका रहता है
CODE:
A2: 200
A3: 300
B1: 0.1 (rate)
C2: =A2*$B$1
C3: =A3*$B$1
OUTPUT:
C2 shows 20 and C3 shows 30
EXPLANATION:
When C2 is copied down, A2 becomes A3 because it is relative. $B$1 stays B1 because both its column and row are locked. This lets every row use the same rate cell.
SIMPLE EXPLANATION (HINGLISH):
Normal reference formula ke saath neeche khisakta hai. Dollar lagane se wo cell wahi rukta hai. Isliye rate wale cell par $ lagate hain.
REAL-LIFE ANALOGY:
Like asking each student to check the person next to them (relative), but also asking everyone to look at one fixed notice board (absolute).
SYNTAX PATTERN:
A1 (relative) | $A$1 (absolute) | A$1 or $A1 (mixed)
ANATOMY:
$ before the letter = lock the column | $ before the number = lock the row | no $ = free to move
EXAMPLE 1:
A2: 200
A3: 300
C2: =A2*2 (copied to C3 it becomes =A3*2 and shows 600, relative)
EXAMPLE 2:
A2: 200
A3: 300
B1: 0.1
C2: =A2*$B$1 (copied to C3 it stays $B$1 and shows 30, absolute)
EXAMPLE 3:
A2: 2
A3: 3
B1: 4
C1: 5
B2: =$A2*B$1 (shows 8; copied to C3 it becomes =$A3*C$1 and shows 15, mixed)
VARIATION:
F4 once makes $A$1, twice makes A$1, three times makes $A1, four times gives A1 again
Named range, for example Rate, works like an absolute reference
Copying a formula right changes the column letter; copying down changes the row number
USED WITH:
AutoFill, SUM, VLOOKUP, percentage calculations
RELATED CONCEPTS:
AutoFill, Named range, Mixed reference, F4 key
ALTERNATIVES:
Named range, Excel Table structured references
FAMILY / GROUP:
relative, absolute, mixed, anchor, lock, F4
WHERE IT IS USED:
Applying one tax or discount rate to a price list | Multiplication tables | Lookup tables that must not shift
MINI CONVERSATION:
A: Only my first row is right after I drag the formula down; the rest show zero. | B: Your rate cell moved; press F4 to lock it as $B$1.
COMMON MISTAKE:
✗ A copied formula always points to the same cells as the original → ✓ A normal reference shifts when copied; only the ones with $ stay fixed
COMMONLY CONFUSED WITH:
B1 vs $B$1: B1 shifts when copied, $B$1 never shifts.
AVOID / DON'T:
Do not copy a formula that uses a fixed rate cell without first adding the dollar signs.
WRONG CODE:
B1: 10
A2: 200
A3: 300
C2: =A2*B1
C3 (copied) becomes =A3*B2 and shows 0
RIGHT CODE:
B1: 10
A2: 200
A3: 300
C2: =A2*$B$1
C3 (copied) stays =A3*$B$1 and shows 3000
MEMORY TRICK:
Dollar = Done moving; no dollar means the cell can wander.
REAL LIFE: PROJECT / WORK:
A finance analyst applies one GST rate cell to hundreds of price rows using $ in the formula.
REAL LIFE: INTERVIEW / EXAM:
Interview question: What does $A$1 mean, and when would you use it instead of A1?
REAL LIFE: DAILY LIFE:
It is like fixing one price tag to a shelf so that it does not move while the other items change places.</t>
        </is>
      </c>
      <c r="C6" s="29" t="inlineStr">
        <is>
          <t>01_Basics_&amp;_Cells_Beginner_XL-005</t>
        </is>
      </c>
    </row>
    <row r="7" ht="409" customHeight="1">
      <c r="A7" s="29" t="inlineStr">
        <is>
          <t>SUM and AutoSum
Which function adds a block of numbers, and what shortcut types it for you?
A1: 10
A2: 20
A3: 30
A4: =SUM(A1:A3)</t>
        </is>
      </c>
      <c r="B7" s="29" t="inlineStr">
        <is>
          <t>MEANING (SHORT):
SUM adds all the numbers in the cells you give it.
MEANING IN LEARNER'S LANGUAGE:
SUM = जोड़ना, सारी संख्याओं का कुल
CODE:
A1: 10
A2: 20
A3: 30
A4: =SUM(A1:A3)
OUTPUT:
60
EXPLANATION:
SUM adds every number in the range. It ignores text and empty cells in the range. AutoSum, on the Home tab or with Alt+=, writes the SUM formula and guesses the range for you.
SIMPLE EXPLANATION (HINGLISH):
SUM sab number jod deta hai. Text ya khali cell ho to use chhod deta hai. Alt+= dabane se Excel khud formula likh deta hai.
REAL-LIFE ANALOGY:
Like emptying all small piles of money on a table into one big pile and counting that pile.
SYNTAX PATTERN:
=SUM(number1, [number2], ...)
ANATOMY:
= starts a formula | SUM = function name | ( ) = brackets | A1:A3 = numbers to add
EXAMPLE 1:
A1: 10
A2: 20
A3: 30
A4: =SUM(A1:A3) (shows 60, a simple range)
EXAMPLE 2:
A1: 10
A2: 20
A3: 30
B1: =SUM(A1:A3,5) (shows 65, a range plus a typed number)
EXAMPLE 3:
A1: 10
A2: n/a
A3: 30
B1: =SUM(A1:A3) (shows 40, the text n/a is ignored)
VARIATION:
=SUM(A:A) adds the whole column A
Select A4 under the numbers and press Alt+= then Enter (Windows) for AutoSum
Home tab &gt; Editing group &gt; AutoSum button (the sigma sign) does the same
USED WITH:
AVERAGE, SUMIF, AutoSum, Alt+=
RELATED CONCEPTS:
SUMIF, SUMIFS, AVERAGE, COUNT
ALTERNATIVES:
Plus signs like =A1+A2+A3, the status bar total, SUMIF for conditions
FAMILY / GROUP:
SUM, SUMIF, SUMIFS, SUMPRODUCT, SUBTOTAL, AutoSum
WHERE IT IS USED:
Monthly expense totals | Marks totals | Sales reports
MINI CONVERSATION:
A: How do I add the whole column quickly? | B: Click the empty cell below it and press Alt+=, then Enter.
COMMON MISTAKE:
✗ SUM will turn text like "five" into 5 → ✓ SUM ignores text in a range, so type real numbers
COMMONLY CONFUSED WITH:
SUM vs SUBTOTAL: SUM adds everything in the range, while SUBTOTAL can skip rows hidden by a filter.
AVOID / DON'T:
Do not add a long column with plus signs when one SUM range can do it.
WRONG CODE:
A1: 10
A2: 20
A3: 30
A4: SUM(A1:A3)
RIGHT CODE:
A1: 10
A2: 20
A3: 30
A4: =SUM(A1:A3)
MEMORY TRICK:
SUM = Stack Up Many numbers.
REAL LIFE: PROJECT / WORK:
An accounts assistant totals daily sales in a month column with one SUM formula.
REAL LIFE: INTERVIEW / EXAM:
Interview question: How do you add a column of numbers quickly, and what does SUM do with text?
REAL LIFE: DAILY LIFE:
It is like adding up all the bills on a monthly grocery list.</t>
        </is>
      </c>
      <c r="C7" s="29" t="inlineStr">
        <is>
          <t>02_Basic_Functions_Beginner_XL-006</t>
        </is>
      </c>
    </row>
    <row r="8" ht="409" customHeight="1">
      <c r="A8" s="29" t="inlineStr">
        <is>
          <t>AVERAGE, MIN and MAX
Which three functions give the typical, smallest and biggest number of a list?
A1: 70
A2: 80
A3: 90
A4: 60
B1: =AVERAGE(A1:A4)
B2: =MIN(A1:A4)
B3: =MAX(A1:A4)</t>
        </is>
      </c>
      <c r="B8" s="29" t="inlineStr">
        <is>
          <t>MEANING (SHORT):
AVERAGE gives the mean, MIN the lowest and MAX the highest value.
MEANING IN LEARNER'S LANGUAGE:
एवरेज = औसत, MIN = सबसे छोटा, MAX = सबसे बड़ा
CODE:
A1: 70
A2: 80
A3: 90
A4: 60
B1: =AVERAGE(A1:A4)
B2: =MIN(A1:A4)
B3: =MAX(A1:A4)
OUTPUT:
B1 shows 75, B2 shows 60, B3 shows 90
EXPLANATION:
AVERAGE adds the numbers and divides by how many numbers there are: (70+80+90+60)/4 = 75. MIN finds the lowest, which is 60, and MAX finds the highest, which is 90. All three ignore text and empty cells in a range.
SIMPLE EXPLANATION (HINGLISH):
AVERAGE sab jodkar number ginti se bhaag deta hai. MIN sabse chhota aur MAX sabse bada number batata hai. Khali ya text cell ginti me nahi aate.
REAL-LIFE ANALOGY:
Like checking a class: the shortest student, the tallest student and the typical height of all students.
SYNTAX PATTERN:
=AVERAGE(range)  |  =MIN(range)  |  =MAX(range)
ANATOMY:
AVERAGE, MIN, MAX = function names | range = cells to look at | brackets = hold the range
EXAMPLE 1:
A1: 70
A2: 80
A3: 90
A4: 60
B1: =AVERAGE(A1:A4) (shows 75, the mean)
EXAMPLE 2:
A1: 70
A2: 80
A3: 90
B1: =MAX(A1:A3,100) (shows 100, a typed number joins the range)
EXAMPLE 3:
A1: -5
A2: 3
A3: 0
B1: =MIN(A1:A3) (shows -5, negatives count too)
VARIATION:
=AVERAGE(A1:A4) skips blank cells but counts zero
=LARGE(A1:A4,2) gives the second biggest number
Status bar at the bottom shows Average, Count and Sum for selected cells
USED WITH:
SUM, COUNT, IF, LARGE, SMALL
RELATED CONCEPTS:
MEDIAN, LARGE, SMALL, COUNT
ALTERNATIVES:
MEDIAN, LARGE and SMALL, PivotTable summaries
FAMILY / GROUP:
AVERAGE, AVERAGEIF, MIN, MAX, MEDIAN, LARGE
WHERE IT IS USED:
Class marks analysis | Price comparison | Sales performance reports
MINI CONVERSATION:
A: My class average looks too low, why? | B: Check whether absent students were typed as 0, because zero is counted but blank is not.
COMMON MISTAKE:
✗ AVERAGE ignores zero values like blanks → ✓ AVERAGE counts a typed 0 as a number, but skips empty cells
COMMONLY CONFUSED WITH:
AVERAGE vs MEDIAN: AVERAGE is the sum divided by the count, MEDIAN is the middle value when sorted.
AVOID / DON'T:
Do not type 0 for missing marks if the average must skip them; leave the cell blank.
WRONG CODE:
A1: 70
A2: 80
A3: 90
B1: =AVG(A1:A3)
RIGHT CODE:
A1: 70
A2: 80
A3: 90
B1: =AVERAGE(A1:A3)
MEMORY TRICK:
MIN is little, MAX is big, AVERAGE is the middle ground.
REAL LIFE: PROJECT / WORK:
A teacher finds the highest, lowest and average score of a class test in three cells.
REAL LIFE: INTERVIEW / EXAM:
Interview question: What is the difference between AVERAGE and MEDIAN, and how does a zero affect AVERAGE?
REAL LIFE: DAILY LIFE:
It is like checking the cheapest, costliest and usual price of tomatoes in the market.</t>
        </is>
      </c>
      <c r="C8" s="29" t="inlineStr">
        <is>
          <t>02_Basic_Functions_Beginner_XL-007</t>
        </is>
      </c>
    </row>
    <row r="9" ht="409" customHeight="1">
      <c r="A9" s="29" t="inlineStr">
        <is>
          <t>COUNT, COUNTA and COUNTBLANK
Which functions count only numbers, count every filled cell, or count the empty ones?
A1: 10
A2: Asha
A3: (empty)
A4: 25
B1: =COUNT(A1:A4)
B2: =COUNTA(A1:A4)
B3: =COUNTBLANK(A1:A4)</t>
        </is>
      </c>
      <c r="B9" s="29" t="inlineStr">
        <is>
          <t>MEANING (SHORT):
COUNT counts numbers, COUNTA counts any filled cell and COUNTBLANK counts empty cells.
MEANING IN LEARNER'S LANGUAGE:
COUNT = सिर्फ़ संख्याएँ गिनो, COUNTA = भरे हुए सारे खाने, COUNTBLANK = खाली खाने
CODE:
A1: 10
A2: Asha
A3: (empty)
A4: 25
B1: =COUNT(A1:A4)
B2: =COUNTA(A1:A4)
B3: =COUNTBLANK(A1:A4)
OUTPUT:
B1 shows 2, B2 shows 3, B3 shows 1
EXPLANATION:
COUNT counts only numbers (10 and 25), so it gives 2. COUNTA counts every cell that holds something, here 10, Asha and 25, so it gives 3. COUNTBLANK counts the single empty cell A3, and it also counts cells that hold a formula returning empty text.
SIMPLE EXPLANATION (HINGLISH):
COUNT sirf number ginta hai. COUNTA jo bhi likha ho wo sab ginta hai. COUNTBLANK khali khane ginta hai.
REAL-LIFE ANALOGY:
Like counting only the ticket numbers, then every person on the bus, then the empty seats.
SYNTAX PATTERN:
=COUNT(range)  |  =COUNTA(range)  |  =COUNTBLANK(range)
ANATOMY:
COUNT = numbers only | COUNTA = anything filled | COUNTBLANK = empty cells | range = where to look
EXAMPLE 1:
A1: 10
A2: Asha
A3: 25
B1: =COUNT(A1:A3) (shows 2, numbers only)
EXAMPLE 2:
A1: Ravi
A2: Sita
A3: Amit
B1: =COUNTA(A1:A3) (shows 3, names are counted)
EXAMPLE 3:
B1: P
B2: (empty)
B3: P
B4: (empty)
C1: =COUNTBLANK(B1:B4) (shows 2, empty attendance rows)
VARIATION:
=COUNTA(A:A)-1 counts the entries in a column after removing a header row
=COUNTIF(A1:A10,"P") counts only cells equal to P
=ROWS(A1:A10)-COUNTA(A1:A10) also gives the empty cells count
USED WITH:
COUNTIF, SUM, IF, ISBLANK
RELATED CONCEPTS:
COUNTIF, COUNTIFS, ISBLANK, ROWS
ALTERNATIVES:
COUNTIF, status bar Count, PivotTable count
FAMILY / GROUP:
COUNT, COUNTA, COUNTBLANK, COUNTIF, COUNTIFS, ROWS
WHERE IT IS USED:
Attendance sheets | Survey responses | Checking missing data in a form
MINI CONVERSATION:
A: I need to know how many students submitted their name. | B: Use COUNTA on the name column; COUNT would give zero since names are text.
COMMON MISTAKE:
✗ COUNT counts every filled cell → ✓ COUNT counts only numbers; use COUNTA to count text and numbers together
COMMONLY CONFUSED WITH:
COUNT vs COUNTA: COUNT counts numbers only, COUNTA counts any non-empty cell including text.
AVOID / DON'T:
Do not use COUNT on a column of names, because it will return 0.
WRONG CODE:
A1: Ravi
A2: Sita
A3: Amit
B1: =COUNT(A1:A3) (expecting 3)
RIGHT CODE:
A1: Ravi
A2: Sita
A3: Amit
B1: =COUNTA(A1:A3)
MEMORY TRICK:
A in COUNTA = All entries; COUNT alone = numbers only.
REAL LIFE: PROJECT / WORK:
A coordinator counts how many feedback forms are still blank using COUNTBLANK.
REAL LIFE: INTERVIEW / EXAM:
Interview question: What is the difference between COUNT and COUNTA, and how do you count empty cells?
REAL LIFE: DAILY LIFE:
It is like counting how many seats on a train are taken and how many are still free.</t>
        </is>
      </c>
      <c r="C9" s="29" t="inlineStr">
        <is>
          <t>02_Basic_Functions_Beginner_XL-008</t>
        </is>
      </c>
    </row>
    <row r="10" ht="409" customHeight="1">
      <c r="A10" s="29" t="inlineStr">
        <is>
          <t>ROUND, ROUNDUP and ROUNDDOWN
Which three functions change a number to fewer digits, rounding normally, always up or always down?
A1: 7.456
B1: =ROUND(A1,2)
B2: =ROUNDUP(A1,2)
B3: =ROUNDDOWN(A1,2)</t>
        </is>
      </c>
      <c r="B10" s="29" t="inlineStr">
        <is>
          <t>MEANING (SHORT):
These functions change the stored value to a chosen number of digits.
MEANING IN LEARNER'S LANGUAGE:
ROUND = पास की पूर्ण संख्या पर, ROUNDUP = हमेशा ऊपर, ROUNDDOWN = हमेशा नीचे
CODE:
A1: 7.456
B1: =ROUND(A1,2)
B2: =ROUNDUP(A1,2)
B3: =ROUNDDOWN(A1,2)
OUTPUT:
B1 shows 7.46, B2 shows 7.46, B3 shows 7.45
EXPLANATION:
ROUND looks at the next digit, 6, and rounds up to 7.46. ROUNDUP always moves away from zero, so it also gives 7.46. ROUNDDOWN always cuts toward zero, so it gives 7.45. The second number is how many decimal places to keep.
SIMPLE EXPLANATION (HINGLISH):
ROUND paas wali value par le jata hai. ROUNDUP hamesha upar le jata hai aur ROUNDDOWN hamesha neeche. Doosra number batata hai kitne decimal rakhne hain.
REAL-LIFE ANALOGY:
Like deciding the bus fare: round to the nearest rupee, always charge up, or always drop the paise.
SYNTAX PATTERN:
=ROUND(number, num_digits)
ANATOMY:
number = value or cell | num_digits = decimals to keep | negative digits = round tens, hundreds
EXAMPLE 1:
A1: 2.5
B1: =ROUND(A1,0) (shows 3, a half rounds away from zero)
EXAMPLE 2:
A1: 1234
B1: =ROUND(A1,-2) (shows 1200, a negative digits value rounds to hundreds)
EXAMPLE 3:
A1: 9.99
B1: =ROUNDDOWN(A1,0) (shows 9, the decimals are cut off)
VARIATION:
=ROUNDUP(4.01,0) gives 5
=ROUNDDOWN(-3.7,0) gives -3 because it moves toward zero
=INT(7.9) gives 7 and always goes to the lower whole number
USED WITH:
SUM, IF, percentage formulas, currency
RELATED CONCEPTS:
INT, TRUNC, CEILING, FLOOR
ALTERNATIVES:
INT, TRUNC, Number format with fewer decimals, MROUND
FAMILY / GROUP:
ROUND, ROUNDUP, ROUNDDOWN, INT, TRUNC, MROUND
WHERE IT IS USED:
Bills and invoices | Tax and interest calculations | Marks converted to whole numbers
MINI CONVERSATION:
A: I formatted the cell to two decimals, but my total is off by a paisa. | B: Formatting only changes the display; use ROUND to change the actual value.
COMMON MISTAKE:
✗ Formatting a cell to 2 decimals also rounds the stored number → ✓ Format only changes how it looks; ROUND changes the stored value
COMMONLY CONFUSED WITH:
ROUNDDOWN vs INT: for negative numbers ROUNDDOWN moves toward zero, while INT moves to the lower whole number.
AVOID / DON'T:
Do not rely on cell formatting when the rounded value must be used in later formulas.
WRONG CODE:
A1: 7.456
B1: =ROUND(A1) (expecting 7.46)
RIGHT CODE:
A1: 7.456
B1: =ROUND(A1,2)
MEMORY TRICK:
ROUND is Regular, UP is Upwards always, DOWN is Down always.
REAL LIFE: PROJECT / WORK:
A billing clerk rounds each line item to two decimals so that the invoice total matches the bank amount.
REAL LIFE: INTERVIEW / EXAM:
Interview question: What is the difference between formatting to two decimals and using ROUND?
REAL LIFE: DAILY LIFE:
It is like a shopkeeper rounding the bill to the nearest rupee when no small change is available.</t>
        </is>
      </c>
      <c r="C10" s="29" t="inlineStr">
        <is>
          <t>02_Basic_Functions_Beginner_XL-009</t>
        </is>
      </c>
    </row>
    <row r="11" ht="409" customHeight="1">
      <c r="A11" s="29" t="inlineStr">
        <is>
          <t>Number formats (currency, date, percent)
How can the same stored value appear as money, as a percentage or as a calendar date?
A1: 0.25
Select A1, press Ctrl+Shift+5 (Home tab &gt; Number group &gt; %)</t>
        </is>
      </c>
      <c r="B11" s="29" t="inlineStr">
        <is>
          <t>MEANING (SHORT):
A number format changes how a value looks without changing the value itself.
MEANING IN LEARNER'S LANGUAGE:
नंबर फ़ॉर्मेट = वही संख्या अलग रूप में दिखाना (पैसा, प्रतिशत, तारीख)
CODE:
A1: 0.25
Select A1, press Ctrl+Shift+5 (Home tab &gt; Number group &gt; %)
OUTPUT:
A1 shows 25%
EXPLANATION:
The number format changes only the display. The stored value of A1 is still 0.25, and Percentage format multiplies it by 100 for display and adds the % sign. Dates are stored as serial numbers, so Date format turns 45292 into a calendar date.
SIMPLE EXPLANATION (HINGLISH):
Number format sirf dikhane ka tareeka badalta hai, asli value wahi rehti hai. 0.25 ko percent format dene par 25% dikhta hai. Date bhi asal me ek number hai jise date jaisa dikhaya jata hai.
REAL-LIFE ANALOGY:
Like a person who stays the same but wears different clothes for office, a wedding or a gym.
SYNTAX PATTERN:
Ctrl+1 &gt; Number tab &gt; choose Category (Currency, Percentage, Date)
ANATOMY:
Category = type of format | Decimal places = digits shown | Symbol = currency sign
EXAMPLE 1:
A1: 1234.5
Select A1, press Ctrl+Shift+4 (shows $1,234.50 with US English settings, a currency format)
EXAMPLE 2:
A1: 0.25
Select A1, press Ctrl+Shift+5 (shows 25%, a percent format)
EXAMPLE 3:
A1: 45292
Select A1, press Ctrl+Shift+3 (shows 1-Jan-24 with US English settings, a date format)
VARIATION:
Ctrl+1 &gt; Currency lets you choose the symbol such as the rupee
Home tab &gt; Increase Decimal or Decrease Decimal changes the digits shown
Typing 25% directly in an empty cell stores 0.25 with Percentage format
USED WITH:
ROUND, TEXT, Format Cells, Home tab
RELATED CONCEPTS:
Format Cells, ROUND, TEXT function, Date serial number
ALTERNATIVES:
TEXT function, Accounting format, Custom number formats
FAMILY / GROUP:
General, Number, Currency, Accounting, Percentage, Date
WHERE IT IS USED:
Invoices and price lists | Growth and discount percentages | Date columns in schedules
MINI CONVERSATION:
A: I typed 0.5 but I want to show 50%. Should I type 50 instead? | B: No, keep 0.5 and apply the Percentage format.
COMMON MISTAKE:
✗ Applying the Percentage format to 5 changes it into 5% → ✓ It shows 500%, because the format multiplies the stored value by 100
COMMONLY CONFUSED WITH:
Number format vs ROUND: a format changes only how the value looks, ROUND changes the stored value.
AVOID / DON'T:
Do not type the currency symbol by hand when a Currency format can add it for you.
WRONG CODE:
A1: 5
Select A1 and apply Percentage format (expecting 5%)
RIGHT CODE:
A1: 0.05
Select A1 and press Ctrl+Shift+5 (shows 5%)
MEMORY TRICK:
Shift+4 is the dollar key, Shift+5 is the percent key.
REAL LIFE: PROJECT / WORK:
A finance assistant formats a price column as currency and a growth column as percent before sending a report.
REAL LIFE: INTERVIEW / EXAM:
Interview question: If you format 0.25 as a percentage, what is stored in the cell?
REAL LIFE: DAILY LIFE:
It is like the same weight shown in kilograms on one scale and in grams on another.</t>
        </is>
      </c>
      <c r="C11" s="29" t="inlineStr">
        <is>
          <t>03_Formatting_&amp;_Organising_Beginner_XL-010</t>
        </is>
      </c>
    </row>
    <row r="12" ht="409" customHeight="1">
      <c r="A12" s="29" t="inlineStr">
        <is>
          <t>Sort
Which Excel feature puts rows in order, such as A to Z or smallest to largest, without retyping anything?
A1: Name
B1: Marks
A2: Ravi
B2: 72
A3: Asha
B3: 90
A4: Meena
B4: 65
Steps: click B2 &gt; Data tab &gt; Sort Largest to Smallest</t>
        </is>
      </c>
      <c r="B12" s="29" t="inlineStr">
        <is>
          <t>MEANING (SHORT):
Sort rearranges the rows of a table in order based on the values in one or more columns.
MEANING IN LEARNER'S LANGUAGE:
डेटा को क्रम में लगाना (A से Z या छोटे से बड़े)
CODE:
A1: Name
B1: Marks
A2: Ravi
B2: 72
A3: Asha
B3: 90
A4: Meena
B4: 65
Steps: click B2 &gt; Data tab &gt; Sort Largest to Smallest
OUTPUT:
Rows become: Asha 90, Ravi 72, Meena 65 (each name stays with its own marks)
EXPLANATION:
Sort reorders whole rows, not just the column you clicked, as long as Excel sees your data as one table. The header row stays on top when Excel detects headers. You can sort text A to Z, numbers small to large, or dates old to new.
SIMPLE EXPLANATION (HINGLISH):
Sort ka matlab hai list ko order me lagana. Ek cell par click karo, Data tab me Sort dabao, aur poori row apne data ke saath move hoti hai.
REAL-LIFE ANALOGY:
Like arranging books on a shelf by their title: every book moves to a new spot, but each book stays in one piece.
SYNTAX PATTERN:
Data tab &gt; Sort A to Z / Sort Z to A, or Data tab &gt; Sort for the full dialog
ANATOMY:
Data tab = where the buttons live | Sort A to Z = smallest or alphabetical first | Sort Z to A = largest or reverse alphabetical first | Sort dialog = choose column, order and extra levels
EXAMPLE 1:
A1: Name
A2: Ravi
A3: Asha
A4: Meena
Steps: click A2 &gt; Data tab &gt; Sort A to Z
Result: Asha, Meena, Ravi
EXAMPLE 2:
A1: Class, B1: Marks (class A and B mixed)
Steps: Data tab &gt; Sort &gt; Sort by Class (A to Z) &gt; Add Level &gt; Then by Marks (Largest to Smallest) &gt; OK
Result: classes grouped, and highest marks first inside each class
EXAMPLE 3:
Select only column B (Marks) and click Sort Smallest to Largest
Excel asks: Expand the selection or Continue with the current selection
Choose Expand the selection so names move with the marks
VARIATION:
Data tab &gt; Sort &gt; Add Level           (sort by two columns)
Data tab &gt; Sort &gt; My data has headers  (tick when row 1 is headings)
Data tab &gt; Sort &gt; Order: Custom List... (for Low, Medium, High)
USED WITH:
Filter, Excel Tables, Freeze Panes, Conditional Formatting
RELATED CONCEPTS:
Filter, SORT function, Custom Lists, Excel Tables
ALTERNATIVES:
SORT function (Microsoft 365 or Excel 2021 or later), Filter button drop-down sort options
FAMILY / GROUP:
Sort, Filter, Group, Rank, Order
WHERE IT IS USED:
Ranking students by marks | Arranging a customer list A to Z | Putting dates in order before a report
MINI CONVERSATION:
A: My marks list is all mixed up and I need the topper first. | B: Click any cell in the Marks column, then use Data tab &gt; Sort Largest to Smallest.
COMMON MISTAKE:
✗ Sorting one column changes only that column's order → ✓ If you select only one column and choose Continue with the current selection, the other columns do not move and the rows no longer match; pick Expand the selection
COMMONLY CONFUSED WITH:
Sort vs Filter: Sort changes the order of all rows, while Filter only hides rows that do not match and keeps the order.
AVOID / DON'T:
Do not select a single column in the middle of a table and sort it alone, because the rows will no longer match.
WRONG CODE:
Select only B2:B4 &gt; Data tab &gt; Sort Smallest to Largest &gt; Continue with the current selection
RIGHT CODE:
Click one cell inside the table (for example B2) &gt; Data tab &gt; Sort Smallest to Largest (or choose Expand the selection)
MEMORY TRICK:
Sort = Same rows Stay together, they only change order.
REAL LIFE: PROJECT / WORK:
A teacher sorts the class result sheet by total marks so the top ten students are at the top of the report.
REAL LIFE: INTERVIEW / EXAM:
Interviewer asks: How do you sort a table by two columns, such as Department and then Salary?
REAL LIFE: DAILY LIFE:
Arranging contacts in your phone by name so you can find a friend quickly.</t>
        </is>
      </c>
      <c r="C12" s="29" t="inlineStr">
        <is>
          <t>03_Formatting_&amp;_Organising_Beginner_XL-011</t>
        </is>
      </c>
    </row>
    <row r="13" ht="409" customHeight="1">
      <c r="A13" s="29" t="inlineStr">
        <is>
          <t>Filter
Which Excel feature lets you show only the rows you want, such as one city, while the other rows stay safe but out of sight?
A1: Name
B1: City
A2: Asha
B2: Delhi
A3: Ravi
B3: Pune
A4: Meena
B4: Delhi
Steps: click A1 &gt; Ctrl+Shift+L &gt; click arrow in B1 &gt; untick Select All &gt; tick Delhi &gt; OK</t>
        </is>
      </c>
      <c r="B13" s="29" t="inlineStr">
        <is>
          <t>MEANING (SHORT):
Filter hides the rows that do not match your condition and shows only the rows that do.
MEANING IN LEARNER'S LANGUAGE:
सिर्फ़ ज़रूरी पंक्तियाँ दिखाना, बाकी छिपाना
CODE:
A1: Name
B1: City
A2: Asha
B2: Delhi
A3: Ravi
B3: Pune
A4: Meena
B4: Delhi
Steps: click A1 &gt; Ctrl+Shift+L &gt; click arrow in B1 &gt; untick Select All &gt; tick Delhi &gt; OK
OUTPUT:
Only Asha and Meena rows are visible; row 3 (Ravi) is hidden, not deleted, and the row numbers on the left skip from 2 to 4
EXPLANATION:
Filter adds a drop-down arrow to each header cell. When you pick values, Excel hides every row that does not match. The hidden rows are still in the sheet and come back when you clear the filter.
SIMPLE EXPLANATION (HINGLISH):
Filter se aap sirf wahi rows dekhte ho jo aapko chahiye. Baaki rows delete nahi hoti, bas chhup jaati hain, aur filter hatane par wapas aa jaati hain.
REAL-LIFE ANALOGY:
Like a shop website's filter for Size: M, which hides other sizes but does not remove them from the shop.
SYNTAX PATTERN:
Data tab &gt; Filter (or Ctrl+Shift+L), then use the arrow in a header cell
ANATOMY:
Header arrow = opens the filter menu | Tick boxes = choose which values to show | Text Filters / Number Filters = conditions such as contains or greater than | Clear = removes the filter
EXAMPLE 1:
Text filter: click arrow in City &gt; tick only Delhi &gt; OK
Result: only rows where City is Delhi are shown
EXAMPLE 2:
Number filter: A1: Item, B1: Qty. A2: Pen 10, A3: Book 3, A4: Ink 7
Click arrow in Qty &gt; Number Filters &gt; Greater Than &gt; 5 &gt; OK
Result: Pen and Ink rows are shown
EXAMPLE 3:
Remove the filter: Data tab &gt; Clear (to show all rows again) or press Ctrl+Shift+L to switch the arrows off
Result: all rows are visible again
VARIATION:
Text Filters &gt; Contains...          (names that include some letters)
Number Filters &gt; Top 10...          (largest values)
Filter by Color                       (cell colour or font colour)
USED WITH:
Sort, Excel Tables, Conditional Formatting, Freeze Panes
RELATED CONCEPTS:
Sort, Advanced Filter, FILTER function, Slicers
ALTERNATIVES:
FILTER function (Microsoft 365 or Excel 2021 or later), Advanced Filter, PivotTable
FAMILY / GROUP:
Filter, AutoFilter, Slicer, Search box, Clear
WHERE IT IS USED:
Looking at one city or one month of sales | Finding all unpaid fees in a list | Checking only the rows that need follow-up
MINI CONVERSATION:
A: I only want to see the students from class 10, but the sheet has 500 rows. | B: Press Ctrl+Shift+L, click the arrow on the Class column and tick only 10.
COMMON MISTAKE:
✗ Filter deletes the rows that do not match → ✓ Filter only hides them; they come back when you clear the filter, so your data is safe
COMMONLY CONFUSED WITH:
Filter vs Sort: Filter hides rows that do not match, while Sort keeps every row and only changes their order.
AVOID / DON'T:
Do not copy numbers from a filtered sheet and assume hidden rows are included; check what was visible before you total or send it.
WRONG CODE:
Select row 3 (Ravi) &gt; right-click &gt; Delete to remove people who are not in Delhi
RIGHT CODE:
Click A1 &gt; Ctrl+Shift+L &gt; click arrow in City &gt; tick only Delhi &gt; OK
MEMORY TRICK:
Filter = Few rows Visible, rest Hidden (not gone).
REAL LIFE: PROJECT / WORK:
A shop owner filters the sales sheet to one product and one month to prepare a short report.
REAL LIFE: INTERVIEW / EXAM:
Interviewer asks: What is the difference between hiding rows with Filter and deleting them?
REAL LIFE: DAILY LIFE:
Using the Show only vegetarian option on a food app to see fewer dishes.</t>
        </is>
      </c>
      <c r="C13" s="29" t="inlineStr">
        <is>
          <t>03_Formatting_&amp;_Organising_Beginner_XL-012</t>
        </is>
      </c>
    </row>
    <row r="14" ht="409" customHeight="1">
      <c r="A14" s="29" t="inlineStr">
        <is>
          <t>Freeze Panes
Which Excel feature keeps the heading row in view while you scroll down a very long list?
A1: Name
B1: Marks
(many rows below)
Steps: View tab &gt; Freeze Panes &gt; Freeze Top Row</t>
        </is>
      </c>
      <c r="B14" s="29" t="inlineStr">
        <is>
          <t>MEANING (SHORT):
Freeze Panes keeps chosen top rows and left columns visible while you scroll through the rest of the sheet.
MEANING IN LEARNER'S LANGUAGE:
ऊपर की पंक्ति या बाएँ कॉलम को स्क्रॉल करते समय स्थिर रखना
CODE:
A1: Name
B1: Marks
(many rows below)
Steps: View tab &gt; Freeze Panes &gt; Freeze Top Row
OUTPUT:
Row 1 (Name, Marks) stays at the top of the screen while you scroll down; a thin line appears under row 1
EXPLANATION:
Freezing splits the window and locks the top part or the left part. The frozen area stays visible when you scroll. Freeze Top Row and Freeze First Column are quick one-click options.
SIMPLE EXPLANATION (HINGLISH):
Freeze Panes se heading wali row ya pehla column screen par fix ho jata hai. Neeche scroll karne par bhi heading dikhti rehti hai.
REAL-LIFE ANALOGY:
Like the header of a bus timetable board that stays fixed while the list of stops changes below.
SYNTAX PATTERN:
View tab &gt; Freeze Panes &gt; Freeze Top Row / Freeze First Column / Freeze Panes
ANATOMY:
View tab = where the button is | Freeze Top Row = locks row 1 | Freeze First Column = locks column A | Freeze Panes = locks everything above and left of the selected cell
EXAMPLE 1:
Freeze the heading row: View tab &gt; Freeze Panes &gt; Freeze Top Row
Result: row 1 stays visible while you scroll down
EXAMPLE 2:
Freeze the first column: View tab &gt; Freeze Panes &gt; Freeze First Column
Result: column A (names) stays visible while you scroll right
EXAMPLE 3:
Freeze row 1 and column A together: click B2 &gt; View tab &gt; Freeze Panes &gt; Freeze Panes
Result: both the heading row and the name column stay in view
VARIATION:
Click B2 then Freeze Panes       (freezes row 1 and column A)
Click A3 then Freeze Panes       (freezes rows 1 and 2 only)
View tab &gt; Freeze Panes &gt; Unfreeze Panes   (turns it off)
USED WITH:
Excel Tables, Filter, Sort, Print Titles
RELATED CONCEPTS:
Split, Unfreeze Panes, Print Titles, Excel Tables
ALTERNATIVES:
Excel Tables (headers replace column letters while scrolling), Split window
FAMILY / GROUP:
Freeze Panes, Unfreeze Panes, Split, Zoom, Scroll
WHERE IT IS USED:
Long student lists with 500 rows | Monthly sales sheets with many columns | Any sheet where headings go out of view
MINI CONVERSATION:
A: When I scroll down I forget which column is Marks and which is Age. | B: Click View tab &gt; Freeze Panes &gt; Freeze Top Row and the headings will stay on screen.
COMMON MISTAKE:
✗ Freeze Panes keeps the cell you click frozen → ✓ It freezes the rows above and the columns to the left of the selected cell, not the cell itself
COMMONLY CONFUSED WITH:
Freeze Panes vs Split: Freeze Panes locks the top or left part in place, while Split makes separate scrollable windows in the same sheet.
AVOID / DON'T:
Do not freeze too many rows or columns, because the frozen part can fill the whole screen on a small phone or laptop.
WRONG CODE:
Click row 1 and then Freeze Panes with C5 selected by mistake
RIGHT CODE:
View tab &gt; Freeze Panes &gt; Freeze Top Row (or click A2 and choose Freeze Panes)
MEMORY TRICK:
Freeze what is Above and to the Left of the cell you click.
REAL LIFE: PROJECT / WORK:
A clerk freezes the top row of a 2,000-row fee sheet so column headings are always visible while entering data.
REAL LIFE: INTERVIEW / EXAM:
Interviewer asks: How do you keep both the first row and the first column visible when scrolling a big sheet?
REAL LIFE: DAILY LIFE:
Like the fixed menu bar of a website that stays on top while you scroll.</t>
        </is>
      </c>
      <c r="C14" s="29" t="inlineStr">
        <is>
          <t>03_Formatting_&amp;_Organising_Beginner_XL-013</t>
        </is>
      </c>
    </row>
    <row r="15" ht="409" customHeight="1">
      <c r="A15" s="29" t="inlineStr">
        <is>
          <t>Excel Tables (Ctrl+T)
Which shortcut turns a plain range of data into a smart, named, expanding list with built-in filters?
A1: Item
B1: Sales
A2: Pen
B2: 100
A3: Book
B3: 250
Steps: click A1 &gt; Ctrl+T &gt; tick My table has headers &gt; OK
D1: =SUM(Table1[Sales])</t>
        </is>
      </c>
      <c r="B15" s="29" t="inlineStr">
        <is>
          <t>MEANING (SHORT):
An Excel Table turns a range into a named object that grows with new rows and has filters and banded rows built in.
MEANING IN LEARNER'S LANGUAGE:
डेटा को स्मार्ट टेबल बनाना जो अपने आप बढ़ती है
CODE:
A1: Item
B1: Sales
A2: Pen
B2: 100
A3: Book
B3: 250
Steps: click A1 &gt; Ctrl+T &gt; tick My table has headers &gt; OK
D1: =SUM(Table1[Sales])
OUTPUT:
350
EXPLANATION:
Ctrl+T converts the range into a table, usually named Table1 if it is your first table. A formula like =SUM(Table1[Sales]) uses the column name, and it automatically includes any new rows you add below the table.
SIMPLE EXPLANATION (HINGLISH):
Ctrl+T dabane se aapka data ek smart table ban jata hai. Naya row likhte hi table badh jati hai aur formula me naya data bhi aa jata hai.
REAL-LIFE ANALOGY:
Like a rubber band around a bundle of notes: add one more note and the band stretches to hold it.
SYNTAX PATTERN:
Ctrl+T, then =FUNCTION(TableName[ColumnName])
ANATOMY:
Ctrl+T = create table | My table has headers = tells Excel row 1 is headings | TableName = name shown on the Table Design tab | [ColumnName] = which column the formula uses
EXAMPLE 1:
Create the table: click any cell in the data &gt; Ctrl+T &gt; tick My table has headers &gt; OK
Result: striped rows with filter arrows appear
EXAMPLE 2:
Rename the table: click inside the table &gt; Table Design tab &gt; Table Name box &gt; type SalesTable &gt; Enter
Result: formulas can now use =SUM(SalesTable[Sales])
EXAMPLE 3:
Add a total: click inside the table &gt; Table Design tab &gt; tick Total Row
Result: a Total row appears at the bottom with a sum of the last column
VARIATION:
Table Design tab &gt; Total Row           (adds a totals row)
Type a new row right below the table    (table expands by itself)
Table Design tab &gt; Convert to Range    (turns it back to a plain range)
USED WITH:
Filter, Sort, Structured references, PivotTable
RELATED CONCEPTS:
Structured references, Named ranges, PivotTable, Filter
ALTERNATIVES:
Plain range with fixed references like A2:A100, Named range, Dynamic array range in Microsoft 365
FAMILY / GROUP:
Table, Table Name, Structured reference, Total Row, Slicer
WHERE IT IS USED:
Sales sheets that grow every day | Student lists where new students are added | Source data for PivotTables and charts
MINI CONVERSATION:
A: My SUM formula missed the new row I typed at the bottom. | B: Press Ctrl+T on your data, then use =SUM(Table1[Sales]) so it includes new rows by itself.
COMMON MISTAKE:
✗ An Excel Table is just a formatting colour on the cells → ✓ It is a real object: it has a name, grows with new rows, and lets formulas use column names
COMMONLY CONFUSED WITH:
Table vs Range: A plain range stays the same size unless you edit formulas, while an Excel Table grows and shrinks as rows are added or removed.
AVOID / DON'T:
Do not leave blank rows or merged cells inside your data before pressing Ctrl+T, because they make tables messy to use.
WRONG CODE:
Press Ctrl+T on data that has headings and UNTICK My table has headers
RIGHT CODE:
Press Ctrl+T on data that has headings and TICK My table has headers
MEMORY TRICK:
Ctrl+T = Turn data into a Table that Tracks new rows.
REAL LIFE: PROJECT / WORK:
An accountant keeps daily sales in an Excel Table so monthly totals update the moment a new row is added.
REAL LIFE: INTERVIEW / EXAM:
Interviewer asks: What are the benefits of using an Excel Table instead of a normal range?
REAL LIFE: DAILY LIFE:
Like a shopping list that makes space by itself when you add one more item.</t>
        </is>
      </c>
      <c r="C15" s="29" t="inlineStr">
        <is>
          <t>03_Formatting_&amp;_Organising_Intermediate_XL-014</t>
        </is>
      </c>
    </row>
    <row r="16" ht="409" customHeight="1">
      <c r="A16" s="29" t="inlineStr">
        <is>
          <t>Conditional Formatting
Which feature changes the colour of cells by itself when their values meet a rule, such as marks above 50?
A1: 30
A2: 55
A3: 80
Steps: select A1:A3 &gt; Home tab &gt; Conditional Formatting &gt; Highlight Cells Rules &gt; Greater Than &gt; type 50 &gt; Light Red Fill &gt; OK</t>
        </is>
      </c>
      <c r="B16" s="29" t="inlineStr">
        <is>
          <t>MEANING (SHORT):
Conditional Formatting colours or marks cells automatically based on a rule about their values.
MEANING IN LEARNER'S LANGUAGE:
नियम के आधार पर सेल का रंग अपने आप बदलना
CODE:
A1: 30
A2: 55
A3: 80
Steps: select A1:A3 &gt; Home tab &gt; Conditional Formatting &gt; Highlight Cells Rules &gt; Greater Than &gt; type 50 &gt; Light Red Fill &gt; OK
OUTPUT:
A2 (55) and A3 (80) are filled with light red; A1 (30) stays plain
EXPLANATION:
Excel tests each selected cell against your rule. If the rule is true the chosen format is shown. If you change a value later, the colour updates by itself.
SIMPLE EXPLANATION (HINGLISH):
Conditional Formatting me aap rule batate ho, jaise 50 se bada. Excel un cells ko apne aap color kar deta hai, aur value badalne par color bhi badal jata hai.
REAL-LIFE ANALOGY:
Like a school bell that rings only when the time is 2 pm and stays silent at other times.
SYNTAX PATTERN:
Home tab &gt; Conditional Formatting &gt; Highlight Cells Rules / Top/Bottom Rules / Data Bars / Color Scales
ANATOMY:
Select cells = where the rule applies | Highlight Cells Rules = compare to a value | Top/Bottom Rules = largest or smallest | Data Bars and Color Scales = show size visually
EXAMPLE 1:
Highlight by value: select A1:A3 &gt; Home tab &gt; Conditional Formatting &gt; Highlight Cells Rules &gt; Greater Than &gt; 50
Result: cells above 50 get the colour
EXAMPLE 2:
Highlight duplicates: select the names &gt; Conditional Formatting &gt; Highlight Cells Rules &gt; Duplicate Values &gt; OK
Result: repeated names are coloured
EXAMPLE 3:
Show size as bars: select numbers &gt; Conditional Formatting &gt; Data Bars &gt; choose a colour
Result: each cell shows a bar whose length matches its value
VARIATION:
Conditional Formatting &gt; Top/Bottom Rules &gt; Top 10 Items...   (largest values)
Conditional Formatting &gt; Clear Rules &gt; Clear Rules from Selected Cells
Conditional Formatting &gt; New Rule &gt; Use a formula to determine which cells to format
USED WITH:
Filter, Sort, Excel Tables, IF
RELATED CONCEPTS:
Data Bars, Color Scales, Icon Sets, Filter by Color
ALTERNATIVES:
Fill colour by hand (does not update), IF formula with a text flag
FAMILY / GROUP:
Conditional Formatting, Data Bars, Color Scales, Icon Sets, Clear Rules
WHERE IT IS USED:
Marking marks below the pass mark | Highlighting overdue dates in a task list | Spotting duplicate entries in a list
MINI CONVERSATION:
A: I want every mark under 40 to turn red so I can spot failures fast. | B: Select the marks, then Home tab &gt; Conditional Formatting &gt; Highlight Cells Rules &gt; Less Than &gt; 40.
COMMON MISTAKE:
✗ Conditional Formatting changes the value inside the cell → ✓ It changes only how the cell looks; the number or text itself stays the same
COMMONLY CONFUSED WITH:
Conditional Formatting vs normal fill colour: A normal fill stays the same forever, while Conditional Formatting changes when the value or rule result changes.
AVOID / DON'T:
Do not stack many rules with different colours on the same cells, because the sheet becomes hard to read.
WRONG CODE:
Select only cell A1 &gt; Conditional Formatting &gt; Greater Than &gt; 50 (but the data is in A1:A3)
RIGHT CODE:
Select A1:A3 &gt; Home tab &gt; Conditional Formatting &gt; Highlight Cells Rules &gt; Greater Than &gt; 50
MEMORY TRICK:
Condition true = colour shows; condition false = no colour.
REAL LIFE: PROJECT / WORK:
A school office highlights attendance below 75 percent in red so teachers can see at a glance who needs follow-up.
REAL LIFE: INTERVIEW / EXAM:
Interviewer asks: How would you highlight all duplicate values in a column?
REAL LIFE: DAILY LIFE:
Like a phone battery icon that turns red by itself when the charge is low.</t>
        </is>
      </c>
      <c r="C16" s="29" t="inlineStr">
        <is>
          <t>03_Formatting_&amp;_Organising_Intermediate_XL-015</t>
        </is>
      </c>
    </row>
    <row r="17" ht="409" customHeight="1">
      <c r="A17" s="29" t="inlineStr">
        <is>
          <t>Data Validation drop-down list
How can you let a person pick only from a fixed set of choices in a cell, instead of typing anything?
Steps: click B2 &gt; Data tab &gt; Data Validation &gt; Settings &gt; Allow: List &gt; Source: Yes,No &gt; OK</t>
        </is>
      </c>
      <c r="B17" s="29" t="inlineStr">
        <is>
          <t>MEANING (SHORT):
Data Validation limits what can be entered in a cell, and a List shows a drop-down with allowed choices.
MEANING IN LEARNER'S LANGUAGE:
सेल में सिर्फ़ तय विकल्प चुनने देना (ड्रॉप-डाउन)
CODE:
Steps: click B2 &gt; Data tab &gt; Data Validation &gt; Settings &gt; Allow: List &gt; Source: Yes,No &gt; OK
OUTPUT:
Cell B2 shows a small drop-down arrow with two choices: Yes and No; typing anything else shows an error message
EXPLANATION:
The List option tells Excel which values are allowed in the cell. The person clicks the arrow and picks one, which prevents spelling mistakes. You can also type the values or point to a range of cells.
SIMPLE EXPLANATION (HINGLISH):
Data Validation se aap cell me sirf tay kiye hue options hi allow karte ho. Cell par arrow aata hai aur user list me se choose karta hai, galat spelling nahi ho sakti.
REAL-LIFE ANALOGY:
Like a vending machine with fixed buttons: you can press only the choices that exist.
SYNTAX PATTERN:
Data tab &gt; Data Validation &gt; Settings &gt; Allow: List &gt; Source: choice1,choice2
ANATOMY:
Allow: List = type of rule | Source = the allowed choices | In-cell dropdown = shows the arrow | Error Alert tab = message when a wrong entry is typed
EXAMPLE 1:
Typed list: Data Validation &gt; Allow: List &gt; Source: Yes,No
Result: cell shows a Yes or No drop-down
EXAMPLE 2:
Range list: type Delhi, Pune, Mumbai in E1:E3 &gt; select B2 &gt; Data Validation &gt; Allow: List &gt; Source: =$E$1:$E$3
Result: drop-down shows the three cities from the range
EXAMPLE 3:
Number rule: Data Validation &gt; Allow: Whole number &gt; between 1 and 100
Result: Excel accepts only whole numbers from 1 to 100 and shows an error for others
VARIATION:
Source: Red,Green,Blue                (typed list)
Source: =$E$1:$E$3                 (cells list)
Error Alert tab &gt; Style: Stop            (blocks wrong entries)
USED WITH:
Excel Tables, IF, Conditional Formatting, Filter
RELATED CONCEPTS:
Input Message, Error Alert, Named ranges, Excel Tables
ALTERNATIVES:
Typing freely and checking later, Form controls, a Table-based list that grows
FAMILY / GROUP:
Data Validation, Drop-down, Source, Input Message, Error Alert
WHERE IT IS USED:
Attendance sheets with Present or Absent | Order forms with fixed product names | Surveys with a fixed set of answers
MINI CONVERSATION:
A: Some people type Dehli and some type Delhi, so my filter breaks. | B: Add a Data Validation drop-down list for City so everyone picks the same spelling.
COMMON MISTAKE:
✗ Data Validation fully stops wrong data from ever entering the cell → ✓ Typing is checked, but pasting values over the cell can bypass the rule, so check pasted data too
COMMONLY CONFUSED WITH:
Data Validation vs Conditional Formatting: Validation controls what can be entered, while Conditional Formatting only changes how cells look.
AVOID / DON'T:
Do not type spaces after commas in a typed list unless you want them to become part of the choice.
WRONG CODE:
Source: Yes No   (one single choice with a space between the words)
RIGHT CODE:
Source: Yes,No   (two separate choices)
MEMORY TRICK:
Validation = Value limits; List = Lets only listed choices in.
REAL LIFE: PROJECT / WORK:
A school coordinator uses a Present, Absent, Leave drop-down in the attendance sheet so counts are always correct.
REAL LIFE: INTERVIEW / EXAM:
Interviewer asks: How would you stop users from typing wrong spellings in a Status column?
REAL LIFE: DAILY LIFE:
Like the fixed Yes or No buttons on a form instead of a blank box.</t>
        </is>
      </c>
      <c r="C17" s="29" t="inlineStr">
        <is>
          <t>03_Formatting_&amp;_Organising_Intermediate_XL-016</t>
        </is>
      </c>
    </row>
    <row r="18" ht="409" customHeight="1">
      <c r="A18" s="29" t="inlineStr">
        <is>
          <t>Remove Duplicates
Which Data tab button deletes repeated rows from a list and keeps just one of each?
A1: Name
A2: Asha
A3: Ravi
A4: Asha
A5: Meena
Steps: click A1 &gt; Data tab &gt; Remove Duplicates &gt; tick Name &gt; OK</t>
        </is>
      </c>
      <c r="B18" s="29" t="inlineStr">
        <is>
          <t>MEANING (SHORT):
Remove Duplicates deletes rows that repeat the same values in the columns you choose, keeping the first one.
MEANING IN LEARNER'S LANGUAGE:
दोहराई गई पंक्तियाँ हटाना, सिर्फ़ पहली रखना
CODE:
A1: Name
A2: Asha
A3: Ravi
A4: Asha
A5: Meena
Steps: click A1 &gt; Data tab &gt; Remove Duplicates &gt; tick Name &gt; OK
OUTPUT:
Message: 1 duplicate values found and removed; 3 unique values remain. Column A now has Name, Asha, Ravi, Meena
EXPLANATION:
Excel compares the values in the ticked columns. When it finds the same values again, it deletes the later row and keeps the first one. It is not case-sensitive, so Asha and ASHA count as the same.
SIMPLE EXPLANATION (HINGLISH):
Remove Duplicates se list me jo naam do baar aaye hain, unme se pehla rakha jata hai aur baaki delete ho jate hain. Delete hone se pehle ek copy bana lena achha rehta hai.
REAL-LIFE ANALOGY:
Like keeping only one copy of the same photo in your gallery and deleting the repeated ones.
SYNTAX PATTERN:
Data tab &gt; Remove Duplicates &gt; tick the columns to compare &gt; OK
ANATOMY:
Data tab = where the button lives | My data has headers = row 1 is not compared | Column tick boxes = columns that must match | OK = deletes the repeats
EXAMPLE 1:
One column: select a list of names &gt; Data tab &gt; Remove Duplicates &gt; tick Name &gt; OK
Result: each name appears only once
EXAMPLE 2:
Two columns: tick Name and City &gt; OK
Result: a row is removed only when both Name and City match an earlier row
EXAMPLE 3:
Check first without deleting: select names &gt; Home tab &gt; Conditional Formatting &gt; Highlight Cells Rules &gt; Duplicate Values &gt; OK
Result: repeated names are coloured and nothing is deleted
VARIATION:
Tick only Name                       (rows match by name alone)
Tick Name and City                   (rows match only if both are the same)
UNIQUE function in Microsoft 365   (creates a new list without deleting)
USED WITH:
Sort, Filter, Conditional Formatting, Excel Tables
RELATED CONCEPTS:
UNIQUE function, Conditional Formatting duplicates, COUNTIF, PivotTable
ALTERNATIVES:
UNIQUE function (Microsoft 365 or Excel 2021 or later), Highlight duplicates then delete by hand, PivotTable
FAMILY / GROUP:
Duplicate, Unique, Remove, Compare, Clean data
WHERE IT IS USED:
Cleaning an email or mobile number list | Making a list of unique customers | Preparing data before a PivotTable
MINI CONVERSATION:
A: My list has the same student three times and the count is wrong. | B: Use Data tab &gt; Remove Duplicates, tick the Name column, and keep a backup copy first.
COMMON MISTAKE:
✗ Remove Duplicates deletes every row that appears more than once, including the first → ✓ It keeps the first one and removes only the later repeats
COMMONLY CONFUSED WITH:
Remove Duplicates vs Duplicate Values highlighting: Remove Duplicates deletes repeated rows, while highlighting only colours them so you can review.
AVOID / DON'T:
Do not use Remove Duplicates on your only copy of the data without checking which columns you ticked.
WRONG CODE:
Select only column A (Name) of a Name and City list &gt; Remove Duplicates &gt; Continue with the current selection
RIGHT CODE:
Click one cell in the list &gt; Data tab &gt; Remove Duplicates &gt; tick the columns that define a repeat (for example Name and City)
MEMORY TRICK:
Remove Duplicates = Remove repeats, Keep the first.
REAL LIFE: PROJECT / WORK:
A marketing assistant removes repeated email addresses from a mailing list so nobody gets the same message twice.
REAL LIFE: INTERVIEW / EXAM:
Interviewer asks: How do you find and remove duplicate entries in Excel without using formulas?
REAL LIFE: DAILY LIFE:
Like removing the same song that was downloaded twice from your playlist.</t>
        </is>
      </c>
      <c r="C18" s="29" t="inlineStr">
        <is>
          <t>03_Formatting_&amp;_Organising_Beginner_XL-017</t>
        </is>
      </c>
    </row>
    <row r="19" ht="409" customHeight="1">
      <c r="A19" s="29" t="inlineStr">
        <is>
          <t>Paste Special
How can you paste only the value, or only the format, or flip rows to columns, instead of a plain full paste?
A1: 10
A2: 20
A3: =SUM(A1:A2)
Steps: click A3 &gt; Ctrl+C &gt; click B1 &gt; Ctrl+Alt+V &gt; choose Values &gt; OK
B1 now holds a plain number, not a formula</t>
        </is>
      </c>
      <c r="B19" s="29" t="inlineStr">
        <is>
          <t>MEANING (SHORT):
Paste Special lets you paste only selected parts of copied cells, such as values, formats or a calculation.
MEANING IN LEARNER'S LANGUAGE:
कॉपी की हुई चीज़ का सिर्फ़ चुना हुआ हिस्सा पेस्ट करना
CODE:
A1: 10
A2: 20
A3: =SUM(A1:A2)
Steps: click A3 &gt; Ctrl+C &gt; click B1 &gt; Ctrl+Alt+V &gt; choose Values &gt; OK
B1 now holds a plain number, not a formula
OUTPUT:
B1 shows 30 and is a fixed number (it does not change if A1 or A2 changes)
EXPLANATION:
A normal paste copies the formula, and its references can change. Paste Special with Values pastes only the result, so it stays fixed. Other options paste formats, apply a maths operation, or transpose rows and columns.
SIMPLE EXPLANATION (HINGLISH):
Paste Special me aap batate ho ki kya paste karna hai. Values chuno to formula nahi, sirf number aata hai. Isse result fix ho jata hai.
REAL-LIFE ANALOGY:
Like photocopying only the answer from a worked-out sheet, not the working steps.
SYNTAX PATTERN:
Ctrl+C, then Ctrl+Alt+V (or Home tab &gt; Paste &gt; Paste Special)
ANATOMY:
Ctrl+C = copy first | Ctrl+Alt+V = open Paste Special | Values / Formulas / Formats = what to paste | Operation (Add, Multiply) = maths on the target | Transpose = swap rows and columns
EXAMPLE 1:
Values: copy A3 (=SUM(A1:A2)) &gt; click B1 &gt; Ctrl+Alt+V &gt; Values &gt; OK
Result: B1 holds the number 30, no formula
EXAMPLE 2:
Transpose: A1: Pen, A2: Book, A3: Ink &gt; copy A1:A3 &gt; click C1 &gt; Ctrl+Alt+V &gt; tick Transpose &gt; OK
Result: C1: Pen, D1: Book, E1: Ink (column turned into a row)
EXAMPLE 3:
Multiply: type 10 in D1 &gt; copy D1 &gt; select A1:A2 (5 and 8) &gt; Ctrl+Alt+V &gt; Multiply &gt; OK
Result: A1 becomes 50 and A2 becomes 80
VARIATION:
Ctrl+Alt+V &gt; Values          (numbers only, no formulas)
Ctrl+Alt+V &gt; Formats         (copy only the look)
Ctrl+Alt+V &gt; Column widths    (copy the width of columns)
USED WITH:
Copy, Formulas, Transpose, Conditional Formatting
RELATED CONCEPTS:
Copy and Paste, Transpose, Format Painter, Fill Handle
ALTERNATIVES:
Format Painter (formats only), TRANSPOSE function, a plain Ctrl+V and manual edits
FAMILY / GROUP:
Paste, Paste Special, Values, Formats, Transpose
WHERE IT IS USED:
Freezing a formula result as a fixed number | Turning a list in a column into a row | Copying the look of one table to another
MINI CONVERSATION:
A: When I copy my formula result to another sheet it shows a wrong number or an error. | B: Copy it, then use Ctrl+Alt+V and choose Values so only the number is pasted.
COMMON MISTAKE:
✗ Ctrl+V and Paste Special Values give the same thing → ✓ Ctrl+V pastes the formula, which can change or break, while Values pastes only the final number
COMMONLY CONFUSED WITH:
Paste Special Values vs Format Painter: Values pastes the data without formulas, while Format Painter copies only how cells look.
AVOID / DON'T:
Do not paste values over cells that still need their formulas, because the formulas are lost.
WRONG CODE:
Press Ctrl+V to paste a copied formula result into a report and expect it to stay fixed
RIGHT CODE:
Ctrl+C &gt; Ctrl+Alt+V &gt; Values &gt; OK
MEMORY TRICK:
Paste Special = Pick just what you Show on the new spot.
REAL LIFE: PROJECT / WORK:
An analyst pastes a monthly report as values before emailing it so that no formulas point to missing sheets.
REAL LIFE: INTERVIEW / EXAM:
Interviewer asks: How do you convert formulas to static values in Excel?
REAL LIFE: DAILY LIFE:
Like taking a screenshot of an answer instead of sharing the whole calculation.</t>
        </is>
      </c>
      <c r="C19" s="29" t="inlineStr">
        <is>
          <t>03_Formatting_&amp;_Organising_Intermediate_XL-018</t>
        </is>
      </c>
    </row>
    <row r="20" ht="409" customHeight="1">
      <c r="A20" s="29" t="inlineStr">
        <is>
          <t>IF
Which function lets Excel choose between two results depending on whether a test is true or false?
A1: 55
B1: =IF(A1&gt;=40,"Pass","Fail")</t>
        </is>
      </c>
      <c r="B20" s="29" t="inlineStr">
        <is>
          <t>MEANING (SHORT):
IF checks a condition and returns one result if it is true and another if it is false.
MEANING IN LEARNER'S LANGUAGE:
शर्त जाँचकर दो में से एक परिणाम देना
CODE:
A1: 55
B1: =IF(A1&gt;=40,"Pass","Fail")
OUTPUT:
Pass
EXPLANATION:
IF takes three parts: a test, the result if the test is true, and the result if the test is false. Here 55 is greater than or equal to 40, so Excel returns Pass. Text results must be inside double quotes.
SIMPLE EXPLANATION (HINGLISH):
IF function pehle condition check karta hai. Condition sahi hai to pehla jawab deta hai, galat hai to doosra. Text ko double quotes me likhna zaroori hai.
REAL-LIFE ANALOGY:
Like a lift that goes up if you press up and goes down if you press down.
SYNTAX PATTERN:
=IF(logical_test, value_if_true, value_if_false)
ANATOMY:
logical_test = the question that is TRUE or FALSE | value_if_true = result when true | value_if_false = result when false | , = separates the parts
EXAMPLE 1:
Text result: A1: 55
B1: =IF(A1&gt;=40,"Pass","Fail")
Shows: Pass
EXAMPLE 2:
Number result (discount): A1: 1200
B1: =IF(A1&gt;=1000,A1*0.1,0)
Shows: 120
EXAMPLE 3:
Check for blank: A1 is empty
B1: =IF(A1="","Empty","Filled")
Shows: Empty
VARIATION:
=IF(A1&gt;=80,"A",IF(A1&gt;=40,"B","C"))   (nested IF: A1 = 55 gives B)
=IF(A1&gt;=40,"Pass")                   (if false it shows FALSE)
=IF(A1&lt;&gt;"","Done","")              (blank when not done)
USED WITH:
AND, OR, SUM, COUNTIF
RELATED CONCEPTS:
AND, OR, IFS, IFERROR
ALTERNATIVES:
IFS function (Excel 2019 or later), SWITCH function, Conditional Formatting for colours
FAMILY / GROUP:
IF, IFS, IFERROR, AND, OR, NOT
WHERE IT IS USED:
Pass or Fail results in a marksheet | Discounts for bills above a limit | Showing Paid or Due on a fee list
MINI CONVERSATION:
A: I want a column that says Pass when marks are 40 or more, and Fail otherwise. | B: Use =IF(A1&gt;=40,"Pass","Fail") and copy it down the column.
COMMON MISTAKE:
✗ IF(A1&gt;=40,Pass,Fail) works without quotes around text → ✓ Without quotes Excel treats Pass as a name and shows #NAME?; write "Pass" and "Fail"
COMMONLY CONFUSED WITH:
IF vs IFS: IF checks one test with two results, while IFS (newer versions) checks many tests in order without nesting.
AVOID / DON'T:
Do not nest many IFs inside each other when a simple lookup would be clearer.
WRONG CODE:
=IF(A1&gt;=40,Pass,Fail)
RIGHT CODE:
=IF(A1&gt;=40,"Pass","Fail")
MEMORY TRICK:
IF = Test, Then this, Else that.
REAL LIFE: PROJECT / WORK:
A school teacher uses IF to mark each student Pass or Fail from the total marks column.
REAL LIFE: INTERVIEW / EXAM:
Interviewer asks: Write a formula that gives a 10 percent discount if the bill is 1000 or more, else zero.
REAL LIFE: DAILY LIFE:
Like deciding: if it is cold, wear a jacket; otherwise do not.</t>
        </is>
      </c>
      <c r="C20" s="29" t="inlineStr">
        <is>
          <t>04_Logic_Beginner_XL-019</t>
        </is>
      </c>
    </row>
    <row r="21" ht="409" customHeight="1">
      <c r="A21" s="29" t="inlineStr">
        <is>
          <t>AND and OR
Which two functions let one test check several conditions, where one demands that all pass and the other only that any pass?
A1: 50
B1: 30
C1: =AND(A1&gt;=40,B1&gt;=40)
D1: =OR(A1&gt;=40,B1&gt;=40)</t>
        </is>
      </c>
      <c r="B21" s="29" t="inlineStr">
        <is>
          <t>MEANING (SHORT):
AND returns TRUE only if all conditions are true; OR returns TRUE if at least one condition is true.
MEANING IN LEARNER'S LANGUAGE:
AND में सारी शर्तें सही हों, OR में कोई एक सही हो
CODE:
A1: 50
B1: 30
C1: =AND(A1&gt;=40,B1&gt;=40)
D1: =OR(A1&gt;=40,B1&gt;=40)
OUTPUT:
C1 shows FALSE and D1 shows TRUE
EXPLANATION:
AND checks every condition, and since B1 (30) is below 40 it gives FALSE. OR needs only one true condition, and A1 (50) is at least 40, so it gives TRUE. Both return TRUE or FALSE, which you can place inside IF.
SIMPLE EXPLANATION (HINGLISH):
AND me saari conditions sahi honi chahiye, warna FALSE. OR me koi ek condition sahi ho to TRUE. Dono TRUE ya FALSE dete hain.
REAL-LIFE ANALOGY:
AND is like needing both a key and a password to open a locker; OR is like opening it with either the key or the spare card.
SYNTAX PATTERN:
=AND(test1, test2, ...) and =OR(test1, test2, ...)
ANATOMY:
AND = all must be true | OR = any one true is enough | test1, test2 = comparisons such as A1&gt;=40 | Result = TRUE or FALSE
EXAMPLE 1:
AND result: A1: 50, B1: 30
C1: =AND(A1&gt;=40,B1&gt;=40)
Shows: FALSE
EXAMPLE 2:
OR result: A1: 50, B1: 30
C1: =OR(A1&gt;=40,B1&gt;=40)
Shows: TRUE
EXAMPLE 3:
Inside IF: A1: 50, B1: 30
C1: =IF(AND(A1&gt;=40,B1&gt;=40),"Pass","Fail")
Shows: Fail
VARIATION:
=AND(A1&gt;=40,B1&gt;=40,C1&gt;=40)     (three conditions: all must be true)
=OR(A1="Yes",B1="Yes")        (any one Yes gives TRUE)
=NOT(A1&gt;=40)                   (reverses TRUE and FALSE)
USED WITH:
IF, COUNTIFS, Conditional Formatting, NOT
RELATED CONCEPTS:
IF, NOT, XOR, IFS
ALTERNATIVES:
Nested IF formulas, multiplying and adding test results (advanced), COUNTIFS for counting
FAMILY / GROUP:
AND, OR, NOT, XOR, IF
WHERE IT IS USED:
Pass only if two subjects are passed | Discount if customer is new or bill is large | Alert when stock is low and not ordered
MINI CONVERSATION:
A: A scholarship is for students with marks 80 or more, or attendance 90 or more. | B: Then use =OR(A1&gt;=80,B1&gt;=90) because only one of the two needs to be true.
COMMON MISTAKE:
✗ AND and OR work the same way, just with different names → ✓ AND needs every condition true, while OR needs only one true condition
COMMONLY CONFUSED WITH:
AND vs OR: AND is strict and needs all conditions to pass, while OR is relaxed and needs any one to pass.
AVOID / DON'T:
Do not write =A1&gt;=40 AND B1&gt;=40 as in plain English; Excel needs the AND function with brackets and commas.
WRONG CODE:
=IF(A1&gt;=40 AND B1&gt;=40,"Pass","Fail")
RIGHT CODE:
=IF(AND(A1&gt;=40,B1&gt;=40),"Pass","Fail")
MEMORY TRICK:
AND = All needed; OR = One is enough.
REAL LIFE: PROJECT / WORK:
An HR sheet marks an employee Eligible if experience is 2 years or more and performance rating is at least 3.
REAL LIFE: INTERVIEW / EXAM:
Interviewer asks: How do you check two conditions together inside an IF formula?
REAL LIFE: DAILY LIFE:
Like needing both a ticket and an ID to enter an exam hall, or either a bus or a train to reach school.</t>
        </is>
      </c>
      <c r="C21" s="29" t="inlineStr">
        <is>
          <t>04_Logic_Intermediate_XL-020</t>
        </is>
      </c>
    </row>
    <row r="22" ht="409" customHeight="1">
      <c r="A22" s="29" t="inlineStr">
        <is>
          <t>IFS and nested IF
How do you make Excel pick one result out of three or more, depending on a number such as marks?
A1: 72
B1: =IFS(A1&gt;=90,"A",A1&gt;=75,"B",A1&gt;=60,"C",TRUE,"F")</t>
        </is>
      </c>
      <c r="B22" s="29" t="inlineStr">
        <is>
          <t>MEANING (SHORT):
IFS checks several conditions in order and returns the result of the first one that is true.
MEANING IN LEARNER'S LANGUAGE:
कई शर्तों को क्रम से जाँचकर पहली सही शर्त का परिणाम देना
CODE:
A1: 72
B1: =IFS(A1&gt;=90,"A",A1&gt;=75,"B",A1&gt;=60,"C",TRUE,"F")
OUTPUT:
C
EXPLANATION:
Excel tests A1&gt;=90 first, then A1&gt;=75, then A1&gt;=60. 72 fails the first two and passes the third, so the answer is C. The last pair TRUE,"F" works as an else, so a score below 60 gives F.
SIMPLE EXPLANATION (HINGLISH):
Excel checks your conditions one by one from left to right. The first one that is true gives the answer and Excel stops there. So put the biggest limit first.
REAL-LIFE ANALOGY:
Like a railway ticket check: the first rule that fits your ticket class decides your coach, and the later rules are never read.
SYNTAX PATTERN:
=IFS(condition1, result1, condition2, result2, ..., TRUE, default_result)
=IF(condition, result_if_true, IF(condition2, result2, result_if_all_false))
ANATOMY:
condition = a test that is TRUE or FALSE | result = what to show when that test is TRUE | TRUE as last condition = catch-all for everything else
EXAMPLE 1:
A1: 55
B1: =IF(A1&gt;=90,"A",IF(A1&gt;=60,"B","C"))
EXAMPLE 2:
A1: 15
B1: =IFS(A1&lt;13,"Child",A1&lt;20,"Teen",TRUE,"Adult")
EXAMPLE 3:
A1: 50
B1: =IFS(A1&gt;=90,"A",A1&gt;=60,"B")
VARIATION:
=IFS(A1&gt;=90,"A",A1&gt;=60,"B",TRUE,"C")  - with a TRUE catch-all, no error
=IFS(A1&gt;=90,"A",A1&gt;=60,"B")  - gives #N/A when A1 is 50, because no condition is true
=IF(A1&gt;=60,"Pass","Fail")  - plain IF for two outcomes only
USED WITH:
AND, OR, IFERROR, VLOOKUP
RELATED CONCEPTS:
IF, AND, OR, SWITCH
ALTERNATIVES:
Nested IF, SWITCH, VLOOKUP with approximate match, XLOOKUP with match mode
FAMILY / GROUP:
IF, IFS, IFERROR, IFNA, AND, OR, NOT
WHERE IT IS USED:
Grading marks into A, B, C | Sales commission slabs | Age or price groups
MINI CONVERSATION:
A: My grade formula gives C for a score of 95, why? | B: Check your order, put the score of 90 or more first, because Excel stops at the first true condition.
COMMON MISTAKE:
✗ Excel checks all the conditions and picks the best one → ✓ Excel stops at the first TRUE condition, so the order of conditions changes the answer
COMMONLY CONFUSED WITH:
IFS vs nested IF: both do the same job, but IFS is easier to read and needs Excel 2019 or Microsoft 365, while nested IF works in every version.
AVOID / DON'T:
Do not build nested IFs more than three or four levels deep, because they become very hard to read and fix.
WRONG CODE:
A1: 95
B1: =IFS(A1&gt;=60,"C",A1&gt;=75,"B",A1&gt;=90,"A",TRUE,"F")
RIGHT CODE:
A1: 95
B1: =IFS(A1&gt;=90,"A",A1&gt;=75,"B",A1&gt;=60,"C",TRUE,"F")
MEMORY TRICK:
Biggest first, TRUE last: big limits go in front, catch-all goes at the back.
REAL LIFE: PROJECT / WORK:
A school office uses IFS on a marks sheet to turn every student's score into a grade in one column.
REAL LIFE: INTERVIEW / EXAM:
Interview question: how do you give grades A, B and C to 500 students without writing a formula for each grade?
REAL LIFE: DAILY LIFE:
Like a bus fare chart: you check the first rule that fits your age and pay that fare.</t>
        </is>
      </c>
      <c r="C22" s="29" t="inlineStr">
        <is>
          <t>04_Logic_Intermediate_XL-021</t>
        </is>
      </c>
    </row>
    <row r="23" ht="409" customHeight="1">
      <c r="A23" s="29" t="inlineStr">
        <is>
          <t>IFERROR
Which function replaces an ugly error value with a friendly message or a blank?
A1: 10
B1: 0
C1: =IFERROR(A1/B1,"Check B1")</t>
        </is>
      </c>
      <c r="B23" s="29" t="inlineStr">
        <is>
          <t>MEANING (SHORT):
IFERROR returns your formula's result, but if that formula gives any error, it returns a value you choose.
MEANING IN LEARNER'S LANGUAGE:
अगर फ़ॉर्मूले में एरर आए तो उसकी जगह अपनी पसंद का मान दिखाना
CODE:
A1: 10
B1: 0
C1: =IFERROR(A1/B1,"Check B1")
OUTPUT:
Check B1
EXPLANATION:
A1/B1 divides by zero, so it gives #DIV/0!. IFERROR sees the error and shows the second argument instead. If there was no error, you would see the normal result.
SIMPLE EXPLANATION (HINGLISH):
Pehle Excel tumhara formula chalata hai. Agar error aaye to tumhara diya hua message dikhata hai, nahi to normal answer dikhata hai.
REAL-LIFE ANALOGY:
Like a spare tyre in a car: you only use it when the main one fails, and normally you never notice it.
SYNTAX PATTERN:
=IFERROR(value, value_if_error)
ANATOMY:
value = the formula or cell that may give an error | value_if_error = what to show when it does
EXAMPLE 1:
A1: 10
B1: 0
C1: =IFERROR(A1/B1,0)
EXAMPLE 2:
A1: 10
B1: 4
C1: =IFERROR(A1/B1,"n/a")
EXAMPLE 3:
A1: Asha
B1: 50
A2: Meena
B2: 60
D1: Ravi
E1: =IFERROR(VLOOKUP(D1,A1:B2,2,FALSE),"Not found")
VARIATION:
=IFERROR(A1/B1,"")  - shows a blank cell on error
=IFNA(VLOOKUP(D1,A1:B2,2,FALSE),"Not found")  - catches only #N/A
=IFERROR(A1/B1,0)  - shows 0 on error
USED WITH:
VLOOKUP, XLOOKUP, division, INDEX and MATCH
RELATED CONCEPTS:
IFNA, ISERROR, IF, error values
ALTERNATIVES:
IFNA, IF with ISERROR, ISNUMBER checks
FAMILY / GROUP:
IFERROR, IFNA, ISERROR, ISERR, ISNA, IF
WHERE IT IS USED:
Percentage columns that divide by zero | Lookups for names that may be missing | Dashboards that must look clean
MINI CONVERSATION:
A: My percent column shows #DIV/0! in empty rows, how can I hide it? | B: Wrap the formula in IFERROR and give an empty text like "" as the second argument.
COMMON MISTAKE:
✗ IFERROR fixes the real problem in the formula → ✓ IFERROR only hides the error message; the wrong data or formula is still there
COMMONLY CONFUSED WITH:
IFERROR vs IFNA: IFERROR catches every error type, while IFNA catches only #N/A, so IFNA is safer when you only expect a missing lookup.
AVOID / DON'T:
Do not wrap a whole big formula in IFERROR without testing it first, because it can hide real mistakes.
WRONG CODE:
A1: 10
B1: 0
C1: =IFERROR("Error",A1/B1)
RIGHT CODE:
A1: 10
B1: 0
C1: =IFERROR(A1/B1,"Error")
MEMORY TRICK:
Try first, rescue second: formula first, fallback second.
REAL LIFE: PROJECT / WORK:
A sales report uses IFERROR around its growth percent so that new products with no old sales do not show errors.
REAL LIFE: INTERVIEW / EXAM:
Interview question: what is the difference between IFERROR and IFNA, and when would you pick IFNA?
REAL LIFE: DAILY LIFE:
Like an auto reply that says I am away when nobody can answer your call.</t>
        </is>
      </c>
      <c r="C23" s="29" t="inlineStr">
        <is>
          <t>04_Logic_Intermediate_XL-022</t>
        </is>
      </c>
    </row>
    <row r="24" ht="409" customHeight="1">
      <c r="A24" s="29" t="inlineStr">
        <is>
          <t>Common errors: #N/A, #REF!, #DIV/0!, #VALUE!
What do the error codes that start with a hash sign tell you about what went wrong in a formula?
A1: 10
B1: 0
C1: =A1/B1</t>
        </is>
      </c>
      <c r="B24" s="29" t="inlineStr">
        <is>
          <t>MEANING (SHORT):
Error values are codes that Excel shows when a formula cannot give a proper answer, and each code names a different cause.
MEANING IN LEARNER'S LANGUAGE:
फ़ॉर्मूला सही उत्तर न दे पाए तो Excel जो एरर कोड दिखाता है
CODE:
A1: 10
B1: 0
C1: =A1/B1
OUTPUT:
#DIV/0!
EXPLANATION:
#DIV/0! means a division by zero or by an empty cell. #N/A means a looked-up value was not found. #REF! means the formula points to a cell that no longer exists. #VALUE! means a number was expected but the cell holds text or a wrong type.
SIMPLE EXPLANATION (HINGLISH):
Har error ka matlab alag hota hai. #DIV/0! zero se divide, #N/A value mili nahi, #REF! cell delete ho gaya, #VALUE! number ki jagah text.
REAL-LIFE ANALOGY:
Like the different error messages from an ATM: wrong PIN, low balance and card blocked each need a different fix.
SYNTAX PATTERN:
#DIV/0! = divide by zero | #N/A = not available | #REF! = invalid reference | #VALUE! = wrong type of value
ANATOMY:
#DIV/0! = divisor is 0 or blank | #N/A = lookup found nothing | #REF! = referred cell or column was deleted | #VALUE! = text where a number is needed
EXAMPLE 1:
A1: 10
B1: 0
C1: =A1/B1
EXAMPLE 2:
A1: Asha
B1: 50
A2: Meena
B2: 60
D1: =VLOOKUP("Ravi",A1:B2,2,FALSE)
EXAMPLE 3:
A1: 5
B1: 7
C1: =A1+B1
Then delete column B. The formula now shows =A1+#REF! and the result is #REF!
VARIATION:
=A1+1 with A1 = Asha  - #VALUE!, because text cannot be added
=A1/B1 with B1 empty  - #DIV/0!, because an empty cell counts as 0
=IFERROR(A1/B1,"")  - hides any of these errors
USED WITH:
IFERROR, IFNA, VLOOKUP, Trace Precedents
RELATED CONCEPTS:
IFERROR, ISERROR, Formula Auditing, VLOOKUP
ALTERNATIVES:
IFERROR to hide them, Formulas tab &gt; Error Checking to find them
FAMILY / GROUP:
#DIV/0!, #N/A, #REF!, #VALUE!, #NAME?, #NUM!, #NULL!
WHERE IT IS USED:
Fixing broken reports | Checking lookups that did not match | Cleaning data before sharing a file
MINI CONVERSATION:
A: My VLOOKUP shows #N/A, is my formula broken? | B: Not always, it usually means the value you search for is not in the first column of the table.
COMMON MISTAKE:
✗ Every error means my formula is typed wrong → ✓ Often the formula is fine and the data is the problem, such as a zero, a missing name or text instead of a number
COMMONLY CONFUSED WITH:
#N/A vs #REF!: #N/A means the value was not found, while #REF! means the formula points to a cell or column that was deleted.
AVOID / DON'T:
Do not just paste values over errors to hide them, find the cause so the same error does not return.
WRONG CODE:
A1: 10 kg
B1: =A1*2
RIGHT CODE:
A1: 10
B1: =A1*2
C1: kg
MEMORY TRICK:
DIV = divide, REF = reference, N/A = not available, VALUE = wrong value type.
REAL LIFE: PROJECT / WORK:
An analyst checks a monthly report and uses the error code to find that deleted columns caused #REF! in totals.
REAL LIFE: INTERVIEW / EXAM:
Interview question: what does #N/A mean in a VLOOKUP and how can you handle it?
REAL LIFE: DAILY LIFE:
Like a phone saying number not found versus number not reachable: the message tells you what to do next.</t>
        </is>
      </c>
      <c r="C24" s="29" t="inlineStr">
        <is>
          <t>04_Logic_Intermediate_XL-023</t>
        </is>
      </c>
    </row>
    <row r="25" ht="409" customHeight="1">
      <c r="A25" s="29" t="inlineStr">
        <is>
          <t>COUNTIF and SUMIF
Which two functions count or add only the cells that meet one condition, such as only one city?
A1: Delhi
A2: Pune
A3: Delhi
A4: Goa
A5: Delhi
B1: 100
B2: 200
B3: 150
B4: 50
B5: 300
D1: =COUNTIF(A1:A5,"Delhi")
D2: =SUMIF(A1:A5,"Delhi",B1:B5)</t>
        </is>
      </c>
      <c r="B25" s="29" t="inlineStr">
        <is>
          <t>MEANING (SHORT):
COUNTIF counts the cells that meet one condition, and SUMIF adds the numbers that meet one condition.
MEANING IN LEARNER'S LANGUAGE:
एक शर्त पूरी करने वाले सेल गिनना या उनका जोड़ निकालना
CODE:
A1: Delhi
A2: Pune
A3: Delhi
A4: Goa
A5: Delhi
B1: 100
B2: 200
B3: 150
B4: 50
B5: 300
D1: =COUNTIF(A1:A5,"Delhi")
D2: =SUMIF(A1:A5,"Delhi",B1:B5)
OUTPUT:
D1 shows 3
D2 shows 550
EXPLANATION:
COUNTIF looks at A1:A5 and counts the cells equal to Delhi, which is 3. SUMIF checks the same range for Delhi and adds the matching numbers in B1:B5, which are 100, 150 and 300, giving 550.
SIMPLE EXPLANATION (HINGLISH):
COUNTIF gintii karta hai kitne cells condition se match karte hain. SUMIF unhi rows ke numbers jod deta hai. Order yaad rakho: range, condition, phir sum range.
REAL-LIFE ANALOGY:
Like a teacher counting only the girls in a class, or adding only the girls' marks, while ignoring the boys.
SYNTAX PATTERN:
=COUNTIF(range, criteria)
=SUMIF(range, criteria, [sum_range])
ANATOMY:
range = cells that are checked | criteria = the condition such as "Delhi" or "&gt;100" | sum_range = the numbers to add (if left out, the checked range itself is added)
EXAMPLE 1:
A1: Delhi
A2: Pune
A3: Delhi
B1: 100
B2: 200
B3: 150
D1: =COUNTIF(A1:A3,"Delhi")
EXAMPLE 2:
B1: 100
B2: 200
B3: 150
B4: 50
B5: 300
D1: =SUMIF(B1:B5,"&gt;100")
EXAMPLE 3:
A1: Delhi
A2: Pune
A3: Delhi
A4: Goa
A5: Delhi
D1: =COUNTIF(A1:A5,"P*")
VARIATION:
=COUNTIF(A1:A5,D1)  - condition taken from cell D1
=COUNTIF(B1:B5,"&gt;=150")  - counts values 150 or more
=COUNTIF(A1:A5,"&lt;&gt;Delhi")  - counts cells that are not Delhi
USED WITH:
Wildcards (* and ?), comparison signs, cell references, COUNTIFS
RELATED CONCEPTS:
COUNTIFS, SUMIFS, COUNT, SUM
ALTERNATIVES:
COUNTIFS, SUMIFS, SUMPRODUCT, PivotTable
FAMILY / GROUP:
COUNT, COUNTA, COUNTIF, COUNTIFS, SUM, SUMIF, SUMIFS
WHERE IT IS USED:
Total sales for one city | Counting students who passed | Adding expenses of one category
MINI CONVERSATION:
A: How can I add only the sales of Delhi from this long list? | B: Use SUMIF, give the city column, the word Delhi and then the sales column.
COMMON MISTAKE:
✗ SUMIF takes the condition first and then the range → ✓ The order is range, criteria and then sum_range
COMMONLY CONFUSED WITH:
SUMIF vs SUMIFS: SUMIF handles one condition and puts sum_range last, while SUMIFS handles many conditions and puts sum_range first.
AVOID / DON'T:
Do not forget the quotes around conditions with signs, such as "&gt;100"; writing &gt;100 without quotes gives an error.
WRONG CODE:
A1: Delhi
A2: Pune
A3: Delhi
A4: Goa
A5: Delhi
B1: 100
B2: 200
B3: 150
B4: 50
B5: 300
D1: =SUMIF(B1:B5,"Delhi",A1:A5)
RIGHT CODE:
A1: Delhi
A2: Pune
A3: Delhi
A4: Goa
A5: Delhi
B1: 100
B2: 200
B3: 150
B4: 50
B5: 300
D1: =SUMIF(A1:A5,"Delhi",B1:B5)
MEMORY TRICK:
Check where, check what, then add which: range, criteria, sum_range.
REAL LIFE: PROJECT / WORK:
A shop owner uses SUMIF to get the total sales of each product from a long daily sales list.
REAL LIFE: INTERVIEW / EXAM:
Interview question: how do you total the sales of only one region, and how do you count the rows for it?
REAL LIFE: DAILY LIFE:
Like counting only the red cars in a parking lot, or adding only their prices.</t>
        </is>
      </c>
      <c r="C25" s="29" t="inlineStr">
        <is>
          <t>05_Conditional_Maths_Intermediate_XL-024</t>
        </is>
      </c>
    </row>
    <row r="26" ht="409" customHeight="1">
      <c r="A26" s="29" t="inlineStr">
        <is>
          <t>COUNTIFS and SUMIFS
Which functions count or add only the rows that meet two or more conditions at the same time?
A1: Delhi
A2: Delhi
A3: Pune
A4: Delhi
A5: Pune
B1: Jan
B2: Feb
B3: Jan
B4: Jan
B5: Feb
C1: 100
C2: 150
C3: 200
C4: 300
C5: 50
E1: =COUNTIFS(A1:A5,"Delhi",B1:B5,"Jan")
E2: =SUMIFS(C1:C5,A1:A5,"Delhi",B1:B5,"Jan")</t>
        </is>
      </c>
      <c r="B26" s="29" t="inlineStr">
        <is>
          <t>MEANING (SHORT):
COUNTIFS counts and SUMIFS adds the rows where all of your conditions are true together.
MEANING IN LEARNER'S LANGUAGE:
एक साथ कई शर्तें पूरी होने पर गिनना या जोड़ना
CODE:
A1: Delhi
A2: Delhi
A3: Pune
A4: Delhi
A5: Pune
B1: Jan
B2: Feb
B3: Jan
B4: Jan
B5: Feb
C1: 100
C2: 150
C3: 200
C4: 300
C5: 50
E1: =COUNTIFS(A1:A5,"Delhi",B1:B5,"Jan")
E2: =SUMIFS(C1:C5,A1:A5,"Delhi",B1:B5,"Jan")
OUTPUT:
E1 shows 2
E2 shows 400
EXPLANATION:
Rows 1 and 4 are both Delhi and Jan, so COUNTIFS gives 2. SUMIFS adds the sales of those two rows, 100 and 300, which gives 400.
SIMPLE EXPLANATION (HINGLISH):
Yahan har condition sahi honi chahiye, tabhi row count ya add hoti hai. SUMIFS me pehle wo column likho jise add karna hai, phir conditions.
REAL-LIFE ANALOGY:
Like a job filter on a website: you want jobs in Delhi and full time, and a job must match both to be shown.
SYNTAX PATTERN:
=COUNTIFS(range1, criteria1, [range2, criteria2], ...)
=SUMIFS(sum_range, range1, criteria1, [range2, criteria2], ...)
ANATOMY:
sum_range = numbers to add (SUMIFS only, written first) | range = cells to check | criteria = condition for that range | all ranges = must have the same size
EXAMPLE 1:
A1: Delhi
A2: Delhi
A3: Pune
B1: Jan
B2: Feb
B3: Jan
E1: =COUNTIFS(A1:A3,"Delhi",B1:B3,"Jan")
EXAMPLE 2:
A1: Delhi
A2: Delhi
A3: Pune
A4: Delhi
C1: 100
C2: 150
C3: 200
C4: 300
E1: =SUMIFS(C1:C4,A1:A4,"Delhi",C1:C4,"&gt;100")
EXAMPLE 3:
C1: 100
C2: 150
C3: 200
C4: 300
C5: 50
E1: =COUNTIFS(C1:C5,"&gt;=100",C1:C5,"&lt;=200")
VARIATION:
=COUNTIFS(A1:A5,"Pune")  - works with just one condition too
=SUMIFS(C1:C5,A1:A5,E1,B1:B5,E2)  - conditions taken from cells E1 and E2
=COUNTIFS(C1:C5,"&gt;=100",C1:C5,"&lt;=200")  - same range used twice to make a between check
USED WITH:
Wildcards, date conditions, cell references, PivotTable
RELATED CONCEPTS:
COUNTIF, SUMIF, AVERAGEIFS, SUMPRODUCT
ALTERNATIVES:
SUMPRODUCT, PivotTable, FILTER with SUM (Microsoft 365)
FAMILY / GROUP:
COUNTIF, COUNTIFS, SUMIF, SUMIFS, AVERAGEIF, AVERAGEIFS, MAXIFS
WHERE IT IS USED:
Sales for one city in one month | Counting students who scored between two limits | Adding expenses by category and date
MINI CONVERSATION:
A: I need sales of Delhi but only for January, can SUMIF do that? | B: Use SUMIFS, it takes more than one condition and all of them must be true.
COMMON MISTAKE:
✗ COUNTIFS counts a row if any one condition is true → ✓ COUNTIFS counts a row only when all the conditions are true at the same time (it is AND, not OR)
COMMONLY CONFUSED WITH:
SUMIFS vs SUMIF: SUMIFS writes the sum range first and allows many conditions, while SUMIF writes the sum range last and allows one.
AVOID / DON'T:
Do not use ranges of different sizes in one SUMIFS formula, because Excel will show a #VALUE! error.
WRONG CODE:
C1: 100
C2: 150
C3: 200
A1: Delhi
A2: Delhi
A3: Pune
E1: =SUMIFS(A1:A3,"Delhi",C1:C3)
RIGHT CODE:
C1: 100
C2: 150
C3: 200
A1: Delhi
A2: Delhi
A3: Pune
E1: =SUMIFS(C1:C3,A1:A3,"Delhi")
MEMORY TRICK:
SUMIFS starts with the sum: first what to add, then every where and what.
REAL LIFE: PROJECT / WORK:
A finance team uses SUMIFS to get total spend for one department in one quarter from a large expense list.
REAL LIFE: INTERVIEW / EXAM:
Interview question: how do you total sales for one region and one month, and how does SUMIFS differ from SUMIF?
REAL LIFE: DAILY LIFE:
Like searching a shopping site for shoes that are black and under 2000 rupees.</t>
        </is>
      </c>
      <c r="C26" s="29" t="inlineStr">
        <is>
          <t>05_Conditional_Maths_Intermediate_XL-025</t>
        </is>
      </c>
    </row>
    <row r="27" ht="409" customHeight="1">
      <c r="A27" s="29" t="inlineStr">
        <is>
          <t>VLOOKUP
Which function searches the first column of a table for a value and brings back something from the same row?
A1: 101
B1: Asha
A2: 102
B2: Ravi
A3: 103
B3: Meena
D1: 102
E1: =VLOOKUP(D1,A1:B3,2,FALSE)</t>
        </is>
      </c>
      <c r="B27" s="29" t="inlineStr">
        <is>
          <t>MEANING (SHORT):
VLOOKUP finds a value in the first column of a table and returns a value from another column of the same row.
MEANING IN LEARNER'S LANGUAGE:
टेबल के पहले कॉलम में खोजकर उसी पंक्ति की दूसरी जानकारी लाना
CODE:
A1: 101
B1: Asha
A2: 102
B2: Ravi
A3: 103
B3: Meena
D1: 102
E1: =VLOOKUP(D1,A1:B3,2,FALSE)
OUTPUT:
Ravi
EXPLANATION:
Excel looks for 102 in the first column of A1:B3 and finds it in row 2. It then returns the value from column 2 of the table in that row, which is Ravi. FALSE makes sure only an exact match is accepted.
SIMPLE EXPLANATION (HINGLISH):
Pehle column me ID dhundo, phir usi row me aage jao aur jo column number diya hai wahan se value le aao. Last me FALSE likho warna galat match mil sakta hai.
REAL-LIFE ANALOGY:
Like looking up a name in a phone book and then reading the number next to it on the same line.
SYNTAX PATTERN:
=VLOOKUP(lookup_value, table_array, col_index_num, [range_lookup])
ANATOMY:
lookup_value = what you search for | table_array = the table, whose first column is searched | col_index_num = which column of the table to return, counting from 1 | range_lookup = FALSE for exact match, TRUE for approximate
EXAMPLE 1:
A1: 101
B1: Asha
A2: 102
B2: Ravi
A3: 103
B3: Meena
D1: 102
E1: =VLOOKUP(D1,A1:B3,2,FALSE)
EXAMPLE 2:
A1: 0
B1: F
A2: 50
B2: C
A3: 80
B3: A
E1: =VLOOKUP(65,A1:B3,2,TRUE)
EXAMPLE 3:
A1: 101
B1: Asha
C1: 500
A2: 102
B2: Ravi
C2: 700
A3: 103
B3: Meena
C3: 650
E1: =VLOOKUP(103,A1:C3,3,FALSE)
VARIATION:
=VLOOKUP(D1,A1:B3,2,0)  - 0 works the same as FALSE
=VLOOKUP(104,A1:B3,2,FALSE)  - gives #N/A when the value is not found
=VLOOKUP(D1,A1:B3,3,FALSE)  - gives #REF! because the table has only 2 columns
USED WITH:
IFERROR, absolute references ($A$1:$B$3), TRIM, data validation lists
RELATED CONCEPTS:
HLOOKUP, XLOOKUP, INDEX and MATCH, IFERROR
ALTERNATIVES:
XLOOKUP, INDEX and MATCH, FILTER (Microsoft 365)
FAMILY / GROUP:
VLOOKUP, HLOOKUP, XLOOKUP, LOOKUP, MATCH, INDEX
WHERE IT IS USED:
Finding a price from a product code | Matching student names to roll numbers | Bringing data from one sheet into another
MINI CONVERSATION:
A: Why does my VLOOKUP give a wrong name for some IDs? | B: You left out the last argument, so Excel did an approximate match, add FALSE to get an exact match.
COMMON MISTAKE:
✗ VLOOKUP can return a value from a column on the left of the search column → ✓ VLOOKUP always searches the first column of the table and can only return from that column or columns to its right
COMMONLY CONFUSED WITH:
VLOOKUP vs HLOOKUP: VLOOKUP searches down the first column, while HLOOKUP searches across the first row.
AVOID / DON'T:
Do not leave out the last argument, because the default is an approximate match that can give wrong answers on unsorted data.
WRONG CODE:
A1: 101
B1: Asha
A2: 102
B2: Ravi
A3: 103
B3: Meena
D1: 102
E1: =VLOOKUP(D1,A1:B3,3,FALSE)
RIGHT CODE:
A1: 101
B1: Asha
A2: 102
B2: Ravi
A3: 103
B3: Meena
D1: 102
E1: =VLOOKUP(D1,A1:B3,2,FALSE)
MEMORY TRICK:
V for vertical, then four steps: find what, in where, which column, FALSE for exact.
REAL LIFE: PROJECT / WORK:
An accounts clerk uses VLOOKUP to pull each customer's name and city into an invoice list from a master customer table.
REAL LIFE: INTERVIEW / EXAM:
Interview question: why do you add FALSE at the end of a VLOOKUP and what happens if you leave it out?
REAL LIFE: DAILY LIFE:
Like finding a student by roll number on a result list and reading the marks in the same row.</t>
        </is>
      </c>
      <c r="C27" s="29" t="inlineStr">
        <is>
          <t>06_Lookup_Intermediate_XL-026</t>
        </is>
      </c>
    </row>
    <row r="28" ht="409" customHeight="1">
      <c r="A28" s="29" t="inlineStr">
        <is>
          <t>INDEX and MATCH
Which pair of functions can look up a value in any column, even one to the left of the search column?
A1: Asha
A2: Ravi
A3: Meena
B1: 50
B2: 70
B3: 60
D1: =INDEX(B1:B3,MATCH("Ravi",A1:A3,0))</t>
        </is>
      </c>
      <c r="B28" s="29" t="inlineStr">
        <is>
          <t>MEANING (SHORT):
MATCH finds the position of a value in a list, and INDEX uses that position to return a value from another list.
MEANING IN LEARNER'S LANGUAGE:
MATCH से स्थान ढूँढकर INDEX से उस स्थान की वैल्यू निकालना
CODE:
A1: Asha
A2: Ravi
A3: Meena
B1: 50
B2: 70
B3: 60
D1: =INDEX(B1:B3,MATCH("Ravi",A1:A3,0))
OUTPUT:
70
EXPLANATION:
MATCH("Ravi",A1:A3,0) finds Ravi in position 2 of the list. INDEX(B1:B3,2) then returns the second value of B1:B3, which is 70. The 0 in MATCH means exact match.
SIMPLE EXPLANATION (HINGLISH):
Pehle MATCH batata hai naam kaun si position par hai. Phir INDEX us position par dusre column se value nikalta hai. Dono milkar VLOOKUP jaisa kaam karte hain.
REAL-LIFE ANALOGY:
Like finding which locker number holds your bag (MATCH) and then opening that locker to take the bag out (INDEX).
SYNTAX PATTERN:
=INDEX(array, row_num, [column_num])
=MATCH(lookup_value, lookup_array, [match_type])
=INDEX(return_range, MATCH(value, search_range, 0))
ANATOMY:
INDEX array = where the answer lives | row_num = which row of that range | MATCH lookup_array = where to search | match_type 0 = exact match
EXAMPLE 1:
A1: Asha
A2: Ravi
A3: Meena
B1: 50
B2: 70
B3: 60
D1: =INDEX(B1:B3,MATCH("Ravi",A1:A3,0))
EXAMPLE 2:
A1: Asha
B1: 101
A2: Ravi
B2: 102
A3: Meena
B3: 103
D1: =INDEX(A1:A3,MATCH(103,B1:B3,0))
EXAMPLE 3:
A1: (empty)
B1: Jan
C1: Feb
A2: Delhi
B2: 10
C2: 20
A3: Pune
B3: 30
C3: 40
E1: =INDEX(B2:C3,MATCH("Pune",A2:A3,0),MATCH("Feb",B1:C1,0))
VARIATION:
=MATCH("Ravi",A1:A3,0)  - shows 2, the position only
=INDEX(B1:B3,2)  - shows 70, the second item
=IFERROR(INDEX(B1:B3,MATCH("Zoya",A1:A3,0)),"Not found")  - friendly message when missing
USED WITH:
IFERROR, absolute references, two-way lookups, data validation lists
RELATED CONCEPTS:
VLOOKUP, XLOOKUP, MATCH, OFFSET
ALTERNATIVES:
VLOOKUP, XLOOKUP (Excel 2021 and Microsoft 365)
FAMILY / GROUP:
INDEX, MATCH, VLOOKUP, HLOOKUP, XLOOKUP, LOOKUP, XMATCH
WHERE IT IS USED:
Looking up a value to the left of the key column | Two-way lookups by row name and column name | Large sheets where inserting columns must not break formulas
MINI CONVERSATION:
A: My ID is in column B but the name is in column A, VLOOKUP cannot go left. | B: Use INDEX on the name column and MATCH on the ID column, that works in either direction.
COMMON MISTAKE:
✗ INDEX and MATCH are only a harder way to write VLOOKUP → ✓ They can look in any direction and keep working when columns are inserted, which VLOOKUP's fixed column number cannot
COMMONLY CONFUSED WITH:
INDEX vs MATCH: INDEX gives the value at a position, while MATCH gives the position of a value.
AVOID / DON'T:
Do not leave out the 0 in MATCH on unsorted data, because Excel may pick a wrong row instead of an exact match.
WRONG CODE:
A1: Asha
A2: Ravi
A3: Meena
B1: 50
B2: 70
B3: 60
D1: =INDEX(B1:B3,MATCH("Ravi",A1:A3))
RIGHT CODE:
A1: Asha
A2: Ravi
A3: Meena
B1: 50
B2: 70
B3: 60
D1: =INDEX(B1:B3,MATCH("Ravi",A1:A3,0))
MEMORY TRICK:
MATCH finds the spot, INDEX fetches the stuff at that spot.
REAL LIFE: PROJECT / WORK:
An analyst uses INDEX and MATCH to pull a product price by code even when the code column sits to the right of the price column.
REAL LIFE: INTERVIEW / EXAM:
Interview question: why do many people prefer INDEX and MATCH over VLOOKUP?
REAL LIFE: DAILY LIFE:
Like asking the bell number of a flat from the notice board, then pressing that bell.</t>
        </is>
      </c>
      <c r="C28" s="29" t="inlineStr">
        <is>
          <t>06_Lookup_Advanced_XL-027</t>
        </is>
      </c>
    </row>
    <row r="29" ht="409" customHeight="1">
      <c r="A29" s="29" t="inlineStr">
        <is>
          <t>XLOOKUP
Which newer lookup function can search in any direction and has a built-in message for when nothing is found?
A1: Asha
A2: Ravi
A3: Meena
B1: 50
B2: 70
B3: 60
D1: =XLOOKUP("Ravi",A1:A3,B1:B3)</t>
        </is>
      </c>
      <c r="B29" s="29" t="inlineStr">
        <is>
          <t>MEANING (SHORT):
XLOOKUP searches one range for a value and returns the matching item from another range.
MEANING IN LEARNER'S LANGUAGE:
एक रेंज में खोजकर दूसरी रेंज से मिलती-जुलती वैल्यू देना
CODE:
A1: Asha
A2: Ravi
A3: Meena
B1: 50
B2: 70
B3: 60
D1: =XLOOKUP("Ravi",A1:A3,B1:B3)
OUTPUT:
70
EXPLANATION:
XLOOKUP finds Ravi in A1:A3, which is the second item, and returns the second item of B1:B3, which is 70. By default it looks for an exact match, so you do not need to type FALSE.
SIMPLE EXPLANATION (HINGLISH):
Pehla range me value dhundo, dusre range se answer lao. Column number ginna nahi padta aur exact match apne aap hota hai.
REAL-LIFE ANALOGY:
Like finding a name on the left page of a register and reading the marks on the matching line of the right page.
SYNTAX PATTERN:
=XLOOKUP(lookup_value, lookup_array, return_array, [if_not_found], [match_mode], [search_mode])
ANATOMY:
lookup_value = what to find | lookup_array = where to search | return_array = where the answer comes from | if_not_found = message when no match | match_mode = 0 exact, -1 exact or next smaller, 1 exact or next larger, 2 wildcard
EXAMPLE 1:
A1: Asha
A2: Ravi
A3: Meena
B1: 50
B2: 70
B3: 60
D1: =XLOOKUP("Ravi",A1:A3,B1:B3)
EXAMPLE 2:
A1: Asha
A2: Ravi
A3: Meena
B1: 50
B2: 70
B3: 60
D1: =XLOOKUP("Zoya",A1:A3,B1:B3,"Not found")
EXAMPLE 3:
A1: 0
A2: 50
A3: 80
B1: F
B2: C
B3: A
D1: =XLOOKUP(65,A1:A3,B1:B3,,-1)
VARIATION:
=XLOOKUP("ravi",A1:A3,B1:B3)  - upper and lower case do not matter
=XLOOKUP("R*",A1:A3,B1:B3,"None",2)  - match mode 2 allows wildcards
=XLOOKUP("Ravi",A1:A3,B1:B3,"None",0,-1)  - search mode -1 searches from the last item to the first
USED WITH:
IFERROR, wildcards, FILTER, UNIQUE
RELATED CONCEPTS:
VLOOKUP, INDEX and MATCH, XMATCH, FILTER
ALTERNATIVES:
VLOOKUP, INDEX and MATCH, LOOKUP
FAMILY / GROUP:
XLOOKUP, XMATCH, VLOOKUP, HLOOKUP, INDEX, MATCH, FILTER
WHERE IT IS USED:
Looking up prices or names in modern workbooks | Looking up to the left of the key column | Grading with approximate match
MINI CONVERSATION:
A: Can I find a value to the left without using INDEX and MATCH? | B: Yes, XLOOKUP can, but your Excel must be Microsoft 365 or Excel 2021 or later.
COMMON MISTAKE:
✗ XLOOKUP works in every Excel version like VLOOKUP → ✓ XLOOKUP needs Microsoft 365 or Excel 2021 or later and will show #NAME? in older versions
COMMONLY CONFUSED WITH:
XLOOKUP vs VLOOKUP: XLOOKUP takes separate search and return ranges and does an exact match by default, while VLOOKUP needs a column number and defaults to approximate.
AVOID / DON'T:
Do not share a file that uses XLOOKUP with people who have Excel 2019 or older, because they will see errors.
WRONG CODE:
A1: Asha
A2: Ravi
A3: Meena
B1: 50
B2: 70
B3: 60
D1: =XLOOKUP("Ravi",A1:B3,2)
RIGHT CODE:
A1: Asha
A2: Ravi
A3: Meena
B1: 50
B2: 70
B3: 60
D1: =XLOOKUP("Ravi",A1:A3,B1:B3)
MEMORY TRICK:
X marks it: find, search here, return from there.
REAL LIFE: PROJECT / WORK:
A team on Microsoft 365 uses XLOOKUP to pull each product's price and shows Not found for new codes that are not yet in the list.
REAL LIFE: INTERVIEW / EXAM:
Interview question: how is XLOOKUP better than VLOOKUP, and which versions of Excel support it?
REAL LIFE: DAILY LIFE:
Like finding a contact in your phone and reading the number saved next to that name.</t>
        </is>
      </c>
      <c r="C29" s="29" t="inlineStr">
        <is>
          <t>06_Lookup_Advanced_XL-028</t>
        </is>
      </c>
    </row>
    <row r="30" ht="409" customHeight="1">
      <c r="A30" s="29" t="inlineStr">
        <is>
          <t>LEFT, RIGHT and MID
Which functions pull out the first few, last few or middle few characters from a piece of text?
A1: EDU-2025-07
B1: =LEFT(A1,3)
B2: =RIGHT(A1,2)
B3: =MID(A1,5,4)</t>
        </is>
      </c>
      <c r="B30" s="29" t="inlineStr">
        <is>
          <t>MEANING (SHORT):
LEFT, RIGHT and MID return a chosen number of characters from the start, the end or the middle of text.
MEANING IN LEARNER'S LANGUAGE:
टेक्स्ट के शुरू, अंत या बीच से कुछ अक्षर निकालना
CODE:
A1: EDU-2025-07
B1: =LEFT(A1,3)
B2: =RIGHT(A1,2)
B3: =MID(A1,5,4)
OUTPUT:
B1 shows EDU
B2 shows 07
B3 shows 2025
EXPLANATION:
LEFT takes the first 3 characters, RIGHT takes the last 2 characters, and MID starts at character 5 and takes 4 characters. The dash counts as character 4, so the year starts at 5.
SIMPLE EXPLANATION (HINGLISH):
LEFT shuru se, RIGHT aakhir se aur MID beech se akshar nikalta hai. MID me batana padta hai kahan se shuru karna hai aur kitne akshar lene hain.
REAL-LIFE ANALOGY:
Like cutting a train ticket number: the first digits show the train, the last digits show the seat.
SYNTAX PATTERN:
=LEFT(text, [num_chars])
=RIGHT(text, [num_chars])
=MID(text, start_num, num_chars)
ANATOMY:
text = the cell or text to cut | num_chars = how many characters to take | start_num = position of the first character to take (MID only, counting from 1)
EXAMPLE 1:
A1: EDU-2025-07
B1: =MID(A1,5,4)
EXAMPLE 2:
A1: Asha Rao
B1: =LEFT(A1,FIND(" ",A1)-1)
EXAMPLE 3:
A1: 98765
B1: =LEFT(A1,2)
VARIATION:
=RIGHT(A1)  - last 1 character, because num_chars defaults to 1
=MID(A1,6,3)  - with Asha Rao, gives Rao
=VALUE(LEFT(A1,2))  - turns the cut text into a real number
USED WITH:
FIND, LEN, VALUE, TRIM
RELATED CONCEPTS:
FIND, SEARCH, LEN, TEXTBEFORE
ALTERNATIVES:
Data tab &gt; Text to Columns, Flash Fill (Ctrl+E), TEXTBEFORE and TEXTAFTER (Microsoft 365)
FAMILY / GROUP:
LEFT, RIGHT, MID, LEN, FIND, SEARCH, TRIM
WHERE IT IS USED:
Splitting codes like invoice numbers | Taking first names from full names | Getting the year or area code from an ID
MINI CONVERSATION:
A: How do I get just the year out of a code like EDU-2025-07? | B: Use MID, start at character 5 and take 4 characters, that gives 2025.
COMMON MISTAKE:
✗ The result of LEFT on a number is still a number → ✓ LEFT, RIGHT and MID always return text, so use VALUE if you need to calculate with the result
COMMONLY CONFUSED WITH:
LEFT vs RIGHT: LEFT cuts from the start of the text, while RIGHT cuts from the end of the text.
AVOID / DON'T:
Do not count start positions by eye in long text; use FIND to locate the dash or space instead.
WRONG CODE:
A1: EDU-2025-07
B1: =LEFT(3,A1)
RIGHT CODE:
A1: EDU-2025-07
B1: =LEFT(A1,3)
MEMORY TRICK:
Text first, number second: LEFT(text, how many).
REAL LIFE: PROJECT / WORK:
A data clerk uses MID to pull the year out of thousands of invoice numbers so they can be grouped by year.
REAL LIFE: INTERVIEW / EXAM:
Interview question: how do you take the first name from a full name stored in one cell?
REAL LIFE: DAILY LIFE:
Like reading only the first three letters of a bus number to know which route it belongs to.</t>
        </is>
      </c>
      <c r="C30" s="29" t="inlineStr">
        <is>
          <t>07_Text_Beginner_XL-029</t>
        </is>
      </c>
    </row>
    <row r="31" ht="409" customHeight="1">
      <c r="A31" s="29" t="inlineStr">
        <is>
          <t>LEN, TRIM and CLEAN
Which functions count characters, remove extra spaces and remove hidden line breaks from text?
A1: (two spaces)Asha(three spaces)Rao(two spaces)
B1: =LEN(A1)
B2: =TRIM(A1)
B3: =LEN(TRIM(A1))</t>
        </is>
      </c>
      <c r="B31" s="29" t="inlineStr">
        <is>
          <t>MEANING (SHORT):
LEN counts the characters in text, TRIM removes extra spaces, and CLEAN removes hidden non-printing characters.
MEANING IN LEARNER'S LANGUAGE:
अक्षर गिनना, फालतू स्पेस हटाना और छिपे हुए अक्षर साफ़ करना
CODE:
A1: (two spaces)Asha(three spaces)Rao(two spaces)
B1: =LEN(A1)
B2: =TRIM(A1)
B3: =LEN(TRIM(A1))
OUTPUT:
B1 shows 14
B2 shows Asha Rao
B3 shows 8
EXPLANATION:
The text has 2 leading spaces, Asha (4), 3 spaces, Rao (3) and 2 trailing spaces, so LEN gives 14. TRIM removes the spaces at both ends and keeps only one space between words, leaving Asha Rao, which has 8 characters.
SIMPLE EXPLANATION (HINGLISH):
LEN akshar ginta hai, spaces ko bhi. TRIM shuru aur aakhir ke spaces hata deta hai aur beech me sirf ek space chhodta hai. CLEAN chhipe hue line break jaise akshar hata deta hai.
REAL-LIFE ANALOGY:
Like tidying a shelf: LEN counts the books, TRIM removes the gaps, and CLEAN wipes the dust.
SYNTAX PATTERN:
=LEN(text)
=TRIM(text)
=CLEAN(text)
ANATOMY:
text = a cell or text value | LEN = returns a number | TRIM = returns text with single spaces between words | CLEAN = returns text without non-printing characters
EXAMPLE 1:
A1: 9876543210
B1: =LEN(A1)=10
EXAMPLE 2:
A1: (two spaces)Ravi(three spaces)Kumar(two spaces)
B1: =TRIM(A1)
EXAMPLE 3:
A1: =CHAR(10) joined between Hi and there, so the cell holds a line break
B1: =CLEAN(A1)
VARIATION:
=LEN(A1)-LEN(TRIM(A1))  - number of extra spaces removed by TRIM
=TRIM(SUBSTITUTE(A1,CHAR(160)," "))  - TRIM alone does not remove non-breaking spaces from the web
=TRIM(CLEAN(A1))  - fixes both spaces and hidden characters
USED WITH:
VLOOKUP, SUBSTITUTE, data validation, LEFT and RIGHT
RELATED CONCEPTS:
SUBSTITUTE, PROPER, UPPER, LOWER
ALTERNATIVES:
Find and Replace (Ctrl+H), Flash Fill (Ctrl+E), Power Query Trim and Clean
FAMILY / GROUP:
LEN, TRIM, CLEAN, SUBSTITUTE, UPPER, LOWER, PROPER
WHERE IT IS USED:
Cleaning names before a lookup | Checking that phone numbers have 10 digits | Fixing text copied from websites
MINI CONVERSATION:
A: My VLOOKUP says #N/A even though the name is clearly in the list. | B: Check for extra spaces with LEN, then use TRIM on the name and try again.
COMMON MISTAKE:
✗ TRIM removes every space from the text → ✓ TRIM removes spaces at the start and end and reduces spaces between words to one, but it does not remove them all
COMMONLY CONFUSED WITH:
TRIM vs CLEAN: TRIM removes extra spaces, while CLEAN removes non-printing characters like line breaks.
AVOID / DON'T:
Do not type over cleaned data in place without a backup, copy the TRIM results and paste them as values in a new column.
WRONG CODE:
A1: Hi(line break)there
B1: =TRIM(A1)
RIGHT CODE:
A1: Hi(line break)there
B1: =CLEAN(A1)
MEMORY TRICK:
LEN = length, TRIM = trim spaces, CLEAN = clean hidden marks.
REAL LIFE: PROJECT / WORK:
A data clerk runs TRIM and CLEAN on a customer list so that lookups and duplicate checks work correctly.
REAL LIFE: INTERVIEW / EXAM:
Interview question: a lookup fails although both names look the same, how do you find and fix the cause?
REAL LIFE: DAILY LIFE:
Like removing extra spaces and stray marks from a message before sending it.</t>
        </is>
      </c>
      <c r="C31" s="29" t="inlineStr">
        <is>
          <t>07_Text_Beginner_XL-030</t>
        </is>
      </c>
    </row>
    <row r="32" ht="409" customHeight="1">
      <c r="A32" s="29" t="inlineStr">
        <is>
          <t>TEXTJOIN, CONCAT and the &amp; operator
How do you glue the text from two or more cells into one cell?
A1: Asha
B1: Rao
C1: =A1&amp;" "&amp;B1
D1: =TEXTJOIN(", ",TRUE,A1:B1)
E1: =CONCAT(A1,"-",B1)</t>
        </is>
      </c>
      <c r="B32" s="29" t="inlineStr">
        <is>
          <t>MEANING (SHORT):
These tools join the text of several cells into one piece of text.
MEANING IN LEARNER'S LANGUAGE:
कई सेल का टेक्स्ट जोड़कर एक सेल में लिखना
CODE:
A1: Asha
B1: Rao
C1: =A1&amp;" "&amp;B1
D1: =TEXTJOIN(", ",TRUE,A1:B1)
E1: =CONCAT(A1,"-",B1)
OUTPUT:
C1 shows Asha Rao
D1 shows Asha, Rao
E1 shows Asha-Rao
EXPLANATION:
The &amp; operator joins two pieces of text, and you add your own space inside quotes. CONCAT joins everything you give it, including a full range, but has no separator. TEXTJOIN takes a separator first, then TRUE or FALSE for skipping empty cells, then the cells.
SIMPLE EXPLANATION (HINGLISH):
Agar do cell ka text ek cell me chahiye to &amp; use karo. Bahut cells ko comma ya dash ke saath jodna ho to TEXTJOIN sabse aasaan hai. CONCAT bas cells ko bina kisi gap ke chipka deta hai.
REAL-LIFE ANALOGY:
Like stringing beads on a thread: &amp; ties two beads, CONCAT ties a whole row, and TEXTJOIN puts a small spacer bead between each one.
SYNTAX PATTERN:
=A1&amp;B1 | =CONCAT(text1, [text2], ...) | =TEXTJOIN(delimiter, ignore_empty, text1, [text2], ...)
ANATOMY:
delimiter = text placed between items, in quotes | ignore_empty = TRUE skips blank cells, FALSE keeps them | text1 = a cell or a range to join
EXAMPLE 1:
A1: Order
B1: 5
C1: =A1&amp;" "&amp;B1
EXAMPLE 2:
A1: Red
A2: (empty cell)
A3: Blue
B1: =TEXTJOIN(", ",TRUE,A1:A3)
EXAMPLE 3:
A1: 4
A2: 5
A3: 6
B1: =CONCAT(A1:A3)
VARIATION:
A1: Red
A2: (empty cell)
A3: Blue
B1: =TEXTJOIN("-",FALSE,A1:A3)   shows Red--Blue because FALSE keeps the empty cell
B2: =TEXTJOIN("-",TRUE,A1:A3)   shows Red-Blue
USED WITH:
TRIM, UPPER, LEFT, TEXT
RELATED CONCEPTS:
CONCATENATE, TRIM, SUBSTITUTE
ALTERNATIVES:
The older CONCATENATE function, Flash Fill (Ctrl+E), Power Query merge columns
FAMILY / GROUP:
&amp;, CONCAT, CONCATENATE, TEXTJOIN, TEXTSPLIT
WHERE IT IS USED:
Joining first name and last name | Making a comma-separated list of items | Building an ID or a message from several columns
MINI CONVERSATION:
A: My first names and last names are in two columns, but I need one full name column. | B: Type =A2&amp;" "&amp;B2 in the first row and drag it down, and you get full names with a space.
COMMON MISTAKE:
✗ I can join two text cells with the plus sign, like =A1+B1 → ✓ The + sign is for numbers and gives #VALUE! with text, so use &amp; instead
COMMONLY CONFUSED WITH:
CONCAT vs TEXTJOIN: CONCAT only glues items together, while TEXTJOIN also puts a separator between them and can skip empty cells.
AVOID / DON'T:
Do not use CONCAT when you need a separator, because you would have to type the separator again and again.
WRONG CODE:
A1: Asha
B1: Rao
C1: =A1+B1
RIGHT CODE:
A1: Asha
B1: Rao
C1: =A1&amp;" "&amp;B1
MEMORY TRICK:
&amp; means "and": Asha and Rao become Asha Rao.
REAL LIFE: PROJECT / WORK:
A sales sheet often joins city and state columns into one address line before it is printed on a label.
REAL LIFE: INTERVIEW / EXAM:
Interview: What is the difference between CONCATENATE, CONCAT and TEXTJOIN?
REAL LIFE: DAILY LIFE:
It is like writing your full name on a form by joining your first name and surname with a space.</t>
        </is>
      </c>
      <c r="C32" s="29" t="inlineStr">
        <is>
          <t>07_Text_Intermediate_XL-031</t>
        </is>
      </c>
    </row>
    <row r="33" ht="409" customHeight="1">
      <c r="A33" s="29" t="inlineStr">
        <is>
          <t>TEXT function
Which function lets you decide how a number or date looks, but gives it back as text?
A1: 3.14159
B1: =TEXT(A1,"0.00")
B2: =TEXT(0.256,"0%")
B3: =TEXT(DATE(2024,8,15),"dd-mm-yyyy")</t>
        </is>
      </c>
      <c r="B33" s="29" t="inlineStr">
        <is>
          <t>MEANING (SHORT):
TEXT changes a number or date into text shown in the format you choose.
MEANING IN LEARNER'S LANGUAGE:
नंबर या तारीख को चुने हुए फ़ॉर्मेट में टेक्स्ट बनाना
CODE:
A1: 3.14159
B1: =TEXT(A1,"0.00")
B2: =TEXT(0.256,"0%")
B3: =TEXT(DATE(2024,8,15),"dd-mm-yyyy")
OUTPUT:
B1 shows 3.14
B2 shows 26%
B3 shows 15-08-2024
EXPLANATION:
TEXT takes a value and a format code in quotes. It returns text that looks the way the code says, so 0.00 means two decimals and 0% means percentage. The result is text, so you cannot add it up like a number.
SIMPLE EXPLANATION (HINGLISH):
TEXT ka kaam hai number ya date ko aapke pasand ke style me dikhana. Jaise 0.256 ko 26% likhna. Lekin result text ban jata hai, isliye uspar sum nahi chalta.
REAL-LIFE ANALOGY:
Like putting a price in a printed price tag: the tag looks nice, but you cannot do maths on the paper any more.
SYNTAX PATTERN:
=TEXT(value, format_text)
ANATOMY:
value = the number or date or a cell | format_text = the format code inside double quotes
EXAMPLE 1:
A1: 1234567
B1: =TEXT(A1,"#,##0")
EXAMPLE 2:
B1: =TEXT(DATE(2024,8,15),"dddd")
EXAMPLE 3:
A1: Score
B1: 0.256
C1: ="Pass rate: "&amp;TEXT(B1,"0%")
VARIATION:
=TEXT(7,"000")   shows 007 so leading zeros stay
=TEXT(DATE(2024,8,15),"mmm yyyy")   shows Aug 2024
=TEXT(1234.5,"0.0")   shows 1234.5
USED WITH:
DATE, TODAY, &amp; operator, TEXTJOIN
RELATED CONCEPTS:
Format Cells (Ctrl+1), VALUE, DATE
ALTERNATIVES:
Format Cells (Ctrl+1) when you only need to change how a cell looks
FAMILY / GROUP:
TEXT, VALUE, FIXED, DOLLAR, NUMBERVALUE
WHERE IT IS USED:
Showing a date inside a sentence | Adding leading zeros to codes | Showing percentages or money inside a message
MINI CONVERSATION:
A: My sentence shows 45519 instead of the date. | B: Wrap the date in TEXT, like TEXT(A1,"dd-mm-yyyy"), and it will look like a date.
COMMON MISTAKE:
✗ After TEXT(A1,"0.00") the result is still a number I can add → ✓ The result is text, so use VALUE or keep the original cell for calculations
COMMONLY CONFUSED WITH:
TEXT function vs Format Cells: Format Cells only changes how a cell looks and keeps the number, while TEXT makes a new text value.
AVOID / DON'T:
Do not use TEXT on a column that you plan to sum or sort as numbers later.
WRONG CODE:
B1: ="Date: "&amp;DATE(2024,8,15)
RIGHT CODE:
B1: ="Date: "&amp;TEXT(DATE(2024,8,15),"dd-mm-yyyy")
MEMORY TRICK:
TEXT = Tailor the look, but it becomes TEXT.
REAL LIFE: PROJECT / WORK:
A monthly report header uses TEXT to show the month name, such as "Report for Aug 2024", from a date cell.
REAL LIFE: INTERVIEW / EXAM:
Interview: How do you show a date as the day name, like Monday, using a formula?
REAL LIFE: DAILY LIFE:
It is like writing the amount on a cheque in a fixed style so everyone reads it the same way.</t>
        </is>
      </c>
      <c r="C33" s="29" t="inlineStr">
        <is>
          <t>07_Text_Intermediate_XL-032</t>
        </is>
      </c>
    </row>
    <row r="34" ht="409" customHeight="1">
      <c r="A34" s="29" t="inlineStr">
        <is>
          <t>Text to Columns
Which Data tab tool cuts one column of text into many columns at a comma or space?
A1: Asha,Rao,Delhi
Steps: select A1 &gt; Data tab &gt; Text to Columns &gt; Delimited &gt; Next &gt; tick Comma &gt; Finish</t>
        </is>
      </c>
      <c r="B34" s="29" t="inlineStr">
        <is>
          <t>MEANING (SHORT):
Text to Columns splits the text of one column into several columns using a separator or a fixed width.
MEANING IN LEARNER'S LANGUAGE:
एक कॉलम के टेक्स्ट को कई कॉलम में बाँटना
CODE:
A1: Asha,Rao,Delhi
Steps: select A1 &gt; Data tab &gt; Text to Columns &gt; Delimited &gt; Next &gt; tick Comma &gt; Finish
OUTPUT:
A1 shows Asha, B1 shows Rao, C1 shows Delhi
EXPLANATION:
The wizard has three steps. Step 1 chooses Delimited (a separator) or Fixed width. Step 2 chooses the separator, and step 3 lets you pick the format of each new column and where to put it. The original column is replaced unless you change the destination.
SIMPLE EXPLANATION (HINGLISH):
Jab ek hi cell me comma ya space se alag kiya hua data ho, to Text to Columns usse alag alag cell me tod deta hai. Dhyan rakho ki dahine taraf ke cell me data hoga to wo mit jayega.
REAL-LIFE ANALOGY:
Like sorting a mixed bag of letters into pigeonholes by the stamp on each one.
SYNTAX PATTERN:
Data tab &gt; Data Tools group &gt; Text to Columns (Alt, A, E)
ANATOMY:
Delimited = split at a separator like comma | Fixed width = split at set positions | Destination = where the new columns start | Column data format = General, Text or Date for each part
EXAMPLE 1:
A1: Asha,Rao,Delhi
Select A1 &gt; Data tab &gt; Text to Columns &gt; Delimited &gt; Comma &gt; Finish
Result: three cells in A1:C1
EXAMPLE 2:
A1: 110045
Select A1 &gt; Text to Columns &gt; Fixed width &gt; click a break line after the 3rd digit &gt; Next &gt; click the second column and choose Text &gt; Finish
Result: A1 shows 110 and B1 shows 045 (with General, B1 would show 45)
EXAMPLE 3:
A1: 00123,Delhi (imported text)
Select A1 &gt; Text to Columns &gt; Delimited &gt; Comma &gt; Next &gt; click the first column and choose Text &gt; Finish
Result: A1 shows 00123 and B1 shows Delhi (with General, A1 would show 123)
VARIATION:
Step 2 can use Space, Tab, Semicolon or Other (type your own sign, like -)
Step 2 has the option Treat consecutive delimiters as one
Step 3 Destination box lets you choose C1 so that the original column stays safe
USED WITH:
TRIM, Flash Fill, VALUE, Paste Special
RELATED CONCEPTS:
Flash Fill (Ctrl+E), TEXTSPLIT, Power Query
ALTERNATIVES:
Flash Fill (Ctrl+E), TEXTSPLIT (Microsoft 365), Power Query split column
FAMILY / GROUP:
Text to Columns, Flash Fill, LEFT, MID, RIGHT, TEXTSPLIT
WHERE IT IS USED:
Splitting CSV text pasted into one column | Separating full names into first and last name | Fixing numbers that are stored as text
MINI CONVERSATION:
A: I pasted a file and all my data landed in column A with commas. | B: Select column A and use Data, Text to Columns, choose Delimited and Comma. Then each part gets its own column.
COMMON MISTAKE:
✗ Text to Columns keeps my original column and puts the parts beside it → ✓ It replaces the original cells and anything to its right, so set a Destination first if you want to keep the original
COMMONLY CONFUSED WITH:
Text to Columns vs Flash Fill: Text to Columns splits using a fixed rule you choose, while Flash Fill guesses a pattern from an example you type.
AVOID / DON'T:
Do not run it on a column that has important data in the cells to its right.
WRONG CODE:
Select column A, which has full names, and run Text to Columns without checking the cells in column B that already hold ages
RIGHT CODE:
Insert two empty columns after column A first, or set Destination to an empty area like D1, then run Text to Columns
MEMORY TRICK:
Text to Columns = cut the loaf at the commas.
REAL LIFE: PROJECT / WORK:
A teacher pastes a list of names and marks from a text file, then splits it into a name column and a marks column.
REAL LIFE: INTERVIEW / EXAM:
Interview: How would you split "Asha Rao" into first name and last name for 5000 rows?
REAL LIFE: DAILY LIFE:
It is like cutting an address written on one line into house, street and city boxes on a form.</t>
        </is>
      </c>
      <c r="C34" s="29" t="inlineStr">
        <is>
          <t>07_Text_Intermediate_XL-033</t>
        </is>
      </c>
    </row>
    <row r="35" ht="409" customHeight="1">
      <c r="A35" s="29" t="inlineStr">
        <is>
          <t>TODAY, NOW and DATE
Which functions give you the current date, the current date and time, or a date you build from year, month and day?
A1: =DATE(2024,3,5)
A2: =A1+30
A3: =TODAY()
A4: =NOW()</t>
        </is>
      </c>
      <c r="B35" s="29" t="inlineStr">
        <is>
          <t>MEANING (SHORT):
TODAY gives today's date, NOW gives today's date with the time, and DATE makes a date from year, month and day.
MEANING IN LEARNER'S LANGUAGE:
आज की तारीख, अभी की तारीख और समय, और साल-महीना-दिन से तारीख बनाना
CODE:
A1: =DATE(2024,3,5)
A2: =A1+30
A3: =TODAY()
A4: =NOW()
OUTPUT:
A1 shows 05-03-2024 (format dd-mm-yyyy)
A2 shows 04-04-2024
A3 shows the date of the day you open the file
A4 shows that date and the current time
EXPLANATION:
DATE takes year, month and day and returns a real date that Excel can calculate with. Adding a number to a date moves it forward by that many days. TODAY and NOW update every time the sheet recalculates or is opened.
SIMPLE EXPLANATION (HINGLISH):
TODAY() aaj ki date deta hai aur NOW() date ke saath abhi ka time bhi. DATE(saal, mahina, din) se aap apni date bana sakte ho. Date me number jodne se din aage badhte hain.
REAL-LIFE ANALOGY:
Like a wall clock that keeps updating on its own, while DATE is a note you write once.
SYNTAX PATTERN:
=TODAY() | =NOW() | =DATE(year, month, day)
ANATOMY:
TODAY() = no arguments, today's date | NOW() = no arguments, date and time | year = four-digit year | month = 1 to 12 | day = 1 to 31
EXAMPLE 1:
A1: =DATE(2024,8,15)
EXAMPLE 2:
A1: =DATE(2025,12,31)
A2: =TODAY()
A3: =A1-A2
EXAMPLE 3:
A1: =NOW()
Format the cell with Ctrl+1 &gt; Custom &gt; hh:mm to see only the time
VARIATION:
=DATE(2024,14,1)   month 14 rolls over and shows 01-02-2025
=DATE(2024,1,31)+1   shows 01-02-2024
=TODAY()+7   shows the date one week from today
USED WITH:
TEXT, EDATE, NETWORKDAYS, IF
RELATED CONCEPTS:
EDATE, EOMONTH, DATEDIF, WEEKDAY
ALTERNATIVES:
Ctrl+; for a fixed date, Ctrl+Shift+; for a fixed time
FAMILY / GROUP:
TODAY, NOW, DATE, YEAR, MONTH, DAY, WEEKDAY
WHERE IT IS USED:
Due dates and days left | Age and service calculations | Time stamps in reports
MINI CONVERSATION:
A: I want a cell that always shows how many days are left for the exam. | B: Put the exam date in A1 and write =A1-TODAY() in B1. It changes every day by itself.
COMMON MISTAKE:
✗ TODAY() stays fixed at the day I typed it → ✓ TODAY() changes every day when the file is opened or recalculated, so use Ctrl+; if you want a fixed date
COMMONLY CONFUSED WITH:
TODAY vs NOW: TODAY gives only the date, while NOW gives the date and the current time.
AVOID / DON'T:
Do not use TODAY() for a record that must keep its original date, such as an invoice date.
WRONG CODE:
A1: =TODAY
RIGHT CODE:
A1: =TODAY()
MEMORY TRICK:
TODAY = date, NOW = date plus clock, DATE = you decide.
REAL LIFE: PROJECT / WORK:
A fee tracker uses =TODAY() to show how many days late each student is.
REAL LIFE: INTERVIEW / EXAM:
Interview: How can you enter a date that does not change when the file is reopened?
REAL LIFE: DAILY LIFE:
It is like a phone lock screen that always shows the current date and time.</t>
        </is>
      </c>
      <c r="C35" s="29" t="inlineStr">
        <is>
          <t>08_Dates_Beginner_XL-034</t>
        </is>
      </c>
    </row>
    <row r="36" ht="409" customHeight="1">
      <c r="A36" s="29" t="inlineStr">
        <is>
          <t>DATEDIF, EDATE, EOMONTH and NETWORKDAYS
Which functions find the years between two dates, move a date by months, find a month end, or count working days?
A1: =DATE(2000,1,15)
A2: =DATE(2024,3,10)
B1: =DATEDIF(A1,A2,"Y")
B2: =EDATE(A2,1)
B3: =EOMONTH(A2,0)
B4: =NETWORKDAYS(DATE(2024,3,4),DATE(2024,3,10))</t>
        </is>
      </c>
      <c r="B36" s="29" t="inlineStr">
        <is>
          <t>MEANING (SHORT):
These four functions measure the gap between dates, move dates by months, find month ends, and count working days.
MEANING IN LEARNER'S LANGUAGE:
तारीखों का अंतर निकालना, महीने आगे-पीछे करना, महीने का आखिरी दिन और कार्य दिवस गिनना
CODE:
A1: =DATE(2000,1,15)
A2: =DATE(2024,3,10)
B1: =DATEDIF(A1,A2,"Y")
B2: =EDATE(A2,1)
B3: =EOMONTH(A2,0)
B4: =NETWORKDAYS(DATE(2024,3,4),DATE(2024,3,10))
OUTPUT:
B1 shows 24
B2 shows 10-04-2024 (format dd-mm-yyyy)
B3 shows 31-03-2024
B4 shows 5
EXPLANATION:
DATEDIF counts complete years ("Y"), months ("M") or days ("D") between a start and an end date. EDATE moves a date by whole months, and EOMONTH returns the last day of a month that many months away. NETWORKDAYS counts Monday to Friday between two dates, including both ends.
SIMPLE EXPLANATION (HINGLISH):
DATEDIF poore saal, mahine ya din batata hai. EDATE date ko mahine se aage ya peeche karta hai. EOMONTH mahine ka aakhri din deta hai, aur NETWORKDAYS Saturday Sunday chhod kar kaam ke din ginta hai.
REAL-LIFE ANALOGY:
Like a school diary: it knows your age in full years, the next fee date, the last day of the month and the number of school days.
SYNTAX PATTERN:
=DATEDIF(start, end, unit) | =EDATE(start, months) | =EOMONTH(start, months) | =NETWORKDAYS(start, end, [holidays])
ANATOMY:
unit = "Y" years, "M" months or "D" days | months = how many months to move, negative goes back | holidays = optional list of dates to skip
EXAMPLE 1:
A1: =DATE(2000,1,15)
A2: =DATE(2024,3,10)
B1: =DATEDIF(A1,A2,"M")
EXAMPLE 2:
A1: =DATE(2024,1,31)
B1: =EDATE(A1,1)
EXAMPLE 3:
A1: =DATE(2024,3,4)
A2: =DATE(2024,3,10)
A3: =DATE(2024,3,6)
B1: =NETWORKDAYS(A1,A2,A3)
VARIATION:
=EOMONTH(DATE(2024,2,10),0)   shows 29-02-2024
=EOMONTH(DATE(2024,2,10),1)   shows 31-03-2024
=EDATE(DATE(2024,3,10),-2)   shows 10-01-2024
USED WITH:
DATE, TODAY, IF, TEXT
RELATED CONCEPTS:
TODAY, DATE, WORKDAY, YEARFRAC
ALTERNATIVES:
YEARFRAC, WORKDAY, simple subtraction like =A2-A1 for days
FAMILY / GROUP:
DATEDIF, EDATE, EOMONTH, NETWORKDAYS, WORKDAY, YEARFRAC
WHERE IT IS USED:
Age and service years | EMI and fee due dates | Project working days
MINI CONVERSATION:
A: How do I find the age of a student from the birth date? | B: Use =DATEDIF(birth date, TODAY(), "Y"). It gives the completed years only.
COMMON MISTAKE:
✗ NETWORKDAYS skips the start date and the end date → ✓ NETWORKDAYS counts both the start date and the end date if they are working days
COMMONLY CONFUSED WITH:
NETWORKDAYS vs WORKDAY: NETWORKDAYS counts working days between two dates, while WORKDAY gives the date after a number of working days.
AVOID / DON'T:
Do not put the later date first in DATEDIF, because it gives the #NUM! error.
WRONG CODE:
A1: =DATE(2000,1,15)
A2: =DATE(2024,3,10)
B1: =DATEDIF(A2,A1,"Y")
RIGHT CODE:
A1: =DATE(2000,1,15)
A2: =DATE(2024,3,10)
B1: =DATEDIF(A1,A2,"Y")
MEMORY TRICK:
DATEDIF = Difference, EDATE = Extra months, EOMONTH = End Of MONTH, NETWORKDAYS = Net work days.
REAL LIFE: PROJECT / WORK:
A HR sheet uses DATEDIF to show service years and NETWORKDAYS to count the working days of a leave.
REAL LIFE: INTERVIEW / EXAM:
Interview: How do you calculate the exact age in years from a date of birth?
REAL LIFE: DAILY LIFE:
It is like counting the working days left before a deadline on a calendar without Sundays.</t>
        </is>
      </c>
      <c r="C36" s="29" t="inlineStr">
        <is>
          <t>08_Dates_Intermediate_XL-035</t>
        </is>
      </c>
    </row>
    <row r="37" ht="409" customHeight="1">
      <c r="A37" s="29" t="inlineStr">
        <is>
          <t>PivotTable
Which Excel tool sums and groups thousands of rows into a small report by dragging fields?
A1: Region
B1: Sales
A2: North
B2: 100
A3: South
B3: 50
A4: North
B4: 70
A5: South
B5: 30
Steps: click any cell in A1:B5 &gt; Insert tab &gt; PivotTable &gt; OK &gt; drag Region to Rows and Sales to Values</t>
        </is>
      </c>
      <c r="B37" s="29" t="inlineStr">
        <is>
          <t>MEANING (SHORT):
A PivotTable summarises a list of data into a small report grouped by the fields you choose.
MEANING IN LEARNER'S LANGUAGE:
बड़े डेटा का छोटा सारांश रिपोर्ट बनाने का टूल
CODE:
A1: Region
B1: Sales
A2: North
B2: 100
A3: South
B3: 50
A4: North
B4: 70
A5: South
B5: 30
Steps: click any cell in A1:B5 &gt; Insert tab &gt; PivotTable &gt; OK &gt; drag Region to Rows and Sales to Values
OUTPUT:
The PivotTable shows North 170, South 80 and Grand Total 250
EXPLANATION:
Excel reads your headings as fields. When you drag a field to Rows, each different value gets one row, and a field in Values is summed by default for numbers. The source data is not changed.
SIMPLE EXPLANATION (HINGLISH):
PivotTable me aap fields ko kheench kar rakhte ho, aur Excel khud group karke jod deta hai. Original data waisa hi rehta hai. Data badle to Refresh karna padta hai.
REAL-LIFE ANALOGY:
Like a shopkeeper sorting a pile of bills by area and adding each pile into one total.
SYNTAX PATTERN:
Insert tab &gt; PivotTable &gt; choose the data range &gt; OK &gt; drag fields to Filters, Columns, Rows and Values
ANATOMY:
Rows = the groups down the side | Columns = the groups across the top | Values = the numbers to add or count | Filters = a drop-down to focus on part of the data
EXAMPLE 1:
A1: Region
B1: Sales
North 100, South 50, North 70, South 30 in the rows below
Rows = Region, Values = Sum of Sales
Result: North 170, South 80
EXAMPLE 2:
A1: Item
B1: Qty
Pen 5, Book 2, Pen 3, in the rows below
Rows = Item, Values = Count of Item
Result: Book 1, Pen 2 (count of rows, not the quantity)
EXAMPLE 3:
A1: Region
B1: Month
C1: Sales
Rows = Region, Columns = Month, Values = Sum of Sales
Result: a grid with one row per region and one column per month
VARIATION:
Click Sum of Sales &gt; Value Field Settings &gt; choose Average to get the average instead
Right-click the PivotTable &gt; Refresh after the data changes (or Alt+F5)
Drag a field to Filters to get a drop-down above the table
USED WITH:
Slicer, Pivot Chart, Table (Ctrl+T), Refresh
RELATED CONCEPTS:
Table (Ctrl+T), SUMIF, Slicer, Power Query
ALTERNATIVES:
SUMIFS and COUNTIFS formulas, Power Query group by
FAMILY / GROUP:
PivotTable, PivotChart, Slicer, Field, Refresh
WHERE IT IS USED:
Sales by region and month | Marks by class | Expenses by category
MINI CONVERSATION:
A: My manager wants total sales for every region from 5000 rows by evening. | B: Make a PivotTable, drag Region to Rows and Sales to Values, and you will have it in a minute.
COMMON MISTAKE:
✗ The PivotTable updates by itself when I change the source data → ✓ You must right-click and choose Refresh (Alt+F5), because the PivotTable keeps its own copy until refreshed
COMMONLY CONFUSED WITH:
PivotTable vs Table (Ctrl+T): A Table is the list of data with filters and banding, while a PivotTable is a separate summary report built from it.
AVOID / DON'T:
Do not type over the numbers inside a PivotTable, because the next refresh will change them back.
WRONG CODE:
Select a range with blank heading cells and then Insert &gt; PivotTable
RIGHT CODE:
Give every column a heading in row 1, remove blank rows, then click inside the data and choose Insert &gt; PivotTable
MEMORY TRICK:
Pivot = turn the data around to see it from another side.
REAL LIFE: PROJECT / WORK:
A shop owner makes a PivotTable from one year of bills to see total sales for each product and each month.
REAL LIFE: INTERVIEW / EXAM:
Interview: How do you get the total sales for each region from 10000 rows without writing a formula?
REAL LIFE: DAILY LIFE:
It is like sorting a drawer of receipts into piles by month and writing the total on top of each pile.</t>
        </is>
      </c>
      <c r="C37" s="29" t="inlineStr">
        <is>
          <t>09_Analysis_Intermediate_XL-036</t>
        </is>
      </c>
    </row>
    <row r="38" ht="409" customHeight="1">
      <c r="A38" s="29" t="inlineStr">
        <is>
          <t>Charts: choosing and building one
Which Insert tab feature turns rows of numbers into bars, lines or slices, and how do you pick the right kind?
A1: Month
B1: Sales
A2: Jan
B2: 10
A3: Feb
B3: 20
A4: Mar
B4: 15
Steps: click any cell in A1:B4 &gt; Insert tab &gt; Charts group &gt; Clustered Column</t>
        </is>
      </c>
      <c r="B38" s="29" t="inlineStr">
        <is>
          <t>MEANING (SHORT):
A chart is a picture of your data that makes comparisons, trends or shares easy to see.
MEANING IN LEARNER'S LANGUAGE:
डेटा को तस्वीर (बार, लाइन, पाई) में दिखाने का तरीका
CODE:
A1: Month
B1: Sales
A2: Jan
B2: 10
A3: Feb
B3: 20
A4: Mar
B4: 15
Steps: click any cell in A1:B4 &gt; Insert tab &gt; Charts group &gt; Clustered Column
OUTPUT:
A column chart appears with three bars for Jan, Feb and Mar, with heights 10, 20 and 15
EXPLANATION:
Excel reads the first column as the labels and the other columns as the values. The tallest bar is Feb, so the picture shows the comparison at once. You can then add a title with Chart Design &gt; Add Chart Element.
SIMPLE EXPLANATION (HINGLISH):
Pehle data select karo, phir Insert tab me chart ka type chuno. Compare karna ho to column, samay ke saath badlav dekhna ho to line, aur hissa dikhana ho to pie chuno.
REAL-LIFE ANALOGY:
Like choosing the right vehicle: a bus to carry many people, a train to run along a fixed route, and a cake knife to cut slices.
SYNTAX PATTERN:
Select data &gt; Insert tab &gt; Charts group &gt; pick a chart type
ANATOMY:
Category labels = the first column | Series = each column of numbers | Chart title = the heading | Legend = the key to the colours | Data labels = numbers written on the chart
EXAMPLE 1:
A1: Month
B1: Sales
Jan 10, Feb 20, Mar 15 in the rows below
Insert &gt; Column &gt; Clustered Column
Result: three bars to compare the months
EXAMPLE 2:
A1: Day
B1: Temp
Mon 30, Tue 32, Wed 35, Thu 33 in the rows below
Insert &gt; Line
Result: a line that rises and falls to show the trend
EXAMPLE 3:
A1: Item
B1: Amount
Rent 50, Food 30, Travel 20 in the rows below
Insert &gt; Pie &gt; right-click a slice &gt; Add Data Labels
Result: three slices, and the labels can show 50%, 30% and 20%
VARIATION:
Alt+F1 creates a chart on the same sheet from the selected data
F11 creates a chart on a new chart sheet
Insert &gt; Recommended Charts lets Excel suggest chart types
USED WITH:
PivotTable, Table (Ctrl+T), Conditional formatting, Slicer
RELATED CONCEPTS:
PivotChart, Sparklines, Conditional formatting
ALTERNATIVES:
Sparklines (Insert tab) for a tiny chart inside one cell
FAMILY / GROUP:
Column, Bar, Line, Pie, Scatter, Legend, Axis
WHERE IT IS USED:
Monthly sales reports | Marks comparison | Budget share
MINI CONVERSATION:
A: I have monthly sales for 12 months and want to show the trend. | B: Select the data and use Insert, Line. A line chart shows the ups and downs over time clearly.
COMMON MISTAKE:
✗ A pie chart is good for 12 months of data → ✓ A pie with many slices is hard to read, so use a column or line chart for many values
COMMONLY CONFUSED WITH:
Column chart vs Bar chart: Column bars stand upright, while Bar chart bars lie sideways and suit long labels.
AVOID / DON'T:
Do not use a pie chart for data that does not make a whole, such as temperatures of different days.
WRONG CODE:
Select only column B (the numbers) and insert a chart, so the month names are missing
RIGHT CODE:
Select A1:B4 including the headings and the month names, then insert the chart
MEMORY TRICK:
Column compares, Line follows time, Pie shows parts of one whole.
REAL LIFE: PROJECT / WORK:
A manager inserts a line chart of weekly sales to show whether the sales are growing.
REAL LIFE: INTERVIEW / EXAM:
Interview: Which chart would you use to show the share of each expense in a monthly budget, and why?
REAL LIFE: DAILY LIFE:
It is like a speedometer picture: you read the situation at a glance without reading numbers.</t>
        </is>
      </c>
      <c r="C38" s="29" t="inlineStr">
        <is>
          <t>09_Analysis_Intermediate_XL-037</t>
        </is>
      </c>
    </row>
    <row r="39" ht="409" customHeight="1">
      <c r="A39" s="29" t="inlineStr">
        <is>
          <t>Named ranges
How can you give a group of cells your own name and then use that name in formulas?
A1: 10
A2: 20
A3: 30
Steps: select A1:A3 &gt; click the Name Box (left of the formula bar) &gt; type Sales &gt; press Enter
B1: =SUM(Sales)</t>
        </is>
      </c>
      <c r="B39" s="29" t="inlineStr">
        <is>
          <t>MEANING (SHORT):
A named range is a short name that you give to a cell or a group of cells.
MEANING IN LEARNER'S LANGUAGE:
सेल या सेल समूह को दिया गया छोटा नाम
CODE:
A1: 10
A2: 20
A3: 30
Steps: select A1:A3 &gt; click the Name Box (left of the formula bar) &gt; type Sales &gt; press Enter
B1: =SUM(Sales)
OUTPUT:
B1 shows 60
EXPLANATION:
The Name Box lets you give the selected cells a name. A formula can then use the name in place of the address. Names stay the same even if you copy the formula to other cells, because they point to fixed cells.
SIMPLE EXPLANATION (HINGLISH):
Cell range ko ek chhota naam do, jaise Sales. Phir formula me A1:A3 ki jagah Sales likho. Padhna aur samajhna dono aasaan ho jata hai.
REAL-LIFE ANALOGY:
Like saving a phone number under a contact name: you call the name, not the number.
SYNTAX PATTERN:
Name Box: type a name for the selected cells | Formulas tab &gt; Define Name | Ctrl+F3 opens Name Manager | Ctrl+Shift+F3 creates names from labels
ANATOMY:
Name = letters, numbers and underscore, no spaces | Refers to = the cells the name points to | Scope = Workbook or one sheet
EXAMPLE 1:
A1: 10
A2: 20
A3: 30
Select A1:A3, type Sales in the Name Box, press Enter
B1: =SUM(Sales)
EXAMPLE 2:
Select D1, type TaxRate in the Name Box, then type 0.18 in D1
B1: 200
C1: =B1*TaxRate
EXAMPLE 3:
A1: Marks
A2: 40
A3: 50
A4: 60
Select A1:A4 &gt; Formulas tab &gt; Create from Selection (Ctrl+Shift+F3) &gt; tick Top row &gt; OK
B1: =AVERAGE(Marks)
VARIATION:
Ctrl+F3 opens the Name Manager to edit or delete a name
Formulas tab &gt; Define Name &gt; Scope can be set to a single sheet
Click the Name Box drop-down and choose a name to jump to its cells
USED WITH:
SUM, AVERAGE, XLOOKUP, Data Validation
RELATED CONCEPTS:
Table (Ctrl+T), Absolute reference ($A$1), Data Validation
ALTERNATIVES:
Absolute references like $A$1:$A$3, Tables (Ctrl+T) with column names
FAMILY / GROUP:
Name Box, Name Manager, Define Name, Scope, Create from Selection
WHERE IT IS USED:
Tax rate or discount in a formula | Drop-down lists | Formulas shared with others
MINI CONVERSATION:
A: I keep forgetting which cell holds the tax rate in my formulas. | B: Name that cell TaxRate and write =B1*TaxRate. The formula explains itself.
COMMON MISTAKE:
✗ I can name a range Total Sales with a space between the words → ✓ Spaces are not allowed in names, so use an underscore like Total_Sales
COMMONLY CONFUSED WITH:
Named range vs Table (Ctrl+T): A named range points to fixed cells, while a Table grows automatically and gives names to its columns.
AVOID / DON'T:
Do not use names that look like cell addresses, such as Q1 or A1, because Excel will not accept them.
WRONG CODE:
Name Box: type Total Sales and press Enter
RIGHT CODE:
Name Box: type Total_Sales and press Enter
MEMORY TRICK:
Name it once, use it everywhere, like a contact in your phone.
REAL LIFE: PROJECT / WORK:
A budget workbook names the tax cell TaxRate so that every formula shows =Price*TaxRate.
REAL LIFE: INTERVIEW / EXAM:
Interview: What is a named range and why would you use one?
REAL LIFE: DAILY LIFE:
It is like writing Mom on a speed-dial button instead of remembering her full phone number.</t>
        </is>
      </c>
      <c r="C39" s="29" t="inlineStr">
        <is>
          <t>09_Analysis_Intermediate_XL-038</t>
        </is>
      </c>
    </row>
    <row r="40" ht="409" customHeight="1">
      <c r="A40" s="29" t="inlineStr">
        <is>
          <t>Dynamic arrays: FILTER, UNIQUE and SORT
Which newer functions return a whole list of results that spill into the cells below by themselves?
A1: Pune
A2: Agra
A3: Pune
A4: Delhi
A5: Agra
B1: =SORT(UNIQUE(A1:A5))</t>
        </is>
      </c>
      <c r="B40" s="29" t="inlineStr">
        <is>
          <t>MEANING (SHORT):
FILTER picks rows that meet a rule, UNIQUE removes repeats, and SORT puts items in order, and the results spill into the cells below.
MEANING IN LEARNER'S LANGUAGE:
एक फ़ॉर्मूला से पूरी सूची निकालना जो नीचे के सेल में अपने आप भर जाती है
CODE:
A1: Pune
A2: Agra
A3: Pune
A4: Delhi
A5: Agra
B1: =SORT(UNIQUE(A1:A5))
OUTPUT:
B1 shows Agra, B2 shows Delhi, B3 shows Pune
EXPLANATION:
UNIQUE removes the repeated cities and keeps each city once. SORT then puts them in A to Z order. Because this is one formula in B1, the three answers spill into B1, B2 and B3 by themselves.
SIMPLE EXPLANATION (HINGLISH):
Ek formula likho aur uska result neeche ke cells me khud fail jata hai. UNIQUE repeat hata deta hai, SORT sajata hai, aur FILTER sirf wahi rows deta hai jo shart puri karti hain. Ye Microsoft 365 ya Excel 2021 me milta hai.
REAL-LIFE ANALOGY:
Like a sieve and a sorting tray: the sieve keeps only the wanted items, the tray removes repeats and arranges them.
SYNTAX PATTERN:
=FILTER(array, include, [if_empty]) | =UNIQUE(array) | =SORT(array, [sort_index], [sort_order])
ANATOMY:
array = the cells to work on | include = a test like B2:B5&gt;=60 | if_empty = text to show when nothing matches | sort_index = which column to sort by | sort_order = 1 for A to Z, -1 for Z to A
EXAMPLE 1:
A1: Pune
A2: Agra
A3: Pune
A4: Delhi
B1: =UNIQUE(A1:A4)
EXAMPLE 2:
A1: Asha
B1: 80
A2: Ravi
B2: 45
A3: Meena
B3: 90
A4: Tara
B4: 60
D1: =FILTER(A1:B4,B1:B4&gt;=60)
EXAMPLE 3:
A1: Asha
B1: 80
A2: Ravi
B2: 45
A3: Meena
B3: 90
A4: Tara
B4: 60
D1: =SORT(A1:B4,2,-1)
VARIATION:
=FILTER(A1:B4,B1:B4&gt;=100,"No match")   shows No match when nothing fits
=SORT(A1:A4)   sorts one column A to Z
=SUM(D1#)   the # sign points to the whole spilled result
USED WITH:
SUM, COUNTA, XLOOKUP, Table (Ctrl+T)
RELATED CONCEPTS:
XLOOKUP, SORTBY, Table (Ctrl+T), Power Query
ALTERNATIVES:
The Filter button (Ctrl+Shift+L), Remove Duplicates on the Data tab, PivotTable
FAMILY / GROUP:
FILTER, UNIQUE, SORT, SORTBY, SEQUENCE, XLOOKUP
WHERE IT IS USED:
A live list of students who passed | A list of each city only once | A ranked leaderboard
MINI CONVERSATION:
A: I want a list of only the students with 60 marks or more that updates when marks change. | B: Use =FILTER with the marks test. The list changes by itself when the marks change, and it needs Microsoft 365 or Excel 2021.
COMMON MISTAKE:
✗ I must copy the FILTER formula down to fill the list → ✓ You write it once in the first cell and the result spills down by itself
COMMONLY CONFUSED WITH:
FILTER function vs Filter button: The Filter button hides rows in the same place, while the FILTER function writes a new list in other cells and the original data stays unchanged.
AVOID / DON'T:
Do not put data in the cells below a spilling formula, because it will block the result with a #SPILL! error.
WRONG CODE:
A1: Asha
B1: 80
A2: Ravi
B2: 45
D1: =FILTER(A1:B2,B1:B2&gt;=60)
E1: typed text blocks the spill (D1 shows #SPILL!)
RIGHT CODE:
A1: Asha
B1: 80
A2: Ravi
B2: 45
D1: =FILTER(A1:B2,B1:B2&gt;=60)
E1: clear it so that the spill area D1:E1 is empty
MEMORY TRICK:
FILTER keeps, UNIQUE de-duplicates, SORT arranges, and one formula spills.
REAL LIFE: PROJECT / WORK:
A teacher uses FILTER to keep a live list of students below 40 marks that updates when the marks change.
REAL LIFE: INTERVIEW / EXAM:
Interview: How can you get a sorted list of the different cities from a column with repeats, using only one formula?
REAL LIFE: DAILY LIFE:
It is like pouring tea once and the cup fills itself to the right level without you doing anything more.</t>
        </is>
      </c>
      <c r="C40" s="29" t="inlineStr">
        <is>
          <t>09_Analysis_Advanced_XL-039</t>
        </is>
      </c>
    </row>
    <row r="41" ht="409" customHeight="1">
      <c r="A41" s="29" t="inlineStr">
        <is>
          <t>Power Query
Which Data tab tool cleans and combines data with recorded steps that you can run again with one click?
A1: Name
A2: Asha
A3: Ravi
A4: Asha
A5: Meena
Steps: click any cell in A1:A5 &gt; Data tab &gt; From Table/Range &gt; OK &gt; select the Name column &gt; Home tab &gt; Remove Rows &gt; Remove Duplicates &gt; Close &amp; Load</t>
        </is>
      </c>
      <c r="B41" s="29" t="inlineStr">
        <is>
          <t>MEANING (SHORT):
Power Query imports data, cleans it with recorded steps, and loads the result into a sheet that you can refresh.
MEANING IN LEARNER'S LANGUAGE:
डेटा लाना, साफ़ करना और हर बार एक क्लिक में दोबारा चलाना
CODE:
A1: Name
A2: Asha
A3: Ravi
A4: Asha
A5: Meena
Steps: click any cell in A1:A5 &gt; Data tab &gt; From Table/Range &gt; OK &gt; select the Name column &gt; Home tab &gt; Remove Rows &gt; Remove Duplicates &gt; Close &amp; Load
OUTPUT:
A new sheet shows a table with three names: Asha, Ravi and Meena
EXPLANATION:
Power Query opens its own editor where each action becomes a step in the Applied Steps list on the right. When you choose Close &amp; Load, the result is written to a sheet as a table. Your original data is not changed.
SIMPLE EXPLANATION (HINGLISH):
Power Query me aap ek baar saaf karne ke steps banate ho, aur Excel unhe yaad rakhta hai. Agli baar naya data aaye to Refresh All dabao aur wahi saare steps dobara chal jate hain.
REAL-LIFE ANALOGY:
Like a recipe card: you write the steps once and can cook the same dish again with new ingredients.
SYNTAX PATTERN:
Data tab &gt; Get Data (or From Table/Range, or From Text/CSV) &gt; Power Query Editor &gt; Close &amp; Load
ANATOMY:
Source = where the data comes from | Applied Steps = the list of recorded actions | Transform = clean-up actions like Remove Duplicates | Close &amp; Load = write the result to a sheet | Refresh All = run all steps again
EXAMPLE 1:
Data tab &gt; Get Data &gt; From File &gt; From Text/CSV &gt; choose a CSV file &gt; Load
Result: the CSV rows appear in a new sheet as a table
EXAMPLE 2:
A1: Name
A2: Asha
A3: Ravi
A4: Asha
Click a cell &gt; Data &gt; From Table/Range &gt; select Name column &gt; Remove Rows &gt; Remove Duplicates &gt; Close &amp; Load
Result: Asha and Ravi, one time each
EXAMPLE 3:
Data tab &gt; Get Data &gt; Combine Queries &gt; Append &gt; choose two tables &gt; OK &gt; Close &amp; Load
Result: the rows of the second table are added below the first table in one list
VARIATION:
Data tab &gt; Refresh All (Ctrl+Alt+F5) runs every query again
Home tab &gt; Merge Queries joins two tables like a lookup
Click the cross next to a step in Applied Steps to delete that step
USED WITH:
Table (Ctrl+T), PivotTable, CSV files, Refresh All
RELATED CONCEPTS:
PivotTable, Text to Columns, Table (Ctrl+T)
ALTERNATIVES:
Manual clean-up, Text to Columns, Remove Duplicates on the Data tab, VBA macros
FAMILY / GROUP:
Power Query, Get &amp; Transform, Applied Steps, Query, Refresh All, M language
WHERE IT IS USED:
Monthly CSV imports | Combining many files into one table | Cleaning exported data before a PivotTable
MINI CONVERSATION:
A: Every month I get a new export and clean the same columns by hand. | B: Record the clean-up in Power Query once, and next month just click Refresh All.
COMMON MISTAKE:
✗ Power Query changes my original data table → ✓ It reads the source and writes a new result table, so the original data stays as it was
COMMONLY CONFUSED WITH:
Power Query vs a macro: Power Query records data-cleaning steps that refresh with new data, while a macro (VBA) records any clicks and keystrokes in Excel as code.
AVOID / DON'T:
Do not edit the loaded result table by hand, because the next refresh will overwrite your changes.
WRONG CODE:
Clean the new month's file by hand again, and then paste it over the old data every time
RIGHT CODE:
Load the file with Data &gt; From Text/CSV, clean it in Power Query once, then use Data &gt; Refresh All each month
MEMORY TRICK:
Power Query = record the clean-up once, replay it forever.
REAL LIFE: PROJECT / WORK:
An accountant loads a bank CSV every month, removes blank rows, changes the date type and refreshes the same query.
REAL LIFE: INTERVIEW / EXAM:
Interview: How would you combine twelve monthly files with the same columns into one table in Excel?
REAL LIFE: DAILY LIFE:
It is like a washing machine program: you choose the steps once and press start every week.</t>
        </is>
      </c>
      <c r="C41" s="29" t="inlineStr">
        <is>
          <t>09_Analysis_Advanced_XL-040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202.5" customHeight="1">
      <c r="A2" s="29" t="inlineStr">
        <is>
          <t>MCQ: A sheet has A1 = 4, A2 = 6, A3 = 8 and A4 = 10. What does =SUM(A2:A4) return?
A) 18 B) 24 C) 28 D) 30
FILL: The address of the cell in column C and row 3 is ____
HINDI TO TASK: Write a formula that adds the numbers in cells B2 down to B6.
PRACTICE QUESTION: A1: 4
A2: 6
A3: 8
A4: 10
B1: =SUM(A2:A4)
What does B1 show?</t>
        </is>
      </c>
      <c r="B2" s="29" t="inlineStr">
        <is>
          <t>MCQ answer: B  A2:A4 covers A2, A3 and A4, so 6 + 8 + 10 = 24; 28 would include A1 only by mistake, and 30 is a different total.
Fill answer: C3
Task answer:
B7: =SUM(B2:B6)
Practice answer:
24</t>
        </is>
      </c>
      <c r="C2" s="29" t="inlineStr">
        <is>
          <t>01_Basics_&amp;_Cells_Beginner_XL-001_quiz</t>
        </is>
      </c>
    </row>
    <row r="3" ht="216" customHeight="1">
      <c r="A3" s="29" t="inlineStr">
        <is>
          <t>MCQ: A cell shows 2500 on the left side of the cell, and SUM leaves it out. What is the most likely reason?
A) It is stored as text B) It is formatted as currency C) It is stored as a date D) The column is too narrow
FILL: Excel stores the date 1 January 2024 internally as the number ____
HINDI TO TASK: Write a formula that tells whether cell A1 holds a number.
PRACTICE QUESTION: A1: 50
A2: '50 (text)
A3: 50
B1: =SUM(A1:A3)
What does B1 show?</t>
        </is>
      </c>
      <c r="B3" s="29" t="inlineStr">
        <is>
          <t>MCQ answer: A  Numbers align right by default and SUM skips text; currency or date formats do not make SUM skip a value.
Fill answer: 45292
Task answer:
B1: =ISNUMBER(A1)
Practice answer:
100</t>
        </is>
      </c>
      <c r="C3" s="29" t="inlineStr">
        <is>
          <t>01_Basics_&amp;_Cells_Beginner_XL-002_quiz</t>
        </is>
      </c>
    </row>
    <row r="4" ht="189" customHeight="1">
      <c r="A4" s="29" t="inlineStr">
        <is>
          <t>MCQ: A1 contains 5 and nothing else. You drag the fill handle from A1 down to A3 without pressing any key. What does A3 show?
A) 3 B) 5 C) 7 D) 15
FILL: The small square at the bottom-right corner of a selected cell is called the ____
HINDI TO TASK: Fill the numbers 10, 20, 30, 40 in column A using only two typed cells.
PRACTICE QUESTION: A1: 10
A2: 20
You select A1:A2 and drag the fill handle down to A4.
What does A4 show?</t>
        </is>
      </c>
      <c r="B4" s="29" t="inlineStr">
        <is>
          <t>MCQ answer: B  One plain number is copied, so A2 and A3 both show 5; counting needs two example cells or the Ctrl key.
Fill answer: fill handle
Task answer:
A1: 10
A2: 20
Select A1:A2 and drag the fill handle down to A4
Practice answer:
40</t>
        </is>
      </c>
      <c r="C4" s="29" t="inlineStr">
        <is>
          <t>01_Basics_&amp;_Cells_Beginner_XL-003_quiz</t>
        </is>
      </c>
    </row>
    <row r="5" ht="189" customHeight="1">
      <c r="A5" s="29" t="inlineStr">
        <is>
          <t>MCQ: You used Flash Fill to get first names in column B. Later you change the name in A2. What happens to the value in B2?
A) It updates by itself B) It turns into an error C) It stays as it was D) It is deleted
FILL: The Windows shortcut for Flash Fill is Ctrl + ____
HINDI TO TASK: Column A has full names. Get only the first name in column B using Flash Fill.
PRACTICE QUESTION: A1: Ravi Kumar
A2: Sita Devi
You type Ravi in B1, click B2 and press Ctrl+E.
What does B2 show?</t>
        </is>
      </c>
      <c r="B5" s="29" t="inlineStr">
        <is>
          <t>MCQ answer: C  Flash Fill pastes fixed values, not formulas, so B2 does not follow A2 afterwards.
Fill answer: E
Task answer:
B1: type the first name by hand
Click B2 and press Ctrl+E
Practice answer:
Sita</t>
        </is>
      </c>
      <c r="C5" s="29" t="inlineStr">
        <is>
          <t>01_Basics_&amp;_Cells_Beginner_XL-004_quiz</t>
        </is>
      </c>
    </row>
    <row r="6" ht="189" customHeight="1">
      <c r="A6" s="29" t="inlineStr">
        <is>
          <t>MCQ: C2 holds =A2*B1. You copy C2 down to C3. What does C3 contain?
A) =A3*B1 B) =A3*B2 C) =A2*B2 D) =A3*$B$1
FILL: To lock both the column and row of B1 in a formula, write ____
HINDI TO TASK: Price is in A2:A4 and the discount rate is in D1. Write the formula for C2 so it can be copied down.
PRACTICE QUESTION: A1: 5
B2: 10
B3: 20
C2: =B2*$A$1
You copy C2 to C3.
What does C3 show?</t>
        </is>
      </c>
      <c r="B6" s="29" t="inlineStr">
        <is>
          <t>MCQ answer: B  Without dollar signs both references move down by one row, so A2 becomes A3 and B1 becomes B2.
Fill answer: $B$1
Task answer:
C2: =A2*$D$1
Practice answer:
100</t>
        </is>
      </c>
      <c r="C6" s="29" t="inlineStr">
        <is>
          <t>01_Basics_&amp;_Cells_Beginner_XL-005_quiz</t>
        </is>
      </c>
    </row>
    <row r="7" ht="202.5" customHeight="1">
      <c r="A7" s="29" t="inlineStr">
        <is>
          <t>MCQ: A1 = 2, A2 holds the text '3 (typed with an apostrophe) and A3 = 4. What does =SUM(A1:A3) show?
A) 9 B) 6 C) #VALUE! D) 2
FILL: The Windows shortcut for AutoSum is Alt + ____
HINDI TO TASK: Add the numbers in A1 to A2 and also B2 in one formula.
PRACTICE QUESTION: A1: 12
A2: 8
B1: 5
B2: 15
C1: =SUM(A1:A2,B2)
What does C1 show?</t>
        </is>
      </c>
      <c r="B7" s="29" t="inlineStr">
        <is>
          <t>MCQ answer: B  SUM skips text inside a range, so only 2 and 4 are added; 9 would count the text as 3.
Fill answer: =
Task answer:
C1: =SUM(A1:A2,B2)
Practice answer:
35</t>
        </is>
      </c>
      <c r="C7" s="29" t="inlineStr">
        <is>
          <t>02_Basic_Functions_Beginner_XL-006_quiz</t>
        </is>
      </c>
    </row>
    <row r="8" ht="216" customHeight="1">
      <c r="A8" s="29" t="inlineStr">
        <is>
          <t>MCQ: Cells A1, A2, A3 hold 50, 0 (typed zero) and 100. What does =AVERAGE(A1:A3) show?
A) 75 B) 50 C) 150 D) 0
FILL: The function that returns the biggest number in a range is ____
HINDI TO TASK: Find the lowest mark in cells A1 to A5 using a formula.
PRACTICE QUESTION: A1: 4
A2: 8
A3: (empty)
A4: 12
B1: =AVERAGE(A1:A4)
What does B1 show?</t>
        </is>
      </c>
      <c r="B8" s="29" t="inlineStr">
        <is>
          <t>MCQ answer: B  The zero counts as a value, so the total 150 is divided by 3 giving 50; 75 would ignore the zero.
Fill answer: MAX
Task answer:
B1: =MIN(A1:A5)
Practice answer:
8</t>
        </is>
      </c>
      <c r="C8" s="29" t="inlineStr">
        <is>
          <t>02_Basic_Functions_Beginner_XL-007_quiz</t>
        </is>
      </c>
    </row>
    <row r="9" ht="216" customHeight="1">
      <c r="A9" s="29" t="inlineStr">
        <is>
          <t>MCQ: A1 = 5, A2 = Amit, A3 is empty and A4 = 9. What does =COUNT(A1:A4) return?
A) 4 B) 3 C) 2 D) 1
FILL: The function that counts empty cells in a range is ____
HINDI TO TASK: Count how many cells from A1 to A10 contain anything at all.
PRACTICE QUESTION: A1: 7
A2: hello
A3: (empty)
A4: 3
A5: (empty)
B1: =COUNTA(A1:A5)-COUNT(A1:A5)
What does B1 show?</t>
        </is>
      </c>
      <c r="B9" s="29" t="inlineStr">
        <is>
          <t>MCQ answer: C  COUNT counts only numbers, so 5 and 9 give 2; 3 would be COUNTA, which also counts the name.
Fill answer: COUNTBLANK
Task answer:
B1: =COUNTA(A1:A10)
Practice answer:
1</t>
        </is>
      </c>
      <c r="C9" s="29" t="inlineStr">
        <is>
          <t>02_Basic_Functions_Beginner_XL-008_quiz</t>
        </is>
      </c>
    </row>
    <row r="10" ht="148.5" customHeight="1">
      <c r="A10" s="29" t="inlineStr">
        <is>
          <t>MCQ: What does the formula =ROUNDDOWN(-3.7,0) return?
A) -4 B) -3 C) -3.7 D) 0
FILL: =ROUND(1234,-2) gives ____
HINDI TO TASK: Round the number in A1 to one decimal place and always upwards.
PRACTICE QUESTION: A1: 15.249
B1: =ROUNDUP(A1,1)
What does B1 show?</t>
        </is>
      </c>
      <c r="B10" s="29" t="inlineStr">
        <is>
          <t>MCQ answer: B  ROUNDDOWN moves toward zero, so -3.7 becomes -3; -4 would be ROUNDUP, which moves away from zero.
Fill answer: 1200
Task answer:
B1: =ROUNDUP(A1,1)
Practice answer:
15.3</t>
        </is>
      </c>
      <c r="C10" s="29" t="inlineStr">
        <is>
          <t>02_Basic_Functions_Beginner_XL-009_quiz</t>
        </is>
      </c>
    </row>
    <row r="11" ht="175.5" customHeight="1">
      <c r="A11" s="29" t="inlineStr">
        <is>
          <t>MCQ: You type 25% directly into an empty cell. What value does Excel store in that cell?
A) 25 B) 0.25 C) 2.5 D) 0.025
FILL: The Windows shortcut to apply Percentage format is Ctrl+Shift+____
HINDI TO TASK: Make the number 1234.5 in cell A1 appear as currency with two decimals.
PRACTICE QUESTION: A1: 0.07
Select A1 and press Ctrl+Shift+5.
What does A1 show?</t>
        </is>
      </c>
      <c r="B11" s="29" t="inlineStr">
        <is>
          <t>MCQ answer: B  Excel stores a percent as a fraction of 1, so 25% is 0.25; the % sign is only how it is displayed.
Fill answer: 5
Task answer:
Select A1 and press Ctrl+Shift+4
Practice answer:
7%</t>
        </is>
      </c>
      <c r="C11" s="29" t="inlineStr">
        <is>
          <t>03_Formatting_&amp;_Organising_Beginner_XL-010_quiz</t>
        </is>
      </c>
    </row>
    <row r="12" ht="216" customHeight="1">
      <c r="A12" s="29" t="inlineStr">
        <is>
          <t>MCQ: You select only column B (Marks) in a Name and Marks table and sort it, choosing Continue with the current selection. What happens to the names in column A?
A) They move together with the marks B) They stay where they were, so names no longer match marks C) They are sorted A to Z as well D) Excel deletes them
FILL: To keep names with their marks, choose ____ the selection when Excel asks
HINDI TO TASK: Make a small list of three items with prices and put it in order from the lowest price to the highest.
PRACTICE QUESTION: A1: Item, B1: Price. A2: Pen 20, A3: Book 50, A4: Ink 5. You click B2 and use Data tab &gt; Sort Smallest to Largest. In what order do the items appear from row 2 to row 4?</t>
        </is>
      </c>
      <c r="B12" s="29" t="inlineStr">
        <is>
          <t>MCQ answer: B  Continue with the current selection sorts only the selected cells, so column A is untouched and the rows no longer match.
Fill answer: Expand
Task answer:
A1: Item
B1: Price
A2: Pen
B2: 20
A3: Book
B3: 50
A4: Ink
B4: 5
Steps: click B2 &gt; Data tab &gt; Sort Smallest to Largest
Result: Ink 5, Pen 20, Book 50
Practice answer:
Ink, Pen, Book (prices 5, 20, 50)</t>
        </is>
      </c>
      <c r="C12" s="29" t="inlineStr">
        <is>
          <t>03_Formatting_&amp;_Organising_Beginner_XL-011_quiz</t>
        </is>
      </c>
    </row>
    <row r="13" ht="229.5" customHeight="1">
      <c r="A13" s="29" t="inlineStr">
        <is>
          <t>MCQ: After you filter a City column to show only Delhi, where do the Pune rows go?
A) They are permanently deleted B) They are moved to a new sheet C) They are hidden but still in the sheet D) They are changed to Delhi
FILL: The keyboard shortcut to turn filter arrows on or off is ____
HINDI TO TASK: Show only the items that have a quantity greater than 5 from a small three-row list.
PRACTICE QUESTION: A1: Item, B1: Qty. A2: Pen 10, A3: Book 3, A4: Ink 7. You apply Number Filters &gt; Greater Than &gt; 5 on Qty. Which items stay visible?</t>
        </is>
      </c>
      <c r="B13" s="29" t="inlineStr">
        <is>
          <t>MCQ answer: C  Filter only hides non-matching rows; the row numbers skip, and clearing the filter brings them back.
Fill answer: Ctrl+Shift+L
Task answer:
A1: Item
B1: Qty
A2: Pen
B2: 10
A3: Book
B3: 3
A4: Ink
B4: 7
Steps: click A1 &gt; Ctrl+Shift+L &gt; arrow in B1 &gt; Number Filters &gt; Greater Than &gt; 5 &gt; OK
Result: Pen and Ink are visible
Practice answer:
Pen and Ink (Book is hidden)</t>
        </is>
      </c>
      <c r="C13" s="29" t="inlineStr">
        <is>
          <t>03_Formatting_&amp;_Organising_Beginner_XL-012_quiz</t>
        </is>
      </c>
    </row>
    <row r="14" ht="162" customHeight="1">
      <c r="A14" s="29" t="inlineStr">
        <is>
          <t>MCQ: You want rows 1 and 2 and column A to stay fixed while scrolling. Which cell should you click before choosing Freeze Panes?
A) A2 B) B2 C) B3 D) C3
FILL: To turn frozen rows off, choose View tab &gt; Freeze Panes &gt; ____
HINDI TO TASK: Keep the top heading row of a long list fixed while scrolling down.
PRACTICE QUESTION: You want rows 1 and 2 and also column A to stay fixed. Which cell do you click before using View tab &gt; Freeze Panes &gt; Freeze Panes?</t>
        </is>
      </c>
      <c r="B14" s="29" t="inlineStr">
        <is>
          <t>MCQ answer: C  Excel freezes everything above and to the left of the clicked cell: rows 1 and 2 are above row 3, and column A is left of column B.
Fill answer: Unfreeze Panes
Task answer:
Steps: View tab &gt; Freeze Panes &gt; Freeze Top Row
Result: row 1 stays on the screen
Practice answer:
B3</t>
        </is>
      </c>
      <c r="C14" s="29" t="inlineStr">
        <is>
          <t>03_Formatting_&amp;_Organising_Beginner_XL-013_quiz</t>
        </is>
      </c>
    </row>
    <row r="15" ht="202.5" customHeight="1">
      <c r="A15" s="29" t="inlineStr">
        <is>
          <t>MCQ: A table named Table1 has Sales values 100 and 250, and you type 50 in the next empty row directly below it. What does =SUM(Table1[Sales]) give?
A) 350 B) 400 C) 300 D) 150
FILL: The keyboard shortcut to create a table is ____
HINDI TO TASK: Turn a small list of two items and their sales into a table and total the sales with a formula.
PRACTICE QUESTION: Table1 has Sales values 100 and 250. You type Ink and 50 in the row directly below the table. D1 has =SUM(Table1[Sales]). What does D1 show?</t>
        </is>
      </c>
      <c r="B15" s="29" t="inlineStr">
        <is>
          <t>MCQ answer: B  The table expands to include the new row, so the sum is 100 + 250 + 50 = 400; 350 would be the old total before the new row.
Fill answer: Ctrl+T
Task answer:
A1: Item
B1: Sales
A2: Pen
B2: 100
A3: Book
B3: 250
Steps: click A1 &gt; Ctrl+T &gt; OK
D1: =SUM(Table1[Sales])
Result: 350
Practice answer:
400</t>
        </is>
      </c>
      <c r="C15" s="29" t="inlineStr">
        <is>
          <t>03_Formatting_&amp;_Organising_Intermediate_XL-014_quiz</t>
        </is>
      </c>
    </row>
    <row r="16" ht="162" customHeight="1">
      <c r="A16" s="29" t="inlineStr">
        <is>
          <t>MCQ: A1 has 30, A2 has 55 and A3 has 80. You apply Highlight Cells Rules &gt; Greater Than &gt; 50 to A1:A3. Which cells are coloured?
A) Only A3 B) A1 and A2 C) A2 and A3 D) All three
FILL: To remove a rule, use Conditional Formatting &gt; ____ Rules
HINDI TO TASK: Colour all marks that are above 50 in a small three-cell list.
PRACTICE QUESTION: A1: 10, A2: 45, A3: 60, A4: 25. You apply Highlight Cells Rules &gt; Less Than &gt; 30 to A1:A4. Which cells get coloured?</t>
        </is>
      </c>
      <c r="B16" s="29" t="inlineStr">
        <is>
          <t>MCQ answer: C  55 and 80 are greater than 50; 30 is not. Only A3 would be wrong because 55 also passes the rule.
Fill answer: Clear
Task answer:
A1: 30
A2: 55
A3: 80
Steps: select A1:A3 &gt; Home tab &gt; Conditional Formatting &gt; Highlight Cells Rules &gt; Greater Than &gt; 50 &gt; OK
Result: A2 and A3 are coloured
Practice answer:
A1 and A4 (10 and 25)</t>
        </is>
      </c>
      <c r="C16" s="29" t="inlineStr">
        <is>
          <t>03_Formatting_&amp;_Organising_Intermediate_XL-015_quiz</t>
        </is>
      </c>
    </row>
    <row r="17" ht="162" customHeight="1">
      <c r="A17" s="29" t="inlineStr">
        <is>
          <t>MCQ: In Data Validation with Allow: List, the Source box contains Red,Green,Blue. How many choices appear in the drop-down?
A) 1 B) 2 C) 3 D) 4
FILL: In Data Validation, the setting to choose a drop-down is Allow: ____
HINDI TO TASK: Make a cell that lets the user pick only Yes or No.
PRACTICE QUESTION: In Data Validation, Allow is List and Source is typed as Pen,Book,Ink. How many items are in the drop-down and which is the second?</t>
        </is>
      </c>
      <c r="B17" s="29" t="inlineStr">
        <is>
          <t>MCQ answer: C  Commas separate the typed list into Red, Green and Blue, which makes three choices.
Fill answer: List
Task answer:
Steps: click B2 &gt; Data tab &gt; Data Validation &gt; Settings &gt; Allow: List &gt; Source: Yes,No &gt; OK
Result: B2 shows a drop-down with Yes and No
Practice answer:
3 items; the second is Book</t>
        </is>
      </c>
      <c r="C17" s="29" t="inlineStr">
        <is>
          <t>03_Formatting_&amp;_Organising_Intermediate_XL-016_quiz</t>
        </is>
      </c>
    </row>
    <row r="18" ht="175.5" customHeight="1">
      <c r="A18" s="29" t="inlineStr">
        <is>
          <t>MCQ: A Name column has Pen, Book, Pen, Pen, Ink and you run Remove Duplicates on it. How many unique values remain?
A) 5 B) 4 C) 3 D) 2
FILL: The tab that holds the Remove Duplicates button is the ____ tab
HINDI TO TASK: Remove the repeated name from a small list so each name appears only once.
PRACTICE QUESTION: A1: Name. A2: Pen, A3: Book, A4: Pen, A5: Pen, A6: Ink. You use Data tab &gt; Remove Duplicates on the Name column. How many duplicates are removed and how many unique values remain?</t>
        </is>
      </c>
      <c r="B18" s="29" t="inlineStr">
        <is>
          <t>MCQ answer: C  The unique values are Pen, Book and Ink, so 3 remain and 2 repeated Pen rows are removed.
Fill answer: Data
Task answer:
A1: Name
A2: Asha
A3: Ravi
A4: Asha
Steps: click A1 &gt; Data tab &gt; Remove Duplicates &gt; tick Name &gt; OK
Result: Asha, Ravi
Practice answer:
2 duplicates removed; 3 unique values remain (Pen, Book, Ink)</t>
        </is>
      </c>
      <c r="C18" s="29" t="inlineStr">
        <is>
          <t>03_Formatting_&amp;_Organising_Beginner_XL-017_quiz</t>
        </is>
      </c>
    </row>
    <row r="19" ht="175.5" customHeight="1">
      <c r="A19" s="29" t="inlineStr">
        <is>
          <t>MCQ: You copy a cell with =SUM(A1:A2) that shows 30, and paste into B1 using Paste Special &gt; Values. What is in B1?
A) The formula =SUM(A1:A2) B) The number 30 as a fixed value C) The text SUM D) Nothing
FILL: On Windows, the shortcut to open Paste Special is Ctrl+Alt+____
HINDI TO TASK: Copy a total from a formula cell and paste it as a plain number.
PRACTICE QUESTION: A1: 5, A2: 8, D1: 2. You copy D1, select A1:A2, then Ctrl+Alt+V &gt; Multiply &gt; OK. What are A1 and A2 afterwards?</t>
        </is>
      </c>
      <c r="B19" s="29" t="inlineStr">
        <is>
          <t>MCQ answer: B  Values pastes only the calculated result; the formula stays only in the original cell.
Fill answer: V
Task answer:
A1: 10
A2: 20
A3: =SUM(A1:A2)
Steps: click A3 &gt; Ctrl+C &gt; click B1 &gt; Ctrl+Alt+V &gt; Values &gt; OK
Result: B1 shows 30 as a plain number
Practice answer:
A1 is 10 and A2 is 16</t>
        </is>
      </c>
      <c r="C19" s="29" t="inlineStr">
        <is>
          <t>03_Formatting_&amp;_Organising_Intermediate_XL-018_quiz</t>
        </is>
      </c>
    </row>
    <row r="20" ht="162" customHeight="1">
      <c r="A20" s="29" t="inlineStr">
        <is>
          <t>MCQ: B2 holds the number 50. What does =IF(B2&gt;50,"High","Low") show?
A) High B) Low C) 50 D) FALSE
FILL: In =IF(A1&gt;=40,"Pass",____), type the text shown when the mark is below 40
HINDI TO TASK: Write a formula that shows Pass if A1 is 40 or more, otherwise Fail.
PRACTICE QUESTION: A1: 35
B1: =IF(A1&gt;=40,"Pass","Fail")
What does B1 show?</t>
        </is>
      </c>
      <c r="B20" s="29" t="inlineStr">
        <is>
          <t>MCQ answer: B  50 is not greater than 50, so the test is false and the third part, Low, is returned.
Fill answer: "Fail"
Task answer:
A1: 35
B1: =IF(A1&gt;=40,"Pass","Fail")
Result: Fail
Practice answer:
Fail</t>
        </is>
      </c>
      <c r="C20" s="29" t="inlineStr">
        <is>
          <t>04_Logic_Beginner_XL-019_quiz</t>
        </is>
      </c>
    </row>
    <row r="21" ht="189" customHeight="1">
      <c r="A21" s="29" t="inlineStr">
        <is>
          <t>MCQ: A scholarship is given if marks (A1) are 80 or more, OR attendance (B1) is 90 or more. Which formula is correct?
A) =AND(A1&gt;=80,B1&gt;=90) B) =OR(A1&gt;=80,B1&gt;=90) C) =NOT(A1&gt;=80) D) =IF(A1&gt;=80)
FILL: To make a test pass only when all conditions are true, use ____
HINDI TO TASK: Write a formula that shows Pass only if both A1 and B1 are 40 or more.
PRACTICE QUESTION: A1: 60, B1: 20
C1: =IF(OR(A1&gt;=50,B1&gt;=50),"Yes","No")
What does C1 show?</t>
        </is>
      </c>
      <c r="B21" s="29" t="inlineStr">
        <is>
          <t>MCQ answer: B  The rule needs only one of the two conditions to be true, which is what OR does; AND would need both.
Fill answer: AND
Task answer:
A1: 50
B1: 30
C1: =IF(AND(A1&gt;=40,B1&gt;=40),"Pass","Fail")
Result: Fail
Practice answer:
Yes</t>
        </is>
      </c>
      <c r="C21" s="29" t="inlineStr">
        <is>
          <t>04_Logic_Intermediate_XL-020_quiz</t>
        </is>
      </c>
    </row>
    <row r="22" ht="148.5" customHeight="1">
      <c r="A22" s="29" t="inlineStr">
        <is>
          <t>MCQ: A1 holds 60. What does =IFS(A1&gt;90,"A",A1&gt;60,"B",TRUE,"C") show?
A) A B) B C) C D) #N/A
FILL: =____(A1&gt;=90,"A",A1&gt;=60,"B",TRUE,"C")
HINDI TO TASK: In A1 write 65. In B1 show "High" if A1 is 80 or more, "Medium" if 50 or more, otherwise "Low".
PRACTICE QUESTION: A1: 85
B1: =IFS(A1&gt;=90,"A",A1&gt;=75,"B",A1&gt;=60,"C",TRUE,"F")
What does B1 show?</t>
        </is>
      </c>
      <c r="B22" s="29" t="inlineStr">
        <is>
          <t>MCQ answer: C  60 is not more than 90 and not more than 60, so both tests fail and the TRUE catch-all gives C. B is tempting but needs A1&gt;60, not equal.
Fill answer: IFS
Task answer:
A1: 65
B1: =IFS(A1&gt;=80,"High",A1&gt;=50,"Medium",TRUE,"Low")
Practice answer:
B</t>
        </is>
      </c>
      <c r="C22" s="29" t="inlineStr">
        <is>
          <t>04_Logic_Intermediate_XL-021_quiz</t>
        </is>
      </c>
    </row>
    <row r="23" ht="162" customHeight="1">
      <c r="A23" s="29" t="inlineStr">
        <is>
          <t>MCQ: A1 holds the text abc. What does =IFERROR(A1*2,"Bad") show?
A) 0 B) #VALUE! C) Bad D) abc
FILL: =____(A1/B1,"Check")
HINDI TO TASK: In A1 write 8 and in B1 write 0. In C1 divide A1 by B1, but show the number -1 if the division fails.
PRACTICE QUESTION: A1: 8
B1: 0
C1: =IFERROR(A1/B1,-1)
What does C1 show?</t>
        </is>
      </c>
      <c r="B23" s="29" t="inlineStr">
        <is>
          <t>MCQ answer: C  Multiplying text by 2 gives #VALUE!, and IFERROR replaces that error with Bad. The error itself is never shown.
Fill answer: IFERROR
Task answer:
A1: 8
B1: 0
C1: =IFERROR(A1/B1,-1)
Practice answer:
-1</t>
        </is>
      </c>
      <c r="C23" s="29" t="inlineStr">
        <is>
          <t>04_Logic_Intermediate_XL-022_quiz</t>
        </is>
      </c>
    </row>
    <row r="24" ht="175.5" customHeight="1">
      <c r="A24" s="29" t="inlineStr">
        <is>
          <t>MCQ: A name that is not in the list is searched with =VLOOKUP("Zoya",A1:B3,2,FALSE). Which error appears?
A) #REF! B) #N/A C) #VALUE! D) #DIV/0!
FILL: Dividing a number by an empty cell gives ____
HINDI TO TASK: In A1 write 20 and in B1 write 0. In C1 divide A1 by B1 and note which error appears.
PRACTICE QUESTION: A1: 20
B1: 0
C1: =A1/B1
What does C1 show?</t>
        </is>
      </c>
      <c r="B24" s="29" t="inlineStr">
        <is>
          <t>MCQ answer: B  A lookup that finds no match returns #N/A. #REF! would need a column number larger than the table, which is not the case here.
Fill answer: #DIV/0!
Task answer:
A1: 20
B1: 0
C1: =A1/B1
C1 shows #DIV/0!
Practice answer:
#DIV/0!</t>
        </is>
      </c>
      <c r="C24" s="29" t="inlineStr">
        <is>
          <t>04_Logic_Intermediate_XL-023_quiz</t>
        </is>
      </c>
    </row>
    <row r="25" ht="256.5" customHeight="1">
      <c r="A25" s="29" t="inlineStr">
        <is>
          <t>MCQ: B1:B5 holds 100, 200, 150, 50 and 300. What does =COUNTIF(B1:B5,"&gt;100") show?
A) 2 B) 3 C) 4 D) 650
FILL: =____(A1:A5,"Delhi") counts the cells that equal Delhi
HINDI TO TASK: A1 to A4 hold Red, Blue, Red, Red and B1 to B4 hold 5, 3, 2, 10. Add only the numbers where the colour is Red.
PRACTICE QUESTION: A1: Red
A2: Blue
A3: Red
A4: Red
B1: 5
B2: 3
B3: 2
B4: 10
D1: =SUMIF(A1:A4,"Red",B1:B4)
What does D1 show?</t>
        </is>
      </c>
      <c r="B25" s="29" t="inlineStr">
        <is>
          <t>MCQ answer: B  The values above 100 are 200, 150 and 300, which makes 3 cells; 650 is their sum, which is what SUMIF would give.
Fill answer: COUNTIF
Task answer:
A1: Red
A2: Blue
A3: Red
A4: Red
B1: 5
B2: 3
B3: 2
B4: 10
D1: =SUMIF(A1:A4,"Red",B1:B4)
Practice answer:
17</t>
        </is>
      </c>
      <c r="C25" s="29" t="inlineStr">
        <is>
          <t>05_Conditional_Maths_Intermediate_XL-024_quiz</t>
        </is>
      </c>
    </row>
    <row r="26" ht="364.5" customHeight="1">
      <c r="A26" s="29" t="inlineStr">
        <is>
          <t>MCQ: With the table in the card, what does =SUMIFS(C1:C5,A1:A5,"Pune",B1:B5,"Feb") show?
A) 250 B) 200 C) 50 D) 0
FILL: =____(A1:A5,"Delhi",B1:B5,"Jan") counts rows that match both conditions
HINDI TO TASK: Using the same table, count the rows where the city is Delhi and the month is Feb.
PRACTICE QUESTION: A1: Delhi
A2: Delhi
A3: Pune
A4: Delhi
A5: Pune
B1: Jan
B2: Feb
B3: Jan
B4: Jan
B5: Feb
C1: 100
C2: 150
C3: 200
C4: 300
C5: 50
E1: =SUMIFS(C1:C5,B1:B5,"Jan",C1:C5,"&gt;100")
What does E1 show?</t>
        </is>
      </c>
      <c r="B26" s="29" t="inlineStr">
        <is>
          <t>MCQ answer: C  Only row 5 is both Pune and Feb, and its sales are 50. 250 is all Pune sales and 200 is Pune in Jan.
Fill answer: COUNTIFS
Task answer:
E1: =COUNTIFS(A1:A5,"Delhi",B1:B5,"Feb")
Practice answer:
500</t>
        </is>
      </c>
      <c r="C26" s="29" t="inlineStr">
        <is>
          <t>05_Conditional_Maths_Intermediate_XL-025_quiz</t>
        </is>
      </c>
    </row>
    <row r="27" ht="256.5" customHeight="1">
      <c r="A27" s="29" t="inlineStr">
        <is>
          <t>MCQ: A1:B3 holds IDs 101, 102, 103 with names in column B. What does =VLOOKUP(104,A1:B3,2,FALSE) show?
A) Meena B) 0 C) #N/A D) #REF!
FILL: =VLOOKUP(D1,A1:B3,2,____) gives an exact match when the last argument is
HINDI TO TASK: A1 to A3 hold Pen, Book, Bag and B1 to B3 hold 10, 50, 300. In D1 write Book. Find its price and multiply it by 2.
PRACTICE QUESTION: A1: Pen
B1: 10
A2: Book
B2: 50
A3: Bag
B3: 300
D1: Book
E1: =VLOOKUP(D1,A1:B3,2,FALSE)*2
What does E1 show?</t>
        </is>
      </c>
      <c r="B27" s="29" t="inlineStr">
        <is>
          <t>MCQ answer: C  104 is not in the first column, so an exact lookup gives #N/A. #REF! would appear only if the column number were larger than the table.
Fill answer: FALSE
Task answer:
A1: Pen
B1: 10
A2: Book
B2: 50
A3: Bag
B3: 300
D1: Book
E1: =VLOOKUP(D1,A1:B3,2,FALSE)*2
Practice answer:
100</t>
        </is>
      </c>
      <c r="C27" s="29" t="inlineStr">
        <is>
          <t>06_Lookup_Intermediate_XL-026_quiz</t>
        </is>
      </c>
    </row>
    <row r="28" ht="229.5" customHeight="1">
      <c r="A28" s="29" t="inlineStr">
        <is>
          <t>MCQ: A1:A3 holds Asha, Ravi, Meena and B1:B3 holds 50, 70, 60. What does =INDEX(B1:B3,MATCH("Meena",A1:A3,0)) show?
A) 3 B) 60 C) 70 D) Meena
FILL: =INDEX(B1:B3,____("Ravi",A1:A3,0)) finds the position of Ravi
HINDI TO TASK: A1 to A3 hold Pen, Book, Bag and B1 to B3 hold 10, 50, 300. Find the item name whose price is 50 using INDEX and MATCH.
PRACTICE QUESTION: A1: Pen
B1: 10
A2: Book
B2: 50
A3: Bag
B3: 300
D1: =INDEX(A1:A3,MATCH(50,B1:B3,0))
What does D1 show?</t>
        </is>
      </c>
      <c r="B28" s="29" t="inlineStr">
        <is>
          <t>MCQ answer: B  MATCH gives position 3 and INDEX returns the third value of B1:B3, which is 60. The answer 3 would come from MATCH alone.
Fill answer: MATCH
Task answer:
A1: Pen
B1: 10
A2: Book
B2: 50
A3: Bag
B3: 300
D1: =INDEX(A1:A3,MATCH(50,B1:B3,0))
Practice answer:
Book</t>
        </is>
      </c>
      <c r="C28" s="29" t="inlineStr">
        <is>
          <t>06_Lookup_Advanced_XL-027_quiz</t>
        </is>
      </c>
    </row>
    <row r="29" ht="243" customHeight="1">
      <c r="A29" s="29" t="inlineStr">
        <is>
          <t>MCQ: A1:A3 holds Asha, Ravi, Meena and B1:B3 holds 50, 70, 60. What does =XLOOKUP("ravi",A1:A3,B1:B3) show?
A) 70 B) #N/A C) 50 D) 60
FILL: =____("Ravi",A1:A3,B1:B3) is the lookup function that needs Microsoft 365 or Excel 2021
HINDI TO TASK: A1 to A3 hold Pen, Book, Bag and B1 to B3 hold 10, 50, 300. Look up Cap and show the words Not found if it is missing.
PRACTICE QUESTION: A1: Pen
B1: 10
A2: Book
B2: 50
A3: Bag
B3: 300
D1: =XLOOKUP("Cap",A1:A3,B1:B3,"Not found")
What does D1 show?</t>
        </is>
      </c>
      <c r="B29" s="29" t="inlineStr">
        <is>
          <t>MCQ answer: A  XLOOKUP ignores upper and lower case, so ravi matches Ravi in position 2 and returns 70.
Fill answer: XLOOKUP
Task answer:
A1: Pen
B1: 10
A2: Book
B2: 50
A3: Bag
B3: 300
D1: =XLOOKUP("Cap",A1:A3,B1:B3,"Not found")
Practice answer:
Not found</t>
        </is>
      </c>
      <c r="C29" s="29" t="inlineStr">
        <is>
          <t>06_Lookup_Advanced_XL-028_quiz</t>
        </is>
      </c>
    </row>
    <row r="30" ht="148.5" customHeight="1">
      <c r="A30" s="29" t="inlineStr">
        <is>
          <t>MCQ: A1 holds INV-4501. What does =MID(A1,5,2) show?
A) 4501 B) 45 C) -4 D) 50
FILL: =____(A1,3) gives the first 3 characters of the text in A1
HINDI TO TASK: In A1 write ORDER-9087. In B1 show the first 5 letters, a slash, and the last 2 characters joined together.
PRACTICE QUESTION: A1: ORDER-9087
B1: =LEFT(A1,5)&amp;"/"&amp;RIGHT(A1,2)
What does B1 show?</t>
        </is>
      </c>
      <c r="B30" s="29" t="inlineStr">
        <is>
          <t>MCQ answer: B  The characters are I, N, V, dash, then 4 is at position 5, so taking 2 characters gives 45. The answer 4501 would need 4 characters.
Fill answer: LEFT
Task answer:
A1: ORDER-9087
B1: =LEFT(A1,5)&amp;"/"&amp;RIGHT(A1,2)
Practice answer:
ORDER/87</t>
        </is>
      </c>
      <c r="C30" s="29" t="inlineStr">
        <is>
          <t>07_Text_Beginner_XL-029_quiz</t>
        </is>
      </c>
    </row>
    <row r="31" ht="175.5" customHeight="1">
      <c r="A31" s="29" t="inlineStr">
        <is>
          <t>MCQ: A1 holds two spaces, then Hi, then two spaces. What does =LEN(TRIM(A1)) show?
A) 6 B) 4 C) 2 D) 0
FILL: =____(A1) removes extra spaces from the text in A1
HINDI TO TASK: In A1 write Meena with two spaces on each side. In B1 show how many characters Meena has after the extra spaces are removed.
PRACTICE QUESTION: A1: (one space)Ravi(two spaces)Kumar(one space)
B1: =LEN(A1)-LEN(TRIM(A1))
What does B1 show?</t>
        </is>
      </c>
      <c r="B31" s="29" t="inlineStr">
        <is>
          <t>MCQ answer: C  TRIM removes all the spaces at both ends, leaving Hi, which has 2 characters. 6 would be LEN without TRIM.
Fill answer: TRIM
Task answer:
A1: (two spaces)Meena(two spaces)
B1: =LEN(TRIM(A1))
Practice answer:
3</t>
        </is>
      </c>
      <c r="C31" s="29" t="inlineStr">
        <is>
          <t>07_Text_Beginner_XL-030_quiz</t>
        </is>
      </c>
    </row>
    <row r="32" ht="202.5" customHeight="1">
      <c r="A32" s="29" t="inlineStr">
        <is>
          <t>MCQ: A1 has Hi, A2 is an empty cell, A3 has Yes. What does =TEXTJOIN("-",TRUE,A1:A3) show?
A) Hi-Yes B) Hi-blank-Yes C) Yes-Hi D) #VALUE!
FILL: =____(", ",TRUE,A1:A3) joins the range with commas and skips empty cells
HINDI TO TASK: A1 has a first name and B1 has a last name. Write a formula in C1 that shows both names with one space between them.
PRACTICE QUESTION: A1: Sun
A2: Mon
A3: Tue
B1: =TEXTJOIN("/",TRUE,A1:A3)
What does B1 show?</t>
        </is>
      </c>
      <c r="B32" s="29" t="inlineStr">
        <is>
          <t>MCQ answer: A  TRUE tells TEXTJOIN to skip the empty cell, so only one dash is placed between Hi and Yes. FALSE would give Hi--Yes.
Fill answer: TEXTJOIN
Task answer:
A1: Asha
B1: Rao
C1: =A1&amp;" "&amp;B1
Practice answer:
Sun/Mon/Tue</t>
        </is>
      </c>
      <c r="C32" s="29" t="inlineStr">
        <is>
          <t>07_Text_Intermediate_XL-031_quiz</t>
        </is>
      </c>
    </row>
    <row r="33" ht="162" customHeight="1">
      <c r="A33" s="29" t="inlineStr">
        <is>
          <t>MCQ: B1: =TEXT(0.256,"0%") What do you get, and what type of value is it?
A) The number 0.256 B) The number 26 C) The text 26% D) The text 0.256%
FILL: =____(7,"000") shows 007
HINDI TO TASK: A1 has the number 1234567. Show it with commas in B1 using TEXT.
PRACTICE QUESTION: B1: =TEXT(DATE(2024,8,15),"dddd")
Which day name does B1 show?</t>
        </is>
      </c>
      <c r="B33" s="29" t="inlineStr">
        <is>
          <t>MCQ answer: C  The format 0% multiplies by 100 and adds the sign, and TEXT always returns text, so it is the text 26%.
Fill answer: TEXT
Task answer:
A1: 1234567
B1: =TEXT(A1,"#,##0")
Practice answer:
Thursday</t>
        </is>
      </c>
      <c r="C33" s="29" t="inlineStr">
        <is>
          <t>07_Text_Intermediate_XL-032_quiz</t>
        </is>
      </c>
    </row>
    <row r="34" ht="175.5" customHeight="1">
      <c r="A34" s="29" t="inlineStr">
        <is>
          <t>MCQ: A1 holds Pune;Agra;Delhi. Which separator should you choose in the wizard to place each city in its own column?
A) Comma B) Space C) Semicolon D) Tab
FILL: Data tab &gt; ____ to Columns splits one column into many
HINDI TO TASK: A1 has Asha,Rao,Delhi. Split it into three columns using the wizard.
PRACTICE QUESTION: A1: 10;20;30
B1 and C1 are empty
You use Text to Columns on A1, Delimited, Semicolon. What do A1, B1 and C1 show?</t>
        </is>
      </c>
      <c r="B34" s="29" t="inlineStr">
        <is>
          <t>MCQ answer: C  The cities are separated by semicolon signs, so the Semicolon box must be ticked. Choosing Comma would leave the whole text in one cell.
Fill answer: Text
Task answer:
Select A1 &gt; Data tab &gt; Text to Columns &gt; Delimited &gt; Next &gt; tick Comma &gt; Finish
Practice answer:
A1 shows 10, B1 shows 20, C1 shows 30</t>
        </is>
      </c>
      <c r="C34" s="29" t="inlineStr">
        <is>
          <t>07_Text_Intermediate_XL-033_quiz</t>
        </is>
      </c>
    </row>
    <row r="35" ht="148.5" customHeight="1">
      <c r="A35" s="29" t="inlineStr">
        <is>
          <t>MCQ: A1: =DATE(2024,12,31)+1 The cell is formatted as dd-mm-yyyy. What does A1 show?
A) 31-12-2025 B) 01-01-2025 C) 32-12-2024 D) #VALUE!
FILL: ____() shows the current date and updates every day
HINDI TO TASK: Make a date 15 August 2024 using a formula, then show the date 10 days later in the next cell.
PRACTICE QUESTION: A1: =DATE(2024,1,31)+1
A1 is formatted as dd-mm-yyyy. What does A1 show?</t>
        </is>
      </c>
      <c r="B35" s="29" t="inlineStr">
        <is>
          <t>MCQ answer: B  Adding 1 to a date moves it to the next day, and the day after 31 December 2024 is 1 January 2025.
Fill answer: TODAY
Task answer:
A1: =DATE(2024,8,15)
A2: =A1+10
Practice answer:
01-02-2024</t>
        </is>
      </c>
      <c r="C35" s="29" t="inlineStr">
        <is>
          <t>08_Dates_Beginner_XL-034_quiz</t>
        </is>
      </c>
    </row>
    <row r="36" ht="162" customHeight="1">
      <c r="A36" s="29" t="inlineStr">
        <is>
          <t>MCQ: =NETWORKDAYS(DATE(2024,3,1),DATE(2024,3,8)) is typed in a cell. Mar 1, 2024 is a Friday. What does it return?
A) 5 B) 6 C) 7 D) 8
FILL: ____(A1,A2,"Y") counts the complete years between two dates
HINDI TO TASK: Show the last day of the month for a date in A1 using a formula.
PRACTICE QUESTION: A1: =DATE(2024,1,15)
B1: =EOMONTH(A1,1)
B1 is formatted as dd-mm-yyyy. What does it show?</t>
        </is>
      </c>
      <c r="B36" s="29" t="inlineStr">
        <is>
          <t>MCQ answer: B  Friday 1 March counts, then Monday 4 to Friday 8 March gives 5 more days, so 1 + 5 = 6.
Fill answer: DATEDIF
Task answer:
A1: =DATE(2024,2,10)
B1: =EOMONTH(A1,0)
Practice answer:
29-02-2024</t>
        </is>
      </c>
      <c r="C36" s="29" t="inlineStr">
        <is>
          <t>08_Dates_Intermediate_XL-035_quiz</t>
        </is>
      </c>
    </row>
    <row r="37" ht="229.5" customHeight="1">
      <c r="A37" s="29" t="inlineStr">
        <is>
          <t>MCQ: A PivotTable is made from a sales list. After you add three new rows to the list, what must you do to see them in the PivotTable?
A) Press Ctrl+S B) Right-click the PivotTable and choose Refresh C) Close and reopen Excel D) Retype the Values field
FILL: Drag the Region field to ____ to get one row per region in the PivotTable
HINDI TO TASK: Make a PivotTable that shows the total sales for each region.
PRACTICE QUESTION: A1: Region, B1: Sales
A2: East, B2: 40
A3: West, B3: 25
A4: East, B4: 60
Rows = Region, Values = Sum of Sales. What does the PivotTable show for East and for the Grand Total?</t>
        </is>
      </c>
      <c r="B37" s="29" t="inlineStr">
        <is>
          <t>MCQ answer: B  A PivotTable keeps a stored copy of the data, so Refresh (Alt+F5) is needed to read the new rows. Saving does not refresh it.
Fill answer: Rows
Task answer:
Click any cell in the data &gt; Insert tab &gt; PivotTable &gt; OK &gt; drag Region to Rows &gt; drag Sales to Values
Practice answer:
East 100, West 25, Grand Total 125</t>
        </is>
      </c>
      <c r="C37" s="29" t="inlineStr">
        <is>
          <t>09_Analysis_Intermediate_XL-036_quiz</t>
        </is>
      </c>
    </row>
    <row r="38" ht="202.5" customHeight="1">
      <c r="A38" s="29" t="inlineStr">
        <is>
          <t>MCQ: You have sales for 12 months and want to show how they went up and down during the year. Which chart suits best?
A) Pie B) Line C) Doughnut D) Radar
FILL: Use a ____ chart to show how a value changes over many months
HINDI TO TASK: Make a column chart from the month and sales table so that you can compare the months.
PRACTICE QUESTION: A1: Item, B1: Cost
A2: Pen, B2: 5
A3: Book, B3: 15
A4: Bag, B4: 30
You insert a pie chart and show percentage labels. What percentage does the Bag slice show?</t>
        </is>
      </c>
      <c r="B38" s="29" t="inlineStr">
        <is>
          <t>MCQ answer: B  A line chart connects points in time order, so rises and falls are easy to follow. A pie suits only a few parts of one whole.
Fill answer: line
Task answer:
Select A1:B4 &gt; Insert tab &gt; Charts group &gt; Column &gt; Clustered Column
Practice answer:
60%</t>
        </is>
      </c>
      <c r="C38" s="29" t="inlineStr">
        <is>
          <t>09_Analysis_Intermediate_XL-037_quiz</t>
        </is>
      </c>
    </row>
    <row r="39" ht="189" customHeight="1">
      <c r="A39" s="29" t="inlineStr">
        <is>
          <t>MCQ: Which of these is a valid name for a range in Excel?
A) 2024Sales B) Sales Tax C) Sales_Tax D) A1
FILL: Select the cells, type the name in the ____ left of the formula bar and press Enter
HINDI TO TASK: Name the cells A1:A2 as Marks and then find their sum with a formula.
PRACTICE QUESTION: A1: 5
A2: 15
A1:A2 is named Marks.
B1: =SUM(Marks)*2
What does B1 show?</t>
        </is>
      </c>
      <c r="B39" s="29" t="inlineStr">
        <is>
          <t>MCQ answer: C  Names may use letters, digits and underscores but cannot start with a digit, contain spaces or look like a cell address. Only Sales_Tax follows these rules.
Fill answer: Name Box
Task answer:
A1: 5
A2: 15
Select A1:A2, type Marks in the Name Box, press Enter
B1: =SUM(Marks)
Practice answer:
40</t>
        </is>
      </c>
      <c r="C39" s="29" t="inlineStr">
        <is>
          <t>09_Analysis_Intermediate_XL-038_quiz</t>
        </is>
      </c>
    </row>
    <row r="40" ht="202.5" customHeight="1">
      <c r="A40" s="29" t="inlineStr">
        <is>
          <t>MCQ: A1: 3, A2: 8, A3: 5. What does =FILTER(A1:A3,A1:A3&gt;4) return?
A) 8 and 5 in two cells B) 5 and 8 in two cells C) 3 only D) #SPILL!
FILL: =____(A1:A5) removes repeated values and returns each one once
HINDI TO TASK: From names in A1:A4 and marks in B1:B4, list only the rows with marks of 60 or more.
PRACTICE QUESTION: A1: Pune
A2: Agra
A3: Pune
A4: Delhi
A5: Agra
C1: =SORT(UNIQUE(A1:A5))
What do C1, C2 and C3 show?</t>
        </is>
      </c>
      <c r="B40" s="29" t="inlineStr">
        <is>
          <t>MCQ answer: A  Only 8 and 5 are greater than 4, and FILTER keeps the original order, so it returns 8 and then 5.
Fill answer: UNIQUE
Task answer:
A1: Asha
B1: 80
A2: Ravi
B2: 45
A3: Meena
B3: 90
A4: Tara
B4: 60
D1: =FILTER(A1:B4,B1:B4&gt;=60)
Practice answer:
C1 shows Agra, C2 shows Delhi, C3 shows Pune</t>
        </is>
      </c>
      <c r="C40" s="29" t="inlineStr">
        <is>
          <t>09_Analysis_Advanced_XL-039_quiz</t>
        </is>
      </c>
    </row>
    <row r="41" ht="216" customHeight="1">
      <c r="A41" s="29" t="inlineStr">
        <is>
          <t>MCQ: A query already loads a CSV file. Next month the CSV file has new rows in the same place. What is the fastest way to bring them into the sheet?
A) Data tab &gt; Refresh All B) Repeat all steps by hand C) Delete the query D) Press F9
FILL: In Power Query, the list of recorded actions on the right is called ____ Steps
HINDI TO TASK: Load a table into Power Query and remove duplicate names, then load it back to a sheet.
PRACTICE QUESTION: A1: Name, A2: Asha, A3: Ravi, A4: Asha, A5: Meena
You load it in Power Query, remove duplicates on Name and click Close &amp; Load. How many names are in the loaded table, not counting the heading?</t>
        </is>
      </c>
      <c r="B41" s="29" t="inlineStr">
        <is>
          <t>MCQ answer: A  Refresh All runs the saved steps again on the changed source. F9 recalculates formulas but does not refresh a query.
Fill answer: Applied
Task answer:
Click a cell in the table &gt; Data tab &gt; From Table/Range &gt; OK &gt; select Name column &gt; Home tab &gt; Remove Rows &gt; Remove Duplicates &gt; Close &amp; Load
Practice answer:
3</t>
        </is>
      </c>
      <c r="C41" s="29" t="inlineStr">
        <is>
          <t>09_Analysis_Advanced_XL-040_quiz</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40</v>
      </c>
    </row>
    <row r="4">
      <c r="A4" s="21" t="inlineStr">
        <is>
          <t>Cards by topic</t>
        </is>
      </c>
    </row>
    <row r="5">
      <c r="A5" t="inlineStr">
        <is>
          <t>03 Formatting &amp; Organising</t>
        </is>
      </c>
      <c r="B5" t="n">
        <v>9</v>
      </c>
    </row>
    <row r="6">
      <c r="A6" t="inlineStr">
        <is>
          <t>01 Basics &amp; Cells</t>
        </is>
      </c>
      <c r="B6" t="n">
        <v>5</v>
      </c>
    </row>
    <row r="7">
      <c r="A7" t="inlineStr">
        <is>
          <t>04 Logic</t>
        </is>
      </c>
      <c r="B7" t="n">
        <v>5</v>
      </c>
    </row>
    <row r="8">
      <c r="A8" t="inlineStr">
        <is>
          <t>07 Text</t>
        </is>
      </c>
      <c r="B8" t="n">
        <v>5</v>
      </c>
    </row>
    <row r="9">
      <c r="A9" t="inlineStr">
        <is>
          <t>09 Analysis</t>
        </is>
      </c>
      <c r="B9" t="n">
        <v>5</v>
      </c>
    </row>
    <row r="10">
      <c r="A10" t="inlineStr">
        <is>
          <t>02 Basic Functions</t>
        </is>
      </c>
      <c r="B10" t="n">
        <v>4</v>
      </c>
    </row>
    <row r="11">
      <c r="A11" t="inlineStr">
        <is>
          <t>06 Lookup</t>
        </is>
      </c>
      <c r="B11" t="n">
        <v>3</v>
      </c>
    </row>
    <row r="12">
      <c r="A12" t="inlineStr">
        <is>
          <t>05 Conditional Maths</t>
        </is>
      </c>
      <c r="B12" t="n">
        <v>2</v>
      </c>
    </row>
    <row r="13">
      <c r="A13" t="inlineStr">
        <is>
          <t>08 Dates</t>
        </is>
      </c>
      <c r="B13" t="n">
        <v>2</v>
      </c>
    </row>
    <row r="15">
      <c r="A15" s="21" t="inlineStr">
        <is>
          <t>Cards by level</t>
        </is>
      </c>
    </row>
    <row r="16">
      <c r="A16" t="inlineStr">
        <is>
          <t>Beginner</t>
        </is>
      </c>
      <c r="B16" t="n">
        <v>18</v>
      </c>
    </row>
    <row r="17">
      <c r="A17" t="inlineStr">
        <is>
          <t>Intermediate</t>
        </is>
      </c>
      <c r="B17" t="n">
        <v>18</v>
      </c>
    </row>
    <row r="18">
      <c r="A18" t="inlineStr">
        <is>
          <t>Advanced</t>
        </is>
      </c>
      <c r="B18" t="n">
        <v>4</v>
      </c>
    </row>
    <row r="20">
      <c r="A20" s="21" t="inlineStr">
        <is>
          <t>Cards by source</t>
        </is>
      </c>
    </row>
    <row r="21">
      <c r="A21" t="inlineStr">
        <is>
          <t>Claude knowledge</t>
        </is>
      </c>
      <c r="B21" t="n">
        <v>40</v>
      </c>
    </row>
    <row r="23">
      <c r="A23" s="21" t="inlineStr">
        <is>
          <t>Error check</t>
        </is>
      </c>
    </row>
    <row r="24">
      <c r="A24"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2026-10-06T12:53:43Z</dcterms:created>
  <dcterms:modified xmlns:dcterms="http://purl.org/dc/terms/" xmlns:xsi="http://www.w3.org/2001/XMLSchema-instance" xsi:type="dcterms:W3CDTF">2026-10-06T12:53:43Z</dcterms:modified>
</cp:coreProperties>
</file>