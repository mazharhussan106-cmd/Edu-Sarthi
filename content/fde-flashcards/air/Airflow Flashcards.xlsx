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cards'!$A$2:$BN$20</definedName>
    <definedName name="_xlnm._FilterDatabase" localSheetId="3" hidden="1">'Topic (56-pt) cards'!$A$2:$BB$19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Apache Airflow – Beginner to Advanced Flashcards</t>
        </is>
      </c>
    </row>
    <row r="2">
      <c r="A2" s="2" t="inlineStr">
        <is>
          <t>Subject: Apache Airflow   ·   Learner: Self learner, English   ·   Cards: 35</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202.5" customHeight="1">
      <c r="A3" s="17" t="inlineStr">
        <is>
          <t>AIR-008</t>
        </is>
      </c>
      <c r="B3" s="17" t="inlineStr">
        <is>
          <t>02 Writing DAGs</t>
        </is>
      </c>
      <c r="C3" s="17" t="inlineStr">
        <is>
          <t>Beginner</t>
        </is>
      </c>
      <c r="D3" s="17" t="n">
        <v>8</v>
      </c>
      <c r="E3" s="17" t="inlineStr">
        <is>
          <t>Claude knowledge</t>
        </is>
      </c>
      <c r="F3" s="18" t="inlineStr">
        <is>
          <t>Defining a DAG</t>
        </is>
      </c>
      <c r="G3" s="18" t="inlineStr">
        <is>
          <t>How do you write the Python file that declares a DAG and its settings?</t>
        </is>
      </c>
      <c r="H3" s="17" t="n"/>
      <c r="I3" s="18" t="inlineStr">
        <is>
          <t>Airflow code</t>
        </is>
      </c>
      <c r="J3" s="18" t="inlineStr">
        <is>
          <t>Very high</t>
        </is>
      </c>
      <c r="K3" s="18" t="n">
        <v>5</v>
      </c>
      <c r="L3" s="18" t="inlineStr">
        <is>
          <t>Workflows are code, so a DAG file declares the workflow with an id, a start date, a schedule and default arguments.</t>
        </is>
      </c>
      <c r="M3" s="18" t="inlineStr">
        <is>
          <t>Use the DAG context manager and give every DAG a clear id and tags.</t>
        </is>
      </c>
      <c r="N3" s="17" t="n"/>
      <c r="O3" s="18" t="inlineStr">
        <is>
          <t>A DAG definition is the cover page of a project that lists its name, owner and calendar.</t>
        </is>
      </c>
      <c r="P3" s="18" t="inlineStr">
        <is>
          <t>A Python file with a DAG block and tasks nested inside it.</t>
        </is>
      </c>
      <c r="Q3" s="18" t="inlineStr">
        <is>
          <t>The pleasure of seeing your DAG appear in the interface.</t>
        </is>
      </c>
      <c r="R3" s="18" t="inlineStr">
        <is>
          <t>A DAG is defined with the DAG class, usually as a context manager, with a dag_id, start_date, schedule, catchup setting, default arguments and tags.</t>
        </is>
      </c>
      <c r="S3" s="17" t="n"/>
      <c r="T3" s="19" t="inlineStr">
        <is>
          <t>from datetime import datetime, timedelta
from airflow import DAG
from airflow.operators.empty import EmptyOperator
default_args = {"owner": "data", "retries": 2, "retry_delay": timedelta(minutes=5)}
with DAG(
    dag_id="daily_sales",
    start_date=datetime(2026, 10, 1),
    schedule="0 2 * * *",
    catchup=False,
    default_args=default_args,
    tags=["sales"],
) as dag:
    start = EmptyOperator(task_id="start")</t>
        </is>
      </c>
      <c r="U3" s="19" t="inlineStr">
        <is>
          <t>The DAG daily_sales appears in the interface, scheduled for 02:00 UTC, with two retries per task.</t>
        </is>
      </c>
      <c r="V3" s="18" t="inlineStr">
        <is>
          <t>The dag_id must be unique. start_date marks the first logical date, and should be a fixed past date, not now. catchup controls whether past missed runs are created. default_args apply to every task unless overridden. The DAG file is imported often, so it must not contain slow code or network calls at the top level. Written for Airflow 2.x imports; in Airflow 3 they move to airflow.sdk and apache-airflow-providers-standard.</t>
        </is>
      </c>
      <c r="W3" s="18" t="inlineStr">
        <is>
          <t>Give the DAG an id, a fixed start date, a schedule and default arguments, and keep the file light.</t>
        </is>
      </c>
      <c r="X3" s="18" t="inlineStr">
        <is>
          <t>A DAG definition is the cover page of a project listing its name, owner and calendar.</t>
        </is>
      </c>
      <c r="Y3" s="19" t="inlineStr">
        <is>
          <t>with DAG(dag_id=..., start_date=..., schedule=..., catchup=False) as dag:</t>
        </is>
      </c>
      <c r="Z3" s="18" t="inlineStr">
        <is>
          <t>dag_id = unique name | start_date = first logical date | schedule = when | default_args = shared settings</t>
        </is>
      </c>
      <c r="AA3" s="19" t="inlineStr">
        <is>
          <t>DAG("weekly_report", start_date=datetime(2026, 1, 1), schedule="@weekly")</t>
        </is>
      </c>
      <c r="AB3" s="19" t="inlineStr">
        <is>
          <t>default_args={"email_on_failure": False}</t>
        </is>
      </c>
      <c r="AC3" s="19" t="inlineStr">
        <is>
          <t>with DAG(..., max_active_runs=1) as dag:</t>
        </is>
      </c>
      <c r="AD3" s="19" t="inlineStr">
        <is>
          <t>@dag(schedule="@daily", start_date=datetime(2026, 1, 1))   // the decorator form</t>
        </is>
      </c>
      <c r="AE3" s="18" t="inlineStr">
        <is>
          <t>operators, TaskFlow API, tags</t>
        </is>
      </c>
      <c r="AF3" s="18" t="inlineStr">
        <is>
          <t>DAGs, tasks and operators, catchup and backfill, TaskFlow API</t>
        </is>
      </c>
      <c r="AG3" s="18" t="inlineStr">
        <is>
          <t>The @dag decorator</t>
        </is>
      </c>
      <c r="AH3" s="17" t="n"/>
      <c r="AI3" s="18" t="inlineStr">
        <is>
          <t>Every DAG file | Templates | Standards</t>
        </is>
      </c>
      <c r="AJ3" s="18" t="inlineStr">
        <is>
          <t>A: Why did the DAG start hundreds of runs? | B: Catchup was on with an old start date, so set catchup to false.</t>
        </is>
      </c>
      <c r="AK3" s="18" t="inlineStr">
        <is>
          <t>✗ start_date can be datetime.now() → ✓ It should be a fixed past date, since a moving date confuses the scheduler</t>
        </is>
      </c>
      <c r="AL3" s="18" t="inlineStr">
        <is>
          <t>start_date vs first run: the first run happens after the first interval completes.</t>
        </is>
      </c>
      <c r="AM3" s="18" t="inlineStr">
        <is>
          <t>Do not use a moving start date.</t>
        </is>
      </c>
      <c r="AN3" s="19" t="inlineStr">
        <is>
          <t>DAG("x", start_date=datetime.now(), schedule="@daily")</t>
        </is>
      </c>
      <c r="AO3" s="19" t="inlineStr">
        <is>
          <t>DAG("x", start_date=datetime(2026, 10, 1), schedule="@daily", catchup=False)</t>
        </is>
      </c>
      <c r="AP3" s="18" t="inlineStr">
        <is>
          <t>Fixed start date, catchup chosen on purpose.</t>
        </is>
      </c>
      <c r="AQ3" s="18" t="inlineStr">
        <is>
          <t>Standardising DAG templates with default arguments gave every pipeline the same retries.</t>
        </is>
      </c>
      <c r="AR3" s="18" t="inlineStr">
        <is>
          <t>An interviewer may ask: Why avoid datetime.now as a start date?</t>
        </is>
      </c>
      <c r="AS3" s="18" t="inlineStr">
        <is>
          <t>It is like the cover page of a project.</t>
        </is>
      </c>
      <c r="AT3" s="18" t="inlineStr">
        <is>
          <t>Which argument sets the DAG's unique name?</t>
        </is>
      </c>
      <c r="AU3" s="18" t="inlineStr">
        <is>
          <t>A) task_id B) owner C) tags D) dag_id</t>
        </is>
      </c>
      <c r="AV3" s="18" t="inlineStr">
        <is>
          <t>D</t>
        </is>
      </c>
      <c r="AW3" s="18" t="inlineStr">
        <is>
          <t>dag_id identifies the DAG.</t>
        </is>
      </c>
      <c r="AX3" s="19" t="inlineStr">
        <is>
          <t>The argument that controls creating past missed runs is ____ → catchup</t>
        </is>
      </c>
      <c r="AY3" s="18" t="inlineStr">
        <is>
          <t>Define a daily DAG called reports with catchup off.</t>
        </is>
      </c>
      <c r="AZ3" s="19" t="inlineStr">
        <is>
          <t>with DAG("reports", start_date=datetime(2026, 10, 1), schedule="@daily", catchup=False) as dag:</t>
        </is>
      </c>
      <c r="BA3" s="18" t="inlineStr">
        <is>
          <t>Write a DAG definition with two retries and a five minute delay.</t>
        </is>
      </c>
      <c r="BB3" s="19" t="inlineStr">
        <is>
          <t>Why keep top-level DAG code light?</t>
        </is>
      </c>
      <c r="BC3" s="19" t="inlineStr">
        <is>
          <t>The scheduler imports the file very often.</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216" customHeight="1">
      <c r="A4" s="17" t="inlineStr">
        <is>
          <t>AIR-009</t>
        </is>
      </c>
      <c r="B4" s="17" t="inlineStr">
        <is>
          <t>02 Writing DAGs</t>
        </is>
      </c>
      <c r="C4" s="17" t="inlineStr">
        <is>
          <t>Beginner</t>
        </is>
      </c>
      <c r="D4" s="17" t="n">
        <v>9</v>
      </c>
      <c r="E4" s="17" t="inlineStr">
        <is>
          <t>Claude knowledge</t>
        </is>
      </c>
      <c r="F4" s="18" t="inlineStr">
        <is>
          <t>PythonOperator and BashOperator</t>
        </is>
      </c>
      <c r="G4" s="18" t="inlineStr">
        <is>
          <t>Which two operators run a Python function and a shell command?</t>
        </is>
      </c>
      <c r="H4" s="17" t="n"/>
      <c r="I4" s="18" t="inlineStr">
        <is>
          <t>Airflow code</t>
        </is>
      </c>
      <c r="J4" s="18" t="inlineStr">
        <is>
          <t>Very high</t>
        </is>
      </c>
      <c r="K4" s="18" t="n">
        <v>5</v>
      </c>
      <c r="L4" s="18" t="inlineStr">
        <is>
          <t>Most workflows need to run code or commands, so two simple operators cover the common cases.</t>
        </is>
      </c>
      <c r="M4" s="18" t="inlineStr">
        <is>
          <t>Pass values through op_kwargs or templated fields instead of hard-coding them.</t>
        </is>
      </c>
      <c r="N4" s="17" t="n"/>
      <c r="O4" s="18" t="inlineStr">
        <is>
          <t>PythonOperator calls a function, and BashOperator types a command in a terminal.</t>
        </is>
      </c>
      <c r="P4" s="18" t="inlineStr">
        <is>
          <t>Two task boxes, one labelled Python and one labelled shell.</t>
        </is>
      </c>
      <c r="Q4" s="18" t="inlineStr">
        <is>
          <t>The ease of running your first task.</t>
        </is>
      </c>
      <c r="R4" s="18" t="inlineStr">
        <is>
          <t>PythonOperator runs a Python callable with arguments, and BashOperator runs a bash command that can include templated values.</t>
        </is>
      </c>
      <c r="S4" s="17" t="n"/>
      <c r="T4" s="19" t="inlineStr">
        <is>
          <t>from airflow.operators.python import PythonOperator
from airflow.operators.bash import BashOperator
def clean(table, **context):
    print("cleaning", table, context["ds"])
with DAG("demo", start_date=datetime(2026, 10, 1), schedule="@daily", catchup=False) as dag:
    t1 = BashOperator(task_id="extract", bash_command="python extract.py --date {{ ds }}")
    t2 = PythonOperator(task_id="clean", python_callable=clean, op_kwargs={"table": "orders"})
    t1 &gt;&gt; t2</t>
        </is>
      </c>
      <c r="U4" s="19" t="inlineStr">
        <is>
          <t>The extract command runs with the logical date, then the clean function prints orders and the date.</t>
        </is>
      </c>
      <c r="V4" s="18" t="inlineStr">
        <is>
          <t>The Python callable receives op_kwargs and, if it accepts them, context values such as ds. The Bash command is a template, so double-brace expressions are filled at run time. Exit code zero means success, and any other code fails the task. Returning a value from a Python callable stores it as an XCom. Heavy dependencies belong in virtual environments or containers. Written for Airflow 2.x imports; in Airflow 3 they move to airflow.sdk and apache-airflow-providers-standard.</t>
        </is>
      </c>
      <c r="W4" s="18" t="inlineStr">
        <is>
          <t>Use PythonOperator for functions and BashOperator for commands, and pass values with kwargs and templates.</t>
        </is>
      </c>
      <c r="X4" s="18" t="inlineStr">
        <is>
          <t>PythonOperator calls a function, and BashOperator types a command in a terminal.</t>
        </is>
      </c>
      <c r="Y4" s="19" t="inlineStr">
        <is>
          <t>PythonOperator(task_id=..., python_callable=fn, op_kwargs={...})</t>
        </is>
      </c>
      <c r="Z4" s="18" t="inlineStr">
        <is>
          <t>python_callable = function | op_kwargs = arguments | bash_command = text with templates</t>
        </is>
      </c>
      <c r="AA4" s="19" t="inlineStr">
        <is>
          <t>BashOperator(task_id="ls", bash_command="ls -l /data")</t>
        </is>
      </c>
      <c r="AB4" s="19" t="inlineStr">
        <is>
          <t>PythonOperator(task_id="p", python_callable=lambda: 42)</t>
        </is>
      </c>
      <c r="AC4" s="19" t="inlineStr">
        <is>
          <t>BashOperator(task_id="b", bash_command="echo {{ ds }}")</t>
        </is>
      </c>
      <c r="AD4" s="19" t="inlineStr">
        <is>
          <t>@task def clean(): ...   // the TaskFlow version of a Python task</t>
        </is>
      </c>
      <c r="AE4" s="18" t="inlineStr">
        <is>
          <t>templating, XCom, retries</t>
        </is>
      </c>
      <c r="AF4" s="18" t="inlineStr">
        <is>
          <t>tasks and operators, TaskFlow API, templating, XCom</t>
        </is>
      </c>
      <c r="AG4" s="18" t="inlineStr">
        <is>
          <t>TaskFlow API | KubernetesPodOperator</t>
        </is>
      </c>
      <c r="AH4" s="17" t="n"/>
      <c r="AI4" s="18" t="inlineStr">
        <is>
          <t>Scripts | Glue tasks | Small jobs</t>
        </is>
      </c>
      <c r="AJ4" s="18" t="inlineStr">
        <is>
          <t>A: My Python task cannot find the library. | B: Install it on the workers or run the task in a virtual environment.</t>
        </is>
      </c>
      <c r="AK4" s="18" t="inlineStr">
        <is>
          <t>✗ A BashOperator command can only be plain text → ✓ It can use templates filled with run-time values</t>
        </is>
      </c>
      <c r="AL4" s="18" t="inlineStr">
        <is>
          <t>PythonOperator vs BashOperator: one runs a function in Airflow's environment, the other runs a shell command.</t>
        </is>
      </c>
      <c r="AM4" s="18" t="inlineStr">
        <is>
          <t>Do not hard-code dates in commands.</t>
        </is>
      </c>
      <c r="AN4" s="19" t="inlineStr">
        <is>
          <t>BashOperator(task_id="b", bash_command="python run.py --date 2026-10-01")</t>
        </is>
      </c>
      <c r="AO4" s="19" t="inlineStr">
        <is>
          <t>BashOperator(task_id="b", bash_command="python run.py --date {{ ds }}")</t>
        </is>
      </c>
      <c r="AP4" s="18" t="inlineStr">
        <is>
          <t>Templates keep dates out of the code.</t>
        </is>
      </c>
      <c r="AQ4" s="18" t="inlineStr">
        <is>
          <t>Replacing hard-coded dates with ds templates made reruns process the correct day.</t>
        </is>
      </c>
      <c r="AR4" s="18" t="inlineStr">
        <is>
          <t>An interviewer may ask: How do you pass a date to a task?</t>
        </is>
      </c>
      <c r="AS4" s="18" t="inlineStr">
        <is>
          <t>It is like calling a function and typing a command.</t>
        </is>
      </c>
      <c r="AT4" s="18" t="inlineStr">
        <is>
          <t>What does exit code zero mean for a Bash task?</t>
        </is>
      </c>
      <c r="AU4" s="18" t="inlineStr">
        <is>
          <t>A) Skip B) Success C) Retry D) Failure</t>
        </is>
      </c>
      <c r="AV4" s="18" t="inlineStr">
        <is>
          <t>B</t>
        </is>
      </c>
      <c r="AW4" s="18" t="inlineStr">
        <is>
          <t>Exit code zero means success and most other codes fail the task (99 marks it skipped by default).</t>
        </is>
      </c>
      <c r="AX4" s="19" t="inlineStr">
        <is>
          <t>The argument that points to the function in PythonOperator is python_____ → callable</t>
        </is>
      </c>
      <c r="AY4" s="18" t="inlineStr">
        <is>
          <t>Run echo hello as a Bash task.</t>
        </is>
      </c>
      <c r="AZ4" s="19" t="inlineStr">
        <is>
          <t>BashOperator(task_id="hello", bash_command="echo hello")</t>
        </is>
      </c>
      <c r="BA4" s="18" t="inlineStr">
        <is>
          <t>Write a Python task that prints the logical date.</t>
        </is>
      </c>
      <c r="BB4" s="19" t="inlineStr">
        <is>
          <t>How does a Bash task signal failure?</t>
        </is>
      </c>
      <c r="BC4" s="19" t="inlineStr">
        <is>
          <t>By exiting with a non-zero code.</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75.5" customHeight="1">
      <c r="A5" s="17" t="inlineStr">
        <is>
          <t>AIR-010</t>
        </is>
      </c>
      <c r="B5" s="17" t="inlineStr">
        <is>
          <t>02 Writing DAGs</t>
        </is>
      </c>
      <c r="C5" s="17" t="inlineStr">
        <is>
          <t>Intermediate</t>
        </is>
      </c>
      <c r="D5" s="17" t="n">
        <v>10</v>
      </c>
      <c r="E5" s="17" t="inlineStr">
        <is>
          <t>Claude knowledge</t>
        </is>
      </c>
      <c r="F5" s="18" t="inlineStr">
        <is>
          <t>TaskFlow API</t>
        </is>
      </c>
      <c r="G5" s="18" t="inlineStr">
        <is>
          <t>Which decorator style turns plain Python functions into tasks with automatic data passing?</t>
        </is>
      </c>
      <c r="H5" s="17" t="n"/>
      <c r="I5" s="18" t="inlineStr">
        <is>
          <t>Airflow code</t>
        </is>
      </c>
      <c r="J5" s="18" t="inlineStr">
        <is>
          <t>Very high</t>
        </is>
      </c>
      <c r="K5" s="18" t="n">
        <v>5</v>
      </c>
      <c r="L5" s="18" t="inlineStr">
        <is>
          <t>Wiring operators and XComs by hand was verbose, so the TaskFlow API lets you write tasks as normal functions that return values.</t>
        </is>
      </c>
      <c r="M5" s="18" t="inlineStr">
        <is>
          <t>Use TaskFlow for Python logic and keep returned values small.</t>
        </is>
      </c>
      <c r="N5" s="17" t="n"/>
      <c r="O5" s="18" t="inlineStr">
        <is>
          <t>TaskFlow is writing the workflow as ordinary Python and letting Airflow draw the arrows.</t>
        </is>
      </c>
      <c r="P5" s="18" t="inlineStr">
        <is>
          <t>Decorated functions calling each other and forming a graph.</t>
        </is>
      </c>
      <c r="Q5" s="18" t="inlineStr">
        <is>
          <t>The pleasure of workflows that read like normal code.</t>
        </is>
      </c>
      <c r="R5" s="18" t="inlineStr">
        <is>
          <t>The TaskFlow API uses the @dag and @task decorators so functions become tasks, return values pass automatically as XComs, and calling one task with another's output creates a dependency.</t>
        </is>
      </c>
      <c r="S5" s="17" t="n"/>
      <c r="T5" s="19" t="inlineStr">
        <is>
          <t>from airflow.decorators import dag, task
from datetime import datetime
@dag(schedule="@daily", start_date=datetime(2026, 10, 1), catchup=False)
def sales():
    @task
    def extract():
        return {"rows": 120}
    @task
    def load(info):
        print("loading", info["rows"])
    load(extract())
sales()</t>
        </is>
      </c>
      <c r="U5" s="19" t="inlineStr">
        <is>
          <t>The extract task returns a dictionary, and the load task receives it and prints loading 120.</t>
        </is>
      </c>
      <c r="V5" s="18" t="inlineStr">
        <is>
          <t>Calling load with the result of extract both passes the data and sets extract before load. Values pass as XComs, so they must be small and serialisable. The decorator form needs the function to be called at the end to register the DAG. Operators and decorated tasks can be mixed in one DAG. Multiple outputs can be unpacked. Written for Airflow 2.x imports; in Airflow 3 they move to airflow.sdk and apache-airflow-providers-standard.</t>
        </is>
      </c>
      <c r="W5" s="18" t="inlineStr">
        <is>
          <t>Decorate functions with @task, return values, and pass them into other tasks.</t>
        </is>
      </c>
      <c r="X5" s="18" t="inlineStr">
        <is>
          <t>TaskFlow is writing the workflow as ordinary Python and letting Airflow draw the arrows.</t>
        </is>
      </c>
      <c r="Y5" s="19" t="inlineStr">
        <is>
          <t>@task def f(): return value | g(f())</t>
        </is>
      </c>
      <c r="Z5" s="18" t="inlineStr">
        <is>
          <t>@dag = defines DAG | @task = defines task | return = XCom value | call chain = dependency</t>
        </is>
      </c>
      <c r="AA5" s="19" t="inlineStr">
        <is>
          <t>@task(retries=3) def risky(): ...</t>
        </is>
      </c>
      <c r="AB5" s="19" t="inlineStr">
        <is>
          <t>@task(multiple_outputs=True) def split(): return {"a": 1, "b": 2}</t>
        </is>
      </c>
      <c r="AC5" s="19" t="inlineStr">
        <is>
          <t>a &gt;&gt; b   // mix with classic dependencies</t>
        </is>
      </c>
      <c r="AD5" s="19" t="inlineStr">
        <is>
          <t>@task.virtualenv(requirements=["pandas"]) def f(): ...   // an isolated environment</t>
        </is>
      </c>
      <c r="AE5" s="18" t="inlineStr">
        <is>
          <t>XCom, DAG definition, PythonOperator</t>
        </is>
      </c>
      <c r="AF5" s="18" t="inlineStr">
        <is>
          <t>PythonOperator and BashOperator, XCom, defining a DAG, passing data by reference</t>
        </is>
      </c>
      <c r="AG5" s="18" t="inlineStr">
        <is>
          <t>Classic operators</t>
        </is>
      </c>
      <c r="AH5" s="17" t="n"/>
      <c r="AI5" s="18" t="inlineStr">
        <is>
          <t>Modern DAGs | Python-heavy pipelines | Tutorials</t>
        </is>
      </c>
      <c r="AJ5" s="18" t="inlineStr">
        <is>
          <t>A: How do I pass the file name to the next task? | B: Return it from the first task and use it as the argument.</t>
        </is>
      </c>
      <c r="AK5" s="18" t="inlineStr">
        <is>
          <t>✗ TaskFlow tasks pass any amount of data efficiently → ✓ Values travel as XComs in the database, so keep them small</t>
        </is>
      </c>
      <c r="AL5" s="18" t="inlineStr">
        <is>
          <t>TaskFlow vs PythonOperator: TaskFlow is the decorator style with automatic data passing.</t>
        </is>
      </c>
      <c r="AM5" s="18" t="inlineStr">
        <is>
          <t>Do not return large data frames between tasks.</t>
        </is>
      </c>
      <c r="AN5" s="19" t="inlineStr">
        <is>
          <t>@task def extract(): return big_dataframe</t>
        </is>
      </c>
      <c r="AO5" s="19" t="inlineStr">
        <is>
          <t>@task def extract(): return "s3://bucket/raw/2026-10-01.parquet"</t>
        </is>
      </c>
      <c r="AP5" s="18" t="inlineStr">
        <is>
          <t>Return small pointers to data, never the payloads.</t>
        </is>
      </c>
      <c r="AQ5" s="18" t="inlineStr">
        <is>
          <t>Converting classic operators to TaskFlow halved the code of a Python-heavy DAG.</t>
        </is>
      </c>
      <c r="AR5" s="18" t="inlineStr">
        <is>
          <t>An interviewer may ask: How does TaskFlow pass data between tasks?</t>
        </is>
      </c>
      <c r="AS5" s="18" t="inlineStr">
        <is>
          <t>It is like writing normal Python and letting Airflow draw the arrows.</t>
        </is>
      </c>
      <c r="AT5" s="18" t="inlineStr">
        <is>
          <t>How does TaskFlow pass data between tasks?</t>
        </is>
      </c>
      <c r="AU5" s="18" t="inlineStr">
        <is>
          <t>A) Through global variables B) Through emails C) Through XComs automatically D) Through logs</t>
        </is>
      </c>
      <c r="AV5" s="18" t="inlineStr">
        <is>
          <t>C</t>
        </is>
      </c>
      <c r="AW5" s="18" t="inlineStr">
        <is>
          <t>Return values are stored as XComs.</t>
        </is>
      </c>
      <c r="AX5" s="19" t="inlineStr">
        <is>
          <t>Decorating a function with the at sign and the word ____ turns it into a unit of work in the modern style → task</t>
        </is>
      </c>
      <c r="AY5" s="18" t="inlineStr">
        <is>
          <t>Make a function a task that returns the number 5.</t>
        </is>
      </c>
      <c r="AZ5" s="19" t="inlineStr">
        <is>
          <t>@task def five(): return 5</t>
        </is>
      </c>
      <c r="BA5" s="18" t="inlineStr">
        <is>
          <t>Write two tasks where the second uses the first's output.</t>
        </is>
      </c>
      <c r="BB5" s="19" t="inlineStr">
        <is>
          <t>Why keep returned values small?</t>
        </is>
      </c>
      <c r="BC5" s="19" t="inlineStr">
        <is>
          <t>They are stored in the metadata database.</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35" customHeight="1">
      <c r="A6" s="17" t="inlineStr">
        <is>
          <t>AIR-011</t>
        </is>
      </c>
      <c r="B6" s="17" t="inlineStr">
        <is>
          <t>02 Writing DAGs</t>
        </is>
      </c>
      <c r="C6" s="17" t="inlineStr">
        <is>
          <t>Intermediate</t>
        </is>
      </c>
      <c r="D6" s="17" t="n">
        <v>11</v>
      </c>
      <c r="E6" s="17" t="inlineStr">
        <is>
          <t>Claude knowledge</t>
        </is>
      </c>
      <c r="F6" s="18" t="inlineStr">
        <is>
          <t>XCom</t>
        </is>
      </c>
      <c r="G6" s="18" t="inlineStr">
        <is>
          <t>Which mechanism lets tasks share small pieces of data with each other?</t>
        </is>
      </c>
      <c r="H6" s="17" t="n"/>
      <c r="I6" s="18" t="inlineStr">
        <is>
          <t>Airflow code</t>
        </is>
      </c>
      <c r="J6" s="18" t="inlineStr">
        <is>
          <t>High</t>
        </is>
      </c>
      <c r="K6" s="18" t="n">
        <v>5</v>
      </c>
      <c r="L6" s="18" t="inlineStr">
        <is>
          <t>Tasks run on different machines and cannot share memory, so Airflow stores small messages in the database for later tasks to read.</t>
        </is>
      </c>
      <c r="M6" s="18" t="inlineStr">
        <is>
          <t>Pass references such as file paths and ids, not the data itself.</t>
        </is>
      </c>
      <c r="N6" s="17" t="n"/>
      <c r="O6" s="18" t="inlineStr">
        <is>
          <t>XCom is a note passed between desks, not a truck of cargo.</t>
        </is>
      </c>
      <c r="P6" s="18" t="inlineStr">
        <is>
          <t>A small note travelling from one task to another.</t>
        </is>
      </c>
      <c r="Q6" s="18" t="inlineStr">
        <is>
          <t>The relief of passing a value without a shared file.</t>
        </is>
      </c>
      <c r="R6" s="18" t="inlineStr">
        <is>
          <t>An XCom is a small value pushed by one task and pulled by another, stored in the metadata database under a key, with the return value saved automatically.</t>
        </is>
      </c>
      <c r="S6" s="17" t="n"/>
      <c r="T6" s="19" t="inlineStr">
        <is>
          <t>def push(**context):
    context["ti"].xcom_push(key="path", value="s3://b/raw/2026-10-01.csv")
def pull(**context):
    path = context["ti"].xcom_pull(task_ids="push_task", key="path")
    print(path)
BashOperator(task_id="use", bash_command="echo {{ ti.xcom_pull(task_ids='push_task', key='path') }}")</t>
        </is>
      </c>
      <c r="U6" s="19" t="inlineStr">
        <is>
          <t>The path pushed by the first task is read by the second and printed.</t>
        </is>
      </c>
      <c r="V6" s="18" t="inlineStr">
        <is>
          <t>XComs are meant for small metadata such as ids, counts and paths. Large values slow the database and may hit size limits. A custom XCom backend can store payloads in object storage and keep only a reference. Each XCom belongs to a task and a run. In TaskFlow, push and pull happen through return values and arguments.</t>
        </is>
      </c>
      <c r="W6" s="18" t="inlineStr">
        <is>
          <t>Push small values from one task and pull them in another, or use TaskFlow returns.</t>
        </is>
      </c>
      <c r="X6" s="18" t="inlineStr">
        <is>
          <t>XCom is a note passed between desks, not a truck of cargo.</t>
        </is>
      </c>
      <c r="Y6" s="19" t="inlineStr">
        <is>
          <t>ti.xcom_push(key, value) | ti.xcom_pull(task_ids, key)</t>
        </is>
      </c>
      <c r="Z6" s="18" t="inlineStr">
        <is>
          <t>ti = task instance | key = label | task_ids = which task's value | return_value = default key</t>
        </is>
      </c>
      <c r="AA6" s="19" t="inlineStr">
        <is>
          <t>ti.xcom_pull(task_ids="extract")</t>
        </is>
      </c>
      <c r="AB6" s="19" t="inlineStr">
        <is>
          <t>{{ ti.xcom_pull(task_ids='count_rows', key='total') }}</t>
        </is>
      </c>
      <c r="AC6" s="19" t="inlineStr">
        <is>
          <t>return "s3://bucket/file.csv"</t>
        </is>
      </c>
      <c r="AD6" s="19" t="inlineStr">
        <is>
          <t>BaseXCom custom backend   // store large values in object storage</t>
        </is>
      </c>
      <c r="AE6" s="18" t="inlineStr">
        <is>
          <t>TaskFlow API, templating, sensors</t>
        </is>
      </c>
      <c r="AF6" s="18" t="inlineStr">
        <is>
          <t>TaskFlow API, templating, passing data by reference, PythonOperator and BashOperator</t>
        </is>
      </c>
      <c r="AG6" s="18" t="inlineStr">
        <is>
          <t>Object storage handoff | databases</t>
        </is>
      </c>
      <c r="AH6" s="17" t="n"/>
      <c r="AI6" s="18" t="inlineStr">
        <is>
          <t>Passing paths | Counts | Flags</t>
        </is>
      </c>
      <c r="AJ6" s="18" t="inlineStr">
        <is>
          <t>A: The metadata database is growing fast. | B: Large XComs are the cause, so pass file paths instead.</t>
        </is>
      </c>
      <c r="AK6" s="18" t="inlineStr">
        <is>
          <t>✗ XCom is the right place to move large datasets → ✓ It is for small metadata, and large data should live in storage</t>
        </is>
      </c>
      <c r="AL6" s="18" t="inlineStr">
        <is>
          <t>XCom vs Variable: an XCom belongs to one run, a Variable is global configuration.</t>
        </is>
      </c>
      <c r="AM6" s="18" t="inlineStr">
        <is>
          <t>Do not push large payloads into XCom.</t>
        </is>
      </c>
      <c r="AN6" s="19" t="inlineStr">
        <is>
          <t>ti.xcom_push(key="df", value=big_dataframe.to_json())</t>
        </is>
      </c>
      <c r="AO6" s="19" t="inlineStr">
        <is>
          <t>ti.xcom_push(key="path", value="s3://bucket/raw/orders.parquet")</t>
        </is>
      </c>
      <c r="AP6" s="18" t="inlineStr">
        <is>
          <t>Notes travel by XCom, cargo by storage.</t>
        </is>
      </c>
      <c r="AQ6" s="18" t="inlineStr">
        <is>
          <t>Replacing dataframes in XCom with file paths removed database bloat.</t>
        </is>
      </c>
      <c r="AR6" s="18" t="inlineStr">
        <is>
          <t>An interviewer may ask: What should you not put in XCom?</t>
        </is>
      </c>
      <c r="AS6" s="18" t="inlineStr">
        <is>
          <t>It is like a note passed between desks.</t>
        </is>
      </c>
      <c r="AT6" s="18" t="inlineStr">
        <is>
          <t>What should XCom hold?</t>
        </is>
      </c>
      <c r="AU6" s="18" t="inlineStr">
        <is>
          <t>A) Large datasets B) Backups C) Videos D) Small metadata such as paths</t>
        </is>
      </c>
      <c r="AV6" s="18" t="inlineStr">
        <is>
          <t>D</t>
        </is>
      </c>
      <c r="AW6" s="18" t="inlineStr">
        <is>
          <t>It is stored in the database, so keep it small.</t>
        </is>
      </c>
      <c r="AX6" s="19" t="inlineStr">
        <is>
          <t>The object used to push and pull XComs is the task ____ → instance</t>
        </is>
      </c>
      <c r="AY6" s="18" t="inlineStr">
        <is>
          <t>Read the value returned by the task extract.</t>
        </is>
      </c>
      <c r="AZ6" s="19" t="inlineStr">
        <is>
          <t>ti.xcom_pull(task_ids="extract")</t>
        </is>
      </c>
      <c r="BA6" s="18" t="inlineStr">
        <is>
          <t>Write a task that pushes a row count and one that reads it.</t>
        </is>
      </c>
      <c r="BB6" s="19" t="inlineStr">
        <is>
          <t>Where are XComs stored?</t>
        </is>
      </c>
      <c r="BC6" s="19" t="inlineStr">
        <is>
          <t>In the metadata database.</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35" customHeight="1">
      <c r="A7" s="17" t="inlineStr">
        <is>
          <t>AIR-012</t>
        </is>
      </c>
      <c r="B7" s="17" t="inlineStr">
        <is>
          <t>02 Writing DAGs</t>
        </is>
      </c>
      <c r="C7" s="17" t="inlineStr">
        <is>
          <t>Intermediate</t>
        </is>
      </c>
      <c r="D7" s="17" t="n">
        <v>12</v>
      </c>
      <c r="E7" s="17" t="inlineStr">
        <is>
          <t>Claude knowledge</t>
        </is>
      </c>
      <c r="F7" s="18" t="inlineStr">
        <is>
          <t>Templating with Jinja</t>
        </is>
      </c>
      <c r="G7" s="18" t="inlineStr">
        <is>
          <t>How do you insert run dates and values into commands and queries at run time?</t>
        </is>
      </c>
      <c r="H7" s="17" t="n"/>
      <c r="I7" s="18" t="inlineStr">
        <is>
          <t>Airflow code</t>
        </is>
      </c>
      <c r="J7" s="18" t="inlineStr">
        <is>
          <t>Very high</t>
        </is>
      </c>
      <c r="K7" s="18" t="n">
        <v>5</v>
      </c>
      <c r="L7" s="18" t="inlineStr">
        <is>
          <t>Tasks must act on the period they belong to, so many fields are templates that Airflow fills in with run-time values.</t>
        </is>
      </c>
      <c r="M7" s="18" t="inlineStr">
        <is>
          <t>Use the logical date macros rather than the current time, so reruns work.</t>
        </is>
      </c>
      <c r="N7" s="17" t="n"/>
      <c r="O7" s="18" t="inlineStr">
        <is>
          <t>Templating is a form letter where the date and name are filled in just before posting.</t>
        </is>
      </c>
      <c r="P7" s="18" t="inlineStr">
        <is>
          <t>A command with double-brace placeholders turning into real dates.</t>
        </is>
      </c>
      <c r="Q7" s="18" t="inlineStr">
        <is>
          <t>The comfort of reruns that process the right day.</t>
        </is>
      </c>
      <c r="R7" s="18" t="inlineStr">
        <is>
          <t>Airflow renders templated fields with Jinja, replacing expressions such as ds, data_interval_start and params with values for the specific run.</t>
        </is>
      </c>
      <c r="S7" s="17" t="n"/>
      <c r="T7" s="19" t="inlineStr">
        <is>
          <t>load_sql = BashOperator(
    task_id="load_day",
    bash_command="psql -c \"DELETE FROM sales WHERE day = '{{ ds }}'; INSERT INTO sales SELECT * FROM stg WHERE day = '{{ ds }}';\"",
)
other = BashOperator(task_id="range", bash_command="echo {{ data_interval_start }} to {{ data_interval_end }}")</t>
        </is>
      </c>
      <c r="U7" s="19" t="inlineStr">
        <is>
          <t>The commands run with the date of the specific DAG run filled in.</t>
        </is>
      </c>
      <c r="V7" s="18" t="inlineStr">
        <is>
          <t>Common variables include ds for the logical date as text, ts for the timestamp, and data_interval_start and data_interval_end for the period. Only fields listed as template fields are rendered. Macros offer helpers such as ds_add. Using logical dates, not now, keeps runs repeatable. Params let users supply values when triggering manually.</t>
        </is>
      </c>
      <c r="W7" s="18" t="inlineStr">
        <is>
          <t>Put expressions in double braces, and Airflow fills them for each run.</t>
        </is>
      </c>
      <c r="X7" s="18" t="inlineStr">
        <is>
          <t>Templating is a form letter where the date and name are filled in just before posting.</t>
        </is>
      </c>
      <c r="Y7" s="19" t="inlineStr">
        <is>
          <t>{{ ds }} | {{ data_interval_start }} | {{ params.name }}</t>
        </is>
      </c>
      <c r="Z7" s="18" t="inlineStr">
        <is>
          <t>ds = logical date | data_interval_start and end = period | params = user values | macros = helpers</t>
        </is>
      </c>
      <c r="AA7" s="19" t="inlineStr">
        <is>
          <t>{{ macros.ds_add(ds, -7) }}</t>
        </is>
      </c>
      <c r="AB7" s="19" t="inlineStr">
        <is>
          <t>{{ params.region }}</t>
        </is>
      </c>
      <c r="AC7" s="19" t="inlineStr">
        <is>
          <t>{{ dag_run.conf.get("force") }}</t>
        </is>
      </c>
      <c r="AD7" s="19" t="inlineStr">
        <is>
          <t>template_fields = ("sql",)   // make your own operator field templated</t>
        </is>
      </c>
      <c r="AE7" s="18" t="inlineStr">
        <is>
          <t>BashOperator, SQL operators, idempotency</t>
        </is>
      </c>
      <c r="AF7" s="18" t="inlineStr">
        <is>
          <t>PythonOperator and BashOperator, data intervals, idempotency, variables</t>
        </is>
      </c>
      <c r="AG7" s="18" t="inlineStr">
        <is>
          <t>Python code reading the context</t>
        </is>
      </c>
      <c r="AH7" s="17" t="n"/>
      <c r="AI7" s="18" t="inlineStr">
        <is>
          <t>SQL tasks | File names | Incremental loads</t>
        </is>
      </c>
      <c r="AJ7" s="18" t="inlineStr">
        <is>
          <t>A: Reruns process today's data instead of the original day. | B: Use the logical date template instead of the current time.</t>
        </is>
      </c>
      <c r="AK7" s="18" t="inlineStr">
        <is>
          <t>✗ Every task argument is templated → ✓ Only fields declared as template fields are rendered</t>
        </is>
      </c>
      <c r="AL7" s="18" t="inlineStr">
        <is>
          <t>ds vs now: ds is the logical date of the run, now is the real current time.</t>
        </is>
      </c>
      <c r="AM7" s="18" t="inlineStr">
        <is>
          <t>Do not use the current time in tasks that may be rerun.</t>
        </is>
      </c>
      <c r="AN7" s="19" t="inlineStr">
        <is>
          <t>bash_command="python run.py --date $(date +%F)"</t>
        </is>
      </c>
      <c r="AO7" s="19" t="inlineStr">
        <is>
          <t>bash_command="python run.py --date {{ ds }}"</t>
        </is>
      </c>
      <c r="AP7" s="18" t="inlineStr">
        <is>
          <t>Logical date, not clock time.</t>
        </is>
      </c>
      <c r="AQ7" s="18" t="inlineStr">
        <is>
          <t>Replacing now with ds made backfills reproduce the original days exactly.</t>
        </is>
      </c>
      <c r="AR7" s="18" t="inlineStr">
        <is>
          <t>An interviewer may ask: What is the difference between ds and the current date?</t>
        </is>
      </c>
      <c r="AS7" s="18" t="inlineStr">
        <is>
          <t>It is like a form letter filled in just before posting.</t>
        </is>
      </c>
      <c r="AT7" s="18" t="inlineStr">
        <is>
          <t>Which variable is the logical date as text?</t>
        </is>
      </c>
      <c r="AU7" s="18" t="inlineStr">
        <is>
          <t>A) ds B) today C) now D) clock</t>
        </is>
      </c>
      <c r="AV7" s="18" t="inlineStr">
        <is>
          <t>A</t>
        </is>
      </c>
      <c r="AW7" s="18" t="inlineStr">
        <is>
          <t>ds gives the logical date in year-month-day form.</t>
        </is>
      </c>
      <c r="AX7" s="19" t="inlineStr">
        <is>
          <t>Templates use the language ____ → Jinja</t>
        </is>
      </c>
      <c r="AY7" s="18" t="inlineStr">
        <is>
          <t>Use the logical date in a command.</t>
        </is>
      </c>
      <c r="AZ7" s="19" t="inlineStr">
        <is>
          <t>bash_command="echo {{ ds }}"</t>
        </is>
      </c>
      <c r="BA7" s="18" t="inlineStr">
        <is>
          <t>Write a SQL string that loads only the data interval of the run.</t>
        </is>
      </c>
      <c r="BB7" s="19" t="inlineStr">
        <is>
          <t>Why prefer logical dates over the current time?</t>
        </is>
      </c>
      <c r="BC7" s="19" t="inlineStr">
        <is>
          <t>Reruns must process the same period as the original run.</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148.5" customHeight="1">
      <c r="A8" s="17" t="inlineStr">
        <is>
          <t>AIR-013</t>
        </is>
      </c>
      <c r="B8" s="17" t="inlineStr">
        <is>
          <t>02 Writing DAGs</t>
        </is>
      </c>
      <c r="C8" s="17" t="inlineStr">
        <is>
          <t>Intermediate</t>
        </is>
      </c>
      <c r="D8" s="17" t="n">
        <v>13</v>
      </c>
      <c r="E8" s="17" t="inlineStr">
        <is>
          <t>Claude knowledge</t>
        </is>
      </c>
      <c r="F8" s="18" t="inlineStr">
        <is>
          <t>Variables</t>
        </is>
      </c>
      <c r="G8" s="18" t="inlineStr">
        <is>
          <t>Which Airflow feature stores configuration values that DAGs can read at run time?</t>
        </is>
      </c>
      <c r="H8" s="17" t="n"/>
      <c r="I8" s="18" t="inlineStr">
        <is>
          <t>Airflow code</t>
        </is>
      </c>
      <c r="J8" s="18" t="inlineStr">
        <is>
          <t>High</t>
        </is>
      </c>
      <c r="K8" s="18" t="n">
        <v>4</v>
      </c>
      <c r="L8" s="18" t="inlineStr">
        <is>
          <t>Settings change without code releases, so Airflow offers global key-value variables that DAGs can read and operators can template.</t>
        </is>
      </c>
      <c r="M8" s="18" t="inlineStr">
        <is>
          <t>Read variables inside tasks or templates, not at the top of the DAG file.</t>
        </is>
      </c>
      <c r="N8" s="17" t="n"/>
      <c r="O8" s="18" t="inlineStr">
        <is>
          <t>Variables are a shared settings board that any DAG can read.</t>
        </is>
      </c>
      <c r="P8" s="18" t="inlineStr">
        <is>
          <t>A simple key-value list shown in the web interface.</t>
        </is>
      </c>
      <c r="Q8" s="18" t="inlineStr">
        <is>
          <t>The ease of changing a setting without redeploying code.</t>
        </is>
      </c>
      <c r="R8" s="18" t="inlineStr">
        <is>
          <t>Variables are global key-value pairs stored in Airflow, set in the interface, CLI or environment, and read with Variable.get or with a template expression.</t>
        </is>
      </c>
      <c r="S8" s="17" t="n"/>
      <c r="T8" s="19" t="inlineStr">
        <is>
          <t>from airflow.models import Variable
def run(**context):
    region = Variable.get("sales_region", default_var="in")
    print(region)
BashOperator(task_id="t", bash_command="echo {{ var.value.sales_region }}")
# CLI: airflow variables set sales_region eu</t>
        </is>
      </c>
      <c r="U8" s="19" t="inlineStr">
        <is>
          <t>The task prints the current region from the variable, or in if it is not set.</t>
        </is>
      </c>
      <c r="V8" s="18" t="inlineStr">
        <is>
          <t>Calling Variable.get at the top level of a DAG file hits the database every time the file is parsed, which is expensive, so read variables inside tasks or in templates. Variables with names containing words such as password or secret are masked in the interface. Secrets should live in a secrets backend, not plain variables. JSON values can be read as objects. Written for Airflow 2.x imports; in Airflow 3 they move to airflow.sdk and apache-airflow-providers-standard.</t>
        </is>
      </c>
      <c r="W8" s="18" t="inlineStr">
        <is>
          <t>Store settings as variables, and read them inside tasks or templates.</t>
        </is>
      </c>
      <c r="X8" s="18" t="inlineStr">
        <is>
          <t>Variables are a shared settings board that any DAG can read.</t>
        </is>
      </c>
      <c r="Y8" s="19" t="inlineStr">
        <is>
          <t>Variable.get("key", default_var=...) | {{ var.value.key }}</t>
        </is>
      </c>
      <c r="Z8" s="18" t="inlineStr">
        <is>
          <t>key = name | default_var = fallback | var.value = template access | var.json = JSON access</t>
        </is>
      </c>
      <c r="AA8" s="19" t="inlineStr">
        <is>
          <t>Variable.get("config", deserialize_json=True)</t>
        </is>
      </c>
      <c r="AB8" s="19" t="inlineStr">
        <is>
          <t>{{ var.json.config.threshold }}</t>
        </is>
      </c>
      <c r="AC8" s="19" t="inlineStr">
        <is>
          <t>export AIRFLOW_VAR_SALES_REGION=eu</t>
        </is>
      </c>
      <c r="AD8" s="19" t="inlineStr">
        <is>
          <t>AIRFLOW_VAR_NAME   // set a variable through the environment</t>
        </is>
      </c>
      <c r="AE8" s="18" t="inlineStr">
        <is>
          <t>templating, secrets backends, connections</t>
        </is>
      </c>
      <c r="AF8" s="18" t="inlineStr">
        <is>
          <t>templating, connections and hooks, secrets backends, DAG definition</t>
        </is>
      </c>
      <c r="AG8" s="18" t="inlineStr">
        <is>
          <t>Config files in the DAG folder | secrets backends</t>
        </is>
      </c>
      <c r="AH8" s="17" t="n"/>
      <c r="AI8" s="18" t="inlineStr">
        <is>
          <t>Feature switches | Thresholds | Environment settings</t>
        </is>
      </c>
      <c r="AJ8" s="18" t="inlineStr">
        <is>
          <t>A: Parsing is slow and the database is busy. | B: A Variable.get at the top of the file runs on every parse, so move it into the task.</t>
        </is>
      </c>
      <c r="AK8" s="18" t="inlineStr">
        <is>
          <t>✗ Variables are a safe place for passwords → ✓ Secrets belong in a secrets backend or a connection</t>
        </is>
      </c>
      <c r="AL8" s="18" t="inlineStr">
        <is>
          <t>Variable vs Connection: variables hold values, connections hold credentials for systems.</t>
        </is>
      </c>
      <c r="AM8" s="18" t="inlineStr">
        <is>
          <t>Do not read variables at the top level of DAG files.</t>
        </is>
      </c>
      <c r="AN8" s="19" t="inlineStr">
        <is>
          <t>REGION = Variable.get("sales_region")   # runs on every parse</t>
        </is>
      </c>
      <c r="AO8" s="19" t="inlineStr">
        <is>
          <t>def run(): region = Variable.get("sales_region")</t>
        </is>
      </c>
      <c r="AP8" s="18" t="inlineStr">
        <is>
          <t>Read variables inside the task, not the file top.</t>
        </is>
      </c>
      <c r="AQ8" s="18" t="inlineStr">
        <is>
          <t>Moving variable reads into tasks reduced scheduler database load noticeably.</t>
        </is>
      </c>
      <c r="AR8" s="18" t="inlineStr">
        <is>
          <t>An interviewer may ask: Why avoid Variable.get at the top of a DAG file?</t>
        </is>
      </c>
      <c r="AS8" s="18" t="inlineStr">
        <is>
          <t>It is like a shared settings board.</t>
        </is>
      </c>
      <c r="AT8" s="18" t="inlineStr">
        <is>
          <t>Where should Variable.get be called?</t>
        </is>
      </c>
      <c r="AU8" s="18" t="inlineStr">
        <is>
          <t>A) Inside a task or template B) At the top of the file C) In comments D) In every import</t>
        </is>
      </c>
      <c r="AV8" s="18" t="inlineStr">
        <is>
          <t>A</t>
        </is>
      </c>
      <c r="AW8" s="18" t="inlineStr">
        <is>
          <t>The top level runs on every parse.</t>
        </is>
      </c>
      <c r="AX8" s="19" t="inlineStr">
        <is>
          <t>A fallback value for a missing variable is the ____ argument → default_var</t>
        </is>
      </c>
      <c r="AY8" s="18" t="inlineStr">
        <is>
          <t>Read the variable region with a default of in.</t>
        </is>
      </c>
      <c r="AZ8" s="19" t="inlineStr">
        <is>
          <t>Variable.get("region", default_var="in")</t>
        </is>
      </c>
      <c r="BA8" s="18" t="inlineStr">
        <is>
          <t>Set a variable from the CLI and use it in a template.</t>
        </is>
      </c>
      <c r="BB8" s="19" t="inlineStr">
        <is>
          <t>Why are secrets not stored as plain variables?</t>
        </is>
      </c>
      <c r="BC8" s="19" t="inlineStr">
        <is>
          <t>A secrets backend protects and audits them better.</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162" customHeight="1">
      <c r="A9" s="17" t="inlineStr">
        <is>
          <t>AIR-014</t>
        </is>
      </c>
      <c r="B9" s="17" t="inlineStr">
        <is>
          <t>02 Writing DAGs</t>
        </is>
      </c>
      <c r="C9" s="17" t="inlineStr">
        <is>
          <t>Intermediate</t>
        </is>
      </c>
      <c r="D9" s="17" t="n">
        <v>14</v>
      </c>
      <c r="E9" s="17" t="inlineStr">
        <is>
          <t>Claude knowledge</t>
        </is>
      </c>
      <c r="F9" s="18" t="inlineStr">
        <is>
          <t>Connections and hooks</t>
        </is>
      </c>
      <c r="G9" s="18" t="inlineStr">
        <is>
          <t>How does Airflow store the credentials for outside systems and use them in code?</t>
        </is>
      </c>
      <c r="H9" s="17" t="n"/>
      <c r="I9" s="18" t="inlineStr">
        <is>
          <t>Airflow code</t>
        </is>
      </c>
      <c r="J9" s="18" t="inlineStr">
        <is>
          <t>Very high</t>
        </is>
      </c>
      <c r="K9" s="18" t="n">
        <v>5</v>
      </c>
      <c r="L9" s="18" t="inlineStr">
        <is>
          <t>Tasks need to log in to databases and services, so connections hold the details and hooks give code a ready client.</t>
        </is>
      </c>
      <c r="M9" s="18" t="inlineStr">
        <is>
          <t>Reference connections by id and keep secrets out of DAG files.</t>
        </is>
      </c>
      <c r="N9" s="17" t="n"/>
      <c r="O9" s="18" t="inlineStr">
        <is>
          <t>A connection is an address-book entry with a login, and a hook is the phone that dials it.</t>
        </is>
      </c>
      <c r="P9" s="18" t="inlineStr">
        <is>
          <t>A connection id feeding a hook that opens a database client.</t>
        </is>
      </c>
      <c r="Q9" s="18" t="inlineStr">
        <is>
          <t>The comfort of credentials kept in one controlled place.</t>
        </is>
      </c>
      <c r="R9" s="18" t="inlineStr">
        <is>
          <t>A connection stores host, login, password, schema and extras under a connection id, and a hook is a Python class that uses a connection to talk to a system.</t>
        </is>
      </c>
      <c r="S9" s="17" t="n"/>
      <c r="T9" s="19" t="inlineStr">
        <is>
          <t>from airflow.providers.postgres.hooks.postgres import PostgresHook
def count_rows(**context):
    hook = PostgresHook(postgres_conn_id="warehouse")
    rows = hook.get_first("SELECT COUNT(*) FROM sales WHERE day = %s", parameters=(context["ds"],))
    print(rows[0])
# create: airflow connections add warehouse --conn-uri postgresql://user:pass@host:5432/db</t>
        </is>
      </c>
      <c r="U9" s="19" t="inlineStr">
        <is>
          <t>The task connects with the warehouse connection and prints the number of rows for the logical date.</t>
        </is>
      </c>
      <c r="V9" s="18" t="inlineStr">
        <is>
          <t>Connections can be created in the interface, the CLI, environment variables or a secrets backend. Operators take a connection id argument and use hooks inside. A custom task can use the hook to run queries or get a client. Secrets should come from a secrets backend in production. Use parameters in queries, not string joins, to prevent injection.</t>
        </is>
      </c>
      <c r="W9" s="18" t="inlineStr">
        <is>
          <t>Create a connection once, refer to it by id, and use hooks in code.</t>
        </is>
      </c>
      <c r="X9" s="18" t="inlineStr">
        <is>
          <t>A connection is an address-book entry with a login, and a hook is the phone that dials it.</t>
        </is>
      </c>
      <c r="Y9" s="19" t="inlineStr">
        <is>
          <t>PostgresHook(postgres_conn_id="id") | conn_id="id"</t>
        </is>
      </c>
      <c r="Z9" s="18" t="inlineStr">
        <is>
          <t>conn_id = name | hook = client helper | extra = JSON settings | secrets backend = safe storage</t>
        </is>
      </c>
      <c r="AA9" s="19" t="inlineStr">
        <is>
          <t>S3Hook(aws_conn_id="aws_default")</t>
        </is>
      </c>
      <c r="AB9" s="19" t="inlineStr">
        <is>
          <t>export AIRFLOW_CONN_WAREHOUSE='postgresql://user:pass@host:5432/db'</t>
        </is>
      </c>
      <c r="AC9" s="19" t="inlineStr">
        <is>
          <t>SQLExecuteQueryOperator(task_id="q", conn_id="warehouse", sql="SELECT 1")</t>
        </is>
      </c>
      <c r="AD9" s="19" t="inlineStr">
        <is>
          <t>HttpHook(http_conn_id="api")   // for REST services</t>
        </is>
      </c>
      <c r="AE9" s="18" t="inlineStr">
        <is>
          <t>secrets backends, providers, SQL operators</t>
        </is>
      </c>
      <c r="AF9" s="18" t="inlineStr">
        <is>
          <t>variables, secrets backends, tasks and operators, credentials</t>
        </is>
      </c>
      <c r="AG9" s="18" t="inlineStr">
        <is>
          <t>Environment variables | secrets managers</t>
        </is>
      </c>
      <c r="AH9" s="17" t="n"/>
      <c r="AI9" s="18" t="inlineStr">
        <is>
          <t>Database tasks | Cloud storage | APIs</t>
        </is>
      </c>
      <c r="AJ9" s="18" t="inlineStr">
        <is>
          <t>A: Where do the warehouse credentials live? | B: In an Airflow connection, ideally from the secrets backend.</t>
        </is>
      </c>
      <c r="AK9" s="18" t="inlineStr">
        <is>
          <t>✗ Credentials belong in the DAG file → ✓ Use connections so secrets stay out of code</t>
        </is>
      </c>
      <c r="AL9" s="18" t="inlineStr">
        <is>
          <t>Connection vs hook: a connection holds the details, a hook uses them.</t>
        </is>
      </c>
      <c r="AM9" s="18" t="inlineStr">
        <is>
          <t>Do not build SQL by joining strings with user input.</t>
        </is>
      </c>
      <c r="AN9" s="19" t="inlineStr">
        <is>
          <t>conn = psycopg2.connect("host=db user=admin password=secret")</t>
        </is>
      </c>
      <c r="AO9" s="19" t="inlineStr">
        <is>
          <t>hook = PostgresHook(postgres_conn_id="warehouse")</t>
        </is>
      </c>
      <c r="AP9" s="18" t="inlineStr">
        <is>
          <t>A connection stores details, a hook connects.</t>
        </is>
      </c>
      <c r="AQ9" s="18" t="inlineStr">
        <is>
          <t>Moving passwords out of DAG files into connections passed a customer security review.</t>
        </is>
      </c>
      <c r="AR9" s="18" t="inlineStr">
        <is>
          <t>An interviewer may ask: What is the difference between a connection and a hook?</t>
        </is>
      </c>
      <c r="AS9" s="18" t="inlineStr">
        <is>
          <t>It is like an address-book entry and a phone.</t>
        </is>
      </c>
      <c r="AT9" s="18" t="inlineStr">
        <is>
          <t>What does a hook do?</t>
        </is>
      </c>
      <c r="AU9" s="18" t="inlineStr">
        <is>
          <t>A) Stores passwords B) Uses a connection to talk to a system C) Renders templates D) Schedules DAGs</t>
        </is>
      </c>
      <c r="AV9" s="18" t="inlineStr">
        <is>
          <t>B</t>
        </is>
      </c>
      <c r="AW9" s="18" t="inlineStr">
        <is>
          <t>Hooks wrap the client for an outside system.</t>
        </is>
      </c>
      <c r="AX9" s="19" t="inlineStr">
        <is>
          <t>Operators refer to a connection by its ____ → id</t>
        </is>
      </c>
      <c r="AY9" s="18" t="inlineStr">
        <is>
          <t>Create a Postgres hook using the connection warehouse.</t>
        </is>
      </c>
      <c r="AZ9" s="19" t="inlineStr">
        <is>
          <t>hook = PostgresHook(postgres_conn_id="warehouse")</t>
        </is>
      </c>
      <c r="BA9" s="18" t="inlineStr">
        <is>
          <t>Write a task that runs a count query with a hook.</t>
        </is>
      </c>
      <c r="BB9" s="19" t="inlineStr">
        <is>
          <t>Where can connections be stored in production?</t>
        </is>
      </c>
      <c r="BC9" s="19" t="inlineStr">
        <is>
          <t>In a secrets backend.</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148.5" customHeight="1">
      <c r="A10" s="17" t="inlineStr">
        <is>
          <t>AIR-015</t>
        </is>
      </c>
      <c r="B10" s="17" t="inlineStr">
        <is>
          <t>02 Writing DAGs</t>
        </is>
      </c>
      <c r="C10" s="17" t="inlineStr">
        <is>
          <t>Intermediate</t>
        </is>
      </c>
      <c r="D10" s="17" t="n">
        <v>15</v>
      </c>
      <c r="E10" s="17" t="inlineStr">
        <is>
          <t>Claude knowledge</t>
        </is>
      </c>
      <c r="F10" s="18" t="inlineStr">
        <is>
          <t>Sensors</t>
        </is>
      </c>
      <c r="G10" s="18" t="inlineStr">
        <is>
          <t>Which operators wait for a file, a time or an outside event before the DAG continues?</t>
        </is>
      </c>
      <c r="H10" s="17" t="n"/>
      <c r="I10" s="18" t="inlineStr">
        <is>
          <t>Airflow code</t>
        </is>
      </c>
      <c r="J10" s="18" t="inlineStr">
        <is>
          <t>High</t>
        </is>
      </c>
      <c r="K10" s="18" t="n">
        <v>4</v>
      </c>
      <c r="L10" s="18" t="inlineStr">
        <is>
          <t>Some workflows depend on things happening outside Airflow, so sensors poll for a condition and succeed when it becomes true.</t>
        </is>
      </c>
      <c r="M10" s="18" t="inlineStr">
        <is>
          <t>Use deferrable sensors or reschedule mode so waiting does not block a worker slot.</t>
        </is>
      </c>
      <c r="N10" s="17" t="n"/>
      <c r="O10" s="18" t="inlineStr">
        <is>
          <t>A sensor is a person waiting at the door until the parcel arrives.</t>
        </is>
      </c>
      <c r="P10" s="18" t="inlineStr">
        <is>
          <t>A task repeatedly checking for a file and turning green when it appears.</t>
        </is>
      </c>
      <c r="Q10" s="18" t="inlineStr">
        <is>
          <t>The relief of a pipeline that waits patiently.</t>
        </is>
      </c>
      <c r="R10" s="18" t="inlineStr">
        <is>
          <t>A sensor is an operator that repeatedly checks a condition, such as a file existing, and succeeds when it is met or fails after a timeout.</t>
        </is>
      </c>
      <c r="S10" s="17" t="n"/>
      <c r="T10" s="19" t="inlineStr">
        <is>
          <t>from airflow.sensors.filesystem import FileSensor
wait = FileSensor(
    task_id="wait_for_file",
    filepath="/data/in/orders_{{ ds }}.csv",
    poke_interval=60,
    timeout=60 * 60 * 6,
    mode="reschedule",
)
wait &gt;&gt; load</t>
        </is>
      </c>
      <c r="U10" s="19" t="inlineStr">
        <is>
          <t>The sensor checks every minute for up to six hours, and the load starts only after the file appears.</t>
        </is>
      </c>
      <c r="V10" s="18" t="inlineStr">
        <is>
          <t>In poke mode the sensor holds a worker slot while waiting, which wastes capacity. Reschedule mode releases the slot between checks. Deferrable sensors hand the waiting to the triggerer. Always set a timeout so a missing file eventually fails and alerts. Provider packages offer sensors for cloud storage, databases and external DAGs. Written for Airflow 2.x imports; in Airflow 3 they move to airflow.sdk and apache-airflow-providers-standard.</t>
        </is>
      </c>
      <c r="W10" s="18" t="inlineStr">
        <is>
          <t>Use a sensor to wait for an event, set a timeout, and free the worker while waiting.</t>
        </is>
      </c>
      <c r="X10" s="18" t="inlineStr">
        <is>
          <t>A sensor is a person waiting at the door until the parcel arrives.</t>
        </is>
      </c>
      <c r="Y10" s="19" t="inlineStr">
        <is>
          <t>Sensor(task_id=..., poke_interval=..., timeout=..., mode="reschedule")</t>
        </is>
      </c>
      <c r="Z10" s="18" t="inlineStr">
        <is>
          <t>poke_interval = check gap | timeout = give up time | mode = poke or reschedule</t>
        </is>
      </c>
      <c r="AA10" s="19" t="inlineStr">
        <is>
          <t>S3KeySensor(bucket_key="s3://b/raw/{{ ds }}.csv", aws_conn_id="aws")</t>
        </is>
      </c>
      <c r="AB10" s="19" t="inlineStr">
        <is>
          <t>ExternalTaskSensor(external_dag_id="upstream", external_task_id="done")</t>
        </is>
      </c>
      <c r="AC10" s="19" t="inlineStr">
        <is>
          <t>TimeDeltaSensor(delta=timedelta(hours=1))</t>
        </is>
      </c>
      <c r="AD10" s="19" t="inlineStr">
        <is>
          <t>S3KeySensor(deferrable=True)   // wait through the triggerer</t>
        </is>
      </c>
      <c r="AE10" s="18" t="inlineStr">
        <is>
          <t>file arrivals, upstream DAGs, deferrable operators</t>
        </is>
      </c>
      <c r="AF10" s="18" t="inlineStr">
        <is>
          <t>tasks and operators, triggers, pools and concurrency, retries and timeouts</t>
        </is>
      </c>
      <c r="AG10" s="18" t="inlineStr">
        <is>
          <t>Event-driven datasets | webhooks</t>
        </is>
      </c>
      <c r="AH10" s="17" t="n"/>
      <c r="AI10" s="18" t="inlineStr">
        <is>
          <t>File drops | Partner feeds | Cross-DAG waits</t>
        </is>
      </c>
      <c r="AJ10" s="18" t="inlineStr">
        <is>
          <t>A: Workers are all busy waiting for files. | B: Switch the sensors to reschedule or deferrable mode.</t>
        </is>
      </c>
      <c r="AK10" s="18" t="inlineStr">
        <is>
          <t>✗ A sensor with no timeout is safe → ✓ The default timeout is seven days, which can hold a worker slot for a week, so set a realistic timeout</t>
        </is>
      </c>
      <c r="AL10" s="18" t="inlineStr">
        <is>
          <t>poke vs reschedule: poke holds a slot, reschedule frees it between checks.</t>
        </is>
      </c>
      <c r="AM10" s="18" t="inlineStr">
        <is>
          <t>Do not leave sensors without a timeout.</t>
        </is>
      </c>
      <c r="AN10" s="19" t="inlineStr">
        <is>
          <t>FileSensor(task_id="w", filepath="/data/in.csv")   # defaults hold a slot</t>
        </is>
      </c>
      <c r="AO10" s="19" t="inlineStr">
        <is>
          <t>FileSensor(task_id="w", filepath="/data/in.csv", mode="reschedule", timeout=3600)</t>
        </is>
      </c>
      <c r="AP10" s="18" t="inlineStr">
        <is>
          <t>Reschedule mode frees the slot while you wait.</t>
        </is>
      </c>
      <c r="AQ10" s="18" t="inlineStr">
        <is>
          <t>Switching sensors to reschedule mode freed worker slots during long partner delays.</t>
        </is>
      </c>
      <c r="AR10" s="18" t="inlineStr">
        <is>
          <t>An interviewer may ask: What is the difference between poke and reschedule mode?</t>
        </is>
      </c>
      <c r="AS10" s="18" t="inlineStr">
        <is>
          <t>It is like waiting at the door for a parcel.</t>
        </is>
      </c>
      <c r="AT10" s="18" t="inlineStr">
        <is>
          <t>Which mode frees the worker slot between checks?</t>
        </is>
      </c>
      <c r="AU10" s="18" t="inlineStr">
        <is>
          <t>A) poke B) hold C) busy D) reschedule</t>
        </is>
      </c>
      <c r="AV10" s="18" t="inlineStr">
        <is>
          <t>D</t>
        </is>
      </c>
      <c r="AW10" s="18" t="inlineStr">
        <is>
          <t>Reschedule releases the slot while waiting.</t>
        </is>
      </c>
      <c r="AX10" s="19" t="inlineStr">
        <is>
          <t>A limit after which a sensor fails is its ____ → timeout</t>
        </is>
      </c>
      <c r="AY10" s="18" t="inlineStr">
        <is>
          <t>Wait for an S3 file, checking every five minutes.</t>
        </is>
      </c>
      <c r="AZ10" s="19" t="inlineStr">
        <is>
          <t>S3KeySensor(task_id="w", bucket_key="s3://b/f.csv", poke_interval=300, mode="reschedule")</t>
        </is>
      </c>
      <c r="BA10" s="18" t="inlineStr">
        <is>
          <t>Write a sensor with a timeout of two hours.</t>
        </is>
      </c>
      <c r="BB10" s="19" t="inlineStr">
        <is>
          <t>Why set a timeout on a sensor?</t>
        </is>
      </c>
      <c r="BC10" s="19" t="inlineStr">
        <is>
          <t>So a missing event eventually fails and alerts.</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148.5" customHeight="1">
      <c r="A11" s="17" t="inlineStr">
        <is>
          <t>AIR-016</t>
        </is>
      </c>
      <c r="B11" s="17" t="inlineStr">
        <is>
          <t>02 Writing DAGs</t>
        </is>
      </c>
      <c r="C11" s="17" t="inlineStr">
        <is>
          <t>Intermediate</t>
        </is>
      </c>
      <c r="D11" s="17" t="n">
        <v>16</v>
      </c>
      <c r="E11" s="17" t="inlineStr">
        <is>
          <t>Claude knowledge</t>
        </is>
      </c>
      <c r="F11" s="18" t="inlineStr">
        <is>
          <t>Branching</t>
        </is>
      </c>
      <c r="G11" s="18" t="inlineStr">
        <is>
          <t>How does a DAG choose between different paths at run time?</t>
        </is>
      </c>
      <c r="H11" s="17" t="n"/>
      <c r="I11" s="18" t="inlineStr">
        <is>
          <t>Airflow code</t>
        </is>
      </c>
      <c r="J11" s="18" t="inlineStr">
        <is>
          <t>Medium</t>
        </is>
      </c>
      <c r="K11" s="18" t="n">
        <v>4</v>
      </c>
      <c r="L11" s="18" t="inlineStr">
        <is>
          <t>Some workflows need to decide at run time, so a branch task returns which path to follow and skips the rest.</t>
        </is>
      </c>
      <c r="M11" s="18" t="inlineStr">
        <is>
          <t>Set the join task's trigger rule so it still runs after skipped branches.</t>
        </is>
      </c>
      <c r="N11" s="17" t="n"/>
      <c r="O11" s="18" t="inlineStr">
        <is>
          <t>Branching is a road sign that sends traffic left or right, and the other road is closed.</t>
        </is>
      </c>
      <c r="P11" s="18" t="inlineStr">
        <is>
          <t>One task splitting into two paths with one greyed out.</t>
        </is>
      </c>
      <c r="Q11" s="18" t="inlineStr">
        <is>
          <t>The pleasure of workflows that adapt.</t>
        </is>
      </c>
      <c r="R11" s="18" t="inlineStr">
        <is>
          <t>A branch operator runs a function that returns the task id or ids to follow, and tasks on the other branches are skipped.</t>
        </is>
      </c>
      <c r="S11" s="17" t="n"/>
      <c r="T11" s="19" t="inlineStr">
        <is>
          <t>from airflow.decorators import task
@task.branch
def choose(ds=None):
    return "full_load" if ds.endswith("-01") else "incremental_load"
full = EmptyOperator(task_id="full_load")
inc = EmptyOperator(task_id="incremental_load")
done = EmptyOperator(task_id="done", trigger_rule="none_failed_min_one_success")
choose() &gt;&gt; [full, inc] &gt;&gt; done</t>
        </is>
      </c>
      <c r="U11" s="19" t="inlineStr">
        <is>
          <t>On the first day of each month the full load runs, otherwise the incremental load runs, and done runs either way.</t>
        </is>
      </c>
      <c r="V11" s="18" t="inlineStr">
        <is>
          <t>Skipped tasks propagate their skipped state downstream, so a join after a branch would also skip under the default trigger rule. Using none_failed_min_one_success lets it run when at least one branch succeeded and none failed. Branch functions can return lists to follow several paths. Short circuit operators stop the rest of a path when a condition is false. Written for Airflow 2.x imports; in Airflow 3 they move to airflow.sdk and apache-airflow-providers-standard.</t>
        </is>
      </c>
      <c r="W11" s="18" t="inlineStr">
        <is>
          <t>Return the next task id from a branch task, and relax the join's trigger rule.</t>
        </is>
      </c>
      <c r="X11" s="18" t="inlineStr">
        <is>
          <t>Branching is a road sign sending traffic left or right, with the other road closed.</t>
        </is>
      </c>
      <c r="Y11" s="19" t="inlineStr">
        <is>
          <t>@task.branch def pick(): return "task_id"</t>
        </is>
      </c>
      <c r="Z11" s="18" t="inlineStr">
        <is>
          <t>return value = chosen task id | skipped = unused branch | trigger_rule = join behaviour</t>
        </is>
      </c>
      <c r="AA11" s="19" t="inlineStr">
        <is>
          <t>BranchPythonOperator(task_id="b", python_callable=pick)</t>
        </is>
      </c>
      <c r="AB11" s="19" t="inlineStr">
        <is>
          <t>ShortCircuitOperator(task_id="check", python_callable=lambda: is_business_day())</t>
        </is>
      </c>
      <c r="AC11" s="19" t="inlineStr">
        <is>
          <t>trigger_rule="all_done"</t>
        </is>
      </c>
      <c r="AD11" s="19" t="inlineStr">
        <is>
          <t>@task.short_circuit def should_run(): return False   // skip all downstream tasks</t>
        </is>
      </c>
      <c r="AE11" s="18" t="inlineStr">
        <is>
          <t>trigger rules, dependencies, conditions</t>
        </is>
      </c>
      <c r="AF11" s="18" t="inlineStr">
        <is>
          <t>dependencies, trigger rules, TaskFlow API, task groups</t>
        </is>
      </c>
      <c r="AG11" s="18" t="inlineStr">
        <is>
          <t>Separate DAGs</t>
        </is>
      </c>
      <c r="AH11" s="17" t="n"/>
      <c r="AI11" s="18" t="inlineStr">
        <is>
          <t>Conditional loads | Holidays | Full versus incremental runs</t>
        </is>
      </c>
      <c r="AJ11" s="18" t="inlineStr">
        <is>
          <t>A: The final task was skipped after branching. | B: Change its trigger rule so skipped branches do not block it.</t>
        </is>
      </c>
      <c r="AK11" s="18" t="inlineStr">
        <is>
          <t>✗ Tasks after a branch always run → ✓ Skips propagate unless the join task uses a suitable trigger rule</t>
        </is>
      </c>
      <c r="AL11" s="18" t="inlineStr">
        <is>
          <t>Branch vs short circuit: branch picks between paths, short circuit stops a path.</t>
        </is>
      </c>
      <c r="AM11" s="18" t="inlineStr">
        <is>
          <t>Do not leave the join task on the default trigger rule.</t>
        </is>
      </c>
      <c r="AN11" s="19" t="inlineStr">
        <is>
          <t>done = EmptyOperator(task_id="done")   # skipped when a branch is skipped</t>
        </is>
      </c>
      <c r="AO11" s="19" t="inlineStr">
        <is>
          <t>done = EmptyOperator(task_id="done", trigger_rule="none_failed_min_one_success")</t>
        </is>
      </c>
      <c r="AP11" s="18" t="inlineStr">
        <is>
          <t>Join tasks need a relaxed trigger rule.</t>
        </is>
      </c>
      <c r="AQ11" s="18" t="inlineStr">
        <is>
          <t>Branching between full and incremental loads removed the need for two separate DAGs.</t>
        </is>
      </c>
      <c r="AR11" s="18" t="inlineStr">
        <is>
          <t>An interviewer may ask: Why was my task after the branch skipped?</t>
        </is>
      </c>
      <c r="AS11" s="18" t="inlineStr">
        <is>
          <t>It is like a road sign that closes one road.</t>
        </is>
      </c>
      <c r="AT11" s="18" t="inlineStr">
        <is>
          <t>What does a branch function return?</t>
        </is>
      </c>
      <c r="AU11" s="18" t="inlineStr">
        <is>
          <t>A) A password B) A number C) The task id or ids to follow D) A date</t>
        </is>
      </c>
      <c r="AV11" s="18" t="inlineStr">
        <is>
          <t>C</t>
        </is>
      </c>
      <c r="AW11" s="18" t="inlineStr">
        <is>
          <t>The returned ids define the chosen path.</t>
        </is>
      </c>
      <c r="AX11" s="19" t="inlineStr">
        <is>
          <t>The state given to tasks on the unused path is ____ → skipped</t>
        </is>
      </c>
      <c r="AY11" s="18" t="inlineStr">
        <is>
          <t>Make the join task run even when one branch was skipped.</t>
        </is>
      </c>
      <c r="AZ11" s="19" t="inlineStr">
        <is>
          <t>done = EmptyOperator(task_id="done", trigger_rule="none_failed_min_one_success")</t>
        </is>
      </c>
      <c r="BA11" s="18" t="inlineStr">
        <is>
          <t>Write a branch that picks weekday or weekend processing.</t>
        </is>
      </c>
      <c r="BB11" s="19" t="inlineStr">
        <is>
          <t>Why does a join after a branch get skipped by default?</t>
        </is>
      </c>
      <c r="BC11" s="19" t="inlineStr">
        <is>
          <t>Skipped states propagate downstream under the default trigger rule.</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148.5" customHeight="1">
      <c r="A12" s="17" t="inlineStr">
        <is>
          <t>AIR-017</t>
        </is>
      </c>
      <c r="B12" s="17" t="inlineStr">
        <is>
          <t>02 Writing DAGs</t>
        </is>
      </c>
      <c r="C12" s="17" t="inlineStr">
        <is>
          <t>Intermediate</t>
        </is>
      </c>
      <c r="D12" s="17" t="n">
        <v>17</v>
      </c>
      <c r="E12" s="17" t="inlineStr">
        <is>
          <t>Claude knowledge</t>
        </is>
      </c>
      <c r="F12" s="18" t="inlineStr">
        <is>
          <t>Task groups</t>
        </is>
      </c>
      <c r="G12" s="18" t="inlineStr">
        <is>
          <t>How do you group related tasks visually and logically in a large DAG?</t>
        </is>
      </c>
      <c r="H12" s="17" t="n"/>
      <c r="I12" s="18" t="inlineStr">
        <is>
          <t>Airflow code</t>
        </is>
      </c>
      <c r="J12" s="18" t="inlineStr">
        <is>
          <t>Medium</t>
        </is>
      </c>
      <c r="K12" s="18" t="n">
        <v>3</v>
      </c>
      <c r="L12" s="18" t="inlineStr">
        <is>
          <t>Large DAGs become hard to read, so task groups bundle related tasks into collapsible boxes without changing how they run.</t>
        </is>
      </c>
      <c r="M12" s="18" t="inlineStr">
        <is>
          <t>Use task groups to organise, and use separate DAGs when parts have different schedules.</t>
        </is>
      </c>
      <c r="N12" s="17" t="n"/>
      <c r="O12" s="18" t="inlineStr">
        <is>
          <t>A task group is a folder that holds related tasks in the graph.</t>
        </is>
      </c>
      <c r="P12" s="18" t="inlineStr">
        <is>
          <t>A collapsible box in the graph containing several tasks.</t>
        </is>
      </c>
      <c r="Q12" s="18" t="inlineStr">
        <is>
          <t>The tidiness of a graph that fits on one screen.</t>
        </is>
      </c>
      <c r="R12" s="18" t="inlineStr">
        <is>
          <t>A task group is a context manager that groups tasks in the interface, prefixes their ids with the group name, and lets you set dependencies on the group as a whole.</t>
        </is>
      </c>
      <c r="S12" s="17" t="n"/>
      <c r="T12" s="19" t="inlineStr">
        <is>
          <t>from airflow.utils.task_group import TaskGroup
with DAG("sales", start_date=datetime(2026, 10, 1), schedule="@daily", catchup=False) as dag:
    with TaskGroup("extract") as extract:
        a = EmptyOperator(task_id="orders")
        b = EmptyOperator(task_id="customers")
    load = EmptyOperator(task_id="load")
    extract &gt;&gt; load</t>
        </is>
      </c>
      <c r="U12" s="19" t="inlineStr">
        <is>
          <t>The graph shows one collapsible extract group with two tasks, followed by load.</t>
        </is>
      </c>
      <c r="V12" s="18" t="inlineStr">
        <is>
          <t>Task groups affect only layout and ids, such as extract.orders, not scheduling. They can be nested. Dependencies set on the group connect all its entry and exit tasks. They replace the older SubDAGs, which had performance problems. Dynamic task mapping can create tasks inside groups. Written for Airflow 2.x imports; in Airflow 3 they move to airflow.sdk and apache-airflow-providers-standard.</t>
        </is>
      </c>
      <c r="W12" s="18" t="inlineStr">
        <is>
          <t>Wrap related tasks in a TaskGroup to keep the graph readable.</t>
        </is>
      </c>
      <c r="X12" s="18" t="inlineStr">
        <is>
          <t>A task group is a folder that holds related tasks in the graph.</t>
        </is>
      </c>
      <c r="Y12" s="19" t="inlineStr">
        <is>
          <t>with TaskGroup("name") as group:</t>
        </is>
      </c>
      <c r="Z12" s="18" t="inlineStr">
        <is>
          <t>TaskGroup = folder | group_id prefix = task id | group &gt;&gt; task = dependency</t>
        </is>
      </c>
      <c r="AA12" s="19" t="inlineStr">
        <is>
          <t>with TaskGroup("transform") as tg:</t>
        </is>
      </c>
      <c r="AB12" s="19" t="inlineStr">
        <is>
          <t>tg1 &gt;&gt; tg2</t>
        </is>
      </c>
      <c r="AC12" s="19" t="inlineStr">
        <is>
          <t>task_id becomes extract.orders</t>
        </is>
      </c>
      <c r="AD12" s="19" t="inlineStr">
        <is>
          <t>@task_group def extract(): ...   // the decorator form</t>
        </is>
      </c>
      <c r="AE12" s="18" t="inlineStr">
        <is>
          <t>dependencies, large DAGs, dynamic task mapping</t>
        </is>
      </c>
      <c r="AF12" s="18" t="inlineStr">
        <is>
          <t>dependencies, DAG definition, dynamic task mapping, branching</t>
        </is>
      </c>
      <c r="AG12" s="18" t="inlineStr">
        <is>
          <t>Separate DAGs | SubDAGs in old versions</t>
        </is>
      </c>
      <c r="AH12" s="17" t="n"/>
      <c r="AI12" s="18" t="inlineStr">
        <is>
          <t>Large DAGs | Many tables | Readable graphs</t>
        </is>
      </c>
      <c r="AJ12" s="18" t="inlineStr">
        <is>
          <t>A: The graph has sixty tasks and is unreadable. | B: Group them with task groups by stage.</t>
        </is>
      </c>
      <c r="AK12" s="18" t="inlineStr">
        <is>
          <t>✗ Task groups run tasks in parallel automatically → ✓ They only organise tasks, and dependencies decide the order</t>
        </is>
      </c>
      <c r="AL12" s="18" t="inlineStr">
        <is>
          <t>Task group vs SubDAG: groups are visual, SubDAGs were separate DAGs and are discouraged.</t>
        </is>
      </c>
      <c r="AM12" s="18" t="inlineStr">
        <is>
          <t>Do not use SubDAGs in new work.</t>
        </is>
      </c>
      <c r="AN12" s="19" t="inlineStr">
        <is>
          <t>SubDagOperator(task_id="sub", subdag=build_sub())</t>
        </is>
      </c>
      <c r="AO12" s="19" t="inlineStr">
        <is>
          <t>with TaskGroup("sub") as sub:</t>
        </is>
      </c>
      <c r="AP12" s="18" t="inlineStr">
        <is>
          <t>Groups tidy the graph, they do not change execution.</t>
        </is>
      </c>
      <c r="AQ12" s="18" t="inlineStr">
        <is>
          <t>Grouping sixty tasks by stage made a large DAG reviewable on one screen.</t>
        </is>
      </c>
      <c r="AR12" s="18" t="inlineStr">
        <is>
          <t>An interviewer may ask: What is the difference between task groups and SubDAGs?</t>
        </is>
      </c>
      <c r="AS12" s="18" t="inlineStr">
        <is>
          <t>It is like a folder in a file explorer.</t>
        </is>
      </c>
      <c r="AT12" s="18" t="inlineStr">
        <is>
          <t>What does a task group change?</t>
        </is>
      </c>
      <c r="AU12" s="18" t="inlineStr">
        <is>
          <t>A) The retries B) The schedule C) Layout and task id prefixes D) The executor</t>
        </is>
      </c>
      <c r="AV12" s="18" t="inlineStr">
        <is>
          <t>C</t>
        </is>
      </c>
      <c r="AW12" s="18" t="inlineStr">
        <is>
          <t>Groups are organisational.</t>
        </is>
      </c>
      <c r="AX12" s="19" t="inlineStr">
        <is>
          <t>Tasks inside a group get the group name as an id ____ → prefix</t>
        </is>
      </c>
      <c r="AY12" s="18" t="inlineStr">
        <is>
          <t>Group two tasks under the name load.</t>
        </is>
      </c>
      <c r="AZ12" s="19" t="inlineStr">
        <is>
          <t>with TaskGroup("load") as load:
    a = EmptyOperator(task_id="a")
    b = EmptyOperator(task_id="b")</t>
        </is>
      </c>
      <c r="BA12" s="18" t="inlineStr">
        <is>
          <t>Group four tasks into two groups and connect them.</t>
        </is>
      </c>
      <c r="BB12" s="19" t="inlineStr">
        <is>
          <t>Do task groups change the order in which tasks run?</t>
        </is>
      </c>
      <c r="BC12" s="19" t="inlineStr">
        <is>
          <t>No, only dependencies decide the order.</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48.5" customHeight="1">
      <c r="A13" s="17" t="inlineStr">
        <is>
          <t>AIR-020</t>
        </is>
      </c>
      <c r="B13" s="17" t="inlineStr">
        <is>
          <t>03 Running</t>
        </is>
      </c>
      <c r="C13" s="17" t="inlineStr">
        <is>
          <t>Intermediate</t>
        </is>
      </c>
      <c r="D13" s="17" t="n">
        <v>20</v>
      </c>
      <c r="E13" s="17" t="inlineStr">
        <is>
          <t>Claude knowledge</t>
        </is>
      </c>
      <c r="F13" s="18" t="inlineStr">
        <is>
          <t>Retries and timeouts</t>
        </is>
      </c>
      <c r="G13" s="18" t="inlineStr">
        <is>
          <t>How do you make tasks recover from temporary failures and stop when they take too long?</t>
        </is>
      </c>
      <c r="H13" s="17" t="n"/>
      <c r="I13" s="18" t="inlineStr">
        <is>
          <t>Airflow setting</t>
        </is>
      </c>
      <c r="J13" s="18" t="inlineStr">
        <is>
          <t>Very high</t>
        </is>
      </c>
      <c r="K13" s="18" t="n">
        <v>5</v>
      </c>
      <c r="L13" s="18" t="inlineStr">
        <is>
          <t>Failures are often temporary and hangs are dangerous, so every task can retry automatically and be limited in time.</t>
        </is>
      </c>
      <c r="M13" s="18" t="inlineStr">
        <is>
          <t>Set sensible defaults for the whole DAG, and tighten them for fragile tasks.</t>
        </is>
      </c>
      <c r="N13" s="17" t="n"/>
      <c r="O13" s="18" t="inlineStr">
        <is>
          <t>Retries are second chances with a pause, and a timeout is an alarm that stops a stuck task.</t>
        </is>
      </c>
      <c r="P13" s="18" t="inlineStr">
        <is>
          <t>A task attempt failing, waiting and trying again.</t>
        </is>
      </c>
      <c r="Q13" s="18" t="inlineStr">
        <is>
          <t>The calm of tasks fixing themselves.</t>
        </is>
      </c>
      <c r="R13" s="18" t="inlineStr">
        <is>
          <t>The retries argument sets how many times a failed task is retried, retry_delay and exponential backoff set the pause, and execution_timeout stops a task that runs too long.</t>
        </is>
      </c>
      <c r="S13" s="17" t="n"/>
      <c r="T13" s="19" t="inlineStr">
        <is>
          <t>from datetime import timedelta
BashOperator(
    task_id="call_api",
    bash_command="python call_api.py --date {{ ds }}",
    retries=3,
    retry_delay=timedelta(minutes=5),
    retry_exponential_backoff=True,
    max_retry_delay=timedelta(minutes=30),
    execution_timeout=timedelta(minutes=20),
)</t>
        </is>
      </c>
      <c r="U13" s="19" t="inlineStr">
        <is>
          <t>A failed call is retried up to three times with growing pauses, and any attempt longer than twenty minutes is stopped.</t>
        </is>
      </c>
      <c r="V13" s="18" t="inlineStr">
        <is>
          <t>Without a timeout a stuck task can hold a worker slot forever. Retries only help with temporary problems and need idempotent tasks. A failure callback or email can notify after the final try. The DAG-level dagrun_timeout limits a whole run. Very long retry chains can hide real problems, so keep them modest.</t>
        </is>
      </c>
      <c r="W13" s="18" t="inlineStr">
        <is>
          <t>Add retries with a delay and a timeout to every task that talks to the outside.</t>
        </is>
      </c>
      <c r="X13" s="18" t="inlineStr">
        <is>
          <t>Retries are second chances with a pause, and a timeout is an alarm that stops a stuck task.</t>
        </is>
      </c>
      <c r="Y13" s="19" t="inlineStr">
        <is>
          <t>retries=n, retry_delay=timedelta(...), execution_timeout=timedelta(...)</t>
        </is>
      </c>
      <c r="Z13" s="18" t="inlineStr">
        <is>
          <t>retries = attempts | retry_delay = pause | execution_timeout = limit per attempt</t>
        </is>
      </c>
      <c r="AA13" s="19" t="inlineStr">
        <is>
          <t>default_args={"retries": 2, "retry_delay": timedelta(minutes=5)}</t>
        </is>
      </c>
      <c r="AB13" s="19" t="inlineStr">
        <is>
          <t>dagrun_timeout=timedelta(hours=2)</t>
        </is>
      </c>
      <c r="AC13" s="19" t="inlineStr">
        <is>
          <t>on_failure_callback=notify</t>
        </is>
      </c>
      <c r="AD13" s="19" t="inlineStr">
        <is>
          <t>retry_exponential_backoff=True   // pauses grow after each failure</t>
        </is>
      </c>
      <c r="AE13" s="18" t="inlineStr">
        <is>
          <t>idempotency, alerts, sensors</t>
        </is>
      </c>
      <c r="AF13" s="18" t="inlineStr">
        <is>
          <t>idempotency, alerts, sensors, the web UI</t>
        </is>
      </c>
      <c r="AG13" s="18" t="inlineStr">
        <is>
          <t>Application level retries</t>
        </is>
      </c>
      <c r="AH13" s="17" t="n"/>
      <c r="AI13" s="18" t="inlineStr">
        <is>
          <t>API calls | Network jobs | All production tasks</t>
        </is>
      </c>
      <c r="AJ13" s="18" t="inlineStr">
        <is>
          <t>A: A task has been running for two days. | B: It had no timeout, so set execution_timeout.</t>
        </is>
      </c>
      <c r="AK13" s="18" t="inlineStr">
        <is>
          <t>✗ Retries can fix any failing task → ✓ They fix temporary problems only, and permanent errors fail again</t>
        </is>
      </c>
      <c r="AL13" s="18" t="inlineStr">
        <is>
          <t>execution_timeout vs dagrun_timeout: one limits a task attempt, the other limits the whole run.</t>
        </is>
      </c>
      <c r="AM13" s="18" t="inlineStr">
        <is>
          <t>Do not leave tasks without a timeout.</t>
        </is>
      </c>
      <c r="AN13" s="19" t="inlineStr">
        <is>
          <t>BashOperator(task_id="t", bash_command="python long.py")</t>
        </is>
      </c>
      <c r="AO13" s="19" t="inlineStr">
        <is>
          <t>BashOperator(task_id="t", bash_command="python long.py", retries=2, execution_timeout=timedelta(minutes=30))</t>
        </is>
      </c>
      <c r="AP13" s="18" t="inlineStr">
        <is>
          <t>Every outside call needs retries and a timeout.</t>
        </is>
      </c>
      <c r="AQ13" s="18" t="inlineStr">
        <is>
          <t>Adding timeouts stopped a hung API call from blocking a worker slot for days.</t>
        </is>
      </c>
      <c r="AR13" s="18" t="inlineStr">
        <is>
          <t>An interviewer may ask: How do you stop a stuck task?</t>
        </is>
      </c>
      <c r="AS13" s="18" t="inlineStr">
        <is>
          <t>It is like a second chance and an alarm.</t>
        </is>
      </c>
      <c r="AT13" s="18" t="inlineStr">
        <is>
          <t>Which setting stops a task that runs too long?</t>
        </is>
      </c>
      <c r="AU13" s="18" t="inlineStr">
        <is>
          <t>A) owner B) tags C) retries D) execution_timeout</t>
        </is>
      </c>
      <c r="AV13" s="18" t="inlineStr">
        <is>
          <t>D</t>
        </is>
      </c>
      <c r="AW13" s="18" t="inlineStr">
        <is>
          <t>It limits the time of one attempt.</t>
        </is>
      </c>
      <c r="AX13" s="19" t="inlineStr">
        <is>
          <t>The setting for the pause between attempts is retry ____ → delay</t>
        </is>
      </c>
      <c r="AY13" s="18" t="inlineStr">
        <is>
          <t>Retry a task twice with a five minute pause.</t>
        </is>
      </c>
      <c r="AZ13" s="19" t="inlineStr">
        <is>
          <t>retries=2, retry_delay=timedelta(minutes=5)</t>
        </is>
      </c>
      <c r="BA13" s="18" t="inlineStr">
        <is>
          <t>Set a timeout of one hour on a task and a run limit of three hours.</t>
        </is>
      </c>
      <c r="BB13" s="19" t="inlineStr">
        <is>
          <t>Why must retried tasks be idempotent?</t>
        </is>
      </c>
      <c r="BC13" s="19" t="inlineStr">
        <is>
          <t>A repeated attempt must not duplicate data.</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21.5" customHeight="1">
      <c r="A14" s="17" t="inlineStr">
        <is>
          <t>AIR-021</t>
        </is>
      </c>
      <c r="B14" s="17" t="inlineStr">
        <is>
          <t>03 Running</t>
        </is>
      </c>
      <c r="C14" s="17" t="inlineStr">
        <is>
          <t>Advanced</t>
        </is>
      </c>
      <c r="D14" s="17" t="n">
        <v>21</v>
      </c>
      <c r="E14" s="17" t="inlineStr">
        <is>
          <t>Claude knowledge</t>
        </is>
      </c>
      <c r="F14" s="18" t="inlineStr">
        <is>
          <t>Pools and concurrency</t>
        </is>
      </c>
      <c r="G14" s="18" t="inlineStr">
        <is>
          <t>How do you limit how many tasks run at once so that systems are not overloaded?</t>
        </is>
      </c>
      <c r="H14" s="17" t="n"/>
      <c r="I14" s="18" t="inlineStr">
        <is>
          <t>Airflow setting</t>
        </is>
      </c>
      <c r="J14" s="18" t="inlineStr">
        <is>
          <t>High</t>
        </is>
      </c>
      <c r="K14" s="18" t="n">
        <v>4</v>
      </c>
      <c r="L14" s="18" t="inlineStr">
        <is>
          <t>Parallel tasks can overload a database or an API, so Airflow offers limits at the task, DAG and system level.</t>
        </is>
      </c>
      <c r="M14" s="18" t="inlineStr">
        <is>
          <t>Create a pool for each limited resource, such as a database or an API.</t>
        </is>
      </c>
      <c r="N14" s="17" t="n"/>
      <c r="O14" s="18" t="inlineStr">
        <is>
          <t>A pool is a set of limited seats, and tasks must wait for a free seat.</t>
        </is>
      </c>
      <c r="P14" s="18" t="inlineStr">
        <is>
          <t>Many tasks queued behind a small number of slots.</t>
        </is>
      </c>
      <c r="Q14" s="18" t="inlineStr">
        <is>
          <t>The comfort of a protected database.</t>
        </is>
      </c>
      <c r="R14" s="18" t="inlineStr">
        <is>
          <t>A pool has a fixed number of slots, tasks assigned to it take one slot each, and other tasks wait, while DAG and system settings cap overall parallelism.</t>
        </is>
      </c>
      <c r="S14" s="17" t="n"/>
      <c r="T14" s="19" t="inlineStr">
        <is>
          <t># airflow pools set warehouse 4 "Warehouse connections"
BashOperator(task_id="heavy_query", bash_command="python q.py", pool="warehouse", pool_slots=1)
with DAG("x", max_active_runs=1, max_active_tasks=8, start_date=datetime(2026, 10, 1), schedule="@daily") as dag:
    ...</t>
        </is>
      </c>
      <c r="U14" s="19" t="inlineStr">
        <is>
          <t>At most four tasks use the warehouse pool at once, the DAG has one active run, and at most eight tasks run in it.</t>
        </is>
      </c>
      <c r="V14" s="18" t="inlineStr">
        <is>
          <t>Parallelism has several levels: the whole installation, each DAG, each task and each pool. Pools protect shared resources across DAGs. A task can use more than one slot. Priority weights decide which waiting task gets a slot first. Sensors waiting in poke mode consume slots, so use reschedule mode.</t>
        </is>
      </c>
      <c r="W14" s="18" t="inlineStr">
        <is>
          <t>Put tasks that share a limited resource into a pool, and cap DAG parallelism.</t>
        </is>
      </c>
      <c r="X14" s="18" t="inlineStr">
        <is>
          <t>A pool is a set of limited seats, and tasks must wait for a free seat.</t>
        </is>
      </c>
      <c r="Y14" s="19" t="inlineStr">
        <is>
          <t>pool="name", pool_slots=n, max_active_tasks=n</t>
        </is>
      </c>
      <c r="Z14" s="18" t="inlineStr">
        <is>
          <t>pool = named limit | slots = seats | max_active_runs = runs at once | priority_weight = order</t>
        </is>
      </c>
      <c r="AA14" s="19" t="inlineStr">
        <is>
          <t>airflow pools set api 2 "API calls"</t>
        </is>
      </c>
      <c r="AB14" s="19" t="inlineStr">
        <is>
          <t>max_active_tis_per_dag=1</t>
        </is>
      </c>
      <c r="AC14" s="19" t="inlineStr">
        <is>
          <t>priority_weight=10</t>
        </is>
      </c>
      <c r="AD14" s="19" t="inlineStr">
        <is>
          <t>max_active_tis_per_dag=2   // limit one task across runs</t>
        </is>
      </c>
      <c r="AE14" s="18" t="inlineStr">
        <is>
          <t>sensors, executors, backfills</t>
        </is>
      </c>
      <c r="AF14" s="18" t="inlineStr">
        <is>
          <t>sensors, executors, catchup and backfill, retries and timeouts</t>
        </is>
      </c>
      <c r="AG14" s="18" t="inlineStr">
        <is>
          <t>Rate limiting in code</t>
        </is>
      </c>
      <c r="AH14" s="17" t="n"/>
      <c r="AI14" s="18" t="inlineStr">
        <is>
          <t>Shared databases | Rate-limited APIs | Backfills</t>
        </is>
      </c>
      <c r="AJ14" s="18" t="inlineStr">
        <is>
          <t>A: Fifty tasks hit the database at the same time. | B: Put them in a pool with a few slots.</t>
        </is>
      </c>
      <c r="AK14" s="18" t="inlineStr">
        <is>
          <t>✗ More parallelism always means faster runs → ✓ Too much parallelism can overload shared systems</t>
        </is>
      </c>
      <c r="AL14" s="18" t="inlineStr">
        <is>
          <t>Pool vs max_active_tasks: a pool limits across DAGs, max_active_tasks limits within one DAG.</t>
        </is>
      </c>
      <c r="AM14" s="18" t="inlineStr">
        <is>
          <t>Do not let unlimited tasks hit a shared database.</t>
        </is>
      </c>
      <c r="AN14" s="19" t="inlineStr">
        <is>
          <t>BashOperator(task_id="q", bash_command="python q.py")   # unlimited</t>
        </is>
      </c>
      <c r="AO14" s="19" t="inlineStr">
        <is>
          <t>BashOperator(task_id="q", bash_command="python q.py", pool="warehouse")</t>
        </is>
      </c>
      <c r="AP14" s="18" t="inlineStr">
        <is>
          <t>A limited resource needs a limited pool.</t>
        </is>
      </c>
      <c r="AQ14" s="18" t="inlineStr">
        <is>
          <t>Creating a pool for a rate-limited API stopped a backfill from being blocked by the vendor.</t>
        </is>
      </c>
      <c r="AR14" s="18" t="inlineStr">
        <is>
          <t>An interviewer may ask: What is an Airflow pool?</t>
        </is>
      </c>
      <c r="AS14" s="18" t="inlineStr">
        <is>
          <t>It is like limited seats that tasks must wait for.</t>
        </is>
      </c>
      <c r="AT14" s="18" t="inlineStr">
        <is>
          <t>What does a pool limit?</t>
        </is>
      </c>
      <c r="AU14" s="18" t="inlineStr">
        <is>
          <t>A) Log size B) Concurrent tasks using a resource C) Variables D) The number of DAG files</t>
        </is>
      </c>
      <c r="AV14" s="18" t="inlineStr">
        <is>
          <t>B</t>
        </is>
      </c>
      <c r="AW14" s="18" t="inlineStr">
        <is>
          <t>A pool has a fixed number of slots.</t>
        </is>
      </c>
      <c r="AX14" s="19" t="inlineStr">
        <is>
          <t>The number of seats in a pool is its number of ____ → slots</t>
        </is>
      </c>
      <c r="AY14" s="18" t="inlineStr">
        <is>
          <t>Assign a task to a pool called api.</t>
        </is>
      </c>
      <c r="AZ14" s="19" t="inlineStr">
        <is>
          <t>pool="api"</t>
        </is>
      </c>
      <c r="BA14" s="18" t="inlineStr">
        <is>
          <t>Design pools for a database and a rate-limited API.</t>
        </is>
      </c>
      <c r="BB14" s="19" t="inlineStr">
        <is>
          <t>Why do poking sensors affect slots?</t>
        </is>
      </c>
      <c r="BC14" s="19" t="inlineStr">
        <is>
          <t>They hold a slot while waiting.</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62" customHeight="1">
      <c r="A15" s="17" t="inlineStr">
        <is>
          <t>AIR-025</t>
        </is>
      </c>
      <c r="B15" s="17" t="inlineStr">
        <is>
          <t>03 Running</t>
        </is>
      </c>
      <c r="C15" s="17" t="inlineStr">
        <is>
          <t>Advanced</t>
        </is>
      </c>
      <c r="D15" s="17" t="n">
        <v>25</v>
      </c>
      <c r="E15" s="17" t="inlineStr">
        <is>
          <t>Claude knowledge</t>
        </is>
      </c>
      <c r="F15" s="18" t="inlineStr">
        <is>
          <t>Dynamic task mapping</t>
        </is>
      </c>
      <c r="G15" s="18" t="inlineStr">
        <is>
          <t>How do you create a variable number of tasks at run time from data?</t>
        </is>
      </c>
      <c r="H15" s="17" t="n"/>
      <c r="I15" s="18" t="inlineStr">
        <is>
          <t>Airflow code</t>
        </is>
      </c>
      <c r="J15" s="18" t="inlineStr">
        <is>
          <t>Medium</t>
        </is>
      </c>
      <c r="K15" s="18" t="n">
        <v>4</v>
      </c>
      <c r="L15" s="18" t="inlineStr">
        <is>
          <t>The number of items to process is often unknown until run time, so tasks can be mapped over a list produced earlier.</t>
        </is>
      </c>
      <c r="M15" s="18" t="inlineStr">
        <is>
          <t>Keep the mapped list small enough for the scheduler, and use pools to limit parallelism.</t>
        </is>
      </c>
      <c r="N15" s="17" t="n"/>
      <c r="O15" s="18" t="inlineStr">
        <is>
          <t>Dynamic mapping is a stamping machine that makes one task copy for each item in a list.</t>
        </is>
      </c>
      <c r="P15" s="18" t="inlineStr">
        <is>
          <t>One task fanning out into several copies, one per item.</t>
        </is>
      </c>
      <c r="Q15" s="18" t="inlineStr">
        <is>
          <t>The satisfaction of a DAG that adapts to its input.</t>
        </is>
      </c>
      <c r="R15" s="18" t="inlineStr">
        <is>
          <t>The expand method creates one task instance for each item of an input list at run time, and the results can be collected by a downstream task.</t>
        </is>
      </c>
      <c r="S15" s="17" t="n"/>
      <c r="T15" s="19" t="inlineStr">
        <is>
          <t>from airflow.decorators import task
@task
def list_files():
    return ["a.csv", "b.csv", "c.csv"]
@task
def process(name):
    print("processing", name)
    return len(name)
@task
def summarise(sizes):
    print(sum(sizes))
summarise(process.expand(name=list_files()))</t>
        </is>
      </c>
      <c r="U15" s="19" t="inlineStr">
        <is>
          <t>Three process task instances run, one for each file, and summarise receives all their results.</t>
        </is>
      </c>
      <c r="V15" s="18" t="inlineStr">
        <is>
          <t>expand takes arguments as lists, and Airflow creates a mapped instance for each. partial sets arguments that are the same for all instances. The number of instances is known only when the upstream task finishes. The interface shows each mapped instance separately. Results can be reduced by a downstream task. Very large mappings need care. Written for Airflow 2.x imports; in Airflow 3 they move to airflow.sdk and apache-airflow-providers-standard.</t>
        </is>
      </c>
      <c r="W15" s="18" t="inlineStr">
        <is>
          <t>Produce a list, then expand a task over it, and collect the results downstream.</t>
        </is>
      </c>
      <c r="X15" s="18" t="inlineStr">
        <is>
          <t>Dynamic mapping is a stamping machine that makes one task copy for each item in a list.</t>
        </is>
      </c>
      <c r="Y15" s="19" t="inlineStr">
        <is>
          <t>task.expand(arg=list) | task.partial(fixed=value).expand(arg=list)</t>
        </is>
      </c>
      <c r="Z15" s="18" t="inlineStr">
        <is>
          <t>expand = one per item | partial = shared arguments | mapped instance = copy for one item</t>
        </is>
      </c>
      <c r="AA15" s="19" t="inlineStr">
        <is>
          <t>process.partial(bucket="raw").expand(name=names)</t>
        </is>
      </c>
      <c r="AB15" s="19" t="inlineStr">
        <is>
          <t>BashOperator.partial(task_id="b").expand(bash_command=["echo 1", "echo 2"])</t>
        </is>
      </c>
      <c r="AC15" s="19" t="inlineStr">
        <is>
          <t>summarise(process.expand(name=names))</t>
        </is>
      </c>
      <c r="AD15" s="19" t="inlineStr">
        <is>
          <t>expand_kwargs([{"a": 1}, {"a": 2}])   // map over dictionaries of arguments</t>
        </is>
      </c>
      <c r="AE15" s="18" t="inlineStr">
        <is>
          <t>TaskFlow API, pools, XCom</t>
        </is>
      </c>
      <c r="AF15" s="18" t="inlineStr">
        <is>
          <t>TaskFlow API, XCom, pools and concurrency, task groups</t>
        </is>
      </c>
      <c r="AG15" s="18" t="inlineStr">
        <is>
          <t>Loops that create tasks at parse time</t>
        </is>
      </c>
      <c r="AH15" s="17" t="n"/>
      <c r="AI15" s="18" t="inlineStr">
        <is>
          <t>Many files | Many tables | Partner lists</t>
        </is>
      </c>
      <c r="AJ15" s="18" t="inlineStr">
        <is>
          <t>A: The number of files changes every day. | B: Use dynamic task mapping over the file list.</t>
        </is>
      </c>
      <c r="AK15" s="18" t="inlineStr">
        <is>
          <t>✗ Loops at the top of the DAG file are the same as mapping → ✓ A loop fixes the tasks at parse time, while mapping decides at run time</t>
        </is>
      </c>
      <c r="AL15" s="18" t="inlineStr">
        <is>
          <t>expand vs partial: expand varies arguments, partial fixes them.</t>
        </is>
      </c>
      <c r="AM15" s="18" t="inlineStr">
        <is>
          <t>Do not create thousands of mapped tasks without limits.</t>
        </is>
      </c>
      <c r="AN15" s="19" t="inlineStr">
        <is>
          <t>for f in os.listdir("/data"): PythonOperator(...)   # runs at parse time</t>
        </is>
      </c>
      <c r="AO15" s="19" t="inlineStr">
        <is>
          <t>process.expand(name=list_files())</t>
        </is>
      </c>
      <c r="AP15" s="18" t="inlineStr">
        <is>
          <t>Expand varies the input, partial fixes it.</t>
        </is>
      </c>
      <c r="AQ15" s="18" t="inlineStr">
        <is>
          <t>Mapping over the daily file list replaced a fragile loop that read the folder on every parse.</t>
        </is>
      </c>
      <c r="AR15" s="18" t="inlineStr">
        <is>
          <t>An interviewer may ask: What problem does dynamic task mapping solve?</t>
        </is>
      </c>
      <c r="AS15" s="18" t="inlineStr">
        <is>
          <t>It is like a stamping machine making one copy per item.</t>
        </is>
      </c>
      <c r="AT15" s="18" t="inlineStr">
        <is>
          <t>Which method creates one task per input item?</t>
        </is>
      </c>
      <c r="AU15" s="18" t="inlineStr">
        <is>
          <t>A) partial B) branch C) expand D) chain</t>
        </is>
      </c>
      <c r="AV15" s="18" t="inlineStr">
        <is>
          <t>C</t>
        </is>
      </c>
      <c r="AW15" s="18" t="inlineStr">
        <is>
          <t>expand maps over the given lists.</t>
        </is>
      </c>
      <c r="AX15" s="19" t="inlineStr">
        <is>
          <t>Arguments shared by all mapped copies are set with ____ → partial</t>
        </is>
      </c>
      <c r="AY15" s="18" t="inlineStr">
        <is>
          <t>Run process once for each name in a list.</t>
        </is>
      </c>
      <c r="AZ15" s="19" t="inlineStr">
        <is>
          <t>process.expand(name=names)</t>
        </is>
      </c>
      <c r="BA15" s="18" t="inlineStr">
        <is>
          <t>Map a task over three tables and sum the row counts.</t>
        </is>
      </c>
      <c r="BB15" s="19" t="inlineStr">
        <is>
          <t>When is the number of mapped instances known?</t>
        </is>
      </c>
      <c r="BC15" s="19" t="inlineStr">
        <is>
          <t>At run time, after the upstream task finishes.</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121.5" customHeight="1">
      <c r="A16" s="17" t="inlineStr">
        <is>
          <t>AIR-027</t>
        </is>
      </c>
      <c r="B16" s="17" t="inlineStr">
        <is>
          <t>04 Operations</t>
        </is>
      </c>
      <c r="C16" s="17" t="inlineStr">
        <is>
          <t>Beginner</t>
        </is>
      </c>
      <c r="D16" s="17" t="n">
        <v>27</v>
      </c>
      <c r="E16" s="17" t="inlineStr">
        <is>
          <t>Claude knowledge</t>
        </is>
      </c>
      <c r="F16" s="18" t="inlineStr">
        <is>
          <t>Logs and debugging</t>
        </is>
      </c>
      <c r="G16" s="18" t="inlineStr">
        <is>
          <t>Where do you find out why a task failed and how do you reproduce it?</t>
        </is>
      </c>
      <c r="H16" s="17" t="n"/>
      <c r="I16" s="18" t="inlineStr">
        <is>
          <t>Airflow operation</t>
        </is>
      </c>
      <c r="J16" s="18" t="inlineStr">
        <is>
          <t>Very high</t>
        </is>
      </c>
      <c r="K16" s="18" t="n">
        <v>5</v>
      </c>
      <c r="L16" s="18" t="inlineStr">
        <is>
          <t>Failures happen on remote workers, so every task attempt writes a log that is shown in the interface.</t>
        </is>
      </c>
      <c r="M16" s="18" t="inlineStr">
        <is>
          <t>Test a single task from the command line before running the whole DAG.</t>
        </is>
      </c>
      <c r="N16" s="17" t="n"/>
      <c r="O16" s="18" t="inlineStr">
        <is>
          <t>The task log is the black box recorder for each attempt.</t>
        </is>
      </c>
      <c r="P16" s="18" t="inlineStr">
        <is>
          <t>A log panel with the final error lines highlighted.</t>
        </is>
      </c>
      <c r="Q16" s="18" t="inlineStr">
        <is>
          <t>The satisfaction of finding the one line that explains everything.</t>
        </is>
      </c>
      <c r="R16" s="18" t="inlineStr">
        <is>
          <t>Each task attempt writes a log available in the interface and storage, and you can run single tasks or whole DAGs from the command line to reproduce problems.</t>
        </is>
      </c>
      <c r="S16" s="17" t="n"/>
      <c r="T16" s="19" t="inlineStr">
        <is>
          <t>airflow tasks test daily_sales extract 2026-10-01
airflow dags test daily_sales 2026-10-01
airflow dags list-import-errors
airflow tasks states-for-dag-run daily_sales manual__2026-10-01T00:00:00+00:00</t>
        </is>
      </c>
      <c r="U16" s="19" t="inlineStr">
        <is>
          <t>The first command runs one task without recording state, the second runs the whole DAG once, the third shows files that failed to import, and the fourth shows task states.</t>
        </is>
      </c>
      <c r="V16" s="18" t="inlineStr">
        <is>
          <t>Read the log from the bottom to see the final error, then look upward for context. Import errors mean the DAG file failed to parse and the DAG does not appear. tasks test runs a task for a date without a scheduler and without saving state, which is handy for debugging. Remote log storage keeps logs after workers are replaced.</t>
        </is>
      </c>
      <c r="W16" s="18" t="inlineStr">
        <is>
          <t>Read the task log from the bottom, check import errors, and reproduce with tasks test.</t>
        </is>
      </c>
      <c r="X16" s="18" t="inlineStr">
        <is>
          <t>The task log is the black box recorder for each attempt.</t>
        </is>
      </c>
      <c r="Y16" s="19" t="inlineStr">
        <is>
          <t>airflow tasks test &lt;dag_id&gt; &lt;task_id&gt; &lt;date&gt;</t>
        </is>
      </c>
      <c r="Z16" s="18" t="inlineStr">
        <is>
          <t>tasks test = run one task | dags test = run one DAG | import errors = parse failures</t>
        </is>
      </c>
      <c r="AA16" s="19" t="inlineStr">
        <is>
          <t>airflow dags list</t>
        </is>
      </c>
      <c r="AB16" s="19" t="inlineStr">
        <is>
          <t>airflow tasks render daily_sales extract 2026-10-01</t>
        </is>
      </c>
      <c r="AC16" s="19" t="inlineStr">
        <is>
          <t>airflow dags show daily_sales</t>
        </is>
      </c>
      <c r="AD16" s="19" t="inlineStr">
        <is>
          <t>python dag_file.py   // check that the file imports without errors</t>
        </is>
      </c>
      <c r="AE16" s="18" t="inlineStr">
        <is>
          <t>the web UI, testing DAGs, remote logging</t>
        </is>
      </c>
      <c r="AF16" s="18" t="inlineStr">
        <is>
          <t>the web UI, testing DAGs, alerts, retries and timeouts</t>
        </is>
      </c>
      <c r="AG16" s="18" t="inlineStr">
        <is>
          <t>The interface log viewer</t>
        </is>
      </c>
      <c r="AH16" s="17" t="n"/>
      <c r="AI16" s="18" t="inlineStr">
        <is>
          <t>Debugging | Support | Development</t>
        </is>
      </c>
      <c r="AJ16" s="18" t="inlineStr">
        <is>
          <t>A: My new DAG does not appear. | B: Run the import errors command to see the parse error.</t>
        </is>
      </c>
      <c r="AK16" s="18" t="inlineStr">
        <is>
          <t>✗ A DAG that is missing from the list was deleted → ✓ It may have an import error that stops it parsing</t>
        </is>
      </c>
      <c r="AL16" s="18" t="inlineStr">
        <is>
          <t>tasks test vs a normal run: test saves no state and ignores the schedule.</t>
        </is>
      </c>
      <c r="AM16" s="18" t="inlineStr">
        <is>
          <t>Do not lose logs by storing them only on short-lived workers.</t>
        </is>
      </c>
      <c r="AN16" s="19" t="inlineStr">
        <is>
          <t>airflow tasks run daily_sales extract   # missing date and run</t>
        </is>
      </c>
      <c r="AO16" s="19" t="inlineStr">
        <is>
          <t>airflow tasks test daily_sales extract 2026-10-01</t>
        </is>
      </c>
      <c r="AP16" s="18" t="inlineStr">
        <is>
          <t>Missing DAG, check the import errors.</t>
        </is>
      </c>
      <c r="AQ16" s="18" t="inlineStr">
        <is>
          <t>Listing import errors found a missing library that had hidden a DAG for a day.</t>
        </is>
      </c>
      <c r="AR16" s="18" t="inlineStr">
        <is>
          <t>An interviewer may ask: Why does my DAG not appear in the interface?</t>
        </is>
      </c>
      <c r="AS16" s="18" t="inlineStr">
        <is>
          <t>It is like a black box recorder for each attempt.</t>
        </is>
      </c>
      <c r="AT16" s="18" t="inlineStr">
        <is>
          <t>Which command lists DAG files that failed to parse?</t>
        </is>
      </c>
      <c r="AU16" s="18" t="inlineStr">
        <is>
          <t>A) airflow dags list-import-errors B) airflow tasks test C) airflow users list D) airflow dags pause</t>
        </is>
      </c>
      <c r="AV16" s="18" t="inlineStr">
        <is>
          <t>A</t>
        </is>
      </c>
      <c r="AW16" s="18" t="inlineStr">
        <is>
          <t>It shows parse errors for DAG files.</t>
        </is>
      </c>
      <c r="AX16" s="19" t="inlineStr">
        <is>
          <t>To run one task without saving state use airflow tasks ____ → test</t>
        </is>
      </c>
      <c r="AY16" s="18" t="inlineStr">
        <is>
          <t>Run the extract task of daily_sales for 1 October.</t>
        </is>
      </c>
      <c r="AZ16" s="19" t="inlineStr">
        <is>
          <t>airflow tasks test daily_sales extract 2026-10-01</t>
        </is>
      </c>
      <c r="BA16" s="18" t="inlineStr">
        <is>
          <t>Write the steps you would follow to debug a missing DAG.</t>
        </is>
      </c>
      <c r="BB16" s="19" t="inlineStr">
        <is>
          <t>Does tasks test save task state?</t>
        </is>
      </c>
      <c r="BC16" s="19" t="inlineStr">
        <is>
          <t>No, it runs without recording state.</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162" customHeight="1">
      <c r="A17" s="17" t="inlineStr">
        <is>
          <t>AIR-028</t>
        </is>
      </c>
      <c r="B17" s="17" t="inlineStr">
        <is>
          <t>04 Operations</t>
        </is>
      </c>
      <c r="C17" s="17" t="inlineStr">
        <is>
          <t>Intermediate</t>
        </is>
      </c>
      <c r="D17" s="17" t="n">
        <v>28</v>
      </c>
      <c r="E17" s="17" t="inlineStr">
        <is>
          <t>Claude knowledge</t>
        </is>
      </c>
      <c r="F17" s="18" t="inlineStr">
        <is>
          <t>Testing DAGs</t>
        </is>
      </c>
      <c r="G17" s="18" t="inlineStr">
        <is>
          <t>How do you check that DAG files load correctly and tasks behave before deploying?</t>
        </is>
      </c>
      <c r="H17" s="17" t="n"/>
      <c r="I17" s="18" t="inlineStr">
        <is>
          <t>Airflow operation</t>
        </is>
      </c>
      <c r="J17" s="18" t="inlineStr">
        <is>
          <t>High</t>
        </is>
      </c>
      <c r="K17" s="18" t="n">
        <v>4</v>
      </c>
      <c r="L17" s="18" t="inlineStr">
        <is>
          <t>Broken DAG files can hide whole workflows, so teams test that files parse and that logic works before a release.</t>
        </is>
      </c>
      <c r="M17" s="18" t="inlineStr">
        <is>
          <t>Add a test that loads every DAG in CI and fails on import errors.</t>
        </is>
      </c>
      <c r="N17" s="17" t="n"/>
      <c r="O17" s="18" t="inlineStr">
        <is>
          <t>A DAG test is a dress rehearsal that checks the costumes before the show.</t>
        </is>
      </c>
      <c r="P17" s="18" t="inlineStr">
        <is>
          <t>A test run loading all DAGs and counting import errors.</t>
        </is>
      </c>
      <c r="Q17" s="18" t="inlineStr">
        <is>
          <t>The confidence of a deploy that cannot break the scheduler.</t>
        </is>
      </c>
      <c r="R17" s="18" t="inlineStr">
        <is>
          <t>DAG tests load the DagBag to check for import errors and structure, unit-test the Python functions, and optionally run a DAG once with dag.test.</t>
        </is>
      </c>
      <c r="S17" s="17" t="n"/>
      <c r="T17" s="19" t="inlineStr">
        <is>
          <t>import pytest
from airflow.models import DagBag
@pytest.fixture(scope="session")
def dagbag():
    return DagBag(dag_folder="dags/", include_examples=False)
def test_no_import_errors(dagbag):
    assert dagbag.import_errors == {}
def test_sales_has_tasks(dagbag):
    dag = dagbag.get_dag("daily_sales")
    assert {"extract", "load"} &lt;= set(dag.task_ids)</t>
        </is>
      </c>
      <c r="U17" s="19" t="inlineStr">
        <is>
          <t>The tests pass when every DAG file imports and daily_sales has the expected tasks.</t>
        </is>
      </c>
      <c r="V17" s="18" t="inlineStr">
        <is>
          <t>DagBag parses the folder as the scheduler does. Tests can assert on the number of tasks, dependencies, tags and default arguments. Business logic in functions can be tested without Airflow by calling them with sample data. dag.test runs a whole DAG in one process for an integration check. Run these tests in CI on every pull request.</t>
        </is>
      </c>
      <c r="W17" s="18" t="inlineStr">
        <is>
          <t>Load all DAGs in a test, assert structure, and unit-test the functions.</t>
        </is>
      </c>
      <c r="X17" s="18" t="inlineStr">
        <is>
          <t>A DAG test is a dress rehearsal that checks the costumes before the show.</t>
        </is>
      </c>
      <c r="Y17" s="19" t="inlineStr">
        <is>
          <t>DagBag(dag_folder="dags/").import_errors == {}</t>
        </is>
      </c>
      <c r="Z17" s="18" t="inlineStr">
        <is>
          <t>DagBag = loads DAG files | import_errors = parse problems | task_ids = structure</t>
        </is>
      </c>
      <c r="AA17" s="19" t="inlineStr">
        <is>
          <t>assert len(dag.tasks) == 4</t>
        </is>
      </c>
      <c r="AB17" s="19" t="inlineStr">
        <is>
          <t>assert dag.default_args["retries"] &gt;= 1</t>
        </is>
      </c>
      <c r="AC17" s="19" t="inlineStr">
        <is>
          <t>dag.test()</t>
        </is>
      </c>
      <c r="AD17" s="19" t="inlineStr">
        <is>
          <t>pytest tests/ -q   // run all tests in CI</t>
        </is>
      </c>
      <c r="AE17" s="18" t="inlineStr">
        <is>
          <t>CI, pytest, unit tests</t>
        </is>
      </c>
      <c r="AF17" s="18" t="inlineStr">
        <is>
          <t>logs and debugging, CI, testing pipelines, defining a DAG</t>
        </is>
      </c>
      <c r="AG17" s="18" t="inlineStr">
        <is>
          <t>Manual runs in a dev environment</t>
        </is>
      </c>
      <c r="AH17" s="17" t="n"/>
      <c r="AI17" s="18" t="inlineStr">
        <is>
          <t>Pull requests | Releases | Platform teams</t>
        </is>
      </c>
      <c r="AJ17" s="18" t="inlineStr">
        <is>
          <t>A: A typo in one DAG file broke everything. | B: Add a CI test that loads all DAGs.</t>
        </is>
      </c>
      <c r="AK17" s="18" t="inlineStr">
        <is>
          <t>✗ If the file runs in Python, the DAG is fine → ✓ It must also parse correctly inside Airflow with its settings</t>
        </is>
      </c>
      <c r="AL17" s="18" t="inlineStr">
        <is>
          <t>Import test vs unit test: one checks parsing, the other checks logic.</t>
        </is>
      </c>
      <c r="AM17" s="18" t="inlineStr">
        <is>
          <t>Do not merge DAG changes without loading them in a test.</t>
        </is>
      </c>
      <c r="AN17" s="19" t="inlineStr">
        <is>
          <t># deploy without any DAG tests</t>
        </is>
      </c>
      <c r="AO17" s="19" t="inlineStr">
        <is>
          <t>assert DagBag("dags/").import_errors == {}</t>
        </is>
      </c>
      <c r="AP17" s="18" t="inlineStr">
        <is>
          <t>Load every DAG before you ship.</t>
        </is>
      </c>
      <c r="AQ17" s="18" t="inlineStr">
        <is>
          <t>A CI test that loads all DAGs blocked broken merges.</t>
        </is>
      </c>
      <c r="AR17" s="18" t="inlineStr">
        <is>
          <t>An interviewer may ask: How do you test Airflow DAGs?</t>
        </is>
      </c>
      <c r="AS17" s="18" t="inlineStr">
        <is>
          <t>It is like a dress rehearsal.</t>
        </is>
      </c>
      <c r="AT17" s="18" t="inlineStr">
        <is>
          <t>What does the DagBag import_errors check find?</t>
        </is>
      </c>
      <c r="AU17" s="18" t="inlineStr">
        <is>
          <t>A) Large logs B) Slow tasks C) Missing variables D) DAG files that fail to parse</t>
        </is>
      </c>
      <c r="AV17" s="18" t="inlineStr">
        <is>
          <t>D</t>
        </is>
      </c>
      <c r="AW17" s="18" t="inlineStr">
        <is>
          <t>Import errors list files that could not load.</t>
        </is>
      </c>
      <c r="AX17" s="19" t="inlineStr">
        <is>
          <t>The class that loads a folder of DAGs for testing is ____ → DagBag</t>
        </is>
      </c>
      <c r="AY17" s="18" t="inlineStr">
        <is>
          <t>Assert that no DAG file has import errors.</t>
        </is>
      </c>
      <c r="AZ17" s="19" t="inlineStr">
        <is>
          <t>assert DagBag("dags/").import_errors == {}</t>
        </is>
      </c>
      <c r="BA17" s="18" t="inlineStr">
        <is>
          <t>Write a test that every DAG has an owner and retries set.</t>
        </is>
      </c>
      <c r="BB17" s="19" t="inlineStr">
        <is>
          <t>Why test DAGs in CI?</t>
        </is>
      </c>
      <c r="BC17" s="19" t="inlineStr">
        <is>
          <t>To stop broken files from reaching the scheduler.</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162" customHeight="1">
      <c r="A18" s="17" t="inlineStr">
        <is>
          <t>AIR-030</t>
        </is>
      </c>
      <c r="B18" s="17" t="inlineStr">
        <is>
          <t>04 Operations</t>
        </is>
      </c>
      <c r="C18" s="17" t="inlineStr">
        <is>
          <t>Intermediate</t>
        </is>
      </c>
      <c r="D18" s="17" t="n">
        <v>30</v>
      </c>
      <c r="E18" s="17" t="inlineStr">
        <is>
          <t>Claude knowledge</t>
        </is>
      </c>
      <c r="F18" s="18" t="inlineStr">
        <is>
          <t>Airflow alerts and callbacks</t>
        </is>
      </c>
      <c r="G18" s="18" t="inlineStr">
        <is>
          <t>How do you notify people when tasks or DAG runs fail or succeed?</t>
        </is>
      </c>
      <c r="H18" s="17" t="n"/>
      <c r="I18" s="18" t="inlineStr">
        <is>
          <t>Airflow setting</t>
        </is>
      </c>
      <c r="J18" s="18" t="inlineStr">
        <is>
          <t>Very high</t>
        </is>
      </c>
      <c r="K18" s="18" t="n">
        <v>5</v>
      </c>
      <c r="L18" s="18" t="inlineStr">
        <is>
          <t>Pipelines run unattended, so failures must reach people through chat, email or paging systems.</t>
        </is>
      </c>
      <c r="M18" s="18" t="inlineStr">
        <is>
          <t>Send alerts with the DAG, task, date and a link to the log.</t>
        </is>
      </c>
      <c r="N18" s="17" t="n"/>
      <c r="O18" s="18" t="inlineStr">
        <is>
          <t>A failure callback is the smoke alarm wired to your phone.</t>
        </is>
      </c>
      <c r="P18" s="18" t="inlineStr">
        <is>
          <t>A failed task sending a message with a link to its log.</t>
        </is>
      </c>
      <c r="Q18" s="18" t="inlineStr">
        <is>
          <t>The comfort of knowing before anyone asks.</t>
        </is>
      </c>
      <c r="R18" s="18" t="inlineStr">
        <is>
          <t>Callbacks such as on_failure_callback and on_success_callback run a function when a task or DAG run changes state, and can send messages to chat or paging tools.</t>
        </is>
      </c>
      <c r="S18" s="17" t="n"/>
      <c r="T18" s="19" t="inlineStr">
        <is>
          <t>def notify(context):
    ti = context["task_instance"]
    msg = f"Task {ti.task_id} in {ti.dag_id} failed for {context['ds']}. Log: {ti.log_url}"
    send_to_chat(msg)
default_args = {"on_failure_callback": notify, "retries": 2}
with DAG("daily_sales", start_date=datetime(2026, 10, 1), schedule="@daily", catchup=False, default_args=default_args) as dag:
    ...</t>
        </is>
      </c>
      <c r="U18" s="19" t="inlineStr">
        <is>
          <t>After the final failed attempt, a message with the DAG, task, date and log link is sent to chat.</t>
        </is>
      </c>
      <c r="V18" s="18" t="inlineStr">
        <is>
          <t>Callbacks receive a context dictionary. Failure callbacks fire after retries are exhausted, and a retry callback fires on retries. Email alerts also exist but need an email setup. Provider packages include notifiers for Slack and other tools. Keep callbacks small and safe, because errors inside them are hard to see. Avoid alerting on every retry. Written for Airflow 2.x imports; in Airflow 3 they move to airflow.sdk and apache-airflow-providers-standard.</t>
        </is>
      </c>
      <c r="W18" s="18" t="inlineStr">
        <is>
          <t>Add a failure callback that sends a clear message with a log link.</t>
        </is>
      </c>
      <c r="X18" s="18" t="inlineStr">
        <is>
          <t>A failure callback is a smoke alarm wired to your phone.</t>
        </is>
      </c>
      <c r="Y18" s="19" t="inlineStr">
        <is>
          <t>on_failure_callback=function(context)</t>
        </is>
      </c>
      <c r="Z18" s="18" t="inlineStr">
        <is>
          <t>context = task details | ti = task instance | log_url = link | default_args = apply to all tasks</t>
        </is>
      </c>
      <c r="AA18" s="19" t="inlineStr">
        <is>
          <t>on_success_callback=celebrate</t>
        </is>
      </c>
      <c r="AB18" s="19" t="inlineStr">
        <is>
          <t>DAG(..., on_failure_callback=notify)</t>
        </is>
      </c>
      <c r="AC18" s="19" t="inlineStr">
        <is>
          <t>from airflow.providers.slack.notifications.slack import send_slack_notification</t>
        </is>
      </c>
      <c r="AD18" s="19" t="inlineStr">
        <is>
          <t>email_on_failure=True   // use email alerts</t>
        </is>
      </c>
      <c r="AE18" s="18" t="inlineStr">
        <is>
          <t>retries, chat tools, default arguments</t>
        </is>
      </c>
      <c r="AF18" s="18" t="inlineStr">
        <is>
          <t>retries and timeouts, logs and debugging, SLAs and deadlines, alerts</t>
        </is>
      </c>
      <c r="AG18" s="18" t="inlineStr">
        <is>
          <t>External monitoring | provider notifiers</t>
        </is>
      </c>
      <c r="AH18" s="17" t="n"/>
      <c r="AI18" s="18" t="inlineStr">
        <is>
          <t>Production DAGs | On-call | Customer feeds</t>
        </is>
      </c>
      <c r="AJ18" s="18" t="inlineStr">
        <is>
          <t>A: Nobody knew the load failed overnight. | B: Add a failure callback to the default arguments.</t>
        </is>
      </c>
      <c r="AK18" s="18" t="inlineStr">
        <is>
          <t>✗ A failure callback fires on each retry → ✓ It fires after the final failure, and retries have their own callback</t>
        </is>
      </c>
      <c r="AL18" s="18" t="inlineStr">
        <is>
          <t>on_failure vs on_retry callback: one fires at the end, the other on each retry.</t>
        </is>
      </c>
      <c r="AM18" s="18" t="inlineStr">
        <is>
          <t>Do not send alerts without a log link.</t>
        </is>
      </c>
      <c r="AN18" s="19" t="inlineStr">
        <is>
          <t>def notify(context): print("failed")</t>
        </is>
      </c>
      <c r="AO18" s="19" t="inlineStr">
        <is>
          <t>def notify(context): send_to_chat(f"{context['ti'].task_id} failed: {context['ti'].log_url}")</t>
        </is>
      </c>
      <c r="AP18" s="18" t="inlineStr">
        <is>
          <t>Every alert carries a link to the log.</t>
        </is>
      </c>
      <c r="AQ18" s="18" t="inlineStr">
        <is>
          <t>Adding failure callbacks with log links cut the time to respond to failed nightly loads.</t>
        </is>
      </c>
      <c r="AR18" s="18" t="inlineStr">
        <is>
          <t>An interviewer may ask: When does on_failure_callback run?</t>
        </is>
      </c>
      <c r="AS18" s="18" t="inlineStr">
        <is>
          <t>It is like a smoke alarm wired to your phone.</t>
        </is>
      </c>
      <c r="AT18" s="18" t="inlineStr">
        <is>
          <t>When does on_failure_callback fire?</t>
        </is>
      </c>
      <c r="AU18" s="18" t="inlineStr">
        <is>
          <t>A) Never B) After retries are exhausted C) On every start D) Before the DAG loads</t>
        </is>
      </c>
      <c r="AV18" s="18" t="inlineStr">
        <is>
          <t>B</t>
        </is>
      </c>
      <c r="AW18" s="18" t="inlineStr">
        <is>
          <t>It runs when the task finally fails.</t>
        </is>
      </c>
      <c r="AX18" s="19" t="inlineStr">
        <is>
          <t>The dictionary passed to a callback is called the ____ → context</t>
        </is>
      </c>
      <c r="AY18" s="18" t="inlineStr">
        <is>
          <t>Add a failure callback to the default arguments.</t>
        </is>
      </c>
      <c r="AZ18" s="19" t="inlineStr">
        <is>
          <t>default_args = {"on_failure_callback": notify}</t>
        </is>
      </c>
      <c r="BA18" s="18" t="inlineStr">
        <is>
          <t>Write a callback that includes the DAG, task and date.</t>
        </is>
      </c>
      <c r="BB18" s="19" t="inlineStr">
        <is>
          <t>Why include a log link?</t>
        </is>
      </c>
      <c r="BC18" s="19" t="inlineStr">
        <is>
          <t>So the responder can start debugging at once.</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135" customHeight="1">
      <c r="A19" s="17" t="inlineStr">
        <is>
          <t>AIR-032</t>
        </is>
      </c>
      <c r="B19" s="17" t="inlineStr">
        <is>
          <t>05 Best Practice</t>
        </is>
      </c>
      <c r="C19" s="17" t="inlineStr">
        <is>
          <t>Intermediate</t>
        </is>
      </c>
      <c r="D19" s="17" t="n">
        <v>32</v>
      </c>
      <c r="E19" s="17" t="inlineStr">
        <is>
          <t>Claude knowledge</t>
        </is>
      </c>
      <c r="F19" s="18" t="inlineStr">
        <is>
          <t>Idempotent tasks</t>
        </is>
      </c>
      <c r="G19" s="18" t="inlineStr">
        <is>
          <t>Which rule ensures a task can be rerun safely without duplicating results?</t>
        </is>
      </c>
      <c r="H19" s="17" t="n"/>
      <c r="I19" s="18" t="inlineStr">
        <is>
          <t>Best practice</t>
        </is>
      </c>
      <c r="J19" s="18" t="inlineStr">
        <is>
          <t>Very high</t>
        </is>
      </c>
      <c r="K19" s="18" t="n">
        <v>5</v>
      </c>
      <c r="L19" s="18" t="inlineStr">
        <is>
          <t>Airflow retries and reruns tasks, so each task must give the same result when repeated for the same interval.</t>
        </is>
      </c>
      <c r="M19" s="18" t="inlineStr">
        <is>
          <t>Write results with replace or upsert by the logical date.</t>
        </is>
      </c>
      <c r="N19" s="17" t="n"/>
      <c r="O19" s="18" t="inlineStr">
        <is>
          <t>An idempotent task is a light switch that stays on when pressed twice.</t>
        </is>
      </c>
      <c r="P19" s="18" t="inlineStr">
        <is>
          <t>Two runs of the same interval leaving one clean result.</t>
        </is>
      </c>
      <c r="Q19" s="18" t="inlineStr">
        <is>
          <t>The confidence to clear any task and rerun it.</t>
        </is>
      </c>
      <c r="R19" s="18" t="inlineStr">
        <is>
          <t>An idempotent task processes only its data interval and writes by replacing or upserting that slice, so a rerun gives the same final state.</t>
        </is>
      </c>
      <c r="S19" s="17" t="n"/>
      <c r="T19" s="19" t="inlineStr">
        <is>
          <t>load = SQLExecuteQueryOperator(
    task_id="load_day",
    conn_id="warehouse",
    sql="""
    DELETE FROM fct_sales WHERE sale_date = '{{ ds }}';
    INSERT INTO fct_sales SELECT * FROM stg_sales WHERE sale_date = '{{ ds }}';
    """,
)</t>
        </is>
      </c>
      <c r="U19" s="19" t="inlineStr">
        <is>
          <t>Running the task twice for the same date leaves exactly one copy of that day's rows.</t>
        </is>
      </c>
      <c r="V19" s="18" t="inlineStr">
        <is>
          <t>Appends without keys create duplicates on retries. Use the logical date instead of the current time. Write to temporary locations and swap them in. External side effects such as sending emails need guards or separate tracking. Idempotency makes backfills, retries and manual clears safe.</t>
        </is>
      </c>
      <c r="W19" s="18" t="inlineStr">
        <is>
          <t>Process the interval only, and replace or upsert the result.</t>
        </is>
      </c>
      <c r="X19" s="18" t="inlineStr">
        <is>
          <t>An idempotent task is a light switch that stays on when pressed twice.</t>
        </is>
      </c>
      <c r="Y19" s="19" t="inlineStr">
        <is>
          <t>DELETE slice; INSERT slice using {{ ds }}</t>
        </is>
      </c>
      <c r="Z19" s="18" t="inlineStr">
        <is>
          <t>slice = the run's interval | logical date = repeatable input | replace = no duplicates</t>
        </is>
      </c>
      <c r="AA19" s="19" t="inlineStr">
        <is>
          <t>INSERT ... ON CONFLICT DO UPDATE ...</t>
        </is>
      </c>
      <c r="AB19" s="19" t="inlineStr">
        <is>
          <t>df.to_parquet(f"s3://b/sales/dt={ds}/data.parquet")</t>
        </is>
      </c>
      <c r="AC19" s="19" t="inlineStr">
        <is>
          <t>TRUNCATE TABLE tmp; INSERT INTO tmp ...; ALTER TABLE swap</t>
        </is>
      </c>
      <c r="AD19" s="19" t="inlineStr">
        <is>
          <t>CREATE OR REPLACE TABLE daily AS SELECT ... WHERE day = '{{ ds }}';   // warehouse replace</t>
        </is>
      </c>
      <c r="AE19" s="18" t="inlineStr">
        <is>
          <t>retries, backfills, templating</t>
        </is>
      </c>
      <c r="AF19" s="18" t="inlineStr">
        <is>
          <t>retries and timeouts, catchup and backfill, templating, ETL idempotency</t>
        </is>
      </c>
      <c r="AG19" s="18" t="inlineStr">
        <is>
          <t>Upserts | partition overwrite</t>
        </is>
      </c>
      <c r="AH19" s="17" t="n"/>
      <c r="AI19" s="18" t="inlineStr">
        <is>
          <t>Every production task | Backfills | Reruns</t>
        </is>
      </c>
      <c r="AJ19" s="18" t="inlineStr">
        <is>
          <t>A: Clearing the task doubled the rows. | B: The task appends, so make it replace its date slice.</t>
        </is>
      </c>
      <c r="AK19" s="18" t="inlineStr">
        <is>
          <t>✗ Retries and clears are always safe in Airflow → ✓ They are safe only when tasks are idempotent</t>
        </is>
      </c>
      <c r="AL19" s="18" t="inlineStr">
        <is>
          <t>Idempotent vs atomic: idempotent means repeat-safe, atomic means all or nothing.</t>
        </is>
      </c>
      <c r="AM19" s="18" t="inlineStr">
        <is>
          <t>Do not append without a key.</t>
        </is>
      </c>
      <c r="AN19" s="19" t="inlineStr">
        <is>
          <t>sql="INSERT INTO fct_sales SELECT * FROM stg_sales"</t>
        </is>
      </c>
      <c r="AO19" s="19" t="inlineStr">
        <is>
          <t>sql="DELETE FROM fct_sales WHERE sale_date = '{{ ds }}'; INSERT INTO fct_sales SELECT * FROM stg_sales WHERE sale_date = '{{ ds }}';"</t>
        </is>
      </c>
      <c r="AP19" s="18" t="inlineStr">
        <is>
          <t>Replace the slice, never blindly append.</t>
        </is>
      </c>
      <c r="AQ19" s="18" t="inlineStr">
        <is>
          <t>Making loads idempotent let operators clear failed tasks without manual cleanup.</t>
        </is>
      </c>
      <c r="AR19" s="18" t="inlineStr">
        <is>
          <t>An interviewer may ask: Why do Airflow tasks need to be idempotent?</t>
        </is>
      </c>
      <c r="AS19" s="18" t="inlineStr">
        <is>
          <t>It is like a light switch pressed twice.</t>
        </is>
      </c>
      <c r="AT19" s="18" t="inlineStr">
        <is>
          <t>What makes a rerun safe?</t>
        </is>
      </c>
      <c r="AU19" s="18" t="inlineStr">
        <is>
          <t>A) Using the current time B) Deleting logs C) Appending rows D) Replacing the interval's data</t>
        </is>
      </c>
      <c r="AV19" s="18" t="inlineStr">
        <is>
          <t>D</t>
        </is>
      </c>
      <c r="AW19" s="18" t="inlineStr">
        <is>
          <t>The same slice is written again with no duplicates.</t>
        </is>
      </c>
      <c r="AX19" s="19" t="inlineStr">
        <is>
          <t>Using the run's ____ date makes tasks repeatable → logical</t>
        </is>
      </c>
      <c r="AY19" s="18" t="inlineStr">
        <is>
          <t>Reload only the run's date using a template.</t>
        </is>
      </c>
      <c r="AZ19" s="19" t="inlineStr">
        <is>
          <t>DELETE FROM fct_sales WHERE sale_date = '{{ ds }}';</t>
        </is>
      </c>
      <c r="BA19" s="18" t="inlineStr">
        <is>
          <t>Rewrite an appending task so it is idempotent.</t>
        </is>
      </c>
      <c r="BB19" s="19" t="inlineStr">
        <is>
          <t>Why use the logical date instead of now?</t>
        </is>
      </c>
      <c r="BC19" s="19" t="inlineStr">
        <is>
          <t>A rerun must process the same interval as the original.</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148.5" customHeight="1">
      <c r="A20" s="17" t="inlineStr">
        <is>
          <t>AIR-034</t>
        </is>
      </c>
      <c r="B20" s="17" t="inlineStr">
        <is>
          <t>05 Best Practice</t>
        </is>
      </c>
      <c r="C20" s="17" t="inlineStr">
        <is>
          <t>Intermediate</t>
        </is>
      </c>
      <c r="D20" s="17" t="n">
        <v>34</v>
      </c>
      <c r="E20" s="17" t="inlineStr">
        <is>
          <t>Claude knowledge</t>
        </is>
      </c>
      <c r="F20" s="18" t="inlineStr">
        <is>
          <t>No heavy work in DAG files</t>
        </is>
      </c>
      <c r="G20" s="18" t="inlineStr">
        <is>
          <t>Why must DAG files be quick to parse, and what should they avoid at the top level?</t>
        </is>
      </c>
      <c r="H20" s="17" t="n"/>
      <c r="I20" s="18" t="inlineStr">
        <is>
          <t>Best practice</t>
        </is>
      </c>
      <c r="J20" s="18" t="inlineStr">
        <is>
          <t>Very high</t>
        </is>
      </c>
      <c r="K20" s="18" t="n">
        <v>5</v>
      </c>
      <c r="L20" s="18" t="inlineStr">
        <is>
          <t>The scheduler parses every DAG file again and again, so slow code at the top of a file slows the whole system.</t>
        </is>
      </c>
      <c r="M20" s="18" t="inlineStr">
        <is>
          <t>Put imports of heavy libraries and any network or database calls inside the task functions.</t>
        </is>
      </c>
      <c r="N20" s="17" t="n"/>
      <c r="O20" s="18" t="inlineStr">
        <is>
          <t>A DAG file is a menu, and cooking should only happen in the kitchen when the order comes.</t>
        </is>
      </c>
      <c r="P20" s="18" t="inlineStr">
        <is>
          <t>A short file at the top and a heavy function body deep inside a task.</t>
        </is>
      </c>
      <c r="Q20" s="18" t="inlineStr">
        <is>
          <t>The calm of a scheduler that never lags.</t>
        </is>
      </c>
      <c r="R20" s="18" t="inlineStr">
        <is>
          <t>Top-level code in a DAG file runs on every parse, so it must be fast and free of network calls, database queries and heavy imports, and real work belongs inside tasks.</t>
        </is>
      </c>
      <c r="S20" s="17" t="n"/>
      <c r="T20" s="19" t="inlineStr">
        <is>
          <t># bad: runs on every parse
import requests
rows = requests.get("https://api.example.com/tables").json()
import pandas as pd
# good: do the work inside the task
@task
def list_tables():
    import requests
    return requests.get("https://api.example.com/tables", timeout=30).json()</t>
        </is>
      </c>
      <c r="U20" s="19" t="inlineStr">
        <is>
          <t>The good version parses instantly and calls the API only when the task runs.</t>
        </is>
      </c>
      <c r="V20" s="18" t="inlineStr">
        <is>
          <t>Parsing happens every thirty seconds or so for each file, by default. Slow parsing delays scheduling for all DAGs. Dynamic DAG generation from external sources makes this worse, so read static config files or use mapping. Heavy libraries can be imported inside functions. Keep the DAG folder tidy, and measure parse times in the interface.</t>
        </is>
      </c>
      <c r="W20" s="18" t="inlineStr">
        <is>
          <t>Keep the file top level light, and do real work inside tasks.</t>
        </is>
      </c>
      <c r="X20" s="18" t="inlineStr">
        <is>
          <t>A DAG file is a menu, and cooking should happen only in the kitchen when the order comes.</t>
        </is>
      </c>
      <c r="Y20" s="19" t="inlineStr">
        <is>
          <t>def task(): import heavy; call_api()</t>
        </is>
      </c>
      <c r="Z20" s="18" t="inlineStr">
        <is>
          <t>top level = runs on every parse | task body = runs only at execution | import inside = lazy load</t>
        </is>
      </c>
      <c r="AA20" s="19" t="inlineStr">
        <is>
          <t>import pandas as pd   # inside the function</t>
        </is>
      </c>
      <c r="AB20" s="19" t="inlineStr">
        <is>
          <t>with open("config.yaml") as f: ...   # small static file is fine</t>
        </is>
      </c>
      <c r="AC20" s="19" t="inlineStr">
        <is>
          <t>Variable.get("x")   # inside a task</t>
        </is>
      </c>
      <c r="AD20" s="19" t="inlineStr">
        <is>
          <t>process.expand(item=list_items())   // use mapping instead of top-level loops over data</t>
        </is>
      </c>
      <c r="AE20" s="18" t="inlineStr">
        <is>
          <t>variables, dynamic task mapping, TaskFlow API</t>
        </is>
      </c>
      <c r="AF20" s="18" t="inlineStr">
        <is>
          <t>variables, dynamic task mapping, defining a DAG, testing DAGs</t>
        </is>
      </c>
      <c r="AG20" s="18" t="inlineStr">
        <is>
          <t>Static generation of DAG files</t>
        </is>
      </c>
      <c r="AH20" s="17" t="n"/>
      <c r="AI20" s="18" t="inlineStr">
        <is>
          <t>Every DAG file | Reviews | Performance tuning</t>
        </is>
      </c>
      <c r="AJ20" s="18" t="inlineStr">
        <is>
          <t>A: The scheduler is slow and DAG files take a minute to parse. | B: Move the API call and heavy imports into the tasks.</t>
        </is>
      </c>
      <c r="AK20" s="18" t="inlineStr">
        <is>
          <t>✗ Code at the top of a DAG file runs only once → ✓ It runs on every parse, many times an hour</t>
        </is>
      </c>
      <c r="AL20" s="18" t="inlineStr">
        <is>
          <t>Parse time vs run time: parse time reads the file, run time executes the task.</t>
        </is>
      </c>
      <c r="AM20" s="18" t="inlineStr">
        <is>
          <t>Do not call APIs or databases at the top level.</t>
        </is>
      </c>
      <c r="AN20" s="19" t="inlineStr">
        <is>
          <t>tables = db.query("SELECT name FROM meta")   # at file top</t>
        </is>
      </c>
      <c r="AO20" s="19" t="inlineStr">
        <is>
          <t>@task def list_tables(): return db.query("SELECT name FROM meta")</t>
        </is>
      </c>
      <c r="AP20" s="18" t="inlineStr">
        <is>
          <t>Top level reads fast, task body does work.</t>
        </is>
      </c>
      <c r="AQ20" s="18" t="inlineStr">
        <is>
          <t>Moving a database call out of the file top removed minutes of scheduler lag.</t>
        </is>
      </c>
      <c r="AR20" s="18" t="inlineStr">
        <is>
          <t>An interviewer may ask: Why is top-level code in DAG files a problem?</t>
        </is>
      </c>
      <c r="AS20" s="18" t="inlineStr">
        <is>
          <t>It is like a menu versus a kitchen.</t>
        </is>
      </c>
      <c r="AT20" s="18" t="inlineStr">
        <is>
          <t>When does top-level DAG code run?</t>
        </is>
      </c>
      <c r="AU20" s="18" t="inlineStr">
        <is>
          <t>A) Only on failure B) Never C) On every parse D) Only once a day</t>
        </is>
      </c>
      <c r="AV20" s="18" t="inlineStr">
        <is>
          <t>C</t>
        </is>
      </c>
      <c r="AW20" s="18" t="inlineStr">
        <is>
          <t>The scheduler repeatedly imports each file.</t>
        </is>
      </c>
      <c r="AX20" s="19" t="inlineStr">
        <is>
          <t>Importing a library inside a function is a ____ import → lazy</t>
        </is>
      </c>
      <c r="AY20" s="18" t="inlineStr">
        <is>
          <t>Move an API call so it runs only when the task executes.</t>
        </is>
      </c>
      <c r="AZ20" s="19" t="inlineStr">
        <is>
          <t>@task def get(): return requests.get(url, timeout=30).json()</t>
        </is>
      </c>
      <c r="BA20" s="18" t="inlineStr">
        <is>
          <t>Find three slow things to move out of the top of a DAG file.</t>
        </is>
      </c>
      <c r="BB20" s="19" t="inlineStr">
        <is>
          <t>Why can slow parsing hurt all DAGs?</t>
        </is>
      </c>
      <c r="BC20" s="19" t="inlineStr">
        <is>
          <t>The scheduler spends its time parsing and delays everything else.</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sheetData>
  <autoFilter ref="A2:BN20"/>
  <mergeCells count="6">
    <mergeCell ref="AT1:BC1"/>
    <mergeCell ref="BD1:BE1"/>
    <mergeCell ref="F1:Q1"/>
    <mergeCell ref="A1:E1"/>
    <mergeCell ref="BF1:BN1"/>
    <mergeCell ref="R1:AS1"/>
  </mergeCells>
  <dataValidations count="2">
    <dataValidation sqref="BF3:BF20" showDropDown="0" showInputMessage="0" showErrorMessage="0" allowBlank="1" type="list">
      <formula1>"New,Learning,Known"</formula1>
    </dataValidation>
    <dataValidation sqref="BM3:BM20"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AIR-008</t>
        </is>
      </c>
    </row>
    <row r="4">
      <c r="A4" s="23" t="inlineStr">
        <is>
          <t>FRONT · Recognition (pehchano)</t>
        </is>
      </c>
    </row>
    <row r="5" ht="30" customHeight="1">
      <c r="A5" s="24" t="inlineStr">
        <is>
          <t>ID</t>
        </is>
      </c>
      <c r="B5" s="17">
        <f>INDEX('Code concept (56-pt) cards'!$A$3:$BN$20,MATCH($B$2,'Code concept (56-pt) cards'!$A$3:$A$20,0),MATCH("ID",'Code concept (56-pt) cards'!$A$2:$BN$2,0))&amp;""</f>
        <v/>
      </c>
    </row>
    <row r="6" ht="30" customHeight="1">
      <c r="A6" s="24" t="inlineStr">
        <is>
          <t>Topic</t>
        </is>
      </c>
      <c r="B6" s="17">
        <f>INDEX('Code concept (56-pt) cards'!$A$3:$BN$20,MATCH($B$2,'Code concept (56-pt) cards'!$A$3:$A$20,0),MATCH("Topic",'Code concept (56-pt) cards'!$A$2:$BN$2,0))&amp;""</f>
        <v/>
      </c>
    </row>
    <row r="7" ht="30" customHeight="1">
      <c r="A7" s="24" t="inlineStr">
        <is>
          <t>Level</t>
        </is>
      </c>
      <c r="B7" s="17">
        <f>INDEX('Code concept (56-pt) cards'!$A$3:$BN$20,MATCH($B$2,'Code concept (56-pt) cards'!$A$3:$A$20,0),MATCH("Level",'Code concept (56-pt) cards'!$A$2:$BN$2,0))&amp;""</f>
        <v/>
      </c>
    </row>
    <row r="8" ht="30" customHeight="1">
      <c r="A8" s="24" t="inlineStr">
        <is>
          <t>Concept</t>
        </is>
      </c>
      <c r="B8" s="17">
        <f>INDEX('Code concept (56-pt) cards'!$A$3:$BN$20,MATCH($B$2,'Code concept (56-pt) cards'!$A$3:$A$20,0),MATCH("Concept",'Code concept (56-pt) cards'!$A$2:$BN$2,0))&amp;""</f>
        <v/>
      </c>
    </row>
    <row r="9" ht="30" customHeight="1">
      <c r="A9" s="24" t="inlineStr">
        <is>
          <t>Recall cue</t>
        </is>
      </c>
      <c r="B9" s="17">
        <f>INDEX('Code concept (56-pt) cards'!$A$3:$BN$20,MATCH($B$2,'Code concept (56-pt) cards'!$A$3:$A$20,0),MATCH("Recall cue",'Code concept (56-pt) cards'!$A$2:$BN$2,0))&amp;""</f>
        <v/>
      </c>
    </row>
    <row r="10" ht="30" customHeight="1">
      <c r="A10" s="24" t="inlineStr">
        <is>
          <t>Read aloud</t>
        </is>
      </c>
      <c r="B10" s="17">
        <f>INDEX('Code concept (56-pt) cards'!$A$3:$BN$20,MATCH($B$2,'Code concept (56-pt) cards'!$A$3:$A$20,0),MATCH("Read aloud",'Code concept (56-pt) cards'!$A$2:$BN$2,0))&amp;""</f>
        <v/>
      </c>
    </row>
    <row r="11" ht="30" customHeight="1">
      <c r="A11" s="24" t="inlineStr">
        <is>
          <t>Type</t>
        </is>
      </c>
      <c r="B11" s="17">
        <f>INDEX('Code concept (56-pt) cards'!$A$3:$BN$20,MATCH($B$2,'Code concept (56-pt) cards'!$A$3:$A$20,0),MATCH("Type",'Code concept (56-pt) cards'!$A$2:$BN$2,0))&amp;""</f>
        <v/>
      </c>
    </row>
    <row r="12" ht="30" customHeight="1">
      <c r="A12" s="24" t="inlineStr">
        <is>
          <t>How often used</t>
        </is>
      </c>
      <c r="B12" s="17">
        <f>INDEX('Code concept (56-pt) cards'!$A$3:$BN$20,MATCH($B$2,'Code concept (56-pt) cards'!$A$3:$A$20,0),MATCH("How often used",'Code concept (56-pt) cards'!$A$2:$BN$2,0))&amp;""</f>
        <v/>
      </c>
    </row>
    <row r="13" ht="30" customHeight="1">
      <c r="A13" s="24" t="inlineStr">
        <is>
          <t>Importance (1-5)</t>
        </is>
      </c>
      <c r="B13" s="17">
        <f>INDEX('Code concept (56-pt) cards'!$A$3:$BN$20,MATCH($B$2,'Code concept (56-pt) cards'!$A$3:$A$20,0),MATCH("Importance (1-5)",'Code concept (56-pt) cards'!$A$2:$BN$2,0))&amp;""</f>
        <v/>
      </c>
    </row>
    <row r="14" ht="30" customHeight="1">
      <c r="A14" s="24" t="inlineStr">
        <is>
          <t>Origin / why it exists</t>
        </is>
      </c>
      <c r="B14" s="17">
        <f>INDEX('Code concept (56-pt) cards'!$A$3:$BN$20,MATCH($B$2,'Code concept (56-pt) cards'!$A$3:$A$20,0),MATCH("Origin / why it exists",'Code concept (56-pt) cards'!$A$2:$BN$2,0))&amp;""</f>
        <v/>
      </c>
    </row>
    <row r="15" ht="30" customHeight="1">
      <c r="A15" s="24" t="inlineStr">
        <is>
          <t>Pro tip</t>
        </is>
      </c>
      <c r="B15" s="17">
        <f>INDEX('Code concept (56-pt) cards'!$A$3:$BN$20,MATCH($B$2,'Code concept (56-pt) cards'!$A$3:$A$20,0),MATCH("Pro tip",'Code concept (56-pt) cards'!$A$2:$BN$2,0))&amp;""</f>
        <v/>
      </c>
    </row>
    <row r="16" ht="30" customHeight="1">
      <c r="A16" s="24" t="inlineStr">
        <is>
          <t>Typing hint</t>
        </is>
      </c>
      <c r="B16" s="17">
        <f>INDEX('Code concept (56-pt) cards'!$A$3:$BN$20,MATCH($B$2,'Code concept (56-pt) cards'!$A$3:$A$20,0),MATCH("Typing hint",'Code concept (56-pt) cards'!$A$2:$BN$2,0))&amp;""</f>
        <v/>
      </c>
    </row>
    <row r="17" ht="30" customHeight="1">
      <c r="A17" s="24" t="inlineStr">
        <is>
          <t>Memory story</t>
        </is>
      </c>
      <c r="B17" s="17">
        <f>INDEX('Code concept (56-pt) cards'!$A$3:$BN$20,MATCH($B$2,'Code concept (56-pt) cards'!$A$3:$A$20,0),MATCH("Memory story",'Code concept (56-pt) cards'!$A$2:$BN$2,0))&amp;""</f>
        <v/>
      </c>
    </row>
    <row r="18" ht="30" customHeight="1">
      <c r="A18" s="24" t="inlineStr">
        <is>
          <t>Picture it</t>
        </is>
      </c>
      <c r="B18" s="17">
        <f>INDEX('Code concept (56-pt) cards'!$A$3:$BN$20,MATCH($B$2,'Code concept (56-pt) cards'!$A$3:$A$20,0),MATCH("Picture it",'Code concept (56-pt) cards'!$A$2:$BN$2,0))&amp;""</f>
        <v/>
      </c>
    </row>
    <row r="19" ht="30" customHeight="1">
      <c r="A19" s="24" t="inlineStr">
        <is>
          <t>Emotion hook</t>
        </is>
      </c>
      <c r="B19" s="17">
        <f>INDEX('Code concept (56-pt) cards'!$A$3:$BN$20,MATCH($B$2,'Code concept (56-pt) cards'!$A$3:$A$20,0),MATCH("Emotion hook",'Code concept (56-pt) cards'!$A$2:$BN$2,0))&amp;""</f>
        <v/>
      </c>
    </row>
    <row r="20" ht="30" customHeight="1">
      <c r="A20" s="24" t="inlineStr">
        <is>
          <t>Importance ★</t>
        </is>
      </c>
      <c r="B20" s="17">
        <f>INDEX('Code concept (56-pt) cards'!$A$3:$BN$20,MATCH($B$2,'Code concept (56-pt) cards'!$A$3:$A$20,0),MATCH("Importance ★",'Code concept (56-pt) cards'!$A$2:$BN$2,0))&amp;""</f>
        <v/>
      </c>
    </row>
    <row r="21">
      <c r="A21" s="25" t="inlineStr">
        <is>
          <t>BACK · Understanding (samjho)</t>
        </is>
      </c>
    </row>
    <row r="22" ht="30" customHeight="1">
      <c r="A22" s="24" t="inlineStr">
        <is>
          <t>Meaning (short)</t>
        </is>
      </c>
      <c r="B22" s="17">
        <f>INDEX('Code concept (56-pt) cards'!$A$3:$BN$20,MATCH($B$2,'Code concept (56-pt) cards'!$A$3:$A$20,0),MATCH("Meaning (short)",'Code concept (56-pt) cards'!$A$2:$BN$2,0))&amp;""</f>
        <v/>
      </c>
    </row>
    <row r="23" ht="30" customHeight="1">
      <c r="A23" s="24" t="inlineStr">
        <is>
          <t>Meaning in learner's language</t>
        </is>
      </c>
      <c r="B23" s="17">
        <f>INDEX('Code concept (56-pt) cards'!$A$3:$BN$20,MATCH($B$2,'Code concept (56-pt) cards'!$A$3:$A$20,0),MATCH("Meaning in learner's language",'Code concept (56-pt) cards'!$A$2:$BN$2,0))&amp;""</f>
        <v/>
      </c>
    </row>
    <row r="24" ht="108" customHeight="1">
      <c r="A24" s="24" t="inlineStr">
        <is>
          <t>Code</t>
        </is>
      </c>
      <c r="B24" s="26">
        <f>INDEX('Code concept (56-pt) cards'!$A$3:$BN$20,MATCH($B$2,'Code concept (56-pt) cards'!$A$3:$A$20,0),MATCH("Code",'Code concept (56-pt) cards'!$A$2:$BN$2,0))&amp;""</f>
        <v/>
      </c>
    </row>
    <row r="25" ht="30" customHeight="1">
      <c r="A25" s="24" t="inlineStr">
        <is>
          <t>Output</t>
        </is>
      </c>
      <c r="B25" s="26">
        <f>INDEX('Code concept (56-pt) cards'!$A$3:$BN$20,MATCH($B$2,'Code concept (56-pt) cards'!$A$3:$A$20,0),MATCH("Output",'Code concept (56-pt) cards'!$A$2:$BN$2,0))&amp;""</f>
        <v/>
      </c>
    </row>
    <row r="26" ht="67.5" customHeight="1">
      <c r="A26" s="24" t="inlineStr">
        <is>
          <t>Explanation</t>
        </is>
      </c>
      <c r="B26" s="17">
        <f>INDEX('Code concept (56-pt) cards'!$A$3:$BN$20,MATCH($B$2,'Code concept (56-pt) cards'!$A$3:$A$20,0),MATCH("Explanation",'Code concept (56-pt) cards'!$A$2:$BN$2,0))&amp;""</f>
        <v/>
      </c>
    </row>
    <row r="27" ht="30" customHeight="1">
      <c r="A27" s="24" t="inlineStr">
        <is>
          <t>Simple explanation (Hinglish)</t>
        </is>
      </c>
      <c r="B27" s="17">
        <f>INDEX('Code concept (56-pt) cards'!$A$3:$BN$20,MATCH($B$2,'Code concept (56-pt) cards'!$A$3:$A$20,0),MATCH("Simple explanation (Hinglish)",'Code concept (56-pt) cards'!$A$2:$BN$2,0))&amp;""</f>
        <v/>
      </c>
    </row>
    <row r="28" ht="30" customHeight="1">
      <c r="A28" s="24" t="inlineStr">
        <is>
          <t>Real-life analogy</t>
        </is>
      </c>
      <c r="B28" s="17">
        <f>INDEX('Code concept (56-pt) cards'!$A$3:$BN$20,MATCH($B$2,'Code concept (56-pt) cards'!$A$3:$A$20,0),MATCH("Real-life analogy",'Code concept (56-pt) cards'!$A$2:$BN$2,0))&amp;""</f>
        <v/>
      </c>
    </row>
    <row r="29" ht="30" customHeight="1">
      <c r="A29" s="24" t="inlineStr">
        <is>
          <t>Syntax pattern</t>
        </is>
      </c>
      <c r="B29" s="26">
        <f>INDEX('Code concept (56-pt) cards'!$A$3:$BN$20,MATCH($B$2,'Code concept (56-pt) cards'!$A$3:$A$20,0),MATCH("Syntax pattern",'Code concept (56-pt) cards'!$A$2:$BN$2,0))&amp;""</f>
        <v/>
      </c>
    </row>
    <row r="30" ht="30" customHeight="1">
      <c r="A30" s="24" t="inlineStr">
        <is>
          <t>Anatomy</t>
        </is>
      </c>
      <c r="B30" s="17">
        <f>INDEX('Code concept (56-pt) cards'!$A$3:$BN$20,MATCH($B$2,'Code concept (56-pt) cards'!$A$3:$A$20,0),MATCH("Anatomy",'Code concept (56-pt) cards'!$A$2:$BN$2,0))&amp;""</f>
        <v/>
      </c>
    </row>
    <row r="31" ht="30" customHeight="1">
      <c r="A31" s="24" t="inlineStr">
        <is>
          <t>Example 1</t>
        </is>
      </c>
      <c r="B31" s="26">
        <f>INDEX('Code concept (56-pt) cards'!$A$3:$BN$20,MATCH($B$2,'Code concept (56-pt) cards'!$A$3:$A$20,0),MATCH("Example 1",'Code concept (56-pt) cards'!$A$2:$BN$2,0))&amp;""</f>
        <v/>
      </c>
    </row>
    <row r="32" ht="30" customHeight="1">
      <c r="A32" s="24" t="inlineStr">
        <is>
          <t>Example 2</t>
        </is>
      </c>
      <c r="B32" s="26">
        <f>INDEX('Code concept (56-pt) cards'!$A$3:$BN$20,MATCH($B$2,'Code concept (56-pt) cards'!$A$3:$A$20,0),MATCH("Example 2",'Code concept (56-pt) cards'!$A$2:$BN$2,0))&amp;""</f>
        <v/>
      </c>
    </row>
    <row r="33" ht="30" customHeight="1">
      <c r="A33" s="24" t="inlineStr">
        <is>
          <t>Example 3</t>
        </is>
      </c>
      <c r="B33" s="26">
        <f>INDEX('Code concept (56-pt) cards'!$A$3:$BN$20,MATCH($B$2,'Code concept (56-pt) cards'!$A$3:$A$20,0),MATCH("Example 3",'Code concept (56-pt) cards'!$A$2:$BN$2,0))&amp;""</f>
        <v/>
      </c>
    </row>
    <row r="34" ht="30" customHeight="1">
      <c r="A34" s="24" t="inlineStr">
        <is>
          <t>Variation</t>
        </is>
      </c>
      <c r="B34" s="26">
        <f>INDEX('Code concept (56-pt) cards'!$A$3:$BN$20,MATCH($B$2,'Code concept (56-pt) cards'!$A$3:$A$20,0),MATCH("Variation",'Code concept (56-pt) cards'!$A$2:$BN$2,0))&amp;""</f>
        <v/>
      </c>
    </row>
    <row r="35" ht="30" customHeight="1">
      <c r="A35" s="24" t="inlineStr">
        <is>
          <t>Used with</t>
        </is>
      </c>
      <c r="B35" s="17">
        <f>INDEX('Code concept (56-pt) cards'!$A$3:$BN$20,MATCH($B$2,'Code concept (56-pt) cards'!$A$3:$A$20,0),MATCH("Used with",'Code concept (56-pt) cards'!$A$2:$BN$2,0))&amp;""</f>
        <v/>
      </c>
    </row>
    <row r="36" ht="30" customHeight="1">
      <c r="A36" s="24" t="inlineStr">
        <is>
          <t>Related concepts</t>
        </is>
      </c>
      <c r="B36" s="17">
        <f>INDEX('Code concept (56-pt) cards'!$A$3:$BN$20,MATCH($B$2,'Code concept (56-pt) cards'!$A$3:$A$20,0),MATCH("Related concepts",'Code concept (56-pt) cards'!$A$2:$BN$2,0))&amp;""</f>
        <v/>
      </c>
    </row>
    <row r="37" ht="30" customHeight="1">
      <c r="A37" s="24" t="inlineStr">
        <is>
          <t>Alternatives</t>
        </is>
      </c>
      <c r="B37" s="17">
        <f>INDEX('Code concept (56-pt) cards'!$A$3:$BN$20,MATCH($B$2,'Code concept (56-pt) cards'!$A$3:$A$20,0),MATCH("Alternatives",'Code concept (56-pt) cards'!$A$2:$BN$2,0))&amp;""</f>
        <v/>
      </c>
    </row>
    <row r="38" ht="30" customHeight="1">
      <c r="A38" s="24" t="inlineStr">
        <is>
          <t>Family / group</t>
        </is>
      </c>
      <c r="B38" s="17">
        <f>INDEX('Code concept (56-pt) cards'!$A$3:$BN$20,MATCH($B$2,'Code concept (56-pt) cards'!$A$3:$A$20,0),MATCH("Family / group",'Code concept (56-pt) cards'!$A$2:$BN$2,0))&amp;""</f>
        <v/>
      </c>
    </row>
    <row r="39" ht="30" customHeight="1">
      <c r="A39" s="24" t="inlineStr">
        <is>
          <t>Where it is used</t>
        </is>
      </c>
      <c r="B39" s="17">
        <f>INDEX('Code concept (56-pt) cards'!$A$3:$BN$20,MATCH($B$2,'Code concept (56-pt) cards'!$A$3:$A$20,0),MATCH("Where it is used",'Code concept (56-pt) cards'!$A$2:$BN$2,0))&amp;""</f>
        <v/>
      </c>
    </row>
    <row r="40" ht="30" customHeight="1">
      <c r="A40" s="24" t="inlineStr">
        <is>
          <t>Mini conversation</t>
        </is>
      </c>
      <c r="B40" s="17">
        <f>INDEX('Code concept (56-pt) cards'!$A$3:$BN$20,MATCH($B$2,'Code concept (56-pt) cards'!$A$3:$A$20,0),MATCH("Mini conversation",'Code concept (56-pt) cards'!$A$2:$BN$2,0))&amp;""</f>
        <v/>
      </c>
    </row>
    <row r="41" ht="30" customHeight="1">
      <c r="A41" s="24" t="inlineStr">
        <is>
          <t>Common mistake</t>
        </is>
      </c>
      <c r="B41" s="17">
        <f>INDEX('Code concept (56-pt) cards'!$A$3:$BN$20,MATCH($B$2,'Code concept (56-pt) cards'!$A$3:$A$20,0),MATCH("Common mistake",'Code concept (56-pt) cards'!$A$2:$BN$2,0))&amp;""</f>
        <v/>
      </c>
    </row>
    <row r="42" ht="30" customHeight="1">
      <c r="A42" s="24" t="inlineStr">
        <is>
          <t>Commonly confused with</t>
        </is>
      </c>
      <c r="B42" s="17">
        <f>INDEX('Code concept (56-pt) cards'!$A$3:$BN$20,MATCH($B$2,'Code concept (56-pt) cards'!$A$3:$A$20,0),MATCH("Commonly confused with",'Code concept (56-pt) cards'!$A$2:$BN$2,0))&amp;""</f>
        <v/>
      </c>
    </row>
    <row r="43" ht="30" customHeight="1">
      <c r="A43" s="24" t="inlineStr">
        <is>
          <t>Avoid / don't</t>
        </is>
      </c>
      <c r="B43" s="17">
        <f>INDEX('Code concept (56-pt) cards'!$A$3:$BN$20,MATCH($B$2,'Code concept (56-pt) cards'!$A$3:$A$20,0),MATCH("Avoid / don't",'Code concept (56-pt) cards'!$A$2:$BN$2,0))&amp;""</f>
        <v/>
      </c>
    </row>
    <row r="44" ht="30" customHeight="1">
      <c r="A44" s="24" t="inlineStr">
        <is>
          <t>Wrong code</t>
        </is>
      </c>
      <c r="B44" s="26">
        <f>INDEX('Code concept (56-pt) cards'!$A$3:$BN$20,MATCH($B$2,'Code concept (56-pt) cards'!$A$3:$A$20,0),MATCH("Wrong code",'Code concept (56-pt) cards'!$A$2:$BN$2,0))&amp;""</f>
        <v/>
      </c>
    </row>
    <row r="45" ht="30" customHeight="1">
      <c r="A45" s="24" t="inlineStr">
        <is>
          <t>Right code</t>
        </is>
      </c>
      <c r="B45" s="26">
        <f>INDEX('Code concept (56-pt) cards'!$A$3:$BN$20,MATCH($B$2,'Code concept (56-pt) cards'!$A$3:$A$20,0),MATCH("Right code",'Code concept (56-pt) cards'!$A$2:$BN$2,0))&amp;""</f>
        <v/>
      </c>
    </row>
    <row r="46" ht="30" customHeight="1">
      <c r="A46" s="24" t="inlineStr">
        <is>
          <t>Memory trick</t>
        </is>
      </c>
      <c r="B46" s="17">
        <f>INDEX('Code concept (56-pt) cards'!$A$3:$BN$20,MATCH($B$2,'Code concept (56-pt) cards'!$A$3:$A$20,0),MATCH("Memory trick",'Code concept (56-pt) cards'!$A$2:$BN$2,0))&amp;""</f>
        <v/>
      </c>
    </row>
    <row r="47" ht="30" customHeight="1">
      <c r="A47" s="24" t="inlineStr">
        <is>
          <t>Real life: project / work</t>
        </is>
      </c>
      <c r="B47" s="17">
        <f>INDEX('Code concept (56-pt) cards'!$A$3:$BN$20,MATCH($B$2,'Code concept (56-pt) cards'!$A$3:$A$20,0),MATCH("Real life: project / work",'Code concept (56-pt) cards'!$A$2:$BN$2,0))&amp;""</f>
        <v/>
      </c>
    </row>
    <row r="48" ht="30" customHeight="1">
      <c r="A48" s="24" t="inlineStr">
        <is>
          <t>Real life: interview / exam</t>
        </is>
      </c>
      <c r="B48" s="17">
        <f>INDEX('Code concept (56-pt) cards'!$A$3:$BN$20,MATCH($B$2,'Code concept (56-pt) cards'!$A$3:$A$20,0),MATCH("Real life: interview / exam",'Code concept (56-pt) cards'!$A$2:$BN$2,0))&amp;""</f>
        <v/>
      </c>
    </row>
    <row r="49" ht="30" customHeight="1">
      <c r="A49" s="24" t="inlineStr">
        <is>
          <t>Real life: daily life</t>
        </is>
      </c>
      <c r="B49" s="17">
        <f>INDEX('Code concept (56-pt) cards'!$A$3:$BN$20,MATCH($B$2,'Code concept (56-pt) cards'!$A$3:$A$20,0),MATCH("Real life: daily life",'Code concept (56-pt) cards'!$A$2:$BN$2,0))&amp;""</f>
        <v/>
      </c>
    </row>
    <row r="50">
      <c r="A50" s="27" t="inlineStr">
        <is>
          <t>PRACTICE · Khud karo</t>
        </is>
      </c>
    </row>
    <row r="51" ht="30" customHeight="1">
      <c r="A51" s="24" t="inlineStr">
        <is>
          <t>MCQ question</t>
        </is>
      </c>
      <c r="B51" s="17">
        <f>INDEX('Code concept (56-pt) cards'!$A$3:$BN$20,MATCH($B$2,'Code concept (56-pt) cards'!$A$3:$A$20,0),MATCH("MCQ question",'Code concept (56-pt) cards'!$A$2:$BN$2,0))&amp;""</f>
        <v/>
      </c>
    </row>
    <row r="52" ht="30" customHeight="1">
      <c r="A52" s="24" t="inlineStr">
        <is>
          <t>MCQ options</t>
        </is>
      </c>
      <c r="B52" s="17">
        <f>INDEX('Code concept (56-pt) cards'!$A$3:$BN$20,MATCH($B$2,'Code concept (56-pt) cards'!$A$3:$A$20,0),MATCH("MCQ options",'Code concept (56-pt) cards'!$A$2:$BN$2,0))&amp;""</f>
        <v/>
      </c>
    </row>
    <row r="53" ht="30" customHeight="1">
      <c r="A53" s="24" t="inlineStr">
        <is>
          <t>MCQ answer</t>
        </is>
      </c>
      <c r="B53" s="17">
        <f>INDEX('Code concept (56-pt) cards'!$A$3:$BN$20,MATCH($B$2,'Code concept (56-pt) cards'!$A$3:$A$20,0),MATCH("MCQ answer",'Code concept (56-pt) cards'!$A$2:$BN$2,0))&amp;""</f>
        <v/>
      </c>
    </row>
    <row r="54" ht="30" customHeight="1">
      <c r="A54" s="24" t="inlineStr">
        <is>
          <t>Why that answer</t>
        </is>
      </c>
      <c r="B54" s="17">
        <f>INDEX('Code concept (56-pt) cards'!$A$3:$BN$20,MATCH($B$2,'Code concept (56-pt) cards'!$A$3:$A$20,0),MATCH("Why that answer",'Code concept (56-pt) cards'!$A$2:$BN$2,0))&amp;""</f>
        <v/>
      </c>
    </row>
    <row r="55" ht="30" customHeight="1">
      <c r="A55" s="24" t="inlineStr">
        <is>
          <t>Fill the blank</t>
        </is>
      </c>
      <c r="B55" s="26">
        <f>INDEX('Code concept (56-pt) cards'!$A$3:$BN$20,MATCH($B$2,'Code concept (56-pt) cards'!$A$3:$A$20,0),MATCH("Fill the blank",'Code concept (56-pt) cards'!$A$2:$BN$2,0))&amp;""</f>
        <v/>
      </c>
    </row>
    <row r="56" ht="30" customHeight="1">
      <c r="A56" s="24" t="inlineStr">
        <is>
          <t>Try it yourself</t>
        </is>
      </c>
      <c r="B56" s="17">
        <f>INDEX('Code concept (56-pt) cards'!$A$3:$BN$20,MATCH($B$2,'Code concept (56-pt) cards'!$A$3:$A$20,0),MATCH("Try it yourself",'Code concept (56-pt) cards'!$A$2:$BN$2,0))&amp;""</f>
        <v/>
      </c>
    </row>
    <row r="57" ht="40.5" customHeight="1">
      <c r="A57" s="24" t="inlineStr">
        <is>
          <t>Task answer</t>
        </is>
      </c>
      <c r="B57" s="26">
        <f>INDEX('Code concept (56-pt) cards'!$A$3:$BN$20,MATCH($B$2,'Code concept (56-pt) cards'!$A$3:$A$20,0),MATCH("Task answer",'Code concept (56-pt) cards'!$A$2:$BN$2,0))&amp;""</f>
        <v/>
      </c>
    </row>
    <row r="58" ht="30" customHeight="1">
      <c r="A58" s="24" t="inlineStr">
        <is>
          <t>Write your own</t>
        </is>
      </c>
      <c r="B58" s="17">
        <f>INDEX('Code concept (56-pt) cards'!$A$3:$BN$20,MATCH($B$2,'Code concept (56-pt) cards'!$A$3:$A$20,0),MATCH("Write your own",'Code concept (56-pt) cards'!$A$2:$BN$2,0))&amp;""</f>
        <v/>
      </c>
    </row>
    <row r="59" ht="30" customHeight="1">
      <c r="A59" s="24" t="inlineStr">
        <is>
          <t>Practice question</t>
        </is>
      </c>
      <c r="B59" s="26">
        <f>INDEX('Code concept (56-pt) cards'!$A$3:$BN$20,MATCH($B$2,'Code concept (56-pt) cards'!$A$3:$A$20,0),MATCH("Practice question",'Code concept (56-pt) cards'!$A$2:$BN$2,0))&amp;""</f>
        <v/>
      </c>
    </row>
    <row r="60" ht="30" customHeight="1">
      <c r="A60" s="24" t="inlineStr">
        <is>
          <t>Practice answer</t>
        </is>
      </c>
      <c r="B60" s="26">
        <f>INDEX('Code concept (56-pt) cards'!$A$3:$BN$20,MATCH($B$2,'Code concept (56-pt) cards'!$A$3:$A$20,0),MATCH("Practice answer",'Code concept (56-pt) cards'!$A$2:$BN$2,0))&amp;""</f>
        <v/>
      </c>
    </row>
    <row r="61" ht="30" customHeight="1">
      <c r="A61" s="24" t="inlineStr">
        <is>
          <t>Quick recall (reverse)</t>
        </is>
      </c>
      <c r="B61" s="17">
        <f>INDEX('Code concept (56-pt) cards'!$A$3:$BN$20,MATCH($B$2,'Code concept (56-pt) cards'!$A$3:$A$20,0),MATCH("Quick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cards'!$A$3:$A$20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21.5" customHeight="1">
      <c r="A3" s="17" t="inlineStr">
        <is>
          <t>AIR-001</t>
        </is>
      </c>
      <c r="B3" s="17" t="inlineStr">
        <is>
          <t>01 Basics</t>
        </is>
      </c>
      <c r="C3" s="17" t="inlineStr">
        <is>
          <t>Beginner</t>
        </is>
      </c>
      <c r="D3" s="17" t="n">
        <v>1</v>
      </c>
      <c r="E3" s="17" t="inlineStr">
        <is>
          <t>Claude knowledge</t>
        </is>
      </c>
      <c r="F3" s="18" t="inlineStr">
        <is>
          <t>What Airflow is</t>
        </is>
      </c>
      <c r="G3" s="18" t="inlineStr">
        <is>
          <t>Which tool schedules and monitors workflows that you write as Python code?</t>
        </is>
      </c>
      <c r="H3" s="18" t="inlineStr">
        <is>
          <t>Core concept</t>
        </is>
      </c>
      <c r="I3" s="18" t="inlineStr">
        <is>
          <t>Very high</t>
        </is>
      </c>
      <c r="J3" s="18" t="n">
        <v>5</v>
      </c>
      <c r="K3" s="18" t="inlineStr">
        <is>
          <t>Teams ran data jobs with cron and scripts, which could not express dependencies or show history, so Airflow was built to orchestrate workflows as code.</t>
        </is>
      </c>
      <c r="L3" s="18" t="inlineStr">
        <is>
          <t>Think of Airflow as the manager of tasks, not the worker that does heavy processing.</t>
        </is>
      </c>
      <c r="M3" s="18" t="inlineStr">
        <is>
          <t>Airflow is an air traffic controller that decides which plane takes off when, but does not fly the planes.</t>
        </is>
      </c>
      <c r="N3" s="18" t="inlineStr">
        <is>
          <t>A graph of tasks with arrows and coloured run squares in a web page.</t>
        </is>
      </c>
      <c r="O3" s="18" t="inlineStr">
        <is>
          <t>The comfort of seeing every task and its state in one place.</t>
        </is>
      </c>
      <c r="P3" s="18" t="inlineStr">
        <is>
          <t>Apache Airflow is an open-source platform for authoring, scheduling and monitoring workflows, which are defined in Python as directed acyclic graphs of tasks.</t>
        </is>
      </c>
      <c r="Q3" s="17" t="n"/>
      <c r="R3" s="18" t="inlineStr">
        <is>
          <t>You write a DAG file in Python, and Airflow reads it, schedules runs and executes the tasks through workers. A web interface shows runs, logs and history. Airflow is built for batch workflows that run on a schedule or trigger, not for low-latency streaming. Heavy work should run in external systems such as warehouses or Spark, with Airflow only calling them.</t>
        </is>
      </c>
      <c r="S3" s="18" t="inlineStr">
        <is>
          <t>Airflow runs your Python-defined workflows on schedule, in order, with retries and a visual history.</t>
        </is>
      </c>
      <c r="T3" s="18" t="inlineStr">
        <is>
          <t>Airflow is an air traffic controller that decides which plane takes off when, but does not fly the planes.</t>
        </is>
      </c>
      <c r="U3" s="18" t="inlineStr">
        <is>
          <t>Workflow as code = tasks + dependencies + schedule.</t>
        </is>
      </c>
      <c r="V3" s="18" t="inlineStr">
        <is>
          <t>A nightly workflow that extracts, loads and tests data.</t>
        </is>
      </c>
      <c r="W3" s="18" t="inlineStr">
        <is>
          <t>A weekly report task that waits for another job.</t>
        </is>
      </c>
      <c r="X3" s="18" t="inlineStr">
        <is>
          <t>A retry of one failed task from the interface.</t>
        </is>
      </c>
      <c r="Y3" s="18" t="inlineStr">
        <is>
          <t>DAGs, tasks and operators, the web UI, orchestration</t>
        </is>
      </c>
      <c r="Z3" s="18" t="inlineStr">
        <is>
          <t>DAG, task, scheduler, operator, workflow</t>
        </is>
      </c>
      <c r="AA3" s="18" t="inlineStr">
        <is>
          <t>Data pipelines | Machine learning pipelines | Operations</t>
        </is>
      </c>
      <c r="AB3" s="18" t="inlineStr">
        <is>
          <t>A: Can Airflow process our huge files directly? | B: It should call Spark or the warehouse, since Airflow is the manager.</t>
        </is>
      </c>
      <c r="AC3" s="18" t="inlineStr">
        <is>
          <t>✗ Airflow is a data processing engine → ✓ It orchestrates tasks, and the heavy work runs elsewhere</t>
        </is>
      </c>
      <c r="AD3" s="18" t="inlineStr">
        <is>
          <t>Airflow vs cron: Airflow tracks dependencies, retries and history, cron only runs commands.</t>
        </is>
      </c>
      <c r="AE3" s="18" t="inlineStr">
        <is>
          <t>Do not run heavy data processing inside Airflow workers.</t>
        </is>
      </c>
      <c r="AF3" s="18" t="inlineStr">
        <is>
          <t>Airflow orchestrates, other tools process the data.</t>
        </is>
      </c>
      <c r="AG3" s="18" t="inlineStr">
        <is>
          <t>Replacing cron jobs with Airflow gave a customer clear history and automatic retries.</t>
        </is>
      </c>
      <c r="AH3" s="18" t="inlineStr">
        <is>
          <t>An interviewer may ask: What is Airflow used for and what is it not?</t>
        </is>
      </c>
      <c r="AI3" s="18" t="inlineStr">
        <is>
          <t>It is like an air traffic controller for jobs.</t>
        </is>
      </c>
      <c r="AJ3" s="18" t="inlineStr">
        <is>
          <t>What is Airflow mainly for?</t>
        </is>
      </c>
      <c r="AK3" s="18" t="inlineStr">
        <is>
          <t>A) Streaming events B) Storing files C) Training models only D) Orchestrating scheduled workflows</t>
        </is>
      </c>
      <c r="AL3" s="18" t="inlineStr">
        <is>
          <t>D</t>
        </is>
      </c>
      <c r="AM3" s="18" t="inlineStr">
        <is>
          <t>It schedules and monitors tasks.</t>
        </is>
      </c>
      <c r="AN3" s="18" t="inlineStr">
        <is>
          <t>Airflow workflows are written in the language ____ → Python</t>
        </is>
      </c>
      <c r="AO3" s="18" t="inlineStr">
        <is>
          <t>A team needs dependencies, retries and history for nightly jobs. What tool? → Airflow</t>
        </is>
      </c>
      <c r="AP3" s="18" t="inlineStr">
        <is>
          <t>Explain Airflow in three lines.</t>
        </is>
      </c>
      <c r="AQ3" s="18" t="inlineStr">
        <is>
          <t>List three jobs that suit Airflow and one that does not.</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108" customHeight="1">
      <c r="A4" s="17" t="inlineStr">
        <is>
          <t>AIR-002</t>
        </is>
      </c>
      <c r="B4" s="17" t="inlineStr">
        <is>
          <t>01 Basics</t>
        </is>
      </c>
      <c r="C4" s="17" t="inlineStr">
        <is>
          <t>Beginner</t>
        </is>
      </c>
      <c r="D4" s="17" t="n">
        <v>2</v>
      </c>
      <c r="E4" s="17" t="inlineStr">
        <is>
          <t>Claude knowledge</t>
        </is>
      </c>
      <c r="F4" s="18" t="inlineStr">
        <is>
          <t>DAGs</t>
        </is>
      </c>
      <c r="G4" s="18" t="inlineStr">
        <is>
          <t>Which structure describes tasks and the order in which they must run?</t>
        </is>
      </c>
      <c r="H4" s="18" t="inlineStr">
        <is>
          <t>Core concept</t>
        </is>
      </c>
      <c r="I4" s="18" t="inlineStr">
        <is>
          <t>Very high</t>
        </is>
      </c>
      <c r="J4" s="18" t="n">
        <v>5</v>
      </c>
      <c r="K4" s="18" t="inlineStr">
        <is>
          <t>Tasks depend on each other without circles, so a directed acyclic graph was chosen to describe the order of work.</t>
        </is>
      </c>
      <c r="L4" s="18" t="inlineStr">
        <is>
          <t>Keep each DAG focused on one business process, with a clear id and owner.</t>
        </is>
      </c>
      <c r="M4" s="18" t="inlineStr">
        <is>
          <t>A DAG is a recipe flow chart where arrows say what to do first and no arrow ever leads back.</t>
        </is>
      </c>
      <c r="N4" s="18" t="inlineStr">
        <is>
          <t>Boxes connected by arrows that never form a loop.</t>
        </is>
      </c>
      <c r="O4" s="18" t="inlineStr">
        <is>
          <t>The clarity of seeing the whole process on one page.</t>
        </is>
      </c>
      <c r="P4" s="18" t="inlineStr">
        <is>
          <t>A DAG, or directed acyclic graph, is a collection of tasks with directed dependencies and no cycles, plus a schedule and settings, that Airflow runs as one workflow.</t>
        </is>
      </c>
      <c r="Q4" s="17" t="n"/>
      <c r="R4" s="18" t="inlineStr">
        <is>
          <t>Directed means each link has a direction, and acyclic means no task can depend on itself through a loop. The DAG file defines tasks and their dependencies. Each execution of a DAG is a DAG run, and each task execution inside it is a task instance. DAG files are parsed repeatedly by the scheduler, so they must be quick to load.</t>
        </is>
      </c>
      <c r="S4" s="18" t="inlineStr">
        <is>
          <t>A DAG is the map of tasks and their order, with no loops.</t>
        </is>
      </c>
      <c r="T4" s="18" t="inlineStr">
        <is>
          <t>A DAG is a recipe flow chart where arrows say what to do first and none leads back.</t>
        </is>
      </c>
      <c r="U4" s="18" t="inlineStr">
        <is>
          <t>DAG = tasks + arrows + schedule, with no cycles.</t>
        </is>
      </c>
      <c r="V4" s="18" t="inlineStr">
        <is>
          <t>extract then transform then load.</t>
        </is>
      </c>
      <c r="W4" s="18" t="inlineStr">
        <is>
          <t>Two extracts feeding one join task.</t>
        </is>
      </c>
      <c r="X4" s="18" t="inlineStr">
        <is>
          <t>One DAG run for each day.</t>
        </is>
      </c>
      <c r="Y4" s="18" t="inlineStr">
        <is>
          <t>tasks and operators, dependencies, schedules, DAG definition</t>
        </is>
      </c>
      <c r="Z4" s="18" t="inlineStr">
        <is>
          <t>DAG, DAG run, task instance, dependency, cycle</t>
        </is>
      </c>
      <c r="AA4" s="18" t="inlineStr">
        <is>
          <t>Every Airflow workflow | Design reviews | Documentation</t>
        </is>
      </c>
      <c r="AB4" s="18" t="inlineStr">
        <is>
          <t>A: Can task A depend on task B and B on A? | B: No, that is a cycle, and Airflow rejects it.</t>
        </is>
      </c>
      <c r="AC4" s="18" t="inlineStr">
        <is>
          <t>✗ A DAG is the code that does the work → ✓ A DAG describes the workflow, and the tasks do the work</t>
        </is>
      </c>
      <c r="AD4" s="18" t="inlineStr">
        <is>
          <t>DAG vs DAG run: the DAG is the definition, a run is one execution of it.</t>
        </is>
      </c>
      <c r="AE4" s="18" t="inlineStr">
        <is>
          <t>Do not create circular dependencies.</t>
        </is>
      </c>
      <c r="AF4" s="18" t="inlineStr">
        <is>
          <t>Directed arrows, acyclic means no loops.</t>
        </is>
      </c>
      <c r="AG4" s="18" t="inlineStr">
        <is>
          <t>Splitting one huge DAG into focused DAGs made failures easier to understand.</t>
        </is>
      </c>
      <c r="AH4" s="18" t="inlineStr">
        <is>
          <t>An interviewer may ask: Why must a DAG be acyclic?</t>
        </is>
      </c>
      <c r="AI4" s="18" t="inlineStr">
        <is>
          <t>It is like a recipe flow chart without loops.</t>
        </is>
      </c>
      <c r="AJ4" s="18" t="inlineStr">
        <is>
          <t>What does acyclic mean?</t>
        </is>
      </c>
      <c r="AK4" s="18" t="inlineStr">
        <is>
          <t>A) No tasks B) No Python C) No loops in dependencies D) No schedule</t>
        </is>
      </c>
      <c r="AL4" s="18" t="inlineStr">
        <is>
          <t>C</t>
        </is>
      </c>
      <c r="AM4" s="18" t="inlineStr">
        <is>
          <t>A task cannot depend on itself through a cycle.</t>
        </is>
      </c>
      <c r="AN4" s="18" t="inlineStr">
        <is>
          <t>One execution of a DAG is called a DAG ____ → run</t>
        </is>
      </c>
      <c r="AO4" s="18" t="inlineStr">
        <is>
          <t>Two tasks depend on each other. Is this valid? → No, it creates a cycle</t>
        </is>
      </c>
      <c r="AP4" s="18" t="inlineStr">
        <is>
          <t>Explain a DAG in three lines.</t>
        </is>
      </c>
      <c r="AQ4" s="18" t="inlineStr">
        <is>
          <t>Draw a DAG with one extract, one clean step and two loads.</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AIR-003</t>
        </is>
      </c>
      <c r="B5" s="17" t="inlineStr">
        <is>
          <t>01 Basics</t>
        </is>
      </c>
      <c r="C5" s="17" t="inlineStr">
        <is>
          <t>Beginner</t>
        </is>
      </c>
      <c r="D5" s="17" t="n">
        <v>3</v>
      </c>
      <c r="E5" s="17" t="inlineStr">
        <is>
          <t>Claude knowledge</t>
        </is>
      </c>
      <c r="F5" s="18" t="inlineStr">
        <is>
          <t>Tasks and operators</t>
        </is>
      </c>
      <c r="G5" s="18" t="inlineStr">
        <is>
          <t>Which two ideas describe a unit of work and the template that defines what it does?</t>
        </is>
      </c>
      <c r="H5" s="18" t="inlineStr">
        <is>
          <t>Core concept</t>
        </is>
      </c>
      <c r="I5" s="18" t="inlineStr">
        <is>
          <t>Very high</t>
        </is>
      </c>
      <c r="J5" s="18" t="n">
        <v>5</v>
      </c>
      <c r="K5" s="18" t="inlineStr">
        <is>
          <t>Workflows consist of many kinds of work, so operators are reusable templates, and tasks are the concrete instances in a DAG.</t>
        </is>
      </c>
      <c r="L5" s="18" t="inlineStr">
        <is>
          <t>Use the provider operator for a system when it exists, instead of writing custom code.</t>
        </is>
      </c>
      <c r="M5" s="18" t="inlineStr">
        <is>
          <t>An operator is a cookie cutter, and a task is one cookie cut from it.</t>
        </is>
      </c>
      <c r="N5" s="18" t="inlineStr">
        <is>
          <t>A shape template stamping out labelled tasks in a graph.</t>
        </is>
      </c>
      <c r="O5" s="18" t="inlineStr">
        <is>
          <t>The ease of reusing ready-made building blocks.</t>
        </is>
      </c>
      <c r="P5" s="18" t="inlineStr">
        <is>
          <t>An operator is a template for a type of work, such as running Bash or calling a database, and a task is an instance of an operator inside a DAG with its own id and arguments.</t>
        </is>
      </c>
      <c r="Q5" s="17" t="n"/>
      <c r="R5" s="18" t="inlineStr">
        <is>
          <t>Common operators include BashOperator, PythonOperator, EmptyOperator and many provider operators for cloud services and databases. Sensors are operators that wait for a condition. Each task has an id, retries, a timeout and dependencies. The task instance is that task for a specific DAG run, with a state such as running, success or failed.</t>
        </is>
      </c>
      <c r="S5" s="18" t="inlineStr">
        <is>
          <t>Pick an operator for the kind of work, and create a task with its settings.</t>
        </is>
      </c>
      <c r="T5" s="18" t="inlineStr">
        <is>
          <t>An operator is a cookie cutter, and a task is one cookie cut from it.</t>
        </is>
      </c>
      <c r="U5" s="18" t="inlineStr">
        <is>
          <t>Operator = template. Task = instance in a DAG. Task instance = task in one run.</t>
        </is>
      </c>
      <c r="V5" s="18" t="inlineStr">
        <is>
          <t>A BashOperator running a shell command.</t>
        </is>
      </c>
      <c r="W5" s="18" t="inlineStr">
        <is>
          <t>A PythonOperator calling a function.</t>
        </is>
      </c>
      <c r="X5" s="18" t="inlineStr">
        <is>
          <t>A provider operator running a warehouse query.</t>
        </is>
      </c>
      <c r="Y5" s="18" t="inlineStr">
        <is>
          <t>DAGs, PythonOperator and BashOperator, sensors, TaskFlow API</t>
        </is>
      </c>
      <c r="Z5" s="18" t="inlineStr">
        <is>
          <t>operator, task, task instance, sensor, provider</t>
        </is>
      </c>
      <c r="AA5" s="18" t="inlineStr">
        <is>
          <t>Every DAG | Integrations | Custom operators</t>
        </is>
      </c>
      <c r="AB5" s="18" t="inlineStr">
        <is>
          <t>A: Is there an operator for our warehouse? | B: Yes, install the provider package and use its operator.</t>
        </is>
      </c>
      <c r="AC5" s="18" t="inlineStr">
        <is>
          <t>✗ An operator and a task are the same thing → ✓ The operator is the template, and the task is its use in a DAG</t>
        </is>
      </c>
      <c r="AD5" s="18" t="inlineStr">
        <is>
          <t>Task vs task instance: a task is the definition, a task instance is one run of it.</t>
        </is>
      </c>
      <c r="AE5" s="18" t="inlineStr">
        <is>
          <t>Do not write custom code when a provider operator exists.</t>
        </is>
      </c>
      <c r="AF5" s="18" t="inlineStr">
        <is>
          <t>Operator is the mould, task is the cast.</t>
        </is>
      </c>
      <c r="AG5" s="18" t="inlineStr">
        <is>
          <t>Using a provider operator replaced fifty lines of custom connection code.</t>
        </is>
      </c>
      <c r="AH5" s="18" t="inlineStr">
        <is>
          <t>An interviewer may ask: What is the difference between an operator and a task?</t>
        </is>
      </c>
      <c r="AI5" s="18" t="inlineStr">
        <is>
          <t>It is like a cookie cutter and a cookie.</t>
        </is>
      </c>
      <c r="AJ5" s="18" t="inlineStr">
        <is>
          <t>What is a task instance?</t>
        </is>
      </c>
      <c r="AK5" s="18" t="inlineStr">
        <is>
          <t>A) A server B) A task in one specific DAG run C) A schedule D) A connection</t>
        </is>
      </c>
      <c r="AL5" s="18" t="inlineStr">
        <is>
          <t>B</t>
        </is>
      </c>
      <c r="AM5" s="18" t="inlineStr">
        <is>
          <t>Each run creates its own instance with a state.</t>
        </is>
      </c>
      <c r="AN5" s="18" t="inlineStr">
        <is>
          <t>An operator that waits for a condition is a ____ → sensor</t>
        </is>
      </c>
      <c r="AO5" s="18" t="inlineStr">
        <is>
          <t>You need to run a query in a warehouse. What do you look for? → A provider operator</t>
        </is>
      </c>
      <c r="AP5" s="18" t="inlineStr">
        <is>
          <t>Explain operators and tasks in three lines.</t>
        </is>
      </c>
      <c r="AQ5" s="18" t="inlineStr">
        <is>
          <t>List four common operators and write the job of each one.</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21.5" customHeight="1">
      <c r="A6" s="17" t="inlineStr">
        <is>
          <t>AIR-004</t>
        </is>
      </c>
      <c r="B6" s="17" t="inlineStr">
        <is>
          <t>01 Basics</t>
        </is>
      </c>
      <c r="C6" s="17" t="inlineStr">
        <is>
          <t>Beginner</t>
        </is>
      </c>
      <c r="D6" s="17" t="n">
        <v>4</v>
      </c>
      <c r="E6" s="17" t="inlineStr">
        <is>
          <t>Claude knowledge</t>
        </is>
      </c>
      <c r="F6" s="18" t="inlineStr">
        <is>
          <t>Schedules and cron expressions</t>
        </is>
      </c>
      <c r="G6" s="18" t="inlineStr">
        <is>
          <t>How do you tell Airflow when a DAG should run?</t>
        </is>
      </c>
      <c r="H6" s="18" t="inlineStr">
        <is>
          <t>Core concept</t>
        </is>
      </c>
      <c r="I6" s="18" t="inlineStr">
        <is>
          <t>Very high</t>
        </is>
      </c>
      <c r="J6" s="18" t="n">
        <v>5</v>
      </c>
      <c r="K6" s="18" t="inlineStr">
        <is>
          <t>Workflows run at regular times, so DAGs carry a schedule written as a cron expression, a preset or a timetable.</t>
        </is>
      </c>
      <c r="L6" s="18" t="inlineStr">
        <is>
          <t>Use presets such as daily for simple cases and cron when you need exact times.</t>
        </is>
      </c>
      <c r="M6" s="18" t="inlineStr">
        <is>
          <t>A cron expression is five slots in a ticket that say minute, hour, day, month and weekday.</t>
        </is>
      </c>
      <c r="N6" s="18" t="inlineStr">
        <is>
          <t>A monthly calendar with several highlighted run times.</t>
        </is>
      </c>
      <c r="O6" s="18" t="inlineStr">
        <is>
          <t>The satisfaction of a job that runs on its own at the right time.</t>
        </is>
      </c>
      <c r="P6" s="18" t="inlineStr">
        <is>
          <t>A schedule says when DAG runs are created, written as a cron expression with five fields, a preset such as daily, a timedelta, or a timetable for complex calendars.</t>
        </is>
      </c>
      <c r="Q6" s="17" t="n"/>
      <c r="R6" s="18" t="inlineStr">
        <is>
          <t>The cron fields are minute, hour, day of month, month and day of week, so 0 2 * * * means every day at two. Presets include @hourly, @daily and @weekly. Schedules in Airflow are evaluated in UTC by default, unless a time zone is set on the DAG. Setting the schedule to None means the DAG runs only when triggered. Datasets can trigger DAGs when data is updated.</t>
        </is>
      </c>
      <c r="S6" s="18" t="inlineStr">
        <is>
          <t>Set a schedule with cron or a preset, and remember the default time zone is UTC.</t>
        </is>
      </c>
      <c r="T6" s="18" t="inlineStr">
        <is>
          <t>A cron expression is five slots in a ticket for minute, hour, day, month and weekday.</t>
        </is>
      </c>
      <c r="U6" s="18" t="inlineStr">
        <is>
          <t>minute hour day month weekday.</t>
        </is>
      </c>
      <c r="V6" s="18" t="inlineStr">
        <is>
          <t>0 2 * * * for every day at 02:00.</t>
        </is>
      </c>
      <c r="W6" s="18" t="inlineStr">
        <is>
          <t>*/15 * * * * for every fifteen minutes.</t>
        </is>
      </c>
      <c r="X6" s="18" t="inlineStr">
        <is>
          <t>0 9 * * 1-5 for weekdays at nine.</t>
        </is>
      </c>
      <c r="Y6" s="18" t="inlineStr">
        <is>
          <t>DAGs, data intervals, catchup and backfill, triggers</t>
        </is>
      </c>
      <c r="Z6" s="18" t="inlineStr">
        <is>
          <t>cron, schedule, preset, timetable, UTC</t>
        </is>
      </c>
      <c r="AA6" s="18" t="inlineStr">
        <is>
          <t>Every scheduled DAG | Reports | Nightly loads</t>
        </is>
      </c>
      <c r="AB6" s="18" t="inlineStr">
        <is>
          <t>A: My DAG ran at the wrong hour. | B: The schedule is in UTC, so set the time zone or convert the time.</t>
        </is>
      </c>
      <c r="AC6" s="18" t="inlineStr">
        <is>
          <t>✗ Schedules use the local time of the server → ✓ Airflow uses UTC unless you set a time zone</t>
        </is>
      </c>
      <c r="AD6" s="18" t="inlineStr">
        <is>
          <t>Schedule vs trigger: a schedule is automatic by time, a trigger is manual or event driven.</t>
        </is>
      </c>
      <c r="AE6" s="18" t="inlineStr">
        <is>
          <t>Do not forget the time zone when planning business-hour runs.</t>
        </is>
      </c>
      <c r="AF6" s="18" t="inlineStr">
        <is>
          <t>Minute, hour, day, month, weekday in order.</t>
        </is>
      </c>
      <c r="AG6" s="18" t="inlineStr">
        <is>
          <t>Setting the time zone on a DAG fixed reports that ran five hours too early.</t>
        </is>
      </c>
      <c r="AH6" s="18" t="inlineStr">
        <is>
          <t>An interviewer may ask: What does 0 2 star star star mean?</t>
        </is>
      </c>
      <c r="AI6" s="18" t="inlineStr">
        <is>
          <t>It is like a ticket with five time slots.</t>
        </is>
      </c>
      <c r="AJ6" s="18" t="inlineStr">
        <is>
          <t>What does the first cron field represent?</t>
        </is>
      </c>
      <c r="AK6" s="18" t="inlineStr">
        <is>
          <t>A) Minute B) Month C) Hour D) Day</t>
        </is>
      </c>
      <c r="AL6" s="18" t="inlineStr">
        <is>
          <t>A</t>
        </is>
      </c>
      <c r="AM6" s="18" t="inlineStr">
        <is>
          <t>The order starts with minute.</t>
        </is>
      </c>
      <c r="AN6" s="18" t="inlineStr">
        <is>
          <t>Airflow schedules use ____ by default → UTC</t>
        </is>
      </c>
      <c r="AO6" s="18" t="inlineStr">
        <is>
          <t>A report must run at nine on weekdays. Which expression? → 0 9 * * 1-5</t>
        </is>
      </c>
      <c r="AP6" s="18" t="inlineStr">
        <is>
          <t>Explain cron fields in three lines.</t>
        </is>
      </c>
      <c r="AQ6" s="18" t="inlineStr">
        <is>
          <t>Write cron expressions for hourly, daily at midnight and every Monday.</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AIR-005</t>
        </is>
      </c>
      <c r="B7" s="17" t="inlineStr">
        <is>
          <t>01 Basics</t>
        </is>
      </c>
      <c r="C7" s="17" t="inlineStr">
        <is>
          <t>Beginner</t>
        </is>
      </c>
      <c r="D7" s="17" t="n">
        <v>5</v>
      </c>
      <c r="E7" s="17" t="inlineStr">
        <is>
          <t>Claude knowledge</t>
        </is>
      </c>
      <c r="F7" s="18" t="inlineStr">
        <is>
          <t>Dependencies</t>
        </is>
      </c>
      <c r="G7" s="18" t="inlineStr">
        <is>
          <t>How do you say that one task must finish before another starts?</t>
        </is>
      </c>
      <c r="H7" s="18" t="inlineStr">
        <is>
          <t>Core concept</t>
        </is>
      </c>
      <c r="I7" s="18" t="inlineStr">
        <is>
          <t>Very high</t>
        </is>
      </c>
      <c r="J7" s="18" t="n">
        <v>5</v>
      </c>
      <c r="K7" s="18" t="inlineStr">
        <is>
          <t>Real workflows have order, so Airflow lets you connect tasks with simple operators that build the graph.</t>
        </is>
      </c>
      <c r="L7" s="18" t="inlineStr">
        <is>
          <t>Use the right-shift operator for a readable left-to-right flow.</t>
        </is>
      </c>
      <c r="M7" s="18" t="inlineStr">
        <is>
          <t>Dependencies are arrows on the flow chart, and the arrowhead points to what runs next.</t>
        </is>
      </c>
      <c r="N7" s="18" t="inlineStr">
        <is>
          <t>Tasks joined by arrows from left to right.</t>
        </is>
      </c>
      <c r="O7" s="18" t="inlineStr">
        <is>
          <t>The pleasure of a pipeline that reads like a sentence.</t>
        </is>
      </c>
      <c r="P7" s="18" t="inlineStr">
        <is>
          <t>Dependencies declare the order of tasks using the bit shift operators or set_upstream and set_downstream, so a downstream task starts only after its upstream tasks succeed.</t>
        </is>
      </c>
      <c r="Q7" s="17" t="n"/>
      <c r="R7" s="18" t="inlineStr">
        <is>
          <t>A task runs when all its upstream tasks have succeeded, by default. This rule can be changed with a trigger rule, such as running even when upstream tasks failed, which suits cleanup. Lists of tasks create fan-out and fan-in shapes. The chain helper connects many tasks in order. Missing dependencies make tasks run in parallel unintentionally.</t>
        </is>
      </c>
      <c r="S7" s="18" t="inlineStr">
        <is>
          <t>Connect tasks with arrows, and downstream tasks wait for upstream success.</t>
        </is>
      </c>
      <c r="T7" s="18" t="inlineStr">
        <is>
          <t>Dependencies are arrows on a flow chart, and the arrowhead points to what runs next.</t>
        </is>
      </c>
      <c r="U7" s="18" t="inlineStr">
        <is>
          <t>upstream &gt;&gt; downstream, and a task runs when all upstream tasks have succeeded.</t>
        </is>
      </c>
      <c r="V7" s="18" t="inlineStr">
        <is>
          <t>extract &gt;&gt; transform &gt;&gt; load</t>
        </is>
      </c>
      <c r="W7" s="18" t="inlineStr">
        <is>
          <t>[extract_a, extract_b] &gt;&gt; join</t>
        </is>
      </c>
      <c r="X7" s="18" t="inlineStr">
        <is>
          <t>load &gt;&gt; [notify, cleanup]</t>
        </is>
      </c>
      <c r="Y7" s="18" t="inlineStr">
        <is>
          <t>DAGs, trigger rules, task groups, branching</t>
        </is>
      </c>
      <c r="Z7" s="18" t="inlineStr">
        <is>
          <t>upstream, downstream, fan-out, fan-in, trigger rule</t>
        </is>
      </c>
      <c r="AA7" s="18" t="inlineStr">
        <is>
          <t>Every DAG | Design | Debugging</t>
        </is>
      </c>
      <c r="AB7" s="18" t="inlineStr">
        <is>
          <t>A: Two tasks ran at the same time unexpectedly. | B: You forgot to link them with a dependency.</t>
        </is>
      </c>
      <c r="AC7" s="18" t="inlineStr">
        <is>
          <t>✗ Tasks run in the order they appear in the file → ✓ Only declared dependencies set the order</t>
        </is>
      </c>
      <c r="AD7" s="18" t="inlineStr">
        <is>
          <t>Upstream vs downstream: upstream runs before, downstream runs after.</t>
        </is>
      </c>
      <c r="AE7" s="18" t="inlineStr">
        <is>
          <t>Do not rely on file order to sequence tasks.</t>
        </is>
      </c>
      <c r="AF7" s="18" t="inlineStr">
        <is>
          <t>Arrows decide order, not line numbers.</t>
        </is>
      </c>
      <c r="AG7" s="18" t="inlineStr">
        <is>
          <t>Adding a missing dependency stopped a report running before its data load finished.</t>
        </is>
      </c>
      <c r="AH7" s="18" t="inlineStr">
        <is>
          <t>An interviewer may ask: What does the right shift operator do in Airflow?</t>
        </is>
      </c>
      <c r="AI7" s="18" t="inlineStr">
        <is>
          <t>It is like arrows on a flow chart.</t>
        </is>
      </c>
      <c r="AJ7" s="18" t="inlineStr">
        <is>
          <t>What decides the order of tasks?</t>
        </is>
      </c>
      <c r="AK7" s="18" t="inlineStr">
        <is>
          <t>A) Random B) File order C) Declared dependencies D) Alphabet</t>
        </is>
      </c>
      <c r="AL7" s="18" t="inlineStr">
        <is>
          <t>C</t>
        </is>
      </c>
      <c r="AM7" s="18" t="inlineStr">
        <is>
          <t>Airflow follows the declared graph.</t>
        </is>
      </c>
      <c r="AN7" s="18" t="inlineStr">
        <is>
          <t>A task that runs after another is its ____ → downstream</t>
        </is>
      </c>
      <c r="AO7" s="18" t="inlineStr">
        <is>
          <t>A cleanup task must run even if earlier tasks failed. What do you change? → Its trigger rule</t>
        </is>
      </c>
      <c r="AP7" s="18" t="inlineStr">
        <is>
          <t>Explain dependencies in three lines.</t>
        </is>
      </c>
      <c r="AQ7" s="18" t="inlineStr">
        <is>
          <t>Write dependencies for two extracts, a join and a load.</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08" customHeight="1">
      <c r="A8" s="17" t="inlineStr">
        <is>
          <t>AIR-006</t>
        </is>
      </c>
      <c r="B8" s="17" t="inlineStr">
        <is>
          <t>01 Basics</t>
        </is>
      </c>
      <c r="C8" s="17" t="inlineStr">
        <is>
          <t>Beginner</t>
        </is>
      </c>
      <c r="D8" s="17" t="n">
        <v>6</v>
      </c>
      <c r="E8" s="17" t="inlineStr">
        <is>
          <t>Claude knowledge</t>
        </is>
      </c>
      <c r="F8" s="18" t="inlineStr">
        <is>
          <t>The Airflow web UI</t>
        </is>
      </c>
      <c r="G8" s="18" t="inlineStr">
        <is>
          <t>Which web interface shows DAGs, runs, logs and lets you control them?</t>
        </is>
      </c>
      <c r="H8" s="18" t="inlineStr">
        <is>
          <t>Core concept</t>
        </is>
      </c>
      <c r="I8" s="18" t="inlineStr">
        <is>
          <t>Very high</t>
        </is>
      </c>
      <c r="J8" s="18" t="n">
        <v>4</v>
      </c>
      <c r="K8" s="18" t="inlineStr">
        <is>
          <t>Operators need to see and control workflows without editing files, so Airflow ships a web interface.</t>
        </is>
      </c>
      <c r="L8" s="18" t="inlineStr">
        <is>
          <t>Use the grid and graph views to find which task failed and read its log.</t>
        </is>
      </c>
      <c r="M8" s="18" t="inlineStr">
        <is>
          <t>The UI is the control tower window where every flight can be seen.</t>
        </is>
      </c>
      <c r="N8" s="18" t="inlineStr">
        <is>
          <t>A grid of coloured squares for runs and tasks.</t>
        </is>
      </c>
      <c r="O8" s="18" t="inlineStr">
        <is>
          <t>The calm of seeing green squares across the grid.</t>
        </is>
      </c>
      <c r="P8" s="18" t="inlineStr">
        <is>
          <t>The Airflow web interface lists DAGs, shows their runs and task states in grid and graph views, displays logs and lets you trigger, pause, clear and mark tasks.</t>
        </is>
      </c>
      <c r="Q8" s="17" t="n"/>
      <c r="R8" s="18" t="inlineStr">
        <is>
          <t>The grid view shows runs as columns and tasks as rows with colours for states. The graph view shows dependencies. Logs for each task instance explain failures. You can trigger a DAG manually, pause it, clear a failed task to rerun it, or mark it as success. Access is controlled by roles, so not every user can change DAGs.</t>
        </is>
      </c>
      <c r="S8" s="18" t="inlineStr">
        <is>
          <t>Use the grid to find the red task, read its log, and clear it to rerun.</t>
        </is>
      </c>
      <c r="T8" s="18" t="inlineStr">
        <is>
          <t>The UI is the control tower window where every flight can be seen.</t>
        </is>
      </c>
      <c r="U8" s="18" t="inlineStr">
        <is>
          <t>Grid = history, graph = structure, log = reason.</t>
        </is>
      </c>
      <c r="V8" s="18" t="inlineStr">
        <is>
          <t>Opening a failed task log to read the error.</t>
        </is>
      </c>
      <c r="W8" s="18" t="inlineStr">
        <is>
          <t>Clearing a failed task so it reruns.</t>
        </is>
      </c>
      <c r="X8" s="18" t="inlineStr">
        <is>
          <t>Pausing a DAG during maintenance.</t>
        </is>
      </c>
      <c r="Y8" s="18" t="inlineStr">
        <is>
          <t>DAGs, retries and timeouts, logs, alerts</t>
        </is>
      </c>
      <c r="Z8" s="18" t="inlineStr">
        <is>
          <t>grid, graph, log, clear, trigger</t>
        </is>
      </c>
      <c r="AA8" s="18" t="inlineStr">
        <is>
          <t>Daily operations | Debugging | Support</t>
        </is>
      </c>
      <c r="AB8" s="18" t="inlineStr">
        <is>
          <t>A: How do I rerun the failed load? | B: Clear that task in the grid and it will run again.</t>
        </is>
      </c>
      <c r="AC8" s="18" t="inlineStr">
        <is>
          <t>✗ Clearing a task deletes its code → ✓ It only resets the task state so it can run again</t>
        </is>
      </c>
      <c r="AD8" s="18" t="inlineStr">
        <is>
          <t>Clear vs mark success: clear reruns the task, mark success skips it.</t>
        </is>
      </c>
      <c r="AE8" s="18" t="inlineStr">
        <is>
          <t>Do not mark failed tasks as success without understanding why.</t>
        </is>
      </c>
      <c r="AF8" s="18" t="inlineStr">
        <is>
          <t>Red square, read log, clear to retry.</t>
        </is>
      </c>
      <c r="AG8" s="18" t="inlineStr">
        <is>
          <t>Training operators to use grid and clear actions cut the time to recover failed loads.</t>
        </is>
      </c>
      <c r="AH8" s="18" t="inlineStr">
        <is>
          <t>An interviewer may ask: How do you rerun a failed task in Airflow?</t>
        </is>
      </c>
      <c r="AI8" s="18" t="inlineStr">
        <is>
          <t>It is like a control tower window.</t>
        </is>
      </c>
      <c r="AJ8" s="18" t="inlineStr">
        <is>
          <t>Which view shows runs as columns and tasks as rows?</t>
        </is>
      </c>
      <c r="AK8" s="18" t="inlineStr">
        <is>
          <t>A) Grid view B) Calendar only C) Graph view D) Code view</t>
        </is>
      </c>
      <c r="AL8" s="18" t="inlineStr">
        <is>
          <t>A</t>
        </is>
      </c>
      <c r="AM8" s="18" t="inlineStr">
        <is>
          <t>The grid shows history by run and task.</t>
        </is>
      </c>
      <c r="AN8" s="18" t="inlineStr">
        <is>
          <t>Rerunning a failed task is done by ____ it → clearing</t>
        </is>
      </c>
      <c r="AO8" s="18" t="inlineStr">
        <is>
          <t>A task failed because of a temporary error. What do you do in the UI? → Clear the task to rerun it</t>
        </is>
      </c>
      <c r="AP8" s="18" t="inlineStr">
        <is>
          <t>Explain how to debug a failed run in the UI.</t>
        </is>
      </c>
      <c r="AQ8" s="18" t="inlineStr">
        <is>
          <t>List four actions you can perform in the Airflow UI.</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48.5" customHeight="1">
      <c r="A9" s="17" t="inlineStr">
        <is>
          <t>AIR-007</t>
        </is>
      </c>
      <c r="B9" s="17" t="inlineStr">
        <is>
          <t>01 Basics</t>
        </is>
      </c>
      <c r="C9" s="17" t="inlineStr">
        <is>
          <t>Intermediate</t>
        </is>
      </c>
      <c r="D9" s="17" t="n">
        <v>7</v>
      </c>
      <c r="E9" s="17" t="inlineStr">
        <is>
          <t>Claude knowledge</t>
        </is>
      </c>
      <c r="F9" s="18" t="inlineStr">
        <is>
          <t>Airflow components</t>
        </is>
      </c>
      <c r="G9" s="18" t="inlineStr">
        <is>
          <t>Which parts make up an Airflow deployment and what does each do?</t>
        </is>
      </c>
      <c r="H9" s="18" t="inlineStr">
        <is>
          <t>Core concept</t>
        </is>
      </c>
      <c r="I9" s="18" t="inlineStr">
        <is>
          <t>Very high</t>
        </is>
      </c>
      <c r="J9" s="18" t="n">
        <v>5</v>
      </c>
      <c r="K9" s="18" t="inlineStr">
        <is>
          <t>Scheduling, running and storing are different jobs, so Airflow is split into separate components that can scale on their own.</t>
        </is>
      </c>
      <c r="L9" s="18" t="inlineStr">
        <is>
          <t>When nothing runs, check the scheduler first, then the workers and the database.</t>
        </is>
      </c>
      <c r="M9" s="18" t="inlineStr">
        <is>
          <t>The scheduler is the dispatcher, workers are the drivers, and the metadata database is the logbook.</t>
        </is>
      </c>
      <c r="N9" s="18" t="inlineStr">
        <is>
          <t>Boxes for scheduler, workers, web server and database connected together.</t>
        </is>
      </c>
      <c r="O9" s="18" t="inlineStr">
        <is>
          <t>The understanding of why one piece can fail while the rest keep going.</t>
        </is>
      </c>
      <c r="P9" s="18" t="inlineStr">
        <is>
          <t>An Airflow deployment has a scheduler that decides what to run, an executor and workers that run tasks, a web server for the interface, a metadata database that stores state, and a DAG folder holding the code.</t>
        </is>
      </c>
      <c r="Q9" s="17" t="n"/>
      <c r="R9" s="18" t="inlineStr">
        <is>
          <t>The scheduler parses DAG files and creates runs and task instances. The executor decides how tasks are run, for example locally, on Celery workers or as Kubernetes pods. The metadata database, usually PostgreSQL, stores all state and history. The web server reads from it. A triggerer handles deferred tasks. Workers must see the same DAG code. In Airflow 3 the web server is replaced by the api-server and the DAG processor runs as a separate component.</t>
        </is>
      </c>
      <c r="S9" s="18" t="inlineStr">
        <is>
          <t>Scheduler plans, workers run, database remembers, web server shows.</t>
        </is>
      </c>
      <c r="T9" s="18" t="inlineStr">
        <is>
          <t>The scheduler is the dispatcher, workers are drivers, and the database is the logbook.</t>
        </is>
      </c>
      <c r="U9" s="18" t="inlineStr">
        <is>
          <t>Scheduler + executor + workers + metadata database + web server.</t>
        </is>
      </c>
      <c r="V9" s="18" t="inlineStr">
        <is>
          <t>A scheduler creating a run at midnight.</t>
        </is>
      </c>
      <c r="W9" s="18" t="inlineStr">
        <is>
          <t>A Celery worker running a task.</t>
        </is>
      </c>
      <c r="X9" s="18" t="inlineStr">
        <is>
          <t>A PostgreSQL database holding task states.</t>
        </is>
      </c>
      <c r="Y9" s="18" t="inlineStr">
        <is>
          <t>executors, deployment options, DAGs, the web UI</t>
        </is>
      </c>
      <c r="Z9" s="18" t="inlineStr">
        <is>
          <t>scheduler, executor, worker, metadata database, triggerer</t>
        </is>
      </c>
      <c r="AA9" s="18" t="inlineStr">
        <is>
          <t>Platform setup | Troubleshooting | Capacity planning</t>
        </is>
      </c>
      <c r="AB9" s="18" t="inlineStr">
        <is>
          <t>A: Tasks stay queued and nothing runs. | B: Check the scheduler and whether workers are alive.</t>
        </is>
      </c>
      <c r="AC9" s="18" t="inlineStr">
        <is>
          <t>✗ The web server runs the tasks → ✓ Workers run tasks, and the web server only shows information</t>
        </is>
      </c>
      <c r="AD9" s="18" t="inlineStr">
        <is>
          <t>Scheduler vs executor: the scheduler decides when, the executor decides how.</t>
        </is>
      </c>
      <c r="AE9" s="18" t="inlineStr">
        <is>
          <t>Do not run the metadata database on a fragile single disk.</t>
        </is>
      </c>
      <c r="AF9" s="18" t="inlineStr">
        <is>
          <t>Scheduler plans, workers act, database records.</t>
        </is>
      </c>
      <c r="AG9" s="18" t="inlineStr">
        <is>
          <t>Finding a dead scheduler explained why no DAG had started for an hour.</t>
        </is>
      </c>
      <c r="AH9" s="18" t="inlineStr">
        <is>
          <t>An interviewer may ask: What does the scheduler do?</t>
        </is>
      </c>
      <c r="AI9" s="18" t="inlineStr">
        <is>
          <t>It is like a dispatcher, drivers and a logbook.</t>
        </is>
      </c>
      <c r="AJ9" s="18" t="inlineStr">
        <is>
          <t>What stores task states and history?</t>
        </is>
      </c>
      <c r="AK9" s="18" t="inlineStr">
        <is>
          <t>A) The DAG file B) The metadata database C) The web server D) A worker</t>
        </is>
      </c>
      <c r="AL9" s="18" t="inlineStr">
        <is>
          <t>B</t>
        </is>
      </c>
      <c r="AM9" s="18" t="inlineStr">
        <is>
          <t>All state lives in the database.</t>
        </is>
      </c>
      <c r="AN9" s="18" t="inlineStr">
        <is>
          <t>The component that creates runs and task instances is the ____ → scheduler</t>
        </is>
      </c>
      <c r="AO9" s="18" t="inlineStr">
        <is>
          <t>Tasks stay in queued state forever. What do you check first? → The scheduler and workers</t>
        </is>
      </c>
      <c r="AP9" s="18" t="inlineStr">
        <is>
          <t>Explain the Airflow components in three lines.</t>
        </is>
      </c>
      <c r="AQ9" s="18" t="inlineStr">
        <is>
          <t>Draw the components and mark where a failure stops all runs.</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62" customHeight="1">
      <c r="A10" s="17" t="inlineStr">
        <is>
          <t>AIR-018</t>
        </is>
      </c>
      <c r="B10" s="17" t="inlineStr">
        <is>
          <t>03 Running</t>
        </is>
      </c>
      <c r="C10" s="17" t="inlineStr">
        <is>
          <t>Intermediate</t>
        </is>
      </c>
      <c r="D10" s="17" t="n">
        <v>18</v>
      </c>
      <c r="E10" s="17" t="inlineStr">
        <is>
          <t>Claude knowledge</t>
        </is>
      </c>
      <c r="F10" s="18" t="inlineStr">
        <is>
          <t>Data intervals</t>
        </is>
      </c>
      <c r="G10" s="18" t="inlineStr">
        <is>
          <t>Which idea explains what time period a DAG run is responsible for?</t>
        </is>
      </c>
      <c r="H10" s="18" t="inlineStr">
        <is>
          <t>Core concept</t>
        </is>
      </c>
      <c r="I10" s="18" t="inlineStr">
        <is>
          <t>Very high</t>
        </is>
      </c>
      <c r="J10" s="18" t="n">
        <v>5</v>
      </c>
      <c r="K10" s="18" t="inlineStr">
        <is>
          <t>A daily run processes a whole day of data that has already finished, so each run is tied to an interval rather than to the moment it starts.</t>
        </is>
      </c>
      <c r="L10" s="18" t="inlineStr">
        <is>
          <t>Remember that a run starts after its interval ends.</t>
        </is>
      </c>
      <c r="M10" s="18" t="inlineStr">
        <is>
          <t>A data interval is a page of a diary that can only be read after the day is over.</t>
        </is>
      </c>
      <c r="N10" s="18" t="inlineStr">
        <is>
          <t>A timeline with an interval shaded and the run starting at its end.</t>
        </is>
      </c>
      <c r="O10" s="18" t="inlineStr">
        <is>
          <t>The aha moment when the run date finally makes sense.</t>
        </is>
      </c>
      <c r="P10" s="18" t="inlineStr">
        <is>
          <t>A data interval is the time period a DAG run covers, with a start and an end, and the run is triggered at the end of that period.</t>
        </is>
      </c>
      <c r="Q10" s="17" t="n"/>
      <c r="R10" s="18" t="inlineStr">
        <is>
          <t>For a daily schedule, the run with logical date 1 October covers 1 October 00:00 to 2 October 00:00 and actually starts on 2 October. The values data_interval_start and data_interval_end give the period. The older name execution date confused many people. Using the interval in queries makes each run process exactly its own period. This describes interval-based timetables (the Airflow 2 default). In Airflow 3 cron schedules run at the trigger time unless you use CronDataIntervalTimetable.</t>
        </is>
      </c>
      <c r="S10" s="18" t="inlineStr">
        <is>
          <t>Each run owns a period, and it starts when that period has finished.</t>
        </is>
      </c>
      <c r="T10" s="18" t="inlineStr">
        <is>
          <t>A data interval is a page of a diary that can be read only after the day is over.</t>
        </is>
      </c>
      <c r="U10" s="18" t="inlineStr">
        <is>
          <t>Run starts at the interval end and processes the interval.</t>
        </is>
      </c>
      <c r="V10" s="18" t="inlineStr">
        <is>
          <t>The run for 1 October starting early on 2 October.</t>
        </is>
      </c>
      <c r="W10" s="18" t="inlineStr">
        <is>
          <t>A query using data_interval_start and data_interval_end.</t>
        </is>
      </c>
      <c r="X10" s="18" t="inlineStr">
        <is>
          <t>A weekly DAG covering seven days per run.</t>
        </is>
      </c>
      <c r="Y10" s="18" t="inlineStr">
        <is>
          <t>schedules, templating, catchup and backfill, idempotency</t>
        </is>
      </c>
      <c r="Z10" s="18" t="inlineStr">
        <is>
          <t>logical date, interval, execution date, period, trigger time</t>
        </is>
      </c>
      <c r="AA10" s="18" t="inlineStr">
        <is>
          <t>Incremental loads | Reports | Backfills</t>
        </is>
      </c>
      <c r="AB10" s="18" t="inlineStr">
        <is>
          <t>A: Today's run is processing yesterday's data. | B: That is correct, since a run covers the interval that just ended.</t>
        </is>
      </c>
      <c r="AC10" s="18" t="inlineStr">
        <is>
          <t>✗ A run for a date processes data from that date's moment onward → ✓ It processes the interval that ended when the run started</t>
        </is>
      </c>
      <c r="AD10" s="18" t="inlineStr">
        <is>
          <t>Logical date vs run time: the logical date is the interval start, and the run starts at the interval end.</t>
        </is>
      </c>
      <c r="AE10" s="18" t="inlineStr">
        <is>
          <t>Do not use the current time to choose which data to process.</t>
        </is>
      </c>
      <c r="AF10" s="18" t="inlineStr">
        <is>
          <t>Runs start when their period ends.</t>
        </is>
      </c>
      <c r="AG10" s="18" t="inlineStr">
        <is>
          <t>Understanding intervals fixed an off-by-one-day bug in a daily sales load.</t>
        </is>
      </c>
      <c r="AH10" s="18" t="inlineStr">
        <is>
          <t>An interviewer may ask: Why does a daily DAG run for 1 October start on 2 October?</t>
        </is>
      </c>
      <c r="AI10" s="18" t="inlineStr">
        <is>
          <t>It is like reading a diary page after the day has ended.</t>
        </is>
      </c>
      <c r="AJ10" s="18" t="inlineStr">
        <is>
          <t>When does the run for the interval of 1 October start?</t>
        </is>
      </c>
      <c r="AK10" s="18" t="inlineStr">
        <is>
          <t>A) After the interval ends B) During it C) Before it starts D) Never</t>
        </is>
      </c>
      <c r="AL10" s="18" t="inlineStr">
        <is>
          <t>A</t>
        </is>
      </c>
      <c r="AM10" s="18" t="inlineStr">
        <is>
          <t>Airflow runs after the period is complete.</t>
        </is>
      </c>
      <c r="AN10" s="18" t="inlineStr">
        <is>
          <t>The start of the period a run covers is the ____ date → logical</t>
        </is>
      </c>
      <c r="AO10" s="18" t="inlineStr">
        <is>
          <t>A daily run needs to process one full day. Which values do you use? → The data interval start and end</t>
        </is>
      </c>
      <c r="AP10" s="18" t="inlineStr">
        <is>
          <t>Explain data intervals in three lines.</t>
        </is>
      </c>
      <c r="AQ10" s="18" t="inlineStr">
        <is>
          <t>Write the interval of the run for 5 October with a daily schedule.</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48.5" customHeight="1">
      <c r="A11" s="17" t="inlineStr">
        <is>
          <t>AIR-019</t>
        </is>
      </c>
      <c r="B11" s="17" t="inlineStr">
        <is>
          <t>03 Running</t>
        </is>
      </c>
      <c r="C11" s="17" t="inlineStr">
        <is>
          <t>Intermediate</t>
        </is>
      </c>
      <c r="D11" s="17" t="n">
        <v>19</v>
      </c>
      <c r="E11" s="17" t="inlineStr">
        <is>
          <t>Claude knowledge</t>
        </is>
      </c>
      <c r="F11" s="18" t="inlineStr">
        <is>
          <t>Catchup and backfill</t>
        </is>
      </c>
      <c r="G11" s="18" t="inlineStr">
        <is>
          <t>How do you run a DAG for past dates it has not processed yet?</t>
        </is>
      </c>
      <c r="H11" s="18" t="inlineStr">
        <is>
          <t>Core concept</t>
        </is>
      </c>
      <c r="I11" s="18" t="inlineStr">
        <is>
          <t>Very high</t>
        </is>
      </c>
      <c r="J11" s="18" t="n">
        <v>5</v>
      </c>
      <c r="K11" s="18" t="inlineStr">
        <is>
          <t>A new DAG or a fixed bug often needs past periods processed, so Airflow can create the missed runs automatically or on request.</t>
        </is>
      </c>
      <c r="L11" s="18" t="inlineStr">
        <is>
          <t>Set catchup false for most DAGs, and run backfills deliberately.</t>
        </is>
      </c>
      <c r="M11" s="18" t="inlineStr">
        <is>
          <t>Catchup is the clerk who works through the missed days automatically, and backfill is you telling the clerk which days to redo.</t>
        </is>
      </c>
      <c r="N11" s="18" t="inlineStr">
        <is>
          <t>A timeline with missed days being filled by runs.</t>
        </is>
      </c>
      <c r="O11" s="18" t="inlineStr">
        <is>
          <t>The relief of recovering missed days without custom scripts.</t>
        </is>
      </c>
      <c r="P11" s="18" t="inlineStr">
        <is>
          <t>Catchup makes the scheduler create runs for all intervals since the start date that have not run, and a backfill is a command that runs a DAG for a chosen date range.</t>
        </is>
      </c>
      <c r="Q11" s="17" t="n"/>
      <c r="R11" s="18" t="inlineStr">
        <is>
          <t>With catchup on and an old start date, many runs start at once, which can overload systems. Most teams turn catchup off and trigger backfills on purpose with the command line or interface. Backfills rely on idempotent tasks and logical dates. Limit parallelism with max_active_runs. Check the results before running more. Catchup defaulted to True in Airflow 2 and False in Airflow 3. The backfill command shown is Airflow 2; Airflow 3 uses airflow backfill create.</t>
        </is>
      </c>
      <c r="S11" s="18" t="inlineStr">
        <is>
          <t>Turn catchup off by default, and backfill specific ranges when you need history.</t>
        </is>
      </c>
      <c r="T11" s="18" t="inlineStr">
        <is>
          <t>Catchup is the clerk working through missed days automatically, and a backfill tells the clerk which days to redo.</t>
        </is>
      </c>
      <c r="U11" s="18" t="inlineStr">
        <is>
          <t>Catchup = automatic past runs. Backfill = chosen past runs.</t>
        </is>
      </c>
      <c r="V11" s="18" t="inlineStr">
        <is>
          <t>airflow dags backfill -s 2026-09-01 -e 2026-09-07 daily_sales</t>
        </is>
      </c>
      <c r="W11" s="18" t="inlineStr">
        <is>
          <t>catchup=True with an old start_date creating hundreds of runs.</t>
        </is>
      </c>
      <c r="X11" s="18" t="inlineStr">
        <is>
          <t>max_active_runs=2 limiting parallel backfill runs.</t>
        </is>
      </c>
      <c r="Y11" s="18" t="inlineStr">
        <is>
          <t>data intervals, idempotency, DAG definition, pools and concurrency</t>
        </is>
      </c>
      <c r="Z11" s="18" t="inlineStr">
        <is>
          <t>catchup, backfill, missed run, range, max_active_runs</t>
        </is>
      </c>
      <c r="AA11" s="18" t="inlineStr">
        <is>
          <t>New DAGs | Bug fixes | Migrations</t>
        </is>
      </c>
      <c r="AB11" s="18" t="inlineStr">
        <is>
          <t>A: We deployed and hundreds of runs started. | B: Catchup was on with an old start date, so turn it off and backfill carefully.</t>
        </is>
      </c>
      <c r="AC11" s="18" t="inlineStr">
        <is>
          <t>✗ Catchup is a harmless default → ✓ It can start hundreds of runs at once and overload sources</t>
        </is>
      </c>
      <c r="AD11" s="18" t="inlineStr">
        <is>
          <t>Catchup vs backfill: catchup is automatic, backfill is requested.</t>
        </is>
      </c>
      <c r="AE11" s="18" t="inlineStr">
        <is>
          <t>Do not run backfills on tasks that are not idempotent.</t>
        </is>
      </c>
      <c r="AF11" s="18" t="inlineStr">
        <is>
          <t>Catchup off, backfill by choice.</t>
        </is>
      </c>
      <c r="AG11" s="18" t="inlineStr">
        <is>
          <t>Backfilling a month in small ranges recovered data without stressing the source API.</t>
        </is>
      </c>
      <c r="AH11" s="18" t="inlineStr">
        <is>
          <t>An interviewer may ask: What is the risk of catchup?</t>
        </is>
      </c>
      <c r="AI11" s="18" t="inlineStr">
        <is>
          <t>It is like a clerk working through missed days.</t>
        </is>
      </c>
      <c r="AJ11" s="18" t="inlineStr">
        <is>
          <t>What does catchup do?</t>
        </is>
      </c>
      <c r="AK11" s="18" t="inlineStr">
        <is>
          <t>A) Sends alerts B) Creates runs for missed intervals C) Deletes old runs D) Speeds up tasks</t>
        </is>
      </c>
      <c r="AL11" s="18" t="inlineStr">
        <is>
          <t>B</t>
        </is>
      </c>
      <c r="AM11" s="18" t="inlineStr">
        <is>
          <t>The scheduler fills the missing intervals.</t>
        </is>
      </c>
      <c r="AN11" s="18" t="inlineStr">
        <is>
          <t>The setting that limits how many copies of one DAG are active is max_active_____ → runs</t>
        </is>
      </c>
      <c r="AO11" s="18" t="inlineStr">
        <is>
          <t>A bug fix needs last month rerun safely. What do you use? → A controlled backfill</t>
        </is>
      </c>
      <c r="AP11" s="18" t="inlineStr">
        <is>
          <t>Explain catchup and backfill in three lines.</t>
        </is>
      </c>
      <c r="AQ11" s="18" t="inlineStr">
        <is>
          <t>Write a backfill command for seven days of a DAG.</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48.5" customHeight="1">
      <c r="A12" s="17" t="inlineStr">
        <is>
          <t>AIR-022</t>
        </is>
      </c>
      <c r="B12" s="17" t="inlineStr">
        <is>
          <t>03 Running</t>
        </is>
      </c>
      <c r="C12" s="17" t="inlineStr">
        <is>
          <t>Advanced</t>
        </is>
      </c>
      <c r="D12" s="17" t="n">
        <v>22</v>
      </c>
      <c r="E12" s="17" t="inlineStr">
        <is>
          <t>Claude knowledge</t>
        </is>
      </c>
      <c r="F12" s="18" t="inlineStr">
        <is>
          <t>Executors</t>
        </is>
      </c>
      <c r="G12" s="18" t="inlineStr">
        <is>
          <t>Which component decides how and where Airflow tasks actually run?</t>
        </is>
      </c>
      <c r="H12" s="18" t="inlineStr">
        <is>
          <t>Core concept</t>
        </is>
      </c>
      <c r="I12" s="18" t="inlineStr">
        <is>
          <t>High</t>
        </is>
      </c>
      <c r="J12" s="18" t="n">
        <v>4</v>
      </c>
      <c r="K12" s="18" t="inlineStr">
        <is>
          <t>Different installations need different ways to run tasks, from one machine to a cluster, so the executor is pluggable.</t>
        </is>
      </c>
      <c r="L12" s="18" t="inlineStr">
        <is>
          <t>Use Local for learning, Celery for steady worker fleets, and Kubernetes for isolated task pods.</t>
        </is>
      </c>
      <c r="M12" s="18" t="inlineStr">
        <is>
          <t>The executor is the transport company that decides whether tasks travel by bike, bus or private taxi.</t>
        </is>
      </c>
      <c r="N12" s="18" t="inlineStr">
        <is>
          <t>A scheduler passing tasks to workers or pods through different executors.</t>
        </is>
      </c>
      <c r="O12" s="18" t="inlineStr">
        <is>
          <t>The understanding of why task isolation differs between setups.</t>
        </is>
      </c>
      <c r="P12" s="18" t="inlineStr">
        <is>
          <t>An executor is the Airflow component that runs task instances, for example on local processes, Celery workers, or Kubernetes pods, one per task.</t>
        </is>
      </c>
      <c r="Q12" s="17" t="n"/>
      <c r="R12" s="18" t="inlineStr">
        <is>
          <t>The LocalExecutor runs tasks as processes on the scheduler machine and suits small setups. CeleryExecutor sends tasks to long-running workers through a message broker and scales by adding workers. KubernetesExecutor starts a new pod for each task, giving isolation and resource control, with a startup cost. Choice affects dependency management and cost. The older SequentialExecutor is only for testing. SequentialExecutor was removed in Airflow 3.</t>
        </is>
      </c>
      <c r="S12" s="18" t="inlineStr">
        <is>
          <t>The executor decides where tasks run, and the choice depends on scale and isolation needs.</t>
        </is>
      </c>
      <c r="T12" s="18" t="inlineStr">
        <is>
          <t>The executor is the transport company that decides whether tasks go by bike, bus or private taxi.</t>
        </is>
      </c>
      <c r="U12" s="18" t="inlineStr">
        <is>
          <t>Local = simple. Celery = worker fleet. Kubernetes = pod per task.</t>
        </is>
      </c>
      <c r="V12" s="18" t="inlineStr">
        <is>
          <t>A small team on the LocalExecutor.</t>
        </is>
      </c>
      <c r="W12" s="18" t="inlineStr">
        <is>
          <t>Celery workers scaled up for the nightly peak.</t>
        </is>
      </c>
      <c r="X12" s="18" t="inlineStr">
        <is>
          <t>Kubernetes pods with different images per task.</t>
        </is>
      </c>
      <c r="Y12" s="18" t="inlineStr">
        <is>
          <t>Airflow components, deployment options, pools and concurrency, Kubernetes</t>
        </is>
      </c>
      <c r="Z12" s="18" t="inlineStr">
        <is>
          <t>executor, Celery, Kubernetes, worker, pod</t>
        </is>
      </c>
      <c r="AA12" s="18" t="inlineStr">
        <is>
          <t>Platform setup | Scaling | Isolation</t>
        </is>
      </c>
      <c r="AB12" s="18" t="inlineStr">
        <is>
          <t>A: Tasks need different Python libraries. | B: Use the Kubernetes executor with an image for each task.</t>
        </is>
      </c>
      <c r="AC12" s="18" t="inlineStr">
        <is>
          <t>✗ The executor schedules the DAGs → ✓ The scheduler schedules, and the executor only runs tasks</t>
        </is>
      </c>
      <c r="AD12" s="18" t="inlineStr">
        <is>
          <t>Celery vs Kubernetes executor: Celery uses long-lived workers, Kubernetes starts one pod per task.</t>
        </is>
      </c>
      <c r="AE12" s="18" t="inlineStr">
        <is>
          <t>Do not use the Sequential executor in production.</t>
        </is>
      </c>
      <c r="AF12" s="18" t="inlineStr">
        <is>
          <t>Executor runs tasks, scheduler decides when.</t>
        </is>
      </c>
      <c r="AG12" s="18" t="inlineStr">
        <is>
          <t>Moving to the Kubernetes executor isolated conflicting library versions between teams.</t>
        </is>
      </c>
      <c r="AH12" s="18" t="inlineStr">
        <is>
          <t>An interviewer may ask: When would you choose the Celery executor?</t>
        </is>
      </c>
      <c r="AI12" s="18" t="inlineStr">
        <is>
          <t>It is like choosing bike, bus or taxi.</t>
        </is>
      </c>
      <c r="AJ12" s="18" t="inlineStr">
        <is>
          <t>Which executor starts a pod for each task?</t>
        </is>
      </c>
      <c r="AK12" s="18" t="inlineStr">
        <is>
          <t>A) SequentialExecutor B) CeleryExecutor C) LocalExecutor D) KubernetesExecutor</t>
        </is>
      </c>
      <c r="AL12" s="18" t="inlineStr">
        <is>
          <t>D</t>
        </is>
      </c>
      <c r="AM12" s="18" t="inlineStr">
        <is>
          <t>It creates one pod per task instance.</t>
        </is>
      </c>
      <c r="AN12" s="18" t="inlineStr">
        <is>
          <t>Celery uses a message ____ to pass tasks to workers → broker</t>
        </is>
      </c>
      <c r="AO12" s="18" t="inlineStr">
        <is>
          <t>Tasks need isolated libraries and resources. Which executor? → The Kubernetes executor</t>
        </is>
      </c>
      <c r="AP12" s="18" t="inlineStr">
        <is>
          <t>Explain executors in three lines.</t>
        </is>
      </c>
      <c r="AQ12" s="18" t="inlineStr">
        <is>
          <t>Choose an executor for a small team and for a large platform.</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08" customHeight="1">
      <c r="A13" s="17" t="inlineStr">
        <is>
          <t>AIR-023</t>
        </is>
      </c>
      <c r="B13" s="17" t="inlineStr">
        <is>
          <t>03 Running</t>
        </is>
      </c>
      <c r="C13" s="17" t="inlineStr">
        <is>
          <t>Advanced</t>
        </is>
      </c>
      <c r="D13" s="17" t="n">
        <v>23</v>
      </c>
      <c r="E13" s="17" t="inlineStr">
        <is>
          <t>Claude knowledge</t>
        </is>
      </c>
      <c r="F13" s="18" t="inlineStr">
        <is>
          <t>Triggers and deferrable operators</t>
        </is>
      </c>
      <c r="G13" s="18" t="inlineStr">
        <is>
          <t>How can a task wait for something without holding a worker slot?</t>
        </is>
      </c>
      <c r="H13" s="18" t="inlineStr">
        <is>
          <t>Core concept</t>
        </is>
      </c>
      <c r="I13" s="18" t="inlineStr">
        <is>
          <t>Medium</t>
        </is>
      </c>
      <c r="J13" s="18" t="n">
        <v>3</v>
      </c>
      <c r="K13" s="18" t="inlineStr">
        <is>
          <t>Waiting tasks wasted worker capacity, so deferrable operators hand the waiting to a small asynchronous process called the triggerer.</t>
        </is>
      </c>
      <c r="L13" s="18" t="inlineStr">
        <is>
          <t>Prefer deferrable versions of sensors and long-running external jobs.</t>
        </is>
      </c>
      <c r="M13" s="18" t="inlineStr">
        <is>
          <t>A deferrable task leaves its seat and asks a doorman to call it back when the event happens.</t>
        </is>
      </c>
      <c r="N13" s="18" t="inlineStr">
        <is>
          <t>A task handing off its wait to a single triggerer that wakes it later.</t>
        </is>
      </c>
      <c r="O13" s="18" t="inlineStr">
        <is>
          <t>The relief of freeing slots during long waits.</t>
        </is>
      </c>
      <c r="P13" s="18" t="inlineStr">
        <is>
          <t>A deferrable operator suspends itself and gives a trigger to the triggerer process, which waits asynchronously and resumes the task on a worker when the event occurs.</t>
        </is>
      </c>
      <c r="Q13" s="17" t="n"/>
      <c r="R13" s="18" t="inlineStr">
        <is>
          <t>Thousands of waits can share one triggerer, instead of using thousands of worker slots. Many provider operators offer a deferrable argument. The triggerer must be running, or deferred tasks never resume. Triggers are small async functions. Datasets and external triggers are different ideas, which start whole DAGs on events.</t>
        </is>
      </c>
      <c r="S13" s="18" t="inlineStr">
        <is>
          <t>Use deferrable operators so waiting does not occupy a worker slot.</t>
        </is>
      </c>
      <c r="T13" s="18" t="inlineStr">
        <is>
          <t>A deferrable task leaves its seat and asks a doorman to call it back when the event happens.</t>
        </is>
      </c>
      <c r="U13" s="18" t="inlineStr">
        <is>
          <t>Defer → triggerer waits → task resumes.</t>
        </is>
      </c>
      <c r="V13" s="18" t="inlineStr">
        <is>
          <t>S3KeySensor with deferrable true.</t>
        </is>
      </c>
      <c r="W13" s="18" t="inlineStr">
        <is>
          <t>A long cloud job waited on by the triggerer.</t>
        </is>
      </c>
      <c r="X13" s="18" t="inlineStr">
        <is>
          <t>TimeSensorAsync waiting until a time of day.</t>
        </is>
      </c>
      <c r="Y13" s="18" t="inlineStr">
        <is>
          <t>sensors, pools and concurrency, executors, Airflow components</t>
        </is>
      </c>
      <c r="Z13" s="18" t="inlineStr">
        <is>
          <t>deferrable, triggerer, async, resume, wait</t>
        </is>
      </c>
      <c r="AA13" s="18" t="inlineStr">
        <is>
          <t>Long waits | Cloud jobs | Partner feeds</t>
        </is>
      </c>
      <c r="AB13" s="18" t="inlineStr">
        <is>
          <t>A: All workers are busy waiting for files. | B: Switch to deferrable sensors so the triggerer waits instead.</t>
        </is>
      </c>
      <c r="AC13" s="18" t="inlineStr">
        <is>
          <t>✗ Deferrable tasks need no extra component → ✓ They need the triggerer process to be running</t>
        </is>
      </c>
      <c r="AD13" s="18" t="inlineStr">
        <is>
          <t>Reschedule sensor vs deferrable: reschedule polls between sleeps, deferrable waits asynchronously.</t>
        </is>
      </c>
      <c r="AE13" s="18" t="inlineStr">
        <is>
          <t>Do not use deferrable operators without a running triggerer.</t>
        </is>
      </c>
      <c r="AF13" s="18" t="inlineStr">
        <is>
          <t>Defer the wait, free the worker.</t>
        </is>
      </c>
      <c r="AG13" s="18" t="inlineStr">
        <is>
          <t>Using deferrable sensors freed dozens of worker slots during partner delays.</t>
        </is>
      </c>
      <c r="AH13" s="18" t="inlineStr">
        <is>
          <t>An interviewer may ask: What does the triggerer do?</t>
        </is>
      </c>
      <c r="AI13" s="18" t="inlineStr">
        <is>
          <t>It is like a doorman who calls you back.</t>
        </is>
      </c>
      <c r="AJ13" s="18" t="inlineStr">
        <is>
          <t>Which process resumes deferred tasks?</t>
        </is>
      </c>
      <c r="AK13" s="18" t="inlineStr">
        <is>
          <t>A) The web server B) The database C) The triggerer D) The browser</t>
        </is>
      </c>
      <c r="AL13" s="18" t="inlineStr">
        <is>
          <t>C</t>
        </is>
      </c>
      <c r="AM13" s="18" t="inlineStr">
        <is>
          <t>It waits for events and then resumes the task.</t>
        </is>
      </c>
      <c r="AN13" s="18" t="inlineStr">
        <is>
          <t>Deferrable operators hand waiting to the ____ → triggerer</t>
        </is>
      </c>
      <c r="AO13" s="18" t="inlineStr">
        <is>
          <t>Hundreds of sensors hold slots for hours. What do you switch to? → Deferrable sensors</t>
        </is>
      </c>
      <c r="AP13" s="18" t="inlineStr">
        <is>
          <t>Explain deferrable operators in three lines.</t>
        </is>
      </c>
      <c r="AQ13" s="18" t="inlineStr">
        <is>
          <t>List two benefits and one requirement of deferrable tasks.</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21.5" customHeight="1">
      <c r="A14" s="17" t="inlineStr">
        <is>
          <t>AIR-024</t>
        </is>
      </c>
      <c r="B14" s="17" t="inlineStr">
        <is>
          <t>03 Running</t>
        </is>
      </c>
      <c r="C14" s="17" t="inlineStr">
        <is>
          <t>Intermediate</t>
        </is>
      </c>
      <c r="D14" s="17" t="n">
        <v>24</v>
      </c>
      <c r="E14" s="17" t="inlineStr">
        <is>
          <t>Claude knowledge</t>
        </is>
      </c>
      <c r="F14" s="18" t="inlineStr">
        <is>
          <t>SLAs and deadlines</t>
        </is>
      </c>
      <c r="G14" s="18" t="inlineStr">
        <is>
          <t>How do you track whether a DAG finishes by the time it must?</t>
        </is>
      </c>
      <c r="H14" s="18" t="inlineStr">
        <is>
          <t>Core concept</t>
        </is>
      </c>
      <c r="I14" s="18" t="inlineStr">
        <is>
          <t>Medium</t>
        </is>
      </c>
      <c r="J14" s="18" t="n">
        <v>3</v>
      </c>
      <c r="K14" s="18" t="inlineStr">
        <is>
          <t>Business reports are needed by a certain time, so teams monitor deadlines and alert when a pipeline is late.</t>
        </is>
      </c>
      <c r="L14" s="18" t="inlineStr">
        <is>
          <t>Alert on the business deadline, such as data ready by seven, not only on failures.</t>
        </is>
      </c>
      <c r="M14" s="18" t="inlineStr">
        <is>
          <t>A deadline alert is a clock bell that rings when the delivery is late.</t>
        </is>
      </c>
      <c r="N14" s="18" t="inlineStr">
        <is>
          <t>A timeline with a deadline marker and a late run.</t>
        </is>
      </c>
      <c r="O14" s="18" t="inlineStr">
        <is>
          <t>The confidence of knowing before the boss asks.</t>
        </is>
      </c>
      <c r="P14" s="18" t="inlineStr">
        <is>
          <t>A deadline or SLA expresses the time by which a DAG or task must complete, and Airflow can alert, using deadline features or custom checks, when a run is late.</t>
        </is>
      </c>
      <c r="Q14" s="17" t="n"/>
      <c r="R14" s="18" t="inlineStr">
        <is>
          <t>Older versions had an sla argument with a miss callback, which has been limited and replaced by newer deadline alerts in recent releases. Many teams add their own check, such as a task that fails or a monitoring query when data is not fresh by the deadline. Lateness can come from slow upstream tasks, queues or failures. Good alerts name the DAG and what is delayed.</t>
        </is>
      </c>
      <c r="S14" s="18" t="inlineStr">
        <is>
          <t>Define the time the data must be ready, and alert when a run is late.</t>
        </is>
      </c>
      <c r="T14" s="18" t="inlineStr">
        <is>
          <t>A deadline alert is a clock bell that rings when the delivery is late.</t>
        </is>
      </c>
      <c r="U14" s="18" t="inlineStr">
        <is>
          <t>Deadline + monitoring + alert with context.</t>
        </is>
      </c>
      <c r="V14" s="18" t="inlineStr">
        <is>
          <t>An alert if the sales DAG has not finished by seven in the morning.</t>
        </is>
      </c>
      <c r="W14" s="18" t="inlineStr">
        <is>
          <t>A freshness query alerting on stale data.</t>
        </is>
      </c>
      <c r="X14" s="18" t="inlineStr">
        <is>
          <t>A callback posting to a chat channel.</t>
        </is>
      </c>
      <c r="Y14" s="18" t="inlineStr">
        <is>
          <t>alerts, retries and timeouts, data quality checks, logs</t>
        </is>
      </c>
      <c r="Z14" s="18" t="inlineStr">
        <is>
          <t>SLA, deadline, late, freshness, callback</t>
        </is>
      </c>
      <c r="AA14" s="18" t="inlineStr">
        <is>
          <t>Morning reports | Customer feeds | Operations</t>
        </is>
      </c>
      <c r="AB14" s="18" t="inlineStr">
        <is>
          <t>A: The dashboard was empty at eight. | B: We need a deadline alert at seven so we can react.</t>
        </is>
      </c>
      <c r="AC14" s="18" t="inlineStr">
        <is>
          <t>✗ If nothing failed, the pipeline was on time → ✓ A slow run can be late without ever failing</t>
        </is>
      </c>
      <c r="AD14" s="18" t="inlineStr">
        <is>
          <t>Failure alert vs deadline alert: one fires on errors, the other on lateness.</t>
        </is>
      </c>
      <c r="AE14" s="18" t="inlineStr">
        <is>
          <t>Do not rely on failure alerts alone.</t>
        </is>
      </c>
      <c r="AF14" s="18" t="inlineStr">
        <is>
          <t>Alert on late, not only on failed.</t>
        </is>
      </c>
      <c r="AG14" s="18" t="inlineStr">
        <is>
          <t>A seven o'clock deadline alert caught slow runs before the business day began.</t>
        </is>
      </c>
      <c r="AH14" s="18" t="inlineStr">
        <is>
          <t>An interviewer may ask: How do you detect a pipeline that is late but not failed?</t>
        </is>
      </c>
      <c r="AI14" s="18" t="inlineStr">
        <is>
          <t>It is like a clock bell for late delivery.</t>
        </is>
      </c>
      <c r="AJ14" s="18" t="inlineStr">
        <is>
          <t>Which problem does a deadline alert catch?</t>
        </is>
      </c>
      <c r="AK14" s="18" t="inlineStr">
        <is>
          <t>A) A run that is late without failing B) A missing import C) A syntax error D) A typo</t>
        </is>
      </c>
      <c r="AL14" s="18" t="inlineStr">
        <is>
          <t>A</t>
        </is>
      </c>
      <c r="AM14" s="18" t="inlineStr">
        <is>
          <t>Lateness is separate from failure.</t>
        </is>
      </c>
      <c r="AN14" s="18" t="inlineStr">
        <is>
          <t>Checking that data is recent enough is a ____ check → freshness</t>
        </is>
      </c>
      <c r="AO14" s="18" t="inlineStr">
        <is>
          <t>Reports must be ready by seven. What alert do you add? → A deadline or freshness alert at seven</t>
        </is>
      </c>
      <c r="AP14" s="18" t="inlineStr">
        <is>
          <t>Explain SLA alerts in three lines.</t>
        </is>
      </c>
      <c r="AQ14" s="18" t="inlineStr">
        <is>
          <t>Write the message of a deadline alert.</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121.5" customHeight="1">
      <c r="A15" s="17" t="inlineStr">
        <is>
          <t>AIR-026</t>
        </is>
      </c>
      <c r="B15" s="17" t="inlineStr">
        <is>
          <t>04 Operations</t>
        </is>
      </c>
      <c r="C15" s="17" t="inlineStr">
        <is>
          <t>Intermediate</t>
        </is>
      </c>
      <c r="D15" s="17" t="n">
        <v>26</v>
      </c>
      <c r="E15" s="17" t="inlineStr">
        <is>
          <t>Claude knowledge</t>
        </is>
      </c>
      <c r="F15" s="18" t="inlineStr">
        <is>
          <t>Deployment options</t>
        </is>
      </c>
      <c r="G15" s="18" t="inlineStr">
        <is>
          <t>Which ways can you run Airflow, from a laptop to a managed cloud service?</t>
        </is>
      </c>
      <c r="H15" s="18" t="inlineStr">
        <is>
          <t>Core concept</t>
        </is>
      </c>
      <c r="I15" s="18" t="inlineStr">
        <is>
          <t>High</t>
        </is>
      </c>
      <c r="J15" s="18" t="n">
        <v>4</v>
      </c>
      <c r="K15" s="18" t="inlineStr">
        <is>
          <t>Running Airflow takes care and effort, so there are options from local setups to fully managed services.</t>
        </is>
      </c>
      <c r="L15" s="18" t="inlineStr">
        <is>
          <t>Use a managed service or the official Helm chart for production, and containers for local development.</t>
        </is>
      </c>
      <c r="M15" s="18" t="inlineStr">
        <is>
          <t>Deployment options are renting a flat, building a house, or staying in a hotel.</t>
        </is>
      </c>
      <c r="N15" s="18" t="inlineStr">
        <is>
          <t>Three paths from a laptop setup to a managed service.</t>
        </is>
      </c>
      <c r="O15" s="18" t="inlineStr">
        <is>
          <t>The relief of not maintaining every component yourself.</t>
        </is>
      </c>
      <c r="P15" s="18" t="inlineStr">
        <is>
          <t>Airflow can run locally with containers, on virtual machines or Kubernetes using the official Helm chart, or as a managed service from vendors such as Astronomer, Amazon MWAA and Google Cloud Composer.</t>
        </is>
      </c>
      <c r="Q15" s="17" t="n"/>
      <c r="R15" s="18" t="inlineStr">
        <is>
          <t>A local Docker Compose or standalone setup suits learning and testing. Self-managed production needs a metadata database, a scheduler, workers, a way to distribute DAG code and monitoring. Managed services handle installation, scaling and upgrades but have a cost and some limits on custom setups. Choice depends on team skills, budget and compliance needs.</t>
        </is>
      </c>
      <c r="S15" s="18" t="inlineStr">
        <is>
          <t>Use containers locally, and a managed service or Kubernetes chart for production.</t>
        </is>
      </c>
      <c r="T15" s="18" t="inlineStr">
        <is>
          <t>Deployment options are renting a flat, building a house or staying in a hotel.</t>
        </is>
      </c>
      <c r="U15" s="18" t="inlineStr">
        <is>
          <t>More control = more work. Managed = less work, less control.</t>
        </is>
      </c>
      <c r="V15" s="18" t="inlineStr">
        <is>
          <t>Docker Compose on a laptop.</t>
        </is>
      </c>
      <c r="W15" s="18" t="inlineStr">
        <is>
          <t>The official Helm chart on a Kubernetes cluster.</t>
        </is>
      </c>
      <c r="X15" s="18" t="inlineStr">
        <is>
          <t>A managed service such as MWAA or Composer.</t>
        </is>
      </c>
      <c r="Y15" s="18" t="inlineStr">
        <is>
          <t>Airflow components, executors, secrets backends, upgrades</t>
        </is>
      </c>
      <c r="Z15" s="18" t="inlineStr">
        <is>
          <t>Helm, managed service, MWAA, Composer, Astronomer</t>
        </is>
      </c>
      <c r="AA15" s="18" t="inlineStr">
        <is>
          <t>Platform decisions | Customer setups | Cost planning</t>
        </is>
      </c>
      <c r="AB15" s="18" t="inlineStr">
        <is>
          <t>A: Who patches and upgrades Airflow for us? | B: With a managed service, the vendor does.</t>
        </is>
      </c>
      <c r="AC15" s="18" t="inlineStr">
        <is>
          <t>✗ Self-hosting is always cheaper → ✓ Staff time for upgrades and operations often outweighs the service cost</t>
        </is>
      </c>
      <c r="AD15" s="18" t="inlineStr">
        <is>
          <t>Managed vs self-hosted: managed saves effort, self-hosted gives control.</t>
        </is>
      </c>
      <c r="AE15" s="18" t="inlineStr">
        <is>
          <t>Do not run production on a single laptop-style setup.</t>
        </is>
      </c>
      <c r="AF15" s="18" t="inlineStr">
        <is>
          <t>Local for learning, managed for convenience.</t>
        </is>
      </c>
      <c r="AG15" s="18" t="inlineStr">
        <is>
          <t>Moving to a managed service freed the team from patching and scaling Airflow.</t>
        </is>
      </c>
      <c r="AH15" s="18" t="inlineStr">
        <is>
          <t>An interviewer may ask: How would you deploy Airflow for a customer?</t>
        </is>
      </c>
      <c r="AI15" s="18" t="inlineStr">
        <is>
          <t>It is like renting, building or staying in a hotel.</t>
        </is>
      </c>
      <c r="AJ15" s="18" t="inlineStr">
        <is>
          <t>Which option is a managed Airflow service?</t>
        </is>
      </c>
      <c r="AK15" s="18" t="inlineStr">
        <is>
          <t>A) Docker Compose on a laptop B) Amazon MWAA C) A cron job D) A text file</t>
        </is>
      </c>
      <c r="AL15" s="18" t="inlineStr">
        <is>
          <t>B</t>
        </is>
      </c>
      <c r="AM15" s="18" t="inlineStr">
        <is>
          <t>MWAA is a managed service from AWS.</t>
        </is>
      </c>
      <c r="AN15" s="18" t="inlineStr">
        <is>
          <t>Google's managed Airflow service is called Cloud ____ → Composer</t>
        </is>
      </c>
      <c r="AO15" s="18" t="inlineStr">
        <is>
          <t>A small team has no time to run infrastructure. What option fits? → A managed service</t>
        </is>
      </c>
      <c r="AP15" s="18" t="inlineStr">
        <is>
          <t>Explain Airflow deployment options in three lines.</t>
        </is>
      </c>
      <c r="AQ15" s="18" t="inlineStr">
        <is>
          <t>Choose a deployment for a customer and give three reasons.</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121.5" customHeight="1">
      <c r="A16" s="17" t="inlineStr">
        <is>
          <t>AIR-029</t>
        </is>
      </c>
      <c r="B16" s="17" t="inlineStr">
        <is>
          <t>04 Operations</t>
        </is>
      </c>
      <c r="C16" s="17" t="inlineStr">
        <is>
          <t>Advanced</t>
        </is>
      </c>
      <c r="D16" s="17" t="n">
        <v>29</v>
      </c>
      <c r="E16" s="17" t="inlineStr">
        <is>
          <t>Claude knowledge</t>
        </is>
      </c>
      <c r="F16" s="18" t="inlineStr">
        <is>
          <t>Secrets backends</t>
        </is>
      </c>
      <c r="G16" s="18" t="inlineStr">
        <is>
          <t>How can Airflow read connections and variables from a secure vault instead of its own database?</t>
        </is>
      </c>
      <c r="H16" s="18" t="inlineStr">
        <is>
          <t>Core concept</t>
        </is>
      </c>
      <c r="I16" s="18" t="inlineStr">
        <is>
          <t>High</t>
        </is>
      </c>
      <c r="J16" s="18" t="n">
        <v>5</v>
      </c>
      <c r="K16" s="18" t="inlineStr">
        <is>
          <t>Credentials stored in the metadata database are a risk, so Airflow can fetch them from dedicated secret managers.</t>
        </is>
      </c>
      <c r="L16" s="18" t="inlineStr">
        <is>
          <t>Use the secrets backend of your cloud, and keep only non-sensitive settings in plain variables.</t>
        </is>
      </c>
      <c r="M16" s="18" t="inlineStr">
        <is>
          <t>A secrets backend is a bank vault that the scheduler visits whenever it needs a key.</t>
        </is>
      </c>
      <c r="N16" s="18" t="inlineStr">
        <is>
          <t>A task asking a vault for a connection at run time.</t>
        </is>
      </c>
      <c r="O16" s="18" t="inlineStr">
        <is>
          <t>The assurance that secrets are kept in a proper vault.</t>
        </is>
      </c>
      <c r="P16" s="18" t="inlineStr">
        <is>
          <t>A secrets backend is a plug-in that looks up connections and variables in an external manager such as AWS Secrets Manager, Google Secret Manager or HashiCorp Vault, before checking the Airflow database.</t>
        </is>
      </c>
      <c r="Q16" s="17" t="n"/>
      <c r="R16" s="18" t="inlineStr">
        <is>
          <t>Configured in the Airflow settings, the backend uses a naming prefix, such as airflow/connections, to find entries. Access to the vault is by the role of the Airflow service, not stored keys. Secrets are not stored in the interface. Rotation happens in the vault and takes effect at the next lookup. Lookups happen often, so caching and permissions need care.</t>
        </is>
      </c>
      <c r="S16" s="18" t="inlineStr">
        <is>
          <t>Store secrets in a vault, let Airflow look them up with its own role, and rotate there.</t>
        </is>
      </c>
      <c r="T16" s="18" t="inlineStr">
        <is>
          <t>A secrets backend is a bank vault that the scheduler visits whenever it needs a key.</t>
        </is>
      </c>
      <c r="U16" s="18" t="inlineStr">
        <is>
          <t>Vault + role + naming prefix = secure lookups.</t>
        </is>
      </c>
      <c r="V16" s="18" t="inlineStr">
        <is>
          <t>A connection stored in AWS Secrets Manager under airflow/connections/warehouse.</t>
        </is>
      </c>
      <c r="W16" s="18" t="inlineStr">
        <is>
          <t>A variable stored in Vault.</t>
        </is>
      </c>
      <c r="X16" s="18" t="inlineStr">
        <is>
          <t>Rotating a password in the vault with no DAG change.</t>
        </is>
      </c>
      <c r="Y16" s="18" t="inlineStr">
        <is>
          <t>connections and hooks, variables, credentials in pipelines, least privilege</t>
        </is>
      </c>
      <c r="Z16" s="18" t="inlineStr">
        <is>
          <t>vault, backend, prefix, rotation, role</t>
        </is>
      </c>
      <c r="AA16" s="18" t="inlineStr">
        <is>
          <t>Production deployments | Compliance | Multi-team platforms</t>
        </is>
      </c>
      <c r="AB16" s="18" t="inlineStr">
        <is>
          <t>A: Where is the database password stored? | B: In the secrets manager, and Airflow reads it at run time.</t>
        </is>
      </c>
      <c r="AC16" s="18" t="inlineStr">
        <is>
          <t>✗ The Airflow interface is a safe place to keep production passwords → ✓ A dedicated vault gives better access control and audit</t>
        </is>
      </c>
      <c r="AD16" s="18" t="inlineStr">
        <is>
          <t>Secrets backend vs connection in the database: the first stores outside Airflow, the second inside.</t>
        </is>
      </c>
      <c r="AE16" s="18" t="inlineStr">
        <is>
          <t>Do not give Airflow broader vault permissions than it needs.</t>
        </is>
      </c>
      <c r="AF16" s="18" t="inlineStr">
        <is>
          <t>Vault holds it, role reads it.</t>
        </is>
      </c>
      <c r="AG16" s="18" t="inlineStr">
        <is>
          <t>Moving connections to a secrets backend let a customer rotate passwords without redeploying.</t>
        </is>
      </c>
      <c r="AH16" s="18" t="inlineStr">
        <is>
          <t>An interviewer may ask: How do you keep credentials out of the Airflow database?</t>
        </is>
      </c>
      <c r="AI16" s="18" t="inlineStr">
        <is>
          <t>It is like a bank vault with a visitor logbook.</t>
        </is>
      </c>
      <c r="AJ16" s="18" t="inlineStr">
        <is>
          <t>Where does a secrets backend look up connections?</t>
        </is>
      </c>
      <c r="AK16" s="18" t="inlineStr">
        <is>
          <t>A) The log B) The DAG file C) An external secrets manager D) The browser</t>
        </is>
      </c>
      <c r="AL16" s="18" t="inlineStr">
        <is>
          <t>C</t>
        </is>
      </c>
      <c r="AM16" s="18" t="inlineStr">
        <is>
          <t>It queries a vault such as a cloud secrets service.</t>
        </is>
      </c>
      <c r="AN16" s="18" t="inlineStr">
        <is>
          <t>The naming start that tells the backend where to look is a ____ → prefix</t>
        </is>
      </c>
      <c r="AO16" s="18" t="inlineStr">
        <is>
          <t>Passwords must be rotated without changing DAGs. What do you use? → A secrets backend</t>
        </is>
      </c>
      <c r="AP16" s="18" t="inlineStr">
        <is>
          <t>Explain secrets backends in three lines.</t>
        </is>
      </c>
      <c r="AQ16" s="18" t="inlineStr">
        <is>
          <t>List the permissions Airflow needs for a secrets backend.</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121.5" customHeight="1">
      <c r="A17" s="17" t="inlineStr">
        <is>
          <t>AIR-031</t>
        </is>
      </c>
      <c r="B17" s="17" t="inlineStr">
        <is>
          <t>04 Operations</t>
        </is>
      </c>
      <c r="C17" s="17" t="inlineStr">
        <is>
          <t>Advanced</t>
        </is>
      </c>
      <c r="D17" s="17" t="n">
        <v>31</v>
      </c>
      <c r="E17" s="17" t="inlineStr">
        <is>
          <t>Claude knowledge</t>
        </is>
      </c>
      <c r="F17" s="18" t="inlineStr">
        <is>
          <t>Upgrades</t>
        </is>
      </c>
      <c r="G17" s="18" t="inlineStr">
        <is>
          <t>How do you upgrade Airflow safely without breaking DAGs?</t>
        </is>
      </c>
      <c r="H17" s="18" t="inlineStr">
        <is>
          <t>Core concept</t>
        </is>
      </c>
      <c r="I17" s="18" t="inlineStr">
        <is>
          <t>Medium</t>
        </is>
      </c>
      <c r="J17" s="18" t="n">
        <v>4</v>
      </c>
      <c r="K17" s="18" t="inlineStr">
        <is>
          <t>Airflow releases change APIs and the database schema, so upgrades need a planned process.</t>
        </is>
      </c>
      <c r="L17" s="18" t="inlineStr">
        <is>
          <t>Upgrade in a test environment first, and read the release notes for breaking changes.</t>
        </is>
      </c>
      <c r="M17" s="18" t="inlineStr">
        <is>
          <t>An Airflow upgrade is a ship refit done in dry dock before returning to the sea.</t>
        </is>
      </c>
      <c r="N17" s="18" t="inlineStr">
        <is>
          <t>A test environment upgrade followed by production.</t>
        </is>
      </c>
      <c r="O17" s="18" t="inlineStr">
        <is>
          <t>The calm of a rehearsed upgrade.</t>
        </is>
      </c>
      <c r="P17" s="18" t="inlineStr">
        <is>
          <t>An Airflow upgrade moves to a newer version by backing up the metadata database, reading release notes, testing DAGs, migrating the database schema, and rolling out in stages.</t>
        </is>
      </c>
      <c r="Q17" s="17" t="n"/>
      <c r="R17" s="18" t="inlineStr">
        <is>
          <t>Pin versions of Airflow and providers with constraint files, so installs are repeatable. Back up the metadata database before migrating. Run the database migration command and deprecation checks. Test DAGs for import errors and behaviour in a staging copy. Provider packages upgrade separately from the core. Managed services offer version choices and upgrade procedures.</t>
        </is>
      </c>
      <c r="S17" s="18" t="inlineStr">
        <is>
          <t>Back up, test in staging, migrate the database, and roll out carefully.</t>
        </is>
      </c>
      <c r="T17" s="18" t="inlineStr">
        <is>
          <t>An Airflow upgrade is a ship refit done in dry dock before returning to sea.</t>
        </is>
      </c>
      <c r="U17" s="18" t="inlineStr">
        <is>
          <t>Backup + staging test + migrate + staged rollout.</t>
        </is>
      </c>
      <c r="V17" s="18" t="inlineStr">
        <is>
          <t>Running airflow db migrate in a staging copy.</t>
        </is>
      </c>
      <c r="W17" s="18" t="inlineStr">
        <is>
          <t>Pinning versions with the official constraint file.</t>
        </is>
      </c>
      <c r="X17" s="18" t="inlineStr">
        <is>
          <t>Fixing deprecated imports before a major upgrade.</t>
        </is>
      </c>
      <c r="Y17" s="18" t="inlineStr">
        <is>
          <t>deployment options, testing DAGs, providers, version pinning</t>
        </is>
      </c>
      <c r="Z17" s="18" t="inlineStr">
        <is>
          <t>upgrade, migration, constraint, deprecation, provider</t>
        </is>
      </c>
      <c r="AA17" s="18" t="inlineStr">
        <is>
          <t>Platform operations | Maintenance windows | Customer environments</t>
        </is>
      </c>
      <c r="AB17" s="18" t="inlineStr">
        <is>
          <t>A: Can we upgrade straight in production? | B: No, test in staging and back up the database first.</t>
        </is>
      </c>
      <c r="AC17" s="18" t="inlineStr">
        <is>
          <t>✗ Upgrading Airflow only changes the web interface → ✓ It also migrates the database and can change DAG behaviour</t>
        </is>
      </c>
      <c r="AD17" s="18" t="inlineStr">
        <is>
          <t>Core vs provider upgrade: the core is the platform, providers are separate integration packages.</t>
        </is>
      </c>
      <c r="AE17" s="18" t="inlineStr">
        <is>
          <t>Do not upgrade production without a database backup.</t>
        </is>
      </c>
      <c r="AF17" s="18" t="inlineStr">
        <is>
          <t>Backup first, staging second, production last.</t>
        </is>
      </c>
      <c r="AG17" s="18" t="inlineStr">
        <is>
          <t>A staging upgrade exposed a removed import before the production maintenance window.</t>
        </is>
      </c>
      <c r="AH17" s="18" t="inlineStr">
        <is>
          <t>An interviewer may ask: How would you plan an Airflow upgrade?</t>
        </is>
      </c>
      <c r="AI17" s="18" t="inlineStr">
        <is>
          <t>It is like refitting a ship in dry dock.</t>
        </is>
      </c>
      <c r="AJ17" s="18" t="inlineStr">
        <is>
          <t>What should you do before a database migration?</t>
        </is>
      </c>
      <c r="AK17" s="18" t="inlineStr">
        <is>
          <t>A) Back up the metadata database B) Turn off logs C) Delete old DAGs D) Rename the DAG folder</t>
        </is>
      </c>
      <c r="AL17" s="18" t="inlineStr">
        <is>
          <t>A</t>
        </is>
      </c>
      <c r="AM17" s="18" t="inlineStr">
        <is>
          <t>A backup allows a rollback if the migration fails.</t>
        </is>
      </c>
      <c r="AN17" s="18" t="inlineStr">
        <is>
          <t>Files that pin compatible package versions are called ____ files → constraint</t>
        </is>
      </c>
      <c r="AO17" s="18" t="inlineStr">
        <is>
          <t>A major upgrade is planned. Where do you test first? → In a staging copy</t>
        </is>
      </c>
      <c r="AP17" s="18" t="inlineStr">
        <is>
          <t>Explain a safe Airflow upgrade in three lines.</t>
        </is>
      </c>
      <c r="AQ17" s="18" t="inlineStr">
        <is>
          <t>Write an upgrade checklist with five steps.</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94.5" customHeight="1">
      <c r="A18" s="17" t="inlineStr">
        <is>
          <t>AIR-033</t>
        </is>
      </c>
      <c r="B18" s="17" t="inlineStr">
        <is>
          <t>05 Best Practice</t>
        </is>
      </c>
      <c r="C18" s="17" t="inlineStr">
        <is>
          <t>Intermediate</t>
        </is>
      </c>
      <c r="D18" s="17" t="n">
        <v>33</v>
      </c>
      <c r="E18" s="17" t="inlineStr">
        <is>
          <t>Claude knowledge</t>
        </is>
      </c>
      <c r="F18" s="18" t="inlineStr">
        <is>
          <t>Small tasks</t>
        </is>
      </c>
      <c r="G18" s="18" t="inlineStr">
        <is>
          <t>Why should each task do one clear piece of work?</t>
        </is>
      </c>
      <c r="H18" s="18" t="inlineStr">
        <is>
          <t>Core concept</t>
        </is>
      </c>
      <c r="I18" s="18" t="inlineStr">
        <is>
          <t>High</t>
        </is>
      </c>
      <c r="J18" s="18" t="n">
        <v>4</v>
      </c>
      <c r="K18" s="18" t="inlineStr">
        <is>
          <t>Large tasks hide failures and cost a lot to rerun, so a workflow is built from small tasks with clear boundaries.</t>
        </is>
      </c>
      <c r="L18" s="18" t="inlineStr">
        <is>
          <t>Split a task when you would want to rerun only part of it.</t>
        </is>
      </c>
      <c r="M18" s="18" t="inlineStr">
        <is>
          <t>Small tasks are Lego bricks that you can replace one by one.</t>
        </is>
      </c>
      <c r="N18" s="18" t="inlineStr">
        <is>
          <t>A long process split into short labelled boxes.</t>
        </is>
      </c>
      <c r="O18" s="18" t="inlineStr">
        <is>
          <t>The ease of rerunning just the broken piece.</t>
        </is>
      </c>
      <c r="P18" s="18" t="inlineStr">
        <is>
          <t>Small tasks each perform one logical step, so failures are easy to locate, retries are cheap and parts can be reused and tested separately.</t>
        </is>
      </c>
      <c r="Q18" s="17" t="n"/>
      <c r="R18" s="18" t="inlineStr">
        <is>
          <t>A task that extracts, cleans and loads in one go hides where it failed and repeats everything on retry. Splitting adds some overhead per task, so avoid trivial tasks. A good boundary is where data is saved or a system changes. Clear names make the graph a readable description of the process.</t>
        </is>
      </c>
      <c r="S18" s="18" t="inlineStr">
        <is>
          <t>One task, one job, with a boundary where data is saved.</t>
        </is>
      </c>
      <c r="T18" s="18" t="inlineStr">
        <is>
          <t>Small tasks are Lego bricks that you can replace one by one.</t>
        </is>
      </c>
      <c r="U18" s="18" t="inlineStr">
        <is>
          <t>One task = one logical step with a saved result.</t>
        </is>
      </c>
      <c r="V18" s="18" t="inlineStr">
        <is>
          <t>Separate tasks for extract, transform and load.</t>
        </is>
      </c>
      <c r="W18" s="18" t="inlineStr">
        <is>
          <t>A retry repeating only the failed load.</t>
        </is>
      </c>
      <c r="X18" s="18" t="inlineStr">
        <is>
          <t>Reusing the same extract task in two DAGs.</t>
        </is>
      </c>
      <c r="Y18" s="18" t="inlineStr">
        <is>
          <t>pipelines vs jobs, idempotent tasks, task groups, retries and timeouts</t>
        </is>
      </c>
      <c r="Z18" s="18" t="inlineStr">
        <is>
          <t>task, step, boundary, granularity, retry</t>
        </is>
      </c>
      <c r="AA18" s="18" t="inlineStr">
        <is>
          <t>DAG design | Reviews | Refactoring</t>
        </is>
      </c>
      <c r="AB18" s="18" t="inlineStr">
        <is>
          <t>A: The task failed after three hours and restarted from zero. | B: Split it so only the failing step repeats.</t>
        </is>
      </c>
      <c r="AC18" s="18" t="inlineStr">
        <is>
          <t>✗ More tasks are always better → ✓ Tasks that are too tiny add scheduling overhead, so choose meaningful boundaries</t>
        </is>
      </c>
      <c r="AD18" s="18" t="inlineStr">
        <is>
          <t>Large vs small task: a large task hides failures, a small one isolates them.</t>
        </is>
      </c>
      <c r="AE18" s="18" t="inlineStr">
        <is>
          <t>Do not combine extract, transform and load in one task.</t>
        </is>
      </c>
      <c r="AF18" s="18" t="inlineStr">
        <is>
          <t>One task, one job, one clear result.</t>
        </is>
      </c>
      <c r="AG18" s="18" t="inlineStr">
        <is>
          <t>Splitting one long script into steps made recovery much quicker.</t>
        </is>
      </c>
      <c r="AH18" s="18" t="inlineStr">
        <is>
          <t>An interviewer may ask: How big should an Airflow task be?</t>
        </is>
      </c>
      <c r="AI18" s="18" t="inlineStr">
        <is>
          <t>It is like Lego bricks you can swap.</t>
        </is>
      </c>
      <c r="AJ18" s="18" t="inlineStr">
        <is>
          <t>What is a good task boundary?</t>
        </is>
      </c>
      <c r="AK18" s="18" t="inlineStr">
        <is>
          <t>A) Every variable B) Every line of code C) Every comment D) Where data is saved or a system changes</t>
        </is>
      </c>
      <c r="AL18" s="18" t="inlineStr">
        <is>
          <t>D</t>
        </is>
      </c>
      <c r="AM18" s="18" t="inlineStr">
        <is>
          <t>Such points are natural restart positions.</t>
        </is>
      </c>
      <c r="AN18" s="18" t="inlineStr">
        <is>
          <t>The size of a task's unit of work is its ____ → granularity</t>
        </is>
      </c>
      <c r="AO18" s="18" t="inlineStr">
        <is>
          <t>A task repeats three hours of work on each failure. What do you do? → Split it into smaller tasks</t>
        </is>
      </c>
      <c r="AP18" s="18" t="inlineStr">
        <is>
          <t>Explain why tasks should be small in three lines.</t>
        </is>
      </c>
      <c r="AQ18" s="18" t="inlineStr">
        <is>
          <t>Split a script that extracts, cleans and loads into tasks.</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121.5" customHeight="1">
      <c r="A19" s="17" t="inlineStr">
        <is>
          <t>AIR-035</t>
        </is>
      </c>
      <c r="B19" s="17" t="inlineStr">
        <is>
          <t>05 Best Practice</t>
        </is>
      </c>
      <c r="C19" s="17" t="inlineStr">
        <is>
          <t>Intermediate</t>
        </is>
      </c>
      <c r="D19" s="17" t="n">
        <v>35</v>
      </c>
      <c r="E19" s="17" t="inlineStr">
        <is>
          <t>Claude knowledge</t>
        </is>
      </c>
      <c r="F19" s="18" t="inlineStr">
        <is>
          <t>Passing data by reference</t>
        </is>
      </c>
      <c r="G19" s="18" t="inlineStr">
        <is>
          <t>How should tasks share large data without sending it through the database?</t>
        </is>
      </c>
      <c r="H19" s="18" t="inlineStr">
        <is>
          <t>Core concept</t>
        </is>
      </c>
      <c r="I19" s="18" t="inlineStr">
        <is>
          <t>Very high</t>
        </is>
      </c>
      <c r="J19" s="18" t="n">
        <v>5</v>
      </c>
      <c r="K19" s="18" t="inlineStr">
        <is>
          <t>Tasks run on different machines and XComs are small, so large data is stored once and tasks pass only a reference.</t>
        </is>
      </c>
      <c r="L19" s="18" t="inlineStr">
        <is>
          <t>Pass paths, table names and ids, and write data to shared storage.</t>
        </is>
      </c>
      <c r="M19" s="18" t="inlineStr">
        <is>
          <t>Passing by reference is handing someone the locker number, not carrying the contents.</t>
        </is>
      </c>
      <c r="N19" s="18" t="inlineStr">
        <is>
          <t>A task writing to storage and passing the location to the next task.</t>
        </is>
      </c>
      <c r="O19" s="18" t="inlineStr">
        <is>
          <t>The ease of moving large data cheaply.</t>
        </is>
      </c>
      <c r="P19" s="18" t="inlineStr">
        <is>
          <t>Passing data by reference means a task writes data to shared storage, such as object storage or a table, and passes only its location or identifier to the next task.</t>
        </is>
      </c>
      <c r="Q19" s="17" t="n"/>
      <c r="R19" s="18" t="inlineStr">
        <is>
          <t>Big payloads in XComs slow the metadata database and may fail on size limits. Shared storage lets the next task, possibly on another machine, read the data. Use clear naming with the logical date so reruns overwrite the same location. A custom XCom backend can automate this by storing values in object storage. This design also helps retries and debugging, since the data remains inspectable.</t>
        </is>
      </c>
      <c r="S19" s="18" t="inlineStr">
        <is>
          <t>Write the data to storage and pass its path to the next task.</t>
        </is>
      </c>
      <c r="T19" s="18" t="inlineStr">
        <is>
          <t>Passing by reference is handing someone the locker number, not carrying the contents.</t>
        </is>
      </c>
      <c r="U19" s="18" t="inlineStr">
        <is>
          <t>Data in storage, reference in XCom.</t>
        </is>
      </c>
      <c r="V19" s="18" t="inlineStr">
        <is>
          <t>Returning s3://bucket/raw/dt=2026-10-01/part.parquet from the extract task.</t>
        </is>
      </c>
      <c r="W19" s="18" t="inlineStr">
        <is>
          <t>Passing a staging table name to the load task.</t>
        </is>
      </c>
      <c r="X19" s="18" t="inlineStr">
        <is>
          <t>A custom XCom backend storing large values in object storage.</t>
        </is>
      </c>
      <c r="Y19" s="18" t="inlineStr">
        <is>
          <t>XCom, TaskFlow API, idempotent tasks, file formats</t>
        </is>
      </c>
      <c r="Z19" s="18" t="inlineStr">
        <is>
          <t>reference, path, locker, XCom backend, storage</t>
        </is>
      </c>
      <c r="AA19" s="18" t="inlineStr">
        <is>
          <t>Large data flows | Multi-worker setups | Debugging</t>
        </is>
      </c>
      <c r="AB19" s="18" t="inlineStr">
        <is>
          <t>A: The XCom is huge and tasks are failing. | B: Write the data to storage and pass the path.</t>
        </is>
      </c>
      <c r="AC19" s="18" t="inlineStr">
        <is>
          <t>✗ Local files are fine for passing data between tasks → ✓ Tasks may run on different machines, so use shared storage</t>
        </is>
      </c>
      <c r="AD19" s="18" t="inlineStr">
        <is>
          <t>By value vs by reference: value sends the data itself, reference sends its location.</t>
        </is>
      </c>
      <c r="AE19" s="18" t="inlineStr">
        <is>
          <t>Do not pass dataframes through XCom or local disk.</t>
        </is>
      </c>
      <c r="AF19" s="18" t="inlineStr">
        <is>
          <t>Send the locker number, not the luggage.</t>
        </is>
      </c>
      <c r="AG19" s="18" t="inlineStr">
        <is>
          <t>Switching to storage paths ended XCom size errors in a data cleaning DAG.</t>
        </is>
      </c>
      <c r="AH19" s="18" t="inlineStr">
        <is>
          <t>An interviewer may ask: How do tasks share large datasets in Airflow?</t>
        </is>
      </c>
      <c r="AI19" s="18" t="inlineStr">
        <is>
          <t>It is like handing over a locker number.</t>
        </is>
      </c>
      <c r="AJ19" s="18" t="inlineStr">
        <is>
          <t>What should a task pass to the next one for large data?</t>
        </is>
      </c>
      <c r="AK19" s="18" t="inlineStr">
        <is>
          <t>A) A screenshot B) A path or identifier C) An email D) The full dataset</t>
        </is>
      </c>
      <c r="AL19" s="18" t="inlineStr">
        <is>
          <t>B</t>
        </is>
      </c>
      <c r="AM19" s="18" t="inlineStr">
        <is>
          <t>References are small and the data stays in storage.</t>
        </is>
      </c>
      <c r="AN19" s="18" t="inlineStr">
        <is>
          <t>A value that points to where data lives is a ____ → reference</t>
        </is>
      </c>
      <c r="AO19" s="18" t="inlineStr">
        <is>
          <t>Two tasks on different workers must share a large file. What do you do? → Write it to shared storage and pass the path</t>
        </is>
      </c>
      <c r="AP19" s="18" t="inlineStr">
        <is>
          <t>Explain passing data by reference in three lines.</t>
        </is>
      </c>
      <c r="AQ19" s="18" t="inlineStr">
        <is>
          <t>Design a storage path scheme that makes reruns safe.</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sheetData>
  <autoFilter ref="A2:BB19"/>
  <mergeCells count="6">
    <mergeCell ref="F1:O1"/>
    <mergeCell ref="AT1:BB1"/>
    <mergeCell ref="AR1:AS1"/>
    <mergeCell ref="A1:E1"/>
    <mergeCell ref="AJ1:AQ1"/>
    <mergeCell ref="P1:AI1"/>
  </mergeCells>
  <dataValidations count="2">
    <dataValidation sqref="AT3:AT19" showDropDown="0" showInputMessage="0" showErrorMessage="0" allowBlank="1" type="list">
      <formula1>"New,Learning,Known"</formula1>
    </dataValidation>
    <dataValidation sqref="BA3:BA19"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AIR-001</t>
        </is>
      </c>
    </row>
    <row r="4">
      <c r="A4" s="23" t="inlineStr">
        <is>
          <t>FRONT · Recognition (pehchano)</t>
        </is>
      </c>
    </row>
    <row r="5" ht="30" customHeight="1">
      <c r="A5" s="24" t="inlineStr">
        <is>
          <t>ID</t>
        </is>
      </c>
      <c r="B5" s="17">
        <f>INDEX('Topic (56-pt) cards'!$A$3:$BB$19,MATCH($B$2,'Topic (56-pt) cards'!$A$3:$A$19,0),MATCH("ID",'Topic (56-pt) cards'!$A$2:$BB$2,0))&amp;""</f>
        <v/>
      </c>
    </row>
    <row r="6" ht="30" customHeight="1">
      <c r="A6" s="24" t="inlineStr">
        <is>
          <t>Topic</t>
        </is>
      </c>
      <c r="B6" s="17">
        <f>INDEX('Topic (56-pt) cards'!$A$3:$BB$19,MATCH($B$2,'Topic (56-pt) cards'!$A$3:$A$19,0),MATCH("Topic",'Topic (56-pt) cards'!$A$2:$BB$2,0))&amp;""</f>
        <v/>
      </c>
    </row>
    <row r="7" ht="30" customHeight="1">
      <c r="A7" s="24" t="inlineStr">
        <is>
          <t>Level</t>
        </is>
      </c>
      <c r="B7" s="17">
        <f>INDEX('Topic (56-pt) cards'!$A$3:$BB$19,MATCH($B$2,'Topic (56-pt) cards'!$A$3:$A$19,0),MATCH("Level",'Topic (56-pt) cards'!$A$2:$BB$2,0))&amp;""</f>
        <v/>
      </c>
    </row>
    <row r="8" ht="30" customHeight="1">
      <c r="A8" s="24" t="inlineStr">
        <is>
          <t>Term / topic</t>
        </is>
      </c>
      <c r="B8" s="17">
        <f>INDEX('Topic (56-pt) cards'!$A$3:$BB$19,MATCH($B$2,'Topic (56-pt) cards'!$A$3:$A$19,0),MATCH("Term / topic",'Topic (56-pt) cards'!$A$2:$BB$2,0))&amp;""</f>
        <v/>
      </c>
    </row>
    <row r="9" ht="30" customHeight="1">
      <c r="A9" s="24" t="inlineStr">
        <is>
          <t>Recall cue</t>
        </is>
      </c>
      <c r="B9" s="17">
        <f>INDEX('Topic (56-pt) cards'!$A$3:$BB$19,MATCH($B$2,'Topic (56-pt) cards'!$A$3:$A$19,0),MATCH("Recall cue",'Topic (56-pt) cards'!$A$2:$BB$2,0))&amp;""</f>
        <v/>
      </c>
    </row>
    <row r="10" ht="30" customHeight="1">
      <c r="A10" s="24" t="inlineStr">
        <is>
          <t>Category</t>
        </is>
      </c>
      <c r="B10" s="17">
        <f>INDEX('Topic (56-pt) cards'!$A$3:$BB$19,MATCH($B$2,'Topic (56-pt) cards'!$A$3:$A$19,0),MATCH("Category",'Topic (56-pt) cards'!$A$2:$BB$2,0))&amp;""</f>
        <v/>
      </c>
    </row>
    <row r="11" ht="30" customHeight="1">
      <c r="A11" s="24" t="inlineStr">
        <is>
          <t>How often used</t>
        </is>
      </c>
      <c r="B11" s="17">
        <f>INDEX('Topic (56-pt) cards'!$A$3:$BB$19,MATCH($B$2,'Topic (56-pt) cards'!$A$3:$A$19,0),MATCH("How often used",'Topic (56-pt) cards'!$A$2:$BB$2,0))&amp;""</f>
        <v/>
      </c>
    </row>
    <row r="12" ht="30" customHeight="1">
      <c r="A12" s="24" t="inlineStr">
        <is>
          <t>Importance (1-5)</t>
        </is>
      </c>
      <c r="B12" s="17">
        <f>INDEX('Topic (56-pt) cards'!$A$3:$BB$19,MATCH($B$2,'Topic (56-pt) cards'!$A$3:$A$19,0),MATCH("Importance (1-5)",'Topic (56-pt) cards'!$A$2:$BB$2,0))&amp;""</f>
        <v/>
      </c>
    </row>
    <row r="13" ht="30" customHeight="1">
      <c r="A13" s="24" t="inlineStr">
        <is>
          <t>Origin / why it exists</t>
        </is>
      </c>
      <c r="B13" s="17">
        <f>INDEX('Topic (56-pt) cards'!$A$3:$BB$19,MATCH($B$2,'Topic (56-pt) cards'!$A$3:$A$19,0),MATCH("Origin / why it exists",'Topic (56-pt) cards'!$A$2:$BB$2,0))&amp;""</f>
        <v/>
      </c>
    </row>
    <row r="14" ht="30" customHeight="1">
      <c r="A14" s="24" t="inlineStr">
        <is>
          <t>Pro tip</t>
        </is>
      </c>
      <c r="B14" s="17">
        <f>INDEX('Topic (56-pt) cards'!$A$3:$BB$19,MATCH($B$2,'Topic (56-pt) cards'!$A$3:$A$19,0),MATCH("Pro tip",'Topic (56-pt) cards'!$A$2:$BB$2,0))&amp;""</f>
        <v/>
      </c>
    </row>
    <row r="15" ht="30" customHeight="1">
      <c r="A15" s="24" t="inlineStr">
        <is>
          <t>Memory story</t>
        </is>
      </c>
      <c r="B15" s="17">
        <f>INDEX('Topic (56-pt) cards'!$A$3:$BB$19,MATCH($B$2,'Topic (56-pt) cards'!$A$3:$A$19,0),MATCH("Memory story",'Topic (56-pt) cards'!$A$2:$BB$2,0))&amp;""</f>
        <v/>
      </c>
    </row>
    <row r="16" ht="30" customHeight="1">
      <c r="A16" s="24" t="inlineStr">
        <is>
          <t>Picture it</t>
        </is>
      </c>
      <c r="B16" s="17">
        <f>INDEX('Topic (56-pt) cards'!$A$3:$BB$19,MATCH($B$2,'Topic (56-pt) cards'!$A$3:$A$19,0),MATCH("Picture it",'Topic (56-pt) cards'!$A$2:$BB$2,0))&amp;""</f>
        <v/>
      </c>
    </row>
    <row r="17" ht="30" customHeight="1">
      <c r="A17" s="24" t="inlineStr">
        <is>
          <t>Emotion hook</t>
        </is>
      </c>
      <c r="B17" s="17">
        <f>INDEX('Topic (56-pt) cards'!$A$3:$BB$19,MATCH($B$2,'Topic (56-pt) cards'!$A$3:$A$19,0),MATCH("Emotion hook",'Topic (56-pt) cards'!$A$2:$BB$2,0))&amp;""</f>
        <v/>
      </c>
    </row>
    <row r="18" ht="30" customHeight="1">
      <c r="A18" s="24" t="inlineStr">
        <is>
          <t>Importance ★</t>
        </is>
      </c>
      <c r="B18" s="17">
        <f>INDEX('Topic (56-pt) cards'!$A$3:$BB$19,MATCH($B$2,'Topic (56-pt) cards'!$A$3:$A$19,0),MATCH("Importance ★",'Topic (56-pt) cards'!$A$2:$BB$2,0))&amp;""</f>
        <v/>
      </c>
    </row>
    <row r="19">
      <c r="A19" s="25" t="inlineStr">
        <is>
          <t>BACK · Understanding (samjho)</t>
        </is>
      </c>
    </row>
    <row r="20" ht="30" customHeight="1">
      <c r="A20" s="24" t="inlineStr">
        <is>
          <t>Definition (simple)</t>
        </is>
      </c>
      <c r="B20" s="17">
        <f>INDEX('Topic (56-pt) cards'!$A$3:$BB$19,MATCH($B$2,'Topic (56-pt) cards'!$A$3:$A$19,0),MATCH("Definition (simple)",'Topic (56-pt) cards'!$A$2:$BB$2,0))&amp;""</f>
        <v/>
      </c>
    </row>
    <row r="21" ht="30" customHeight="1">
      <c r="A21" s="24" t="inlineStr">
        <is>
          <t>Meaning in learner's language</t>
        </is>
      </c>
      <c r="B21" s="17">
        <f>INDEX('Topic (56-pt) cards'!$A$3:$BB$19,MATCH($B$2,'Topic (56-pt) cards'!$A$3:$A$19,0),MATCH("Meaning in learner's language",'Topic (56-pt) cards'!$A$2:$BB$2,0))&amp;""</f>
        <v/>
      </c>
    </row>
    <row r="22" ht="67.5" customHeight="1">
      <c r="A22" s="24" t="inlineStr">
        <is>
          <t>How / why it works</t>
        </is>
      </c>
      <c r="B22" s="17">
        <f>INDEX('Topic (56-pt) cards'!$A$3:$BB$19,MATCH($B$2,'Topic (56-pt) cards'!$A$3:$A$19,0),MATCH("How / why it works",'Topic (56-pt) cards'!$A$2:$BB$2,0))&amp;""</f>
        <v/>
      </c>
    </row>
    <row r="23" ht="30" customHeight="1">
      <c r="A23" s="24" t="inlineStr">
        <is>
          <t>Simple explanation (Hinglish)</t>
        </is>
      </c>
      <c r="B23" s="17">
        <f>INDEX('Topic (56-pt) cards'!$A$3:$BB$19,MATCH($B$2,'Topic (56-pt) cards'!$A$3:$A$19,0),MATCH("Simple explanation (Hinglish)",'Topic (56-pt) cards'!$A$2:$BB$2,0))&amp;""</f>
        <v/>
      </c>
    </row>
    <row r="24" ht="30" customHeight="1">
      <c r="A24" s="24" t="inlineStr">
        <is>
          <t>Real-life analogy</t>
        </is>
      </c>
      <c r="B24" s="17">
        <f>INDEX('Topic (56-pt) cards'!$A$3:$BB$19,MATCH($B$2,'Topic (56-pt) cards'!$A$3:$A$19,0),MATCH("Real-life analogy",'Topic (56-pt) cards'!$A$2:$BB$2,0))&amp;""</f>
        <v/>
      </c>
    </row>
    <row r="25" ht="30" customHeight="1">
      <c r="A25" s="24" t="inlineStr">
        <is>
          <t>Formula / rule</t>
        </is>
      </c>
      <c r="B25" s="17">
        <f>INDEX('Topic (56-pt) cards'!$A$3:$BB$19,MATCH($B$2,'Topic (56-pt) cards'!$A$3:$A$19,0),MATCH("Formula / rule",'Topic (56-pt) cards'!$A$2:$BB$2,0))&amp;""</f>
        <v/>
      </c>
    </row>
    <row r="26" ht="30" customHeight="1">
      <c r="A26" s="24" t="inlineStr">
        <is>
          <t>Example 1</t>
        </is>
      </c>
      <c r="B26" s="17">
        <f>INDEX('Topic (56-pt) cards'!$A$3:$BB$19,MATCH($B$2,'Topic (56-pt) cards'!$A$3:$A$19,0),MATCH("Example 1",'Topic (56-pt) cards'!$A$2:$BB$2,0))&amp;""</f>
        <v/>
      </c>
    </row>
    <row r="27" ht="30" customHeight="1">
      <c r="A27" s="24" t="inlineStr">
        <is>
          <t>Example 2</t>
        </is>
      </c>
      <c r="B27" s="17">
        <f>INDEX('Topic (56-pt) cards'!$A$3:$BB$19,MATCH($B$2,'Topic (56-pt) cards'!$A$3:$A$19,0),MATCH("Example 2",'Topic (56-pt) cards'!$A$2:$BB$2,0))&amp;""</f>
        <v/>
      </c>
    </row>
    <row r="28" ht="30" customHeight="1">
      <c r="A28" s="24" t="inlineStr">
        <is>
          <t>Example 3</t>
        </is>
      </c>
      <c r="B28" s="17">
        <f>INDEX('Topic (56-pt) cards'!$A$3:$BB$19,MATCH($B$2,'Topic (56-pt) cards'!$A$3:$A$19,0),MATCH("Example 3",'Topic (56-pt) cards'!$A$2:$BB$2,0))&amp;""</f>
        <v/>
      </c>
    </row>
    <row r="29" ht="30" customHeight="1">
      <c r="A29" s="24" t="inlineStr">
        <is>
          <t>Related concepts</t>
        </is>
      </c>
      <c r="B29" s="17">
        <f>INDEX('Topic (56-pt) cards'!$A$3:$BB$19,MATCH($B$2,'Topic (56-pt) cards'!$A$3:$A$19,0),MATCH("Related concepts",'Topic (56-pt) cards'!$A$2:$BB$2,0))&amp;""</f>
        <v/>
      </c>
    </row>
    <row r="30" ht="30" customHeight="1">
      <c r="A30" s="24" t="inlineStr">
        <is>
          <t>Family / group</t>
        </is>
      </c>
      <c r="B30" s="17">
        <f>INDEX('Topic (56-pt) cards'!$A$3:$BB$19,MATCH($B$2,'Topic (56-pt) cards'!$A$3:$A$19,0),MATCH("Family / group",'Topic (56-pt) cards'!$A$2:$BB$2,0))&amp;""</f>
        <v/>
      </c>
    </row>
    <row r="31" ht="30" customHeight="1">
      <c r="A31" s="24" t="inlineStr">
        <is>
          <t>Where it is used</t>
        </is>
      </c>
      <c r="B31" s="17">
        <f>INDEX('Topic (56-pt) cards'!$A$3:$BB$19,MATCH($B$2,'Topic (56-pt) cards'!$A$3:$A$19,0),MATCH("Where it is used",'Topic (56-pt) cards'!$A$2:$BB$2,0))&amp;""</f>
        <v/>
      </c>
    </row>
    <row r="32" ht="30" customHeight="1">
      <c r="A32" s="24" t="inlineStr">
        <is>
          <t>Mini conversation</t>
        </is>
      </c>
      <c r="B32" s="17">
        <f>INDEX('Topic (56-pt) cards'!$A$3:$BB$19,MATCH($B$2,'Topic (56-pt) cards'!$A$3:$A$19,0),MATCH("Mini conversation",'Topic (56-pt) cards'!$A$2:$BB$2,0))&amp;""</f>
        <v/>
      </c>
    </row>
    <row r="33" ht="30" customHeight="1">
      <c r="A33" s="24" t="inlineStr">
        <is>
          <t>Common mistake</t>
        </is>
      </c>
      <c r="B33" s="17">
        <f>INDEX('Topic (56-pt) cards'!$A$3:$BB$19,MATCH($B$2,'Topic (56-pt) cards'!$A$3:$A$19,0),MATCH("Common mistake",'Topic (56-pt) cards'!$A$2:$BB$2,0))&amp;""</f>
        <v/>
      </c>
    </row>
    <row r="34" ht="30" customHeight="1">
      <c r="A34" s="24" t="inlineStr">
        <is>
          <t>Don't confuse with</t>
        </is>
      </c>
      <c r="B34" s="17">
        <f>INDEX('Topic (56-pt) cards'!$A$3:$BB$19,MATCH($B$2,'Topic (56-pt) cards'!$A$3:$A$19,0),MATCH("Don't confuse with",'Topic (56-pt) cards'!$A$2:$BB$2,0))&amp;""</f>
        <v/>
      </c>
    </row>
    <row r="35" ht="30" customHeight="1">
      <c r="A35" s="24" t="inlineStr">
        <is>
          <t>Avoid / don't</t>
        </is>
      </c>
      <c r="B35" s="17">
        <f>INDEX('Topic (56-pt) cards'!$A$3:$BB$19,MATCH($B$2,'Topic (56-pt) cards'!$A$3:$A$19,0),MATCH("Avoid / don't",'Topic (56-pt) cards'!$A$2:$BB$2,0))&amp;""</f>
        <v/>
      </c>
    </row>
    <row r="36" ht="30" customHeight="1">
      <c r="A36" s="24" t="inlineStr">
        <is>
          <t>Memory trick</t>
        </is>
      </c>
      <c r="B36" s="17">
        <f>INDEX('Topic (56-pt) cards'!$A$3:$BB$19,MATCH($B$2,'Topic (56-pt) cards'!$A$3:$A$19,0),MATCH("Memory trick",'Topic (56-pt) cards'!$A$2:$BB$2,0))&amp;""</f>
        <v/>
      </c>
    </row>
    <row r="37" ht="30" customHeight="1">
      <c r="A37" s="24" t="inlineStr">
        <is>
          <t>Real life: project / work</t>
        </is>
      </c>
      <c r="B37" s="17">
        <f>INDEX('Topic (56-pt) cards'!$A$3:$BB$19,MATCH($B$2,'Topic (56-pt) cards'!$A$3:$A$19,0),MATCH("Real life: project / work",'Topic (56-pt) cards'!$A$2:$BB$2,0))&amp;""</f>
        <v/>
      </c>
    </row>
    <row r="38" ht="30" customHeight="1">
      <c r="A38" s="24" t="inlineStr">
        <is>
          <t>Real life: interview / exam</t>
        </is>
      </c>
      <c r="B38" s="17">
        <f>INDEX('Topic (56-pt) cards'!$A$3:$BB$19,MATCH($B$2,'Topic (56-pt) cards'!$A$3:$A$19,0),MATCH("Real life: interview / exam",'Topic (56-pt) cards'!$A$2:$BB$2,0))&amp;""</f>
        <v/>
      </c>
    </row>
    <row r="39" ht="30" customHeight="1">
      <c r="A39" s="24" t="inlineStr">
        <is>
          <t>Real life: daily life</t>
        </is>
      </c>
      <c r="B39" s="17">
        <f>INDEX('Topic (56-pt) cards'!$A$3:$BB$19,MATCH($B$2,'Topic (56-pt) cards'!$A$3:$A$19,0),MATCH("Real life: daily life",'Topic (56-pt) cards'!$A$2:$BB$2,0))&amp;""</f>
        <v/>
      </c>
    </row>
    <row r="40">
      <c r="A40" s="27" t="inlineStr">
        <is>
          <t>PRACTICE · Khud karo</t>
        </is>
      </c>
    </row>
    <row r="41" ht="30" customHeight="1">
      <c r="A41" s="24" t="inlineStr">
        <is>
          <t>MCQ question</t>
        </is>
      </c>
      <c r="B41" s="17">
        <f>INDEX('Topic (56-pt) cards'!$A$3:$BB$19,MATCH($B$2,'Topic (56-pt) cards'!$A$3:$A$19,0),MATCH("MCQ question",'Topic (56-pt) cards'!$A$2:$BB$2,0))&amp;""</f>
        <v/>
      </c>
    </row>
    <row r="42" ht="30" customHeight="1">
      <c r="A42" s="24" t="inlineStr">
        <is>
          <t>MCQ options</t>
        </is>
      </c>
      <c r="B42" s="17">
        <f>INDEX('Topic (56-pt) cards'!$A$3:$BB$19,MATCH($B$2,'Topic (56-pt) cards'!$A$3:$A$19,0),MATCH("MCQ options",'Topic (56-pt) cards'!$A$2:$BB$2,0))&amp;""</f>
        <v/>
      </c>
    </row>
    <row r="43" ht="30" customHeight="1">
      <c r="A43" s="24" t="inlineStr">
        <is>
          <t>MCQ answer</t>
        </is>
      </c>
      <c r="B43" s="17">
        <f>INDEX('Topic (56-pt) cards'!$A$3:$BB$19,MATCH($B$2,'Topic (56-pt) cards'!$A$3:$A$19,0),MATCH("MCQ answer",'Topic (56-pt) cards'!$A$2:$BB$2,0))&amp;""</f>
        <v/>
      </c>
    </row>
    <row r="44" ht="30" customHeight="1">
      <c r="A44" s="24" t="inlineStr">
        <is>
          <t>Why that answer</t>
        </is>
      </c>
      <c r="B44" s="17">
        <f>INDEX('Topic (56-pt) cards'!$A$3:$BB$19,MATCH($B$2,'Topic (56-pt) cards'!$A$3:$A$19,0),MATCH("Why that answer",'Topic (56-pt) cards'!$A$2:$BB$2,0))&amp;""</f>
        <v/>
      </c>
    </row>
    <row r="45" ht="30" customHeight="1">
      <c r="A45" s="24" t="inlineStr">
        <is>
          <t>Fill the blank</t>
        </is>
      </c>
      <c r="B45" s="17">
        <f>INDEX('Topic (56-pt) cards'!$A$3:$BB$19,MATCH($B$2,'Topic (56-pt) cards'!$A$3:$A$19,0),MATCH("Fill the blank",'Topic (56-pt) cards'!$A$2:$BB$2,0))&amp;""</f>
        <v/>
      </c>
    </row>
    <row r="46" ht="30" customHeight="1">
      <c r="A46" s="24" t="inlineStr">
        <is>
          <t>Apply it</t>
        </is>
      </c>
      <c r="B46" s="17">
        <f>INDEX('Topic (56-pt) cards'!$A$3:$BB$19,MATCH($B$2,'Topic (56-pt) cards'!$A$3:$A$19,0),MATCH("Apply it",'Topic (56-pt) cards'!$A$2:$BB$2,0))&amp;""</f>
        <v/>
      </c>
    </row>
    <row r="47" ht="30" customHeight="1">
      <c r="A47" s="24" t="inlineStr">
        <is>
          <t>Explain it yourself</t>
        </is>
      </c>
      <c r="B47" s="17">
        <f>INDEX('Topic (56-pt) cards'!$A$3:$BB$19,MATCH($B$2,'Topic (56-pt) cards'!$A$3:$A$19,0),MATCH("Explain it yourself",'Topic (56-pt) cards'!$A$2:$BB$2,0))&amp;""</f>
        <v/>
      </c>
    </row>
    <row r="48" ht="30" customHeight="1">
      <c r="A48" s="24" t="inlineStr">
        <is>
          <t>Write your own</t>
        </is>
      </c>
      <c r="B48" s="17">
        <f>INDEX('Topic (56-pt) cards'!$A$3:$BB$19,MATCH($B$2,'Topic (56-pt) cards'!$A$3:$A$19,0),MATCH("Write your own",'Topic (56-pt) cards'!$A$2:$BB$2,0))&amp;""</f>
        <v/>
      </c>
    </row>
    <row r="49" ht="30" customHeight="1">
      <c r="A49" s="24" t="inlineStr">
        <is>
          <t>Quick recall (reverse)</t>
        </is>
      </c>
      <c r="B49" s="17">
        <f>INDEX('Topic (56-pt) cards'!$A$3:$BB$19,MATCH($B$2,'Topic (56-pt) cards'!$A$3:$A$19,0),MATCH("Quick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cards'!$A$3:$A$19</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What Airflow is
Which tool schedules and monitors workflows that you write as Python code?</t>
        </is>
      </c>
      <c r="B2" s="29" t="inlineStr">
        <is>
          <t>DEFINITION (SIMPLE):
Apache Airflow is an open-source platform for authoring, scheduling and monitoring workflows, which are defined in Python as directed acyclic graphs of tasks.
HOW / WHY IT WORKS:
You write a DAG file in Python, and Airflow reads it, schedules runs and executes the tasks through workers. A web interface shows runs, logs and history. Airflow is built for batch workflows that run on a schedule or trigger, not for low-latency streaming. Heavy work should run in external systems such as warehouses or Spark, with Airflow only calling them.
SIMPLE EXPLANATION (HINGLISH):
Airflow runs your Python-defined workflows on schedule, in order, with retries and a visual history.
REAL-LIFE ANALOGY:
Airflow is an air traffic controller that decides which plane takes off when, but does not fly the planes.
FORMULA / RULE:
Workflow as code = tasks + dependencies + schedule.
EXAMPLE 1:
A nightly workflow that extracts, loads and tests data.
EXAMPLE 2:
A weekly report task that waits for another job.
EXAMPLE 3:
A retry of one failed task from the interface.
RELATED CONCEPTS:
DAGs, tasks and operators, the web UI, orchestration
FAMILY / GROUP:
DAG, task, scheduler, operator, workflow
WHERE IT IS USED:
Data pipelines | Machine learning pipelines | Operations
MINI CONVERSATION:
A: Can Airflow process our huge files directly? | B: It should call Spark or the warehouse, since Airflow is the manager.
COMMON MISTAKE:
✗ Airflow is a data processing engine → ✓ It orchestrates tasks, and the heavy work runs elsewhere
DON'T CONFUSE WITH:
Airflow vs cron: Airflow tracks dependencies, retries and history, cron only runs commands.
AVOID / DON'T:
Do not run heavy data processing inside Airflow workers.
MEMORY TRICK:
Airflow orchestrates, other tools process the data.
REAL LIFE: PROJECT / WORK:
Replacing cron jobs with Airflow gave a customer clear history and automatic retries.
REAL LIFE: INTERVIEW / EXAM:
An interviewer may ask: What is Airflow used for and what is it not?
REAL LIFE: DAILY LIFE:
It is like an air traffic controller for jobs.</t>
        </is>
      </c>
      <c r="C2" s="29" t="inlineStr">
        <is>
          <t>01_Basics_Beginner_AIR-001</t>
        </is>
      </c>
    </row>
    <row r="3" ht="409" customHeight="1">
      <c r="A3" s="29" t="inlineStr">
        <is>
          <t>DAGs
Which structure describes tasks and the order in which they must run?</t>
        </is>
      </c>
      <c r="B3" s="29" t="inlineStr">
        <is>
          <t>DEFINITION (SIMPLE):
A DAG, or directed acyclic graph, is a collection of tasks with directed dependencies and no cycles, plus a schedule and settings, that Airflow runs as one workflow.
HOW / WHY IT WORKS:
Directed means each link has a direction, and acyclic means no task can depend on itself through a loop. The DAG file defines tasks and their dependencies. Each execution of a DAG is a DAG run, and each task execution inside it is a task instance. DAG files are parsed repeatedly by the scheduler, so they must be quick to load.
SIMPLE EXPLANATION (HINGLISH):
A DAG is the map of tasks and their order, with no loops.
REAL-LIFE ANALOGY:
A DAG is a recipe flow chart where arrows say what to do first and none leads back.
FORMULA / RULE:
DAG = tasks + arrows + schedule, with no cycles.
EXAMPLE 1:
extract then transform then load.
EXAMPLE 2:
Two extracts feeding one join task.
EXAMPLE 3:
One DAG run for each day.
RELATED CONCEPTS:
tasks and operators, dependencies, schedules, DAG definition
FAMILY / GROUP:
DAG, DAG run, task instance, dependency, cycle
WHERE IT IS USED:
Every Airflow workflow | Design reviews | Documentation
MINI CONVERSATION:
A: Can task A depend on task B and B on A? | B: No, that is a cycle, and Airflow rejects it.
COMMON MISTAKE:
✗ A DAG is the code that does the work → ✓ A DAG describes the workflow, and the tasks do the work
DON'T CONFUSE WITH:
DAG vs DAG run: the DAG is the definition, a run is one execution of it.
AVOID / DON'T:
Do not create circular dependencies.
MEMORY TRICK:
Directed arrows, acyclic means no loops.
REAL LIFE: PROJECT / WORK:
Splitting one huge DAG into focused DAGs made failures easier to understand.
REAL LIFE: INTERVIEW / EXAM:
An interviewer may ask: Why must a DAG be acyclic?
REAL LIFE: DAILY LIFE:
It is like a recipe flow chart without loops.</t>
        </is>
      </c>
      <c r="C3" s="29" t="inlineStr">
        <is>
          <t>01_Basics_Beginner_AIR-002</t>
        </is>
      </c>
    </row>
    <row r="4" ht="409" customHeight="1">
      <c r="A4" s="29" t="inlineStr">
        <is>
          <t>Tasks and operators
Which two ideas describe a unit of work and the template that defines what it does?</t>
        </is>
      </c>
      <c r="B4" s="29" t="inlineStr">
        <is>
          <t>DEFINITION (SIMPLE):
An operator is a template for a type of work, such as running Bash or calling a database, and a task is an instance of an operator inside a DAG with its own id and arguments.
HOW / WHY IT WORKS:
Common operators include BashOperator, PythonOperator, EmptyOperator and many provider operators for cloud services and databases. Sensors are operators that wait for a condition. Each task has an id, retries, a timeout and dependencies. The task instance is that task for a specific DAG run, with a state such as running, success or failed.
SIMPLE EXPLANATION (HINGLISH):
Pick an operator for the kind of work, and create a task with its settings.
REAL-LIFE ANALOGY:
An operator is a cookie cutter, and a task is one cookie cut from it.
FORMULA / RULE:
Operator = template. Task = instance in a DAG. Task instance = task in one run.
EXAMPLE 1:
A BashOperator running a shell command.
EXAMPLE 2:
A PythonOperator calling a function.
EXAMPLE 3:
A provider operator running a warehouse query.
RELATED CONCEPTS:
DAGs, PythonOperator and BashOperator, sensors, TaskFlow API
FAMILY / GROUP:
operator, task, task instance, sensor, provider
WHERE IT IS USED:
Every DAG | Integrations | Custom operators
MINI CONVERSATION:
A: Is there an operator for our warehouse? | B: Yes, install the provider package and use its operator.
COMMON MISTAKE:
✗ An operator and a task are the same thing → ✓ The operator is the template, and the task is its use in a DAG
DON'T CONFUSE WITH:
Task vs task instance: a task is the definition, a task instance is one run of it.
AVOID / DON'T:
Do not write custom code when a provider operator exists.
MEMORY TRICK:
Operator is the mould, task is the cast.
REAL LIFE: PROJECT / WORK:
Using a provider operator replaced fifty lines of custom connection code.
REAL LIFE: INTERVIEW / EXAM:
An interviewer may ask: What is the difference between an operator and a task?
REAL LIFE: DAILY LIFE:
It is like a cookie cutter and a cookie.</t>
        </is>
      </c>
      <c r="C4" s="29" t="inlineStr">
        <is>
          <t>01_Basics_Beginner_AIR-003</t>
        </is>
      </c>
    </row>
    <row r="5" ht="409" customHeight="1">
      <c r="A5" s="29" t="inlineStr">
        <is>
          <t>Schedules and cron expressions
How do you tell Airflow when a DAG should run?</t>
        </is>
      </c>
      <c r="B5" s="29" t="inlineStr">
        <is>
          <t>DEFINITION (SIMPLE):
A schedule says when DAG runs are created, written as a cron expression with five fields, a preset such as daily, a timedelta, or a timetable for complex calendars.
HOW / WHY IT WORKS:
The cron fields are minute, hour, day of month, month and day of week, so 0 2 * * * means every day at two. Presets include @hourly, @daily and @weekly. Schedules in Airflow are evaluated in UTC by default, unless a time zone is set on the DAG. Setting the schedule to None means the DAG runs only when triggered. Datasets can trigger DAGs when data is updated.
SIMPLE EXPLANATION (HINGLISH):
Set a schedule with cron or a preset, and remember the default time zone is UTC.
REAL-LIFE ANALOGY:
A cron expression is five slots in a ticket for minute, hour, day, month and weekday.
FORMULA / RULE:
minute hour day month weekday.
EXAMPLE 1:
0 2 * * * for every day at 02:00.
EXAMPLE 2:
*/15 * * * * for every fifteen minutes.
EXAMPLE 3:
0 9 * * 1-5 for weekdays at nine.
RELATED CONCEPTS:
DAGs, data intervals, catchup and backfill, triggers
FAMILY / GROUP:
cron, schedule, preset, timetable, UTC
WHERE IT IS USED:
Every scheduled DAG | Reports | Nightly loads
MINI CONVERSATION:
A: My DAG ran at the wrong hour. | B: The schedule is in UTC, so set the time zone or convert the time.
COMMON MISTAKE:
✗ Schedules use the local time of the server → ✓ Airflow uses UTC unless you set a time zone
DON'T CONFUSE WITH:
Schedule vs trigger: a schedule is automatic by time, a trigger is manual or event driven.
AVOID / DON'T:
Do not forget the time zone when planning business-hour runs.
MEMORY TRICK:
Minute, hour, day, month, weekday in order.
REAL LIFE: PROJECT / WORK:
Setting the time zone on a DAG fixed reports that ran five hours too early.
REAL LIFE: INTERVIEW / EXAM:
An interviewer may ask: What does 0 2 star star star mean?
REAL LIFE: DAILY LIFE:
It is like a ticket with five time slots.</t>
        </is>
      </c>
      <c r="C5" s="29" t="inlineStr">
        <is>
          <t>01_Basics_Beginner_AIR-004</t>
        </is>
      </c>
    </row>
    <row r="6" ht="409" customHeight="1">
      <c r="A6" s="29" t="inlineStr">
        <is>
          <t>Dependencies
How do you say that one task must finish before another starts?</t>
        </is>
      </c>
      <c r="B6" s="29" t="inlineStr">
        <is>
          <t>DEFINITION (SIMPLE):
Dependencies declare the order of tasks using the bit shift operators or set_upstream and set_downstream, so a downstream task starts only after its upstream tasks succeed.
HOW / WHY IT WORKS:
A task runs when all its upstream tasks have succeeded, by default. This rule can be changed with a trigger rule, such as running even when upstream tasks failed, which suits cleanup. Lists of tasks create fan-out and fan-in shapes. The chain helper connects many tasks in order. Missing dependencies make tasks run in parallel unintentionally.
SIMPLE EXPLANATION (HINGLISH):
Connect tasks with arrows, and downstream tasks wait for upstream success.
REAL-LIFE ANALOGY:
Dependencies are arrows on a flow chart, and the arrowhead points to what runs next.
FORMULA / RULE:
upstream &gt;&gt; downstream, and a task runs when all upstream tasks have succeeded.
EXAMPLE 1:
extract &gt;&gt; transform &gt;&gt; load
EXAMPLE 2:
[extract_a, extract_b] &gt;&gt; join
EXAMPLE 3:
load &gt;&gt; [notify, cleanup]
RELATED CONCEPTS:
DAGs, trigger rules, task groups, branching
FAMILY / GROUP:
upstream, downstream, fan-out, fan-in, trigger rule
WHERE IT IS USED:
Every DAG | Design | Debugging
MINI CONVERSATION:
A: Two tasks ran at the same time unexpectedly. | B: You forgot to link them with a dependency.
COMMON MISTAKE:
✗ Tasks run in the order they appear in the file → ✓ Only declared dependencies set the order
DON'T CONFUSE WITH:
Upstream vs downstream: upstream runs before, downstream runs after.
AVOID / DON'T:
Do not rely on file order to sequence tasks.
MEMORY TRICK:
Arrows decide order, not line numbers.
REAL LIFE: PROJECT / WORK:
Adding a missing dependency stopped a report running before its data load finished.
REAL LIFE: INTERVIEW / EXAM:
An interviewer may ask: What does the right shift operator do in Airflow?
REAL LIFE: DAILY LIFE:
It is like arrows on a flow chart.</t>
        </is>
      </c>
      <c r="C6" s="29" t="inlineStr">
        <is>
          <t>01_Basics_Beginner_AIR-005</t>
        </is>
      </c>
    </row>
    <row r="7" ht="409" customHeight="1">
      <c r="A7" s="29" t="inlineStr">
        <is>
          <t>The Airflow web UI
Which web interface shows DAGs, runs, logs and lets you control them?</t>
        </is>
      </c>
      <c r="B7" s="29" t="inlineStr">
        <is>
          <t>DEFINITION (SIMPLE):
The Airflow web interface lists DAGs, shows their runs and task states in grid and graph views, displays logs and lets you trigger, pause, clear and mark tasks.
HOW / WHY IT WORKS:
The grid view shows runs as columns and tasks as rows with colours for states. The graph view shows dependencies. Logs for each task instance explain failures. You can trigger a DAG manually, pause it, clear a failed task to rerun it, or mark it as success. Access is controlled by roles, so not every user can change DAGs.
SIMPLE EXPLANATION (HINGLISH):
Use the grid to find the red task, read its log, and clear it to rerun.
REAL-LIFE ANALOGY:
The UI is the control tower window where every flight can be seen.
FORMULA / RULE:
Grid = history, graph = structure, log = reason.
EXAMPLE 1:
Opening a failed task log to read the error.
EXAMPLE 2:
Clearing a failed task so it reruns.
EXAMPLE 3:
Pausing a DAG during maintenance.
RELATED CONCEPTS:
DAGs, retries and timeouts, logs, alerts
FAMILY / GROUP:
grid, graph, log, clear, trigger
WHERE IT IS USED:
Daily operations | Debugging | Support
MINI CONVERSATION:
A: How do I rerun the failed load? | B: Clear that task in the grid and it will run again.
COMMON MISTAKE:
✗ Clearing a task deletes its code → ✓ It only resets the task state so it can run again
DON'T CONFUSE WITH:
Clear vs mark success: clear reruns the task, mark success skips it.
AVOID / DON'T:
Do not mark failed tasks as success without understanding why.
MEMORY TRICK:
Red square, read log, clear to retry.
REAL LIFE: PROJECT / WORK:
Training operators to use grid and clear actions cut the time to recover failed loads.
REAL LIFE: INTERVIEW / EXAM:
An interviewer may ask: How do you rerun a failed task in Airflow?
REAL LIFE: DAILY LIFE:
It is like a control tower window.</t>
        </is>
      </c>
      <c r="C7" s="29" t="inlineStr">
        <is>
          <t>01_Basics_Beginner_AIR-006</t>
        </is>
      </c>
    </row>
    <row r="8" ht="409" customHeight="1">
      <c r="A8" s="29" t="inlineStr">
        <is>
          <t>Airflow components
Which parts make up an Airflow deployment and what does each do?</t>
        </is>
      </c>
      <c r="B8" s="29" t="inlineStr">
        <is>
          <t>DEFINITION (SIMPLE):
An Airflow deployment has a scheduler that decides what to run, an executor and workers that run tasks, a web server for the interface, a metadata database that stores state, and a DAG folder holding the code.
HOW / WHY IT WORKS:
The scheduler parses DAG files and creates runs and task instances. The executor decides how tasks are run, for example locally, on Celery workers or as Kubernetes pods. The metadata database, usually PostgreSQL, stores all state and history. The web server reads from it. A triggerer handles deferred tasks. Workers must see the same DAG code. In Airflow 3 the web server is replaced by the api-server and the DAG processor runs as a separate component.
SIMPLE EXPLANATION (HINGLISH):
Scheduler plans, workers run, database remembers, web server shows.
REAL-LIFE ANALOGY:
The scheduler is the dispatcher, workers are drivers, and the database is the logbook.
FORMULA / RULE:
Scheduler + executor + workers + metadata database + web server.
EXAMPLE 1:
A scheduler creating a run at midnight.
EXAMPLE 2:
A Celery worker running a task.
EXAMPLE 3:
A PostgreSQL database holding task states.
RELATED CONCEPTS:
executors, deployment options, DAGs, the web UI
FAMILY / GROUP:
scheduler, executor, worker, metadata database, triggerer
WHERE IT IS USED:
Platform setup | Troubleshooting | Capacity planning
MINI CONVERSATION:
A: Tasks stay queued and nothing runs. | B: Check the scheduler and whether workers are alive.
COMMON MISTAKE:
✗ The web server runs the tasks → ✓ Workers run tasks, and the web server only shows information
DON'T CONFUSE WITH:
Scheduler vs executor: the scheduler decides when, the executor decides how.
AVOID / DON'T:
Do not run the metadata database on a fragile single disk.
MEMORY TRICK:
Scheduler plans, workers act, database records.
REAL LIFE: PROJECT / WORK:
Finding a dead scheduler explained why no DAG had started for an hour.
REAL LIFE: INTERVIEW / EXAM:
An interviewer may ask: What does the scheduler do?
REAL LIFE: DAILY LIFE:
It is like a dispatcher, drivers and a logbook.</t>
        </is>
      </c>
      <c r="C8" s="29" t="inlineStr">
        <is>
          <t>01_Basics_Intermediate_AIR-007</t>
        </is>
      </c>
    </row>
    <row r="9" ht="409" customHeight="1">
      <c r="A9" s="29" t="inlineStr">
        <is>
          <t>Defining a DAG
How do you write the Python file that declares a DAG and its settings?
from datetime import datetime, timedelta
from airflow import DAG
from airflow.operators.empty import EmptyOperator
default_args = {"owner": "data", "retries": 2, "retry_delay": timedelta(minutes=5)}
with DAG(
    dag_id="daily_sales",
    start_date=datetime(2026, 10, 1),
    schedule="0 2 * * *",
    catchup=False,
    default_args=default_args,
    tags=["sales"],
) as dag:
    start = EmptyOperator(task_id="start")</t>
        </is>
      </c>
      <c r="B9" s="29" t="inlineStr">
        <is>
          <t>MEANING (SHORT):
A DAG is defined with the DAG class, usually as a context manager, with a dag_id, start_date, schedule, catchup setting, default arguments and tags.
CODE:
from datetime import datetime, timedelta
from airflow import DAG
from airflow.operators.empty import EmptyOperator
default_args = {"owner": "data", "retries": 2, "retry_delay": timedelta(minutes=5)}
with DAG(
    dag_id="daily_sales",
    start_date=datetime(2026, 10, 1),
    schedule="0 2 * * *",
    catchup=False,
    default_args=default_args,
    tags=["sales"],
) as dag:
    start = EmptyOperator(task_id="start")
OUTPUT:
The DAG daily_sales appears in the interface, scheduled for 02:00 UTC, with two retries per task.
EXPLANATION:
The dag_id must be unique. start_date marks the first logical date, and should be a fixed past date, not now. catchup controls whether past missed runs are created. default_args apply to every task unless overridden. The DAG file is imported often, so it must not contain slow code or network calls at the top level. Written for Airflow 2.x imports; in Airflow 3 they move to airflow.sdk and apache-airflow-providers-standard.
SIMPLE EXPLANATION (HINGLISH):
Give the DAG an id, a fixed start date, a schedule and default arguments, and keep the file light.
REAL-LIFE ANALOGY:
A DAG definition is the cover page of a project listing its name, owner and calendar.
SYNTAX PATTERN:
with DAG(dag_id=..., start_date=..., schedule=..., catchup=False) as dag:
ANATOMY:
dag_id = unique name | start_date = first logical date | schedule = when | default_args = shared settings
EXAMPLE 1:
DAG("weekly_report", start_date=datetime(2026, 1, 1), schedule="@weekly")
EXAMPLE 2:
default_args={"email_on_failure": False}
EXAMPLE 3:
with DAG(..., max_active_runs=1) as dag:
VARIATION:
@dag(schedule="@daily", start_date=datetime(2026, 1, 1))   // the decorator form
USED WITH:
operators, TaskFlow API, tags
RELATED CONCEPTS:
DAGs, tasks and operators, catchup and backfill, TaskFlow API
ALTERNATIVES:
The @dag decorator
WHERE IT IS USED:
Every DAG file | Templates | Standards
MINI CONVERSATION:
A: Why did the DAG start hundreds of runs? | B: Catchup was on with an old start date, so set catchup to false.
COMMON MISTAKE:
✗ start_date can be datetime.now() → ✓ It should be a fixed past date, since a moving date confuses the scheduler
COMMONLY CONFUSED WITH:
start_date vs first run: the first run happens after the first interval completes.
AVOID / DON'T:
Do not use a moving start date.
WRONG CODE:
DAG("x", start_date=datetime.now(), schedule="@daily")
RIGHT CODE:
DAG("x", start_date=datetime(2026, 10, 1), schedule="@daily", catchup=False)
MEMORY TRICK:
Fixed start date, catchup chosen on purpose.
REAL LIFE: PROJECT / WORK:
Standardising DAG templates with default arguments gave every pipeline the same retries.
REAL LIFE: INTERVIEW / EXAM:
An interviewer may ask: Why avoid datetime.now as a start date?
REAL LIFE: DAILY LIFE:
It is like the cover page of a project.</t>
        </is>
      </c>
      <c r="C9" s="29" t="inlineStr">
        <is>
          <t>02_Writing_DAGs_Beginner_AIR-008</t>
        </is>
      </c>
    </row>
    <row r="10" ht="409" customHeight="1">
      <c r="A10" s="29" t="inlineStr">
        <is>
          <t>PythonOperator and BashOperator
Which two operators run a Python function and a shell command?
from airflow.operators.python import PythonOperator
from airflow.operators.bash import BashOperator
def clean(table, **context):
    print("cleaning", table, context["ds"])
with DAG("demo", start_date=datetime(2026, 10, 1), schedule="@daily", catchup=False) as dag:
    t1 = BashOperator(task_id="extract", bash_command="python extract.py --date {{ ds }}")
    t2 = PythonOperator(task_id="clean", python_callable=clean, op_kwargs={"table": "orders"})
    t1 &gt;&gt; t2</t>
        </is>
      </c>
      <c r="B10" s="29" t="inlineStr">
        <is>
          <t>MEANING (SHORT):
PythonOperator runs a Python callable with arguments, and BashOperator runs a bash command that can include templated values.
CODE:
from airflow.operators.python import PythonOperator
from airflow.operators.bash import BashOperator
def clean(table, **context):
    print("cleaning", table, context["ds"])
with DAG("demo", start_date=datetime(2026, 10, 1), schedule="@daily", catchup=False) as dag:
    t1 = BashOperator(task_id="extract", bash_command="python extract.py --date {{ ds }}")
    t2 = PythonOperator(task_id="clean", python_callable=clean, op_kwargs={"table": "orders"})
    t1 &gt;&gt; t2
OUTPUT:
The extract command runs with the logical date, then the clean function prints orders and the date.
EXPLANATION:
The Python callable receives op_kwargs and, if it accepts them, context values such as ds. The Bash command is a template, so double-brace expressions are filled at run time. Exit code zero means success, and any other code fails the task. Returning a value from a Python callable stores it as an XCom. Heavy dependencies belong in virtual environments or containers. Written for Airflow 2.x imports; in Airflow 3 they move to airflow.sdk and apache-airflow-providers-standard.
SIMPLE EXPLANATION (HINGLISH):
Use PythonOperator for functions and BashOperator for commands, and pass values with kwargs and templates.
REAL-LIFE ANALOGY:
PythonOperator calls a function, and BashOperator types a command in a terminal.
SYNTAX PATTERN:
PythonOperator(task_id=..., python_callable=fn, op_kwargs={...})
ANATOMY:
python_callable = function | op_kwargs = arguments | bash_command = text with templates
EXAMPLE 1:
BashOperator(task_id="ls", bash_command="ls -l /data")
EXAMPLE 2:
PythonOperator(task_id="p", python_callable=lambda: 42)
EXAMPLE 3:
BashOperator(task_id="b", bash_command="echo {{ ds }}")
VARIATION:
@task def clean(): ...   // the TaskFlow version of a Python task
USED WITH:
templating, XCom, retries
RELATED CONCEPTS:
tasks and operators, TaskFlow API, templating, XCom
ALTERNATIVES:
TaskFlow API | KubernetesPodOperator
WHERE IT IS USED:
Scripts | Glue tasks | Small jobs
MINI CONVERSATION:
A: My Python task cannot find the library. | B: Install it on the workers or run the task in a virtual environment.
COMMON MISTAKE:
✗ A BashOperator command can only be plain text → ✓ It can use templates filled with run-time values
COMMONLY CONFUSED WITH:
PythonOperator vs BashOperator: one runs a function in Airflow's environment, the other runs a shell command.
AVOID / DON'T:
Do not hard-code dates in commands.
WRONG CODE:
BashOperator(task_id="b", bash_command="python run.py --date 2026-10-01")
RIGHT CODE:
BashOperator(task_id="b", bash_command="python run.py --date {{ ds }}")
MEMORY TRICK:
Templates keep dates out of the code.
REAL LIFE: PROJECT / WORK:
Replacing hard-coded dates with ds templates made reruns process the correct day.
REAL LIFE: INTERVIEW / EXAM:
An interviewer may ask: How do you pass a date to a task?
REAL LIFE: DAILY LIFE:
It is like calling a function and typing a command.</t>
        </is>
      </c>
      <c r="C10" s="29" t="inlineStr">
        <is>
          <t>02_Writing_DAGs_Beginner_AIR-009</t>
        </is>
      </c>
    </row>
    <row r="11" ht="409" customHeight="1">
      <c r="A11" s="29" t="inlineStr">
        <is>
          <t>TaskFlow API
Which decorator style turns plain Python functions into tasks with automatic data passing?
from airflow.decorators import dag, task
from datetime import datetime
@dag(schedule="@daily", start_date=datetime(2026, 10, 1), catchup=False)
def sales():
    @task
    def extract():
        return {"rows": 120}
    @task
    def load(info):
        print("loading", info["rows"])
    load(extract())
sales()</t>
        </is>
      </c>
      <c r="B11" s="29" t="inlineStr">
        <is>
          <t>MEANING (SHORT):
The TaskFlow API uses the @dag and @task decorators so functions become tasks, return values pass automatically as XComs, and calling one task with another's output creates a dependency.
CODE:
from airflow.decorators import dag, task
from datetime import datetime
@dag(schedule="@daily", start_date=datetime(2026, 10, 1), catchup=False)
def sales():
    @task
    def extract():
        return {"rows": 120}
    @task
    def load(info):
        print("loading", info["rows"])
    load(extract())
sales()
OUTPUT:
The extract task returns a dictionary, and the load task receives it and prints loading 120.
EXPLANATION:
Calling load with the result of extract both passes the data and sets extract before load. Values pass as XComs, so they must be small and serialisable. The decorator form needs the function to be called at the end to register the DAG. Operators and decorated tasks can be mixed in one DAG. Multiple outputs can be unpacked. Written for Airflow 2.x imports; in Airflow 3 they move to airflow.sdk and apache-airflow-providers-standard.
SIMPLE EXPLANATION (HINGLISH):
Decorate functions with @task, return values, and pass them into other tasks.
REAL-LIFE ANALOGY:
TaskFlow is writing the workflow as ordinary Python and letting Airflow draw the arrows.
SYNTAX PATTERN:
@task def f(): return value | g(f())
ANATOMY:
@dag = defines DAG | @task = defines task | return = XCom value | call chain = dependency
EXAMPLE 1:
@task(retries=3) def risky(): ...
EXAMPLE 2:
@task(multiple_outputs=True) def split(): return {"a": 1, "b": 2}
EXAMPLE 3:
a &gt;&gt; b   // mix with classic dependencies
VARIATION:
@task.virtualenv(requirements=["pandas"]) def f(): ...   // an isolated environment
USED WITH:
XCom, DAG definition, PythonOperator
RELATED CONCEPTS:
PythonOperator and BashOperator, XCom, defining a DAG, passing data by reference
ALTERNATIVES:
Classic operators
WHERE IT IS USED:
Modern DAGs | Python-heavy pipelines | Tutorials
MINI CONVERSATION:
A: How do I pass the file name to the next task? | B: Return it from the first task and use it as the argument.
COMMON MISTAKE:
✗ TaskFlow tasks pass any amount of data efficiently → ✓ Values travel as XComs in the database, so keep them small
COMMONLY CONFUSED WITH:
TaskFlow vs PythonOperator: TaskFlow is the decorator style with automatic data passing.
AVOID / DON'T:
Do not return large data frames between tasks.
WRONG CODE:
@task def extract(): return big_dataframe
RIGHT CODE:
@task def extract(): return "s3://bucket/raw/2026-10-01.parquet"
MEMORY TRICK:
Return small pointers to data, never the payloads.
REAL LIFE: PROJECT / WORK:
Converting classic operators to TaskFlow halved the code of a Python-heavy DAG.
REAL LIFE: INTERVIEW / EXAM:
An interviewer may ask: How does TaskFlow pass data between tasks?
REAL LIFE: DAILY LIFE:
It is like writing normal Python and letting Airflow draw the arrows.</t>
        </is>
      </c>
      <c r="C11" s="29" t="inlineStr">
        <is>
          <t>02_Writing_DAGs_Intermediate_AIR-010</t>
        </is>
      </c>
    </row>
    <row r="12" ht="409" customHeight="1">
      <c r="A12" s="29" t="inlineStr">
        <is>
          <t>XCom
Which mechanism lets tasks share small pieces of data with each other?
def push(**context):
    context["ti"].xcom_push(key="path", value="s3://b/raw/2026-10-01.csv")
def pull(**context):
    path = context["ti"].xcom_pull(task_ids="push_task", key="path")
    print(path)
BashOperator(task_id="use", bash_command="echo {{ ti.xcom_pull(task_ids='push_task', key='path') }}")</t>
        </is>
      </c>
      <c r="B12" s="29" t="inlineStr">
        <is>
          <t>MEANING (SHORT):
An XCom is a small value pushed by one task and pulled by another, stored in the metadata database under a key, with the return value saved automatically.
CODE:
def push(**context):
    context["ti"].xcom_push(key="path", value="s3://b/raw/2026-10-01.csv")
def pull(**context):
    path = context["ti"].xcom_pull(task_ids="push_task", key="path")
    print(path)
BashOperator(task_id="use", bash_command="echo {{ ti.xcom_pull(task_ids='push_task', key='path') }}")
OUTPUT:
The path pushed by the first task is read by the second and printed.
EXPLANATION:
XComs are meant for small metadata such as ids, counts and paths. Large values slow the database and may hit size limits. A custom XCom backend can store payloads in object storage and keep only a reference. Each XCom belongs to a task and a run. In TaskFlow, push and pull happen through return values and arguments.
SIMPLE EXPLANATION (HINGLISH):
Push small values from one task and pull them in another, or use TaskFlow returns.
REAL-LIFE ANALOGY:
XCom is a note passed between desks, not a truck of cargo.
SYNTAX PATTERN:
ti.xcom_push(key, value) | ti.xcom_pull(task_ids, key)
ANATOMY:
ti = task instance | key = label | task_ids = which task's value | return_value = default key
EXAMPLE 1:
ti.xcom_pull(task_ids="extract")
EXAMPLE 2:
{{ ti.xcom_pull(task_ids='count_rows', key='total') }}
EXAMPLE 3:
return "s3://bucket/file.csv"
VARIATION:
BaseXCom custom backend   // store large values in object storage
USED WITH:
TaskFlow API, templating, sensors
RELATED CONCEPTS:
TaskFlow API, templating, passing data by reference, PythonOperator and BashOperator
ALTERNATIVES:
Object storage handoff | databases
WHERE IT IS USED:
Passing paths | Counts | Flags
MINI CONVERSATION:
A: The metadata database is growing fast. | B: Large XComs are the cause, so pass file paths instead.
COMMON MISTAKE:
✗ XCom is the right place to move large datasets → ✓ It is for small metadata, and large data should live in storage
COMMONLY CONFUSED WITH:
XCom vs Variable: an XCom belongs to one run, a Variable is global configuration.
AVOID / DON'T:
Do not push large payloads into XCom.
WRONG CODE:
ti.xcom_push(key="df", value=big_dataframe.to_json())
RIGHT CODE:
ti.xcom_push(key="path", value="s3://bucket/raw/orders.parquet")
MEMORY TRICK:
Notes travel by XCom, cargo by storage.
REAL LIFE: PROJECT / WORK:
Replacing dataframes in XCom with file paths removed database bloat.
REAL LIFE: INTERVIEW / EXAM:
An interviewer may ask: What should you not put in XCom?
REAL LIFE: DAILY LIFE:
It is like a note passed between desks.</t>
        </is>
      </c>
      <c r="C12" s="29" t="inlineStr">
        <is>
          <t>02_Writing_DAGs_Intermediate_AIR-011</t>
        </is>
      </c>
    </row>
    <row r="13" ht="409" customHeight="1">
      <c r="A13" s="29" t="inlineStr">
        <is>
          <t>Templating with Jinja
How do you insert run dates and values into commands and queries at run time?
load_sql = BashOperator(
    task_id="load_day",
    bash_command="psql -c \"DELETE FROM sales WHERE day = '{{ ds }}'; INSERT INTO sales SELECT * FROM stg WHERE day = '{{ ds }}';\"",
)
other = BashOperator(task_id="range", bash_command="echo {{ data_interval_start }} to {{ data_interval_end }}")</t>
        </is>
      </c>
      <c r="B13" s="29" t="inlineStr">
        <is>
          <t>MEANING (SHORT):
Airflow renders templated fields with Jinja, replacing expressions such as ds, data_interval_start and params with values for the specific run.
CODE:
load_sql = BashOperator(
    task_id="load_day",
    bash_command="psql -c \"DELETE FROM sales WHERE day = '{{ ds }}'; INSERT INTO sales SELECT * FROM stg WHERE day = '{{ ds }}';\"",
)
other = BashOperator(task_id="range", bash_command="echo {{ data_interval_start }} to {{ data_interval_end }}")
OUTPUT:
The commands run with the date of the specific DAG run filled in.
EXPLANATION:
Common variables include ds for the logical date as text, ts for the timestamp, and data_interval_start and data_interval_end for the period. Only fields listed as template fields are rendered. Macros offer helpers such as ds_add. Using logical dates, not now, keeps runs repeatable. Params let users supply values when triggering manually.
SIMPLE EXPLANATION (HINGLISH):
Put expressions in double braces, and Airflow fills them for each run.
REAL-LIFE ANALOGY:
Templating is a form letter where the date and name are filled in just before posting.
SYNTAX PATTERN:
{{ ds }} | {{ data_interval_start }} | {{ params.name }}
ANATOMY:
ds = logical date | data_interval_start and end = period | params = user values | macros = helpers
EXAMPLE 1:
{{ macros.ds_add(ds, -7) }}
EXAMPLE 2:
{{ params.region }}
EXAMPLE 3:
{{ dag_run.conf.get("force") }}
VARIATION:
template_fields = ("sql",)   // make your own operator field templated
USED WITH:
BashOperator, SQL operators, idempotency
RELATED CONCEPTS:
PythonOperator and BashOperator, data intervals, idempotency, variables
ALTERNATIVES:
Python code reading the context
WHERE IT IS USED:
SQL tasks | File names | Incremental loads
MINI CONVERSATION:
A: Reruns process today's data instead of the original day. | B: Use the logical date template instead of the current time.
COMMON MISTAKE:
✗ Every task argument is templated → ✓ Only fields declared as template fields are rendered
COMMONLY CONFUSED WITH:
ds vs now: ds is the logical date of the run, now is the real current time.
AVOID / DON'T:
Do not use the current time in tasks that may be rerun.
WRONG CODE:
bash_command="python run.py --date $(date +%F)"
RIGHT CODE:
bash_command="python run.py --date {{ ds }}"
MEMORY TRICK:
Logical date, not clock time.
REAL LIFE: PROJECT / WORK:
Replacing now with ds made backfills reproduce the original days exactly.
REAL LIFE: INTERVIEW / EXAM:
An interviewer may ask: What is the difference between ds and the current date?
REAL LIFE: DAILY LIFE:
It is like a form letter filled in just before posting.</t>
        </is>
      </c>
      <c r="C13" s="29" t="inlineStr">
        <is>
          <t>02_Writing_DAGs_Intermediate_AIR-012</t>
        </is>
      </c>
    </row>
    <row r="14" ht="409" customHeight="1">
      <c r="A14" s="29" t="inlineStr">
        <is>
          <t>Variables
Which Airflow feature stores configuration values that DAGs can read at run time?
from airflow.models import Variable
def run(**context):
    region = Variable.get("sales_region", default_var="in")
    print(region)
BashOperator(task_id="t", bash_command="echo {{ var.value.sales_region }}")
# CLI: airflow variables set sales_region eu</t>
        </is>
      </c>
      <c r="B14" s="29" t="inlineStr">
        <is>
          <t>MEANING (SHORT):
Variables are global key-value pairs stored in Airflow, set in the interface, CLI or environment, and read with Variable.get or with a template expression.
CODE:
from airflow.models import Variable
def run(**context):
    region = Variable.get("sales_region", default_var="in")
    print(region)
BashOperator(task_id="t", bash_command="echo {{ var.value.sales_region }}")
# CLI: airflow variables set sales_region eu
OUTPUT:
The task prints the current region from the variable, or in if it is not set.
EXPLANATION:
Calling Variable.get at the top level of a DAG file hits the database every time the file is parsed, which is expensive, so read variables inside tasks or in templates. Variables with names containing words such as password or secret are masked in the interface. Secrets should live in a secrets backend, not plain variables. JSON values can be read as objects. Written for Airflow 2.x imports; in Airflow 3 they move to airflow.sdk and apache-airflow-providers-standard.
SIMPLE EXPLANATION (HINGLISH):
Store settings as variables, and read them inside tasks or templates.
REAL-LIFE ANALOGY:
Variables are a shared settings board that any DAG can read.
SYNTAX PATTERN:
Variable.get("key", default_var=...) | {{ var.value.key }}
ANATOMY:
key = name | default_var = fallback | var.value = template access | var.json = JSON access
EXAMPLE 1:
Variable.get("config", deserialize_json=True)
EXAMPLE 2:
{{ var.json.config.threshold }}
EXAMPLE 3:
export AIRFLOW_VAR_SALES_REGION=eu
VARIATION:
AIRFLOW_VAR_NAME   // set a variable through the environment
USED WITH:
templating, secrets backends, connections
RELATED CONCEPTS:
templating, connections and hooks, secrets backends, DAG definition
ALTERNATIVES:
Config files in the DAG folder | secrets backends
WHERE IT IS USED:
Feature switches | Thresholds | Environment settings
MINI CONVERSATION:
A: Parsing is slow and the database is busy. | B: A Variable.get at the top of the file runs on every parse, so move it into the task.
COMMON MISTAKE:
✗ Variables are a safe place for passwords → ✓ Secrets belong in a secrets backend or a connection
COMMONLY CONFUSED WITH:
Variable vs Connection: variables hold values, connections hold credentials for systems.
AVOID / DON'T:
Do not read variables at the top level of DAG files.
WRONG CODE:
REGION = Variable.get("sales_region")   # runs on every parse
RIGHT CODE:
def run(): region = Variable.get("sales_region")
MEMORY TRICK:
Read variables inside the task, not the file top.
REAL LIFE: PROJECT / WORK:
Moving variable reads into tasks reduced scheduler database load noticeably.
REAL LIFE: INTERVIEW / EXAM:
An interviewer may ask: Why avoid Variable.get at the top of a DAG file?
REAL LIFE: DAILY LIFE:
It is like a shared settings board.</t>
        </is>
      </c>
      <c r="C14" s="29" t="inlineStr">
        <is>
          <t>02_Writing_DAGs_Intermediate_AIR-013</t>
        </is>
      </c>
    </row>
    <row r="15" ht="409" customHeight="1">
      <c r="A15" s="29" t="inlineStr">
        <is>
          <t>Connections and hooks
How does Airflow store the credentials for outside systems and use them in code?
from airflow.providers.postgres.hooks.postgres import PostgresHook
def count_rows(**context):
    hook = PostgresHook(postgres_conn_id="warehouse")
    rows = hook.get_first("SELECT COUNT(*) FROM sales WHERE day = %s", parameters=(context["ds"],))
    print(rows[0])
# create: airflow connections add warehouse --conn-uri postgresql://user:pass@host:5432/db</t>
        </is>
      </c>
      <c r="B15" s="29" t="inlineStr">
        <is>
          <t>MEANING (SHORT):
A connection stores host, login, password, schema and extras under a connection id, and a hook is a Python class that uses a connection to talk to a system.
CODE:
from airflow.providers.postgres.hooks.postgres import PostgresHook
def count_rows(**context):
    hook = PostgresHook(postgres_conn_id="warehouse")
    rows = hook.get_first("SELECT COUNT(*) FROM sales WHERE day = %s", parameters=(context["ds"],))
    print(rows[0])
# create: airflow connections add warehouse --conn-uri postgresql://user:pass@host:5432/db
OUTPUT:
The task connects with the warehouse connection and prints the number of rows for the logical date.
EXPLANATION:
Connections can be created in the interface, the CLI, environment variables or a secrets backend. Operators take a connection id argument and use hooks inside. A custom task can use the hook to run queries or get a client. Secrets should come from a secrets backend in production. Use parameters in queries, not string joins, to prevent injection.
SIMPLE EXPLANATION (HINGLISH):
Create a connection once, refer to it by id, and use hooks in code.
REAL-LIFE ANALOGY:
A connection is an address-book entry with a login, and a hook is the phone that dials it.
SYNTAX PATTERN:
PostgresHook(postgres_conn_id="id") | conn_id="id"
ANATOMY:
conn_id = name | hook = client helper | extra = JSON settings | secrets backend = safe storage
EXAMPLE 1:
S3Hook(aws_conn_id="aws_default")
EXAMPLE 2:
export AIRFLOW_CONN_WAREHOUSE='postgresql://user:pass@host:5432/db'
EXAMPLE 3:
SQLExecuteQueryOperator(task_id="q", conn_id="warehouse", sql="SELECT 1")
VARIATION:
HttpHook(http_conn_id="api")   // for REST services
USED WITH:
secrets backends, providers, SQL operators
RELATED CONCEPTS:
variables, secrets backends, tasks and operators, credentials
ALTERNATIVES:
Environment variables | secrets managers
WHERE IT IS USED:
Database tasks | Cloud storage | APIs
MINI CONVERSATION:
A: Where do the warehouse credentials live? | B: In an Airflow connection, ideally from the secrets backend.
COMMON MISTAKE:
✗ Credentials belong in the DAG file → ✓ Use connections so secrets stay out of code
COMMONLY CONFUSED WITH:
Connection vs hook: a connection holds the details, a hook uses them.
AVOID / DON'T:
Do not build SQL by joining strings with user input.
WRONG CODE:
conn = psycopg2.connect("host=db user=admin password=secret")
RIGHT CODE:
hook = PostgresHook(postgres_conn_id="warehouse")
MEMORY TRICK:
A connection stores details, a hook connects.
REAL LIFE: PROJECT / WORK:
Moving passwords out of DAG files into connections passed a customer security review.
REAL LIFE: INTERVIEW / EXAM:
An interviewer may ask: What is the difference between a connection and a hook?
REAL LIFE: DAILY LIFE:
It is like an address-book entry and a phone.</t>
        </is>
      </c>
      <c r="C15" s="29" t="inlineStr">
        <is>
          <t>02_Writing_DAGs_Intermediate_AIR-014</t>
        </is>
      </c>
    </row>
    <row r="16" ht="409" customHeight="1">
      <c r="A16" s="29" t="inlineStr">
        <is>
          <t>Sensors
Which operators wait for a file, a time or an outside event before the DAG continues?
from airflow.sensors.filesystem import FileSensor
wait = FileSensor(
    task_id="wait_for_file",
    filepath="/data/in/orders_{{ ds }}.csv",
    poke_interval=60,
    timeout=60 * 60 * 6,
    mode="reschedule",
)
wait &gt;&gt; load</t>
        </is>
      </c>
      <c r="B16" s="29" t="inlineStr">
        <is>
          <t>MEANING (SHORT):
A sensor is an operator that repeatedly checks a condition, such as a file existing, and succeeds when it is met or fails after a timeout.
CODE:
from airflow.sensors.filesystem import FileSensor
wait = FileSensor(
    task_id="wait_for_file",
    filepath="/data/in/orders_{{ ds }}.csv",
    poke_interval=60,
    timeout=60 * 60 * 6,
    mode="reschedule",
)
wait &gt;&gt; load
OUTPUT:
The sensor checks every minute for up to six hours, and the load starts only after the file appears.
EXPLANATION:
In poke mode the sensor holds a worker slot while waiting, which wastes capacity. Reschedule mode releases the slot between checks. Deferrable sensors hand the waiting to the triggerer. Always set a timeout so a missing file eventually fails and alerts. Provider packages offer sensors for cloud storage, databases and external DAGs. Written for Airflow 2.x imports; in Airflow 3 they move to airflow.sdk and apache-airflow-providers-standard.
SIMPLE EXPLANATION (HINGLISH):
Use a sensor to wait for an event, set a timeout, and free the worker while waiting.
REAL-LIFE ANALOGY:
A sensor is a person waiting at the door until the parcel arrives.
SYNTAX PATTERN:
Sensor(task_id=..., poke_interval=..., timeout=..., mode="reschedule")
ANATOMY:
poke_interval = check gap | timeout = give up time | mode = poke or reschedule
EXAMPLE 1:
S3KeySensor(bucket_key="s3://b/raw/{{ ds }}.csv", aws_conn_id="aws")
EXAMPLE 2:
ExternalTaskSensor(external_dag_id="upstream", external_task_id="done")
EXAMPLE 3:
TimeDeltaSensor(delta=timedelta(hours=1))
VARIATION:
S3KeySensor(deferrable=True)   // wait through the triggerer
USED WITH:
file arrivals, upstream DAGs, deferrable operators
RELATED CONCEPTS:
tasks and operators, triggers, pools and concurrency, retries and timeouts
ALTERNATIVES:
Event-driven datasets | webhooks
WHERE IT IS USED:
File drops | Partner feeds | Cross-DAG waits
MINI CONVERSATION:
A: Workers are all busy waiting for files. | B: Switch the sensors to reschedule or deferrable mode.
COMMON MISTAKE:
✗ A sensor with no timeout is safe → ✓ The default timeout is seven days, which can hold a worker slot for a week, so set a realistic timeout
COMMONLY CONFUSED WITH:
poke vs reschedule: poke holds a slot, reschedule frees it between checks.
AVOID / DON'T:
Do not leave sensors without a timeout.
WRONG CODE:
FileSensor(task_id="w", filepath="/data/in.csv")   # defaults hold a slot
RIGHT CODE:
FileSensor(task_id="w", filepath="/data/in.csv", mode="reschedule", timeout=3600)
MEMORY TRICK:
Reschedule mode frees the slot while you wait.
REAL LIFE: PROJECT / WORK:
Switching sensors to reschedule mode freed worker slots during long partner delays.
REAL LIFE: INTERVIEW / EXAM:
An interviewer may ask: What is the difference between poke and reschedule mode?
REAL LIFE: DAILY LIFE:
It is like waiting at the door for a parcel.</t>
        </is>
      </c>
      <c r="C16" s="29" t="inlineStr">
        <is>
          <t>02_Writing_DAGs_Intermediate_AIR-015</t>
        </is>
      </c>
    </row>
    <row r="17" ht="409" customHeight="1">
      <c r="A17" s="29" t="inlineStr">
        <is>
          <t>Branching
How does a DAG choose between different paths at run time?
from airflow.decorators import task
@task.branch
def choose(ds=None):
    return "full_load" if ds.endswith("-01") else "incremental_load"
full = EmptyOperator(task_id="full_load")
inc = EmptyOperator(task_id="incremental_load")
done = EmptyOperator(task_id="done", trigger_rule="none_failed_min_one_success")
choose() &gt;&gt; [full, inc] &gt;&gt; done</t>
        </is>
      </c>
      <c r="B17" s="29" t="inlineStr">
        <is>
          <t>MEANING (SHORT):
A branch operator runs a function that returns the task id or ids to follow, and tasks on the other branches are skipped.
CODE:
from airflow.decorators import task
@task.branch
def choose(ds=None):
    return "full_load" if ds.endswith("-01") else "incremental_load"
full = EmptyOperator(task_id="full_load")
inc = EmptyOperator(task_id="incremental_load")
done = EmptyOperator(task_id="done", trigger_rule="none_failed_min_one_success")
choose() &gt;&gt; [full, inc] &gt;&gt; done
OUTPUT:
On the first day of each month the full load runs, otherwise the incremental load runs, and done runs either way.
EXPLANATION:
Skipped tasks propagate their skipped state downstream, so a join after a branch would also skip under the default trigger rule. Using none_failed_min_one_success lets it run when at least one branch succeeded and none failed. Branch functions can return lists to follow several paths. Short circuit operators stop the rest of a path when a condition is false. Written for Airflow 2.x imports; in Airflow 3 they move to airflow.sdk and apache-airflow-providers-standard.
SIMPLE EXPLANATION (HINGLISH):
Return the next task id from a branch task, and relax the join's trigger rule.
REAL-LIFE ANALOGY:
Branching is a road sign sending traffic left or right, with the other road closed.
SYNTAX PATTERN:
@task.branch def pick(): return "task_id"
ANATOMY:
return value = chosen task id | skipped = unused branch | trigger_rule = join behaviour
EXAMPLE 1:
BranchPythonOperator(task_id="b", python_callable=pick)
EXAMPLE 2:
ShortCircuitOperator(task_id="check", python_callable=lambda: is_business_day())
EXAMPLE 3:
trigger_rule="all_done"
VARIATION:
@task.short_circuit def should_run(): return False   // skip all downstream tasks
USED WITH:
trigger rules, dependencies, conditions
RELATED CONCEPTS:
dependencies, trigger rules, TaskFlow API, task groups
ALTERNATIVES:
Separate DAGs
WHERE IT IS USED:
Conditional loads | Holidays | Full versus incremental runs
MINI CONVERSATION:
A: The final task was skipped after branching. | B: Change its trigger rule so skipped branches do not block it.
COMMON MISTAKE:
✗ Tasks after a branch always run → ✓ Skips propagate unless the join task uses a suitable trigger rule
COMMONLY CONFUSED WITH:
Branch vs short circuit: branch picks between paths, short circuit stops a path.
AVOID / DON'T:
Do not leave the join task on the default trigger rule.
WRONG CODE:
done = EmptyOperator(task_id="done")   # skipped when a branch is skipped
RIGHT CODE:
done = EmptyOperator(task_id="done", trigger_rule="none_failed_min_one_success")
MEMORY TRICK:
Join tasks need a relaxed trigger rule.
REAL LIFE: PROJECT / WORK:
Branching between full and incremental loads removed the need for two separate DAGs.
REAL LIFE: INTERVIEW / EXAM:
An interviewer may ask: Why was my task after the branch skipped?
REAL LIFE: DAILY LIFE:
It is like a road sign that closes one road.</t>
        </is>
      </c>
      <c r="C17" s="29" t="inlineStr">
        <is>
          <t>02_Writing_DAGs_Intermediate_AIR-016</t>
        </is>
      </c>
    </row>
    <row r="18" ht="409" customHeight="1">
      <c r="A18" s="29" t="inlineStr">
        <is>
          <t>Task groups
How do you group related tasks visually and logically in a large DAG?
from airflow.utils.task_group import TaskGroup
with DAG("sales", start_date=datetime(2026, 10, 1), schedule="@daily", catchup=False) as dag:
    with TaskGroup("extract") as extract:
        a = EmptyOperator(task_id="orders")
        b = EmptyOperator(task_id="customers")
    load = EmptyOperator(task_id="load")
    extract &gt;&gt; load</t>
        </is>
      </c>
      <c r="B18" s="29" t="inlineStr">
        <is>
          <t>MEANING (SHORT):
A task group is a context manager that groups tasks in the interface, prefixes their ids with the group name, and lets you set dependencies on the group as a whole.
CODE:
from airflow.utils.task_group import TaskGroup
with DAG("sales", start_date=datetime(2026, 10, 1), schedule="@daily", catchup=False) as dag:
    with TaskGroup("extract") as extract:
        a = EmptyOperator(task_id="orders")
        b = EmptyOperator(task_id="customers")
    load = EmptyOperator(task_id="load")
    extract &gt;&gt; load
OUTPUT:
The graph shows one collapsible extract group with two tasks, followed by load.
EXPLANATION:
Task groups affect only layout and ids, such as extract.orders, not scheduling. They can be nested. Dependencies set on the group connect all its entry and exit tasks. They replace the older SubDAGs, which had performance problems. Dynamic task mapping can create tasks inside groups. Written for Airflow 2.x imports; in Airflow 3 they move to airflow.sdk and apache-airflow-providers-standard.
SIMPLE EXPLANATION (HINGLISH):
Wrap related tasks in a TaskGroup to keep the graph readable.
REAL-LIFE ANALOGY:
A task group is a folder that holds related tasks in the graph.
SYNTAX PATTERN:
with TaskGroup("name") as group:
ANATOMY:
TaskGroup = folder | group_id prefix = task id | group &gt;&gt; task = dependency
EXAMPLE 1:
with TaskGroup("transform") as tg:
EXAMPLE 2:
tg1 &gt;&gt; tg2
EXAMPLE 3:
task_id becomes extract.orders
VARIATION:
@task_group def extract(): ...   // the decorator form
USED WITH:
dependencies, large DAGs, dynamic task mapping
RELATED CONCEPTS:
dependencies, DAG definition, dynamic task mapping, branching
ALTERNATIVES:
Separate DAGs | SubDAGs in old versions
WHERE IT IS USED:
Large DAGs | Many tables | Readable graphs
MINI CONVERSATION:
A: The graph has sixty tasks and is unreadable. | B: Group them with task groups by stage.
COMMON MISTAKE:
✗ Task groups run tasks in parallel automatically → ✓ They only organise tasks, and dependencies decide the order
COMMONLY CONFUSED WITH:
Task group vs SubDAG: groups are visual, SubDAGs were separate DAGs and are discouraged.
AVOID / DON'T:
Do not use SubDAGs in new work.
WRONG CODE:
SubDagOperator(task_id="sub", subdag=build_sub())
RIGHT CODE:
with TaskGroup("sub") as sub:
MEMORY TRICK:
Groups tidy the graph, they do not change execution.
REAL LIFE: PROJECT / WORK:
Grouping sixty tasks by stage made a large DAG reviewable on one screen.
REAL LIFE: INTERVIEW / EXAM:
An interviewer may ask: What is the difference between task groups and SubDAGs?
REAL LIFE: DAILY LIFE:
It is like a folder in a file explorer.</t>
        </is>
      </c>
      <c r="C18" s="29" t="inlineStr">
        <is>
          <t>02_Writing_DAGs_Intermediate_AIR-017</t>
        </is>
      </c>
    </row>
    <row r="19" ht="409" customHeight="1">
      <c r="A19" s="29" t="inlineStr">
        <is>
          <t>Data intervals
Which idea explains what time period a DAG run is responsible for?</t>
        </is>
      </c>
      <c r="B19" s="29" t="inlineStr">
        <is>
          <t>DEFINITION (SIMPLE):
A data interval is the time period a DAG run covers, with a start and an end, and the run is triggered at the end of that period.
HOW / WHY IT WORKS:
For a daily schedule, the run with logical date 1 October covers 1 October 00:00 to 2 October 00:00 and actually starts on 2 October. The values data_interval_start and data_interval_end give the period. The older name execution date confused many people. Using the interval in queries makes each run process exactly its own period. This describes interval-based timetables (the Airflow 2 default). In Airflow 3 cron schedules run at the trigger time unless you use CronDataIntervalTimetable.
SIMPLE EXPLANATION (HINGLISH):
Each run owns a period, and it starts when that period has finished.
REAL-LIFE ANALOGY:
A data interval is a page of a diary that can be read only after the day is over.
FORMULA / RULE:
Run starts at the interval end and processes the interval.
EXAMPLE 1:
The run for 1 October starting early on 2 October.
EXAMPLE 2:
A query using data_interval_start and data_interval_end.
EXAMPLE 3:
A weekly DAG covering seven days per run.
RELATED CONCEPTS:
schedules, templating, catchup and backfill, idempotency
FAMILY / GROUP:
logical date, interval, execution date, period, trigger time
WHERE IT IS USED:
Incremental loads | Reports | Backfills
MINI CONVERSATION:
A: Today's run is processing yesterday's data. | B: That is correct, since a run covers the interval that just ended.
COMMON MISTAKE:
✗ A run for a date processes data from that date's moment onward → ✓ It processes the interval that ended when the run started
DON'T CONFUSE WITH:
Logical date vs run time: the logical date is the interval start, and the run starts at the interval end.
AVOID / DON'T:
Do not use the current time to choose which data to process.
MEMORY TRICK:
Runs start when their period ends.
REAL LIFE: PROJECT / WORK:
Understanding intervals fixed an off-by-one-day bug in a daily sales load.
REAL LIFE: INTERVIEW / EXAM:
An interviewer may ask: Why does a daily DAG run for 1 October start on 2 October?
REAL LIFE: DAILY LIFE:
It is like reading a diary page after the day has ended.</t>
        </is>
      </c>
      <c r="C19" s="29" t="inlineStr">
        <is>
          <t>03_Running_Intermediate_AIR-018</t>
        </is>
      </c>
    </row>
    <row r="20" ht="409" customHeight="1">
      <c r="A20" s="29" t="inlineStr">
        <is>
          <t>Catchup and backfill
How do you run a DAG for past dates it has not processed yet?</t>
        </is>
      </c>
      <c r="B20" s="29" t="inlineStr">
        <is>
          <t>DEFINITION (SIMPLE):
Catchup makes the scheduler create runs for all intervals since the start date that have not run, and a backfill is a command that runs a DAG for a chosen date range.
HOW / WHY IT WORKS:
With catchup on and an old start date, many runs start at once, which can overload systems. Most teams turn catchup off and trigger backfills on purpose with the command line or interface. Backfills rely on idempotent tasks and logical dates. Limit parallelism with max_active_runs. Check the results before running more. Catchup defaulted to True in Airflow 2 and False in Airflow 3. The backfill command shown is Airflow 2; Airflow 3 uses airflow backfill create.
SIMPLE EXPLANATION (HINGLISH):
Turn catchup off by default, and backfill specific ranges when you need history.
REAL-LIFE ANALOGY:
Catchup is the clerk working through missed days automatically, and a backfill tells the clerk which days to redo.
FORMULA / RULE:
Catchup = automatic past runs. Backfill = chosen past runs.
EXAMPLE 1:
airflow dags backfill -s 2026-09-01 -e 2026-09-07 daily_sales
EXAMPLE 2:
catchup=True with an old start_date creating hundreds of runs.
EXAMPLE 3:
max_active_runs=2 limiting parallel backfill runs.
RELATED CONCEPTS:
data intervals, idempotency, DAG definition, pools and concurrency
FAMILY / GROUP:
catchup, backfill, missed run, range, max_active_runs
WHERE IT IS USED:
New DAGs | Bug fixes | Migrations
MINI CONVERSATION:
A: We deployed and hundreds of runs started. | B: Catchup was on with an old start date, so turn it off and backfill carefully.
COMMON MISTAKE:
✗ Catchup is a harmless default → ✓ It can start hundreds of runs at once and overload sources
DON'T CONFUSE WITH:
Catchup vs backfill: catchup is automatic, backfill is requested.
AVOID / DON'T:
Do not run backfills on tasks that are not idempotent.
MEMORY TRICK:
Catchup off, backfill by choice.
REAL LIFE: PROJECT / WORK:
Backfilling a month in small ranges recovered data without stressing the source API.
REAL LIFE: INTERVIEW / EXAM:
An interviewer may ask: What is the risk of catchup?
REAL LIFE: DAILY LIFE:
It is like a clerk working through missed days.</t>
        </is>
      </c>
      <c r="C20" s="29" t="inlineStr">
        <is>
          <t>03_Running_Intermediate_AIR-019</t>
        </is>
      </c>
    </row>
    <row r="21" ht="409" customHeight="1">
      <c r="A21" s="29" t="inlineStr">
        <is>
          <t>Retries and timeouts
How do you make tasks recover from temporary failures and stop when they take too long?
from datetime import timedelta
BashOperator(
    task_id="call_api",
    bash_command="python call_api.py --date {{ ds }}",
    retries=3,
    retry_delay=timedelta(minutes=5),
    retry_exponential_backoff=True,
    max_retry_delay=timedelta(minutes=30),
    execution_timeout=timedelta(minutes=20),
)</t>
        </is>
      </c>
      <c r="B21" s="29" t="inlineStr">
        <is>
          <t>MEANING (SHORT):
The retries argument sets how many times a failed task is retried, retry_delay and exponential backoff set the pause, and execution_timeout stops a task that runs too long.
CODE:
from datetime import timedelta
BashOperator(
    task_id="call_api",
    bash_command="python call_api.py --date {{ ds }}",
    retries=3,
    retry_delay=timedelta(minutes=5),
    retry_exponential_backoff=True,
    max_retry_delay=timedelta(minutes=30),
    execution_timeout=timedelta(minutes=20),
)
OUTPUT:
A failed call is retried up to three times with growing pauses, and any attempt longer than twenty minutes is stopped.
EXPLANATION:
Without a timeout a stuck task can hold a worker slot forever. Retries only help with temporary problems and need idempotent tasks. A failure callback or email can notify after the final try. The DAG-level dagrun_timeout limits a whole run. Very long retry chains can hide real problems, so keep them modest.
SIMPLE EXPLANATION (HINGLISH):
Add retries with a delay and a timeout to every task that talks to the outside.
REAL-LIFE ANALOGY:
Retries are second chances with a pause, and a timeout is an alarm that stops a stuck task.
SYNTAX PATTERN:
retries=n, retry_delay=timedelta(...), execution_timeout=timedelta(...)
ANATOMY:
retries = attempts | retry_delay = pause | execution_timeout = limit per attempt
EXAMPLE 1:
default_args={"retries": 2, "retry_delay": timedelta(minutes=5)}
EXAMPLE 2:
dagrun_timeout=timedelta(hours=2)
EXAMPLE 3:
on_failure_callback=notify
VARIATION:
retry_exponential_backoff=True   // pauses grow after each failure
USED WITH:
idempotency, alerts, sensors
RELATED CONCEPTS:
idempotency, alerts, sensors, the web UI
ALTERNATIVES:
Application level retries
WHERE IT IS USED:
API calls | Network jobs | All production tasks
MINI CONVERSATION:
A: A task has been running for two days. | B: It had no timeout, so set execution_timeout.
COMMON MISTAKE:
✗ Retries can fix any failing task → ✓ They fix temporary problems only, and permanent errors fail again
COMMONLY CONFUSED WITH:
execution_timeout vs dagrun_timeout: one limits a task attempt, the other limits the whole run.
AVOID / DON'T:
Do not leave tasks without a timeout.
WRONG CODE:
BashOperator(task_id="t", bash_command="python long.py")
RIGHT CODE:
BashOperator(task_id="t", bash_command="python long.py", retries=2, execution_timeout=timedelta(minutes=30))
MEMORY TRICK:
Every outside call needs retries and a timeout.
REAL LIFE: PROJECT / WORK:
Adding timeouts stopped a hung API call from blocking a worker slot for days.
REAL LIFE: INTERVIEW / EXAM:
An interviewer may ask: How do you stop a stuck task?
REAL LIFE: DAILY LIFE:
It is like a second chance and an alarm.</t>
        </is>
      </c>
      <c r="C21" s="29" t="inlineStr">
        <is>
          <t>03_Running_Intermediate_AIR-020</t>
        </is>
      </c>
    </row>
    <row r="22" ht="409" customHeight="1">
      <c r="A22" s="29" t="inlineStr">
        <is>
          <t>Pools and concurrency
How do you limit how many tasks run at once so that systems are not overloaded?
# airflow pools set warehouse 4 "Warehouse connections"
BashOperator(task_id="heavy_query", bash_command="python q.py", pool="warehouse", pool_slots=1)
with DAG("x", max_active_runs=1, max_active_tasks=8, start_date=datetime(2026, 10, 1), schedule="@daily") as dag:
    ...</t>
        </is>
      </c>
      <c r="B22" s="29" t="inlineStr">
        <is>
          <t>MEANING (SHORT):
A pool has a fixed number of slots, tasks assigned to it take one slot each, and other tasks wait, while DAG and system settings cap overall parallelism.
CODE:
# airflow pools set warehouse 4 "Warehouse connections"
BashOperator(task_id="heavy_query", bash_command="python q.py", pool="warehouse", pool_slots=1)
with DAG("x", max_active_runs=1, max_active_tasks=8, start_date=datetime(2026, 10, 1), schedule="@daily") as dag:
    ...
OUTPUT:
At most four tasks use the warehouse pool at once, the DAG has one active run, and at most eight tasks run in it.
EXPLANATION:
Parallelism has several levels: the whole installation, each DAG, each task and each pool. Pools protect shared resources across DAGs. A task can use more than one slot. Priority weights decide which waiting task gets a slot first. Sensors waiting in poke mode consume slots, so use reschedule mode.
SIMPLE EXPLANATION (HINGLISH):
Put tasks that share a limited resource into a pool, and cap DAG parallelism.
REAL-LIFE ANALOGY:
A pool is a set of limited seats, and tasks must wait for a free seat.
SYNTAX PATTERN:
pool="name", pool_slots=n, max_active_tasks=n
ANATOMY:
pool = named limit | slots = seats | max_active_runs = runs at once | priority_weight = order
EXAMPLE 1:
airflow pools set api 2 "API calls"
EXAMPLE 2:
max_active_tis_per_dag=1
EXAMPLE 3:
priority_weight=10
VARIATION:
max_active_tis_per_dag=2   // limit one task across runs
USED WITH:
sensors, executors, backfills
RELATED CONCEPTS:
sensors, executors, catchup and backfill, retries and timeouts
ALTERNATIVES:
Rate limiting in code
WHERE IT IS USED:
Shared databases | Rate-limited APIs | Backfills
MINI CONVERSATION:
A: Fifty tasks hit the database at the same time. | B: Put them in a pool with a few slots.
COMMON MISTAKE:
✗ More parallelism always means faster runs → ✓ Too much parallelism can overload shared systems
COMMONLY CONFUSED WITH:
Pool vs max_active_tasks: a pool limits across DAGs, max_active_tasks limits within one DAG.
AVOID / DON'T:
Do not let unlimited tasks hit a shared database.
WRONG CODE:
BashOperator(task_id="q", bash_command="python q.py")   # unlimited
RIGHT CODE:
BashOperator(task_id="q", bash_command="python q.py", pool="warehouse")
MEMORY TRICK:
A limited resource needs a limited pool.
REAL LIFE: PROJECT / WORK:
Creating a pool for a rate-limited API stopped a backfill from being blocked by the vendor.
REAL LIFE: INTERVIEW / EXAM:
An interviewer may ask: What is an Airflow pool?
REAL LIFE: DAILY LIFE:
It is like limited seats that tasks must wait for.</t>
        </is>
      </c>
      <c r="C22" s="29" t="inlineStr">
        <is>
          <t>03_Running_Advanced_AIR-021</t>
        </is>
      </c>
    </row>
    <row r="23" ht="409" customHeight="1">
      <c r="A23" s="29" t="inlineStr">
        <is>
          <t>Executors
Which component decides how and where Airflow tasks actually run?</t>
        </is>
      </c>
      <c r="B23" s="29" t="inlineStr">
        <is>
          <t>DEFINITION (SIMPLE):
An executor is the Airflow component that runs task instances, for example on local processes, Celery workers, or Kubernetes pods, one per task.
HOW / WHY IT WORKS:
The LocalExecutor runs tasks as processes on the scheduler machine and suits small setups. CeleryExecutor sends tasks to long-running workers through a message broker and scales by adding workers. KubernetesExecutor starts a new pod for each task, giving isolation and resource control, with a startup cost. Choice affects dependency management and cost. The older SequentialExecutor is only for testing. SequentialExecutor was removed in Airflow 3.
SIMPLE EXPLANATION (HINGLISH):
The executor decides where tasks run, and the choice depends on scale and isolation needs.
REAL-LIFE ANALOGY:
The executor is the transport company that decides whether tasks go by bike, bus or private taxi.
FORMULA / RULE:
Local = simple. Celery = worker fleet. Kubernetes = pod per task.
EXAMPLE 1:
A small team on the LocalExecutor.
EXAMPLE 2:
Celery workers scaled up for the nightly peak.
EXAMPLE 3:
Kubernetes pods with different images per task.
RELATED CONCEPTS:
Airflow components, deployment options, pools and concurrency, Kubernetes
FAMILY / GROUP:
executor, Celery, Kubernetes, worker, pod
WHERE IT IS USED:
Platform setup | Scaling | Isolation
MINI CONVERSATION:
A: Tasks need different Python libraries. | B: Use the Kubernetes executor with an image for each task.
COMMON MISTAKE:
✗ The executor schedules the DAGs → ✓ The scheduler schedules, and the executor only runs tasks
DON'T CONFUSE WITH:
Celery vs Kubernetes executor: Celery uses long-lived workers, Kubernetes starts one pod per task.
AVOID / DON'T:
Do not use the Sequential executor in production.
MEMORY TRICK:
Executor runs tasks, scheduler decides when.
REAL LIFE: PROJECT / WORK:
Moving to the Kubernetes executor isolated conflicting library versions between teams.
REAL LIFE: INTERVIEW / EXAM:
An interviewer may ask: When would you choose the Celery executor?
REAL LIFE: DAILY LIFE:
It is like choosing bike, bus or taxi.</t>
        </is>
      </c>
      <c r="C23" s="29" t="inlineStr">
        <is>
          <t>03_Running_Advanced_AIR-022</t>
        </is>
      </c>
    </row>
    <row r="24" ht="409" customHeight="1">
      <c r="A24" s="29" t="inlineStr">
        <is>
          <t>Triggers and deferrable operators
How can a task wait for something without holding a worker slot?</t>
        </is>
      </c>
      <c r="B24" s="29" t="inlineStr">
        <is>
          <t>DEFINITION (SIMPLE):
A deferrable operator suspends itself and gives a trigger to the triggerer process, which waits asynchronously and resumes the task on a worker when the event occurs.
HOW / WHY IT WORKS:
Thousands of waits can share one triggerer, instead of using thousands of worker slots. Many provider operators offer a deferrable argument. The triggerer must be running, or deferred tasks never resume. Triggers are small async functions. Datasets and external triggers are different ideas, which start whole DAGs on events.
SIMPLE EXPLANATION (HINGLISH):
Use deferrable operators so waiting does not occupy a worker slot.
REAL-LIFE ANALOGY:
A deferrable task leaves its seat and asks a doorman to call it back when the event happens.
FORMULA / RULE:
Defer → triggerer waits → task resumes.
EXAMPLE 1:
S3KeySensor with deferrable true.
EXAMPLE 2:
A long cloud job waited on by the triggerer.
EXAMPLE 3:
TimeSensorAsync waiting until a time of day.
RELATED CONCEPTS:
sensors, pools and concurrency, executors, Airflow components
FAMILY / GROUP:
deferrable, triggerer, async, resume, wait
WHERE IT IS USED:
Long waits | Cloud jobs | Partner feeds
MINI CONVERSATION:
A: All workers are busy waiting for files. | B: Switch to deferrable sensors so the triggerer waits instead.
COMMON MISTAKE:
✗ Deferrable tasks need no extra component → ✓ They need the triggerer process to be running
DON'T CONFUSE WITH:
Reschedule sensor vs deferrable: reschedule polls between sleeps, deferrable waits asynchronously.
AVOID / DON'T:
Do not use deferrable operators without a running triggerer.
MEMORY TRICK:
Defer the wait, free the worker.
REAL LIFE: PROJECT / WORK:
Using deferrable sensors freed dozens of worker slots during partner delays.
REAL LIFE: INTERVIEW / EXAM:
An interviewer may ask: What does the triggerer do?
REAL LIFE: DAILY LIFE:
It is like a doorman who calls you back.</t>
        </is>
      </c>
      <c r="C24" s="29" t="inlineStr">
        <is>
          <t>03_Running_Advanced_AIR-023</t>
        </is>
      </c>
    </row>
    <row r="25" ht="409" customHeight="1">
      <c r="A25" s="29" t="inlineStr">
        <is>
          <t>SLAs and deadlines
How do you track whether a DAG finishes by the time it must?</t>
        </is>
      </c>
      <c r="B25" s="29" t="inlineStr">
        <is>
          <t>DEFINITION (SIMPLE):
A deadline or SLA expresses the time by which a DAG or task must complete, and Airflow can alert, using deadline features or custom checks, when a run is late.
HOW / WHY IT WORKS:
Older versions had an sla argument with a miss callback, which has been limited and replaced by newer deadline alerts in recent releases. Many teams add their own check, such as a task that fails or a monitoring query when data is not fresh by the deadline. Lateness can come from slow upstream tasks, queues or failures. Good alerts name the DAG and what is delayed.
SIMPLE EXPLANATION (HINGLISH):
Define the time the data must be ready, and alert when a run is late.
REAL-LIFE ANALOGY:
A deadline alert is a clock bell that rings when the delivery is late.
FORMULA / RULE:
Deadline + monitoring + alert with context.
EXAMPLE 1:
An alert if the sales DAG has not finished by seven in the morning.
EXAMPLE 2:
A freshness query alerting on stale data.
EXAMPLE 3:
A callback posting to a chat channel.
RELATED CONCEPTS:
alerts, retries and timeouts, data quality checks, logs
FAMILY / GROUP:
SLA, deadline, late, freshness, callback
WHERE IT IS USED:
Morning reports | Customer feeds | Operations
MINI CONVERSATION:
A: The dashboard was empty at eight. | B: We need a deadline alert at seven so we can react.
COMMON MISTAKE:
✗ If nothing failed, the pipeline was on time → ✓ A slow run can be late without ever failing
DON'T CONFUSE WITH:
Failure alert vs deadline alert: one fires on errors, the other on lateness.
AVOID / DON'T:
Do not rely on failure alerts alone.
MEMORY TRICK:
Alert on late, not only on failed.
REAL LIFE: PROJECT / WORK:
A seven o'clock deadline alert caught slow runs before the business day began.
REAL LIFE: INTERVIEW / EXAM:
An interviewer may ask: How do you detect a pipeline that is late but not failed?
REAL LIFE: DAILY LIFE:
It is like a clock bell for late delivery.</t>
        </is>
      </c>
      <c r="C25" s="29" t="inlineStr">
        <is>
          <t>03_Running_Intermediate_AIR-024</t>
        </is>
      </c>
    </row>
    <row r="26" ht="409" customHeight="1">
      <c r="A26" s="29" t="inlineStr">
        <is>
          <t>Dynamic task mapping
How do you create a variable number of tasks at run time from data?
from airflow.decorators import task
@task
def list_files():
    return ["a.csv", "b.csv", "c.csv"]
@task
def process(name):
    print("processing", name)
    return len(name)
@task
def summarise(sizes):
    print(sum(sizes))
summarise(process.expand(name=list_files()))</t>
        </is>
      </c>
      <c r="B26" s="29" t="inlineStr">
        <is>
          <t>MEANING (SHORT):
The expand method creates one task instance for each item of an input list at run time, and the results can be collected by a downstream task.
CODE:
from airflow.decorators import task
@task
def list_files():
    return ["a.csv", "b.csv", "c.csv"]
@task
def process(name):
    print("processing", name)
    return len(name)
@task
def summarise(sizes):
    print(sum(sizes))
summarise(process.expand(name=list_files()))
OUTPUT:
Three process task instances run, one for each file, and summarise receives all their results.
EXPLANATION:
expand takes arguments as lists, and Airflow creates a mapped instance for each. partial sets arguments that are the same for all instances. The number of instances is known only when the upstream task finishes. The interface shows each mapped instance separately. Results can be reduced by a downstream task. Very large mappings need care. Written for Airflow 2.x imports; in Airflow 3 they move to airflow.sdk and apache-airflow-providers-standard.
SIMPLE EXPLANATION (HINGLISH):
Produce a list, then expand a task over it, and collect the results downstream.
REAL-LIFE ANALOGY:
Dynamic mapping is a stamping machine that makes one task copy for each item in a list.
SYNTAX PATTERN:
task.expand(arg=list) | task.partial(fixed=value).expand(arg=list)
ANATOMY:
expand = one per item | partial = shared arguments | mapped instance = copy for one item
EXAMPLE 1:
process.partial(bucket="raw").expand(name=names)
EXAMPLE 2:
BashOperator.partial(task_id="b").expand(bash_command=["echo 1", "echo 2"])
EXAMPLE 3:
summarise(process.expand(name=names))
VARIATION:
expand_kwargs([{"a": 1}, {"a": 2}])   // map over dictionaries of arguments
USED WITH:
TaskFlow API, pools, XCom
RELATED CONCEPTS:
TaskFlow API, XCom, pools and concurrency, task groups
ALTERNATIVES:
Loops that create tasks at parse time
WHERE IT IS USED:
Many files | Many tables | Partner lists
MINI CONVERSATION:
A: The number of files changes every day. | B: Use dynamic task mapping over the file list.
COMMON MISTAKE:
✗ Loops at the top of the DAG file are the same as mapping → ✓ A loop fixes the tasks at parse time, while mapping decides at run time
COMMONLY CONFUSED WITH:
expand vs partial: expand varies arguments, partial fixes them.
AVOID / DON'T:
Do not create thousands of mapped tasks without limits.
WRONG CODE:
for f in os.listdir("/data"): PythonOperator(...)   # runs at parse time
RIGHT CODE:
process.expand(name=list_files())
MEMORY TRICK:
Expand varies the input, partial fixes it.
REAL LIFE: PROJECT / WORK:
Mapping over the daily file list replaced a fragile loop that read the folder on every parse.
REAL LIFE: INTERVIEW / EXAM:
An interviewer may ask: What problem does dynamic task mapping solve?
REAL LIFE: DAILY LIFE:
It is like a stamping machine making one copy per item.</t>
        </is>
      </c>
      <c r="C26" s="29" t="inlineStr">
        <is>
          <t>03_Running_Advanced_AIR-025</t>
        </is>
      </c>
    </row>
    <row r="27" ht="409" customHeight="1">
      <c r="A27" s="29" t="inlineStr">
        <is>
          <t>Deployment options
Which ways can you run Airflow, from a laptop to a managed cloud service?</t>
        </is>
      </c>
      <c r="B27" s="29" t="inlineStr">
        <is>
          <t>DEFINITION (SIMPLE):
Airflow can run locally with containers, on virtual machines or Kubernetes using the official Helm chart, or as a managed service from vendors such as Astronomer, Amazon MWAA and Google Cloud Composer.
HOW / WHY IT WORKS:
A local Docker Compose or standalone setup suits learning and testing. Self-managed production needs a metadata database, a scheduler, workers, a way to distribute DAG code and monitoring. Managed services handle installation, scaling and upgrades but have a cost and some limits on custom setups. Choice depends on team skills, budget and compliance needs.
SIMPLE EXPLANATION (HINGLISH):
Use containers locally, and a managed service or Kubernetes chart for production.
REAL-LIFE ANALOGY:
Deployment options are renting a flat, building a house or staying in a hotel.
FORMULA / RULE:
More control = more work. Managed = less work, less control.
EXAMPLE 1:
Docker Compose on a laptop.
EXAMPLE 2:
The official Helm chart on a Kubernetes cluster.
EXAMPLE 3:
A managed service such as MWAA or Composer.
RELATED CONCEPTS:
Airflow components, executors, secrets backends, upgrades
FAMILY / GROUP:
Helm, managed service, MWAA, Composer, Astronomer
WHERE IT IS USED:
Platform decisions | Customer setups | Cost planning
MINI CONVERSATION:
A: Who patches and upgrades Airflow for us? | B: With a managed service, the vendor does.
COMMON MISTAKE:
✗ Self-hosting is always cheaper → ✓ Staff time for upgrades and operations often outweighs the service cost
DON'T CONFUSE WITH:
Managed vs self-hosted: managed saves effort, self-hosted gives control.
AVOID / DON'T:
Do not run production on a single laptop-style setup.
MEMORY TRICK:
Local for learning, managed for convenience.
REAL LIFE: PROJECT / WORK:
Moving to a managed service freed the team from patching and scaling Airflow.
REAL LIFE: INTERVIEW / EXAM:
An interviewer may ask: How would you deploy Airflow for a customer?
REAL LIFE: DAILY LIFE:
It is like renting, building or staying in a hotel.</t>
        </is>
      </c>
      <c r="C27" s="29" t="inlineStr">
        <is>
          <t>04_Operations_Intermediate_AIR-026</t>
        </is>
      </c>
    </row>
    <row r="28" ht="409" customHeight="1">
      <c r="A28" s="29" t="inlineStr">
        <is>
          <t>Logs and debugging
Where do you find out why a task failed and how do you reproduce it?
airflow tasks test daily_sales extract 2026-10-01
airflow dags test daily_sales 2026-10-01
airflow dags list-import-errors
airflow tasks states-for-dag-run daily_sales manual__2026-10-01T00:00:00+00:00</t>
        </is>
      </c>
      <c r="B28" s="29" t="inlineStr">
        <is>
          <t>MEANING (SHORT):
Each task attempt writes a log available in the interface and storage, and you can run single tasks or whole DAGs from the command line to reproduce problems.
CODE:
airflow tasks test daily_sales extract 2026-10-01
airflow dags test daily_sales 2026-10-01
airflow dags list-import-errors
airflow tasks states-for-dag-run daily_sales manual__2026-10-01T00:00:00+00:00
OUTPUT:
The first command runs one task without recording state, the second runs the whole DAG once, the third shows files that failed to import, and the fourth shows task states.
EXPLANATION:
Read the log from the bottom to see the final error, then look upward for context. Import errors mean the DAG file failed to parse and the DAG does not appear. tasks test runs a task for a date without a scheduler and without saving state, which is handy for debugging. Remote log storage keeps logs after workers are replaced.
SIMPLE EXPLANATION (HINGLISH):
Read the task log from the bottom, check import errors, and reproduce with tasks test.
REAL-LIFE ANALOGY:
The task log is the black box recorder for each attempt.
SYNTAX PATTERN:
airflow tasks test &lt;dag_id&gt; &lt;task_id&gt; &lt;date&gt;
ANATOMY:
tasks test = run one task | dags test = run one DAG | import errors = parse failures
EXAMPLE 1:
airflow dags list
EXAMPLE 2:
airflow tasks render daily_sales extract 2026-10-01
EXAMPLE 3:
airflow dags show daily_sales
VARIATION:
python dag_file.py   // check that the file imports without errors
USED WITH:
the web UI, testing DAGs, remote logging
RELATED CONCEPTS:
the web UI, testing DAGs, alerts, retries and timeouts
ALTERNATIVES:
The interface log viewer
WHERE IT IS USED:
Debugging | Support | Development
MINI CONVERSATION:
A: My new DAG does not appear. | B: Run the import errors command to see the parse error.
COMMON MISTAKE:
✗ A DAG that is missing from the list was deleted → ✓ It may have an import error that stops it parsing
COMMONLY CONFUSED WITH:
tasks test vs a normal run: test saves no state and ignores the schedule.
AVOID / DON'T:
Do not lose logs by storing them only on short-lived workers.
WRONG CODE:
airflow tasks run daily_sales extract   # missing date and run
RIGHT CODE:
airflow tasks test daily_sales extract 2026-10-01
MEMORY TRICK:
Missing DAG, check the import errors.
REAL LIFE: PROJECT / WORK:
Listing import errors found a missing library that had hidden a DAG for a day.
REAL LIFE: INTERVIEW / EXAM:
An interviewer may ask: Why does my DAG not appear in the interface?
REAL LIFE: DAILY LIFE:
It is like a black box recorder for each attempt.</t>
        </is>
      </c>
      <c r="C28" s="29" t="inlineStr">
        <is>
          <t>04_Operations_Beginner_AIR-027</t>
        </is>
      </c>
    </row>
    <row r="29" ht="409" customHeight="1">
      <c r="A29" s="29" t="inlineStr">
        <is>
          <t>Testing DAGs
How do you check that DAG files load correctly and tasks behave before deploying?
import pytest
from airflow.models import DagBag
@pytest.fixture(scope="session")
def dagbag():
    return DagBag(dag_folder="dags/", include_examples=False)
def test_no_import_errors(dagbag):
    assert dagbag.import_errors == {}
def test_sales_has_tasks(dagbag):
    dag = dagbag.get_dag("daily_sales")
    assert {"extract", "load"} &lt;= set(dag.task_ids)</t>
        </is>
      </c>
      <c r="B29" s="29" t="inlineStr">
        <is>
          <t>MEANING (SHORT):
DAG tests load the DagBag to check for import errors and structure, unit-test the Python functions, and optionally run a DAG once with dag.test.
CODE:
import pytest
from airflow.models import DagBag
@pytest.fixture(scope="session")
def dagbag():
    return DagBag(dag_folder="dags/", include_examples=False)
def test_no_import_errors(dagbag):
    assert dagbag.import_errors == {}
def test_sales_has_tasks(dagbag):
    dag = dagbag.get_dag("daily_sales")
    assert {"extract", "load"} &lt;= set(dag.task_ids)
OUTPUT:
The tests pass when every DAG file imports and daily_sales has the expected tasks.
EXPLANATION:
DagBag parses the folder as the scheduler does. Tests can assert on the number of tasks, dependencies, tags and default arguments. Business logic in functions can be tested without Airflow by calling them with sample data. dag.test runs a whole DAG in one process for an integration check. Run these tests in CI on every pull request.
SIMPLE EXPLANATION (HINGLISH):
Load all DAGs in a test, assert structure, and unit-test the functions.
REAL-LIFE ANALOGY:
A DAG test is a dress rehearsal that checks the costumes before the show.
SYNTAX PATTERN:
DagBag(dag_folder="dags/").import_errors == {}
ANATOMY:
DagBag = loads DAG files | import_errors = parse problems | task_ids = structure
EXAMPLE 1:
assert len(dag.tasks) == 4
EXAMPLE 2:
assert dag.default_args["retries"] &gt;= 1
EXAMPLE 3:
dag.test()
VARIATION:
pytest tests/ -q   // run all tests in CI
USED WITH:
CI, pytest, unit tests
RELATED CONCEPTS:
logs and debugging, CI, testing pipelines, defining a DAG
ALTERNATIVES:
Manual runs in a dev environment
WHERE IT IS USED:
Pull requests | Releases | Platform teams
MINI CONVERSATION:
A: A typo in one DAG file broke everything. | B: Add a CI test that loads all DAGs.
COMMON MISTAKE:
✗ If the file runs in Python, the DAG is fine → ✓ It must also parse correctly inside Airflow with its settings
COMMONLY CONFUSED WITH:
Import test vs unit test: one checks parsing, the other checks logic.
AVOID / DON'T:
Do not merge DAG changes without loading them in a test.
WRONG CODE:
# deploy without any DAG tests
RIGHT CODE:
assert DagBag("dags/").import_errors == {}
MEMORY TRICK:
Load every DAG before you ship.
REAL LIFE: PROJECT / WORK:
A CI test that loads all DAGs blocked broken merges.
REAL LIFE: INTERVIEW / EXAM:
An interviewer may ask: How do you test Airflow DAGs?
REAL LIFE: DAILY LIFE:
It is like a dress rehearsal.</t>
        </is>
      </c>
      <c r="C29" s="29" t="inlineStr">
        <is>
          <t>04_Operations_Intermediate_AIR-028</t>
        </is>
      </c>
    </row>
    <row r="30" ht="409" customHeight="1">
      <c r="A30" s="29" t="inlineStr">
        <is>
          <t>Secrets backends
How can Airflow read connections and variables from a secure vault instead of its own database?</t>
        </is>
      </c>
      <c r="B30" s="29" t="inlineStr">
        <is>
          <t>DEFINITION (SIMPLE):
A secrets backend is a plug-in that looks up connections and variables in an external manager such as AWS Secrets Manager, Google Secret Manager or HashiCorp Vault, before checking the Airflow database.
HOW / WHY IT WORKS:
Configured in the Airflow settings, the backend uses a naming prefix, such as airflow/connections, to find entries. Access to the vault is by the role of the Airflow service, not stored keys. Secrets are not stored in the interface. Rotation happens in the vault and takes effect at the next lookup. Lookups happen often, so caching and permissions need care.
SIMPLE EXPLANATION (HINGLISH):
Store secrets in a vault, let Airflow look them up with its own role, and rotate there.
REAL-LIFE ANALOGY:
A secrets backend is a bank vault that the scheduler visits whenever it needs a key.
FORMULA / RULE:
Vault + role + naming prefix = secure lookups.
EXAMPLE 1:
A connection stored in AWS Secrets Manager under airflow/connections/warehouse.
EXAMPLE 2:
A variable stored in Vault.
EXAMPLE 3:
Rotating a password in the vault with no DAG change.
RELATED CONCEPTS:
connections and hooks, variables, credentials in pipelines, least privilege
FAMILY / GROUP:
vault, backend, prefix, rotation, role
WHERE IT IS USED:
Production deployments | Compliance | Multi-team platforms
MINI CONVERSATION:
A: Where is the database password stored? | B: In the secrets manager, and Airflow reads it at run time.
COMMON MISTAKE:
✗ The Airflow interface is a safe place to keep production passwords → ✓ A dedicated vault gives better access control and audit
DON'T CONFUSE WITH:
Secrets backend vs connection in the database: the first stores outside Airflow, the second inside.
AVOID / DON'T:
Do not give Airflow broader vault permissions than it needs.
MEMORY TRICK:
Vault holds it, role reads it.
REAL LIFE: PROJECT / WORK:
Moving connections to a secrets backend let a customer rotate passwords without redeploying.
REAL LIFE: INTERVIEW / EXAM:
An interviewer may ask: How do you keep credentials out of the Airflow database?
REAL LIFE: DAILY LIFE:
It is like a bank vault with a visitor logbook.</t>
        </is>
      </c>
      <c r="C30" s="29" t="inlineStr">
        <is>
          <t>04_Operations_Advanced_AIR-029</t>
        </is>
      </c>
    </row>
    <row r="31" ht="409" customHeight="1">
      <c r="A31" s="29" t="inlineStr">
        <is>
          <t>Airflow alerts and callbacks
How do you notify people when tasks or DAG runs fail or succeed?
def notify(context):
    ti = context["task_instance"]
    msg = f"Task {ti.task_id} in {ti.dag_id} failed for {context['ds']}. Log: {ti.log_url}"
    send_to_chat(msg)
default_args = {"on_failure_callback": notify, "retries": 2}
with DAG("daily_sales", start_date=datetime(2026, 10, 1), schedule="@daily", catchup=False, default_args=default_args) as dag:
    ...</t>
        </is>
      </c>
      <c r="B31" s="29" t="inlineStr">
        <is>
          <t>MEANING (SHORT):
Callbacks such as on_failure_callback and on_success_callback run a function when a task or DAG run changes state, and can send messages to chat or paging tools.
CODE:
def notify(context):
    ti = context["task_instance"]
    msg = f"Task {ti.task_id} in {ti.dag_id} failed for {context['ds']}. Log: {ti.log_url}"
    send_to_chat(msg)
default_args = {"on_failure_callback": notify, "retries": 2}
with DAG("daily_sales", start_date=datetime(2026, 10, 1), schedule="@daily", catchup=False, default_args=default_args) as dag:
    ...
OUTPUT:
After the final failed attempt, a message with the DAG, task, date and log link is sent to chat.
EXPLANATION:
Callbacks receive a context dictionary. Failure callbacks fire after retries are exhausted, and a retry callback fires on retries. Email alerts also exist but need an email setup. Provider packages include notifiers for Slack and other tools. Keep callbacks small and safe, because errors inside them are hard to see. Avoid alerting on every retry. Written for Airflow 2.x imports; in Airflow 3 they move to airflow.sdk and apache-airflow-providers-standard.
SIMPLE EXPLANATION (HINGLISH):
Add a failure callback that sends a clear message with a log link.
REAL-LIFE ANALOGY:
A failure callback is a smoke alarm wired to your phone.
SYNTAX PATTERN:
on_failure_callback=function(context)
ANATOMY:
context = task details | ti = task instance | log_url = link | default_args = apply to all tasks
EXAMPLE 1:
on_success_callback=celebrate
EXAMPLE 2:
DAG(..., on_failure_callback=notify)
EXAMPLE 3:
from airflow.providers.slack.notifications.slack import send_slack_notification
VARIATION:
email_on_failure=True   // use email alerts
USED WITH:
retries, chat tools, default arguments
RELATED CONCEPTS:
retries and timeouts, logs and debugging, SLAs and deadlines, alerts
ALTERNATIVES:
External monitoring | provider notifiers
WHERE IT IS USED:
Production DAGs | On-call | Customer feeds
MINI CONVERSATION:
A: Nobody knew the load failed overnight. | B: Add a failure callback to the default arguments.
COMMON MISTAKE:
✗ A failure callback fires on each retry → ✓ It fires after the final failure, and retries have their own callback
COMMONLY CONFUSED WITH:
on_failure vs on_retry callback: one fires at the end, the other on each retry.
AVOID / DON'T:
Do not send alerts without a log link.
WRONG CODE:
def notify(context): print("failed")
RIGHT CODE:
def notify(context): send_to_chat(f"{context['ti'].task_id} failed: {context['ti'].log_url}")
MEMORY TRICK:
Every alert carries a link to the log.
REAL LIFE: PROJECT / WORK:
Adding failure callbacks with log links cut the time to respond to failed nightly loads.
REAL LIFE: INTERVIEW / EXAM:
An interviewer may ask: When does on_failure_callback run?
REAL LIFE: DAILY LIFE:
It is like a smoke alarm wired to your phone.</t>
        </is>
      </c>
      <c r="C31" s="29" t="inlineStr">
        <is>
          <t>04_Operations_Intermediate_AIR-030</t>
        </is>
      </c>
    </row>
    <row r="32" ht="409" customHeight="1">
      <c r="A32" s="29" t="inlineStr">
        <is>
          <t>Upgrades
How do you upgrade Airflow safely without breaking DAGs?</t>
        </is>
      </c>
      <c r="B32" s="29" t="inlineStr">
        <is>
          <t>DEFINITION (SIMPLE):
An Airflow upgrade moves to a newer version by backing up the metadata database, reading release notes, testing DAGs, migrating the database schema, and rolling out in stages.
HOW / WHY IT WORKS:
Pin versions of Airflow and providers with constraint files, so installs are repeatable. Back up the metadata database before migrating. Run the database migration command and deprecation checks. Test DAGs for import errors and behaviour in a staging copy. Provider packages upgrade separately from the core. Managed services offer version choices and upgrade procedures.
SIMPLE EXPLANATION (HINGLISH):
Back up, test in staging, migrate the database, and roll out carefully.
REAL-LIFE ANALOGY:
An Airflow upgrade is a ship refit done in dry dock before returning to sea.
FORMULA / RULE:
Backup + staging test + migrate + staged rollout.
EXAMPLE 1:
Running airflow db migrate in a staging copy.
EXAMPLE 2:
Pinning versions with the official constraint file.
EXAMPLE 3:
Fixing deprecated imports before a major upgrade.
RELATED CONCEPTS:
deployment options, testing DAGs, providers, version pinning
FAMILY / GROUP:
upgrade, migration, constraint, deprecation, provider
WHERE IT IS USED:
Platform operations | Maintenance windows | Customer environments
MINI CONVERSATION:
A: Can we upgrade straight in production? | B: No, test in staging and back up the database first.
COMMON MISTAKE:
✗ Upgrading Airflow only changes the web interface → ✓ It also migrates the database and can change DAG behaviour
DON'T CONFUSE WITH:
Core vs provider upgrade: the core is the platform, providers are separate integration packages.
AVOID / DON'T:
Do not upgrade production without a database backup.
MEMORY TRICK:
Backup first, staging second, production last.
REAL LIFE: PROJECT / WORK:
A staging upgrade exposed a removed import before the production maintenance window.
REAL LIFE: INTERVIEW / EXAM:
An interviewer may ask: How would you plan an Airflow upgrade?
REAL LIFE: DAILY LIFE:
It is like refitting a ship in dry dock.</t>
        </is>
      </c>
      <c r="C32" s="29" t="inlineStr">
        <is>
          <t>04_Operations_Advanced_AIR-031</t>
        </is>
      </c>
    </row>
    <row r="33" ht="409" customHeight="1">
      <c r="A33" s="29" t="inlineStr">
        <is>
          <t>Idempotent tasks
Which rule ensures a task can be rerun safely without duplicating results?
load = SQLExecuteQueryOperator(
    task_id="load_day",
    conn_id="warehouse",
    sql="""
    DELETE FROM fct_sales WHERE sale_date = '{{ ds }}';
    INSERT INTO fct_sales SELECT * FROM stg_sales WHERE sale_date = '{{ ds }}';
    """,
)</t>
        </is>
      </c>
      <c r="B33" s="29" t="inlineStr">
        <is>
          <t>MEANING (SHORT):
An idempotent task processes only its data interval and writes by replacing or upserting that slice, so a rerun gives the same final state.
CODE:
load = SQLExecuteQueryOperator(
    task_id="load_day",
    conn_id="warehouse",
    sql="""
    DELETE FROM fct_sales WHERE sale_date = '{{ ds }}';
    INSERT INTO fct_sales SELECT * FROM stg_sales WHERE sale_date = '{{ ds }}';
    """,
)
OUTPUT:
Running the task twice for the same date leaves exactly one copy of that day's rows.
EXPLANATION:
Appends without keys create duplicates on retries. Use the logical date instead of the current time. Write to temporary locations and swap them in. External side effects such as sending emails need guards or separate tracking. Idempotency makes backfills, retries and manual clears safe.
SIMPLE EXPLANATION (HINGLISH):
Process the interval only, and replace or upsert the result.
REAL-LIFE ANALOGY:
An idempotent task is a light switch that stays on when pressed twice.
SYNTAX PATTERN:
DELETE slice; INSERT slice using {{ ds }}
ANATOMY:
slice = the run's interval | logical date = repeatable input | replace = no duplicates
EXAMPLE 1:
INSERT ... ON CONFLICT DO UPDATE ...
EXAMPLE 2:
df.to_parquet(f"s3://b/sales/dt={ds}/data.parquet")
EXAMPLE 3:
TRUNCATE TABLE tmp; INSERT INTO tmp ...; ALTER TABLE swap
VARIATION:
CREATE OR REPLACE TABLE daily AS SELECT ... WHERE day = '{{ ds }}';   // warehouse replace
USED WITH:
retries, backfills, templating
RELATED CONCEPTS:
retries and timeouts, catchup and backfill, templating, ETL idempotency
ALTERNATIVES:
Upserts | partition overwrite
WHERE IT IS USED:
Every production task | Backfills | Reruns
MINI CONVERSATION:
A: Clearing the task doubled the rows. | B: The task appends, so make it replace its date slice.
COMMON MISTAKE:
✗ Retries and clears are always safe in Airflow → ✓ They are safe only when tasks are idempotent
COMMONLY CONFUSED WITH:
Idempotent vs atomic: idempotent means repeat-safe, atomic means all or nothing.
AVOID / DON'T:
Do not append without a key.
WRONG CODE:
sql="INSERT INTO fct_sales SELECT * FROM stg_sales"
RIGHT CODE:
sql="DELETE FROM fct_sales WHERE sale_date = '{{ ds }}'; INSERT INTO fct_sales SELECT * FROM stg_sales WHERE sale_date = '{{ ds }}';"
MEMORY TRICK:
Replace the slice, never blindly append.
REAL LIFE: PROJECT / WORK:
Making loads idempotent let operators clear failed tasks without manual cleanup.
REAL LIFE: INTERVIEW / EXAM:
An interviewer may ask: Why do Airflow tasks need to be idempotent?
REAL LIFE: DAILY LIFE:
It is like a light switch pressed twice.</t>
        </is>
      </c>
      <c r="C33" s="29" t="inlineStr">
        <is>
          <t>05_Best_Practice_Intermediate_AIR-032</t>
        </is>
      </c>
    </row>
    <row r="34" ht="409" customHeight="1">
      <c r="A34" s="29" t="inlineStr">
        <is>
          <t>Small tasks
Why should each task do one clear piece of work?</t>
        </is>
      </c>
      <c r="B34" s="29" t="inlineStr">
        <is>
          <t>DEFINITION (SIMPLE):
Small tasks each perform one logical step, so failures are easy to locate, retries are cheap and parts can be reused and tested separately.
HOW / WHY IT WORKS:
A task that extracts, cleans and loads in one go hides where it failed and repeats everything on retry. Splitting adds some overhead per task, so avoid trivial tasks. A good boundary is where data is saved or a system changes. Clear names make the graph a readable description of the process.
SIMPLE EXPLANATION (HINGLISH):
One task, one job, with a boundary where data is saved.
REAL-LIFE ANALOGY:
Small tasks are Lego bricks that you can replace one by one.
FORMULA / RULE:
One task = one logical step with a saved result.
EXAMPLE 1:
Separate tasks for extract, transform and load.
EXAMPLE 2:
A retry repeating only the failed load.
EXAMPLE 3:
Reusing the same extract task in two DAGs.
RELATED CONCEPTS:
pipelines vs jobs, idempotent tasks, task groups, retries and timeouts
FAMILY / GROUP:
task, step, boundary, granularity, retry
WHERE IT IS USED:
DAG design | Reviews | Refactoring
MINI CONVERSATION:
A: The task failed after three hours and restarted from zero. | B: Split it so only the failing step repeats.
COMMON MISTAKE:
✗ More tasks are always better → ✓ Tasks that are too tiny add scheduling overhead, so choose meaningful boundaries
DON'T CONFUSE WITH:
Large vs small task: a large task hides failures, a small one isolates them.
AVOID / DON'T:
Do not combine extract, transform and load in one task.
MEMORY TRICK:
One task, one job, one clear result.
REAL LIFE: PROJECT / WORK:
Splitting one long script into steps made recovery much quicker.
REAL LIFE: INTERVIEW / EXAM:
An interviewer may ask: How big should an Airflow task be?
REAL LIFE: DAILY LIFE:
It is like Lego bricks you can swap.</t>
        </is>
      </c>
      <c r="C34" s="29" t="inlineStr">
        <is>
          <t>05_Best_Practice_Intermediate_AIR-033</t>
        </is>
      </c>
    </row>
    <row r="35" ht="409" customHeight="1">
      <c r="A35" s="29" t="inlineStr">
        <is>
          <t>No heavy work in DAG files
Why must DAG files be quick to parse, and what should they avoid at the top level?
# bad: runs on every parse
import requests
rows = requests.get("https://api.example.com/tables").json()
import pandas as pd
# good: do the work inside the task
@task
def list_tables():
    import requests
    return requests.get("https://api.example.com/tables", timeout=30).json()</t>
        </is>
      </c>
      <c r="B35" s="29" t="inlineStr">
        <is>
          <t>MEANING (SHORT):
Top-level code in a DAG file runs on every parse, so it must be fast and free of network calls, database queries and heavy imports, and real work belongs inside tasks.
CODE:
# bad: runs on every parse
import requests
rows = requests.get("https://api.example.com/tables").json()
import pandas as pd
# good: do the work inside the task
@task
def list_tables():
    import requests
    return requests.get("https://api.example.com/tables", timeout=30).json()
OUTPUT:
The good version parses instantly and calls the API only when the task runs.
EXPLANATION:
Parsing happens every thirty seconds or so for each file, by default. Slow parsing delays scheduling for all DAGs. Dynamic DAG generation from external sources makes this worse, so read static config files or use mapping. Heavy libraries can be imported inside functions. Keep the DAG folder tidy, and measure parse times in the interface.
SIMPLE EXPLANATION (HINGLISH):
Keep the file top level light, and do real work inside tasks.
REAL-LIFE ANALOGY:
A DAG file is a menu, and cooking should happen only in the kitchen when the order comes.
SYNTAX PATTERN:
def task(): import heavy; call_api()
ANATOMY:
top level = runs on every parse | task body = runs only at execution | import inside = lazy load
EXAMPLE 1:
import pandas as pd   # inside the function
EXAMPLE 2:
with open("config.yaml") as f: ...   # small static file is fine
EXAMPLE 3:
Variable.get("x")   # inside a task
VARIATION:
process.expand(item=list_items())   // use mapping instead of top-level loops over data
USED WITH:
variables, dynamic task mapping, TaskFlow API
RELATED CONCEPTS:
variables, dynamic task mapping, defining a DAG, testing DAGs
ALTERNATIVES:
Static generation of DAG files
WHERE IT IS USED:
Every DAG file | Reviews | Performance tuning
MINI CONVERSATION:
A: The scheduler is slow and DAG files take a minute to parse. | B: Move the API call and heavy imports into the tasks.
COMMON MISTAKE:
✗ Code at the top of a DAG file runs only once → ✓ It runs on every parse, many times an hour
COMMONLY CONFUSED WITH:
Parse time vs run time: parse time reads the file, run time executes the task.
AVOID / DON'T:
Do not call APIs or databases at the top level.
WRONG CODE:
tables = db.query("SELECT name FROM meta")   # at file top
RIGHT CODE:
@task def list_tables(): return db.query("SELECT name FROM meta")
MEMORY TRICK:
Top level reads fast, task body does work.
REAL LIFE: PROJECT / WORK:
Moving a database call out of the file top removed minutes of scheduler lag.
REAL LIFE: INTERVIEW / EXAM:
An interviewer may ask: Why is top-level code in DAG files a problem?
REAL LIFE: DAILY LIFE:
It is like a menu versus a kitchen.</t>
        </is>
      </c>
      <c r="C35" s="29" t="inlineStr">
        <is>
          <t>05_Best_Practice_Intermediate_AIR-034</t>
        </is>
      </c>
    </row>
    <row r="36" ht="409" customHeight="1">
      <c r="A36" s="29" t="inlineStr">
        <is>
          <t>Passing data by reference
How should tasks share large data without sending it through the database?</t>
        </is>
      </c>
      <c r="B36" s="29" t="inlineStr">
        <is>
          <t>DEFINITION (SIMPLE):
Passing data by reference means a task writes data to shared storage, such as object storage or a table, and passes only its location or identifier to the next task.
HOW / WHY IT WORKS:
Big payloads in XComs slow the metadata database and may fail on size limits. Shared storage lets the next task, possibly on another machine, read the data. Use clear naming with the logical date so reruns overwrite the same location. A custom XCom backend can automate this by storing values in object storage. This design also helps retries and debugging, since the data remains inspectable.
SIMPLE EXPLANATION (HINGLISH):
Write the data to storage and pass its path to the next task.
REAL-LIFE ANALOGY:
Passing by reference is handing someone the locker number, not carrying the contents.
FORMULA / RULE:
Data in storage, reference in XCom.
EXAMPLE 1:
Returning s3://bucket/raw/dt=2026-10-01/part.parquet from the extract task.
EXAMPLE 2:
Passing a staging table name to the load task.
EXAMPLE 3:
A custom XCom backend storing large values in object storage.
RELATED CONCEPTS:
XCom, TaskFlow API, idempotent tasks, file formats
FAMILY / GROUP:
reference, path, locker, XCom backend, storage
WHERE IT IS USED:
Large data flows | Multi-worker setups | Debugging
MINI CONVERSATION:
A: The XCom is huge and tasks are failing. | B: Write the data to storage and pass the path.
COMMON MISTAKE:
✗ Local files are fine for passing data between tasks → ✓ Tasks may run on different machines, so use shared storage
DON'T CONFUSE WITH:
By value vs by reference: value sends the data itself, reference sends its location.
AVOID / DON'T:
Do not pass dataframes through XCom or local disk.
MEMORY TRICK:
Send the locker number, not the luggage.
REAL LIFE: PROJECT / WORK:
Switching to storage paths ended XCom size errors in a data cleaning DAG.
REAL LIFE: INTERVIEW / EXAM:
An interviewer may ask: How do tasks share large datasets in Airflow?
REAL LIFE: DAILY LIFE:
It is like handing over a locker number.</t>
        </is>
      </c>
      <c r="C36" s="29" t="inlineStr">
        <is>
          <t>05_Best_Practice_Intermediate_AIR-035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08" customHeight="1">
      <c r="A2" s="29" t="inlineStr">
        <is>
          <t>MCQ: What is Airflow mainly for?
A) Streaming events B) Storing files C) Training models only D) Orchestrating scheduled workflows
FILL: Airflow workflows are written in the language ____
APPLY: A team needs dependencies, retries and history for nightly jobs. What tool?</t>
        </is>
      </c>
      <c r="B2" s="29" t="inlineStr">
        <is>
          <t>MCQ answer: D  It schedules and monitors tasks.
Fill answer: Python
Apply: Airflow</t>
        </is>
      </c>
      <c r="C2" s="29" t="inlineStr">
        <is>
          <t>01_Basics_Beginner_AIR-001_quiz</t>
        </is>
      </c>
    </row>
    <row r="3" ht="81" customHeight="1">
      <c r="A3" s="29" t="inlineStr">
        <is>
          <t>MCQ: What does acyclic mean?
A) No tasks B) No Python C) No loops in dependencies D) No schedule
FILL: One execution of a DAG is called a DAG ____
APPLY: Two tasks depend on each other. Is this valid?</t>
        </is>
      </c>
      <c r="B3" s="29" t="inlineStr">
        <is>
          <t>MCQ answer: C  A task cannot depend on itself through a cycle.
Fill answer: run
Apply: No, it creates a cycle</t>
        </is>
      </c>
      <c r="C3" s="29" t="inlineStr">
        <is>
          <t>01_Basics_Beginner_AIR-002_quiz</t>
        </is>
      </c>
    </row>
    <row r="4" ht="94.5" customHeight="1">
      <c r="A4" s="29" t="inlineStr">
        <is>
          <t>MCQ: What is a task instance?
A) A server B) A task in one specific DAG run C) A schedule D) A connection
FILL: An operator that waits for a condition is a ____
APPLY: You need to run a query in a warehouse. What do you look for?</t>
        </is>
      </c>
      <c r="B4" s="29" t="inlineStr">
        <is>
          <t>MCQ answer: B  Each run creates its own instance with a state.
Fill answer: sensor
Apply: A provider operator</t>
        </is>
      </c>
      <c r="C4" s="29" t="inlineStr">
        <is>
          <t>01_Basics_Beginner_AIR-003_quiz</t>
        </is>
      </c>
    </row>
    <row r="5" ht="81" customHeight="1">
      <c r="A5" s="29" t="inlineStr">
        <is>
          <t>MCQ: What does the first cron field represent?
A) Minute B) Month C) Hour D) Day
FILL: Airflow schedules use ____ by default
APPLY: A report must run at nine on weekdays. Which expression?</t>
        </is>
      </c>
      <c r="B5" s="29" t="inlineStr">
        <is>
          <t>MCQ answer: A  The order starts with minute.
Fill answer: UTC
Apply: 0 9 * * 1-5</t>
        </is>
      </c>
      <c r="C5" s="29" t="inlineStr">
        <is>
          <t>01_Basics_Beginner_AIR-004_quiz</t>
        </is>
      </c>
    </row>
    <row r="6" ht="94.5" customHeight="1">
      <c r="A6" s="29" t="inlineStr">
        <is>
          <t>MCQ: What decides the order of tasks?
A) Random B) File order C) Declared dependencies D) Alphabet
FILL: A task that runs after another is its ____
APPLY: A cleanup task must run even if earlier tasks failed. What do you change?</t>
        </is>
      </c>
      <c r="B6" s="29" t="inlineStr">
        <is>
          <t>MCQ answer: C  Airflow follows the declared graph.
Fill answer: downstream
Apply: Its trigger rule</t>
        </is>
      </c>
      <c r="C6" s="29" t="inlineStr">
        <is>
          <t>01_Basics_Beginner_AIR-005_quiz</t>
        </is>
      </c>
    </row>
    <row r="7" ht="94.5" customHeight="1">
      <c r="A7" s="29" t="inlineStr">
        <is>
          <t>MCQ: Which view shows runs as columns and tasks as rows?
A) Grid view B) Calendar only C) Graph view D) Code view
FILL: Rerunning a failed task is done by ____ it
APPLY: A task failed because of a temporary error. What do you do in the UI?</t>
        </is>
      </c>
      <c r="B7" s="29" t="inlineStr">
        <is>
          <t>MCQ answer: A  The grid shows history by run and task.
Fill answer: clearing
Apply: Clear the task to rerun it</t>
        </is>
      </c>
      <c r="C7" s="29" t="inlineStr">
        <is>
          <t>01_Basics_Beginner_AIR-006_quiz</t>
        </is>
      </c>
    </row>
    <row r="8" ht="94.5" customHeight="1">
      <c r="A8" s="29" t="inlineStr">
        <is>
          <t>MCQ: What stores task states and history?
A) The DAG file B) The metadata database C) The web server D) A worker
FILL: The component that creates runs and task instances is the ____
APPLY: Tasks stay in queued state forever. What do you check first?</t>
        </is>
      </c>
      <c r="B8" s="29" t="inlineStr">
        <is>
          <t>MCQ answer: B  All state lives in the database.
Fill answer: scheduler
Apply: The scheduler and workers</t>
        </is>
      </c>
      <c r="C8" s="29" t="inlineStr">
        <is>
          <t>01_Basics_Intermediate_AIR-007_quiz</t>
        </is>
      </c>
    </row>
    <row r="9" ht="108" customHeight="1">
      <c r="A9" s="29" t="inlineStr">
        <is>
          <t>MCQ: Which argument sets the DAG's unique name?
A) task_id B) owner C) tags D) dag_id
FILL: The argument that controls creating past missed runs is ____
HINDI TO TASK: Define a daily DAG called reports with catchup off.
PRACTICE QUESTION: Why keep top-level DAG code light?</t>
        </is>
      </c>
      <c r="B9" s="29" t="inlineStr">
        <is>
          <t>MCQ answer: D  dag_id identifies the DAG.
Fill answer: catchup
Task answer:
with DAG("reports", start_date=datetime(2026, 10, 1), schedule="@daily", catchup=False) as dag:
Practice answer:
The scheduler imports the file very often.</t>
        </is>
      </c>
      <c r="C9" s="29" t="inlineStr">
        <is>
          <t>02_Writing_DAGs_Beginner_AIR-008_quiz</t>
        </is>
      </c>
    </row>
    <row r="10" ht="121.5" customHeight="1">
      <c r="A10" s="29" t="inlineStr">
        <is>
          <t>MCQ: What does exit code zero mean for a Bash task?
A) Skip B) Success C) Retry D) Failure
FILL: The argument that points to the function in PythonOperator is python_____
HINDI TO TASK: Run echo hello as a Bash task.
PRACTICE QUESTION: How does a Bash task signal failure?</t>
        </is>
      </c>
      <c r="B10" s="29" t="inlineStr">
        <is>
          <t>MCQ answer: B  Exit code zero means success and most other codes fail the task (99 marks it skipped by default).
Fill answer: callable
Task answer:
BashOperator(task_id="hello", bash_command="echo hello")
Practice answer:
By exiting with a non-zero code.</t>
        </is>
      </c>
      <c r="C10" s="29" t="inlineStr">
        <is>
          <t>02_Writing_DAGs_Beginner_AIR-009_quiz</t>
        </is>
      </c>
    </row>
    <row r="11" ht="135" customHeight="1">
      <c r="A11" s="29" t="inlineStr">
        <is>
          <t>MCQ: How does TaskFlow pass data between tasks?
A) Through global variables B) Through emails C) Through XComs automatically D) Through logs
FILL: Decorating a function with the at sign and the word ____ turns it into a unit of work in the modern style
HINDI TO TASK: Make a function a task that returns the number 5.
PRACTICE QUESTION: Why keep returned values small?</t>
        </is>
      </c>
      <c r="B11" s="29" t="inlineStr">
        <is>
          <t>MCQ answer: C  Return values are stored as XComs.
Fill answer: task
Task answer:
@task def five(): return 5
Practice answer:
They are stored in the metadata database.</t>
        </is>
      </c>
      <c r="C11" s="29" t="inlineStr">
        <is>
          <t>02_Writing_DAGs_Intermediate_AIR-010_quiz</t>
        </is>
      </c>
    </row>
    <row r="12" ht="121.5" customHeight="1">
      <c r="A12" s="29" t="inlineStr">
        <is>
          <t>MCQ: What should XCom hold?
A) Large datasets B) Backups C) Videos D) Small metadata such as paths
FILL: The object used to push and pull XComs is the task ____
HINDI TO TASK: Read the value returned by the task extract.
PRACTICE QUESTION: Where are XComs stored?</t>
        </is>
      </c>
      <c r="B12" s="29" t="inlineStr">
        <is>
          <t>MCQ answer: D  It is stored in the database, so keep it small.
Fill answer: instance
Task answer:
ti.xcom_pull(task_ids="extract")
Practice answer:
In the metadata database.</t>
        </is>
      </c>
      <c r="C12" s="29" t="inlineStr">
        <is>
          <t>02_Writing_DAGs_Intermediate_AIR-011_quiz</t>
        </is>
      </c>
    </row>
    <row r="13" ht="108" customHeight="1">
      <c r="A13" s="29" t="inlineStr">
        <is>
          <t>MCQ: Which variable is the logical date as text?
A) ds B) today C) now D) clock
FILL: Templates use the language ____
HINDI TO TASK: Use the logical date in a command.
PRACTICE QUESTION: Why prefer logical dates over the current time?</t>
        </is>
      </c>
      <c r="B13" s="29" t="inlineStr">
        <is>
          <t>MCQ answer: A  ds gives the logical date in year-month-day form.
Fill answer: Jinja
Task answer:
bash_command="echo {{ ds }}"
Practice answer:
Reruns must process the same period as the original run.</t>
        </is>
      </c>
      <c r="C13" s="29" t="inlineStr">
        <is>
          <t>02_Writing_DAGs_Intermediate_AIR-012_quiz</t>
        </is>
      </c>
    </row>
    <row r="14" ht="121.5" customHeight="1">
      <c r="A14" s="29" t="inlineStr">
        <is>
          <t>MCQ: Where should Variable.get be called?
A) Inside a task or template B) At the top of the file C) In comments D) In every import
FILL: A fallback value for a missing variable is the ____ argument
HINDI TO TASK: Read the variable region with a default of in.
PRACTICE QUESTION: Why are secrets not stored as plain variables?</t>
        </is>
      </c>
      <c r="B14" s="29" t="inlineStr">
        <is>
          <t>MCQ answer: A  The top level runs on every parse.
Fill answer: default_var
Task answer:
Variable.get("region", default_var="in")
Practice answer:
A secrets backend protects and audits them better.</t>
        </is>
      </c>
      <c r="C14" s="29" t="inlineStr">
        <is>
          <t>02_Writing_DAGs_Intermediate_AIR-013_quiz</t>
        </is>
      </c>
    </row>
    <row r="15" ht="135" customHeight="1">
      <c r="A15" s="29" t="inlineStr">
        <is>
          <t>MCQ: What does a hook do?
A) Stores passwords B) Uses a connection to talk to a system C) Renders templates D) Schedules DAGs
FILL: Operators refer to a connection by its ____
HINDI TO TASK: Create a Postgres hook using the connection warehouse.
PRACTICE QUESTION: Where can connections be stored in production?</t>
        </is>
      </c>
      <c r="B15" s="29" t="inlineStr">
        <is>
          <t>MCQ answer: B  Hooks wrap the client for an outside system.
Fill answer: id
Task answer:
hook = PostgresHook(postgres_conn_id="warehouse")
Practice answer:
In a secrets backend.</t>
        </is>
      </c>
      <c r="C15" s="29" t="inlineStr">
        <is>
          <t>02_Writing_DAGs_Intermediate_AIR-014_quiz</t>
        </is>
      </c>
    </row>
    <row r="16" ht="108" customHeight="1">
      <c r="A16" s="29" t="inlineStr">
        <is>
          <t>MCQ: Which mode frees the worker slot between checks?
A) poke B) hold C) busy D) reschedule
FILL: A limit after which a sensor fails is its ____
HINDI TO TASK: Wait for an S3 file, checking every five minutes.
PRACTICE QUESTION: Why set a timeout on a sensor?</t>
        </is>
      </c>
      <c r="B16" s="29" t="inlineStr">
        <is>
          <t>MCQ answer: D  Reschedule releases the slot while waiting.
Fill answer: timeout
Task answer:
S3KeySensor(task_id="w", bucket_key="s3://b/f.csv", poke_interval=300, mode="reschedule")
Practice answer:
So a missing event eventually fails and alerts.</t>
        </is>
      </c>
      <c r="C16" s="29" t="inlineStr">
        <is>
          <t>02_Writing_DAGs_Intermediate_AIR-015_quiz</t>
        </is>
      </c>
    </row>
    <row r="17" ht="135" customHeight="1">
      <c r="A17" s="29" t="inlineStr">
        <is>
          <t>MCQ: What does a branch function return?
A) A password B) A number C) The task id or ids to follow D) A date
FILL: The state given to tasks on the unused path is ____
HINDI TO TASK: Make the join task run even when one branch was skipped.
PRACTICE QUESTION: Why does a join after a branch get skipped by default?</t>
        </is>
      </c>
      <c r="B17" s="29" t="inlineStr">
        <is>
          <t>MCQ answer: C  The returned ids define the chosen path.
Fill answer: skipped
Task answer:
done = EmptyOperator(task_id="done", trigger_rule="none_failed_min_one_success")
Practice answer:
Skipped states propagate downstream under the default trigger rule.</t>
        </is>
      </c>
      <c r="C17" s="29" t="inlineStr">
        <is>
          <t>02_Writing_DAGs_Intermediate_AIR-016_quiz</t>
        </is>
      </c>
    </row>
    <row r="18" ht="135" customHeight="1">
      <c r="A18" s="29" t="inlineStr">
        <is>
          <t>MCQ: What does a task group change?
A) The retries B) The schedule C) Layout and task id prefixes D) The executor
FILL: Tasks inside a group get the group name as an id ____
HINDI TO TASK: Group two tasks under the name load.
PRACTICE QUESTION: Do task groups change the order in which tasks run?</t>
        </is>
      </c>
      <c r="B18" s="29" t="inlineStr">
        <is>
          <t>MCQ answer: C  Groups are organisational.
Fill answer: prefix
Task answer:
with TaskGroup("load") as load:
    a = EmptyOperator(task_id="a")
    b = EmptyOperator(task_id="b")
Practice answer:
No, only dependencies decide the order.</t>
        </is>
      </c>
      <c r="C18" s="29" t="inlineStr">
        <is>
          <t>02_Writing_DAGs_Intermediate_AIR-017_quiz</t>
        </is>
      </c>
    </row>
    <row r="19" ht="94.5" customHeight="1">
      <c r="A19" s="29" t="inlineStr">
        <is>
          <t>MCQ: When does the run for the interval of 1 October start?
A) After the interval ends B) During it C) Before it starts D) Never
FILL: The start of the period a run covers is the ____ date
APPLY: A daily run needs to process one full day. Which values do you use?</t>
        </is>
      </c>
      <c r="B19" s="29" t="inlineStr">
        <is>
          <t>MCQ answer: A  Airflow runs after the period is complete.
Fill answer: logical
Apply: The data interval start and end</t>
        </is>
      </c>
      <c r="C19" s="29" t="inlineStr">
        <is>
          <t>03_Running_Intermediate_AIR-018_quiz</t>
        </is>
      </c>
    </row>
    <row r="20" ht="108" customHeight="1">
      <c r="A20" s="29" t="inlineStr">
        <is>
          <t>MCQ: What does catchup do?
A) Sends alerts B) Creates runs for missed intervals C) Deletes old runs D) Speeds up tasks
FILL: The setting that limits how many copies of one DAG are active is max_active_____
APPLY: A bug fix needs last month rerun safely. What do you use?</t>
        </is>
      </c>
      <c r="B20" s="29" t="inlineStr">
        <is>
          <t>MCQ answer: B  The scheduler fills the missing intervals.
Fill answer: runs
Apply: A controlled backfill</t>
        </is>
      </c>
      <c r="C20" s="29" t="inlineStr">
        <is>
          <t>03_Running_Intermediate_AIR-019_quiz</t>
        </is>
      </c>
    </row>
    <row r="21" ht="108" customHeight="1">
      <c r="A21" s="29" t="inlineStr">
        <is>
          <t>MCQ: Which setting stops a task that runs too long?
A) owner B) tags C) retries D) execution_timeout
FILL: The setting for the pause between attempts is retry ____
HINDI TO TASK: Retry a task twice with a five minute pause.
PRACTICE QUESTION: Why must retried tasks be idempotent?</t>
        </is>
      </c>
      <c r="B21" s="29" t="inlineStr">
        <is>
          <t>MCQ answer: D  It limits the time of one attempt.
Fill answer: delay
Task answer:
retries=2, retry_delay=timedelta(minutes=5)
Practice answer:
A repeated attempt must not duplicate data.</t>
        </is>
      </c>
      <c r="C21" s="29" t="inlineStr">
        <is>
          <t>03_Running_Intermediate_AIR-020_quiz</t>
        </is>
      </c>
    </row>
    <row r="22" ht="121.5" customHeight="1">
      <c r="A22" s="29" t="inlineStr">
        <is>
          <t>MCQ: What does a pool limit?
A) Log size B) Concurrent tasks using a resource C) Variables D) The number of DAG files
FILL: The number of seats in a pool is its number of ____
HINDI TO TASK: Assign a task to a pool called api.
PRACTICE QUESTION: Why do poking sensors affect slots?</t>
        </is>
      </c>
      <c r="B22" s="29" t="inlineStr">
        <is>
          <t>MCQ answer: B  A pool has a fixed number of slots.
Fill answer: slots
Task answer:
pool="api"
Practice answer:
They hold a slot while waiting.</t>
        </is>
      </c>
      <c r="C22" s="29" t="inlineStr">
        <is>
          <t>03_Running_Advanced_AIR-021_quiz</t>
        </is>
      </c>
    </row>
    <row r="23" ht="94.5" customHeight="1">
      <c r="A23" s="29" t="inlineStr">
        <is>
          <t>MCQ: Which executor starts a pod for each task?
A) SequentialExecutor B) CeleryExecutor C) LocalExecutor D) KubernetesExecutor
FILL: Celery uses a message ____ to pass tasks to workers
APPLY: Tasks need isolated libraries and resources. Which executor?</t>
        </is>
      </c>
      <c r="B23" s="29" t="inlineStr">
        <is>
          <t>MCQ answer: D  It creates one pod per task instance.
Fill answer: broker
Apply: The Kubernetes executor</t>
        </is>
      </c>
      <c r="C23" s="29" t="inlineStr">
        <is>
          <t>03_Running_Advanced_AIR-022_quiz</t>
        </is>
      </c>
    </row>
    <row r="24" ht="94.5" customHeight="1">
      <c r="A24" s="29" t="inlineStr">
        <is>
          <t>MCQ: Which process resumes deferred tasks?
A) The web server B) The database C) The triggerer D) The browser
FILL: Deferrable operators hand waiting to the ____
APPLY: Hundreds of sensors hold slots for hours. What do you switch to?</t>
        </is>
      </c>
      <c r="B24" s="29" t="inlineStr">
        <is>
          <t>MCQ answer: C  It waits for events and then resumes the task.
Fill answer: triggerer
Apply: Deferrable sensors</t>
        </is>
      </c>
      <c r="C24" s="29" t="inlineStr">
        <is>
          <t>03_Running_Advanced_AIR-023_quiz</t>
        </is>
      </c>
    </row>
    <row r="25" ht="94.5" customHeight="1">
      <c r="A25" s="29" t="inlineStr">
        <is>
          <t>MCQ: Which problem does a deadline alert catch?
A) A run that is late without failing B) A missing import C) A syntax error D) A typo
FILL: Checking that data is recent enough is a ____ check
APPLY: Reports must be ready by seven. What alert do you add?</t>
        </is>
      </c>
      <c r="B25" s="29" t="inlineStr">
        <is>
          <t>MCQ answer: A  Lateness is separate from failure.
Fill answer: freshness
Apply: A deadline or freshness alert at seven</t>
        </is>
      </c>
      <c r="C25" s="29" t="inlineStr">
        <is>
          <t>03_Running_Intermediate_AIR-024_quiz</t>
        </is>
      </c>
    </row>
    <row r="26" ht="108" customHeight="1">
      <c r="A26" s="29" t="inlineStr">
        <is>
          <t>MCQ: Which method creates one task per input item?
A) partial B) branch C) expand D) chain
FILL: Arguments shared by all mapped copies are set with ____
HINDI TO TASK: Run process once for each name in a list.
PRACTICE QUESTION: When is the number of mapped instances known?</t>
        </is>
      </c>
      <c r="B26" s="29" t="inlineStr">
        <is>
          <t>MCQ answer: C  expand maps over the given lists.
Fill answer: partial
Task answer:
process.expand(name=names)
Practice answer:
At run time, after the upstream task finishes.</t>
        </is>
      </c>
      <c r="C26" s="29" t="inlineStr">
        <is>
          <t>03_Running_Advanced_AIR-025_quiz</t>
        </is>
      </c>
    </row>
    <row r="27" ht="108" customHeight="1">
      <c r="A27" s="29" t="inlineStr">
        <is>
          <t>MCQ: Which option is a managed Airflow service?
A) Docker Compose on a laptop B) Amazon MWAA C) A cron job D) A text file
FILL: Google's managed Airflow service is called Cloud ____
APPLY: A small team has no time to run infrastructure. What option fits?</t>
        </is>
      </c>
      <c r="B27" s="29" t="inlineStr">
        <is>
          <t>MCQ answer: B  MWAA is a managed service from AWS.
Fill answer: Composer
Apply: A managed service</t>
        </is>
      </c>
      <c r="C27" s="29" t="inlineStr">
        <is>
          <t>04_Operations_Intermediate_AIR-026_quiz</t>
        </is>
      </c>
    </row>
    <row r="28" ht="121.5" customHeight="1">
      <c r="A28" s="29" t="inlineStr">
        <is>
          <t>MCQ: Which command lists DAG files that failed to parse?
A) airflow dags list-import-errors B) airflow tasks test C) airflow users list D) airflow dags pause
FILL: To run one task without saving state use airflow tasks ____
HINDI TO TASK: Run the extract task of daily_sales for 1 October.
PRACTICE QUESTION: Does tasks test save task state?</t>
        </is>
      </c>
      <c r="B28" s="29" t="inlineStr">
        <is>
          <t>MCQ answer: A  It shows parse errors for DAG files.
Fill answer: test
Task answer:
airflow tasks test daily_sales extract 2026-10-01
Practice answer:
No, it runs without recording state.</t>
        </is>
      </c>
      <c r="C28" s="29" t="inlineStr">
        <is>
          <t>04_Operations_Beginner_AIR-027_quiz</t>
        </is>
      </c>
    </row>
    <row r="29" ht="121.5" customHeight="1">
      <c r="A29" s="29" t="inlineStr">
        <is>
          <t>MCQ: What does the DagBag import_errors check find?
A) Large logs B) Slow tasks C) Missing variables D) DAG files that fail to parse
FILL: The class that loads a folder of DAGs for testing is ____
HINDI TO TASK: Assert that no DAG file has import errors.
PRACTICE QUESTION: Why test DAGs in CI?</t>
        </is>
      </c>
      <c r="B29" s="29" t="inlineStr">
        <is>
          <t>MCQ answer: D  Import errors list files that could not load.
Fill answer: DagBag
Task answer:
assert DagBag("dags/").import_errors == {}
Practice answer:
To stop broken files from reaching the scheduler.</t>
        </is>
      </c>
      <c r="C29" s="29" t="inlineStr">
        <is>
          <t>04_Operations_Intermediate_AIR-028_quiz</t>
        </is>
      </c>
    </row>
    <row r="30" ht="121.5" customHeight="1">
      <c r="A30" s="29" t="inlineStr">
        <is>
          <t>MCQ: Where does a secrets backend look up connections?
A) The log B) The DAG file C) An external secrets manager D) The browser
FILL: The naming start that tells the backend where to look is a ____
APPLY: Passwords must be rotated without changing DAGs. What do you use?</t>
        </is>
      </c>
      <c r="B30" s="29" t="inlineStr">
        <is>
          <t>MCQ answer: C  It queries a vault such as a cloud secrets service.
Fill answer: prefix
Apply: A secrets backend</t>
        </is>
      </c>
      <c r="C30" s="29" t="inlineStr">
        <is>
          <t>04_Operations_Advanced_AIR-029_quiz</t>
        </is>
      </c>
    </row>
    <row r="31" ht="121.5" customHeight="1">
      <c r="A31" s="29" t="inlineStr">
        <is>
          <t>MCQ: When does on_failure_callback fire?
A) Never B) After retries are exhausted C) On every start D) Before the DAG loads
FILL: The dictionary passed to a callback is called the ____
HINDI TO TASK: Add a failure callback to the default arguments.
PRACTICE QUESTION: Why include a log link?</t>
        </is>
      </c>
      <c r="B31" s="29" t="inlineStr">
        <is>
          <t>MCQ answer: B  It runs when the task finally fails.
Fill answer: context
Task answer:
default_args = {"on_failure_callback": notify}
Practice answer:
So the responder can start debugging at once.</t>
        </is>
      </c>
      <c r="C31" s="29" t="inlineStr">
        <is>
          <t>04_Operations_Intermediate_AIR-030_quiz</t>
        </is>
      </c>
    </row>
    <row r="32" ht="108" customHeight="1">
      <c r="A32" s="29" t="inlineStr">
        <is>
          <t>MCQ: What should you do before a database migration?
A) Back up the metadata database B) Turn off logs C) Delete old DAGs D) Rename the DAG folder
FILL: Files that pin compatible package versions are called ____ files
APPLY: A major upgrade is planned. Where do you test first?</t>
        </is>
      </c>
      <c r="B32" s="29" t="inlineStr">
        <is>
          <t>MCQ answer: A  A backup allows a rollback if the migration fails.
Fill answer: constraint
Apply: In a staging copy</t>
        </is>
      </c>
      <c r="C32" s="29" t="inlineStr">
        <is>
          <t>04_Operations_Advanced_AIR-031_quiz</t>
        </is>
      </c>
    </row>
    <row r="33" ht="121.5" customHeight="1">
      <c r="A33" s="29" t="inlineStr">
        <is>
          <t>MCQ: What makes a rerun safe?
A) Using the current time B) Deleting logs C) Appending rows D) Replacing the interval's data
FILL: Using the run's ____ date makes tasks repeatable
HINDI TO TASK: Reload only the run's date using a template.
PRACTICE QUESTION: Why use the logical date instead of now?</t>
        </is>
      </c>
      <c r="B33" s="29" t="inlineStr">
        <is>
          <t>MCQ answer: D  The same slice is written again with no duplicates.
Fill answer: logical
Task answer:
DELETE FROM fct_sales WHERE sale_date = '{{ ds }}';
Practice answer:
A rerun must process the same interval as the original.</t>
        </is>
      </c>
      <c r="C33" s="29" t="inlineStr">
        <is>
          <t>05_Best_Practice_Intermediate_AIR-032_quiz</t>
        </is>
      </c>
    </row>
    <row r="34" ht="108" customHeight="1">
      <c r="A34" s="29" t="inlineStr">
        <is>
          <t>MCQ: What is a good task boundary?
A) Every variable B) Every line of code C) Every comment D) Where data is saved or a system changes
FILL: The size of a task's unit of work is its ____
APPLY: A task repeats three hours of work on each failure. What do you do?</t>
        </is>
      </c>
      <c r="B34" s="29" t="inlineStr">
        <is>
          <t>MCQ answer: D  Such points are natural restart positions.
Fill answer: granularity
Apply: Split it into smaller tasks</t>
        </is>
      </c>
      <c r="C34" s="29" t="inlineStr">
        <is>
          <t>05_Best_Practice_Intermediate_AIR-033_quiz</t>
        </is>
      </c>
    </row>
    <row r="35" ht="121.5" customHeight="1">
      <c r="A35" s="29" t="inlineStr">
        <is>
          <t>MCQ: When does top-level DAG code run?
A) Only on failure B) Never C) On every parse D) Only once a day
FILL: Importing a library inside a function is a ____ import
HINDI TO TASK: Move an API call so it runs only when the task executes.
PRACTICE QUESTION: Why can slow parsing hurt all DAGs?</t>
        </is>
      </c>
      <c r="B35" s="29" t="inlineStr">
        <is>
          <t>MCQ answer: C  The scheduler repeatedly imports each file.
Fill answer: lazy
Task answer:
@task def get(): return requests.get(url, timeout=30).json()
Practice answer:
The scheduler spends its time parsing and delays everything else.</t>
        </is>
      </c>
      <c r="C35" s="29" t="inlineStr">
        <is>
          <t>05_Best_Practice_Intermediate_AIR-034_quiz</t>
        </is>
      </c>
    </row>
    <row r="36" ht="108" customHeight="1">
      <c r="A36" s="29" t="inlineStr">
        <is>
          <t>MCQ: What should a task pass to the next one for large data?
A) A screenshot B) A path or identifier C) An email D) The full dataset
FILL: A value that points to where data lives is a ____
APPLY: Two tasks on different workers must share a large file. What do you do?</t>
        </is>
      </c>
      <c r="B36" s="29" t="inlineStr">
        <is>
          <t>MCQ answer: B  References are small and the data stays in storage.
Fill answer: reference
Apply: Write it to shared storage and pass the path</t>
        </is>
      </c>
      <c r="C36" s="29" t="inlineStr">
        <is>
          <t>05_Best_Practice_Intermediate_AIR-035_quiz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18</v>
      </c>
    </row>
    <row r="3">
      <c r="A3" t="inlineStr">
        <is>
          <t>Topic (56-pt)</t>
        </is>
      </c>
      <c r="B3" t="n">
        <v>17</v>
      </c>
    </row>
    <row r="5">
      <c r="A5" s="21" t="inlineStr">
        <is>
          <t>Cards by topic</t>
        </is>
      </c>
    </row>
    <row r="6">
      <c r="A6" t="inlineStr">
        <is>
          <t>02 Writing DAGs</t>
        </is>
      </c>
      <c r="B6" t="n">
        <v>10</v>
      </c>
    </row>
    <row r="7">
      <c r="A7" t="inlineStr">
        <is>
          <t>03 Running</t>
        </is>
      </c>
      <c r="B7" t="n">
        <v>8</v>
      </c>
    </row>
    <row r="8">
      <c r="A8" t="inlineStr">
        <is>
          <t>01 Basics</t>
        </is>
      </c>
      <c r="B8" t="n">
        <v>7</v>
      </c>
    </row>
    <row r="9">
      <c r="A9" t="inlineStr">
        <is>
          <t>04 Operations</t>
        </is>
      </c>
      <c r="B9" t="n">
        <v>6</v>
      </c>
    </row>
    <row r="10">
      <c r="A10" t="inlineStr">
        <is>
          <t>05 Best Practice</t>
        </is>
      </c>
      <c r="B10" t="n">
        <v>4</v>
      </c>
    </row>
    <row r="12">
      <c r="A12" s="21" t="inlineStr">
        <is>
          <t>Cards by level</t>
        </is>
      </c>
    </row>
    <row r="13">
      <c r="A13" t="inlineStr">
        <is>
          <t>Intermediate</t>
        </is>
      </c>
      <c r="B13" t="n">
        <v>20</v>
      </c>
    </row>
    <row r="14">
      <c r="A14" t="inlineStr">
        <is>
          <t>Beginner</t>
        </is>
      </c>
      <c r="B14" t="n">
        <v>9</v>
      </c>
    </row>
    <row r="15">
      <c r="A15" t="inlineStr">
        <is>
          <t>Advanced</t>
        </is>
      </c>
      <c r="B15" t="n">
        <v>6</v>
      </c>
    </row>
    <row r="17">
      <c r="A17" s="21" t="inlineStr">
        <is>
          <t>Cards by source</t>
        </is>
      </c>
    </row>
    <row r="18">
      <c r="A18" t="inlineStr">
        <is>
          <t>Claude knowledge</t>
        </is>
      </c>
      <c r="B18" t="n">
        <v>35</v>
      </c>
    </row>
    <row r="20">
      <c r="A20" s="21" t="inlineStr">
        <is>
          <t>Error check</t>
        </is>
      </c>
    </row>
    <row r="21">
      <c r="A21"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2026-10-07T16:54:08Z</dcterms:created>
  <dcterms:modified xmlns:dcterms="http://purl.org/dc/terms/" xmlns:xsi="http://www.w3.org/2001/XMLSchema-instance" xsi:type="dcterms:W3CDTF">2026-10-07T16:54:09Z</dcterms:modified>
</cp:coreProperties>
</file>