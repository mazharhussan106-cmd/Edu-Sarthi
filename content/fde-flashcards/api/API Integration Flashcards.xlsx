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ode concept (56-pt) cards" sheetId="2" state="visible" r:id="rId2"/>
    <sheet xmlns:r="http://schemas.openxmlformats.org/officeDocument/2006/relationships" name="Code card view" sheetId="3" state="visible" r:id="rId3"/>
    <sheet xmlns:r="http://schemas.openxmlformats.org/officeDocument/2006/relationships" name="Topic (56-pt) cards" sheetId="4" state="visible" r:id="rId4"/>
    <sheet xmlns:r="http://schemas.openxmlformats.org/officeDocument/2006/relationships" name="Topic card view" sheetId="5" state="visible" r:id="rId5"/>
    <sheet xmlns:r="http://schemas.openxmlformats.org/officeDocument/2006/relationships" name="Anki Import" sheetId="6" state="visible" r:id="rId6"/>
    <sheet xmlns:r="http://schemas.openxmlformats.org/officeDocument/2006/relationships" name="Anki Quiz" sheetId="7" state="visible" r:id="rId7"/>
    <sheet xmlns:r="http://schemas.openxmlformats.org/officeDocument/2006/relationships" name="Summary" sheetId="8" state="visible" r:id="rId8"/>
  </sheets>
  <definedNames>
    <definedName name="_xlnm._FilterDatabase" localSheetId="1" hidden="1">'Code concept (56-pt) cards'!$A$2:$BN$16</definedName>
    <definedName name="_xlnm._FilterDatabase" localSheetId="3" hidden="1">'Topic (56-pt) cards'!$A$2:$BB$40</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sz val="14"/>
    </font>
    <font>
      <sz val="11"/>
    </font>
    <font>
      <b val="1"/>
      <sz val="11"/>
    </font>
    <font>
      <b val="1"/>
      <color rgb="00FFFFFF"/>
    </font>
    <font>
      <b val="1"/>
    </font>
    <font>
      <name val="Consolas"/>
      <sz val="10"/>
    </font>
    <font>
      <b val="1"/>
      <color rgb="001F3864"/>
      <sz val="16"/>
    </font>
    <font>
      <b val="1"/>
      <color rgb="00C00000"/>
      <sz val="12"/>
    </font>
    <font>
      <b val="1"/>
      <color rgb="00FFFFFF"/>
      <sz val="12"/>
    </font>
    <font>
      <b val="1"/>
      <color rgb="001F3864"/>
    </font>
  </fonts>
  <fills count="21">
    <fill>
      <patternFill/>
    </fill>
    <fill>
      <patternFill patternType="gray125"/>
    </fill>
    <fill>
      <patternFill patternType="solid">
        <fgColor rgb="00FFF4D6"/>
      </patternFill>
    </fill>
    <fill>
      <patternFill patternType="solid">
        <fgColor rgb="00374151"/>
      </patternFill>
    </fill>
    <fill>
      <patternFill patternType="solid">
        <fgColor rgb="001F3A68"/>
      </patternFill>
    </fill>
    <fill>
      <patternFill patternType="solid">
        <fgColor rgb="000F7F74"/>
      </patternFill>
    </fill>
    <fill>
      <patternFill patternType="solid">
        <fgColor rgb="00B35500"/>
      </patternFill>
    </fill>
    <fill>
      <patternFill patternType="solid">
        <fgColor rgb="00475569"/>
      </patternFill>
    </fill>
    <fill>
      <patternFill patternType="solid">
        <fgColor rgb="005B21B6"/>
      </patternFill>
    </fill>
    <fill>
      <patternFill patternType="solid">
        <fgColor rgb="00E5E7EB"/>
      </patternFill>
    </fill>
    <fill>
      <patternFill patternType="solid">
        <fgColor rgb="00DBE4F3"/>
      </patternFill>
    </fill>
    <fill>
      <patternFill patternType="solid">
        <fgColor rgb="00D5EFEC"/>
      </patternFill>
    </fill>
    <fill>
      <patternFill patternType="solid">
        <fgColor rgb="00F8E3CF"/>
      </patternFill>
    </fill>
    <fill>
      <patternFill patternType="solid">
        <fgColor rgb="00E2E8F0"/>
      </patternFill>
    </fill>
    <fill>
      <patternFill patternType="solid">
        <fgColor rgb="00E9DDFB"/>
      </patternFill>
    </fill>
    <fill>
      <patternFill patternType="solid">
        <fgColor rgb="00FFF2CC"/>
      </patternFill>
    </fill>
    <fill>
      <patternFill patternType="solid">
        <fgColor rgb="001F5FA8"/>
      </patternFill>
    </fill>
    <fill>
      <patternFill patternType="solid">
        <fgColor rgb="00F2F2F2"/>
      </patternFill>
    </fill>
    <fill>
      <patternFill patternType="solid">
        <fgColor rgb="002F7D4F"/>
      </patternFill>
    </fill>
    <fill>
      <patternFill patternType="solid">
        <fgColor rgb="00C2561A"/>
      </patternFill>
    </fill>
    <fill>
      <patternFill patternType="solid">
        <fgColor rgb="001F3864"/>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2" borderId="0" pivotButton="0" quotePrefix="0" xfId="0"/>
    <xf numFmtId="0" fontId="4" fillId="3" borderId="0" applyAlignment="1" pivotButton="0" quotePrefix="0" xfId="0">
      <alignment horizontal="center"/>
    </xf>
    <xf numFmtId="0" fontId="4" fillId="4" borderId="0" applyAlignment="1" pivotButton="0" quotePrefix="0" xfId="0">
      <alignment horizontal="center"/>
    </xf>
    <xf numFmtId="0" fontId="4" fillId="5" borderId="0" applyAlignment="1" pivotButton="0" quotePrefix="0" xfId="0">
      <alignment horizontal="center"/>
    </xf>
    <xf numFmtId="0" fontId="4" fillId="6" borderId="0" applyAlignment="1" pivotButton="0" quotePrefix="0" xfId="0">
      <alignment horizontal="center"/>
    </xf>
    <xf numFmtId="0" fontId="4" fillId="7" borderId="0" applyAlignment="1" pivotButton="0" quotePrefix="0" xfId="0">
      <alignment horizontal="center"/>
    </xf>
    <xf numFmtId="0" fontId="4" fillId="8" borderId="0" applyAlignment="1" pivotButton="0" quotePrefix="0" xfId="0">
      <alignment horizontal="center"/>
    </xf>
    <xf numFmtId="0" fontId="5" fillId="9" borderId="1" applyAlignment="1" pivotButton="0" quotePrefix="0" xfId="0">
      <alignment vertical="top" wrapText="1"/>
    </xf>
    <xf numFmtId="0" fontId="5" fillId="10" borderId="1" applyAlignment="1" pivotButton="0" quotePrefix="0" xfId="0">
      <alignment vertical="top" wrapText="1"/>
    </xf>
    <xf numFmtId="0" fontId="5" fillId="11" borderId="1" applyAlignment="1" pivotButton="0" quotePrefix="0" xfId="0">
      <alignment vertical="top" wrapText="1"/>
    </xf>
    <xf numFmtId="0" fontId="5" fillId="12" borderId="1" applyAlignment="1" pivotButton="0" quotePrefix="0" xfId="0">
      <alignment vertical="top" wrapText="1"/>
    </xf>
    <xf numFmtId="0" fontId="5" fillId="13" borderId="1" applyAlignment="1" pivotButton="0" quotePrefix="0" xfId="0">
      <alignment vertical="top" wrapText="1"/>
    </xf>
    <xf numFmtId="0" fontId="5" fillId="14" borderId="1" applyAlignment="1" pivotButton="0" quotePrefix="0" xfId="0">
      <alignment vertical="top" wrapText="1"/>
    </xf>
    <xf numFmtId="0" fontId="0" fillId="0" borderId="1" applyAlignment="1" pivotButton="0" quotePrefix="0" xfId="0">
      <alignment vertical="top" wrapText="1"/>
    </xf>
    <xf numFmtId="0" fontId="0" fillId="2" borderId="1" applyAlignment="1" pivotButton="0" quotePrefix="0" xfId="0">
      <alignment vertical="top" wrapText="1"/>
    </xf>
    <xf numFmtId="0" fontId="6" fillId="2" borderId="1" applyAlignment="1" pivotButton="0" quotePrefix="0" xfId="0">
      <alignment vertical="top" wrapText="1"/>
    </xf>
    <xf numFmtId="0" fontId="7" fillId="0" borderId="0" pivotButton="0" quotePrefix="0" xfId="0"/>
    <xf numFmtId="0" fontId="5" fillId="0" borderId="0" pivotButton="0" quotePrefix="0" xfId="0"/>
    <xf numFmtId="0" fontId="8" fillId="15" borderId="1" pivotButton="0" quotePrefix="0" xfId="0"/>
    <xf numFmtId="0" fontId="9" fillId="16" borderId="0" applyAlignment="1" pivotButton="0" quotePrefix="0" xfId="0">
      <alignment horizontal="center"/>
    </xf>
    <xf numFmtId="0" fontId="10" fillId="17" borderId="1" applyAlignment="1" pivotButton="0" quotePrefix="0" xfId="0">
      <alignment vertical="top" wrapText="1"/>
    </xf>
    <xf numFmtId="0" fontId="9" fillId="18" borderId="0" applyAlignment="1" pivotButton="0" quotePrefix="0" xfId="0">
      <alignment horizontal="center"/>
    </xf>
    <xf numFmtId="0" fontId="6" fillId="0" borderId="1" applyAlignment="1" pivotButton="0" quotePrefix="0" xfId="0">
      <alignment vertical="top" wrapText="1"/>
    </xf>
    <xf numFmtId="0" fontId="9" fillId="19" borderId="0" applyAlignment="1" pivotButton="0" quotePrefix="0" xfId="0">
      <alignment horizontal="center"/>
    </xf>
    <xf numFmtId="0" fontId="4" fillId="2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20" customWidth="1" min="1" max="1"/>
  </cols>
  <sheetData>
    <row r="1">
      <c r="A1" s="1" t="inlineStr">
        <is>
          <t>API Integration – Beginner to Advanced Flashcards</t>
        </is>
      </c>
    </row>
    <row r="2">
      <c r="A2" s="2" t="inlineStr">
        <is>
          <t>Subject: API Integration   ·   Learner: Self learner, English   ·   Cards: 52</t>
        </is>
      </c>
    </row>
    <row r="3">
      <c r="A3" s="2" t="inlineStr">
        <is>
          <t>Source: Claude knowledge</t>
        </is>
      </c>
    </row>
    <row r="4">
      <c r="A4" s="2" t="inlineStr"/>
    </row>
    <row r="5">
      <c r="A5" s="3" t="inlineStr">
        <is>
          <t>How to study a card</t>
        </is>
      </c>
    </row>
    <row r="6">
      <c r="A6" s="2" t="inlineStr">
        <is>
          <t>1. Read Side 1 only. Try to say the meaning, answer or formula out loud before looking further.</t>
        </is>
      </c>
    </row>
    <row r="7">
      <c r="A7" s="2" t="inlineStr">
        <is>
          <t>2. Check yourself against Side 2. Read the examples and the common mistake.</t>
        </is>
      </c>
    </row>
    <row r="8">
      <c r="A8" s="2" t="inlineStr">
        <is>
          <t>3. Do the practice on Side 3 without looking back. Then mark Status: New → Learning → Known.</t>
        </is>
      </c>
    </row>
    <row r="9">
      <c r="A9" s="2" t="inlineStr">
        <is>
          <t>4. Review on days 1, 3, 7, 15, 30, 60 after first study: write the date or ✓ in that day's column.</t>
        </is>
      </c>
    </row>
    <row r="10">
      <c r="A10" s="2" t="inlineStr">
        <is>
          <t xml:space="preserve">   Got it wrong on a review? Start that card's days again from Day 1.</t>
        </is>
      </c>
    </row>
    <row r="11">
      <c r="A11" s="2" t="inlineStr">
        <is>
          <t>5. Follow 'Study order': prerequisites come first, then easy to hard.</t>
        </is>
      </c>
    </row>
    <row r="12">
      <c r="A12" s="2" t="inlineStr"/>
    </row>
    <row r="13">
      <c r="A13" s="3" t="inlineStr">
        <is>
          <t>Colours</t>
        </is>
      </c>
    </row>
    <row r="14">
      <c r="A14" s="4" t="inlineStr">
        <is>
          <t>Shaded cells were added by Claude, not taken from your own book or notes. Check them against a trusted source,</t>
        </is>
      </c>
    </row>
    <row r="15">
      <c r="A15" s="2" t="inlineStr">
        <is>
          <t>and mark the card 'Fix' in the OK / Fix column if anything is wrong. Unshaded cells came from your 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16"/>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42" customWidth="1" min="7" max="7"/>
    <col width="18" customWidth="1" min="8" max="8"/>
    <col width="18" customWidth="1" min="9" max="9"/>
    <col width="18" customWidth="1" min="10" max="10"/>
    <col width="18" customWidth="1" min="11" max="11"/>
    <col width="42" customWidth="1" min="12" max="12"/>
    <col width="42" customWidth="1" min="13" max="13"/>
    <col width="42" customWidth="1" min="14" max="14"/>
    <col width="42" customWidth="1" min="15" max="15"/>
    <col width="42" customWidth="1" min="16" max="16"/>
    <col width="42" customWidth="1" min="17" max="17"/>
    <col width="18" customWidth="1" min="18" max="18"/>
    <col width="18" customWidth="1" min="19" max="19"/>
    <col width="42" customWidth="1" min="20" max="20"/>
    <col width="42" customWidth="1" min="21" max="21"/>
    <col width="42" customWidth="1" min="22" max="22"/>
    <col width="42" customWidth="1" min="23" max="23"/>
    <col width="42" customWidth="1" min="24" max="24"/>
    <col width="18" customWidth="1" min="25" max="25"/>
    <col width="18" customWidth="1" min="26" max="26"/>
    <col width="42" customWidth="1" min="27" max="27"/>
    <col width="42" customWidth="1" min="28" max="28"/>
    <col width="42" customWidth="1" min="29" max="29"/>
    <col width="42" customWidth="1" min="30" max="30"/>
    <col width="18" customWidth="1" min="31" max="31"/>
    <col width="18" customWidth="1" min="32" max="32"/>
    <col width="18" customWidth="1" min="33" max="33"/>
    <col width="42" customWidth="1" min="34" max="34"/>
    <col width="42" customWidth="1" min="35" max="35"/>
    <col width="42" customWidth="1" min="36" max="36"/>
    <col width="42" customWidth="1" min="37" max="37"/>
    <col width="42" customWidth="1" min="38" max="38"/>
    <col width="42" customWidth="1" min="39" max="39"/>
    <col width="42" customWidth="1" min="40" max="40"/>
    <col width="42" customWidth="1" min="41" max="41"/>
    <col width="42" customWidth="1" min="42" max="42"/>
    <col width="42" customWidth="1" min="43" max="43"/>
    <col width="42" customWidth="1" min="44" max="44"/>
    <col width="42" customWidth="1" min="45" max="45"/>
    <col width="42" customWidth="1" min="46" max="46"/>
    <col width="42" customWidth="1" min="47" max="47"/>
    <col width="18" customWidth="1" min="48" max="48"/>
    <col width="18" customWidth="1" min="49" max="49"/>
    <col width="42" customWidth="1" min="50" max="50"/>
    <col width="42" customWidth="1" min="51" max="51"/>
    <col width="42" customWidth="1" min="52" max="52"/>
    <col width="42" customWidth="1" min="53" max="53"/>
    <col width="42" customWidth="1" min="54" max="54"/>
    <col width="42" customWidth="1" min="55" max="55"/>
    <col width="18" customWidth="1" min="56" max="56"/>
    <col width="42" customWidth="1" min="57" max="57"/>
    <col width="18" customWidth="1" min="58" max="58"/>
    <col width="9" customWidth="1" min="59" max="59"/>
    <col width="9" customWidth="1" min="60" max="60"/>
    <col width="9" customWidth="1" min="61" max="61"/>
    <col width="9" customWidth="1" min="62" max="62"/>
    <col width="9" customWidth="1" min="63" max="63"/>
    <col width="9" customWidth="1" min="64" max="64"/>
    <col width="18" customWidth="1" min="65" max="65"/>
    <col width="18" customWidth="1" min="66" max="66"/>
  </cols>
  <sheetData>
    <row r="1">
      <c r="A1" s="5" t="inlineStr">
        <is>
          <t>Card</t>
        </is>
      </c>
      <c r="F1" s="6" t="inlineStr">
        <is>
          <t>Side 1 · Recognition</t>
        </is>
      </c>
      <c r="R1" s="7" t="inlineStr">
        <is>
          <t>Side 2 · Understanding</t>
        </is>
      </c>
      <c r="AT1" s="8" t="inlineStr">
        <is>
          <t>Side 3 · Real life &amp; Practice</t>
        </is>
      </c>
      <c r="BD1" s="9" t="inlineStr">
        <is>
          <t>Auto</t>
        </is>
      </c>
      <c r="BF1" s="10" t="inlineStr">
        <is>
          <t>My review</t>
        </is>
      </c>
    </row>
    <row r="2">
      <c r="A2" s="11" t="inlineStr">
        <is>
          <t>ID</t>
        </is>
      </c>
      <c r="B2" s="11" t="inlineStr">
        <is>
          <t>Topic</t>
        </is>
      </c>
      <c r="C2" s="11" t="inlineStr">
        <is>
          <t>Level</t>
        </is>
      </c>
      <c r="D2" s="11" t="inlineStr">
        <is>
          <t>Study order</t>
        </is>
      </c>
      <c r="E2" s="11" t="inlineStr">
        <is>
          <t>Source</t>
        </is>
      </c>
      <c r="F2" s="12" t="inlineStr">
        <is>
          <t>Concept</t>
        </is>
      </c>
      <c r="G2" s="12" t="inlineStr">
        <is>
          <t>Recall cue</t>
        </is>
      </c>
      <c r="H2" s="12" t="inlineStr">
        <is>
          <t>Read aloud</t>
        </is>
      </c>
      <c r="I2" s="12" t="inlineStr">
        <is>
          <t>Type</t>
        </is>
      </c>
      <c r="J2" s="12" t="inlineStr">
        <is>
          <t>How often used</t>
        </is>
      </c>
      <c r="K2" s="12" t="inlineStr">
        <is>
          <t>Importance (1-5)</t>
        </is>
      </c>
      <c r="L2" s="12" t="inlineStr">
        <is>
          <t>Origin / why it exists</t>
        </is>
      </c>
      <c r="M2" s="12" t="inlineStr">
        <is>
          <t>Pro tip</t>
        </is>
      </c>
      <c r="N2" s="12" t="inlineStr">
        <is>
          <t>Typing hint</t>
        </is>
      </c>
      <c r="O2" s="12" t="inlineStr">
        <is>
          <t>Memory story</t>
        </is>
      </c>
      <c r="P2" s="12" t="inlineStr">
        <is>
          <t>Picture it</t>
        </is>
      </c>
      <c r="Q2" s="12" t="inlineStr">
        <is>
          <t>Emotion hook</t>
        </is>
      </c>
      <c r="R2" s="13" t="inlineStr">
        <is>
          <t>Meaning (short)</t>
        </is>
      </c>
      <c r="S2" s="13" t="inlineStr">
        <is>
          <t>Meaning in learner's language</t>
        </is>
      </c>
      <c r="T2" s="13" t="inlineStr">
        <is>
          <t>Code</t>
        </is>
      </c>
      <c r="U2" s="13" t="inlineStr">
        <is>
          <t>Output</t>
        </is>
      </c>
      <c r="V2" s="13" t="inlineStr">
        <is>
          <t>Explanation</t>
        </is>
      </c>
      <c r="W2" s="13" t="inlineStr">
        <is>
          <t>Simple explanation (Hinglish)</t>
        </is>
      </c>
      <c r="X2" s="13" t="inlineStr">
        <is>
          <t>Real-life analogy</t>
        </is>
      </c>
      <c r="Y2" s="13" t="inlineStr">
        <is>
          <t>Syntax pattern</t>
        </is>
      </c>
      <c r="Z2" s="13" t="inlineStr">
        <is>
          <t>Anatomy</t>
        </is>
      </c>
      <c r="AA2" s="13" t="inlineStr">
        <is>
          <t>Example 1</t>
        </is>
      </c>
      <c r="AB2" s="13" t="inlineStr">
        <is>
          <t>Example 2</t>
        </is>
      </c>
      <c r="AC2" s="13" t="inlineStr">
        <is>
          <t>Example 3</t>
        </is>
      </c>
      <c r="AD2" s="13" t="inlineStr">
        <is>
          <t>Variation</t>
        </is>
      </c>
      <c r="AE2" s="13" t="inlineStr">
        <is>
          <t>Used with</t>
        </is>
      </c>
      <c r="AF2" s="13" t="inlineStr">
        <is>
          <t>Related concepts</t>
        </is>
      </c>
      <c r="AG2" s="13" t="inlineStr">
        <is>
          <t>Alternatives</t>
        </is>
      </c>
      <c r="AH2" s="13" t="inlineStr">
        <is>
          <t>Family / group</t>
        </is>
      </c>
      <c r="AI2" s="13" t="inlineStr">
        <is>
          <t>Where it is used</t>
        </is>
      </c>
      <c r="AJ2" s="13" t="inlineStr">
        <is>
          <t>Mini conversation</t>
        </is>
      </c>
      <c r="AK2" s="13" t="inlineStr">
        <is>
          <t>Common mistake</t>
        </is>
      </c>
      <c r="AL2" s="13" t="inlineStr">
        <is>
          <t>Commonly confused with</t>
        </is>
      </c>
      <c r="AM2" s="13" t="inlineStr">
        <is>
          <t>Avoid / don't</t>
        </is>
      </c>
      <c r="AN2" s="13" t="inlineStr">
        <is>
          <t>Wrong code</t>
        </is>
      </c>
      <c r="AO2" s="13" t="inlineStr">
        <is>
          <t>Right code</t>
        </is>
      </c>
      <c r="AP2" s="13" t="inlineStr">
        <is>
          <t>Memory trick</t>
        </is>
      </c>
      <c r="AQ2" s="13" t="inlineStr">
        <is>
          <t>Real life: project / work</t>
        </is>
      </c>
      <c r="AR2" s="13" t="inlineStr">
        <is>
          <t>Real life: interview / exam</t>
        </is>
      </c>
      <c r="AS2" s="13" t="inlineStr">
        <is>
          <t>Real life: daily life</t>
        </is>
      </c>
      <c r="AT2" s="14" t="inlineStr">
        <is>
          <t>MCQ question</t>
        </is>
      </c>
      <c r="AU2" s="14" t="inlineStr">
        <is>
          <t>MCQ options</t>
        </is>
      </c>
      <c r="AV2" s="14" t="inlineStr">
        <is>
          <t>MCQ answer</t>
        </is>
      </c>
      <c r="AW2" s="14" t="inlineStr">
        <is>
          <t>Why that answer</t>
        </is>
      </c>
      <c r="AX2" s="14" t="inlineStr">
        <is>
          <t>Fill the blank</t>
        </is>
      </c>
      <c r="AY2" s="14" t="inlineStr">
        <is>
          <t>Try it yourself</t>
        </is>
      </c>
      <c r="AZ2" s="14" t="inlineStr">
        <is>
          <t>Task answer</t>
        </is>
      </c>
      <c r="BA2" s="14" t="inlineStr">
        <is>
          <t>Write your own</t>
        </is>
      </c>
      <c r="BB2" s="14" t="inlineStr">
        <is>
          <t>Practice question</t>
        </is>
      </c>
      <c r="BC2" s="14" t="inlineStr">
        <is>
          <t>Practice answer</t>
        </is>
      </c>
      <c r="BD2" s="15" t="inlineStr">
        <is>
          <t>Importance ★</t>
        </is>
      </c>
      <c r="BE2" s="15" t="inlineStr">
        <is>
          <t>Quick recall (reverse)</t>
        </is>
      </c>
      <c r="BF2" s="16" t="inlineStr">
        <is>
          <t>Status</t>
        </is>
      </c>
      <c r="BG2" s="16" t="inlineStr">
        <is>
          <t>Day 1</t>
        </is>
      </c>
      <c r="BH2" s="16" t="inlineStr">
        <is>
          <t>Day 3</t>
        </is>
      </c>
      <c r="BI2" s="16" t="inlineStr">
        <is>
          <t>Day 7</t>
        </is>
      </c>
      <c r="BJ2" s="16" t="inlineStr">
        <is>
          <t>Day 15</t>
        </is>
      </c>
      <c r="BK2" s="16" t="inlineStr">
        <is>
          <t>Day 30</t>
        </is>
      </c>
      <c r="BL2" s="16" t="inlineStr">
        <is>
          <t>Day 60</t>
        </is>
      </c>
      <c r="BM2" s="16" t="inlineStr">
        <is>
          <t>OK / Fix</t>
        </is>
      </c>
      <c r="BN2" s="16" t="inlineStr">
        <is>
          <t>My note</t>
        </is>
      </c>
    </row>
    <row r="3" ht="81" customHeight="1">
      <c r="A3" s="17" t="inlineStr">
        <is>
          <t>API-017</t>
        </is>
      </c>
      <c r="B3" s="17" t="inlineStr">
        <is>
          <t>03 Data formats</t>
        </is>
      </c>
      <c r="C3" s="17" t="inlineStr">
        <is>
          <t>Beginner</t>
        </is>
      </c>
      <c r="D3" s="17" t="n">
        <v>17</v>
      </c>
      <c r="E3" s="17" t="inlineStr">
        <is>
          <t>Claude knowledge</t>
        </is>
      </c>
      <c r="F3" s="18" t="inlineStr">
        <is>
          <t>Parsing JSON and reading nested data</t>
        </is>
      </c>
      <c r="G3" s="18" t="inlineStr">
        <is>
          <t>How do you turn a JSON text from an API into an object and pull out a value from deep inside it?</t>
        </is>
      </c>
      <c r="H3" s="17" t="n"/>
      <c r="I3" s="18" t="inlineStr">
        <is>
          <t>JavaScript technique</t>
        </is>
      </c>
      <c r="J3" s="18" t="inlineStr">
        <is>
          <t>Very high</t>
        </is>
      </c>
      <c r="K3" s="18" t="n">
        <v>5</v>
      </c>
      <c r="L3" s="18" t="inlineStr">
        <is>
          <t>APIs send data as text, and your code needs real objects to work with, so languages provide a parser that converts one into the other.</t>
        </is>
      </c>
      <c r="M3" s="18" t="inlineStr">
        <is>
          <t>Use optional chaining (?.) to read deep values without crashing when something is missing.</t>
        </is>
      </c>
      <c r="N3" s="17" t="n"/>
      <c r="O3" s="18" t="inlineStr">
        <is>
          <t>Parsing is unpacking a parcel, and nested reading is opening the boxes inside until you reach the item.</t>
        </is>
      </c>
      <c r="P3" s="18" t="inlineStr">
        <is>
          <t>A text string turning into a tree of fields, with a path highlighted down to one value.</t>
        </is>
      </c>
      <c r="Q3" s="18" t="inlineStr">
        <is>
          <t>The pleasure of reaching exactly the value you wanted.</t>
        </is>
      </c>
      <c r="R3" s="18" t="inlineStr">
        <is>
          <t>JSON.parse converts JSON text into a JavaScript object, and dot or bracket notation reads values inside it.</t>
        </is>
      </c>
      <c r="S3" s="17" t="n"/>
      <c r="T3" s="19" t="inlineStr">
        <is>
          <t>const text = '{"user": {"name": "Asha", "tags": ["new", "vip"]}}';
const data = JSON.parse(text);
console.log(data.user.name);
console.log(data.user.tags[0]);</t>
        </is>
      </c>
      <c r="U3" s="19" t="inlineStr">
        <is>
          <t>Asha
new</t>
        </is>
      </c>
      <c r="V3" s="18" t="inlineStr">
        <is>
          <t>JSON.parse throws an error if the text is not valid JSON, so wrap it in try and catch when the source is not trusted. Object fields are read with dots, and array items by index starting at zero. With fetch, response.json() does the parsing for you.</t>
        </is>
      </c>
      <c r="W3" s="18" t="inlineStr">
        <is>
          <t>Parse the text once to get an object, then walk down with dots and indexes. Use optional chaining when a field may be missing.</t>
        </is>
      </c>
      <c r="X3" s="18" t="inlineStr">
        <is>
          <t>It is like opening a parcel and then the smaller boxes inside it.</t>
        </is>
      </c>
      <c r="Y3" s="19" t="inlineStr">
        <is>
          <t>JSON.parse(text)  |  object.field.subfield[index]</t>
        </is>
      </c>
      <c r="Z3" s="18" t="inlineStr">
        <is>
          <t>JSON.parse = text to object | . = go into a field | [0] = first item of an array</t>
        </is>
      </c>
      <c r="AA3" s="19" t="inlineStr">
        <is>
          <t>const data = JSON.parse('{"id": 7}');</t>
        </is>
      </c>
      <c r="AB3" s="19" t="inlineStr">
        <is>
          <t>console.log(data.user?.address?.city);</t>
        </is>
      </c>
      <c r="AC3" s="19" t="inlineStr">
        <is>
          <t>const first = data.items[0].name;</t>
        </is>
      </c>
      <c r="AD3" s="19" t="inlineStr">
        <is>
          <t>JSON.stringify(data)   // object back to text
data?.user?.email ?? "none"   // safe read with a default</t>
        </is>
      </c>
      <c r="AE3" s="18" t="inlineStr">
        <is>
          <t>fetch, response.json(), optional chaining, try and catch</t>
        </is>
      </c>
      <c r="AF3" s="18" t="inlineStr">
        <is>
          <t>JSON, fetch, error handling</t>
        </is>
      </c>
      <c r="AG3" s="18" t="inlineStr">
        <is>
          <t>response.json() when using fetch</t>
        </is>
      </c>
      <c r="AH3" s="17" t="n"/>
      <c r="AI3" s="18" t="inlineStr">
        <is>
          <t>Reading API responses | Config files | Test data</t>
        </is>
      </c>
      <c r="AJ3" s="18" t="inlineStr">
        <is>
          <t>A: My code crashes reading the city. | B: The address may be missing, so use optional chaining like data.user?.address?.city.</t>
        </is>
      </c>
      <c r="AK3" s="18" t="inlineStr">
        <is>
          <t>✗ JSON.parse accepts any text → ✓ JSON.parse throws an error when the text is not valid JSON</t>
        </is>
      </c>
      <c r="AL3" s="18" t="inlineStr">
        <is>
          <t>JSON.parse vs JSON.stringify: parse turns text into an object, stringify turns an object into text.</t>
        </is>
      </c>
      <c r="AM3" s="18" t="inlineStr">
        <is>
          <t>Do not read deep fields without checking they exist.</t>
        </is>
      </c>
      <c r="AN3" s="19" t="inlineStr">
        <is>
          <t>const data = JSON.stringify('{"id": 7}');</t>
        </is>
      </c>
      <c r="AO3" s="19" t="inlineStr">
        <is>
          <t>const data = JSON.parse('{"id": 7}');</t>
        </is>
      </c>
      <c r="AP3" s="18" t="inlineStr">
        <is>
          <t>Parse unpacks the text, stringify packs it again.</t>
        </is>
      </c>
      <c r="AQ3" s="18" t="inlineStr">
        <is>
          <t>Parsing an orders response and reading the first item's price.</t>
        </is>
      </c>
      <c r="AR3" s="18" t="inlineStr">
        <is>
          <t>An interviewer may ask: What happens if you parse invalid JSON?</t>
        </is>
      </c>
      <c r="AS3" s="18" t="inlineStr">
        <is>
          <t>It is like opening a parcel and then the smaller boxes inside.</t>
        </is>
      </c>
      <c r="AT3" s="18" t="inlineStr">
        <is>
          <t>Which function turns JSON text into an object?</t>
        </is>
      </c>
      <c r="AU3" s="18" t="inlineStr">
        <is>
          <t>A) JSON.merge B) JSON.stringify C) JSON.read D) JSON.parse</t>
        </is>
      </c>
      <c r="AV3" s="18" t="inlineStr">
        <is>
          <t>D</t>
        </is>
      </c>
      <c r="AW3" s="18" t="inlineStr">
        <is>
          <t>JSON.parse converts text into an object.</t>
        </is>
      </c>
      <c r="AX3" s="19" t="inlineStr">
        <is>
          <t>const data = JSON.____(text) → parse</t>
        </is>
      </c>
      <c r="AY3" s="18" t="inlineStr">
        <is>
          <t>Read the first tag from the object data.user.tags.</t>
        </is>
      </c>
      <c r="AZ3" s="19" t="inlineStr">
        <is>
          <t>console.log(data.user.tags[0]);</t>
        </is>
      </c>
      <c r="BA3" s="18" t="inlineStr">
        <is>
          <t>Parse a small JSON string and print one nested value.</t>
        </is>
      </c>
      <c r="BB3" s="19" t="inlineStr">
        <is>
          <t>What does data?.user?.city return if user is missing?</t>
        </is>
      </c>
      <c r="BC3" s="19" t="inlineStr">
        <is>
          <t>undefined, without throwing an error.</t>
        </is>
      </c>
      <c r="BD3" s="17">
        <f>IF(K3="","",REPT("★",K3)&amp;REPT("☆",5-K3)&amp;" ("&amp;K3&amp;"/5)")</f>
        <v/>
      </c>
      <c r="BE3" s="17">
        <f>IF(S3="","","Meaning: "&amp;S3&amp;"  =  ______   (Answer: "&amp;F3&amp;")")</f>
        <v/>
      </c>
      <c r="BF3" s="17" t="inlineStr">
        <is>
          <t>New</t>
        </is>
      </c>
      <c r="BG3" s="17" t="n"/>
      <c r="BH3" s="17" t="n"/>
      <c r="BI3" s="17" t="n"/>
      <c r="BJ3" s="17" t="n"/>
      <c r="BK3" s="17" t="n"/>
      <c r="BL3" s="17" t="n"/>
      <c r="BM3" s="17" t="n"/>
      <c r="BN3" s="17" t="n"/>
    </row>
    <row r="4" ht="94.5" customHeight="1">
      <c r="A4" s="17" t="inlineStr">
        <is>
          <t>API-020</t>
        </is>
      </c>
      <c r="B4" s="17" t="inlineStr">
        <is>
          <t>04 Authentication</t>
        </is>
      </c>
      <c r="C4" s="17" t="inlineStr">
        <is>
          <t>Beginner</t>
        </is>
      </c>
      <c r="D4" s="17" t="n">
        <v>20</v>
      </c>
      <c r="E4" s="17" t="inlineStr">
        <is>
          <t>Claude knowledge</t>
        </is>
      </c>
      <c r="F4" s="18" t="inlineStr">
        <is>
          <t>API key</t>
        </is>
      </c>
      <c r="G4" s="18" t="inlineStr">
        <is>
          <t>Which simple secret string do many providers give you so they can recognise your application on every call?</t>
        </is>
      </c>
      <c r="H4" s="17" t="n"/>
      <c r="I4" s="18" t="inlineStr">
        <is>
          <t>Authentication method</t>
        </is>
      </c>
      <c r="J4" s="18" t="inlineStr">
        <is>
          <t>Very high</t>
        </is>
      </c>
      <c r="K4" s="18" t="n">
        <v>5</v>
      </c>
      <c r="L4" s="18" t="inlineStr">
        <is>
          <t>Providers need to know who is calling in order to limit usage and bill for it, so they issue each developer a unique key to send with requests.</t>
        </is>
      </c>
      <c r="M4" s="18" t="inlineStr">
        <is>
          <t>Send the key in a header rather than in the URL, since URLs are often logged and shared.</t>
        </is>
      </c>
      <c r="N4" s="17" t="n"/>
      <c r="O4" s="18" t="inlineStr">
        <is>
          <t>An API key is a library card number that tells the library who is borrowing.</t>
        </is>
      </c>
      <c r="P4" s="18" t="inlineStr">
        <is>
          <t>A request carrying a small key tag in its header as it travels to the server.</t>
        </is>
      </c>
      <c r="Q4" s="18" t="inlineStr">
        <is>
          <t>The satisfaction of your first authenticated call working.</t>
        </is>
      </c>
      <c r="R4" s="18" t="inlineStr">
        <is>
          <t>An API key is a secret string that identifies your application to the API provider and is sent with each request.</t>
        </is>
      </c>
      <c r="S4" s="17" t="n"/>
      <c r="T4" s="19" t="inlineStr">
        <is>
          <t>const res = await fetch("https://api.example.com/v1/weather?city=Delhi", {
  headers: { "X-API-Key": process.env.WEATHER_API_KEY }
});</t>
        </is>
      </c>
      <c r="U4" s="19" t="inlineStr">
        <is>
          <t>The server checks the key and, if it is valid, returns the weather data.</t>
        </is>
      </c>
      <c r="V4" s="18" t="inlineStr">
        <is>
          <t>The header name varies by provider, such as X-API-Key or a documented custom name, and some providers use a query parameter instead. A key usually identifies the app and its plan, not an individual user. Anyone holding the key can use your quota, so keep it secret and rotate it if leaked.</t>
        </is>
      </c>
      <c r="W4" s="18" t="inlineStr">
        <is>
          <t>You get a key when you sign up, and send it with every request. The provider uses it to know who you are and to apply your limits.</t>
        </is>
      </c>
      <c r="X4" s="18" t="inlineStr">
        <is>
          <t>It is like a library card number that tells the library who is borrowing.</t>
        </is>
      </c>
      <c r="Y4" s="19" t="inlineStr">
        <is>
          <t>headers: { "X-API-Key": key }</t>
        </is>
      </c>
      <c r="Z4" s="18" t="inlineStr">
        <is>
          <t>X-API-Key = the header name (varies by provider) | key = your secret value</t>
        </is>
      </c>
      <c r="AA4" s="19" t="inlineStr">
        <is>
          <t>headers: { "X-API-Key": process.env.MAPS_KEY }</t>
        </is>
      </c>
      <c r="AB4" s="19" t="inlineStr">
        <is>
          <t>curl -H "X-API-Key: $WEATHER_KEY" https://api.example.com/v1/weather</t>
        </is>
      </c>
      <c r="AC4" s="19" t="inlineStr">
        <is>
          <t>A provider that expects the key as a query parameter named api_key.</t>
        </is>
      </c>
      <c r="AD4" s="19" t="inlineStr">
        <is>
          <t>?api_key=abc123   // some providers, but URLs get logged
Authorization: Bearer &lt;key&gt;   // some providers use this header</t>
        </is>
      </c>
      <c r="AE4" s="18" t="inlineStr">
        <is>
          <t>environment variables, HTTPS, rate limiting, headers</t>
        </is>
      </c>
      <c r="AF4" s="18" t="inlineStr">
        <is>
          <t>Bearer token, secrets, rate limiting</t>
        </is>
      </c>
      <c r="AG4" s="18" t="inlineStr">
        <is>
          <t>OAuth 2.0 when the app acts for a user</t>
        </is>
      </c>
      <c r="AH4" s="17" t="n"/>
      <c r="AI4" s="18" t="inlineStr">
        <is>
          <t>Public APIs | Maps and weather services | Server-to-server calls</t>
        </is>
      </c>
      <c r="AJ4" s="18" t="inlineStr">
        <is>
          <t>A: Can I put the API key in my website's JavaScript? | B: No, anyone can read it there, so call the API from your server.</t>
        </is>
      </c>
      <c r="AK4" s="18" t="inlineStr">
        <is>
          <t>✗ An API key is safe to put in front-end code → ✓ Anyone can read front-end code, so keys must stay on the server or be restricted by the provider</t>
        </is>
      </c>
      <c r="AL4" s="18" t="inlineStr">
        <is>
          <t>API key vs OAuth token: a key identifies your app, an OAuth token represents a user's permission.</t>
        </is>
      </c>
      <c r="AM4" s="18" t="inlineStr">
        <is>
          <t>Do not commit an API key into a public repository.</t>
        </is>
      </c>
      <c r="AN4" s="19" t="inlineStr">
        <is>
          <t>fetch("https://api.example.com/v1/weather?city=Delhi&amp;key=MY_REAL_KEY_123")</t>
        </is>
      </c>
      <c r="AO4" s="19" t="inlineStr">
        <is>
          <t>fetch("https://api.example.com/v1/weather?city=Delhi", { headers: { "X-API-Key": process.env.WEATHER_API_KEY } })</t>
        </is>
      </c>
      <c r="AP4" s="18" t="inlineStr">
        <is>
          <t>A key names the app, so keep it secret.</t>
        </is>
      </c>
      <c r="AQ4" s="18" t="inlineStr">
        <is>
          <t>Calling a weather API from a backend using a key stored in an environment variable.</t>
        </is>
      </c>
      <c r="AR4" s="18" t="inlineStr">
        <is>
          <t>An interviewer may ask: How do you keep an API key secure?</t>
        </is>
      </c>
      <c r="AS4" s="18" t="inlineStr">
        <is>
          <t>It is like a library card number that tells the library who is borrowing.</t>
        </is>
      </c>
      <c r="AT4" s="18" t="inlineStr">
        <is>
          <t>What does an API key usually identify?</t>
        </is>
      </c>
      <c r="AU4" s="18" t="inlineStr">
        <is>
          <t>A) Your application B) Your password C) Your browser D) Your internet provider</t>
        </is>
      </c>
      <c r="AV4" s="18" t="inlineStr">
        <is>
          <t>A</t>
        </is>
      </c>
      <c r="AW4" s="18" t="inlineStr">
        <is>
          <t>A key identifies the calling application and its plan.</t>
        </is>
      </c>
      <c r="AX4" s="19" t="inlineStr">
        <is>
          <t>Keys are best sent in a request ____ rather than in the URL → header</t>
        </is>
      </c>
      <c r="AY4" s="18" t="inlineStr">
        <is>
          <t>Call the weather endpoint with a key read from the environment variable WEATHER_API_KEY.</t>
        </is>
      </c>
      <c r="AZ4" s="19" t="inlineStr">
        <is>
          <t>fetch("https://api.example.com/v1/weather?city=Delhi", { headers: { "X-API-Key": process.env.WEATHER_API_KEY } })</t>
        </is>
      </c>
      <c r="BA4" s="18" t="inlineStr">
        <is>
          <t>Write where you would store an API key for a small project.</t>
        </is>
      </c>
      <c r="BB4" s="19" t="inlineStr">
        <is>
          <t>Why is putting a key in a URL a risk?</t>
        </is>
      </c>
      <c r="BC4" s="19" t="inlineStr">
        <is>
          <t>URLs are often logged and shared, so the key can leak.</t>
        </is>
      </c>
      <c r="BD4" s="17">
        <f>IF(K4="","",REPT("★",K4)&amp;REPT("☆",5-K4)&amp;" ("&amp;K4&amp;"/5)")</f>
        <v/>
      </c>
      <c r="BE4" s="17">
        <f>IF(S4="","","Meaning: "&amp;S4&amp;"  =  ______   (Answer: "&amp;F4&amp;")")</f>
        <v/>
      </c>
      <c r="BF4" s="17" t="inlineStr">
        <is>
          <t>New</t>
        </is>
      </c>
      <c r="BG4" s="17" t="n"/>
      <c r="BH4" s="17" t="n"/>
      <c r="BI4" s="17" t="n"/>
      <c r="BJ4" s="17" t="n"/>
      <c r="BK4" s="17" t="n"/>
      <c r="BL4" s="17" t="n"/>
      <c r="BM4" s="17" t="n"/>
      <c r="BN4" s="17" t="n"/>
    </row>
    <row r="5" ht="108" customHeight="1">
      <c r="A5" s="17" t="inlineStr">
        <is>
          <t>API-022</t>
        </is>
      </c>
      <c r="B5" s="17" t="inlineStr">
        <is>
          <t>04 Authentication</t>
        </is>
      </c>
      <c r="C5" s="17" t="inlineStr">
        <is>
          <t>Beginner</t>
        </is>
      </c>
      <c r="D5" s="17" t="n">
        <v>22</v>
      </c>
      <c r="E5" s="17" t="inlineStr">
        <is>
          <t>Claude knowledge</t>
        </is>
      </c>
      <c r="F5" s="18" t="inlineStr">
        <is>
          <t>Bearer token</t>
        </is>
      </c>
      <c r="G5" s="18" t="inlineStr">
        <is>
          <t>Which credential do you place after the word Bearer in the Authorization header to prove you may call a protected endpoint?</t>
        </is>
      </c>
      <c r="H5" s="17" t="n"/>
      <c r="I5" s="18" t="inlineStr">
        <is>
          <t>Authentication method</t>
        </is>
      </c>
      <c r="J5" s="18" t="inlineStr">
        <is>
          <t>Very high</t>
        </is>
      </c>
      <c r="K5" s="18" t="n">
        <v>5</v>
      </c>
      <c r="L5" s="18" t="inlineStr">
        <is>
          <t>Sending a long-lived password on every request is risky, so APIs issue temporary tokens that the caller simply bears along with each request.</t>
        </is>
      </c>
      <c r="M5" s="18" t="inlineStr">
        <is>
          <t>Build one helper that adds the Authorization header, so you never forget it on a call.</t>
        </is>
      </c>
      <c r="N5" s="17" t="n"/>
      <c r="O5" s="18" t="inlineStr">
        <is>
          <t>A bearer token is a ticket, and whoever holds the ticket gets in.</t>
        </is>
      </c>
      <c r="P5" s="18" t="inlineStr">
        <is>
          <t>A request carrying a ticket stub in its header as it passes a gate.</t>
        </is>
      </c>
      <c r="Q5" s="18" t="inlineStr">
        <is>
          <t>The satisfaction of a protected endpoint finally answering with data.</t>
        </is>
      </c>
      <c r="R5" s="18" t="inlineStr">
        <is>
          <t>A bearer token is a credential sent in the Authorization header as Bearer followed by the token, and whoever holds it can use the API.</t>
        </is>
      </c>
      <c r="S5" s="17" t="n"/>
      <c r="T5" s="19" t="inlineStr">
        <is>
          <t>const res = await fetch("https://api.example.com/v1/me", {
  headers: { Authorization: `Bearer ${token}` }
});
console.log(res.status);</t>
        </is>
      </c>
      <c r="U5" s="19" t="inlineStr">
        <is>
          <t>200 when the token is valid, or 401 when it is missing or expired.</t>
        </is>
      </c>
      <c r="V5" s="18" t="inlineStr">
        <is>
          <t>The token is usually obtained after logging in or through OAuth. It often expires after a short time. Because anyone who steals it can use it, it must only travel over HTTPS and must never be logged or exposed in URLs.</t>
        </is>
      </c>
      <c r="W5" s="18" t="inlineStr">
        <is>
          <t>You first get a token, then send it as Authorization: Bearer plus the token on every call. The server checks it and decides whether to let you in.</t>
        </is>
      </c>
      <c r="X5" s="18" t="inlineStr">
        <is>
          <t>It is like a ticket, where whoever holds it gets in.</t>
        </is>
      </c>
      <c r="Y5" s="19" t="inlineStr">
        <is>
          <t>Authorization: Bearer &lt;token&gt;</t>
        </is>
      </c>
      <c r="Z5" s="18" t="inlineStr">
        <is>
          <t>Authorization = the header | Bearer = the scheme | &lt;token&gt; = the credential</t>
        </is>
      </c>
      <c r="AA5" s="19" t="inlineStr">
        <is>
          <t>headers: { Authorization: `Bearer ${token}` }</t>
        </is>
      </c>
      <c r="AB5" s="19" t="inlineStr">
        <is>
          <t>curl -H "Authorization: Bearer $TOKEN" https://api.example.com/v1/me</t>
        </is>
      </c>
      <c r="AC5" s="19" t="inlineStr">
        <is>
          <t>A mobile app that adds the stored token to every request through one function.</t>
        </is>
      </c>
      <c r="AD5" s="19" t="inlineStr">
        <is>
          <t>Authorization: Bearer eyJhbGciOi...   // a JWT used as a bearer token</t>
        </is>
      </c>
      <c r="AE5" s="18" t="inlineStr">
        <is>
          <t>OAuth 2.0, JWT, HTTPS, refresh token</t>
        </is>
      </c>
      <c r="AF5" s="18" t="inlineStr">
        <is>
          <t>OAuth 2.0, JWT, access token</t>
        </is>
      </c>
      <c r="AG5" s="18" t="inlineStr">
        <is>
          <t>API key or Basic authentication</t>
        </is>
      </c>
      <c r="AH5" s="17" t="n"/>
      <c r="AI5" s="18" t="inlineStr">
        <is>
          <t>Most modern APIs | Mobile apps | Single-page apps</t>
        </is>
      </c>
      <c r="AJ5" s="18" t="inlineStr">
        <is>
          <t>A: My call returns 401 even though I logged in. | B: Check that the token is sent as Authorization: Bearer plus the token, and that it has not expired.</t>
        </is>
      </c>
      <c r="AK5" s="18" t="inlineStr">
        <is>
          <t>✗ A bearer token is safe to log or share since it is temporary → ✓ Whoever holds a valid bearer token can use it, so never log or share it</t>
        </is>
      </c>
      <c r="AL5" s="18" t="inlineStr">
        <is>
          <t>Bearer token vs API key: a token is usually temporary and tied to a user or session, a key usually identifies an application.</t>
        </is>
      </c>
      <c r="AM5" s="18" t="inlineStr">
        <is>
          <t>Do not send a token over plain HTTP.</t>
        </is>
      </c>
      <c r="AN5" s="19" t="inlineStr">
        <is>
          <t>headers: { Authorization: token }</t>
        </is>
      </c>
      <c r="AO5" s="19" t="inlineStr">
        <is>
          <t>headers: { Authorization: `Bearer ${token}` }</t>
        </is>
      </c>
      <c r="AP5" s="18" t="inlineStr">
        <is>
          <t>Bearer means whoever bears it gets in.</t>
        </is>
      </c>
      <c r="AQ5" s="18" t="inlineStr">
        <is>
          <t>Adding a Bearer header to every call through a shared request helper.</t>
        </is>
      </c>
      <c r="AR5" s="18" t="inlineStr">
        <is>
          <t>An interviewer may ask: How do you send a token to a protected API?</t>
        </is>
      </c>
      <c r="AS5" s="18" t="inlineStr">
        <is>
          <t>It is like a ticket, where whoever holds it gets in.</t>
        </is>
      </c>
      <c r="AT5" s="18" t="inlineStr">
        <is>
          <t>What is the correct format of the Authorization header for a bearer token?</t>
        </is>
      </c>
      <c r="AU5" s="18" t="inlineStr">
        <is>
          <t>A) Authorization: &lt;token&gt; B) Bearer: Authorization C) Token: Bearer D) Authorization: Bearer &lt;token&gt;</t>
        </is>
      </c>
      <c r="AV5" s="18" t="inlineStr">
        <is>
          <t>D</t>
        </is>
      </c>
      <c r="AW5" s="18" t="inlineStr">
        <is>
          <t>The scheme word Bearer is followed by a space and the token.</t>
        </is>
      </c>
      <c r="AX5" s="19" t="inlineStr">
        <is>
          <t>Authorization: ____ abc123 → Bearer</t>
        </is>
      </c>
      <c r="AY5" s="18" t="inlineStr">
        <is>
          <t>Send the token stored in the variable token with a request to /v1/me.</t>
        </is>
      </c>
      <c r="AZ5" s="19" t="inlineStr">
        <is>
          <t>fetch("https://api.example.com/v1/me", { headers: { Authorization: `Bearer ${token}` } })</t>
        </is>
      </c>
      <c r="BA5" s="18" t="inlineStr">
        <is>
          <t>Write a small function that adds a Bearer header to any request.</t>
        </is>
      </c>
      <c r="BB5" s="19" t="inlineStr">
        <is>
          <t>What does a 401 usually suggest when you send a bearer token?</t>
        </is>
      </c>
      <c r="BC5" s="19" t="inlineStr">
        <is>
          <t>The token is missing, invalid or expired.</t>
        </is>
      </c>
      <c r="BD5" s="17">
        <f>IF(K5="","",REPT("★",K5)&amp;REPT("☆",5-K5)&amp;" ("&amp;K5&amp;"/5)")</f>
        <v/>
      </c>
      <c r="BE5" s="17">
        <f>IF(S5="","","Meaning: "&amp;S5&amp;"  =  ______   (Answer: "&amp;F5&amp;")")</f>
        <v/>
      </c>
      <c r="BF5" s="17" t="inlineStr">
        <is>
          <t>New</t>
        </is>
      </c>
      <c r="BG5" s="17" t="n"/>
      <c r="BH5" s="17" t="n"/>
      <c r="BI5" s="17" t="n"/>
      <c r="BJ5" s="17" t="n"/>
      <c r="BK5" s="17" t="n"/>
      <c r="BL5" s="17" t="n"/>
      <c r="BM5" s="17" t="n"/>
      <c r="BN5" s="17" t="n"/>
    </row>
    <row r="6" ht="108" customHeight="1">
      <c r="A6" s="17" t="inlineStr">
        <is>
          <t>API-027</t>
        </is>
      </c>
      <c r="B6" s="17" t="inlineStr">
        <is>
          <t>04 Authentication</t>
        </is>
      </c>
      <c r="C6" s="17" t="inlineStr">
        <is>
          <t>Beginner</t>
        </is>
      </c>
      <c r="D6" s="17" t="n">
        <v>27</v>
      </c>
      <c r="E6" s="17" t="inlineStr">
        <is>
          <t>Claude knowledge</t>
        </is>
      </c>
      <c r="F6" s="18" t="inlineStr">
        <is>
          <t>Keeping secrets safe (environment variables)</t>
        </is>
      </c>
      <c r="G6" s="18" t="inlineStr">
        <is>
          <t>Where should an API key or token live so that it never ends up in your source code or repository?</t>
        </is>
      </c>
      <c r="H6" s="17" t="n"/>
      <c r="I6" s="18" t="inlineStr">
        <is>
          <t>Security practice</t>
        </is>
      </c>
      <c r="J6" s="18" t="inlineStr">
        <is>
          <t>Very high</t>
        </is>
      </c>
      <c r="K6" s="18" t="n">
        <v>5</v>
      </c>
      <c r="L6" s="18" t="inlineStr">
        <is>
          <t>Keys committed to code get copied into repositories and logs, and bots scan public repos for them, so secrets are kept outside the code in the environment.</t>
        </is>
      </c>
      <c r="M6" s="18" t="inlineStr">
        <is>
          <t>Add .env to .gitignore before creating the file, and keep a .env.example with fake values for teammates.</t>
        </is>
      </c>
      <c r="N6" s="17" t="n"/>
      <c r="O6" s="18" t="inlineStr">
        <is>
          <t>Secrets belong in a locked drawer outside the shop window, and the code only knows which drawer to open.</t>
        </is>
      </c>
      <c r="P6" s="18" t="inlineStr">
        <is>
          <t>A code file with an arrow pointing to a separate locked file that is not in the repository.</t>
        </is>
      </c>
      <c r="Q6" s="18" t="inlineStr">
        <is>
          <t>The peace of mind that comes from not leaking a key by accident.</t>
        </is>
      </c>
      <c r="R6" s="18" t="inlineStr">
        <is>
          <t>Environment variables keep secrets outside the code, and the program reads them at run time.</t>
        </is>
      </c>
      <c r="S6" s="17" t="n"/>
      <c r="T6" s="19" t="inlineStr">
        <is>
          <t># .env (kept out of git)
API_KEY=abc123
# .gitignore
.env
// app.js
const key = process.env.API_KEY;</t>
        </is>
      </c>
      <c r="U6" s="19" t="inlineStr">
        <is>
          <t>The program reads the key from the environment, and the key never appears in the committed code.</t>
        </is>
      </c>
      <c r="V6" s="18" t="inlineStr">
        <is>
          <t>Put secrets in environment variables, locally through a .env file that is ignored by git, and in production through your host's secret settings. If a secret is ever committed, treat it as leaked and rotate it, because deleting the file does not remove it from history. Front-end code cannot hide secrets at all.</t>
        </is>
      </c>
      <c r="W6" s="18" t="inlineStr">
        <is>
          <t>Write the key in a .env file, add that file to .gitignore, and read it in code with process.env. If it ever leaks, replace the key.</t>
        </is>
      </c>
      <c r="X6" s="18" t="inlineStr">
        <is>
          <t>It is like keeping valuables in a locked drawer, and the code only knows which drawer to open.</t>
        </is>
      </c>
      <c r="Y6" s="19" t="inlineStr">
        <is>
          <t>process.env.NAME</t>
        </is>
      </c>
      <c r="Z6" s="18" t="inlineStr">
        <is>
          <t>process.env = the environment object | NAME = the variable's name</t>
        </is>
      </c>
      <c r="AA6" s="19" t="inlineStr">
        <is>
          <t>const key = process.env.API_KEY;</t>
        </is>
      </c>
      <c r="AB6" s="19" t="inlineStr">
        <is>
          <t>A hosting dashboard where you add the variable instead of editing code.</t>
        </is>
      </c>
      <c r="AC6" s="19" t="inlineStr">
        <is>
          <t>A .env.example file that lists names with fake values.</t>
        </is>
      </c>
      <c r="AD6" s="19" t="inlineStr">
        <is>
          <t>dotenv loads .env into process.env in Node projects
A secret manager service for larger teams</t>
        </is>
      </c>
      <c r="AE6" s="18" t="inlineStr">
        <is>
          <t>.gitignore, dotenv, API key, deployment settings</t>
        </is>
      </c>
      <c r="AF6" s="18" t="inlineStr">
        <is>
          <t>API key, .gitignore, leaked secret</t>
        </is>
      </c>
      <c r="AG6" s="18" t="inlineStr">
        <is>
          <t>A cloud secret manager</t>
        </is>
      </c>
      <c r="AH6" s="17" t="n"/>
      <c r="AI6" s="18" t="inlineStr">
        <is>
          <t>Local development | Deployment | Every integration with a key</t>
        </is>
      </c>
      <c r="AJ6" s="18" t="inlineStr">
        <is>
          <t>A: I committed my API key by mistake. | B: Rotate the key now, because removing the file does not erase it from history.</t>
        </is>
      </c>
      <c r="AK6" s="18" t="inlineStr">
        <is>
          <t>✗ Deleting a committed secret from the file makes it safe → ✓ A committed secret stays in history, so you must rotate the key</t>
        </is>
      </c>
      <c r="AL6" s="18" t="inlineStr">
        <is>
          <t>Environment variable vs hard-coded value: one is supplied outside the code, the other is written into it.</t>
        </is>
      </c>
      <c r="AM6" s="18" t="inlineStr">
        <is>
          <t>Do not put secrets in front-end code or public repositories.</t>
        </is>
      </c>
      <c r="AN6" s="19" t="inlineStr">
        <is>
          <t>const key = "abc123";</t>
        </is>
      </c>
      <c r="AO6" s="19" t="inlineStr">
        <is>
          <t>const key = process.env.API_KEY;</t>
        </is>
      </c>
      <c r="AP6" s="18" t="inlineStr">
        <is>
          <t>Secrets live outside the code.</t>
        </is>
      </c>
      <c r="AQ6" s="18" t="inlineStr">
        <is>
          <t>Keeping a payment provider key in the hosting dashboard and never in the repository.</t>
        </is>
      </c>
      <c r="AR6" s="18" t="inlineStr">
        <is>
          <t>An interviewer may ask: How do you manage secrets in an application?</t>
        </is>
      </c>
      <c r="AS6" s="18" t="inlineStr">
        <is>
          <t>It is like keeping valuables in a locked drawer outside the shop window.</t>
        </is>
      </c>
      <c r="AT6" s="18" t="inlineStr">
        <is>
          <t>Where should an API key be stored?</t>
        </is>
      </c>
      <c r="AU6" s="18" t="inlineStr">
        <is>
          <t>A) In the README B) In front-end code C) In a public repo D) In an environment variable</t>
        </is>
      </c>
      <c r="AV6" s="18" t="inlineStr">
        <is>
          <t>D</t>
        </is>
      </c>
      <c r="AW6" s="18" t="inlineStr">
        <is>
          <t>Environment variables keep secrets out of the source code.</t>
        </is>
      </c>
      <c r="AX6" s="19" t="inlineStr">
        <is>
          <t>Add the file .env to ____ so it is not committed → .gitignore</t>
        </is>
      </c>
      <c r="AY6" s="18" t="inlineStr">
        <is>
          <t>Read a key named PAYMENT_KEY from the environment.</t>
        </is>
      </c>
      <c r="AZ6" s="19" t="inlineStr">
        <is>
          <t>const key = process.env.PAYMENT_KEY;</t>
        </is>
      </c>
      <c r="BA6" s="18" t="inlineStr">
        <is>
          <t>Set up a .env file and .gitignore entry for a small project.</t>
        </is>
      </c>
      <c r="BB6" s="19" t="inlineStr">
        <is>
          <t>What must you do if a key was committed to a repository?</t>
        </is>
      </c>
      <c r="BC6" s="19" t="inlineStr">
        <is>
          <t>Rotate the key, because it stays in the history.</t>
        </is>
      </c>
      <c r="BD6" s="17">
        <f>IF(K6="","",REPT("★",K6)&amp;REPT("☆",5-K6)&amp;" ("&amp;K6&amp;"/5)")</f>
        <v/>
      </c>
      <c r="BE6" s="17">
        <f>IF(S6="","","Meaning: "&amp;S6&amp;"  =  ______   (Answer: "&amp;F6&amp;")")</f>
        <v/>
      </c>
      <c r="BF6" s="17" t="inlineStr">
        <is>
          <t>New</t>
        </is>
      </c>
      <c r="BG6" s="17" t="n"/>
      <c r="BH6" s="17" t="n"/>
      <c r="BI6" s="17" t="n"/>
      <c r="BJ6" s="17" t="n"/>
      <c r="BK6" s="17" t="n"/>
      <c r="BL6" s="17" t="n"/>
      <c r="BM6" s="17" t="n"/>
      <c r="BN6" s="17" t="n"/>
    </row>
    <row r="7" ht="81" customHeight="1">
      <c r="A7" s="17" t="inlineStr">
        <is>
          <t>API-028</t>
        </is>
      </c>
      <c r="B7" s="17" t="inlineStr">
        <is>
          <t>05 Making calls</t>
        </is>
      </c>
      <c r="C7" s="17" t="inlineStr">
        <is>
          <t>Beginner</t>
        </is>
      </c>
      <c r="D7" s="17" t="n">
        <v>28</v>
      </c>
      <c r="E7" s="17" t="inlineStr">
        <is>
          <t>Claude knowledge</t>
        </is>
      </c>
      <c r="F7" s="18" t="inlineStr">
        <is>
          <t>curl</t>
        </is>
      </c>
      <c r="G7" s="18" t="inlineStr">
        <is>
          <t>Which command-line tool lets you send an HTTP request from the terminal to test an API quickly?</t>
        </is>
      </c>
      <c r="H7" s="17" t="n"/>
      <c r="I7" s="18" t="inlineStr">
        <is>
          <t>Command-line tool</t>
        </is>
      </c>
      <c r="J7" s="18" t="inlineStr">
        <is>
          <t>Very high</t>
        </is>
      </c>
      <c r="K7" s="18" t="n">
        <v>5</v>
      </c>
      <c r="L7" s="18" t="inlineStr">
        <is>
          <t>Developers needed a quick way to try web requests without writing a program, so curl was created as a small command-line tool that transfers data over many protocols.</t>
        </is>
      </c>
      <c r="M7" s="18" t="inlineStr">
        <is>
          <t>Add -i to see the response headers and status line, which is very useful when debugging.</t>
        </is>
      </c>
      <c r="N7" s="17" t="n"/>
      <c r="O7" s="18" t="inlineStr">
        <is>
          <t>curl is a pocket telephone that dials any web address directly from your terminal.</t>
        </is>
      </c>
      <c r="P7" s="18" t="inlineStr">
        <is>
          <t>A terminal window with a short command and a JSON response printed beneath it.</t>
        </is>
      </c>
      <c r="Q7" s="18" t="inlineStr">
        <is>
          <t>The satisfaction of seeing a real API answer after one line of typing.</t>
        </is>
      </c>
      <c r="R7" s="18" t="inlineStr">
        <is>
          <t>curl is a command-line tool that sends HTTP requests and prints the response.</t>
        </is>
      </c>
      <c r="S7" s="17" t="n"/>
      <c r="T7" s="19" t="inlineStr">
        <is>
          <t>curl -i https://api.example.com/v1/users/42 -H "Accept: application/json"</t>
        </is>
      </c>
      <c r="U7" s="19" t="inlineStr">
        <is>
          <t>HTTP/2 200
content-type: application/json
{"id": 42, "name": "Asha"}</t>
        </is>
      </c>
      <c r="V7" s="18" t="inlineStr">
        <is>
          <t>By default curl sends a GET request. You can set the method with -X, add headers with -H, send a body with -d, and show response headers with -i. Many API documentation pages give examples as curl commands, which you can paste into a terminal to try.</t>
        </is>
      </c>
      <c r="W7" s="18" t="inlineStr">
        <is>
          <t>Type curl and a URL to make a request. Add -H for headers, -d for a body and -i to see the status and headers.</t>
        </is>
      </c>
      <c r="X7" s="18" t="inlineStr">
        <is>
          <t>It is like a pocket telephone that dials any web address from your terminal.</t>
        </is>
      </c>
      <c r="Y7" s="19" t="inlineStr">
        <is>
          <t>curl [options] &lt;url&gt;</t>
        </is>
      </c>
      <c r="Z7" s="18" t="inlineStr">
        <is>
          <t>-X = method | -H = header | -d = request body | -i = show response headers</t>
        </is>
      </c>
      <c r="AA7" s="19" t="inlineStr">
        <is>
          <t>curl https://api.example.com/v1/users</t>
        </is>
      </c>
      <c r="AB7" s="19" t="inlineStr">
        <is>
          <t>curl -X POST https://api.example.com/v1/users -H "Content-Type: application/json" -d '{"name": "Asha"}'</t>
        </is>
      </c>
      <c r="AC7" s="19" t="inlineStr">
        <is>
          <t>curl -i -H "Authorization: Bearer $TOKEN" https://api.example.com/v1/me</t>
        </is>
      </c>
      <c r="AD7" s="19" t="inlineStr">
        <is>
          <t>curl -s URL   // silent, hide the progress bar
curl -v URL   // verbose, show the whole conversation</t>
        </is>
      </c>
      <c r="AE7" s="18" t="inlineStr">
        <is>
          <t>-X, -H, -d, -i, -v</t>
        </is>
      </c>
      <c r="AF7" s="18" t="inlineStr">
        <is>
          <t>fetch, API client tools, HTTP methods</t>
        </is>
      </c>
      <c r="AG7" s="18" t="inlineStr">
        <is>
          <t>Postman or a similar API client</t>
        </is>
      </c>
      <c r="AH7" s="17" t="n"/>
      <c r="AI7" s="18" t="inlineStr">
        <is>
          <t>Testing endpoints | API documentation | Quick debugging</t>
        </is>
      </c>
      <c r="AJ7" s="18" t="inlineStr">
        <is>
          <t>A: Does the endpoint work before I code against it? | B: Try it with curl first, and look at the status and body.</t>
        </is>
      </c>
      <c r="AK7" s="18" t="inlineStr">
        <is>
          <t>✗ curl is only for downloading files → ✓ curl can send any kind of HTTP request, including POST requests with headers and a body</t>
        </is>
      </c>
      <c r="AL7" s="18" t="inlineStr">
        <is>
          <t>curl vs fetch: curl runs in the terminal, fetch runs inside JavaScript code.</t>
        </is>
      </c>
      <c r="AM7" s="18" t="inlineStr">
        <is>
          <t>Do not paste real tokens into commands that are saved in a shared history.</t>
        </is>
      </c>
      <c r="AN7" s="19" t="inlineStr">
        <is>
          <t>curl -X POST https://api.example.com/v1/users -d {"name": "Asha"}</t>
        </is>
      </c>
      <c r="AO7" s="19" t="inlineStr">
        <is>
          <t>curl -X POST https://api.example.com/v1/users -H "Content-Type: application/json" -d '{"name": "Asha"}'</t>
        </is>
      </c>
      <c r="AP7" s="18" t="inlineStr">
        <is>
          <t>curl calls a URL from the terminal.</t>
        </is>
      </c>
      <c r="AQ7" s="18" t="inlineStr">
        <is>
          <t>Testing a new endpoint with curl before writing any code for it.</t>
        </is>
      </c>
      <c r="AR7" s="18" t="inlineStr">
        <is>
          <t>An interviewer may ask: How do you test an API from the command line?</t>
        </is>
      </c>
      <c r="AS7" s="18" t="inlineStr">
        <is>
          <t>It is like a pocket telephone that dials any web address.</t>
        </is>
      </c>
      <c r="AT7" s="18" t="inlineStr">
        <is>
          <t>Which curl option adds a header to the request?</t>
        </is>
      </c>
      <c r="AU7" s="18" t="inlineStr">
        <is>
          <t>A) -s B) -H C) -d D) -i</t>
        </is>
      </c>
      <c r="AV7" s="18" t="inlineStr">
        <is>
          <t>B</t>
        </is>
      </c>
      <c r="AW7" s="18" t="inlineStr">
        <is>
          <t>-H adds a request header, while -d sends a body.</t>
        </is>
      </c>
      <c r="AX7" s="19" t="inlineStr">
        <is>
          <t>The curl option that shows the response headers is -____ → i</t>
        </is>
      </c>
      <c r="AY7" s="18" t="inlineStr">
        <is>
          <t>Send a GET request to /v1/users with the Accept header set to JSON.</t>
        </is>
      </c>
      <c r="AZ7" s="19" t="inlineStr">
        <is>
          <t>curl https://api.example.com/v1/users -H "Accept: application/json"</t>
        </is>
      </c>
      <c r="BA7" s="18" t="inlineStr">
        <is>
          <t>Run a curl request against a public test API and read its status.</t>
        </is>
      </c>
      <c r="BB7" s="19" t="inlineStr">
        <is>
          <t>What method does curl use when you give no -X option?</t>
        </is>
      </c>
      <c r="BC7" s="19" t="inlineStr">
        <is>
          <t>GET</t>
        </is>
      </c>
      <c r="BD7" s="17">
        <f>IF(K7="","",REPT("★",K7)&amp;REPT("☆",5-K7)&amp;" ("&amp;K7&amp;"/5)")</f>
        <v/>
      </c>
      <c r="BE7" s="17">
        <f>IF(S7="","","Meaning: "&amp;S7&amp;"  =  ______   (Answer: "&amp;F7&amp;")")</f>
        <v/>
      </c>
      <c r="BF7" s="17" t="inlineStr">
        <is>
          <t>New</t>
        </is>
      </c>
      <c r="BG7" s="17" t="n"/>
      <c r="BH7" s="17" t="n"/>
      <c r="BI7" s="17" t="n"/>
      <c r="BJ7" s="17" t="n"/>
      <c r="BK7" s="17" t="n"/>
      <c r="BL7" s="17" t="n"/>
      <c r="BM7" s="17" t="n"/>
      <c r="BN7" s="17" t="n"/>
    </row>
    <row r="8" ht="81" customHeight="1">
      <c r="A8" s="17" t="inlineStr">
        <is>
          <t>API-030</t>
        </is>
      </c>
      <c r="B8" s="17" t="inlineStr">
        <is>
          <t>05 Making calls</t>
        </is>
      </c>
      <c r="C8" s="17" t="inlineStr">
        <is>
          <t>Beginner</t>
        </is>
      </c>
      <c r="D8" s="17" t="n">
        <v>30</v>
      </c>
      <c r="E8" s="17" t="inlineStr">
        <is>
          <t>Claude knowledge</t>
        </is>
      </c>
      <c r="F8" s="18" t="inlineStr">
        <is>
          <t>fetch (making a GET request in JavaScript)</t>
        </is>
      </c>
      <c r="G8" s="18" t="inlineStr">
        <is>
          <t>Which built-in JavaScript function sends an HTTP request and returns a promise for the response?</t>
        </is>
      </c>
      <c r="H8" s="17" t="n"/>
      <c r="I8" s="18" t="inlineStr">
        <is>
          <t>JavaScript function</t>
        </is>
      </c>
      <c r="J8" s="18" t="inlineStr">
        <is>
          <t>Very high</t>
        </is>
      </c>
      <c r="K8" s="18" t="n">
        <v>5</v>
      </c>
      <c r="L8" s="18" t="inlineStr">
        <is>
          <t>Browsers used XMLHttpRequest for network calls, which was clumsy, so the fetch function was introduced with a cleaner promise-based design.</t>
        </is>
      </c>
      <c r="M8" s="18" t="inlineStr">
        <is>
          <t>Use async and await so the code reads from top to bottom like normal steps.</t>
        </is>
      </c>
      <c r="N8" s="17" t="n"/>
      <c r="O8" s="18" t="inlineStr">
        <is>
          <t>fetch is a courier you send to an address, and it comes back with a parcel to open.</t>
        </is>
      </c>
      <c r="P8" s="18" t="inlineStr">
        <is>
          <t>A function call arrow leaving a script and returning with a response object.</t>
        </is>
      </c>
      <c r="Q8" s="18" t="inlineStr">
        <is>
          <t>The thrill of your own code pulling live data from the internet.</t>
        </is>
      </c>
      <c r="R8" s="18" t="inlineStr">
        <is>
          <t>fetch sends an HTTP request and returns a promise that resolves to a Response object.</t>
        </is>
      </c>
      <c r="S8" s="17" t="n"/>
      <c r="T8" s="19" t="inlineStr">
        <is>
          <t>const res = await fetch("https://api.example.com/v1/users/42");
const user = await res.json();
console.log(user.name);</t>
        </is>
      </c>
      <c r="U8" s="19" t="inlineStr">
        <is>
          <t>Asha</t>
        </is>
      </c>
      <c r="V8" s="18" t="inlineStr">
        <is>
          <t>fetch takes a URL and an optional settings object. Without settings it sends a GET request. It resolves with a Response, which has status, headers and methods such as json() and text() that read the body. Both steps are asynchronous, so each uses await.</t>
        </is>
      </c>
      <c r="W8" s="18" t="inlineStr">
        <is>
          <t>Call fetch with a URL, wait for the response, then call res.json() to read the data. Use await so the code waits for each step.</t>
        </is>
      </c>
      <c r="X8" s="18" t="inlineStr">
        <is>
          <t>It is like sending a courier to an address and waiting for the parcel to come back.</t>
        </is>
      </c>
      <c r="Y8" s="19" t="inlineStr">
        <is>
          <t>const res = await fetch(url, options)</t>
        </is>
      </c>
      <c r="Z8" s="18" t="inlineStr">
        <is>
          <t>fetch = send the request | url = where to send | options = method, headers, body | await = wait for the answer</t>
        </is>
      </c>
      <c r="AA8" s="19" t="inlineStr">
        <is>
          <t>const res = await fetch("https://api.example.com/v1/users");</t>
        </is>
      </c>
      <c r="AB8" s="19" t="inlineStr">
        <is>
          <t>const res = await fetch(url, { method: "DELETE" });</t>
        </is>
      </c>
      <c r="AC8" s="19" t="inlineStr">
        <is>
          <t>const text = await (await fetch(url)).text();</t>
        </is>
      </c>
      <c r="AD8" s="19" t="inlineStr">
        <is>
          <t>fetch(url).then(res =&gt; res.json())   // promise chain style
await fetch(url, { headers: { Accept: "application/json" } })</t>
        </is>
      </c>
      <c r="AE8" s="18" t="inlineStr">
        <is>
          <t>await, res.json(), headers, async functions</t>
        </is>
      </c>
      <c r="AF8" s="18" t="inlineStr">
        <is>
          <t>curl, response handling, Promise, error handling</t>
        </is>
      </c>
      <c r="AG8" s="18" t="inlineStr">
        <is>
          <t>axios or another HTTP library</t>
        </is>
      </c>
      <c r="AH8" s="17" t="n"/>
      <c r="AI8" s="18" t="inlineStr">
        <is>
          <t>Web front ends | Node.js scripts | Calling any REST API</t>
        </is>
      </c>
      <c r="AJ8" s="18" t="inlineStr">
        <is>
          <t>A: How do I get data from an API in JavaScript? | B: Use fetch with the URL, await it, and then read res.json().</t>
        </is>
      </c>
      <c r="AK8" s="18" t="inlineStr">
        <is>
          <t>✗ fetch returns the data directly → ✓ fetch returns a promise for a Response object, and you must read the body with res.json() or res.text()</t>
        </is>
      </c>
      <c r="AL8" s="18" t="inlineStr">
        <is>
          <t>fetch vs res.json(): fetch gets the response, res.json() reads and parses its body.</t>
        </is>
      </c>
      <c r="AM8" s="18" t="inlineStr">
        <is>
          <t>Do not forget await, or you will be holding a promise instead of the data.</t>
        </is>
      </c>
      <c r="AN8" s="19" t="inlineStr">
        <is>
          <t>const user = await fetch("https://api.example.com/v1/users/42");</t>
        </is>
      </c>
      <c r="AO8" s="19" t="inlineStr">
        <is>
          <t>const res = await fetch("https://api.example.com/v1/users/42"); const user = await res.json();</t>
        </is>
      </c>
      <c r="AP8" s="18" t="inlineStr">
        <is>
          <t>fetch fetches the response, json reads it.</t>
        </is>
      </c>
      <c r="AQ8" s="18" t="inlineStr">
        <is>
          <t>Loading a list of products from an API and showing it on a page.</t>
        </is>
      </c>
      <c r="AR8" s="18" t="inlineStr">
        <is>
          <t>An interviewer may ask: What does fetch return?</t>
        </is>
      </c>
      <c r="AS8" s="18" t="inlineStr">
        <is>
          <t>It is like sending a courier and waiting for the parcel.</t>
        </is>
      </c>
      <c r="AT8" s="18" t="inlineStr">
        <is>
          <t>What does fetch return?</t>
        </is>
      </c>
      <c r="AU8" s="18" t="inlineStr">
        <is>
          <t>A) A string B) The JSON data directly C) A promise for a Response D) A boolean</t>
        </is>
      </c>
      <c r="AV8" s="18" t="inlineStr">
        <is>
          <t>C</t>
        </is>
      </c>
      <c r="AW8" s="18" t="inlineStr">
        <is>
          <t>fetch gives a promise that resolves to a Response object.</t>
        </is>
      </c>
      <c r="AX8" s="19" t="inlineStr">
        <is>
          <t>const res = ____ fetch(url); → await</t>
        </is>
      </c>
      <c r="AY8" s="18" t="inlineStr">
        <is>
          <t>Fetch the user at /v1/users/7 and print the name.</t>
        </is>
      </c>
      <c r="AZ8" s="19" t="inlineStr">
        <is>
          <t>const res = await fetch("https://api.example.com/v1/users/7"); const user = await res.json(); console.log(user.name);</t>
        </is>
      </c>
      <c r="BA8" s="18" t="inlineStr">
        <is>
          <t>Write a short script that fetches a public API and prints one field.</t>
        </is>
      </c>
      <c r="BB8" s="19" t="inlineStr">
        <is>
          <t>What method of the response reads the body as JSON?</t>
        </is>
      </c>
      <c r="BC8" s="19" t="inlineStr">
        <is>
          <t>res.json()</t>
        </is>
      </c>
      <c r="BD8" s="17">
        <f>IF(K8="","",REPT("★",K8)&amp;REPT("☆",5-K8)&amp;" ("&amp;K8&amp;"/5)")</f>
        <v/>
      </c>
      <c r="BE8" s="17">
        <f>IF(S8="","","Meaning: "&amp;S8&amp;"  =  ______   (Answer: "&amp;F8&amp;")")</f>
        <v/>
      </c>
      <c r="BF8" s="17" t="inlineStr">
        <is>
          <t>New</t>
        </is>
      </c>
      <c r="BG8" s="17" t="n"/>
      <c r="BH8" s="17" t="n"/>
      <c r="BI8" s="17" t="n"/>
      <c r="BJ8" s="17" t="n"/>
      <c r="BK8" s="17" t="n"/>
      <c r="BL8" s="17" t="n"/>
      <c r="BM8" s="17" t="n"/>
      <c r="BN8" s="17" t="n"/>
    </row>
    <row r="9" ht="81" customHeight="1">
      <c r="A9" s="17" t="inlineStr">
        <is>
          <t>API-031</t>
        </is>
      </c>
      <c r="B9" s="17" t="inlineStr">
        <is>
          <t>05 Making calls</t>
        </is>
      </c>
      <c r="C9" s="17" t="inlineStr">
        <is>
          <t>Beginner</t>
        </is>
      </c>
      <c r="D9" s="17" t="n">
        <v>31</v>
      </c>
      <c r="E9" s="17" t="inlineStr">
        <is>
          <t>Claude knowledge</t>
        </is>
      </c>
      <c r="F9" s="18" t="inlineStr">
        <is>
          <t>Sending query parameters (URLSearchParams)</t>
        </is>
      </c>
      <c r="G9" s="18" t="inlineStr">
        <is>
          <t>Which built-in helper builds a correctly encoded query string for you from an object of values?</t>
        </is>
      </c>
      <c r="H9" s="17" t="n"/>
      <c r="I9" s="18" t="inlineStr">
        <is>
          <t>JavaScript technique</t>
        </is>
      </c>
      <c r="J9" s="18" t="inlineStr">
        <is>
          <t>High</t>
        </is>
      </c>
      <c r="K9" s="18" t="n">
        <v>4</v>
      </c>
      <c r="L9" s="18" t="inlineStr">
        <is>
          <t>Gluing query strings together by hand breaks on spaces and special characters, so JavaScript added a helper that encodes them safely.</t>
        </is>
      </c>
      <c r="M9" s="18" t="inlineStr">
        <is>
          <t>Build query strings with URLSearchParams instead of concatenating text yourself.</t>
        </is>
      </c>
      <c r="N9" s="17" t="n"/>
      <c r="O9" s="18" t="inlineStr">
        <is>
          <t>URLSearchParams is a careful packer that boxes every option so nothing breaks in transit.</t>
        </is>
      </c>
      <c r="P9" s="18" t="inlineStr">
        <is>
          <t>An object of options turning into a neat string after a question mark.</t>
        </is>
      </c>
      <c r="Q9" s="18" t="inlineStr">
        <is>
          <t>The relief of never worrying about spaces and symbols in URLs again.</t>
        </is>
      </c>
      <c r="R9" s="18" t="inlineStr">
        <is>
          <t>URLSearchParams turns a set of key and value pairs into a properly encoded query string.</t>
        </is>
      </c>
      <c r="S9" s="17" t="n"/>
      <c r="T9" s="19" t="inlineStr">
        <is>
          <t>const params = new URLSearchParams({ city: "New Delhi", units: "metric" });
const url = "https://api.example.com/v1/weather?" + params.toString();
console.log(url);</t>
        </is>
      </c>
      <c r="U9" s="19" t="inlineStr">
        <is>
          <t>https://api.example.com/v1/weather?city=New+Delhi&amp;units=metric</t>
        </is>
      </c>
      <c r="V9" s="18" t="inlineStr">
        <is>
          <t>URLSearchParams encodes spaces and special characters, so values such as New Delhi or a &amp; symbol do not break the URL. You can also use the URL class and its searchParams property. It makes code shorter and prevents bugs from missing encoding.</t>
        </is>
      </c>
      <c r="W9" s="18" t="inlineStr">
        <is>
          <t>Give URLSearchParams an object and it creates the part after the question mark, with correct encoding. Then add it to your URL.</t>
        </is>
      </c>
      <c r="X9" s="18" t="inlineStr">
        <is>
          <t>It is like a careful packer who boxes every option so nothing breaks in transit.</t>
        </is>
      </c>
      <c r="Y9" s="19" t="inlineStr">
        <is>
          <t>new URLSearchParams(object).toString()</t>
        </is>
      </c>
      <c r="Z9" s="18" t="inlineStr">
        <is>
          <t>new URLSearchParams = create the helper | object = key and value pairs | toString() = get the query string</t>
        </is>
      </c>
      <c r="AA9" s="19" t="inlineStr">
        <is>
          <t>new URLSearchParams({ page: 2, limit: 10 }).toString()</t>
        </is>
      </c>
      <c r="AB9" s="19" t="inlineStr">
        <is>
          <t>const url = new URL("https://api.example.com/v1/orders"); url.searchParams.set("status", "paid");</t>
        </is>
      </c>
      <c r="AC9" s="19" t="inlineStr">
        <is>
          <t>params.append("tag", "a&amp;b")</t>
        </is>
      </c>
      <c r="AD9" s="19" t="inlineStr">
        <is>
          <t>url.searchParams.append("tag", "new")   // add a repeated key
url.toString()   // the full URL</t>
        </is>
      </c>
      <c r="AE9" s="18" t="inlineStr">
        <is>
          <t>URL, fetch, pagination, filtering</t>
        </is>
      </c>
      <c r="AF9" s="18" t="inlineStr">
        <is>
          <t>URL parts, pagination, fetch</t>
        </is>
      </c>
      <c r="AG9" s="18" t="inlineStr">
        <is>
          <t>encodeURIComponent for single values</t>
        </is>
      </c>
      <c r="AH9" s="17" t="n"/>
      <c r="AI9" s="18" t="inlineStr">
        <is>
          <t>Filtering | Pagination | Search endpoints</t>
        </is>
      </c>
      <c r="AJ9" s="18" t="inlineStr">
        <is>
          <t>A: My search with a space in it breaks the URL. | B: Build the query with URLSearchParams so it is encoded.</t>
        </is>
      </c>
      <c r="AK9" s="18" t="inlineStr">
        <is>
          <t>✗ Spaces and symbols can be put directly into a URL → ✓ Special characters must be encoded, and URLSearchParams does that for you</t>
        </is>
      </c>
      <c r="AL9" s="18" t="inlineStr">
        <is>
          <t>URLSearchParams vs encodeURIComponent: the first builds a whole query string, the second encodes one value.</t>
        </is>
      </c>
      <c r="AM9" s="18" t="inlineStr">
        <is>
          <t>Do not build query strings by joining text with ampersands.</t>
        </is>
      </c>
      <c r="AN9" s="19" t="inlineStr">
        <is>
          <t>const url = "https://api.example.com/v1/weather?city=" + "New Delhi";</t>
        </is>
      </c>
      <c r="AO9" s="19" t="inlineStr">
        <is>
          <t>const url = "https://api.example.com/v1/weather?" + new URLSearchParams({ city: "New Delhi" });</t>
        </is>
      </c>
      <c r="AP9" s="18" t="inlineStr">
        <is>
          <t>URLSearchParams packs your options safely for you.</t>
        </is>
      </c>
      <c r="AQ9" s="18" t="inlineStr">
        <is>
          <t>Building search and filter URLs for a product list.</t>
        </is>
      </c>
      <c r="AR9" s="18" t="inlineStr">
        <is>
          <t>An interviewer may ask: Why should query strings be encoded?</t>
        </is>
      </c>
      <c r="AS9" s="18" t="inlineStr">
        <is>
          <t>It is like a careful packer who boxes every option.</t>
        </is>
      </c>
      <c r="AT9" s="18" t="inlineStr">
        <is>
          <t>Which tool builds an encoded query string from an object?</t>
        </is>
      </c>
      <c r="AU9" s="18" t="inlineStr">
        <is>
          <t>A) URLSearchParams B) Date.now C) Math.random D) JSON.parse</t>
        </is>
      </c>
      <c r="AV9" s="18" t="inlineStr">
        <is>
          <t>A</t>
        </is>
      </c>
      <c r="AW9" s="18" t="inlineStr">
        <is>
          <t>URLSearchParams encodes pairs into a query string.</t>
        </is>
      </c>
      <c r="AX9" s="19" t="inlineStr">
        <is>
          <t>new URLSearchParams({ page: 2 }).____() gives the query string → toString</t>
        </is>
      </c>
      <c r="AY9" s="18" t="inlineStr">
        <is>
          <t>Build the query string for page 3 and limit 20.</t>
        </is>
      </c>
      <c r="AZ9" s="19" t="inlineStr">
        <is>
          <t>new URLSearchParams({ page: 3, limit: 20 }).toString()</t>
        </is>
      </c>
      <c r="BA9" s="18" t="inlineStr">
        <is>
          <t>Build a URL with a search term that contains a space.</t>
        </is>
      </c>
      <c r="BB9" s="19" t="inlineStr">
        <is>
          <t>What does URLSearchParams do with a space in a value?</t>
        </is>
      </c>
      <c r="BC9" s="19" t="inlineStr">
        <is>
          <t>It encodes it, usually as a plus sign or percent code.</t>
        </is>
      </c>
      <c r="BD9" s="17">
        <f>IF(K9="","",REPT("★",K9)&amp;REPT("☆",5-K9)&amp;" ("&amp;K9&amp;"/5)")</f>
        <v/>
      </c>
      <c r="BE9" s="17">
        <f>IF(S9="","","Meaning: "&amp;S9&amp;"  =  ______   (Answer: "&amp;F9&amp;")")</f>
        <v/>
      </c>
      <c r="BF9" s="17" t="inlineStr">
        <is>
          <t>New</t>
        </is>
      </c>
      <c r="BG9" s="17" t="n"/>
      <c r="BH9" s="17" t="n"/>
      <c r="BI9" s="17" t="n"/>
      <c r="BJ9" s="17" t="n"/>
      <c r="BK9" s="17" t="n"/>
      <c r="BL9" s="17" t="n"/>
      <c r="BM9" s="17" t="n"/>
      <c r="BN9" s="17" t="n"/>
    </row>
    <row r="10" ht="121.5" customHeight="1">
      <c r="A10" s="17" t="inlineStr">
        <is>
          <t>API-032</t>
        </is>
      </c>
      <c r="B10" s="17" t="inlineStr">
        <is>
          <t>05 Making calls</t>
        </is>
      </c>
      <c r="C10" s="17" t="inlineStr">
        <is>
          <t>Intermediate</t>
        </is>
      </c>
      <c r="D10" s="17" t="n">
        <v>32</v>
      </c>
      <c r="E10" s="17" t="inlineStr">
        <is>
          <t>Claude knowledge</t>
        </is>
      </c>
      <c r="F10" s="18" t="inlineStr">
        <is>
          <t>Sending a JSON body (POST with fetch)</t>
        </is>
      </c>
      <c r="G10" s="18" t="inlineStr">
        <is>
          <t>How do you create a record by sending JSON data with fetch?</t>
        </is>
      </c>
      <c r="H10" s="17" t="n"/>
      <c r="I10" s="18" t="inlineStr">
        <is>
          <t>JavaScript technique</t>
        </is>
      </c>
      <c r="J10" s="18" t="inlineStr">
        <is>
          <t>Very high</t>
        </is>
      </c>
      <c r="K10" s="18" t="n">
        <v>5</v>
      </c>
      <c r="L10" s="18" t="inlineStr">
        <is>
          <t>Creating or updating data needs a body and the right headers, so fetch accepts an options object where you set the method, headers and body.</t>
        </is>
      </c>
      <c r="M10" s="18" t="inlineStr">
        <is>
          <t>Always use JSON.stringify for the body and set the Content-Type header, or the server will not understand it.</t>
        </is>
      </c>
      <c r="N10" s="17" t="n"/>
      <c r="O10" s="18" t="inlineStr">
        <is>
          <t>Sending JSON is putting a typed letter into an envelope and writing on it what language it is in.</t>
        </is>
      </c>
      <c r="P10" s="18" t="inlineStr">
        <is>
          <t>An object turned into text, placed in a request marked with a JSON label.</t>
        </is>
      </c>
      <c r="Q10" s="18" t="inlineStr">
        <is>
          <t>The pleasure of seeing a new record appear after your call.</t>
        </is>
      </c>
      <c r="R10" s="18" t="inlineStr">
        <is>
          <t>To send JSON with fetch, set method to POST, add a JSON Content-Type header, and pass JSON.stringify of your object as the body.</t>
        </is>
      </c>
      <c r="S10" s="17" t="n"/>
      <c r="T10" s="19" t="inlineStr">
        <is>
          <t>const res = await fetch("https://api.example.com/v1/users", {
  method: "POST",
  headers: { "Content-Type": "application/json" },
  body: JSON.stringify({ name: "Asha", email: "asha@example.com" })
});
console.log(res.status);</t>
        </is>
      </c>
      <c r="U10" s="19" t="inlineStr">
        <is>
          <t>201</t>
        </is>
      </c>
      <c r="V10" s="18" t="inlineStr">
        <is>
          <t>fetch sends a GET request unless you set a different method. The body must be a string, so objects need JSON.stringify. Without the Content-Type header the server may not treat the body as JSON. A successful create usually returns 201 and often the created record.</t>
        </is>
      </c>
      <c r="W10" s="18" t="inlineStr">
        <is>
          <t>Set the method to POST, add the JSON header, and stringify your object into the body. Then read the response status.</t>
        </is>
      </c>
      <c r="X10" s="18" t="inlineStr">
        <is>
          <t>It is like putting a typed letter into an envelope and marking the language on it.</t>
        </is>
      </c>
      <c r="Y10" s="19" t="inlineStr">
        <is>
          <t>fetch(url, { method, headers, body: JSON.stringify(data) })</t>
        </is>
      </c>
      <c r="Z10" s="18" t="inlineStr">
        <is>
          <t>method = POST | headers = Content-Type | body = text version of your data</t>
        </is>
      </c>
      <c r="AA10" s="19" t="inlineStr">
        <is>
          <t>fetch(url, { method: "POST", headers: { "Content-Type": "application/json" }, body: JSON.stringify(user) })</t>
        </is>
      </c>
      <c r="AB10" s="19" t="inlineStr">
        <is>
          <t>fetch(url, { method: "PATCH", headers: { "Content-Type": "application/json" }, body: JSON.stringify({ email }) })</t>
        </is>
      </c>
      <c r="AC10" s="19" t="inlineStr">
        <is>
          <t>fetch(url, { method: "PUT", headers: { "Content-Type": "application/json" }, body: JSON.stringify(product) })</t>
        </is>
      </c>
      <c r="AD10" s="19" t="inlineStr">
        <is>
          <t>const created = await res.json();   // read the new record
headers: { "Content-Type": "application/json", Authorization: `Bearer ${token}` }</t>
        </is>
      </c>
      <c r="AE10" s="18" t="inlineStr">
        <is>
          <t>JSON.stringify, Content-Type, status 201, Authorization</t>
        </is>
      </c>
      <c r="AF10" s="18" t="inlineStr">
        <is>
          <t>request body, HTTP methods, Content-Type</t>
        </is>
      </c>
      <c r="AG10" s="18" t="inlineStr">
        <is>
          <t>A library such as axios that stringifies for you</t>
        </is>
      </c>
      <c r="AH10" s="17" t="n"/>
      <c r="AI10" s="18" t="inlineStr">
        <is>
          <t>Creating records | Updating profiles | Submitting forms to APIs</t>
        </is>
      </c>
      <c r="AJ10" s="18" t="inlineStr">
        <is>
          <t>A: The server says my body is empty. | B: Did you stringify the object and set the JSON content type?</t>
        </is>
      </c>
      <c r="AK10" s="18" t="inlineStr">
        <is>
          <t>✗ You can pass a JavaScript object directly as the fetch body → ✓ The body must be a string or similar, so use JSON.stringify for JSON</t>
        </is>
      </c>
      <c r="AL10" s="18" t="inlineStr">
        <is>
          <t>JSON.stringify vs JSON.parse: stringify prepares data to send, parse reads data received.</t>
        </is>
      </c>
      <c r="AM10" s="18" t="inlineStr">
        <is>
          <t>Do not forget the Content-Type header.</t>
        </is>
      </c>
      <c r="AN10" s="19" t="inlineStr">
        <is>
          <t>fetch(url, { method: "POST", body: { name: "Asha" } })</t>
        </is>
      </c>
      <c r="AO10" s="19" t="inlineStr">
        <is>
          <t>fetch(url, { method: "POST", headers: { "Content-Type": "application/json" }, body: JSON.stringify({ name: "Asha" }) })</t>
        </is>
      </c>
      <c r="AP10" s="18" t="inlineStr">
        <is>
          <t>Stringify the body and label it JSON.</t>
        </is>
      </c>
      <c r="AQ10" s="18" t="inlineStr">
        <is>
          <t>Creating an order from a form by posting the items as JSON.</t>
        </is>
      </c>
      <c r="AR10" s="18" t="inlineStr">
        <is>
          <t>An interviewer may ask: How do you send JSON in a POST request with fetch?</t>
        </is>
      </c>
      <c r="AS10" s="18" t="inlineStr">
        <is>
          <t>It is like putting a typed letter in an envelope and marking its language.</t>
        </is>
      </c>
      <c r="AT10" s="18" t="inlineStr">
        <is>
          <t>What must you do to an object before sending it as a JSON body?</t>
        </is>
      </c>
      <c r="AU10" s="18" t="inlineStr">
        <is>
          <t>A) Use Math.round B) Use JSON.stringify C) Use JSON.parse D) Delete its keys</t>
        </is>
      </c>
      <c r="AV10" s="18" t="inlineStr">
        <is>
          <t>B</t>
        </is>
      </c>
      <c r="AW10" s="18" t="inlineStr">
        <is>
          <t>The body must be text, so the object is converted with JSON.stringify.</t>
        </is>
      </c>
      <c r="AX10" s="19" t="inlineStr">
        <is>
          <t>body: JSON.____({ name: "Asha" }) → stringify</t>
        </is>
      </c>
      <c r="AY10" s="18" t="inlineStr">
        <is>
          <t>Post a new product with the name Pen to /v1/products.</t>
        </is>
      </c>
      <c r="AZ10" s="19" t="inlineStr">
        <is>
          <t>fetch("https://api.example.com/v1/products", { method: "POST", headers: { "Content-Type": "application/json" }, body: JSON.stringify({ name: "Pen" }) })</t>
        </is>
      </c>
      <c r="BA10" s="18" t="inlineStr">
        <is>
          <t>Write a fetch call that creates a to-do item.</t>
        </is>
      </c>
      <c r="BB10" s="19" t="inlineStr">
        <is>
          <t>What status code do you usually expect after a successful create?</t>
        </is>
      </c>
      <c r="BC10" s="19" t="inlineStr">
        <is>
          <t>201 Created</t>
        </is>
      </c>
      <c r="BD10" s="17">
        <f>IF(K10="","",REPT("★",K10)&amp;REPT("☆",5-K10)&amp;" ("&amp;K10&amp;"/5)")</f>
        <v/>
      </c>
      <c r="BE10" s="17">
        <f>IF(S10="","","Meaning: "&amp;S10&amp;"  =  ______   (Answer: "&amp;F10&amp;")")</f>
        <v/>
      </c>
      <c r="BF10" s="17" t="inlineStr">
        <is>
          <t>New</t>
        </is>
      </c>
      <c r="BG10" s="17" t="n"/>
      <c r="BH10" s="17" t="n"/>
      <c r="BI10" s="17" t="n"/>
      <c r="BJ10" s="17" t="n"/>
      <c r="BK10" s="17" t="n"/>
      <c r="BL10" s="17" t="n"/>
      <c r="BM10" s="17" t="n"/>
      <c r="BN10" s="17" t="n"/>
    </row>
    <row r="11" ht="94.5" customHeight="1">
      <c r="A11" s="17" t="inlineStr">
        <is>
          <t>API-033</t>
        </is>
      </c>
      <c r="B11" s="17" t="inlineStr">
        <is>
          <t>05 Making calls</t>
        </is>
      </c>
      <c r="C11" s="17" t="inlineStr">
        <is>
          <t>Intermediate</t>
        </is>
      </c>
      <c r="D11" s="17" t="n">
        <v>33</v>
      </c>
      <c r="E11" s="17" t="inlineStr">
        <is>
          <t>Claude knowledge</t>
        </is>
      </c>
      <c r="F11" s="18" t="inlineStr">
        <is>
          <t>Checking the response (res.ok and res.status)</t>
        </is>
      </c>
      <c r="G11" s="18" t="inlineStr">
        <is>
          <t>Why must you check the response status yourself, since fetch does not fail on a 404 or a 500?</t>
        </is>
      </c>
      <c r="H11" s="17" t="n"/>
      <c r="I11" s="18" t="inlineStr">
        <is>
          <t>JavaScript technique</t>
        </is>
      </c>
      <c r="J11" s="18" t="inlineStr">
        <is>
          <t>Very high</t>
        </is>
      </c>
      <c r="K11" s="18" t="n">
        <v>5</v>
      </c>
      <c r="L11" s="18" t="inlineStr">
        <is>
          <t>fetch treats any answer from the server as success at the network level, so only broken connections reject, and it leaves status checking to the developer.</t>
        </is>
      </c>
      <c r="M11" s="18" t="inlineStr">
        <is>
          <t>Check res.ok before parsing, and read the error body for the provider's message.</t>
        </is>
      </c>
      <c r="N11" s="17" t="n"/>
      <c r="O11" s="18" t="inlineStr">
        <is>
          <t>fetch tells you the parcel arrived, but you must open it to see whether it holds the goods or a complaint.</t>
        </is>
      </c>
      <c r="P11" s="18" t="inlineStr">
        <is>
          <t>A response with a red 404 label that still arrives without any error being thrown.</t>
        </is>
      </c>
      <c r="Q11" s="18" t="inlineStr">
        <is>
          <t>The relief of catching errors that would otherwise stay hidden.</t>
        </is>
      </c>
      <c r="R11" s="18" t="inlineStr">
        <is>
          <t>res.ok is true when the status is between 200 and 299, and you must check it because fetch resolves even for error statuses.</t>
        </is>
      </c>
      <c r="S11" s="17" t="n"/>
      <c r="T11" s="19" t="inlineStr">
        <is>
          <t>const res = await fetch("https://api.example.com/v1/users/999");
if (!res.ok) {
  throw new Error(`Request failed with status ${res.status}`);
}
const user = await res.json();</t>
        </is>
      </c>
      <c r="U11" s="19" t="inlineStr">
        <is>
          <t>An Error with the message Request failed with status 404 if the user does not exist.</t>
        </is>
      </c>
      <c r="V11" s="18" t="inlineStr">
        <is>
          <t>fetch rejects only on network failures such as no connection. A 404 or 500 still resolves normally, so without a check your code would try to parse an error body as if it were data. Check res.ok, then read the status and body to decide what to do.</t>
        </is>
      </c>
      <c r="W11" s="18" t="inlineStr">
        <is>
          <t>After every fetch, check res.ok. If it is false, handle the error before using the data.</t>
        </is>
      </c>
      <c r="X11" s="18" t="inlineStr">
        <is>
          <t>It is like noticing that the parcel arrived but holds a complaint instead of the goods.</t>
        </is>
      </c>
      <c r="Y11" s="19" t="inlineStr">
        <is>
          <t>if (!res.ok) { ... }</t>
        </is>
      </c>
      <c r="Z11" s="18" t="inlineStr">
        <is>
          <t>res.ok = true for 200 to 299 | res.status = the exact number | res.statusText = the short text</t>
        </is>
      </c>
      <c r="AA11" s="19" t="inlineStr">
        <is>
          <t>if (!res.ok) throw new Error(res.status);</t>
        </is>
      </c>
      <c r="AB11" s="19" t="inlineStr">
        <is>
          <t>if (res.status === 404) return null;</t>
        </is>
      </c>
      <c r="AC11" s="19" t="inlineStr">
        <is>
          <t>const err = await res.json(); console.error(err.message);</t>
        </is>
      </c>
      <c r="AD11" s="19" t="inlineStr">
        <is>
          <t>if (res.status === 401) refreshToken();   // handle a specific status
const body = await res.text();   // read an error body as text</t>
        </is>
      </c>
      <c r="AE11" s="18" t="inlineStr">
        <is>
          <t>fetch, try and catch, status codes, error handling</t>
        </is>
      </c>
      <c r="AF11" s="18" t="inlineStr">
        <is>
          <t>status codes, error handling, fetch</t>
        </is>
      </c>
      <c r="AG11" s="18" t="inlineStr">
        <is>
          <t>axios, which rejects on error statuses by default</t>
        </is>
      </c>
      <c r="AH11" s="17" t="n"/>
      <c r="AI11" s="18" t="inlineStr">
        <is>
          <t>Every real API client | Error handling | Retries</t>
        </is>
      </c>
      <c r="AJ11" s="18" t="inlineStr">
        <is>
          <t>A: My code crashes parsing the response. | B: The status was probably 500, so check res.ok before calling res.json().</t>
        </is>
      </c>
      <c r="AK11" s="18" t="inlineStr">
        <is>
          <t>✗ fetch throws an error when the server returns 404 or 500 → ✓ fetch only rejects on network failures, and you must check res.ok yourself</t>
        </is>
      </c>
      <c r="AL11" s="18" t="inlineStr">
        <is>
          <t>res.ok vs res.status: ok is a true or false check, status is the exact number.</t>
        </is>
      </c>
      <c r="AM11" s="18" t="inlineStr">
        <is>
          <t>Do not call res.json() before checking whether the call succeeded.</t>
        </is>
      </c>
      <c r="AN11" s="19" t="inlineStr">
        <is>
          <t>const user = await (await fetch(url)).json();</t>
        </is>
      </c>
      <c r="AO11" s="19" t="inlineStr">
        <is>
          <t>const res = await fetch(url); if (!res.ok) throw new Error(res.status); const user = await res.json();</t>
        </is>
      </c>
      <c r="AP11" s="18" t="inlineStr">
        <is>
          <t>fetch fails on the network, not on the status.</t>
        </is>
      </c>
      <c r="AQ11" s="18" t="inlineStr">
        <is>
          <t>Wrapping fetch in a helper that throws an error for any non-2xx response.</t>
        </is>
      </c>
      <c r="AR11" s="18" t="inlineStr">
        <is>
          <t>An interviewer may ask: Does fetch reject on a 404?</t>
        </is>
      </c>
      <c r="AS11" s="18" t="inlineStr">
        <is>
          <t>It is like noticing a parcel arrived but holds a complaint.</t>
        </is>
      </c>
      <c r="AT11" s="18" t="inlineStr">
        <is>
          <t>When does fetch reject its promise?</t>
        </is>
      </c>
      <c r="AU11" s="18" t="inlineStr">
        <is>
          <t>A) On every 500 B) Never C) On every 404 D) On a network failure</t>
        </is>
      </c>
      <c r="AV11" s="18" t="inlineStr">
        <is>
          <t>D</t>
        </is>
      </c>
      <c r="AW11" s="18" t="inlineStr">
        <is>
          <t>fetch rejects only when the request cannot be completed, such as no connection.</t>
        </is>
      </c>
      <c r="AX11" s="19" t="inlineStr">
        <is>
          <t>res.____ is true for statuses from 200 to 299 → ok</t>
        </is>
      </c>
      <c r="AY11" s="18" t="inlineStr">
        <is>
          <t>Throw an error if the response is not successful.</t>
        </is>
      </c>
      <c r="AZ11" s="19" t="inlineStr">
        <is>
          <t>if (!res.ok) { throw new Error(`Failed: ${res.status}`); }</t>
        </is>
      </c>
      <c r="BA11" s="18" t="inlineStr">
        <is>
          <t>Write a helper function that throws an error on a non-2xx response.</t>
        </is>
      </c>
      <c r="BB11" s="19" t="inlineStr">
        <is>
          <t>What does res.ok return for a 404 response?</t>
        </is>
      </c>
      <c r="BC11" s="19" t="inlineStr">
        <is>
          <t>false</t>
        </is>
      </c>
      <c r="BD11" s="17">
        <f>IF(K11="","",REPT("★",K11)&amp;REPT("☆",5-K11)&amp;" ("&amp;K11&amp;"/5)")</f>
        <v/>
      </c>
      <c r="BE11" s="17">
        <f>IF(S11="","","Meaning: "&amp;S11&amp;"  =  ______   (Answer: "&amp;F11&amp;")")</f>
        <v/>
      </c>
      <c r="BF11" s="17" t="inlineStr">
        <is>
          <t>New</t>
        </is>
      </c>
      <c r="BG11" s="17" t="n"/>
      <c r="BH11" s="17" t="n"/>
      <c r="BI11" s="17" t="n"/>
      <c r="BJ11" s="17" t="n"/>
      <c r="BK11" s="17" t="n"/>
      <c r="BL11" s="17" t="n"/>
      <c r="BM11" s="17" t="n"/>
      <c r="BN11" s="17" t="n"/>
    </row>
    <row r="12" ht="94.5" customHeight="1">
      <c r="A12" s="17" t="inlineStr">
        <is>
          <t>API-034</t>
        </is>
      </c>
      <c r="B12" s="17" t="inlineStr">
        <is>
          <t>05 Making calls</t>
        </is>
      </c>
      <c r="C12" s="17" t="inlineStr">
        <is>
          <t>Intermediate</t>
        </is>
      </c>
      <c r="D12" s="17" t="n">
        <v>34</v>
      </c>
      <c r="E12" s="17" t="inlineStr">
        <is>
          <t>Claude knowledge</t>
        </is>
      </c>
      <c r="F12" s="18" t="inlineStr">
        <is>
          <t>Setting headers in a request</t>
        </is>
      </c>
      <c r="G12" s="18" t="inlineStr">
        <is>
          <t>How do you attach headers such as Authorization and Accept to a fetch call?</t>
        </is>
      </c>
      <c r="H12" s="17" t="n"/>
      <c r="I12" s="18" t="inlineStr">
        <is>
          <t>JavaScript technique</t>
        </is>
      </c>
      <c r="J12" s="18" t="inlineStr">
        <is>
          <t>High</t>
        </is>
      </c>
      <c r="K12" s="18" t="n">
        <v>4</v>
      </c>
      <c r="L12" s="18" t="inlineStr">
        <is>
          <t>Authentication and content details travel in headers, so fetch lets you pass a headers object as part of its options.</t>
        </is>
      </c>
      <c r="M12" s="18" t="inlineStr">
        <is>
          <t>Create one function that builds the common headers, and reuse it for every request.</t>
        </is>
      </c>
      <c r="N12" s="17" t="n"/>
      <c r="O12" s="18" t="inlineStr">
        <is>
          <t>Setting headers is writing the labels on the parcel before it leaves.</t>
        </is>
      </c>
      <c r="P12" s="18" t="inlineStr">
        <is>
          <t>A small table of names and values attached to an outgoing request.</t>
        </is>
      </c>
      <c r="Q12" s="18" t="inlineStr">
        <is>
          <t>The satisfaction of a request that is accepted at last.</t>
        </is>
      </c>
      <c r="R12" s="18" t="inlineStr">
        <is>
          <t>Headers are passed in the headers field of the fetch options as an object of names and values.</t>
        </is>
      </c>
      <c r="S12" s="17" t="n"/>
      <c r="T12" s="19" t="inlineStr">
        <is>
          <t>const res = await fetch("https://api.example.com/v1/orders", {
  headers: {
    Authorization: `Bearer ${token}`,
    Accept: "application/json"
  }
});</t>
        </is>
      </c>
      <c r="U12" s="19" t="inlineStr">
        <is>
          <t>The server receives both headers with the request and uses them to authenticate and choose the response format.</t>
        </is>
      </c>
      <c r="V12" s="18" t="inlineStr">
        <is>
          <t>Header names are case-insensitive, but it is common to write them in the form shown in the documentation. You can also build a Headers object and set values with its set method. Do not send headers that the browser controls itself, such as Host.</t>
        </is>
      </c>
      <c r="W12" s="18" t="inlineStr">
        <is>
          <t>Put a headers object inside the options of fetch. Each key is a header name and each value is its text.</t>
        </is>
      </c>
      <c r="X12" s="18" t="inlineStr">
        <is>
          <t>It is like writing labels on a parcel before it leaves.</t>
        </is>
      </c>
      <c r="Y12" s="19" t="inlineStr">
        <is>
          <t>fetch(url, { headers: { Name: "value" } })</t>
        </is>
      </c>
      <c r="Z12" s="18" t="inlineStr">
        <is>
          <t>headers = the options field | Name = header name | "value" = header value</t>
        </is>
      </c>
      <c r="AA12" s="19" t="inlineStr">
        <is>
          <t>headers: { Accept: "application/json" }</t>
        </is>
      </c>
      <c r="AB12" s="19" t="inlineStr">
        <is>
          <t>headers: { "Accept-Language": "en" }</t>
        </is>
      </c>
      <c r="AC12" s="19" t="inlineStr">
        <is>
          <t>headers: { "Content-Type": "application/json", "X-Request-Id": id }</t>
        </is>
      </c>
      <c r="AD12" s="19" t="inlineStr">
        <is>
          <t>const h = new Headers(); h.set("Accept", "application/json");
headers: { ...baseHeaders, "X-Extra": "1" }   // merge with a shared set</t>
        </is>
      </c>
      <c r="AE12" s="18" t="inlineStr">
        <is>
          <t>Authorization, Content-Type, Accept, Bearer token</t>
        </is>
      </c>
      <c r="AF12" s="18" t="inlineStr">
        <is>
          <t>headers, authentication, Content-Type</t>
        </is>
      </c>
      <c r="AG12" s="18" t="inlineStr">
        <is>
          <t>A library setting default headers once</t>
        </is>
      </c>
      <c r="AH12" s="17" t="n"/>
      <c r="AI12" s="18" t="inlineStr">
        <is>
          <t>Authentication | Content negotiation | Tracing requests</t>
        </is>
      </c>
      <c r="AJ12" s="18" t="inlineStr">
        <is>
          <t>A: The server says I am not authorised. | B: Add the Authorization header to the fetch options.</t>
        </is>
      </c>
      <c r="AK12" s="18" t="inlineStr">
        <is>
          <t>✗ Headers can be placed anywhere in the fetch call → ✓ Headers belong in the headers field of the options object</t>
        </is>
      </c>
      <c r="AL12" s="18" t="inlineStr">
        <is>
          <t>headers vs body: headers describe the request, the body carries the data.</t>
        </is>
      </c>
      <c r="AM12" s="18" t="inlineStr">
        <is>
          <t>Do not put a header name with a space or colon inside the key.</t>
        </is>
      </c>
      <c r="AN12" s="19" t="inlineStr">
        <is>
          <t>fetch(url, { Authorization: token })</t>
        </is>
      </c>
      <c r="AO12" s="19" t="inlineStr">
        <is>
          <t>fetch(url, { headers: { Authorization: `Bearer ${token}` } })</t>
        </is>
      </c>
      <c r="AP12" s="18" t="inlineStr">
        <is>
          <t>Headers go in the headers field.</t>
        </is>
      </c>
      <c r="AQ12" s="18" t="inlineStr">
        <is>
          <t>Building one function that adds the token and accept headers to every request.</t>
        </is>
      </c>
      <c r="AR12" s="18" t="inlineStr">
        <is>
          <t>An interviewer may ask: How do you pass an authorisation header with fetch?</t>
        </is>
      </c>
      <c r="AS12" s="18" t="inlineStr">
        <is>
          <t>It is like writing labels on a parcel before it leaves.</t>
        </is>
      </c>
      <c r="AT12" s="18" t="inlineStr">
        <is>
          <t>Where do headers go in a fetch call?</t>
        </is>
      </c>
      <c r="AU12" s="18" t="inlineStr">
        <is>
          <t>A) In the status line B) In the URL fragment C) In the headers field of the options D) In the response</t>
        </is>
      </c>
      <c r="AV12" s="18" t="inlineStr">
        <is>
          <t>C</t>
        </is>
      </c>
      <c r="AW12" s="18" t="inlineStr">
        <is>
          <t>The options object has a headers field for them.</t>
        </is>
      </c>
      <c r="AX12" s="19" t="inlineStr">
        <is>
          <t>fetch(url, { ____: { Accept: "application/json" } }) → headers</t>
        </is>
      </c>
      <c r="AY12" s="18" t="inlineStr">
        <is>
          <t>Send the Accept header with the value application/json.</t>
        </is>
      </c>
      <c r="AZ12" s="19" t="inlineStr">
        <is>
          <t>fetch(url, { headers: { Accept: "application/json" } })</t>
        </is>
      </c>
      <c r="BA12" s="18" t="inlineStr">
        <is>
          <t>Write a helper that returns the standard headers for authenticated calls.</t>
        </is>
      </c>
      <c r="BB12" s="19" t="inlineStr">
        <is>
          <t>Are header names case-sensitive?</t>
        </is>
      </c>
      <c r="BC12" s="19" t="inlineStr">
        <is>
          <t>No, header names are case-insensitive.</t>
        </is>
      </c>
      <c r="BD12" s="17">
        <f>IF(K12="","",REPT("★",K12)&amp;REPT("☆",5-K12)&amp;" ("&amp;K12&amp;"/5)")</f>
        <v/>
      </c>
      <c r="BE12" s="17">
        <f>IF(S12="","","Meaning: "&amp;S12&amp;"  =  ______   (Answer: "&amp;F12&amp;")")</f>
        <v/>
      </c>
      <c r="BF12" s="17" t="inlineStr">
        <is>
          <t>New</t>
        </is>
      </c>
      <c r="BG12" s="17" t="n"/>
      <c r="BH12" s="17" t="n"/>
      <c r="BI12" s="17" t="n"/>
      <c r="BJ12" s="17" t="n"/>
      <c r="BK12" s="17" t="n"/>
      <c r="BL12" s="17" t="n"/>
      <c r="BM12" s="17" t="n"/>
      <c r="BN12" s="17" t="n"/>
    </row>
    <row r="13" ht="175.5" customHeight="1">
      <c r="A13" s="17" t="inlineStr">
        <is>
          <t>API-036</t>
        </is>
      </c>
      <c r="B13" s="17" t="inlineStr">
        <is>
          <t>06 Real-world handling</t>
        </is>
      </c>
      <c r="C13" s="17" t="inlineStr">
        <is>
          <t>Advanced</t>
        </is>
      </c>
      <c r="D13" s="17" t="n">
        <v>36</v>
      </c>
      <c r="E13" s="17" t="inlineStr">
        <is>
          <t>Claude knowledge</t>
        </is>
      </c>
      <c r="F13" s="18" t="inlineStr">
        <is>
          <t>Retries and exponential backoff</t>
        </is>
      </c>
      <c r="G13" s="18" t="inlineStr">
        <is>
          <t>Which technique waits longer after each failed attempt so a struggling server is not hammered with repeated requests?</t>
        </is>
      </c>
      <c r="H13" s="17" t="n"/>
      <c r="I13" s="18" t="inlineStr">
        <is>
          <t>Reliability technique</t>
        </is>
      </c>
      <c r="J13" s="18" t="inlineStr">
        <is>
          <t>High</t>
        </is>
      </c>
      <c r="K13" s="18" t="n">
        <v>4</v>
      </c>
      <c r="L13" s="18" t="inlineStr">
        <is>
          <t>Immediate retries from thousands of clients can overload a server that is already struggling, so waiting progressively longer between attempts became standard practice.</t>
        </is>
      </c>
      <c r="M13" s="18" t="inlineStr">
        <is>
          <t>Add random jitter to the delay and respect any Retry-After header the server sends.</t>
        </is>
      </c>
      <c r="N13" s="17" t="n"/>
      <c r="O13" s="18" t="inlineStr">
        <is>
          <t>Backoff is knocking on a door and waiting a little longer after each unanswered knock.</t>
        </is>
      </c>
      <c r="P13" s="18" t="inlineStr">
        <is>
          <t>A timeline of attempts spaced by growing gaps of one, two and four seconds.</t>
        </is>
      </c>
      <c r="Q13" s="18" t="inlineStr">
        <is>
          <t>The comfort of a client that recovers by itself without making things worse.</t>
        </is>
      </c>
      <c r="R13" s="18" t="inlineStr">
        <is>
          <t>Exponential backoff retries a failed call after waiting a time that doubles with each attempt.</t>
        </is>
      </c>
      <c r="S13" s="17" t="n"/>
      <c r="T13" s="19" t="inlineStr">
        <is>
          <t>async function fetchWithRetry(url, tries = 3) {
  for (let i = 0; i &lt; tries; i++) {
    const res = await fetch(url);
    if (res.ok) return res;
    if (res.status &lt; 500 &amp;&amp; res.status !== 429) throw new Error(`Failed: ${res.status}`);
    await new Promise(r =&gt; setTimeout(r, 2 ** i * 1000));
  }
  throw new Error("Too many retries");
}</t>
        </is>
      </c>
      <c r="U13" s="19" t="inlineStr">
        <is>
          <t>Failed 5xx or 429 calls are tried up to 3 times, waiting 1 and 2 seconds between attempts; other errors fail at once.</t>
        </is>
      </c>
      <c r="V13" s="18" t="inlineStr">
        <is>
          <t>Only retry errors that may be temporary, such as network failures, 429 and 5xx. Never retry plain 4xx errors, because the same request will fail again. Add jitter, a small random amount, so many clients do not retry at the same instant. Only retry non-idempotent requests when you use an idempotency key.</t>
        </is>
      </c>
      <c r="W13" s="18" t="inlineStr">
        <is>
          <t>If a call fails temporarily, wait, then try again, waiting longer each time. Stop after a few tries, and do not retry mistakes in your own request.</t>
        </is>
      </c>
      <c r="X13" s="18" t="inlineStr">
        <is>
          <t>It is like knocking on a door and waiting a little longer after each unanswered knock.</t>
        </is>
      </c>
      <c r="Y13" s="19" t="inlineStr">
        <is>
          <t>delay = 2 ** attempt * baseDelay (plus jitter)</t>
        </is>
      </c>
      <c r="Z13" s="18" t="inlineStr">
        <is>
          <t>2 ** i = doubles each attempt | baseDelay = starting wait | jitter = random extra time</t>
        </is>
      </c>
      <c r="AA13" s="19" t="inlineStr">
        <is>
          <t>Waiting 1, 2 and 4 seconds between attempts.</t>
        </is>
      </c>
      <c r="AB13" s="19" t="inlineStr">
        <is>
          <t>Honouring a Retry-After: 30 header from a 429 response.</t>
        </is>
      </c>
      <c r="AC13" s="19" t="inlineStr">
        <is>
          <t>Giving up after five tries and showing a message.</t>
        </is>
      </c>
      <c r="AD13" s="19" t="inlineStr">
        <is>
          <t>const delay = 2 ** i * 1000 + Math.random() * 250;   // with jitter
const wait = Number(res.headers.get("Retry-After")) * 1000;   // use the server's hint</t>
        </is>
      </c>
      <c r="AE13" s="18" t="inlineStr">
        <is>
          <t>429, 5xx, Retry-After, idempotency</t>
        </is>
      </c>
      <c r="AF13" s="18" t="inlineStr">
        <is>
          <t>rate limiting, error handling, idempotency, timeouts</t>
        </is>
      </c>
      <c r="AG13" s="18" t="inlineStr">
        <is>
          <t>A retry library or the SDK's built-in retries</t>
        </is>
      </c>
      <c r="AH13" s="17" t="n"/>
      <c r="AI13" s="18" t="inlineStr">
        <is>
          <t>Unreliable networks | Rate-limited APIs | Background jobs</t>
        </is>
      </c>
      <c r="AJ13" s="18" t="inlineStr">
        <is>
          <t>A: Our nightly job floods the API when it fails. | B: Add exponential backoff with jitter and a limit on attempts.</t>
        </is>
      </c>
      <c r="AK13" s="18" t="inlineStr">
        <is>
          <t>✗ Retrying immediately and as fast as possible is the best strategy → ✓ Fast retries can overload the server, so wait longer after each attempt</t>
        </is>
      </c>
      <c r="AL13" s="18" t="inlineStr">
        <is>
          <t>Backoff vs a fixed delay: backoff grows each time, a fixed delay stays the same.</t>
        </is>
      </c>
      <c r="AM13" s="18" t="inlineStr">
        <is>
          <t>Do not retry forever without a limit.</t>
        </is>
      </c>
      <c r="AN13" s="19" t="inlineStr">
        <is>
          <t>while (true) { const res = await fetch(url); if (res.ok) return res; }</t>
        </is>
      </c>
      <c r="AO13" s="19" t="inlineStr">
        <is>
          <t>for (let i = 0; i &lt; 3; i++) { const res = await fetch(url); if (res.ok) return res; await new Promise(r =&gt; setTimeout(r, 2 ** i * 1000)); }</t>
        </is>
      </c>
      <c r="AP13" s="18" t="inlineStr">
        <is>
          <t>Wait longer after each failure.</t>
        </is>
      </c>
      <c r="AQ13" s="18" t="inlineStr">
        <is>
          <t>Retrying a payment status check with backoff and a maximum of five attempts.</t>
        </is>
      </c>
      <c r="AR13" s="18" t="inlineStr">
        <is>
          <t>An interviewer may ask: What is exponential backoff and why add jitter?</t>
        </is>
      </c>
      <c r="AS13" s="18" t="inlineStr">
        <is>
          <t>It is like knocking on a door and waiting longer each time.</t>
        </is>
      </c>
      <c r="AT13" s="18" t="inlineStr">
        <is>
          <t>Which status should you not blindly retry?</t>
        </is>
      </c>
      <c r="AU13" s="18" t="inlineStr">
        <is>
          <t>A) A network timeout B) 400 Bad Request C) 503 Service Unavailable D) 429 Too Many Requests</t>
        </is>
      </c>
      <c r="AV13" s="18" t="inlineStr">
        <is>
          <t>B</t>
        </is>
      </c>
      <c r="AW13" s="18" t="inlineStr">
        <is>
          <t>A 400 means the request itself is wrong, so repeating it will fail again.</t>
        </is>
      </c>
      <c r="AX13" s="19" t="inlineStr">
        <is>
          <t>Adding a small random extra delay is called ____ → jitter</t>
        </is>
      </c>
      <c r="AY13" s="18" t="inlineStr">
        <is>
          <t>Wait two seconds before the next attempt.</t>
        </is>
      </c>
      <c r="AZ13" s="19" t="inlineStr">
        <is>
          <t>await new Promise(r =&gt; setTimeout(r, 2000));</t>
        </is>
      </c>
      <c r="BA13" s="18" t="inlineStr">
        <is>
          <t>Write the retry delays for five attempts that start at one second and double.</t>
        </is>
      </c>
      <c r="BB13" s="19" t="inlineStr">
        <is>
          <t>Which response header can tell you how long to wait?</t>
        </is>
      </c>
      <c r="BC13" s="19" t="inlineStr">
        <is>
          <t>Retry-After</t>
        </is>
      </c>
      <c r="BD13" s="17">
        <f>IF(K13="","",REPT("★",K13)&amp;REPT("☆",5-K13)&amp;" ("&amp;K13&amp;"/5)")</f>
        <v/>
      </c>
      <c r="BE13" s="17">
        <f>IF(S13="","","Meaning: "&amp;S13&amp;"  =  ______   (Answer: "&amp;F13&amp;")")</f>
        <v/>
      </c>
      <c r="BF13" s="17" t="inlineStr">
        <is>
          <t>New</t>
        </is>
      </c>
      <c r="BG13" s="17" t="n"/>
      <c r="BH13" s="17" t="n"/>
      <c r="BI13" s="17" t="n"/>
      <c r="BJ13" s="17" t="n"/>
      <c r="BK13" s="17" t="n"/>
      <c r="BL13" s="17" t="n"/>
      <c r="BM13" s="17" t="n"/>
      <c r="BN13" s="17" t="n"/>
    </row>
    <row r="14" ht="148.5" customHeight="1">
      <c r="A14" s="17" t="inlineStr">
        <is>
          <t>API-037</t>
        </is>
      </c>
      <c r="B14" s="17" t="inlineStr">
        <is>
          <t>06 Real-world handling</t>
        </is>
      </c>
      <c r="C14" s="17" t="inlineStr">
        <is>
          <t>Intermediate</t>
        </is>
      </c>
      <c r="D14" s="17" t="n">
        <v>37</v>
      </c>
      <c r="E14" s="17" t="inlineStr">
        <is>
          <t>Claude knowledge</t>
        </is>
      </c>
      <c r="F14" s="18" t="inlineStr">
        <is>
          <t>Timeouts (AbortController)</t>
        </is>
      </c>
      <c r="G14" s="18" t="inlineStr">
        <is>
          <t>How do you stop waiting for an API that never answers, so your app does not hang forever?</t>
        </is>
      </c>
      <c r="H14" s="17" t="n"/>
      <c r="I14" s="18" t="inlineStr">
        <is>
          <t>Reliability technique</t>
        </is>
      </c>
      <c r="J14" s="18" t="inlineStr">
        <is>
          <t>High</t>
        </is>
      </c>
      <c r="K14" s="18" t="n">
        <v>4</v>
      </c>
      <c r="L14" s="18" t="inlineStr">
        <is>
          <t>A slow or silent server can freeze an app that waits endlessly, so clients need a time limit after which they give up and handle the failure.</t>
        </is>
      </c>
      <c r="M14" s="18" t="inlineStr">
        <is>
          <t>Set a timeout on every external call, and pick it from how long the user can reasonably wait.</t>
        </is>
      </c>
      <c r="N14" s="17" t="n"/>
      <c r="O14" s="18" t="inlineStr">
        <is>
          <t>A timeout is an egg timer that rings when waiting has gone on long enough.</t>
        </is>
      </c>
      <c r="P14" s="18" t="inlineStr">
        <is>
          <t>A stopwatch beside a request that is cancelled when time runs out.</t>
        </is>
      </c>
      <c r="Q14" s="18" t="inlineStr">
        <is>
          <t>The relief of an app that fails quickly instead of freezing.</t>
        </is>
      </c>
      <c r="R14" s="18" t="inlineStr">
        <is>
          <t>A timeout cancels a request that takes too long, which in fetch is done with an AbortController and a timer.</t>
        </is>
      </c>
      <c r="S14" s="17" t="n"/>
      <c r="T14" s="19" t="inlineStr">
        <is>
          <t>const controller = new AbortController();
const timer = setTimeout(() =&gt; controller.abort(), 5000);
try {
  const res = await fetch("https://api.example.com/v1/report", { signal: controller.signal });
  console.log(res.status);
} finally {
  clearTimeout(timer);
}</t>
        </is>
      </c>
      <c r="U14" s="19" t="inlineStr">
        <is>
          <t>If the server does not answer within five seconds, fetch rejects with an AbortError.</t>
        </is>
      </c>
      <c r="V14" s="18" t="inlineStr">
        <is>
          <t>fetch has no built-in timeout, so you create an AbortController, pass its signal to fetch, and call abort after a delay. Aborting rejects the promise, which your catch block can handle, for example by retrying or showing a message. Always clear the timer when the call finishes. AbortSignal.timeout rejects with TimeoutError, while controller.abort() rejects with AbortError.</t>
        </is>
      </c>
      <c r="W14" s="18" t="inlineStr">
        <is>
          <t>Without a timeout, a silent server can make your app wait forever. Set a limit, abort after it, and handle the error.</t>
        </is>
      </c>
      <c r="X14" s="18" t="inlineStr">
        <is>
          <t>It is like an egg timer that rings when waiting has gone on long enough.</t>
        </is>
      </c>
      <c r="Y14" s="19" t="inlineStr">
        <is>
          <t>fetch(url, { signal: controller.signal })</t>
        </is>
      </c>
      <c r="Z14" s="18" t="inlineStr">
        <is>
          <t>AbortController = the cancel switch | signal = handed to fetch | abort() = pull the switch</t>
        </is>
      </c>
      <c r="AA14" s="19" t="inlineStr">
        <is>
          <t>setTimeout(() =&gt; controller.abort(), 5000)</t>
        </is>
      </c>
      <c r="AB14" s="19" t="inlineStr">
        <is>
          <t>catch (err) { if (err.name === "AbortError") showTimeoutMessage(); }</t>
        </is>
      </c>
      <c r="AC14" s="19" t="inlineStr">
        <is>
          <t>A user-triggered cancel button that calls controller.abort().</t>
        </is>
      </c>
      <c r="AD14" s="19" t="inlineStr">
        <is>
          <t>fetch(url, { signal: AbortSignal.timeout(5000) })   // shorter in modern runtimes</t>
        </is>
      </c>
      <c r="AE14" s="18" t="inlineStr">
        <is>
          <t>AbortController, try and catch, retries</t>
        </is>
      </c>
      <c r="AF14" s="18" t="inlineStr">
        <is>
          <t>error handling, retries, fetch</t>
        </is>
      </c>
      <c r="AG14" s="18" t="inlineStr">
        <is>
          <t>A library option such as a timeout setting</t>
        </is>
      </c>
      <c r="AH14" s="17" t="n"/>
      <c r="AI14" s="18" t="inlineStr">
        <is>
          <t>Slow third-party APIs | Mobile networks | Background jobs</t>
        </is>
      </c>
      <c r="AJ14" s="18" t="inlineStr">
        <is>
          <t>A: The page spins forever when the API is down. | B: Add a five-second timeout and show an error message.</t>
        </is>
      </c>
      <c r="AK14" s="18" t="inlineStr">
        <is>
          <t>✗ fetch times out by itself after a short while → ✓ fetch has no default timeout that you can rely on, so you must set one</t>
        </is>
      </c>
      <c r="AL14" s="18" t="inlineStr">
        <is>
          <t>Timeout vs retry: a timeout stops waiting, a retry tries again.</t>
        </is>
      </c>
      <c r="AM14" s="18" t="inlineStr">
        <is>
          <t>Do not leave external calls without a time limit.</t>
        </is>
      </c>
      <c r="AN14" s="19" t="inlineStr">
        <is>
          <t>const res = await fetch(url, { timeout: 5000 });</t>
        </is>
      </c>
      <c r="AO14" s="19" t="inlineStr">
        <is>
          <t>const res = await fetch(url, { signal: AbortSignal.timeout(5000) });</t>
        </is>
      </c>
      <c r="AP14" s="18" t="inlineStr">
        <is>
          <t>A timeout rings the egg timer.</t>
        </is>
      </c>
      <c r="AQ14" s="18" t="inlineStr">
        <is>
          <t>Cancelling a slow report request after ten seconds and offering a retry.</t>
        </is>
      </c>
      <c r="AR14" s="18" t="inlineStr">
        <is>
          <t>An interviewer may ask: How do you set a timeout on fetch?</t>
        </is>
      </c>
      <c r="AS14" s="18" t="inlineStr">
        <is>
          <t>It is like an egg timer that rings when you have waited long enough.</t>
        </is>
      </c>
      <c r="AT14" s="18" t="inlineStr">
        <is>
          <t>What do you pass to fetch to allow cancelling the request?</t>
        </is>
      </c>
      <c r="AU14" s="18" t="inlineStr">
        <is>
          <t>A) A timeout number B) A cookie C) A header D) A signal from an AbortController</t>
        </is>
      </c>
      <c r="AV14" s="18" t="inlineStr">
        <is>
          <t>D</t>
        </is>
      </c>
      <c r="AW14" s="18" t="inlineStr">
        <is>
          <t>fetch accepts a signal that can abort the request.</t>
        </is>
      </c>
      <c r="AX14" s="19" t="inlineStr">
        <is>
          <t>The object used to cancel a fetch request is an ____Controller → Abort</t>
        </is>
      </c>
      <c r="AY14" s="18" t="inlineStr">
        <is>
          <t>Abort the request after three seconds.</t>
        </is>
      </c>
      <c r="AZ14" s="19" t="inlineStr">
        <is>
          <t>setTimeout(() =&gt; controller.abort(), 3000);</t>
        </is>
      </c>
      <c r="BA14" s="18" t="inlineStr">
        <is>
          <t>Write a fetch call that gives up after five seconds.</t>
        </is>
      </c>
      <c r="BB14" s="19" t="inlineStr">
        <is>
          <t>What error name does an aborted fetch reject with?</t>
        </is>
      </c>
      <c r="BC14" s="19" t="inlineStr">
        <is>
          <t>AbortError</t>
        </is>
      </c>
      <c r="BD14" s="17">
        <f>IF(K14="","",REPT("★",K14)&amp;REPT("☆",5-K14)&amp;" ("&amp;K14&amp;"/5)")</f>
        <v/>
      </c>
      <c r="BE14" s="17">
        <f>IF(S14="","","Meaning: "&amp;S14&amp;"  =  ______   (Answer: "&amp;F14&amp;")")</f>
        <v/>
      </c>
      <c r="BF14" s="17" t="inlineStr">
        <is>
          <t>New</t>
        </is>
      </c>
      <c r="BG14" s="17" t="n"/>
      <c r="BH14" s="17" t="n"/>
      <c r="BI14" s="17" t="n"/>
      <c r="BJ14" s="17" t="n"/>
      <c r="BK14" s="17" t="n"/>
      <c r="BL14" s="17" t="n"/>
      <c r="BM14" s="17" t="n"/>
      <c r="BN14" s="17" t="n"/>
    </row>
    <row r="15" ht="135" customHeight="1">
      <c r="A15" s="17" t="inlineStr">
        <is>
          <t>API-039</t>
        </is>
      </c>
      <c r="B15" s="17" t="inlineStr">
        <is>
          <t>06 Real-world handling</t>
        </is>
      </c>
      <c r="C15" s="17" t="inlineStr">
        <is>
          <t>Intermediate</t>
        </is>
      </c>
      <c r="D15" s="17" t="n">
        <v>39</v>
      </c>
      <c r="E15" s="17" t="inlineStr">
        <is>
          <t>Claude knowledge</t>
        </is>
      </c>
      <c r="F15" s="18" t="inlineStr">
        <is>
          <t>Pagination (cursor and page)</t>
        </is>
      </c>
      <c r="G15" s="18" t="inlineStr">
        <is>
          <t>How do APIs return a long list in smaller pieces, and how do you walk through all the pieces?</t>
        </is>
      </c>
      <c r="H15" s="17" t="n"/>
      <c r="I15" s="18" t="inlineStr">
        <is>
          <t>API technique</t>
        </is>
      </c>
      <c r="J15" s="18" t="inlineStr">
        <is>
          <t>Very high</t>
        </is>
      </c>
      <c r="K15" s="18" t="n">
        <v>5</v>
      </c>
      <c r="L15" s="18" t="inlineStr">
        <is>
          <t>Returning millions of records in one response would be slow and could crash both sides, so APIs return lists in pages and tell you how to ask for the next one.</t>
        </is>
      </c>
      <c r="M15" s="18" t="inlineStr">
        <is>
          <t>Prefer cursor-based pagination when data changes often, because page numbers can skip or repeat items.</t>
        </is>
      </c>
      <c r="N15" s="17" t="n"/>
      <c r="O15" s="18" t="inlineStr">
        <is>
          <t>Pagination is reading a long book one chapter at a time using the bookmark the server hands you.</t>
        </is>
      </c>
      <c r="P15" s="18" t="inlineStr">
        <is>
          <t>A stack of pages, each ending with a link to the next one.</t>
        </is>
      </c>
      <c r="Q15" s="18" t="inlineStr">
        <is>
          <t>The satisfaction of collecting every record without overloading anything.</t>
        </is>
      </c>
      <c r="R15" s="18" t="inlineStr">
        <is>
          <t>Pagination splits a long list into pages, and the client keeps requesting the next page until none remains.</t>
        </is>
      </c>
      <c r="S15" s="17" t="n"/>
      <c r="T15" s="19" t="inlineStr">
        <is>
          <t>let url = "https://api.example.com/v1/orders?limit=100";
const all = [];
while (url) {
  const res = await fetch(url);
  const page = await res.json();
  all.push(...page.data);
  url = page.next;
}
console.log(all.length);</t>
        </is>
      </c>
      <c r="U15" s="19" t="inlineStr">
        <is>
          <t>The total number of orders collected from all pages.</t>
        </is>
      </c>
      <c r="V15" s="18" t="inlineStr">
        <is>
          <t>Common styles are page and limit numbers, offset and limit, and cursors, where each response includes a token for the next page. A typical response has the items plus a next link or cursor, which is empty on the last page. Always follow the provider's documented fields, and stop when there is no next page.</t>
        </is>
      </c>
      <c r="W15" s="18" t="inlineStr">
        <is>
          <t>Ask for a page, read its items, then use the next link or cursor to ask for the next page, and repeat until there is no next.</t>
        </is>
      </c>
      <c r="X15" s="18" t="inlineStr">
        <is>
          <t>It is like reading a long book one chapter at a time using the bookmark you are given.</t>
        </is>
      </c>
      <c r="Y15" s="19" t="inlineStr">
        <is>
          <t>next = response.next (or a cursor value)</t>
        </is>
      </c>
      <c r="Z15" s="18" t="inlineStr">
        <is>
          <t>limit = page size | next or cursor = pointer to the next page | loop until no next</t>
        </is>
      </c>
      <c r="AA15" s="19" t="inlineStr">
        <is>
          <t>GET /orders?page=2&amp;limit=50</t>
        </is>
      </c>
      <c r="AB15" s="19" t="inlineStr">
        <is>
          <t>GET /orders?cursor=abc123&amp;limit=100</t>
        </is>
      </c>
      <c r="AC15" s="19" t="inlineStr">
        <is>
          <t>A response with a next link that is null on the last page.</t>
        </is>
      </c>
      <c r="AD15" s="19" t="inlineStr">
        <is>
          <t>?offset=200&amp;limit=100   // offset style
Link header with rel="next"   // some APIs use headers</t>
        </is>
      </c>
      <c r="AE15" s="18" t="inlineStr">
        <is>
          <t>query parameters, loops, rate limiting</t>
        </is>
      </c>
      <c r="AF15" s="18" t="inlineStr">
        <is>
          <t>URL parts, filtering, rate limiting</t>
        </is>
      </c>
      <c r="AG15" s="18" t="inlineStr">
        <is>
          <t>Streaming or export endpoints for very large data</t>
        </is>
      </c>
      <c r="AH15" s="17" t="n"/>
      <c r="AI15" s="18" t="inlineStr">
        <is>
          <t>Lists of orders and users | Data export | Sync jobs</t>
        </is>
      </c>
      <c r="AJ15" s="18" t="inlineStr">
        <is>
          <t>A: The API only returned 100 items but we have thousands. | B: It is paginated, so follow the next link until there are no more pages.</t>
        </is>
      </c>
      <c r="AK15" s="18" t="inlineStr">
        <is>
          <t>✗ One request returns the whole list → ✓ Large lists come back in pages, and you must request each page in turn</t>
        </is>
      </c>
      <c r="AL15" s="18" t="inlineStr">
        <is>
          <t>Offset paging vs cursor paging: offset uses a position number, a cursor uses a pointer from the server and is steadier when data changes.</t>
        </is>
      </c>
      <c r="AM15" s="18" t="inlineStr">
        <is>
          <t>Do not assume the first response holds all the data.</t>
        </is>
      </c>
      <c r="AN15" s="19" t="inlineStr">
        <is>
          <t>const orders = (await (await fetch(url)).json()).data;</t>
        </is>
      </c>
      <c r="AO15" s="19" t="inlineStr">
        <is>
          <t>while (url) { const page = await (await fetch(url)).json(); all.push(...page.data); url = page.next; }</t>
        </is>
      </c>
      <c r="AP15" s="18" t="inlineStr">
        <is>
          <t>Keep following next until there is none.</t>
        </is>
      </c>
      <c r="AQ15" s="18" t="inlineStr">
        <is>
          <t>Syncing all customers by following the cursor until the last page.</t>
        </is>
      </c>
      <c r="AR15" s="18" t="inlineStr">
        <is>
          <t>An interviewer may ask: Why is cursor pagination often better than page numbers?</t>
        </is>
      </c>
      <c r="AS15" s="18" t="inlineStr">
        <is>
          <t>It is like reading a book chapter by chapter with a bookmark.</t>
        </is>
      </c>
      <c r="AT15" s="18" t="inlineStr">
        <is>
          <t>How do you know you have reached the last page?</t>
        </is>
      </c>
      <c r="AU15" s="18" t="inlineStr">
        <is>
          <t>A) The body is JSON B) The list is long C) There is no next link or cursor D) The status is 500</t>
        </is>
      </c>
      <c r="AV15" s="18" t="inlineStr">
        <is>
          <t>C</t>
        </is>
      </c>
      <c r="AW15" s="18" t="inlineStr">
        <is>
          <t>The final response has an empty next value.</t>
        </is>
      </c>
      <c r="AX15" s="19" t="inlineStr">
        <is>
          <t>A pointer to the next page returned by the server is called a ____ → cursor</t>
        </is>
      </c>
      <c r="AY15" s="18" t="inlineStr">
        <is>
          <t>Collect items while a next link exists.</t>
        </is>
      </c>
      <c r="AZ15" s="19" t="inlineStr">
        <is>
          <t>while (url) { const page = await (await fetch(url)).json(); all.push(...page.data); url = page.next; }</t>
        </is>
      </c>
      <c r="BA15" s="18" t="inlineStr">
        <is>
          <t>Write the requests needed to read three pages of fifty items.</t>
        </is>
      </c>
      <c r="BB15" s="19" t="inlineStr">
        <is>
          <t>What parameter sets how many items come in one page?</t>
        </is>
      </c>
      <c r="BC15" s="19" t="inlineStr">
        <is>
          <t>limit (or a similarly named page size parameter)</t>
        </is>
      </c>
      <c r="BD15" s="17">
        <f>IF(K15="","",REPT("★",K15)&amp;REPT("☆",5-K15)&amp;" ("&amp;K15&amp;"/5)")</f>
        <v/>
      </c>
      <c r="BE15" s="17">
        <f>IF(S15="","","Meaning: "&amp;S15&amp;"  =  ______   (Answer: "&amp;F15&amp;")")</f>
        <v/>
      </c>
      <c r="BF15" s="17" t="inlineStr">
        <is>
          <t>New</t>
        </is>
      </c>
      <c r="BG15" s="17" t="n"/>
      <c r="BH15" s="17" t="n"/>
      <c r="BI15" s="17" t="n"/>
      <c r="BJ15" s="17" t="n"/>
      <c r="BK15" s="17" t="n"/>
      <c r="BL15" s="17" t="n"/>
      <c r="BM15" s="17" t="n"/>
      <c r="BN15" s="17" t="n"/>
    </row>
    <row r="16" ht="135" customHeight="1">
      <c r="A16" s="17" t="inlineStr">
        <is>
          <t>API-044</t>
        </is>
      </c>
      <c r="B16" s="17" t="inlineStr">
        <is>
          <t>07 Webhooks and async</t>
        </is>
      </c>
      <c r="C16" s="17" t="inlineStr">
        <is>
          <t>Advanced</t>
        </is>
      </c>
      <c r="D16" s="17" t="n">
        <v>44</v>
      </c>
      <c r="E16" s="17" t="inlineStr">
        <is>
          <t>Claude knowledge</t>
        </is>
      </c>
      <c r="F16" s="18" t="inlineStr">
        <is>
          <t>Verifying webhook signatures</t>
        </is>
      </c>
      <c r="G16" s="18" t="inlineStr">
        <is>
          <t>How do you check that a webhook really came from the provider and was not forged or changed on the way?</t>
        </is>
      </c>
      <c r="H16" s="17" t="n"/>
      <c r="I16" s="18" t="inlineStr">
        <is>
          <t>Security technique</t>
        </is>
      </c>
      <c r="J16" s="18" t="inlineStr">
        <is>
          <t>High</t>
        </is>
      </c>
      <c r="K16" s="18" t="n">
        <v>5</v>
      </c>
      <c r="L16" s="18" t="inlineStr">
        <is>
          <t>A webhook URL is public, so anyone could post fake events to it, and providers therefore sign each delivery with a shared secret that only they and you know.</t>
        </is>
      </c>
      <c r="M16" s="18" t="inlineStr">
        <is>
          <t>Compute the signature from the raw request body, and compare with a timing-safe function.</t>
        </is>
      </c>
      <c r="N16" s="17" t="n"/>
      <c r="O16" s="18" t="inlineStr">
        <is>
          <t>A signature is a wax seal that only the real sender could have pressed.</t>
        </is>
      </c>
      <c r="P16" s="18" t="inlineStr">
        <is>
          <t>A message with a stamped seal being compared with a seal you recalculate yourself.</t>
        </is>
      </c>
      <c r="Q16" s="18" t="inlineStr">
        <is>
          <t>The confidence of knowing an event is genuine before acting on it.</t>
        </is>
      </c>
      <c r="R16" s="18" t="inlineStr">
        <is>
          <t>Signature verification recalculates a keyed hash of the raw body and compares it to the signature header sent by the provider.</t>
        </is>
      </c>
      <c r="S16" s="17" t="n"/>
      <c r="T16" s="19" t="inlineStr">
        <is>
          <t>import crypto from "node:crypto";
function isValid(rawBody, signature, secret) {
  const expected = Buffer.from(crypto.createHmac("sha256", secret).update(rawBody).digest("hex"));
  const given = Buffer.from(signature);
  return expected.length === given.length &amp;&amp; crypto.timingSafeEqual(expected, given);
}</t>
        </is>
      </c>
      <c r="U16" s="19" t="inlineStr">
        <is>
          <t>true when the signature matches the body and the secret, and false when the body was changed or forged.</t>
        </is>
      </c>
      <c r="V16" s="18" t="inlineStr">
        <is>
          <t>The provider computes an HMAC of the body with the shared secret and sends it in a header. You repeat the calculation on the exact raw bytes you received, since parsed or re-encoded JSON can differ, and compare. Many providers also include a timestamp to reject old, replayed deliveries. The exact header and format come from each provider's documentation.</t>
        </is>
      </c>
      <c r="W16" s="18" t="inlineStr">
        <is>
          <t>The sender signs the message with a secret. You sign what you received with the same secret and compare. If the two signatures differ, reject the request.</t>
        </is>
      </c>
      <c r="X16" s="18" t="inlineStr">
        <is>
          <t>It is like a wax seal that only the real sender could have pressed.</t>
        </is>
      </c>
      <c r="Y16" s="19" t="inlineStr">
        <is>
          <t>crypto.createHmac("sha256", secret).update(rawBody).digest("hex")</t>
        </is>
      </c>
      <c r="Z16" s="18" t="inlineStr">
        <is>
          <t>createHmac = keyed hash | secret = shared secret | update = the raw body | digest = the resulting signature</t>
        </is>
      </c>
      <c r="AA16" s="19" t="inlineStr">
        <is>
          <t>Comparing the computed HMAC with the signature header.</t>
        </is>
      </c>
      <c r="AB16" s="19" t="inlineStr">
        <is>
          <t>Rejecting a delivery whose timestamp is more than five minutes old.</t>
        </is>
      </c>
      <c r="AC16" s="19" t="inlineStr">
        <is>
          <t>Using timingSafeEqual to avoid timing attacks.</t>
        </is>
      </c>
      <c r="AD16" s="19" t="inlineStr">
        <is>
          <t>Some providers sign a timestamp together with the body
Some use public-key signatures instead of a shared secret</t>
        </is>
      </c>
      <c r="AE16" s="18" t="inlineStr">
        <is>
          <t>HMAC, raw body, timestamps, HTTPS</t>
        </is>
      </c>
      <c r="AF16" s="18" t="inlineStr">
        <is>
          <t>webhook, idempotency, secrets, HTTPS</t>
        </is>
      </c>
      <c r="AG16" s="18" t="inlineStr">
        <is>
          <t>A provider SDK helper that verifies for you</t>
        </is>
      </c>
      <c r="AH16" s="17" t="n"/>
      <c r="AI16" s="18" t="inlineStr">
        <is>
          <t>Payment webhooks | Source control webhooks | Any public callback URL</t>
        </is>
      </c>
      <c r="AJ16" s="18" t="inlineStr">
        <is>
          <t>A: Anyone could post fake payment events to our URL. | B: Verify the provider's signature using the shared secret before trusting the event.</t>
        </is>
      </c>
      <c r="AK16" s="18" t="inlineStr">
        <is>
          <t>✗ Parsing the JSON first and then verifying the signature is fine → ✓ Verify against the exact raw body, because re-encoding the parsed JSON can change the bytes</t>
        </is>
      </c>
      <c r="AL16" s="18" t="inlineStr">
        <is>
          <t>Signature verification vs authentication token: a signature proves the message is genuine and unaltered, a token proves who is calling.</t>
        </is>
      </c>
      <c r="AM16" s="18" t="inlineStr">
        <is>
          <t>Do not trust an event before verifying its signature.</t>
        </is>
      </c>
      <c r="AN16" s="19" t="inlineStr">
        <is>
          <t>const body = JSON.stringify(req.body); const expected = hmac(body);</t>
        </is>
      </c>
      <c r="AO16" s="19" t="inlineStr">
        <is>
          <t>const expected = crypto.createHmac("sha256", secret).update(rawBody).digest("hex");</t>
        </is>
      </c>
      <c r="AP16" s="18" t="inlineStr">
        <is>
          <t>Sign it, compare it, then trust it.</t>
        </is>
      </c>
      <c r="AQ16" s="18" t="inlineStr">
        <is>
          <t>Verifying each payment webhook before marking an order paid.</t>
        </is>
      </c>
      <c r="AR16" s="18" t="inlineStr">
        <is>
          <t>An interviewer may ask: How do you secure a webhook endpoint?</t>
        </is>
      </c>
      <c r="AS16" s="18" t="inlineStr">
        <is>
          <t>It is like checking the wax seal on a letter.</t>
        </is>
      </c>
      <c r="AT16" s="18" t="inlineStr">
        <is>
          <t>What do you compute the signature from?</t>
        </is>
      </c>
      <c r="AU16" s="18" t="inlineStr">
        <is>
          <t>A) The response B) The URL only C) The exact raw body D) The parsed object</t>
        </is>
      </c>
      <c r="AV16" s="18" t="inlineStr">
        <is>
          <t>C</t>
        </is>
      </c>
      <c r="AW16" s="18" t="inlineStr">
        <is>
          <t>Only the exact raw bytes give the same signature as the sender.</t>
        </is>
      </c>
      <c r="AX16" s="19" t="inlineStr">
        <is>
          <t>Webhook signatures are usually an ____ of the body with a shared secret → HMAC</t>
        </is>
      </c>
      <c r="AY16" s="18" t="inlineStr">
        <is>
          <t>Compute a sha256 HMAC of the raw body with a secret.</t>
        </is>
      </c>
      <c r="AZ16" s="19" t="inlineStr">
        <is>
          <t>crypto.createHmac("sha256", secret).update(rawBody).digest("hex")</t>
        </is>
      </c>
      <c r="BA16" s="18" t="inlineStr">
        <is>
          <t>Write the steps to verify a webhook before processing it.</t>
        </is>
      </c>
      <c r="BB16" s="19" t="inlineStr">
        <is>
          <t>Why compare signatures with a timing-safe function?</t>
        </is>
      </c>
      <c r="BC16" s="19" t="inlineStr">
        <is>
          <t>To avoid leaking information through how long the comparison takes.</t>
        </is>
      </c>
      <c r="BD16" s="17">
        <f>IF(K16="","",REPT("★",K16)&amp;REPT("☆",5-K16)&amp;" ("&amp;K16&amp;"/5)")</f>
        <v/>
      </c>
      <c r="BE16" s="17">
        <f>IF(S16="","","Meaning: "&amp;S16&amp;"  =  ______   (Answer: "&amp;F16&amp;")")</f>
        <v/>
      </c>
      <c r="BF16" s="17" t="inlineStr">
        <is>
          <t>New</t>
        </is>
      </c>
      <c r="BG16" s="17" t="n"/>
      <c r="BH16" s="17" t="n"/>
      <c r="BI16" s="17" t="n"/>
      <c r="BJ16" s="17" t="n"/>
      <c r="BK16" s="17" t="n"/>
      <c r="BL16" s="17" t="n"/>
      <c r="BM16" s="17" t="n"/>
      <c r="BN16" s="17" t="n"/>
    </row>
  </sheetData>
  <autoFilter ref="A2:BN16"/>
  <mergeCells count="6">
    <mergeCell ref="AT1:BC1"/>
    <mergeCell ref="BD1:BE1"/>
    <mergeCell ref="F1:Q1"/>
    <mergeCell ref="A1:E1"/>
    <mergeCell ref="BF1:BN1"/>
    <mergeCell ref="R1:AS1"/>
  </mergeCells>
  <dataValidations count="2">
    <dataValidation sqref="BF3:BF16" showDropDown="0" showInputMessage="0" showErrorMessage="0" allowBlank="1" type="list">
      <formula1>"New,Learning,Known"</formula1>
    </dataValidation>
    <dataValidation sqref="BM3:BM16" showDropDown="0" showInputMessage="0" showErrorMessage="0" allowBlank="1" type="list">
      <formula1>"OK,Fix"</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1"/>
  <sheetViews>
    <sheetView showGridLines="0" workbookViewId="0">
      <pane ySplit="3" topLeftCell="A4" activePane="bottomLeft" state="frozen"/>
      <selection pane="bottomLeft" activeCell="A1" sqref="A1"/>
    </sheetView>
  </sheetViews>
  <sheetFormatPr baseColWidth="8" defaultRowHeight="15"/>
  <cols>
    <col width="28" customWidth="1" min="1" max="1"/>
    <col width="100" customWidth="1" min="2" max="2"/>
  </cols>
  <sheetData>
    <row r="1">
      <c r="A1" s="20" t="inlineStr">
        <is>
          <t>Code concept (56-pt) · card view</t>
        </is>
      </c>
    </row>
    <row r="2">
      <c r="A2" s="21" t="inlineStr">
        <is>
          <t>Card ID chuno ▸</t>
        </is>
      </c>
      <c r="B2" s="22" t="inlineStr">
        <is>
          <t>API-017</t>
        </is>
      </c>
    </row>
    <row r="4">
      <c r="A4" s="23" t="inlineStr">
        <is>
          <t>FRONT · Recognition (pehchano)</t>
        </is>
      </c>
    </row>
    <row r="5" ht="30" customHeight="1">
      <c r="A5" s="24" t="inlineStr">
        <is>
          <t>ID</t>
        </is>
      </c>
      <c r="B5" s="17">
        <f>INDEX('Code concept (56-pt) cards'!$A$3:$BN$16,MATCH($B$2,'Code concept (56-pt) cards'!$A$3:$A$16,0),MATCH("ID",'Code concept (56-pt) cards'!$A$2:$BN$2,0))&amp;""</f>
        <v/>
      </c>
    </row>
    <row r="6" ht="30" customHeight="1">
      <c r="A6" s="24" t="inlineStr">
        <is>
          <t>Topic</t>
        </is>
      </c>
      <c r="B6" s="17">
        <f>INDEX('Code concept (56-pt) cards'!$A$3:$BN$16,MATCH($B$2,'Code concept (56-pt) cards'!$A$3:$A$16,0),MATCH("Topic",'Code concept (56-pt) cards'!$A$2:$BN$2,0))&amp;""</f>
        <v/>
      </c>
    </row>
    <row r="7" ht="30" customHeight="1">
      <c r="A7" s="24" t="inlineStr">
        <is>
          <t>Level</t>
        </is>
      </c>
      <c r="B7" s="17">
        <f>INDEX('Code concept (56-pt) cards'!$A$3:$BN$16,MATCH($B$2,'Code concept (56-pt) cards'!$A$3:$A$16,0),MATCH("Level",'Code concept (56-pt) cards'!$A$2:$BN$2,0))&amp;""</f>
        <v/>
      </c>
    </row>
    <row r="8" ht="30" customHeight="1">
      <c r="A8" s="24" t="inlineStr">
        <is>
          <t>Concept</t>
        </is>
      </c>
      <c r="B8" s="17">
        <f>INDEX('Code concept (56-pt) cards'!$A$3:$BN$16,MATCH($B$2,'Code concept (56-pt) cards'!$A$3:$A$16,0),MATCH("Concept",'Code concept (56-pt) cards'!$A$2:$BN$2,0))&amp;""</f>
        <v/>
      </c>
    </row>
    <row r="9" ht="30" customHeight="1">
      <c r="A9" s="24" t="inlineStr">
        <is>
          <t>Recall cue</t>
        </is>
      </c>
      <c r="B9" s="17">
        <f>INDEX('Code concept (56-pt) cards'!$A$3:$BN$16,MATCH($B$2,'Code concept (56-pt) cards'!$A$3:$A$16,0),MATCH("Recall cue",'Code concept (56-pt) cards'!$A$2:$BN$2,0))&amp;""</f>
        <v/>
      </c>
    </row>
    <row r="10" ht="30" customHeight="1">
      <c r="A10" s="24" t="inlineStr">
        <is>
          <t>Read aloud</t>
        </is>
      </c>
      <c r="B10" s="17">
        <f>INDEX('Code concept (56-pt) cards'!$A$3:$BN$16,MATCH($B$2,'Code concept (56-pt) cards'!$A$3:$A$16,0),MATCH("Read aloud",'Code concept (56-pt) cards'!$A$2:$BN$2,0))&amp;""</f>
        <v/>
      </c>
    </row>
    <row r="11" ht="30" customHeight="1">
      <c r="A11" s="24" t="inlineStr">
        <is>
          <t>Type</t>
        </is>
      </c>
      <c r="B11" s="17">
        <f>INDEX('Code concept (56-pt) cards'!$A$3:$BN$16,MATCH($B$2,'Code concept (56-pt) cards'!$A$3:$A$16,0),MATCH("Type",'Code concept (56-pt) cards'!$A$2:$BN$2,0))&amp;""</f>
        <v/>
      </c>
    </row>
    <row r="12" ht="30" customHeight="1">
      <c r="A12" s="24" t="inlineStr">
        <is>
          <t>How often used</t>
        </is>
      </c>
      <c r="B12" s="17">
        <f>INDEX('Code concept (56-pt) cards'!$A$3:$BN$16,MATCH($B$2,'Code concept (56-pt) cards'!$A$3:$A$16,0),MATCH("How often used",'Code concept (56-pt) cards'!$A$2:$BN$2,0))&amp;""</f>
        <v/>
      </c>
    </row>
    <row r="13" ht="30" customHeight="1">
      <c r="A13" s="24" t="inlineStr">
        <is>
          <t>Importance (1-5)</t>
        </is>
      </c>
      <c r="B13" s="17">
        <f>INDEX('Code concept (56-pt) cards'!$A$3:$BN$16,MATCH($B$2,'Code concept (56-pt) cards'!$A$3:$A$16,0),MATCH("Importance (1-5)",'Code concept (56-pt) cards'!$A$2:$BN$2,0))&amp;""</f>
        <v/>
      </c>
    </row>
    <row r="14" ht="30" customHeight="1">
      <c r="A14" s="24" t="inlineStr">
        <is>
          <t>Origin / why it exists</t>
        </is>
      </c>
      <c r="B14" s="17">
        <f>INDEX('Code concept (56-pt) cards'!$A$3:$BN$16,MATCH($B$2,'Code concept (56-pt) cards'!$A$3:$A$16,0),MATCH("Origin / why it exists",'Code concept (56-pt) cards'!$A$2:$BN$2,0))&amp;""</f>
        <v/>
      </c>
    </row>
    <row r="15" ht="30" customHeight="1">
      <c r="A15" s="24" t="inlineStr">
        <is>
          <t>Pro tip</t>
        </is>
      </c>
      <c r="B15" s="17">
        <f>INDEX('Code concept (56-pt) cards'!$A$3:$BN$16,MATCH($B$2,'Code concept (56-pt) cards'!$A$3:$A$16,0),MATCH("Pro tip",'Code concept (56-pt) cards'!$A$2:$BN$2,0))&amp;""</f>
        <v/>
      </c>
    </row>
    <row r="16" ht="30" customHeight="1">
      <c r="A16" s="24" t="inlineStr">
        <is>
          <t>Typing hint</t>
        </is>
      </c>
      <c r="B16" s="17">
        <f>INDEX('Code concept (56-pt) cards'!$A$3:$BN$16,MATCH($B$2,'Code concept (56-pt) cards'!$A$3:$A$16,0),MATCH("Typing hint",'Code concept (56-pt) cards'!$A$2:$BN$2,0))&amp;""</f>
        <v/>
      </c>
    </row>
    <row r="17" ht="30" customHeight="1">
      <c r="A17" s="24" t="inlineStr">
        <is>
          <t>Memory story</t>
        </is>
      </c>
      <c r="B17" s="17">
        <f>INDEX('Code concept (56-pt) cards'!$A$3:$BN$16,MATCH($B$2,'Code concept (56-pt) cards'!$A$3:$A$16,0),MATCH("Memory story",'Code concept (56-pt) cards'!$A$2:$BN$2,0))&amp;""</f>
        <v/>
      </c>
    </row>
    <row r="18" ht="30" customHeight="1">
      <c r="A18" s="24" t="inlineStr">
        <is>
          <t>Picture it</t>
        </is>
      </c>
      <c r="B18" s="17">
        <f>INDEX('Code concept (56-pt) cards'!$A$3:$BN$16,MATCH($B$2,'Code concept (56-pt) cards'!$A$3:$A$16,0),MATCH("Picture it",'Code concept (56-pt) cards'!$A$2:$BN$2,0))&amp;""</f>
        <v/>
      </c>
    </row>
    <row r="19" ht="30" customHeight="1">
      <c r="A19" s="24" t="inlineStr">
        <is>
          <t>Emotion hook</t>
        </is>
      </c>
      <c r="B19" s="17">
        <f>INDEX('Code concept (56-pt) cards'!$A$3:$BN$16,MATCH($B$2,'Code concept (56-pt) cards'!$A$3:$A$16,0),MATCH("Emotion hook",'Code concept (56-pt) cards'!$A$2:$BN$2,0))&amp;""</f>
        <v/>
      </c>
    </row>
    <row r="20" ht="30" customHeight="1">
      <c r="A20" s="24" t="inlineStr">
        <is>
          <t>Importance ★</t>
        </is>
      </c>
      <c r="B20" s="17">
        <f>INDEX('Code concept (56-pt) cards'!$A$3:$BN$16,MATCH($B$2,'Code concept (56-pt) cards'!$A$3:$A$16,0),MATCH("Importance ★",'Code concept (56-pt) cards'!$A$2:$BN$2,0))&amp;""</f>
        <v/>
      </c>
    </row>
    <row r="21">
      <c r="A21" s="25" t="inlineStr">
        <is>
          <t>BACK · Understanding (samjho)</t>
        </is>
      </c>
    </row>
    <row r="22" ht="30" customHeight="1">
      <c r="A22" s="24" t="inlineStr">
        <is>
          <t>Meaning (short)</t>
        </is>
      </c>
      <c r="B22" s="17">
        <f>INDEX('Code concept (56-pt) cards'!$A$3:$BN$16,MATCH($B$2,'Code concept (56-pt) cards'!$A$3:$A$16,0),MATCH("Meaning (short)",'Code concept (56-pt) cards'!$A$2:$BN$2,0))&amp;""</f>
        <v/>
      </c>
    </row>
    <row r="23" ht="30" customHeight="1">
      <c r="A23" s="24" t="inlineStr">
        <is>
          <t>Meaning in learner's language</t>
        </is>
      </c>
      <c r="B23" s="17">
        <f>INDEX('Code concept (56-pt) cards'!$A$3:$BN$16,MATCH($B$2,'Code concept (56-pt) cards'!$A$3:$A$16,0),MATCH("Meaning in learner's language",'Code concept (56-pt) cards'!$A$2:$BN$2,0))&amp;""</f>
        <v/>
      </c>
    </row>
    <row r="24" ht="121.5" customHeight="1">
      <c r="A24" s="24" t="inlineStr">
        <is>
          <t>Code</t>
        </is>
      </c>
      <c r="B24" s="26">
        <f>INDEX('Code concept (56-pt) cards'!$A$3:$BN$16,MATCH($B$2,'Code concept (56-pt) cards'!$A$3:$A$16,0),MATCH("Code",'Code concept (56-pt) cards'!$A$2:$BN$2,0))&amp;""</f>
        <v/>
      </c>
    </row>
    <row r="25" ht="30" customHeight="1">
      <c r="A25" s="24" t="inlineStr">
        <is>
          <t>Output</t>
        </is>
      </c>
      <c r="B25" s="26">
        <f>INDEX('Code concept (56-pt) cards'!$A$3:$BN$16,MATCH($B$2,'Code concept (56-pt) cards'!$A$3:$A$16,0),MATCH("Output",'Code concept (56-pt) cards'!$A$2:$BN$2,0))&amp;""</f>
        <v/>
      </c>
    </row>
    <row r="26" ht="54" customHeight="1">
      <c r="A26" s="24" t="inlineStr">
        <is>
          <t>Explanation</t>
        </is>
      </c>
      <c r="B26" s="17">
        <f>INDEX('Code concept (56-pt) cards'!$A$3:$BN$16,MATCH($B$2,'Code concept (56-pt) cards'!$A$3:$A$16,0),MATCH("Explanation",'Code concept (56-pt) cards'!$A$2:$BN$2,0))&amp;""</f>
        <v/>
      </c>
    </row>
    <row r="27" ht="30" customHeight="1">
      <c r="A27" s="24" t="inlineStr">
        <is>
          <t>Simple explanation (Hinglish)</t>
        </is>
      </c>
      <c r="B27" s="17">
        <f>INDEX('Code concept (56-pt) cards'!$A$3:$BN$16,MATCH($B$2,'Code concept (56-pt) cards'!$A$3:$A$16,0),MATCH("Simple explanation (Hinglish)",'Code concept (56-pt) cards'!$A$2:$BN$2,0))&amp;""</f>
        <v/>
      </c>
    </row>
    <row r="28" ht="30" customHeight="1">
      <c r="A28" s="24" t="inlineStr">
        <is>
          <t>Real-life analogy</t>
        </is>
      </c>
      <c r="B28" s="17">
        <f>INDEX('Code concept (56-pt) cards'!$A$3:$BN$16,MATCH($B$2,'Code concept (56-pt) cards'!$A$3:$A$16,0),MATCH("Real-life analogy",'Code concept (56-pt) cards'!$A$2:$BN$2,0))&amp;""</f>
        <v/>
      </c>
    </row>
    <row r="29" ht="30" customHeight="1">
      <c r="A29" s="24" t="inlineStr">
        <is>
          <t>Syntax pattern</t>
        </is>
      </c>
      <c r="B29" s="26">
        <f>INDEX('Code concept (56-pt) cards'!$A$3:$BN$16,MATCH($B$2,'Code concept (56-pt) cards'!$A$3:$A$16,0),MATCH("Syntax pattern",'Code concept (56-pt) cards'!$A$2:$BN$2,0))&amp;""</f>
        <v/>
      </c>
    </row>
    <row r="30" ht="30" customHeight="1">
      <c r="A30" s="24" t="inlineStr">
        <is>
          <t>Anatomy</t>
        </is>
      </c>
      <c r="B30" s="17">
        <f>INDEX('Code concept (56-pt) cards'!$A$3:$BN$16,MATCH($B$2,'Code concept (56-pt) cards'!$A$3:$A$16,0),MATCH("Anatomy",'Code concept (56-pt) cards'!$A$2:$BN$2,0))&amp;""</f>
        <v/>
      </c>
    </row>
    <row r="31" ht="30" customHeight="1">
      <c r="A31" s="24" t="inlineStr">
        <is>
          <t>Example 1</t>
        </is>
      </c>
      <c r="B31" s="26">
        <f>INDEX('Code concept (56-pt) cards'!$A$3:$BN$16,MATCH($B$2,'Code concept (56-pt) cards'!$A$3:$A$16,0),MATCH("Example 1",'Code concept (56-pt) cards'!$A$2:$BN$2,0))&amp;""</f>
        <v/>
      </c>
    </row>
    <row r="32" ht="30" customHeight="1">
      <c r="A32" s="24" t="inlineStr">
        <is>
          <t>Example 2</t>
        </is>
      </c>
      <c r="B32" s="26">
        <f>INDEX('Code concept (56-pt) cards'!$A$3:$BN$16,MATCH($B$2,'Code concept (56-pt) cards'!$A$3:$A$16,0),MATCH("Example 2",'Code concept (56-pt) cards'!$A$2:$BN$2,0))&amp;""</f>
        <v/>
      </c>
    </row>
    <row r="33" ht="30" customHeight="1">
      <c r="A33" s="24" t="inlineStr">
        <is>
          <t>Example 3</t>
        </is>
      </c>
      <c r="B33" s="26">
        <f>INDEX('Code concept (56-pt) cards'!$A$3:$BN$16,MATCH($B$2,'Code concept (56-pt) cards'!$A$3:$A$16,0),MATCH("Example 3",'Code concept (56-pt) cards'!$A$2:$BN$2,0))&amp;""</f>
        <v/>
      </c>
    </row>
    <row r="34" ht="30" customHeight="1">
      <c r="A34" s="24" t="inlineStr">
        <is>
          <t>Variation</t>
        </is>
      </c>
      <c r="B34" s="26">
        <f>INDEX('Code concept (56-pt) cards'!$A$3:$BN$16,MATCH($B$2,'Code concept (56-pt) cards'!$A$3:$A$16,0),MATCH("Variation",'Code concept (56-pt) cards'!$A$2:$BN$2,0))&amp;""</f>
        <v/>
      </c>
    </row>
    <row r="35" ht="30" customHeight="1">
      <c r="A35" s="24" t="inlineStr">
        <is>
          <t>Used with</t>
        </is>
      </c>
      <c r="B35" s="17">
        <f>INDEX('Code concept (56-pt) cards'!$A$3:$BN$16,MATCH($B$2,'Code concept (56-pt) cards'!$A$3:$A$16,0),MATCH("Used with",'Code concept (56-pt) cards'!$A$2:$BN$2,0))&amp;""</f>
        <v/>
      </c>
    </row>
    <row r="36" ht="30" customHeight="1">
      <c r="A36" s="24" t="inlineStr">
        <is>
          <t>Related concepts</t>
        </is>
      </c>
      <c r="B36" s="17">
        <f>INDEX('Code concept (56-pt) cards'!$A$3:$BN$16,MATCH($B$2,'Code concept (56-pt) cards'!$A$3:$A$16,0),MATCH("Related concepts",'Code concept (56-pt) cards'!$A$2:$BN$2,0))&amp;""</f>
        <v/>
      </c>
    </row>
    <row r="37" ht="30" customHeight="1">
      <c r="A37" s="24" t="inlineStr">
        <is>
          <t>Alternatives</t>
        </is>
      </c>
      <c r="B37" s="17">
        <f>INDEX('Code concept (56-pt) cards'!$A$3:$BN$16,MATCH($B$2,'Code concept (56-pt) cards'!$A$3:$A$16,0),MATCH("Alternatives",'Code concept (56-pt) cards'!$A$2:$BN$2,0))&amp;""</f>
        <v/>
      </c>
    </row>
    <row r="38" ht="30" customHeight="1">
      <c r="A38" s="24" t="inlineStr">
        <is>
          <t>Family / group</t>
        </is>
      </c>
      <c r="B38" s="17">
        <f>INDEX('Code concept (56-pt) cards'!$A$3:$BN$16,MATCH($B$2,'Code concept (56-pt) cards'!$A$3:$A$16,0),MATCH("Family / group",'Code concept (56-pt) cards'!$A$2:$BN$2,0))&amp;""</f>
        <v/>
      </c>
    </row>
    <row r="39" ht="30" customHeight="1">
      <c r="A39" s="24" t="inlineStr">
        <is>
          <t>Where it is used</t>
        </is>
      </c>
      <c r="B39" s="17">
        <f>INDEX('Code concept (56-pt) cards'!$A$3:$BN$16,MATCH($B$2,'Code concept (56-pt) cards'!$A$3:$A$16,0),MATCH("Where it is used",'Code concept (56-pt) cards'!$A$2:$BN$2,0))&amp;""</f>
        <v/>
      </c>
    </row>
    <row r="40" ht="30" customHeight="1">
      <c r="A40" s="24" t="inlineStr">
        <is>
          <t>Mini conversation</t>
        </is>
      </c>
      <c r="B40" s="17">
        <f>INDEX('Code concept (56-pt) cards'!$A$3:$BN$16,MATCH($B$2,'Code concept (56-pt) cards'!$A$3:$A$16,0),MATCH("Mini conversation",'Code concept (56-pt) cards'!$A$2:$BN$2,0))&amp;""</f>
        <v/>
      </c>
    </row>
    <row r="41" ht="30" customHeight="1">
      <c r="A41" s="24" t="inlineStr">
        <is>
          <t>Common mistake</t>
        </is>
      </c>
      <c r="B41" s="17">
        <f>INDEX('Code concept (56-pt) cards'!$A$3:$BN$16,MATCH($B$2,'Code concept (56-pt) cards'!$A$3:$A$16,0),MATCH("Common mistake",'Code concept (56-pt) cards'!$A$2:$BN$2,0))&amp;""</f>
        <v/>
      </c>
    </row>
    <row r="42" ht="30" customHeight="1">
      <c r="A42" s="24" t="inlineStr">
        <is>
          <t>Commonly confused with</t>
        </is>
      </c>
      <c r="B42" s="17">
        <f>INDEX('Code concept (56-pt) cards'!$A$3:$BN$16,MATCH($B$2,'Code concept (56-pt) cards'!$A$3:$A$16,0),MATCH("Commonly confused with",'Code concept (56-pt) cards'!$A$2:$BN$2,0))&amp;""</f>
        <v/>
      </c>
    </row>
    <row r="43" ht="30" customHeight="1">
      <c r="A43" s="24" t="inlineStr">
        <is>
          <t>Avoid / don't</t>
        </is>
      </c>
      <c r="B43" s="17">
        <f>INDEX('Code concept (56-pt) cards'!$A$3:$BN$16,MATCH($B$2,'Code concept (56-pt) cards'!$A$3:$A$16,0),MATCH("Avoid / don't",'Code concept (56-pt) cards'!$A$2:$BN$2,0))&amp;""</f>
        <v/>
      </c>
    </row>
    <row r="44" ht="30" customHeight="1">
      <c r="A44" s="24" t="inlineStr">
        <is>
          <t>Wrong code</t>
        </is>
      </c>
      <c r="B44" s="26">
        <f>INDEX('Code concept (56-pt) cards'!$A$3:$BN$16,MATCH($B$2,'Code concept (56-pt) cards'!$A$3:$A$16,0),MATCH("Wrong code",'Code concept (56-pt) cards'!$A$2:$BN$2,0))&amp;""</f>
        <v/>
      </c>
    </row>
    <row r="45" ht="30" customHeight="1">
      <c r="A45" s="24" t="inlineStr">
        <is>
          <t>Right code</t>
        </is>
      </c>
      <c r="B45" s="26">
        <f>INDEX('Code concept (56-pt) cards'!$A$3:$BN$16,MATCH($B$2,'Code concept (56-pt) cards'!$A$3:$A$16,0),MATCH("Right code",'Code concept (56-pt) cards'!$A$2:$BN$2,0))&amp;""</f>
        <v/>
      </c>
    </row>
    <row r="46" ht="30" customHeight="1">
      <c r="A46" s="24" t="inlineStr">
        <is>
          <t>Memory trick</t>
        </is>
      </c>
      <c r="B46" s="17">
        <f>INDEX('Code concept (56-pt) cards'!$A$3:$BN$16,MATCH($B$2,'Code concept (56-pt) cards'!$A$3:$A$16,0),MATCH("Memory trick",'Code concept (56-pt) cards'!$A$2:$BN$2,0))&amp;""</f>
        <v/>
      </c>
    </row>
    <row r="47" ht="30" customHeight="1">
      <c r="A47" s="24" t="inlineStr">
        <is>
          <t>Real life: project / work</t>
        </is>
      </c>
      <c r="B47" s="17">
        <f>INDEX('Code concept (56-pt) cards'!$A$3:$BN$16,MATCH($B$2,'Code concept (56-pt) cards'!$A$3:$A$16,0),MATCH("Real life: project / work",'Code concept (56-pt) cards'!$A$2:$BN$2,0))&amp;""</f>
        <v/>
      </c>
    </row>
    <row r="48" ht="30" customHeight="1">
      <c r="A48" s="24" t="inlineStr">
        <is>
          <t>Real life: interview / exam</t>
        </is>
      </c>
      <c r="B48" s="17">
        <f>INDEX('Code concept (56-pt) cards'!$A$3:$BN$16,MATCH($B$2,'Code concept (56-pt) cards'!$A$3:$A$16,0),MATCH("Real life: interview / exam",'Code concept (56-pt) cards'!$A$2:$BN$2,0))&amp;""</f>
        <v/>
      </c>
    </row>
    <row r="49" ht="30" customHeight="1">
      <c r="A49" s="24" t="inlineStr">
        <is>
          <t>Real life: daily life</t>
        </is>
      </c>
      <c r="B49" s="17">
        <f>INDEX('Code concept (56-pt) cards'!$A$3:$BN$16,MATCH($B$2,'Code concept (56-pt) cards'!$A$3:$A$16,0),MATCH("Real life: daily life",'Code concept (56-pt) cards'!$A$2:$BN$2,0))&amp;""</f>
        <v/>
      </c>
    </row>
    <row r="50">
      <c r="A50" s="27" t="inlineStr">
        <is>
          <t>PRACTICE · Khud karo</t>
        </is>
      </c>
    </row>
    <row r="51" ht="30" customHeight="1">
      <c r="A51" s="24" t="inlineStr">
        <is>
          <t>MCQ question</t>
        </is>
      </c>
      <c r="B51" s="17">
        <f>INDEX('Code concept (56-pt) cards'!$A$3:$BN$16,MATCH($B$2,'Code concept (56-pt) cards'!$A$3:$A$16,0),MATCH("MCQ question",'Code concept (56-pt) cards'!$A$2:$BN$2,0))&amp;""</f>
        <v/>
      </c>
    </row>
    <row r="52" ht="30" customHeight="1">
      <c r="A52" s="24" t="inlineStr">
        <is>
          <t>MCQ options</t>
        </is>
      </c>
      <c r="B52" s="17">
        <f>INDEX('Code concept (56-pt) cards'!$A$3:$BN$16,MATCH($B$2,'Code concept (56-pt) cards'!$A$3:$A$16,0),MATCH("MCQ options",'Code concept (56-pt) cards'!$A$2:$BN$2,0))&amp;""</f>
        <v/>
      </c>
    </row>
    <row r="53" ht="30" customHeight="1">
      <c r="A53" s="24" t="inlineStr">
        <is>
          <t>MCQ answer</t>
        </is>
      </c>
      <c r="B53" s="17">
        <f>INDEX('Code concept (56-pt) cards'!$A$3:$BN$16,MATCH($B$2,'Code concept (56-pt) cards'!$A$3:$A$16,0),MATCH("MCQ answer",'Code concept (56-pt) cards'!$A$2:$BN$2,0))&amp;""</f>
        <v/>
      </c>
    </row>
    <row r="54" ht="30" customHeight="1">
      <c r="A54" s="24" t="inlineStr">
        <is>
          <t>Why that answer</t>
        </is>
      </c>
      <c r="B54" s="17">
        <f>INDEX('Code concept (56-pt) cards'!$A$3:$BN$16,MATCH($B$2,'Code concept (56-pt) cards'!$A$3:$A$16,0),MATCH("Why that answer",'Code concept (56-pt) cards'!$A$2:$BN$2,0))&amp;""</f>
        <v/>
      </c>
    </row>
    <row r="55" ht="30" customHeight="1">
      <c r="A55" s="24" t="inlineStr">
        <is>
          <t>Fill the blank</t>
        </is>
      </c>
      <c r="B55" s="26">
        <f>INDEX('Code concept (56-pt) cards'!$A$3:$BN$16,MATCH($B$2,'Code concept (56-pt) cards'!$A$3:$A$16,0),MATCH("Fill the blank",'Code concept (56-pt) cards'!$A$2:$BN$2,0))&amp;""</f>
        <v/>
      </c>
    </row>
    <row r="56" ht="30" customHeight="1">
      <c r="A56" s="24" t="inlineStr">
        <is>
          <t>Try it yourself</t>
        </is>
      </c>
      <c r="B56" s="17">
        <f>INDEX('Code concept (56-pt) cards'!$A$3:$BN$16,MATCH($B$2,'Code concept (56-pt) cards'!$A$3:$A$16,0),MATCH("Try it yourself",'Code concept (56-pt) cards'!$A$2:$BN$2,0))&amp;""</f>
        <v/>
      </c>
    </row>
    <row r="57" ht="30" customHeight="1">
      <c r="A57" s="24" t="inlineStr">
        <is>
          <t>Task answer</t>
        </is>
      </c>
      <c r="B57" s="26">
        <f>INDEX('Code concept (56-pt) cards'!$A$3:$BN$16,MATCH($B$2,'Code concept (56-pt) cards'!$A$3:$A$16,0),MATCH("Task answer",'Code concept (56-pt) cards'!$A$2:$BN$2,0))&amp;""</f>
        <v/>
      </c>
    </row>
    <row r="58" ht="30" customHeight="1">
      <c r="A58" s="24" t="inlineStr">
        <is>
          <t>Write your own</t>
        </is>
      </c>
      <c r="B58" s="17">
        <f>INDEX('Code concept (56-pt) cards'!$A$3:$BN$16,MATCH($B$2,'Code concept (56-pt) cards'!$A$3:$A$16,0),MATCH("Write your own",'Code concept (56-pt) cards'!$A$2:$BN$2,0))&amp;""</f>
        <v/>
      </c>
    </row>
    <row r="59" ht="30" customHeight="1">
      <c r="A59" s="24" t="inlineStr">
        <is>
          <t>Practice question</t>
        </is>
      </c>
      <c r="B59" s="26">
        <f>INDEX('Code concept (56-pt) cards'!$A$3:$BN$16,MATCH($B$2,'Code concept (56-pt) cards'!$A$3:$A$16,0),MATCH("Practice question",'Code concept (56-pt) cards'!$A$2:$BN$2,0))&amp;""</f>
        <v/>
      </c>
    </row>
    <row r="60" ht="30" customHeight="1">
      <c r="A60" s="24" t="inlineStr">
        <is>
          <t>Practice answer</t>
        </is>
      </c>
      <c r="B60" s="26">
        <f>INDEX('Code concept (56-pt) cards'!$A$3:$BN$16,MATCH($B$2,'Code concept (56-pt) cards'!$A$3:$A$16,0),MATCH("Practice answer",'Code concept (56-pt) cards'!$A$2:$BN$2,0))&amp;""</f>
        <v/>
      </c>
    </row>
    <row r="61" ht="30" customHeight="1">
      <c r="A61" s="24" t="inlineStr">
        <is>
          <t>Quick recall (reverse)</t>
        </is>
      </c>
      <c r="B61" s="17">
        <f>INDEX('Code concept (56-pt) cards'!$A$3:$BN$16,MATCH($B$2,'Code concept (56-pt) cards'!$A$3:$A$16,0),MATCH("Quick recall (reverse)",'Code concept (56-pt) cards'!$A$2:$BN$2,0))&amp;""</f>
        <v/>
      </c>
    </row>
  </sheetData>
  <mergeCells count="3">
    <mergeCell ref="A4:B4"/>
    <mergeCell ref="A21:B21"/>
    <mergeCell ref="A50:B50"/>
  </mergeCells>
  <dataValidations count="1">
    <dataValidation sqref="B2" showDropDown="0" showInputMessage="0" showErrorMessage="0" allowBlank="0" type="list">
      <formula1>='Code concept (56-pt) cards'!$A$3:$A$16</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B40"/>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42" customWidth="1" min="7" max="7"/>
    <col width="18" customWidth="1" min="8" max="8"/>
    <col width="18" customWidth="1" min="9" max="9"/>
    <col width="18" customWidth="1" min="10" max="10"/>
    <col width="42" customWidth="1" min="11" max="11"/>
    <col width="42" customWidth="1" min="12" max="12"/>
    <col width="42" customWidth="1" min="13" max="13"/>
    <col width="42" customWidth="1" min="14" max="14"/>
    <col width="42" customWidth="1" min="15" max="15"/>
    <col width="42" customWidth="1" min="16" max="16"/>
    <col width="18" customWidth="1" min="17" max="17"/>
    <col width="42" customWidth="1" min="18" max="18"/>
    <col width="42" customWidth="1" min="19" max="19"/>
    <col width="42" customWidth="1" min="20" max="20"/>
    <col width="18" customWidth="1" min="21" max="21"/>
    <col width="42" customWidth="1" min="22" max="22"/>
    <col width="42" customWidth="1" min="23" max="23"/>
    <col width="42" customWidth="1" min="24" max="24"/>
    <col width="18" customWidth="1" min="25" max="25"/>
    <col width="42" customWidth="1" min="26" max="26"/>
    <col width="42" customWidth="1" min="27" max="27"/>
    <col width="42" customWidth="1" min="28" max="28"/>
    <col width="42" customWidth="1" min="29" max="29"/>
    <col width="42" customWidth="1" min="30" max="30"/>
    <col width="42" customWidth="1" min="31" max="31"/>
    <col width="42" customWidth="1" min="32" max="32"/>
    <col width="42" customWidth="1" min="33" max="33"/>
    <col width="42" customWidth="1" min="34" max="34"/>
    <col width="42" customWidth="1" min="35" max="35"/>
    <col width="42" customWidth="1" min="36" max="36"/>
    <col width="42" customWidth="1" min="37" max="37"/>
    <col width="18" customWidth="1" min="38" max="38"/>
    <col width="18" customWidth="1" min="39" max="39"/>
    <col width="42" customWidth="1" min="40" max="40"/>
    <col width="42" customWidth="1" min="41" max="41"/>
    <col width="42" customWidth="1" min="42" max="42"/>
    <col width="42" customWidth="1" min="43" max="43"/>
    <col width="18" customWidth="1" min="44" max="44"/>
    <col width="42" customWidth="1" min="45" max="45"/>
    <col width="18" customWidth="1" min="46" max="46"/>
    <col width="9" customWidth="1" min="47" max="47"/>
    <col width="9" customWidth="1" min="48" max="48"/>
    <col width="9" customWidth="1" min="49" max="49"/>
    <col width="9" customWidth="1" min="50" max="50"/>
    <col width="9" customWidth="1" min="51" max="51"/>
    <col width="9" customWidth="1" min="52" max="52"/>
    <col width="18" customWidth="1" min="53" max="53"/>
    <col width="18" customWidth="1" min="54" max="54"/>
  </cols>
  <sheetData>
    <row r="1">
      <c r="A1" s="5" t="inlineStr">
        <is>
          <t>Card</t>
        </is>
      </c>
      <c r="F1" s="6" t="inlineStr">
        <is>
          <t>Side 1 · Recognition</t>
        </is>
      </c>
      <c r="P1" s="7" t="inlineStr">
        <is>
          <t>Side 2 · Understanding</t>
        </is>
      </c>
      <c r="AJ1" s="8" t="inlineStr">
        <is>
          <t>Side 3 · Real life &amp; Practice</t>
        </is>
      </c>
      <c r="AR1" s="9" t="inlineStr">
        <is>
          <t>Auto</t>
        </is>
      </c>
      <c r="AT1" s="10" t="inlineStr">
        <is>
          <t>My review</t>
        </is>
      </c>
    </row>
    <row r="2">
      <c r="A2" s="11" t="inlineStr">
        <is>
          <t>ID</t>
        </is>
      </c>
      <c r="B2" s="11" t="inlineStr">
        <is>
          <t>Topic</t>
        </is>
      </c>
      <c r="C2" s="11" t="inlineStr">
        <is>
          <t>Level</t>
        </is>
      </c>
      <c r="D2" s="11" t="inlineStr">
        <is>
          <t>Study order</t>
        </is>
      </c>
      <c r="E2" s="11" t="inlineStr">
        <is>
          <t>Source</t>
        </is>
      </c>
      <c r="F2" s="12" t="inlineStr">
        <is>
          <t>Term / topic</t>
        </is>
      </c>
      <c r="G2" s="12" t="inlineStr">
        <is>
          <t>Recall cue</t>
        </is>
      </c>
      <c r="H2" s="12" t="inlineStr">
        <is>
          <t>Category</t>
        </is>
      </c>
      <c r="I2" s="12" t="inlineStr">
        <is>
          <t>How often used</t>
        </is>
      </c>
      <c r="J2" s="12" t="inlineStr">
        <is>
          <t>Importance (1-5)</t>
        </is>
      </c>
      <c r="K2" s="12" t="inlineStr">
        <is>
          <t>Origin / why it exists</t>
        </is>
      </c>
      <c r="L2" s="12" t="inlineStr">
        <is>
          <t>Pro tip</t>
        </is>
      </c>
      <c r="M2" s="12" t="inlineStr">
        <is>
          <t>Memory story</t>
        </is>
      </c>
      <c r="N2" s="12" t="inlineStr">
        <is>
          <t>Picture it</t>
        </is>
      </c>
      <c r="O2" s="12" t="inlineStr">
        <is>
          <t>Emotion hook</t>
        </is>
      </c>
      <c r="P2" s="13" t="inlineStr">
        <is>
          <t>Definition (simple)</t>
        </is>
      </c>
      <c r="Q2" s="13" t="inlineStr">
        <is>
          <t>Meaning in learner's language</t>
        </is>
      </c>
      <c r="R2" s="13" t="inlineStr">
        <is>
          <t>How / why it works</t>
        </is>
      </c>
      <c r="S2" s="13" t="inlineStr">
        <is>
          <t>Simple explanation (Hinglish)</t>
        </is>
      </c>
      <c r="T2" s="13" t="inlineStr">
        <is>
          <t>Real-life analogy</t>
        </is>
      </c>
      <c r="U2" s="13" t="inlineStr">
        <is>
          <t>Formula / rule</t>
        </is>
      </c>
      <c r="V2" s="13" t="inlineStr">
        <is>
          <t>Example 1</t>
        </is>
      </c>
      <c r="W2" s="13" t="inlineStr">
        <is>
          <t>Example 2</t>
        </is>
      </c>
      <c r="X2" s="13" t="inlineStr">
        <is>
          <t>Example 3</t>
        </is>
      </c>
      <c r="Y2" s="13" t="inlineStr">
        <is>
          <t>Related concepts</t>
        </is>
      </c>
      <c r="Z2" s="13" t="inlineStr">
        <is>
          <t>Family / group</t>
        </is>
      </c>
      <c r="AA2" s="13" t="inlineStr">
        <is>
          <t>Where it is used</t>
        </is>
      </c>
      <c r="AB2" s="13" t="inlineStr">
        <is>
          <t>Mini conversation</t>
        </is>
      </c>
      <c r="AC2" s="13" t="inlineStr">
        <is>
          <t>Common mistake</t>
        </is>
      </c>
      <c r="AD2" s="13" t="inlineStr">
        <is>
          <t>Don't confuse with</t>
        </is>
      </c>
      <c r="AE2" s="13" t="inlineStr">
        <is>
          <t>Avoid / don't</t>
        </is>
      </c>
      <c r="AF2" s="13" t="inlineStr">
        <is>
          <t>Memory trick</t>
        </is>
      </c>
      <c r="AG2" s="13" t="inlineStr">
        <is>
          <t>Real life: project / work</t>
        </is>
      </c>
      <c r="AH2" s="13" t="inlineStr">
        <is>
          <t>Real life: interview / exam</t>
        </is>
      </c>
      <c r="AI2" s="13" t="inlineStr">
        <is>
          <t>Real life: daily life</t>
        </is>
      </c>
      <c r="AJ2" s="14" t="inlineStr">
        <is>
          <t>MCQ question</t>
        </is>
      </c>
      <c r="AK2" s="14" t="inlineStr">
        <is>
          <t>MCQ options</t>
        </is>
      </c>
      <c r="AL2" s="14" t="inlineStr">
        <is>
          <t>MCQ answer</t>
        </is>
      </c>
      <c r="AM2" s="14" t="inlineStr">
        <is>
          <t>Why that answer</t>
        </is>
      </c>
      <c r="AN2" s="14" t="inlineStr">
        <is>
          <t>Fill the blank</t>
        </is>
      </c>
      <c r="AO2" s="14" t="inlineStr">
        <is>
          <t>Apply it</t>
        </is>
      </c>
      <c r="AP2" s="14" t="inlineStr">
        <is>
          <t>Explain it yourself</t>
        </is>
      </c>
      <c r="AQ2" s="14" t="inlineStr">
        <is>
          <t>Write your own</t>
        </is>
      </c>
      <c r="AR2" s="15" t="inlineStr">
        <is>
          <t>Importance ★</t>
        </is>
      </c>
      <c r="AS2" s="15" t="inlineStr">
        <is>
          <t>Quick recall (reverse)</t>
        </is>
      </c>
      <c r="AT2" s="16" t="inlineStr">
        <is>
          <t>Status</t>
        </is>
      </c>
      <c r="AU2" s="16" t="inlineStr">
        <is>
          <t>Day 1</t>
        </is>
      </c>
      <c r="AV2" s="16" t="inlineStr">
        <is>
          <t>Day 3</t>
        </is>
      </c>
      <c r="AW2" s="16" t="inlineStr">
        <is>
          <t>Day 7</t>
        </is>
      </c>
      <c r="AX2" s="16" t="inlineStr">
        <is>
          <t>Day 15</t>
        </is>
      </c>
      <c r="AY2" s="16" t="inlineStr">
        <is>
          <t>Day 30</t>
        </is>
      </c>
      <c r="AZ2" s="16" t="inlineStr">
        <is>
          <t>Day 60</t>
        </is>
      </c>
      <c r="BA2" s="16" t="inlineStr">
        <is>
          <t>OK / Fix</t>
        </is>
      </c>
      <c r="BB2" s="16" t="inlineStr">
        <is>
          <t>My note</t>
        </is>
      </c>
    </row>
    <row r="3" ht="81" customHeight="1">
      <c r="A3" s="17" t="inlineStr">
        <is>
          <t>API-001</t>
        </is>
      </c>
      <c r="B3" s="17" t="inlineStr">
        <is>
          <t>01 Basics</t>
        </is>
      </c>
      <c r="C3" s="17" t="inlineStr">
        <is>
          <t>Beginner</t>
        </is>
      </c>
      <c r="D3" s="17" t="n">
        <v>1</v>
      </c>
      <c r="E3" s="17" t="inlineStr">
        <is>
          <t>Claude knowledge</t>
        </is>
      </c>
      <c r="F3" s="18" t="inlineStr">
        <is>
          <t>API (Application Programming Interface)</t>
        </is>
      </c>
      <c r="G3" s="18" t="inlineStr">
        <is>
          <t>What is the agreed doorway that lets one piece of software ask another for data or actions?</t>
        </is>
      </c>
      <c r="H3" s="18" t="inlineStr">
        <is>
          <t>Core concept</t>
        </is>
      </c>
      <c r="I3" s="18" t="inlineStr">
        <is>
          <t>Very high</t>
        </is>
      </c>
      <c r="J3" s="18" t="n">
        <v>5</v>
      </c>
      <c r="K3" s="18" t="inlineStr">
        <is>
          <t>Programs written by different teams needed a safe, documented way to talk to each other without sharing their inner code, so interfaces were defined.</t>
        </is>
      </c>
      <c r="L3" s="18" t="inlineStr">
        <is>
          <t>Think of every API as a contract: it lists what you can ask for and what you will get back.</t>
        </is>
      </c>
      <c r="M3" s="18" t="inlineStr">
        <is>
          <t>An API is the waiter in a restaurant who carries your order to the kitchen and brings the food back without you entering the kitchen.</t>
        </is>
      </c>
      <c r="N3" s="18" t="inlineStr">
        <is>
          <t>A waiter stands between a table of customers and a closed kitchen door, passing notes and plates.</t>
        </is>
      </c>
      <c r="O3" s="18" t="inlineStr">
        <is>
          <t>The relief of using powerful features without needing to understand how they work inside.</t>
        </is>
      </c>
      <c r="P3" s="18" t="inlineStr">
        <is>
          <t>An API is a set of rules that lets one program request data or actions from another program in a defined way.</t>
        </is>
      </c>
      <c r="Q3" s="17" t="n"/>
      <c r="R3" s="18" t="inlineStr">
        <is>
          <t>The provider decides which requests are allowed and in what format, and your program follows those rules. For example, a weather API accepts a city name and returns the temperature. You never see the provider's code or database, only the request and the response.</t>
        </is>
      </c>
      <c r="S3" s="18" t="inlineStr">
        <is>
          <t>An API is how two programs talk. You send a request in the agreed format, and the other program sends back an answer, while its inner workings stay hidden.</t>
        </is>
      </c>
      <c r="T3" s="18" t="inlineStr">
        <is>
          <t>It works like a waiter who takes your order to the kitchen and brings back the food.</t>
        </is>
      </c>
      <c r="U3" s="18" t="inlineStr">
        <is>
          <t>Request (in the agreed format) → API → Response (data or result)</t>
        </is>
      </c>
      <c r="V3" s="18" t="inlineStr">
        <is>
          <t>A weather app asks a weather API for today's temperature in a city.</t>
        </is>
      </c>
      <c r="W3" s="18" t="inlineStr">
        <is>
          <t>A shopping site asks a payment API to charge a card.</t>
        </is>
      </c>
      <c r="X3" s="18" t="inlineStr">
        <is>
          <t>A website asks a maps API to show a location on a map.</t>
        </is>
      </c>
      <c r="Y3" s="18" t="inlineStr">
        <is>
          <t>client, server, endpoint, REST</t>
        </is>
      </c>
      <c r="Z3" s="18" t="inlineStr">
        <is>
          <t>interface, contract, request, response, provider</t>
        </is>
      </c>
      <c r="AA3" s="18" t="inlineStr">
        <is>
          <t>Web and mobile apps | Payments and maps | Connecting company systems</t>
        </is>
      </c>
      <c r="AB3" s="18" t="inlineStr">
        <is>
          <t>A: How does our app get the weather data? | B: It calls the weather provider's API with a city name and receives the temperature back.</t>
        </is>
      </c>
      <c r="AC3" s="18" t="inlineStr">
        <is>
          <t>✗ An API gives you direct access to the other system's database → ✓ An API exposes only the specific requests the provider allows, and the database stays hidden behind it</t>
        </is>
      </c>
      <c r="AD3" s="18" t="inlineStr">
        <is>
          <t>API vs database: a database stores the data, an API is the controlled doorway for asking for it.</t>
        </is>
      </c>
      <c r="AE3" s="18" t="inlineStr">
        <is>
          <t>Do not assume an API will accept anything, always read its documentation first.</t>
        </is>
      </c>
      <c r="AF3" s="18" t="inlineStr">
        <is>
          <t>An API is the waiter between you and the kitchen.</t>
        </is>
      </c>
      <c r="AG3" s="18" t="inlineStr">
        <is>
          <t>Connecting a shop's website to a payment API so customers can pay by card.</t>
        </is>
      </c>
      <c r="AH3" s="18" t="inlineStr">
        <is>
          <t>An interviewer may ask: What is an API and why do we use one?</t>
        </is>
      </c>
      <c r="AI3" s="18" t="inlineStr">
        <is>
          <t>It is like ordering through a waiter instead of walking into the kitchen.</t>
        </is>
      </c>
      <c r="AJ3" s="18" t="inlineStr">
        <is>
          <t>What is the main purpose of an API?</t>
        </is>
      </c>
      <c r="AK3" s="18" t="inlineStr">
        <is>
          <t>A) To store files B) To design web pages C) To speed up the internet D) To let programs communicate in a defined way</t>
        </is>
      </c>
      <c r="AL3" s="18" t="inlineStr">
        <is>
          <t>D</t>
        </is>
      </c>
      <c r="AM3" s="18" t="inlineStr">
        <is>
          <t>An API defines how one program can request data or actions from another.</t>
        </is>
      </c>
      <c r="AN3" s="18" t="inlineStr">
        <is>
          <t>A program sends a ____ to an API and gets a response back → request</t>
        </is>
      </c>
      <c r="AO3" s="18" t="inlineStr">
        <is>
          <t>Which kind of rules must you follow when calling an API? → The provider's documented request format</t>
        </is>
      </c>
      <c r="AP3" s="18" t="inlineStr">
        <is>
          <t>Explain what an API is to a friend in three lines.</t>
        </is>
      </c>
      <c r="AQ3" s="18" t="inlineStr">
        <is>
          <t>List three apps on your phone and write which APIs they might call.</t>
        </is>
      </c>
      <c r="AR3" s="17">
        <f>IF(J3="","",REPT("★",J3)&amp;REPT("☆",5-J3)&amp;" ("&amp;J3&amp;"/5)")</f>
        <v/>
      </c>
      <c r="AS3" s="17">
        <f>IF(Q3="","","Meaning: "&amp;Q3&amp;"  =  ______   (Answer: "&amp;F3&amp;")")</f>
        <v/>
      </c>
      <c r="AT3" s="17" t="inlineStr">
        <is>
          <t>New</t>
        </is>
      </c>
      <c r="AU3" s="17" t="n"/>
      <c r="AV3" s="17" t="n"/>
      <c r="AW3" s="17" t="n"/>
      <c r="AX3" s="17" t="n"/>
      <c r="AY3" s="17" t="n"/>
      <c r="AZ3" s="17" t="n"/>
      <c r="BA3" s="17" t="n"/>
      <c r="BB3" s="17" t="n"/>
    </row>
    <row r="4" ht="81" customHeight="1">
      <c r="A4" s="17" t="inlineStr">
        <is>
          <t>API-002</t>
        </is>
      </c>
      <c r="B4" s="17" t="inlineStr">
        <is>
          <t>01 Basics</t>
        </is>
      </c>
      <c r="C4" s="17" t="inlineStr">
        <is>
          <t>Beginner</t>
        </is>
      </c>
      <c r="D4" s="17" t="n">
        <v>2</v>
      </c>
      <c r="E4" s="17" t="inlineStr">
        <is>
          <t>Claude knowledge</t>
        </is>
      </c>
      <c r="F4" s="18" t="inlineStr">
        <is>
          <t>Client and server</t>
        </is>
      </c>
      <c r="G4" s="18" t="inlineStr">
        <is>
          <t>In an API call, which side asks for something and which side answers?</t>
        </is>
      </c>
      <c r="H4" s="18" t="inlineStr">
        <is>
          <t>Core concept</t>
        </is>
      </c>
      <c r="I4" s="18" t="inlineStr">
        <is>
          <t>Very high</t>
        </is>
      </c>
      <c r="J4" s="18" t="n">
        <v>5</v>
      </c>
      <c r="K4" s="18" t="inlineStr">
        <is>
          <t>Networked software splits the work so one side focuses on asking and showing results, while the other side keeps the data and rules in one trusted place.</t>
        </is>
      </c>
      <c r="L4" s="18" t="inlineStr">
        <is>
          <t>When debugging, first decide whether the problem is in what the client sent or in what the server returned.</t>
        </is>
      </c>
      <c r="M4" s="18" t="inlineStr">
        <is>
          <t>The client is the customer placing an order and the server is the kitchen that prepares it.</t>
        </is>
      </c>
      <c r="N4" s="18" t="inlineStr">
        <is>
          <t>A phone on the left sends an arrow to a computer in a data centre on the right, and an arrow comes back.</t>
        </is>
      </c>
      <c r="O4" s="18" t="inlineStr">
        <is>
          <t>The clarity of knowing which side to inspect when something goes wrong.</t>
        </is>
      </c>
      <c r="P4" s="18" t="inlineStr">
        <is>
          <t>The client is the program that sends a request, and the server is the program that receives it and sends back a response.</t>
        </is>
      </c>
      <c r="Q4" s="17" t="n"/>
      <c r="R4" s="18" t="inlineStr">
        <is>
          <t>A browser, a mobile app or your own script can be the client. The server is a program running somewhere that listens for requests, applies its rules, and responds. The same program can be a client to one API and a server to another.</t>
        </is>
      </c>
      <c r="S4" s="18" t="inlineStr">
        <is>
          <t>The client asks, and the server answers. Your app is usually the client when it calls someone else's API.</t>
        </is>
      </c>
      <c r="T4" s="18" t="inlineStr">
        <is>
          <t>The client is the customer ordering food and the server is the kitchen preparing it.</t>
        </is>
      </c>
      <c r="U4" s="18" t="inlineStr">
        <is>
          <t>Client sends request → Server sends response</t>
        </is>
      </c>
      <c r="V4" s="18" t="inlineStr">
        <is>
          <t>A mobile app (client) asks a server for the list of products.</t>
        </is>
      </c>
      <c r="W4" s="18" t="inlineStr">
        <is>
          <t>A script (client) asks a weather server for tomorrow's forecast.</t>
        </is>
      </c>
      <c r="X4" s="18" t="inlineStr">
        <is>
          <t>A backend service is a server for the website and a client of a payment API.</t>
        </is>
      </c>
      <c r="Y4" s="18" t="inlineStr">
        <is>
          <t>API, request, response, HTTP</t>
        </is>
      </c>
      <c r="Z4" s="18" t="inlineStr">
        <is>
          <t>client, server, request, response, host</t>
        </is>
      </c>
      <c r="AA4" s="18" t="inlineStr">
        <is>
          <t>Every web and mobile app | Microservices | API debugging</t>
        </is>
      </c>
      <c r="AB4" s="18" t="inlineStr">
        <is>
          <t>A: The data is not showing in the app. | B: Check whether the client sent the request correctly or whether the server returned an error.</t>
        </is>
      </c>
      <c r="AC4" s="18" t="inlineStr">
        <is>
          <t>✗ A client must be a person using a browser → ✓ A client is any program that sends a request, including scripts and other servers</t>
        </is>
      </c>
      <c r="AD4" s="18" t="inlineStr">
        <is>
          <t>Client vs server: the client starts the request, the server listens and responds.</t>
        </is>
      </c>
      <c r="AE4" s="18" t="inlineStr">
        <is>
          <t>Do not trust anything that comes from the client without checking it on the server.</t>
        </is>
      </c>
      <c r="AF4" s="18" t="inlineStr">
        <is>
          <t>The client asks and the server answers.</t>
        </is>
      </c>
      <c r="AG4" s="18" t="inlineStr">
        <is>
          <t>Building a mobile app that acts as a client of the company's order server.</t>
        </is>
      </c>
      <c r="AH4" s="18" t="inlineStr">
        <is>
          <t>An interviewer may ask: What is the difference between a client and a server?</t>
        </is>
      </c>
      <c r="AI4" s="18" t="inlineStr">
        <is>
          <t>It is like a customer ordering and a kitchen cooking.</t>
        </is>
      </c>
      <c r="AJ4" s="18" t="inlineStr">
        <is>
          <t>Which side usually starts an API conversation?</t>
        </is>
      </c>
      <c r="AK4" s="18" t="inlineStr">
        <is>
          <t>A) The server B) The database C) The client D) The router</t>
        </is>
      </c>
      <c r="AL4" s="18" t="inlineStr">
        <is>
          <t>C</t>
        </is>
      </c>
      <c r="AM4" s="18" t="inlineStr">
        <is>
          <t>The client sends the first request, and the server responds.</t>
        </is>
      </c>
      <c r="AN4" s="18" t="inlineStr">
        <is>
          <t>The program that answers an API request is called the ____ → server</t>
        </is>
      </c>
      <c r="AO4" s="18" t="inlineStr">
        <is>
          <t>Your script calls a weather API. Which role does your script play? → The client</t>
        </is>
      </c>
      <c r="AP4" s="18" t="inlineStr">
        <is>
          <t>Explain the client and server roles in three lines.</t>
        </is>
      </c>
      <c r="AQ4" s="18" t="inlineStr">
        <is>
          <t>Write down the client and server in one app you use daily.</t>
        </is>
      </c>
      <c r="AR4" s="17">
        <f>IF(J4="","",REPT("★",J4)&amp;REPT("☆",5-J4)&amp;" ("&amp;J4&amp;"/5)")</f>
        <v/>
      </c>
      <c r="AS4" s="17">
        <f>IF(Q4="","","Meaning: "&amp;Q4&amp;"  =  ______   (Answer: "&amp;F4&amp;")")</f>
        <v/>
      </c>
      <c r="AT4" s="17" t="inlineStr">
        <is>
          <t>New</t>
        </is>
      </c>
      <c r="AU4" s="17" t="n"/>
      <c r="AV4" s="17" t="n"/>
      <c r="AW4" s="17" t="n"/>
      <c r="AX4" s="17" t="n"/>
      <c r="AY4" s="17" t="n"/>
      <c r="AZ4" s="17" t="n"/>
      <c r="BA4" s="17" t="n"/>
      <c r="BB4" s="17" t="n"/>
    </row>
    <row r="5" ht="94.5" customHeight="1">
      <c r="A5" s="17" t="inlineStr">
        <is>
          <t>API-003</t>
        </is>
      </c>
      <c r="B5" s="17" t="inlineStr">
        <is>
          <t>01 Basics</t>
        </is>
      </c>
      <c r="C5" s="17" t="inlineStr">
        <is>
          <t>Beginner</t>
        </is>
      </c>
      <c r="D5" s="17" t="n">
        <v>3</v>
      </c>
      <c r="E5" s="17" t="inlineStr">
        <is>
          <t>Claude knowledge</t>
        </is>
      </c>
      <c r="F5" s="18" t="inlineStr">
        <is>
          <t>Request and response cycle</t>
        </is>
      </c>
      <c r="G5" s="18" t="inlineStr">
        <is>
          <t>What are the steps from the moment a client sends a call to the moment it receives an answer?</t>
        </is>
      </c>
      <c r="H5" s="18" t="inlineStr">
        <is>
          <t>Core concept</t>
        </is>
      </c>
      <c r="I5" s="18" t="inlineStr">
        <is>
          <t>Very high</t>
        </is>
      </c>
      <c r="J5" s="18" t="n">
        <v>5</v>
      </c>
      <c r="K5" s="18" t="inlineStr">
        <is>
          <t>Web communication was designed as a simple conversation, so every call is a question followed by an answer, which makes it easy to reason about and debug.</t>
        </is>
      </c>
      <c r="L5" s="18" t="inlineStr">
        <is>
          <t>Always read both halves: look at what you sent and at what came back.</t>
        </is>
      </c>
      <c r="M5" s="18" t="inlineStr">
        <is>
          <t>It is like a letter and a reply, where the reply refers to the same letter.</t>
        </is>
      </c>
      <c r="N5" s="18" t="inlineStr">
        <is>
          <t>An arrow from client to server labelled request and a return arrow labelled response with a status.</t>
        </is>
      </c>
      <c r="O5" s="18" t="inlineStr">
        <is>
          <t>The calm of seeing a clear question and answer instead of a mystery.</t>
        </is>
      </c>
      <c r="P5" s="18" t="inlineStr">
        <is>
          <t>The request and response cycle is the exchange in which a client sends a request and the server returns one response.</t>
        </is>
      </c>
      <c r="Q5" s="17" t="n"/>
      <c r="R5" s="18" t="inlineStr">
        <is>
          <t>A request has a method, a URL, headers and sometimes a body. The server processes it and returns a response with a status code, headers and usually a body. Each pair is independent, and the server does not remember earlier requests unless you send identifying information again.</t>
        </is>
      </c>
      <c r="S5" s="18" t="inlineStr">
        <is>
          <t>You send a request with what you want, and the server replies with a status and, usually, data. Then the conversation for that call is over.</t>
        </is>
      </c>
      <c r="T5" s="18" t="inlineStr">
        <is>
          <t>It is like sending a letter and getting one reply that refers to it.</t>
        </is>
      </c>
      <c r="U5" s="18" t="inlineStr">
        <is>
          <t>Request = method + URL + headers + body. Response = status + headers + body.</t>
        </is>
      </c>
      <c r="V5" s="18" t="inlineStr">
        <is>
          <t>A GET request for a user, answered with status 200 and the user's data.</t>
        </is>
      </c>
      <c r="W5" s="18" t="inlineStr">
        <is>
          <t>A POST request that creates an order, answered with status 201.</t>
        </is>
      </c>
      <c r="X5" s="18" t="inlineStr">
        <is>
          <t>A request with a wrong URL, answered with status 404.</t>
        </is>
      </c>
      <c r="Y5" s="18" t="inlineStr">
        <is>
          <t>HTTP methods, status codes, headers, body</t>
        </is>
      </c>
      <c r="Z5" s="18" t="inlineStr">
        <is>
          <t>request, response, status, header, body</t>
        </is>
      </c>
      <c r="AA5" s="18" t="inlineStr">
        <is>
          <t>Every API call | Debugging | Reading API documentation</t>
        </is>
      </c>
      <c r="AB5" s="18" t="inlineStr">
        <is>
          <t>A: What happens when I call the API? | B: You send a request, the server processes it, and returns a response with a status and data.</t>
        </is>
      </c>
      <c r="AC5" s="18" t="inlineStr">
        <is>
          <t>✗ The server remembers my previous requests automatically → ✓ Each HTTP request is independent, and the client must send identity such as a token each time</t>
        </is>
      </c>
      <c r="AD5" s="18" t="inlineStr">
        <is>
          <t>Request vs response: the request asks, the response answers with a status.</t>
        </is>
      </c>
      <c r="AE5" s="18" t="inlineStr">
        <is>
          <t>Do not ignore the status code and read only the body.</t>
        </is>
      </c>
      <c r="AF5" s="18" t="inlineStr">
        <is>
          <t>One request earns one response.</t>
        </is>
      </c>
      <c r="AG5" s="18" t="inlineStr">
        <is>
          <t>Logging both the request and the response to find why a call failed.</t>
        </is>
      </c>
      <c r="AH5" s="18" t="inlineStr">
        <is>
          <t>An interviewer may ask: What does an HTTP request contain?</t>
        </is>
      </c>
      <c r="AI5" s="18" t="inlineStr">
        <is>
          <t>It is like a letter and its reply.</t>
        </is>
      </c>
      <c r="AJ5" s="18" t="inlineStr">
        <is>
          <t>What does a response always include?</t>
        </is>
      </c>
      <c r="AK5" s="18" t="inlineStr">
        <is>
          <t>A) A password B) A status code C) A cookie banner D) A database</t>
        </is>
      </c>
      <c r="AL5" s="18" t="inlineStr">
        <is>
          <t>B</t>
        </is>
      </c>
      <c r="AM5" s="18" t="inlineStr">
        <is>
          <t>Every HTTP response carries a status code.</t>
        </is>
      </c>
      <c r="AN5" s="18" t="inlineStr">
        <is>
          <t>A request has a method, a URL, headers and sometimes a ____ → body</t>
        </is>
      </c>
      <c r="AO5" s="18" t="inlineStr">
        <is>
          <t>A call returns 404. Which half of the cycle tells you this? → The response status</t>
        </is>
      </c>
      <c r="AP5" s="18" t="inlineStr">
        <is>
          <t>Explain the request and response cycle in three lines.</t>
        </is>
      </c>
      <c r="AQ5" s="18" t="inlineStr">
        <is>
          <t>Pick one API call and write what its request and response contain.</t>
        </is>
      </c>
      <c r="AR5" s="17">
        <f>IF(J5="","",REPT("★",J5)&amp;REPT("☆",5-J5)&amp;" ("&amp;J5&amp;"/5)")</f>
        <v/>
      </c>
      <c r="AS5" s="17">
        <f>IF(Q5="","","Meaning: "&amp;Q5&amp;"  =  ______   (Answer: "&amp;F5&amp;")")</f>
        <v/>
      </c>
      <c r="AT5" s="17" t="inlineStr">
        <is>
          <t>New</t>
        </is>
      </c>
      <c r="AU5" s="17" t="n"/>
      <c r="AV5" s="17" t="n"/>
      <c r="AW5" s="17" t="n"/>
      <c r="AX5" s="17" t="n"/>
      <c r="AY5" s="17" t="n"/>
      <c r="AZ5" s="17" t="n"/>
      <c r="BA5" s="17" t="n"/>
      <c r="BB5" s="17" t="n"/>
    </row>
    <row r="6" ht="94.5" customHeight="1">
      <c r="A6" s="17" t="inlineStr">
        <is>
          <t>API-004</t>
        </is>
      </c>
      <c r="B6" s="17" t="inlineStr">
        <is>
          <t>01 Basics</t>
        </is>
      </c>
      <c r="C6" s="17" t="inlineStr">
        <is>
          <t>Beginner</t>
        </is>
      </c>
      <c r="D6" s="17" t="n">
        <v>4</v>
      </c>
      <c r="E6" s="17" t="inlineStr">
        <is>
          <t>Claude knowledge</t>
        </is>
      </c>
      <c r="F6" s="18" t="inlineStr">
        <is>
          <t>REST</t>
        </is>
      </c>
      <c r="G6" s="18" t="inlineStr">
        <is>
          <t>Which popular style of web API treats data as resources with URLs and uses standard HTTP methods on them?</t>
        </is>
      </c>
      <c r="H6" s="18" t="inlineStr">
        <is>
          <t>API style</t>
        </is>
      </c>
      <c r="I6" s="18" t="inlineStr">
        <is>
          <t>Very high</t>
        </is>
      </c>
      <c r="J6" s="18" t="n">
        <v>5</v>
      </c>
      <c r="K6" s="18" t="inlineStr">
        <is>
          <t>REST was described in Roy Fielding's doctoral work in 2000 as a way to build scalable web services on top of the web's existing HTTP rules.</t>
        </is>
      </c>
      <c r="L6" s="18" t="inlineStr">
        <is>
          <t>In REST, name URLs with nouns like /users and let the HTTP method be the verb.</t>
        </is>
      </c>
      <c r="M6" s="18" t="inlineStr">
        <is>
          <t>REST is a library where every book has an address and the librarian understands the words get, add, change and remove.</t>
        </is>
      </c>
      <c r="N6" s="18" t="inlineStr">
        <is>
          <t>A set of URLs such as /users and /users/42 each with arrows labelled GET, POST and DELETE.</t>
        </is>
      </c>
      <c r="O6" s="18" t="inlineStr">
        <is>
          <t>The comfort of a predictable pattern for every resource.</t>
        </is>
      </c>
      <c r="P6" s="18" t="inlineStr">
        <is>
          <t>REST is an API style where resources are identified by URLs and manipulated with standard HTTP methods, with each request being stateless.</t>
        </is>
      </c>
      <c r="Q6" s="17" t="n"/>
      <c r="R6" s="18" t="inlineStr">
        <is>
          <t>A REST API groups data into resources such as users or orders, gives each a URL, and uses GET, POST, PUT, PATCH and DELETE to read, create, replace, update and remove. Each request carries all information needed, so the server keeps no session between calls. Responses are commonly JSON.</t>
        </is>
      </c>
      <c r="S6" s="18" t="inlineStr">
        <is>
          <t>In REST, think of resources and actions. GET /users lists users and POST /users creates one, and every call is independent.</t>
        </is>
      </c>
      <c r="T6" s="18" t="inlineStr">
        <is>
          <t>It is like a library where each book has an address and the librarian understands get, add, change and remove.</t>
        </is>
      </c>
      <c r="U6" s="18" t="inlineStr">
        <is>
          <t>Resource (URL) + HTTP method (action) = one clear operation</t>
        </is>
      </c>
      <c r="V6" s="18" t="inlineStr">
        <is>
          <t>GET /users returns a list of users.</t>
        </is>
      </c>
      <c r="W6" s="18" t="inlineStr">
        <is>
          <t>POST /users creates a new user.</t>
        </is>
      </c>
      <c r="X6" s="18" t="inlineStr">
        <is>
          <t>DELETE /users/42 removes the user with id 42.</t>
        </is>
      </c>
      <c r="Y6" s="18" t="inlineStr">
        <is>
          <t>HTTP methods, endpoint, JSON, stateless</t>
        </is>
      </c>
      <c r="Z6" s="18" t="inlineStr">
        <is>
          <t>resource, endpoint, stateless, CRUD, URL</t>
        </is>
      </c>
      <c r="AA6" s="18" t="inlineStr">
        <is>
          <t>Most web APIs | Mobile backends | Public developer platforms</t>
        </is>
      </c>
      <c r="AB6" s="18" t="inlineStr">
        <is>
          <t>A: How should I name my endpoint to list orders? | B: Use a noun, GET /orders, and let the method say what to do.</t>
        </is>
      </c>
      <c r="AC6" s="18" t="inlineStr">
        <is>
          <t>✗ Any API that uses HTTP is a REST API → ✓ REST is a specific style with resources, standard methods and stateless requests, and many APIs only partly follow it</t>
        </is>
      </c>
      <c r="AD6" s="18" t="inlineStr">
        <is>
          <t>REST vs RPC style: REST models resources with URLs, RPC style calls named actions such as /getUser.</t>
        </is>
      </c>
      <c r="AE6" s="18" t="inlineStr">
        <is>
          <t>Do not put verbs in URLs, such as /createUser, when a method can express it.</t>
        </is>
      </c>
      <c r="AF6" s="18" t="inlineStr">
        <is>
          <t>REST means resources plus standard methods.</t>
        </is>
      </c>
      <c r="AG6" s="18" t="inlineStr">
        <is>
          <t>Designing a REST API with /products and /orders for an online shop.</t>
        </is>
      </c>
      <c r="AH6" s="18" t="inlineStr">
        <is>
          <t>An interviewer may ask: What makes an API RESTful?</t>
        </is>
      </c>
      <c r="AI6" s="18" t="inlineStr">
        <is>
          <t>It is like a library where every book has an address and a clear set of actions.</t>
        </is>
      </c>
      <c r="AJ6" s="18" t="inlineStr">
        <is>
          <t>In REST, which part of a request usually names the resource?</t>
        </is>
      </c>
      <c r="AK6" s="18" t="inlineStr">
        <is>
          <t>A) The URL B) The response C) The status code D) The cookie</t>
        </is>
      </c>
      <c r="AL6" s="18" t="inlineStr">
        <is>
          <t>A</t>
        </is>
      </c>
      <c r="AM6" s="18" t="inlineStr">
        <is>
          <t>The URL identifies the resource, and the method gives the action.</t>
        </is>
      </c>
      <c r="AN6" s="18" t="inlineStr">
        <is>
          <t>In REST, DELETE /users/42 removes the ____ with id 42 → user</t>
        </is>
      </c>
      <c r="AO6" s="18" t="inlineStr">
        <is>
          <t>How would you create a new product in a REST API? → Send POST to the products endpoint</t>
        </is>
      </c>
      <c r="AP6" s="18" t="inlineStr">
        <is>
          <t>Explain REST in three lines.</t>
        </is>
      </c>
      <c r="AQ6" s="18" t="inlineStr">
        <is>
          <t>Design three REST URLs and methods for a library app.</t>
        </is>
      </c>
      <c r="AR6" s="17">
        <f>IF(J6="","",REPT("★",J6)&amp;REPT("☆",5-J6)&amp;" ("&amp;J6&amp;"/5)")</f>
        <v/>
      </c>
      <c r="AS6" s="17">
        <f>IF(Q6="","","Meaning: "&amp;Q6&amp;"  =  ______   (Answer: "&amp;F6&amp;")")</f>
        <v/>
      </c>
      <c r="AT6" s="17" t="inlineStr">
        <is>
          <t>New</t>
        </is>
      </c>
      <c r="AU6" s="17" t="n"/>
      <c r="AV6" s="17" t="n"/>
      <c r="AW6" s="17" t="n"/>
      <c r="AX6" s="17" t="n"/>
      <c r="AY6" s="17" t="n"/>
      <c r="AZ6" s="17" t="n"/>
      <c r="BA6" s="17" t="n"/>
      <c r="BB6" s="17" t="n"/>
    </row>
    <row r="7" ht="81" customHeight="1">
      <c r="A7" s="17" t="inlineStr">
        <is>
          <t>API-005</t>
        </is>
      </c>
      <c r="B7" s="17" t="inlineStr">
        <is>
          <t>01 Basics</t>
        </is>
      </c>
      <c r="C7" s="17" t="inlineStr">
        <is>
          <t>Beginner</t>
        </is>
      </c>
      <c r="D7" s="17" t="n">
        <v>5</v>
      </c>
      <c r="E7" s="17" t="inlineStr">
        <is>
          <t>Claude knowledge</t>
        </is>
      </c>
      <c r="F7" s="18" t="inlineStr">
        <is>
          <t>Endpoint and base URL</t>
        </is>
      </c>
      <c r="G7" s="18" t="inlineStr">
        <is>
          <t>Which address do you call to reach one specific function of an API, and which shared part comes before it?</t>
        </is>
      </c>
      <c r="H7" s="18" t="inlineStr">
        <is>
          <t>Core concept</t>
        </is>
      </c>
      <c r="I7" s="18" t="inlineStr">
        <is>
          <t>Very high</t>
        </is>
      </c>
      <c r="J7" s="18" t="n">
        <v>5</v>
      </c>
      <c r="K7" s="18" t="inlineStr">
        <is>
          <t>A service offers many functions, so each one needs its own address under a common root, which is how endpoints and a base URL came about.</t>
        </is>
      </c>
      <c r="L7" s="18" t="inlineStr">
        <is>
          <t>Store the base URL in one place so switching between test and live servers is a single change.</t>
        </is>
      </c>
      <c r="M7" s="18" t="inlineStr">
        <is>
          <t>The base URL is the street name and each endpoint is a house number on that street.</t>
        </is>
      </c>
      <c r="N7" s="18" t="inlineStr">
        <is>
          <t>A long URL split into a base part and a path part, with the path highlighted.</t>
        </is>
      </c>
      <c r="O7" s="18" t="inlineStr">
        <is>
          <t>The satisfaction of finding exactly the right address for your request.</t>
        </is>
      </c>
      <c r="P7" s="18" t="inlineStr">
        <is>
          <t>A base URL is the common starting address of an API, and an endpoint is a specific path under it that performs one function.</t>
        </is>
      </c>
      <c r="Q7" s="17" t="n"/>
      <c r="R7" s="18" t="inlineStr">
        <is>
          <t>If the base URL is https://api.example.com/v1, then the endpoint /users gives https://api.example.com/v1/users. The method you use on the endpoint decides the action. Different environments, such as sandbox and production, usually have different base URLs.</t>
        </is>
      </c>
      <c r="S7" s="18" t="inlineStr">
        <is>
          <t>The base URL is the shared start of every address. An endpoint is the rest, pointing to one thing like users or orders.</t>
        </is>
      </c>
      <c r="T7" s="18" t="inlineStr">
        <is>
          <t>It is like a street name and the house numbers on it.</t>
        </is>
      </c>
      <c r="U7" s="18" t="inlineStr">
        <is>
          <t>Full URL = base URL + endpoint path (+ query)</t>
        </is>
      </c>
      <c r="V7" s="18" t="inlineStr">
        <is>
          <t>Base https://api.example.com/v1 plus /users gives the users endpoint.</t>
        </is>
      </c>
      <c r="W7" s="18" t="inlineStr">
        <is>
          <t>The same base with /orders/17 points to one order.</t>
        </is>
      </c>
      <c r="X7" s="18" t="inlineStr">
        <is>
          <t>A sandbox base URL used for testing and a production one for live use.</t>
        </is>
      </c>
      <c r="Y7" s="18" t="inlineStr">
        <is>
          <t>REST, URL parts, versioning, environment</t>
        </is>
      </c>
      <c r="Z7" s="18" t="inlineStr">
        <is>
          <t>base URL, endpoint, path, route, environment</t>
        </is>
      </c>
      <c r="AA7" s="18" t="inlineStr">
        <is>
          <t>Every API call | Configuration | Switching test and live</t>
        </is>
      </c>
      <c r="AB7" s="18" t="inlineStr">
        <is>
          <t>A: Where do I send the request to list orders? | B: To the orders endpoint under the base URL from the docs.</t>
        </is>
      </c>
      <c r="AC7" s="18" t="inlineStr">
        <is>
          <t>✗ An endpoint is the whole server → ✓ An endpoint is one specific address, and a server usually offers many</t>
        </is>
      </c>
      <c r="AD7" s="18" t="inlineStr">
        <is>
          <t>Base URL vs endpoint: the base URL is common to all calls, the endpoint is specific to one function.</t>
        </is>
      </c>
      <c r="AE7" s="18" t="inlineStr">
        <is>
          <t>Do not hard-code the base URL in many places.</t>
        </is>
      </c>
      <c r="AF7" s="18" t="inlineStr">
        <is>
          <t>Base is the street, endpoint is the house.</t>
        </is>
      </c>
      <c r="AG7" s="18" t="inlineStr">
        <is>
          <t>Putting the base URL in a configuration file so the app can switch to the production server.</t>
        </is>
      </c>
      <c r="AH7" s="18" t="inlineStr">
        <is>
          <t>An interviewer may ask: What is the difference between a base URL and an endpoint?</t>
        </is>
      </c>
      <c r="AI7" s="18" t="inlineStr">
        <is>
          <t>It is like a street name and the house numbers on it.</t>
        </is>
      </c>
      <c r="AJ7" s="18" t="inlineStr">
        <is>
          <t>Which is an endpoint under the base https://api.example.com/v1?</t>
        </is>
      </c>
      <c r="AK7" s="18" t="inlineStr">
        <is>
          <t>A) JSON B) https://api.example.com C) HTTP D) /users</t>
        </is>
      </c>
      <c r="AL7" s="18" t="inlineStr">
        <is>
          <t>D</t>
        </is>
      </c>
      <c r="AM7" s="18" t="inlineStr">
        <is>
          <t>An endpoint is a path such as /users that sits under the base URL.</t>
        </is>
      </c>
      <c r="AN7" s="18" t="inlineStr">
        <is>
          <t>The full address is the base URL plus the endpoint ____ → path</t>
        </is>
      </c>
      <c r="AO7" s="18" t="inlineStr">
        <is>
          <t>How do you make switching between test and live easy? → Keep the base URL in one configuration value</t>
        </is>
      </c>
      <c r="AP7" s="18" t="inlineStr">
        <is>
          <t>Explain base URL and endpoint in three lines.</t>
        </is>
      </c>
      <c r="AQ7" s="18" t="inlineStr">
        <is>
          <t>Write the full URL for a users endpoint on a sample base URL.</t>
        </is>
      </c>
      <c r="AR7" s="17">
        <f>IF(J7="","",REPT("★",J7)&amp;REPT("☆",5-J7)&amp;" ("&amp;J7&amp;"/5)")</f>
        <v/>
      </c>
      <c r="AS7" s="17">
        <f>IF(Q7="","","Meaning: "&amp;Q7&amp;"  =  ______   (Answer: "&amp;F7&amp;")")</f>
        <v/>
      </c>
      <c r="AT7" s="17" t="inlineStr">
        <is>
          <t>New</t>
        </is>
      </c>
      <c r="AU7" s="17" t="n"/>
      <c r="AV7" s="17" t="n"/>
      <c r="AW7" s="17" t="n"/>
      <c r="AX7" s="17" t="n"/>
      <c r="AY7" s="17" t="n"/>
      <c r="AZ7" s="17" t="n"/>
      <c r="BA7" s="17" t="n"/>
      <c r="BB7" s="17" t="n"/>
    </row>
    <row r="8" ht="94.5" customHeight="1">
      <c r="A8" s="17" t="inlineStr">
        <is>
          <t>API-006</t>
        </is>
      </c>
      <c r="B8" s="17" t="inlineStr">
        <is>
          <t>01 Basics</t>
        </is>
      </c>
      <c r="C8" s="17" t="inlineStr">
        <is>
          <t>Intermediate</t>
        </is>
      </c>
      <c r="D8" s="17" t="n">
        <v>6</v>
      </c>
      <c r="E8" s="17" t="inlineStr">
        <is>
          <t>Claude knowledge</t>
        </is>
      </c>
      <c r="F8" s="18" t="inlineStr">
        <is>
          <t>API vs SDK vs webhook</t>
        </is>
      </c>
      <c r="G8" s="18" t="inlineStr">
        <is>
          <t>Which three things differ as the doorway, the ready-made toolkit that wraps it, and the call that arrives by itself?</t>
        </is>
      </c>
      <c r="H8" s="18" t="inlineStr">
        <is>
          <t>Core concept</t>
        </is>
      </c>
      <c r="I8" s="18" t="inlineStr">
        <is>
          <t>High</t>
        </is>
      </c>
      <c r="J8" s="18" t="n">
        <v>4</v>
      </c>
      <c r="K8" s="18" t="inlineStr">
        <is>
          <t>Calling an API by hand is repetitive and some events need pushing to you, so providers also offer libraries and event notifications.</t>
        </is>
      </c>
      <c r="L8" s="18" t="inlineStr">
        <is>
          <t>Use the provider's SDK when it exists, and fall back to raw API calls when you need full control.</t>
        </is>
      </c>
      <c r="M8" s="18" t="inlineStr">
        <is>
          <t>The API is the door, the SDK is a handy key set, and the webhook is a doorbell that rings when something happens.</t>
        </is>
      </c>
      <c r="N8" s="18" t="inlineStr">
        <is>
          <t>A door, a key ring beside it, and a bell connected to a message.</t>
        </is>
      </c>
      <c r="O8" s="18" t="inlineStr">
        <is>
          <t>The ease of choosing the right tool for the job.</t>
        </is>
      </c>
      <c r="P8" s="18" t="inlineStr">
        <is>
          <t>An API is the interface you call, an SDK is a library that wraps the API in your language, and a webhook is a call the provider makes to your URL when an event happens.</t>
        </is>
      </c>
      <c r="Q8" s="17" t="n"/>
      <c r="R8" s="18" t="inlineStr">
        <is>
          <t>With an API you send requests yourself. An SDK gives ready-made functions that build requests and parse responses for you. A webhook flips the direction: the provider sends an HTTP request to an address you give it when something occurs, such as a payment completing.</t>
        </is>
      </c>
      <c r="S8" s="18" t="inlineStr">
        <is>
          <t>The API is the door, the SDK is a toolkit that opens it for you, and a webhook is the provider knocking on your door when something happens.</t>
        </is>
      </c>
      <c r="T8" s="18" t="inlineStr">
        <is>
          <t>The API is a door, the SDK is a handy key set, and the webhook is a doorbell that rings by itself.</t>
        </is>
      </c>
      <c r="U8" s="18" t="inlineStr">
        <is>
          <t>API = you call them. SDK = library that calls for you. Webhook = they call you.</t>
        </is>
      </c>
      <c r="V8" s="18" t="inlineStr">
        <is>
          <t>Calling a payments API with plain HTTP requests.</t>
        </is>
      </c>
      <c r="W8" s="18" t="inlineStr">
        <is>
          <t>Using the payments provider's JavaScript SDK to create a charge.</t>
        </is>
      </c>
      <c r="X8" s="18" t="inlineStr">
        <is>
          <t>Receiving a webhook when a payment succeeds.</t>
        </is>
      </c>
      <c r="Y8" s="18" t="inlineStr">
        <is>
          <t>REST, webhook, library, polling</t>
        </is>
      </c>
      <c r="Z8" s="18" t="inlineStr">
        <is>
          <t>API, SDK, webhook, library, callback</t>
        </is>
      </c>
      <c r="AA8" s="18" t="inlineStr">
        <is>
          <t>Payments | Messaging | Integrations with third-party services</t>
        </is>
      </c>
      <c r="AB8" s="18" t="inlineStr">
        <is>
          <t>A: Do I need the SDK to use this service? | B: No, you can call the API directly, but the SDK saves time.</t>
        </is>
      </c>
      <c r="AC8" s="18" t="inlineStr">
        <is>
          <t>✗ A webhook is the same as an API call you make → ✓ A webhook is a request the provider sends to you when an event occurs</t>
        </is>
      </c>
      <c r="AD8" s="18" t="inlineStr">
        <is>
          <t>API vs webhook: with an API you ask, with a webhook you are told.</t>
        </is>
      </c>
      <c r="AE8" s="18" t="inlineStr">
        <is>
          <t>Do not use an outdated SDK without checking its version.</t>
        </is>
      </c>
      <c r="AF8" s="18" t="inlineStr">
        <is>
          <t>API you call, webhook calls you.</t>
        </is>
      </c>
      <c r="AG8" s="18" t="inlineStr">
        <is>
          <t>Using an SDK to send emails and a webhook to track delivery events.</t>
        </is>
      </c>
      <c r="AH8" s="18" t="inlineStr">
        <is>
          <t>An interviewer may ask: What is the difference between polling an API and using a webhook?</t>
        </is>
      </c>
      <c r="AI8" s="18" t="inlineStr">
        <is>
          <t>It is like knocking on a door versus having the doorbell ring.</t>
        </is>
      </c>
      <c r="AJ8" s="18" t="inlineStr">
        <is>
          <t>Which of these is called by the provider when an event happens?</t>
        </is>
      </c>
      <c r="AK8" s="18" t="inlineStr">
        <is>
          <t>A) API B) SDK C) Webhook D) Endpoint</t>
        </is>
      </c>
      <c r="AL8" s="18" t="inlineStr">
        <is>
          <t>C</t>
        </is>
      </c>
      <c r="AM8" s="18" t="inlineStr">
        <is>
          <t>A webhook is the provider calling your URL.</t>
        </is>
      </c>
      <c r="AN8" s="18" t="inlineStr">
        <is>
          <t>A library that wraps an API in your language is called an ____ → SDK</t>
        </is>
      </c>
      <c r="AO8" s="18" t="inlineStr">
        <is>
          <t>How do you get told when a payment completes? → Use a webhook</t>
        </is>
      </c>
      <c r="AP8" s="18" t="inlineStr">
        <is>
          <t>Explain API, SDK and webhook in three lines.</t>
        </is>
      </c>
      <c r="AQ8" s="18" t="inlineStr">
        <is>
          <t>Write which of the three you would use for sending an email and for knowing it was delivered.</t>
        </is>
      </c>
      <c r="AR8" s="17">
        <f>IF(J8="","",REPT("★",J8)&amp;REPT("☆",5-J8)&amp;" ("&amp;J8&amp;"/5)")</f>
        <v/>
      </c>
      <c r="AS8" s="17">
        <f>IF(Q8="","","Meaning: "&amp;Q8&amp;"  =  ______   (Answer: "&amp;F8&amp;")")</f>
        <v/>
      </c>
      <c r="AT8" s="17" t="inlineStr">
        <is>
          <t>New</t>
        </is>
      </c>
      <c r="AU8" s="17" t="n"/>
      <c r="AV8" s="17" t="n"/>
      <c r="AW8" s="17" t="n"/>
      <c r="AX8" s="17" t="n"/>
      <c r="AY8" s="17" t="n"/>
      <c r="AZ8" s="17" t="n"/>
      <c r="BA8" s="17" t="n"/>
      <c r="BB8" s="17" t="n"/>
    </row>
    <row r="9" ht="94.5" customHeight="1">
      <c r="A9" s="17" t="inlineStr">
        <is>
          <t>API-007</t>
        </is>
      </c>
      <c r="B9" s="17" t="inlineStr">
        <is>
          <t>01 Basics</t>
        </is>
      </c>
      <c r="C9" s="17" t="inlineStr">
        <is>
          <t>Beginner</t>
        </is>
      </c>
      <c r="D9" s="17" t="n">
        <v>7</v>
      </c>
      <c r="E9" s="17" t="inlineStr">
        <is>
          <t>Claude knowledge</t>
        </is>
      </c>
      <c r="F9" s="18" t="inlineStr">
        <is>
          <t>Public, private and partner APIs</t>
        </is>
      </c>
      <c r="G9" s="18" t="inlineStr">
        <is>
          <t>Which three audiences decide how open an API is, from anyone on the internet to only a company's own teams?</t>
        </is>
      </c>
      <c r="H9" s="18" t="inlineStr">
        <is>
          <t>API types</t>
        </is>
      </c>
      <c r="I9" s="18" t="inlineStr">
        <is>
          <t>Medium</t>
        </is>
      </c>
      <c r="J9" s="18" t="n">
        <v>3</v>
      </c>
      <c r="K9" s="18" t="inlineStr">
        <is>
          <t>Not every API should be open to the world, so providers choose who may use it depending on their business and security needs.</t>
        </is>
      </c>
      <c r="L9" s="18" t="inlineStr">
        <is>
          <t>Check the access level early, since partner and private APIs need agreements and credentials.</t>
        </is>
      </c>
      <c r="M9" s="18" t="inlineStr">
        <is>
          <t>A public API is a shop open to everyone, a partner API is a members-only club, and a private API is the staff room.</t>
        </is>
      </c>
      <c r="N9" s="18" t="inlineStr">
        <is>
          <t>Three doors: one wide open, one with a guest list, and one marked staff only.</t>
        </is>
      </c>
      <c r="O9" s="18" t="inlineStr">
        <is>
          <t>The clarity of knowing whether you are even allowed to call an API.</t>
        </is>
      </c>
      <c r="P9" s="18" t="inlineStr">
        <is>
          <t>A public API is open to any developer, a partner API is shared with selected business partners, and a private API is used only inside one organisation.</t>
        </is>
      </c>
      <c r="Q9" s="17" t="n"/>
      <c r="R9" s="18" t="inlineStr">
        <is>
          <t>Public APIs usually require signing up for a key and follow published terms. Partner APIs need an agreement and credentials. Private or internal APIs connect a company's own systems and are not exposed outside. The access level affects documentation, support and stability promises.</t>
        </is>
      </c>
      <c r="S9" s="18" t="inlineStr">
        <is>
          <t>Public means anyone can sign up and use it. Partner means invited businesses only. Private means just your own company's systems.</t>
        </is>
      </c>
      <c r="T9" s="18" t="inlineStr">
        <is>
          <t>It is like a public shop, a members-only club and a staff room.</t>
        </is>
      </c>
      <c r="U9" s="18" t="inlineStr">
        <is>
          <t>Public = anyone with an account. Partner = invited. Private = internal only.</t>
        </is>
      </c>
      <c r="V9" s="18" t="inlineStr">
        <is>
          <t>A public weather API that anyone can use with a free key.</t>
        </is>
      </c>
      <c r="W9" s="18" t="inlineStr">
        <is>
          <t>A partner API shared with an airline's travel agents.</t>
        </is>
      </c>
      <c r="X9" s="18" t="inlineStr">
        <is>
          <t>A private API between a company's billing and orders systems.</t>
        </is>
      </c>
      <c r="Y9" s="18" t="inlineStr">
        <is>
          <t>API key, authentication, rate limiting, documentation</t>
        </is>
      </c>
      <c r="Z9" s="18" t="inlineStr">
        <is>
          <t>public, partner, private, internal, open API</t>
        </is>
      </c>
      <c r="AA9" s="18" t="inlineStr">
        <is>
          <t>Choosing which API to use | Planning integrations | Security design</t>
        </is>
      </c>
      <c r="AB9" s="18" t="inlineStr">
        <is>
          <t>A: Can I use this company's API? | B: Check whether it is public, or whether you need partner access.</t>
        </is>
      </c>
      <c r="AC9" s="18" t="inlineStr">
        <is>
          <t>✗ A public API means no authentication is needed → ✓ Public APIs usually still need an API key or token so the provider can identify and limit users</t>
        </is>
      </c>
      <c r="AD9" s="18" t="inlineStr">
        <is>
          <t>Public vs private API: public is open to outside developers, private is for internal systems only.</t>
        </is>
      </c>
      <c r="AE9" s="18" t="inlineStr">
        <is>
          <t>Do not expose a private API to the internet without strong security.</t>
        </is>
      </c>
      <c r="AF9" s="18" t="inlineStr">
        <is>
          <t>Public for all, partner for a few, private for us.</t>
        </is>
      </c>
      <c r="AG9" s="18" t="inlineStr">
        <is>
          <t>Using a partner API to get shipping rates from a courier company.</t>
        </is>
      </c>
      <c r="AH9" s="18" t="inlineStr">
        <is>
          <t>An interviewer may ask: What are the types of APIs by access level?</t>
        </is>
      </c>
      <c r="AI9" s="18" t="inlineStr">
        <is>
          <t>It is like a public shop, a members club and a staff room.</t>
        </is>
      </c>
      <c r="AJ9" s="18" t="inlineStr">
        <is>
          <t>Which API is used only inside one organisation?</t>
        </is>
      </c>
      <c r="AK9" s="18" t="inlineStr">
        <is>
          <t>A) Open B) Private C) Public D) Partner</t>
        </is>
      </c>
      <c r="AL9" s="18" t="inlineStr">
        <is>
          <t>B</t>
        </is>
      </c>
      <c r="AM9" s="18" t="inlineStr">
        <is>
          <t>A private or internal API is not available outside the company.</t>
        </is>
      </c>
      <c r="AN9" s="18" t="inlineStr">
        <is>
          <t>An API shared only with chosen business partners is a ____ API → partner</t>
        </is>
      </c>
      <c r="AO9" s="18" t="inlineStr">
        <is>
          <t>You need data from a company's internal system. Which API type is it likely to be? → A private API</t>
        </is>
      </c>
      <c r="AP9" s="18" t="inlineStr">
        <is>
          <t>Explain the three API access levels in three lines.</t>
        </is>
      </c>
      <c r="AQ9" s="18" t="inlineStr">
        <is>
          <t>List one example of each API type from apps you know.</t>
        </is>
      </c>
      <c r="AR9" s="17">
        <f>IF(J9="","",REPT("★",J9)&amp;REPT("☆",5-J9)&amp;" ("&amp;J9&amp;"/5)")</f>
        <v/>
      </c>
      <c r="AS9" s="17">
        <f>IF(Q9="","","Meaning: "&amp;Q9&amp;"  =  ______   (Answer: "&amp;F9&amp;")")</f>
        <v/>
      </c>
      <c r="AT9" s="17" t="inlineStr">
        <is>
          <t>New</t>
        </is>
      </c>
      <c r="AU9" s="17" t="n"/>
      <c r="AV9" s="17" t="n"/>
      <c r="AW9" s="17" t="n"/>
      <c r="AX9" s="17" t="n"/>
      <c r="AY9" s="17" t="n"/>
      <c r="AZ9" s="17" t="n"/>
      <c r="BA9" s="17" t="n"/>
      <c r="BB9" s="17" t="n"/>
    </row>
    <row r="10" ht="94.5" customHeight="1">
      <c r="A10" s="17" t="inlineStr">
        <is>
          <t>API-008</t>
        </is>
      </c>
      <c r="B10" s="17" t="inlineStr">
        <is>
          <t>02 HTTP</t>
        </is>
      </c>
      <c r="C10" s="17" t="inlineStr">
        <is>
          <t>Beginner</t>
        </is>
      </c>
      <c r="D10" s="17" t="n">
        <v>8</v>
      </c>
      <c r="E10" s="17" t="inlineStr">
        <is>
          <t>Claude knowledge</t>
        </is>
      </c>
      <c r="F10" s="18" t="inlineStr">
        <is>
          <t>HTTP methods (GET, POST, PUT, PATCH, DELETE)</t>
        </is>
      </c>
      <c r="G10" s="18" t="inlineStr">
        <is>
          <t>Which five request methods tell an API whether you want to read, create, replace, partly change or remove something?</t>
        </is>
      </c>
      <c r="H10" s="18" t="inlineStr">
        <is>
          <t>HTTP concept</t>
        </is>
      </c>
      <c r="I10" s="18" t="inlineStr">
        <is>
          <t>Very high</t>
        </is>
      </c>
      <c r="J10" s="18" t="n">
        <v>5</v>
      </c>
      <c r="K10" s="18" t="inlineStr">
        <is>
          <t>HTTP needed a small set of standard verbs so that every web service could express common actions in the same way.</t>
        </is>
      </c>
      <c r="L10" s="18" t="inlineStr">
        <is>
          <t>Use GET only for reading, because it must never change data on the server.</t>
        </is>
      </c>
      <c r="M10" s="18" t="inlineStr">
        <is>
          <t>The five methods are like the actions in a filing office: look up, add, replace, correct and shred.</t>
        </is>
      </c>
      <c r="N10" s="18" t="inlineStr">
        <is>
          <t>Five labelled arrows pointing at the same URL, each with a different action.</t>
        </is>
      </c>
      <c r="O10" s="18" t="inlineStr">
        <is>
          <t>The comfort of a small, predictable set of actions.</t>
        </is>
      </c>
      <c r="P10" s="18" t="inlineStr">
        <is>
          <t>HTTP methods are verbs sent with a request that say what to do with the resource: GET reads, POST creates, PUT replaces, PATCH changes part of it, and DELETE removes it.</t>
        </is>
      </c>
      <c r="Q10" s="17" t="n"/>
      <c r="R10" s="18" t="inlineStr">
        <is>
          <t>GET retrieves data and is safe, meaning it should not change anything. POST sends data to create a resource or trigger an action. PUT replaces a whole resource, PATCH updates only some fields, and DELETE removes it. HEAD and OPTIONS also exist for headers and capabilities.</t>
        </is>
      </c>
      <c r="S10" s="18" t="inlineStr">
        <is>
          <t>GET reads, POST creates, PUT replaces everything, PATCH changes only a few fields, and DELETE removes. The URL says what, and the method says what to do with it.</t>
        </is>
      </c>
      <c r="T10" s="18" t="inlineStr">
        <is>
          <t>It is like the actions in a filing office: look up, add, replace, correct and shred.</t>
        </is>
      </c>
      <c r="U10" s="18" t="inlineStr">
        <is>
          <t>GET = read, POST = create, PUT = replace, PATCH = partial update, DELETE = remove</t>
        </is>
      </c>
      <c r="V10" s="18" t="inlineStr">
        <is>
          <t>GET /users/42 reads user 42.</t>
        </is>
      </c>
      <c r="W10" s="18" t="inlineStr">
        <is>
          <t>POST /orders creates a new order.</t>
        </is>
      </c>
      <c r="X10" s="18" t="inlineStr">
        <is>
          <t>PATCH /users/42 changes only the email of user 42.</t>
        </is>
      </c>
      <c r="Y10" s="18" t="inlineStr">
        <is>
          <t>REST, idempotency, status codes, request body</t>
        </is>
      </c>
      <c r="Z10" s="18" t="inlineStr">
        <is>
          <t>GET, POST, PUT, PATCH, DELETE, HEAD, OPTIONS</t>
        </is>
      </c>
      <c r="AA10" s="18" t="inlineStr">
        <is>
          <t>Every REST API | API documentation | Writing client code</t>
        </is>
      </c>
      <c r="AB10" s="18" t="inlineStr">
        <is>
          <t>A: I only want to change the user's email. | B: Use PATCH, since PUT would replace the whole user.</t>
        </is>
      </c>
      <c r="AC10" s="18" t="inlineStr">
        <is>
          <t>✗ PUT and PATCH do the same thing → ✓ PUT replaces the whole resource, while PATCH changes only the fields you send</t>
        </is>
      </c>
      <c r="AD10" s="18" t="inlineStr">
        <is>
          <t>PUT vs PATCH: PUT replaces everything, PATCH updates part of it.</t>
        </is>
      </c>
      <c r="AE10" s="18" t="inlineStr">
        <is>
          <t>Do not use GET to delete or change data.</t>
        </is>
      </c>
      <c r="AF10" s="18" t="inlineStr">
        <is>
          <t>GET gets, POST posts a new one.</t>
        </is>
      </c>
      <c r="AG10" s="18" t="inlineStr">
        <is>
          <t>Using POST to create orders and PATCH to update only their status.</t>
        </is>
      </c>
      <c r="AH10" s="18" t="inlineStr">
        <is>
          <t>An interviewer may ask: What is the difference between PUT and PATCH?</t>
        </is>
      </c>
      <c r="AI10" s="18" t="inlineStr">
        <is>
          <t>It is like looking up, adding, replacing, correcting and shredding a file.</t>
        </is>
      </c>
      <c r="AJ10" s="18" t="inlineStr">
        <is>
          <t>Which method should you use to change only one field of an existing record?</t>
        </is>
      </c>
      <c r="AK10" s="18" t="inlineStr">
        <is>
          <t>A) PATCH B) GET C) DELETE D) POST</t>
        </is>
      </c>
      <c r="AL10" s="18" t="inlineStr">
        <is>
          <t>A</t>
        </is>
      </c>
      <c r="AM10" s="18" t="inlineStr">
        <is>
          <t>PATCH sends a partial update, while PUT replaces the whole record.</t>
        </is>
      </c>
      <c r="AN10" s="18" t="inlineStr">
        <is>
          <t>To read data without changing it you use the ____ method → GET</t>
        </is>
      </c>
      <c r="AO10" s="18" t="inlineStr">
        <is>
          <t>Which method creates a new record? → POST</t>
        </is>
      </c>
      <c r="AP10" s="18" t="inlineStr">
        <is>
          <t>Explain the five HTTP methods in three lines.</t>
        </is>
      </c>
      <c r="AQ10" s="18" t="inlineStr">
        <is>
          <t>Write which method you would use for five actions in a to-do app.</t>
        </is>
      </c>
      <c r="AR10" s="17">
        <f>IF(J10="","",REPT("★",J10)&amp;REPT("☆",5-J10)&amp;" ("&amp;J10&amp;"/5)")</f>
        <v/>
      </c>
      <c r="AS10" s="17">
        <f>IF(Q10="","","Meaning: "&amp;Q10&amp;"  =  ______   (Answer: "&amp;F10&amp;")")</f>
        <v/>
      </c>
      <c r="AT10" s="17" t="inlineStr">
        <is>
          <t>New</t>
        </is>
      </c>
      <c r="AU10" s="17" t="n"/>
      <c r="AV10" s="17" t="n"/>
      <c r="AW10" s="17" t="n"/>
      <c r="AX10" s="17" t="n"/>
      <c r="AY10" s="17" t="n"/>
      <c r="AZ10" s="17" t="n"/>
      <c r="BA10" s="17" t="n"/>
      <c r="BB10" s="17" t="n"/>
    </row>
    <row r="11" ht="94.5" customHeight="1">
      <c r="A11" s="17" t="inlineStr">
        <is>
          <t>API-009</t>
        </is>
      </c>
      <c r="B11" s="17" t="inlineStr">
        <is>
          <t>02 HTTP</t>
        </is>
      </c>
      <c r="C11" s="17" t="inlineStr">
        <is>
          <t>Beginner</t>
        </is>
      </c>
      <c r="D11" s="17" t="n">
        <v>9</v>
      </c>
      <c r="E11" s="17" t="inlineStr">
        <is>
          <t>Claude knowledge</t>
        </is>
      </c>
      <c r="F11" s="18" t="inlineStr">
        <is>
          <t>URL parts (path and query parameters)</t>
        </is>
      </c>
      <c r="G11" s="18" t="inlineStr">
        <is>
          <t>In a URL such as /users/42?active=true, which parts name the resource and which parts filter or modify it?</t>
        </is>
      </c>
      <c r="H11" s="18" t="inlineStr">
        <is>
          <t>HTTP concept</t>
        </is>
      </c>
      <c r="I11" s="18" t="inlineStr">
        <is>
          <t>Very high</t>
        </is>
      </c>
      <c r="J11" s="18" t="n">
        <v>4</v>
      </c>
      <c r="K11" s="18" t="inlineStr">
        <is>
          <t>A single address needs to say both which thing you want and some options about it, so URLs split into a path and an optional query string.</t>
        </is>
      </c>
      <c r="L11" s="18" t="inlineStr">
        <is>
          <t>Use path parts for identifying a resource and query parameters for filtering, sorting and paging.</t>
        </is>
      </c>
      <c r="M11" s="18" t="inlineStr">
        <is>
          <t>The path is the street and house number, and the query is the note you pin to the door saying how you want it.</t>
        </is>
      </c>
      <c r="N11" s="18" t="inlineStr">
        <is>
          <t>A URL with the path part underlined in one colour and the query string after the question mark in another.</t>
        </is>
      </c>
      <c r="O11" s="18" t="inlineStr">
        <is>
          <t>The satisfaction of reading any URL at a glance.</t>
        </is>
      </c>
      <c r="P11" s="18" t="inlineStr">
        <is>
          <t>The path identifies the resource, such as /users/42, and the query string after the question mark adds named options such as active=true.</t>
        </is>
      </c>
      <c r="Q11" s="17" t="n"/>
      <c r="R11" s="18" t="inlineStr">
        <is>
          <t>A URL has a scheme (https), a host (api.example.com), a path (/users/42), and an optional query string that starts with a question mark and joins pairs with ampersands. Special characters in values must be URL-encoded. Path parameters like 42 are part of the resource address.</t>
        </is>
      </c>
      <c r="S11" s="18" t="inlineStr">
        <is>
          <t>The path says which thing you mean. The query string after the question mark adds options such as filters, sorting and page numbers.</t>
        </is>
      </c>
      <c r="T11" s="18" t="inlineStr">
        <is>
          <t>The path is the house address and the query is the note pinned to the door saying how you want it.</t>
        </is>
      </c>
      <c r="U11" s="18" t="inlineStr">
        <is>
          <t>scheme://host/path?key=value&amp;key2=value2</t>
        </is>
      </c>
      <c r="V11" s="18" t="inlineStr">
        <is>
          <t>https://api.example.com/users/42 uses 42 as a path parameter.</t>
        </is>
      </c>
      <c r="W11" s="18" t="inlineStr">
        <is>
          <t>https://api.example.com/users?active=true filters users with a query parameter.</t>
        </is>
      </c>
      <c r="X11" s="18" t="inlineStr">
        <is>
          <t>https://api.example.com/orders?page=2&amp;limit=10 asks for the second page of ten.</t>
        </is>
      </c>
      <c r="Y11" s="18" t="inlineStr">
        <is>
          <t>endpoint, pagination, filtering, URL encoding</t>
        </is>
      </c>
      <c r="Z11" s="18" t="inlineStr">
        <is>
          <t>scheme, host, path, query string, parameter, fragment</t>
        </is>
      </c>
      <c r="AA11" s="18" t="inlineStr">
        <is>
          <t>Every API call | Filtering and paging | Building URLs in code</t>
        </is>
      </c>
      <c r="AB11" s="18" t="inlineStr">
        <is>
          <t>A: How do I get only active users? | B: Add a query parameter, GET /users?active=true.</t>
        </is>
      </c>
      <c r="AC11" s="18" t="inlineStr">
        <is>
          <t>✗ Query parameters and path parameters are the same thing → ✓ Path parameters identify the resource, while query parameters add optional filters or settings</t>
        </is>
      </c>
      <c r="AD11" s="18" t="inlineStr">
        <is>
          <t>Path vs query: the path names the resource, the query refines the request.</t>
        </is>
      </c>
      <c r="AE11" s="18" t="inlineStr">
        <is>
          <t>Do not put spaces or special characters in URLs without encoding them.</t>
        </is>
      </c>
      <c r="AF11" s="18" t="inlineStr">
        <is>
          <t>The path points and the query refines it.</t>
        </is>
      </c>
      <c r="AG11" s="18" t="inlineStr">
        <is>
          <t>Building a list request with page, limit and sort query parameters.</t>
        </is>
      </c>
      <c r="AH11" s="18" t="inlineStr">
        <is>
          <t>An interviewer may ask: When do you use a path parameter and when a query parameter?</t>
        </is>
      </c>
      <c r="AI11" s="18" t="inlineStr">
        <is>
          <t>It is like an address plus a note pinned to the door.</t>
        </is>
      </c>
      <c r="AJ11" s="18" t="inlineStr">
        <is>
          <t>In /orders?page=2&amp;limit=10, what does page=2 belong to?</t>
        </is>
      </c>
      <c r="AK11" s="18" t="inlineStr">
        <is>
          <t>A) The query string B) The scheme C) The host D) The header</t>
        </is>
      </c>
      <c r="AL11" s="18" t="inlineStr">
        <is>
          <t>A</t>
        </is>
      </c>
      <c r="AM11" s="18" t="inlineStr">
        <is>
          <t>Everything after the question mark is the query string.</t>
        </is>
      </c>
      <c r="AN11" s="18" t="inlineStr">
        <is>
          <t>Query parameters begin after a ____ mark in the URL → question</t>
        </is>
      </c>
      <c r="AO11" s="18" t="inlineStr">
        <is>
          <t>How would you request only active users? → Add the query parameter active=true to the users endpoint</t>
        </is>
      </c>
      <c r="AP11" s="18" t="inlineStr">
        <is>
          <t>Explain path and query parameters in three lines.</t>
        </is>
      </c>
      <c r="AQ11" s="18" t="inlineStr">
        <is>
          <t>Write a URL that asks for page 3 of a product list with ten items per page.</t>
        </is>
      </c>
      <c r="AR11" s="17">
        <f>IF(J11="","",REPT("★",J11)&amp;REPT("☆",5-J11)&amp;" ("&amp;J11&amp;"/5)")</f>
        <v/>
      </c>
      <c r="AS11" s="17">
        <f>IF(Q11="","","Meaning: "&amp;Q11&amp;"  =  ______   (Answer: "&amp;F11&amp;")")</f>
        <v/>
      </c>
      <c r="AT11" s="17" t="inlineStr">
        <is>
          <t>New</t>
        </is>
      </c>
      <c r="AU11" s="17" t="n"/>
      <c r="AV11" s="17" t="n"/>
      <c r="AW11" s="17" t="n"/>
      <c r="AX11" s="17" t="n"/>
      <c r="AY11" s="17" t="n"/>
      <c r="AZ11" s="17" t="n"/>
      <c r="BA11" s="17" t="n"/>
      <c r="BB11" s="17" t="n"/>
    </row>
    <row r="12" ht="94.5" customHeight="1">
      <c r="A12" s="17" t="inlineStr">
        <is>
          <t>API-010</t>
        </is>
      </c>
      <c r="B12" s="17" t="inlineStr">
        <is>
          <t>02 HTTP</t>
        </is>
      </c>
      <c r="C12" s="17" t="inlineStr">
        <is>
          <t>Beginner</t>
        </is>
      </c>
      <c r="D12" s="17" t="n">
        <v>10</v>
      </c>
      <c r="E12" s="17" t="inlineStr">
        <is>
          <t>Claude knowledge</t>
        </is>
      </c>
      <c r="F12" s="18" t="inlineStr">
        <is>
          <t>Headers</t>
        </is>
      </c>
      <c r="G12" s="18" t="inlineStr">
        <is>
          <t>Which key-value pairs travel with every request and response and carry information about the message rather than its data?</t>
        </is>
      </c>
      <c r="H12" s="18" t="inlineStr">
        <is>
          <t>HTTP concept</t>
        </is>
      </c>
      <c r="I12" s="18" t="inlineStr">
        <is>
          <t>Very high</t>
        </is>
      </c>
      <c r="J12" s="18" t="n">
        <v>5</v>
      </c>
      <c r="K12" s="18" t="inlineStr">
        <is>
          <t>The message body holds the data, but both sides also need to share details such as format and identity, so HTTP added headers for that metadata.</t>
        </is>
      </c>
      <c r="L12" s="18" t="inlineStr">
        <is>
          <t>Check the Content-Type and Authorization headers first when a request mysteriously fails.</t>
        </is>
      </c>
      <c r="M12" s="18" t="inlineStr">
        <is>
          <t>Headers are the labels on a parcel, giving the sender, type and handling instructions while the box holds the goods.</t>
        </is>
      </c>
      <c r="N12" s="18" t="inlineStr">
        <is>
          <t>A parcel with several stickers listing the type, size and sender, next to a closed box.</t>
        </is>
      </c>
      <c r="O12" s="18" t="inlineStr">
        <is>
          <t>The relief of finding the missing label that explains a failed request.</t>
        </is>
      </c>
      <c r="P12" s="18" t="inlineStr">
        <is>
          <t>Headers are name and value pairs sent with a request or response that describe the message, such as its format, authorisation or caching.</t>
        </is>
      </c>
      <c r="Q12" s="17" t="n"/>
      <c r="R12" s="18" t="inlineStr">
        <is>
          <t>Common request headers include Authorization, Content-Type, Accept and User-Agent. Common response headers include Content-Type, Cache-Control and Retry-After. Header names are case-insensitive. Custom headers are often prefixed or documented by the provider, such as X-Request-Id.</t>
        </is>
      </c>
      <c r="S12" s="18" t="inlineStr">
        <is>
          <t>Headers are small labels on a message. They say things like I am sending JSON, here is my token, and please give me JSON back.</t>
        </is>
      </c>
      <c r="T12" s="18" t="inlineStr">
        <is>
          <t>Headers are the labels on a parcel, while the body is the goods inside.</t>
        </is>
      </c>
      <c r="U12" s="18" t="inlineStr">
        <is>
          <t>Header-Name: value</t>
        </is>
      </c>
      <c r="V12" s="18" t="inlineStr">
        <is>
          <t>Authorization: Bearer abc123 carries the token.</t>
        </is>
      </c>
      <c r="W12" s="18" t="inlineStr">
        <is>
          <t>Content-Type: application/json says the body is JSON.</t>
        </is>
      </c>
      <c r="X12" s="18" t="inlineStr">
        <is>
          <t>Accept: application/json asks for a JSON answer.</t>
        </is>
      </c>
      <c r="Y12" s="18" t="inlineStr">
        <is>
          <t>Content-Type, Authorization, request body, status codes</t>
        </is>
      </c>
      <c r="Z12" s="18" t="inlineStr">
        <is>
          <t>header, Content-Type, Accept, Authorization, User-Agent</t>
        </is>
      </c>
      <c r="AA12" s="18" t="inlineStr">
        <is>
          <t>Authentication | Content negotiation | Caching and debugging</t>
        </is>
      </c>
      <c r="AB12" s="18" t="inlineStr">
        <is>
          <t>A: The server says it cannot read my data. | B: You probably forgot the Content-Type header for JSON.</t>
        </is>
      </c>
      <c r="AC12" s="18" t="inlineStr">
        <is>
          <t>✗ Headers carry the main data of a request → ✓ Headers carry information about the message, and the main data goes in the body or the URL</t>
        </is>
      </c>
      <c r="AD12" s="18" t="inlineStr">
        <is>
          <t>Header vs body: the header describes the message, the body is the data itself.</t>
        </is>
      </c>
      <c r="AE12" s="18" t="inlineStr">
        <is>
          <t>Do not put secrets in custom headers without HTTPS.</t>
        </is>
      </c>
      <c r="AF12" s="18" t="inlineStr">
        <is>
          <t>Headers are labels, body is goods.</t>
        </is>
      </c>
      <c r="AG12" s="18" t="inlineStr">
        <is>
          <t>Setting Authorization and Content-Type headers on every request of an API client.</t>
        </is>
      </c>
      <c r="AH12" s="18" t="inlineStr">
        <is>
          <t>An interviewer may ask: Which headers are used in an API request and why?</t>
        </is>
      </c>
      <c r="AI12" s="18" t="inlineStr">
        <is>
          <t>It is like the labels on a parcel.</t>
        </is>
      </c>
      <c r="AJ12" s="18" t="inlineStr">
        <is>
          <t>Which header usually carries a token?</t>
        </is>
      </c>
      <c r="AK12" s="18" t="inlineStr">
        <is>
          <t>A) User-Agent B) Accept C) Authorization D) Cache-Control</t>
        </is>
      </c>
      <c r="AL12" s="18" t="inlineStr">
        <is>
          <t>C</t>
        </is>
      </c>
      <c r="AM12" s="18" t="inlineStr">
        <is>
          <t>The Authorization header carries credentials such as a Bearer token.</t>
        </is>
      </c>
      <c r="AN12" s="18" t="inlineStr">
        <is>
          <t>The header that tells the server the body is JSON is Content-____ → Type</t>
        </is>
      </c>
      <c r="AO12" s="18" t="inlineStr">
        <is>
          <t>A server cannot read your JSON body. Which header do you check? → Content-Type</t>
        </is>
      </c>
      <c r="AP12" s="18" t="inlineStr">
        <is>
          <t>Explain what headers are in three lines.</t>
        </is>
      </c>
      <c r="AQ12" s="18" t="inlineStr">
        <is>
          <t>List three headers you would send when creating a record with JSON.</t>
        </is>
      </c>
      <c r="AR12" s="17">
        <f>IF(J12="","",REPT("★",J12)&amp;REPT("☆",5-J12)&amp;" ("&amp;J12&amp;"/5)")</f>
        <v/>
      </c>
      <c r="AS12" s="17">
        <f>IF(Q12="","","Meaning: "&amp;Q12&amp;"  =  ______   (Answer: "&amp;F12&amp;")")</f>
        <v/>
      </c>
      <c r="AT12" s="17" t="inlineStr">
        <is>
          <t>New</t>
        </is>
      </c>
      <c r="AU12" s="17" t="n"/>
      <c r="AV12" s="17" t="n"/>
      <c r="AW12" s="17" t="n"/>
      <c r="AX12" s="17" t="n"/>
      <c r="AY12" s="17" t="n"/>
      <c r="AZ12" s="17" t="n"/>
      <c r="BA12" s="17" t="n"/>
      <c r="BB12" s="17" t="n"/>
    </row>
    <row r="13" ht="67.5" customHeight="1">
      <c r="A13" s="17" t="inlineStr">
        <is>
          <t>API-011</t>
        </is>
      </c>
      <c r="B13" s="17" t="inlineStr">
        <is>
          <t>02 HTTP</t>
        </is>
      </c>
      <c r="C13" s="17" t="inlineStr">
        <is>
          <t>Beginner</t>
        </is>
      </c>
      <c r="D13" s="17" t="n">
        <v>11</v>
      </c>
      <c r="E13" s="17" t="inlineStr">
        <is>
          <t>Claude knowledge</t>
        </is>
      </c>
      <c r="F13" s="18" t="inlineStr">
        <is>
          <t>Request body</t>
        </is>
      </c>
      <c r="G13" s="18" t="inlineStr">
        <is>
          <t>Which part of a request carries the actual data you are sending, such as the fields of a new user?</t>
        </is>
      </c>
      <c r="H13" s="18" t="inlineStr">
        <is>
          <t>HTTP concept</t>
        </is>
      </c>
      <c r="I13" s="18" t="inlineStr">
        <is>
          <t>Very high</t>
        </is>
      </c>
      <c r="J13" s="18" t="n">
        <v>4</v>
      </c>
      <c r="K13" s="18" t="inlineStr">
        <is>
          <t>Large or structured data does not fit neatly in a URL, so HTTP lets a request carry a body after the headers.</t>
        </is>
      </c>
      <c r="L13" s="18" t="inlineStr">
        <is>
          <t>Send data in the body for POST, PUT and PATCH, and do not put a body on a GET request.</t>
        </is>
      </c>
      <c r="M13" s="18" t="inlineStr">
        <is>
          <t>The body is the contents of the parcel, while the URL and headers are the address and labels.</t>
        </is>
      </c>
      <c r="N13" s="18" t="inlineStr">
        <is>
          <t>A request drawn as an envelope with a small address on the front and a sheet of data inside.</t>
        </is>
      </c>
      <c r="O13" s="18" t="inlineStr">
        <is>
          <t>The ease of sending a whole object in one go.</t>
        </is>
      </c>
      <c r="P13" s="18" t="inlineStr">
        <is>
          <t>The request body is the data sent with a request, most often JSON, used by methods such as POST, PUT and PATCH.</t>
        </is>
      </c>
      <c r="Q13" s="17" t="n"/>
      <c r="R13" s="18" t="inlineStr">
        <is>
          <t>The body can be JSON, form data, files or plain text, and its type is announced by the Content-Type header. The server reads the body to create or update a resource. GET and DELETE requests normally do not have a body.</t>
        </is>
      </c>
      <c r="S13" s="18" t="inlineStr">
        <is>
          <t>The body is where the data goes. To create a user, you send the user's fields as JSON in the body of a POST request.</t>
        </is>
      </c>
      <c r="T13" s="18" t="inlineStr">
        <is>
          <t>It is like the sheet of paper inside an envelope.</t>
        </is>
      </c>
      <c r="U13" s="18" t="inlineStr">
        <is>
          <t>POST + Content-Type: application/json + {"name": "Asha"}</t>
        </is>
      </c>
      <c r="V13" s="18" t="inlineStr">
        <is>
          <t>A POST body {"name": "Asha", "email": "asha@example.com"} to create a user.</t>
        </is>
      </c>
      <c r="W13" s="18" t="inlineStr">
        <is>
          <t>A PATCH body {"email": "new@example.com"} to change one field.</t>
        </is>
      </c>
      <c r="X13" s="18" t="inlineStr">
        <is>
          <t>A multipart body that uploads an image file.</t>
        </is>
      </c>
      <c r="Y13" s="18" t="inlineStr">
        <is>
          <t>Content-Type, HTTP methods, JSON, form data</t>
        </is>
      </c>
      <c r="Z13" s="18" t="inlineStr">
        <is>
          <t>body, payload, JSON, multipart, form data</t>
        </is>
      </c>
      <c r="AA13" s="18" t="inlineStr">
        <is>
          <t>Creating and updating records | File uploads | Sending forms</t>
        </is>
      </c>
      <c r="AB13" s="18" t="inlineStr">
        <is>
          <t>A: How do I send the new user's details? | B: Put them as JSON in the body of a POST request.</t>
        </is>
      </c>
      <c r="AC13" s="18" t="inlineStr">
        <is>
          <t>✗ A GET request normally carries its data in a body → ✓ A GET request carries its options in the URL, and the body is meant for POST, PUT and PATCH</t>
        </is>
      </c>
      <c r="AD13" s="18" t="inlineStr">
        <is>
          <t>Body vs query string: the body carries larger structured data, the query string carries short options.</t>
        </is>
      </c>
      <c r="AE13" s="18" t="inlineStr">
        <is>
          <t>Do not send secrets in the URL when a body can carry them.</t>
        </is>
      </c>
      <c r="AF13" s="18" t="inlineStr">
        <is>
          <t>Body is the payload inside.</t>
        </is>
      </c>
      <c r="AG13" s="18" t="inlineStr">
        <is>
          <t>Sending an order's items as a JSON body to the create order endpoint.</t>
        </is>
      </c>
      <c r="AH13" s="18" t="inlineStr">
        <is>
          <t>An interviewer may ask: Where would you send data for a POST request?</t>
        </is>
      </c>
      <c r="AI13" s="18" t="inlineStr">
        <is>
          <t>It is like the paper inside an envelope.</t>
        </is>
      </c>
      <c r="AJ13" s="18" t="inlineStr">
        <is>
          <t>Where does the data of a POST request normally go?</t>
        </is>
      </c>
      <c r="AK13" s="18" t="inlineStr">
        <is>
          <t>A) The browser history B) The response C) The status code D) The body</t>
        </is>
      </c>
      <c r="AL13" s="18" t="inlineStr">
        <is>
          <t>D</t>
        </is>
      </c>
      <c r="AM13" s="18" t="inlineStr">
        <is>
          <t>POST sends its data in the request body.</t>
        </is>
      </c>
      <c r="AN13" s="18" t="inlineStr">
        <is>
          <t>The body of a POST request is usually written as ____ → JSON</t>
        </is>
      </c>
      <c r="AO13" s="18" t="inlineStr">
        <is>
          <t>Where do you put new user details when creating a user? → In the JSON body of a POST request</t>
        </is>
      </c>
      <c r="AP13" s="18" t="inlineStr">
        <is>
          <t>Explain the request body in three lines.</t>
        </is>
      </c>
      <c r="AQ13" s="18" t="inlineStr">
        <is>
          <t>Write a JSON body that creates a product with a name and a price.</t>
        </is>
      </c>
      <c r="AR13" s="17">
        <f>IF(J13="","",REPT("★",J13)&amp;REPT("☆",5-J13)&amp;" ("&amp;J13&amp;"/5)")</f>
        <v/>
      </c>
      <c r="AS13" s="17">
        <f>IF(Q13="","","Meaning: "&amp;Q13&amp;"  =  ______   (Answer: "&amp;F13&amp;")")</f>
        <v/>
      </c>
      <c r="AT13" s="17" t="inlineStr">
        <is>
          <t>New</t>
        </is>
      </c>
      <c r="AU13" s="17" t="n"/>
      <c r="AV13" s="17" t="n"/>
      <c r="AW13" s="17" t="n"/>
      <c r="AX13" s="17" t="n"/>
      <c r="AY13" s="17" t="n"/>
      <c r="AZ13" s="17" t="n"/>
      <c r="BA13" s="17" t="n"/>
      <c r="BB13" s="17" t="n"/>
    </row>
    <row r="14" ht="94.5" customHeight="1">
      <c r="A14" s="17" t="inlineStr">
        <is>
          <t>API-012</t>
        </is>
      </c>
      <c r="B14" s="17" t="inlineStr">
        <is>
          <t>02 HTTP</t>
        </is>
      </c>
      <c r="C14" s="17" t="inlineStr">
        <is>
          <t>Beginner</t>
        </is>
      </c>
      <c r="D14" s="17" t="n">
        <v>12</v>
      </c>
      <c r="E14" s="17" t="inlineStr">
        <is>
          <t>Claude knowledge</t>
        </is>
      </c>
      <c r="F14" s="18" t="inlineStr">
        <is>
          <t>Status codes (2xx, 3xx, 4xx, 5xx)</t>
        </is>
      </c>
      <c r="G14" s="18" t="inlineStr">
        <is>
          <t>Which three-digit numbers in a response tell you whether a request worked, was redirected, failed because of you, or failed on the server?</t>
        </is>
      </c>
      <c r="H14" s="18" t="inlineStr">
        <is>
          <t>HTTP concept</t>
        </is>
      </c>
      <c r="I14" s="18" t="inlineStr">
        <is>
          <t>Very high</t>
        </is>
      </c>
      <c r="J14" s="18" t="n">
        <v>5</v>
      </c>
      <c r="K14" s="18" t="inlineStr">
        <is>
          <t>A client needs a quick, standard way to know what happened, so HTTP gives every response a numeric status grouped by its first digit.</t>
        </is>
      </c>
      <c r="L14" s="18" t="inlineStr">
        <is>
          <t>Learn the groups first: 2xx success, 3xx redirect, 4xx client error, 5xx server error.</t>
        </is>
      </c>
      <c r="M14" s="18" t="inlineStr">
        <is>
          <t>Status codes are traffic lights: green for 2xx, a detour sign for 3xx, a stop for your mistake in 4xx and a broken signal in 5xx.</t>
        </is>
      </c>
      <c r="N14" s="18" t="inlineStr">
        <is>
          <t>Four coloured boxes labelled 2xx, 3xx, 4xx and 5xx with example numbers inside.</t>
        </is>
      </c>
      <c r="O14" s="18" t="inlineStr">
        <is>
          <t>The calm of reading a number and knowing what to do next.</t>
        </is>
      </c>
      <c r="P14" s="18" t="inlineStr">
        <is>
          <t>A status code is a three-digit number in a response, where the first digit shows the group: 2 success, 3 redirect, 4 client error and 5 server error.</t>
        </is>
      </c>
      <c r="Q14" s="17" t="n"/>
      <c r="R14" s="18" t="inlineStr">
        <is>
          <t>Common ones are 200 OK, 201 Created, 204 No Content, 400 Bad Request, 401 Unauthorized (not authenticated), 403 Forbidden, 404 Not Found, 409 Conflict, 429 Too Many Requests, 500 Internal Server Error and 503 Service Unavailable. A 4xx usually means fix your request, and a 5xx may be worth retrying.</t>
        </is>
      </c>
      <c r="S14" s="18" t="inlineStr">
        <is>
          <t>Look at the first digit. 2 means it worked, 4 means your request has a problem, and 5 means the server has a problem.</t>
        </is>
      </c>
      <c r="T14" s="18" t="inlineStr">
        <is>
          <t>It is like traffic lights, with green for go, a detour sign, a stop for your mistake and a broken signal for the server's.</t>
        </is>
      </c>
      <c r="U14" s="18" t="inlineStr">
        <is>
          <t>2xx success, 3xx redirect, 4xx you erred, 5xx server erred</t>
        </is>
      </c>
      <c r="V14" s="18" t="inlineStr">
        <is>
          <t>201 Created after a successful POST.</t>
        </is>
      </c>
      <c r="W14" s="18" t="inlineStr">
        <is>
          <t>404 Not Found for a wrong URL or missing record.</t>
        </is>
      </c>
      <c r="X14" s="18" t="inlineStr">
        <is>
          <t>503 Service Unavailable when the server is overloaded.</t>
        </is>
      </c>
      <c r="Y14" s="18" t="inlineStr">
        <is>
          <t>error handling, retries, rate limiting, authentication</t>
        </is>
      </c>
      <c r="Z14" s="18" t="inlineStr">
        <is>
          <t>200, 201, 204, 400, 401, 403, 404, 429, 500, 503</t>
        </is>
      </c>
      <c r="AA14" s="18" t="inlineStr">
        <is>
          <t>Every API call | Error handling | Debugging</t>
        </is>
      </c>
      <c r="AB14" s="18" t="inlineStr">
        <is>
          <t>A: My call returned 401. | B: That means you are not authenticated, so check your token or API key.</t>
        </is>
      </c>
      <c r="AC14" s="18" t="inlineStr">
        <is>
          <t>✗ 401 and 403 mean the same thing → ✓ 401 means you are not authenticated, while 403 means you are known but not allowed to do that</t>
        </is>
      </c>
      <c r="AD14" s="18" t="inlineStr">
        <is>
          <t>401 vs 403: 401 asks who you are, 403 says you are not permitted.</t>
        </is>
      </c>
      <c r="AE14" s="18" t="inlineStr">
        <is>
          <t>Do not treat every non-200 response as the same error.</t>
        </is>
      </c>
      <c r="AF14" s="18" t="inlineStr">
        <is>
          <t>The first digit tells whose fault it is.</t>
        </is>
      </c>
      <c r="AG14" s="18" t="inlineStr">
        <is>
          <t>Showing different messages for 404, 429 and 500 in an app.</t>
        </is>
      </c>
      <c r="AH14" s="18" t="inlineStr">
        <is>
          <t>An interviewer may ask: What is the difference between 401 and 403?</t>
        </is>
      </c>
      <c r="AI14" s="18" t="inlineStr">
        <is>
          <t>It is like traffic lights guiding what to do next.</t>
        </is>
      </c>
      <c r="AJ14" s="18" t="inlineStr">
        <is>
          <t>Which status group means the client made a mistake?</t>
        </is>
      </c>
      <c r="AK14" s="18" t="inlineStr">
        <is>
          <t>A) 2xx B) 4xx C) 5xx D) 3xx</t>
        </is>
      </c>
      <c r="AL14" s="18" t="inlineStr">
        <is>
          <t>B</t>
        </is>
      </c>
      <c r="AM14" s="18" t="inlineStr">
        <is>
          <t>4xx codes mean the request has a problem on the client side.</t>
        </is>
      </c>
      <c r="AN14" s="18" t="inlineStr">
        <is>
          <t>The status code 404 means Not ____ → Found</t>
        </is>
      </c>
      <c r="AO14" s="18" t="inlineStr">
        <is>
          <t>A POST created a record. Which code do you expect? → 201 Created</t>
        </is>
      </c>
      <c r="AP14" s="18" t="inlineStr">
        <is>
          <t>Explain the status code groups in three lines.</t>
        </is>
      </c>
      <c r="AQ14" s="18" t="inlineStr">
        <is>
          <t>Write what you would do for each of 401, 404 and 500.</t>
        </is>
      </c>
      <c r="AR14" s="17">
        <f>IF(J14="","",REPT("★",J14)&amp;REPT("☆",5-J14)&amp;" ("&amp;J14&amp;"/5)")</f>
        <v/>
      </c>
      <c r="AS14" s="17">
        <f>IF(Q14="","","Meaning: "&amp;Q14&amp;"  =  ______   (Answer: "&amp;F14&amp;")")</f>
        <v/>
      </c>
      <c r="AT14" s="17" t="inlineStr">
        <is>
          <t>New</t>
        </is>
      </c>
      <c r="AU14" s="17" t="n"/>
      <c r="AV14" s="17" t="n"/>
      <c r="AW14" s="17" t="n"/>
      <c r="AX14" s="17" t="n"/>
      <c r="AY14" s="17" t="n"/>
      <c r="AZ14" s="17" t="n"/>
      <c r="BA14" s="17" t="n"/>
      <c r="BB14" s="17" t="n"/>
    </row>
    <row r="15" ht="94.5" customHeight="1">
      <c r="A15" s="17" t="inlineStr">
        <is>
          <t>API-013</t>
        </is>
      </c>
      <c r="B15" s="17" t="inlineStr">
        <is>
          <t>02 HTTP</t>
        </is>
      </c>
      <c r="C15" s="17" t="inlineStr">
        <is>
          <t>Intermediate</t>
        </is>
      </c>
      <c r="D15" s="17" t="n">
        <v>13</v>
      </c>
      <c r="E15" s="17" t="inlineStr">
        <is>
          <t>Claude knowledge</t>
        </is>
      </c>
      <c r="F15" s="18" t="inlineStr">
        <is>
          <t>Content types (Content-Type and Accept)</t>
        </is>
      </c>
      <c r="G15" s="18" t="inlineStr">
        <is>
          <t>Which two headers tell the server the format of what you send and the format you want back?</t>
        </is>
      </c>
      <c r="H15" s="18" t="inlineStr">
        <is>
          <t>HTTP concept</t>
        </is>
      </c>
      <c r="I15" s="18" t="inlineStr">
        <is>
          <t>High</t>
        </is>
      </c>
      <c r="J15" s="18" t="n">
        <v>4</v>
      </c>
      <c r="K15" s="18" t="inlineStr">
        <is>
          <t>Servers can speak several formats, so clients and servers use headers to agree on how the data is written.</t>
        </is>
      </c>
      <c r="L15" s="18" t="inlineStr">
        <is>
          <t>For JSON APIs, send Content-Type: application/json when you have a body and Accept: application/json to be explicit.</t>
        </is>
      </c>
      <c r="M15" s="18" t="inlineStr">
        <is>
          <t>Content-Type is the language you write your letter in, and Accept is the language you want the reply in.</t>
        </is>
      </c>
      <c r="N15" s="18" t="inlineStr">
        <is>
          <t>A letter marked written in JSON and a note saying please reply in JSON.</t>
        </is>
      </c>
      <c r="O15" s="18" t="inlineStr">
        <is>
          <t>The clarity of both sides agreeing on a format.</t>
        </is>
      </c>
      <c r="P15" s="18" t="inlineStr">
        <is>
          <t>Content-Type states the format of the message body, and Accept lists the formats the client is willing to receive.</t>
        </is>
      </c>
      <c r="Q15" s="17" t="n"/>
      <c r="R15" s="18" t="inlineStr">
        <is>
          <t>Common media types are application/json, application/xml, text/html, application/x-www-form-urlencoded and multipart/form-data. If you send JSON without the right Content-Type, the server may reject or misread it. The response also has a Content-Type that tells you how to parse it.</t>
        </is>
      </c>
      <c r="S15" s="18" t="inlineStr">
        <is>
          <t>Content-Type describes what you are sending. Accept says what you want back. Mismatches cause errors like 415 Unsupported Media Type.</t>
        </is>
      </c>
      <c r="T15" s="18" t="inlineStr">
        <is>
          <t>It is like writing a letter in one language and asking for the reply in another.</t>
        </is>
      </c>
      <c r="U15" s="18" t="inlineStr">
        <is>
          <t>Content-Type = what I send. Accept = what I want.</t>
        </is>
      </c>
      <c r="V15" s="18" t="inlineStr">
        <is>
          <t>Content-Type: application/json on a POST with a JSON body.</t>
        </is>
      </c>
      <c r="W15" s="18" t="inlineStr">
        <is>
          <t>Accept: application/json to ask for a JSON response.</t>
        </is>
      </c>
      <c r="X15" s="18" t="inlineStr">
        <is>
          <t>Content-Type: multipart/form-data when uploading a file.</t>
        </is>
      </c>
      <c r="Y15" s="18" t="inlineStr">
        <is>
          <t>headers, JSON, request body, form data</t>
        </is>
      </c>
      <c r="Z15" s="18" t="inlineStr">
        <is>
          <t>media type, MIME type, Content-Type, Accept, 415</t>
        </is>
      </c>
      <c r="AA15" s="18" t="inlineStr">
        <is>
          <t>Sending JSON | File uploads | Content negotiation</t>
        </is>
      </c>
      <c r="AB15" s="18" t="inlineStr">
        <is>
          <t>A: The server returns 415 when I post my data. | B: Check that you set Content-Type to application/json.</t>
        </is>
      </c>
      <c r="AC15" s="18" t="inlineStr">
        <is>
          <t>✗ Content-Type and Accept are interchangeable → ✓ Content-Type describes the body you send, while Accept describes the format you want in the response</t>
        </is>
      </c>
      <c r="AD15" s="18" t="inlineStr">
        <is>
          <t>Content-Type vs Accept: one describes the message, the other states a preference for the reply.</t>
        </is>
      </c>
      <c r="AE15" s="18" t="inlineStr">
        <is>
          <t>Do not send a JSON body without the JSON content type.</t>
        </is>
      </c>
      <c r="AF15" s="18" t="inlineStr">
        <is>
          <t>Content-Type is what I send, Accept is what I want.</t>
        </is>
      </c>
      <c r="AG15" s="18" t="inlineStr">
        <is>
          <t>Fixing a 415 error by adding the JSON content type to a client.</t>
        </is>
      </c>
      <c r="AH15" s="18" t="inlineStr">
        <is>
          <t>An interviewer may ask: What is the difference between Content-Type and Accept?</t>
        </is>
      </c>
      <c r="AI15" s="18" t="inlineStr">
        <is>
          <t>It is like writing in one language and asking for the reply in another.</t>
        </is>
      </c>
      <c r="AJ15" s="18" t="inlineStr">
        <is>
          <t>Which header describes the format of the body you send?</t>
        </is>
      </c>
      <c r="AK15" s="18" t="inlineStr">
        <is>
          <t>A) Content-Type B) Accept C) Cache-Control D) Authorization</t>
        </is>
      </c>
      <c r="AL15" s="18" t="inlineStr">
        <is>
          <t>A</t>
        </is>
      </c>
      <c r="AM15" s="18" t="inlineStr">
        <is>
          <t>Content-Type describes the body being sent.</t>
        </is>
      </c>
      <c r="AN15" s="18" t="inlineStr">
        <is>
          <t>Status 415 means Unsupported ____ Type → Media</t>
        </is>
      </c>
      <c r="AO15" s="18" t="inlineStr">
        <is>
          <t>A server rejects your JSON body with 415. What do you check? → That Content-Type is application/json</t>
        </is>
      </c>
      <c r="AP15" s="18" t="inlineStr">
        <is>
          <t>Explain Content-Type and Accept in three lines.</t>
        </is>
      </c>
      <c r="AQ15" s="18" t="inlineStr">
        <is>
          <t>Write the headers for sending a JSON body and asking for a JSON reply.</t>
        </is>
      </c>
      <c r="AR15" s="17">
        <f>IF(J15="","",REPT("★",J15)&amp;REPT("☆",5-J15)&amp;" ("&amp;J15&amp;"/5)")</f>
        <v/>
      </c>
      <c r="AS15" s="17">
        <f>IF(Q15="","","Meaning: "&amp;Q15&amp;"  =  ______   (Answer: "&amp;F15&amp;")")</f>
        <v/>
      </c>
      <c r="AT15" s="17" t="inlineStr">
        <is>
          <t>New</t>
        </is>
      </c>
      <c r="AU15" s="17" t="n"/>
      <c r="AV15" s="17" t="n"/>
      <c r="AW15" s="17" t="n"/>
      <c r="AX15" s="17" t="n"/>
      <c r="AY15" s="17" t="n"/>
      <c r="AZ15" s="17" t="n"/>
      <c r="BA15" s="17" t="n"/>
      <c r="BB15" s="17" t="n"/>
    </row>
    <row r="16" ht="94.5" customHeight="1">
      <c r="A16" s="17" t="inlineStr">
        <is>
          <t>API-014</t>
        </is>
      </c>
      <c r="B16" s="17" t="inlineStr">
        <is>
          <t>02 HTTP</t>
        </is>
      </c>
      <c r="C16" s="17" t="inlineStr">
        <is>
          <t>Intermediate</t>
        </is>
      </c>
      <c r="D16" s="17" t="n">
        <v>14</v>
      </c>
      <c r="E16" s="17" t="inlineStr">
        <is>
          <t>Claude knowledge</t>
        </is>
      </c>
      <c r="F16" s="18" t="inlineStr">
        <is>
          <t>Idempotency</t>
        </is>
      </c>
      <c r="G16" s="18" t="inlineStr">
        <is>
          <t>Which property means that repeating the same request again leaves the server in the same state as doing it once?</t>
        </is>
      </c>
      <c r="H16" s="18" t="inlineStr">
        <is>
          <t>HTTP concept</t>
        </is>
      </c>
      <c r="I16" s="18" t="inlineStr">
        <is>
          <t>High</t>
        </is>
      </c>
      <c r="J16" s="18" t="n">
        <v>4</v>
      </c>
      <c r="K16" s="18" t="inlineStr">
        <is>
          <t>Networks fail and clients retry, so APIs need requests that are safe to repeat without causing duplicate effects.</t>
        </is>
      </c>
      <c r="L16" s="18" t="inlineStr">
        <is>
          <t>For payments or orders, send an Idempotency-Key so a retried POST does not charge twice.</t>
        </is>
      </c>
      <c r="M16" s="18" t="inlineStr">
        <is>
          <t>Pressing a lift's call button many times still brings only one lift, because the effect is the same.</t>
        </is>
      </c>
      <c r="N16" s="18" t="inlineStr">
        <is>
          <t>A button pressed five times lighting up the same single lamp.</t>
        </is>
      </c>
      <c r="O16" s="18" t="inlineStr">
        <is>
          <t>The peace of retrying without fearing double charges.</t>
        </is>
      </c>
      <c r="P16" s="18" t="inlineStr">
        <is>
          <t>An operation is idempotent when making the same request many times has the same effect as making it once.</t>
        </is>
      </c>
      <c r="Q16" s="17" t="n"/>
      <c r="R16" s="18" t="inlineStr">
        <is>
          <t>GET, PUT and DELETE are defined as idempotent, because replacing or deleting something twice leaves the same final state. POST is generally not idempotent, since it can create a new record each time. Many APIs let you add an Idempotency-Key header so a repeated POST is recognised and ignored.</t>
        </is>
      </c>
      <c r="S16" s="18" t="inlineStr">
        <is>
          <t>If repeating a call changes nothing more after the first time, it is idempotent. That makes retries safe.</t>
        </is>
      </c>
      <c r="T16" s="18" t="inlineStr">
        <is>
          <t>It is like pressing a lift's call button many times, which still brings only one lift.</t>
        </is>
      </c>
      <c r="U16" s="18" t="inlineStr">
        <is>
          <t>GET, PUT, DELETE = idempotent. POST = not by default.</t>
        </is>
      </c>
      <c r="V16" s="18" t="inlineStr">
        <is>
          <t>Deleting user 42 twice leaves the same result as deleting once.</t>
        </is>
      </c>
      <c r="W16" s="18" t="inlineStr">
        <is>
          <t>Setting an order's status to shipped twice leaves it shipped.</t>
        </is>
      </c>
      <c r="X16" s="18" t="inlineStr">
        <is>
          <t>Posting a payment twice could charge two times without an idempotency key.</t>
        </is>
      </c>
      <c r="Y16" s="18" t="inlineStr">
        <is>
          <t>HTTP methods, retries, webhooks, payments</t>
        </is>
      </c>
      <c r="Z16" s="18" t="inlineStr">
        <is>
          <t>idempotent, safe, retry, duplicate, Idempotency-Key</t>
        </is>
      </c>
      <c r="AA16" s="18" t="inlineStr">
        <is>
          <t>Payments | Retries | Reliable integrations</t>
        </is>
      </c>
      <c r="AB16" s="18" t="inlineStr">
        <is>
          <t>A: My payment call timed out, can I retry it? | B: Only with an idempotency key, or you may charge the customer twice.</t>
        </is>
      </c>
      <c r="AC16" s="18" t="inlineStr">
        <is>
          <t>✗ Idempotent means the request never changes anything → ✓ Idempotent means repeating it has no extra effect, and it may still change data the first time</t>
        </is>
      </c>
      <c r="AD16" s="18" t="inlineStr">
        <is>
          <t>Safe vs idempotent: a safe request does not change data, an idempotent request can change data but gives the same result when repeated.</t>
        </is>
      </c>
      <c r="AE16" s="18" t="inlineStr">
        <is>
          <t>Do not retry a plain POST blindly after a timeout.</t>
        </is>
      </c>
      <c r="AF16" s="18" t="inlineStr">
        <is>
          <t>Idempotent means the same result however many times.</t>
        </is>
      </c>
      <c r="AG16" s="18" t="inlineStr">
        <is>
          <t>Adding an Idempotency-Key header to payment requests so retries are safe.</t>
        </is>
      </c>
      <c r="AH16" s="18" t="inlineStr">
        <is>
          <t>An interviewer may ask: Which HTTP methods are idempotent?</t>
        </is>
      </c>
      <c r="AI16" s="18" t="inlineStr">
        <is>
          <t>It is like pressing a lift button many times and still getting one lift.</t>
        </is>
      </c>
      <c r="AJ16" s="18" t="inlineStr">
        <is>
          <t>Which method is generally not idempotent?</t>
        </is>
      </c>
      <c r="AK16" s="18" t="inlineStr">
        <is>
          <t>A) GET B) POST C) DELETE D) PUT</t>
        </is>
      </c>
      <c r="AL16" s="18" t="inlineStr">
        <is>
          <t>B</t>
        </is>
      </c>
      <c r="AM16" s="18" t="inlineStr">
        <is>
          <t>A POST can create a new record each time it is sent.</t>
        </is>
      </c>
      <c r="AN16" s="18" t="inlineStr">
        <is>
          <t>A header that makes a repeated POST safe is called an ____ key → Idempotency</t>
        </is>
      </c>
      <c r="AO16" s="18" t="inlineStr">
        <is>
          <t>A POST payment timed out. How can you retry safely? → Send it again with the same idempotency key</t>
        </is>
      </c>
      <c r="AP16" s="18" t="inlineStr">
        <is>
          <t>Explain idempotency in three lines.</t>
        </is>
      </c>
      <c r="AQ16" s="18" t="inlineStr">
        <is>
          <t>Write which of your own API calls must be idempotent and why.</t>
        </is>
      </c>
      <c r="AR16" s="17">
        <f>IF(J16="","",REPT("★",J16)&amp;REPT("☆",5-J16)&amp;" ("&amp;J16&amp;"/5)")</f>
        <v/>
      </c>
      <c r="AS16" s="17">
        <f>IF(Q16="","","Meaning: "&amp;Q16&amp;"  =  ______   (Answer: "&amp;F16&amp;")")</f>
        <v/>
      </c>
      <c r="AT16" s="17" t="inlineStr">
        <is>
          <t>New</t>
        </is>
      </c>
      <c r="AU16" s="17" t="n"/>
      <c r="AV16" s="17" t="n"/>
      <c r="AW16" s="17" t="n"/>
      <c r="AX16" s="17" t="n"/>
      <c r="AY16" s="17" t="n"/>
      <c r="AZ16" s="17" t="n"/>
      <c r="BA16" s="17" t="n"/>
      <c r="BB16" s="17" t="n"/>
    </row>
    <row r="17" ht="94.5" customHeight="1">
      <c r="A17" s="17" t="inlineStr">
        <is>
          <t>API-015</t>
        </is>
      </c>
      <c r="B17" s="17" t="inlineStr">
        <is>
          <t>02 HTTP</t>
        </is>
      </c>
      <c r="C17" s="17" t="inlineStr">
        <is>
          <t>Intermediate</t>
        </is>
      </c>
      <c r="D17" s="17" t="n">
        <v>15</v>
      </c>
      <c r="E17" s="17" t="inlineStr">
        <is>
          <t>Claude knowledge</t>
        </is>
      </c>
      <c r="F17" s="18" t="inlineStr">
        <is>
          <t>Stateless requests, cookies and tokens</t>
        </is>
      </c>
      <c r="G17" s="18" t="inlineStr">
        <is>
          <t>Why must a client send its identity again on every request, and what are the common ways to do so?</t>
        </is>
      </c>
      <c r="H17" s="18" t="inlineStr">
        <is>
          <t>HTTP concept</t>
        </is>
      </c>
      <c r="I17" s="18" t="inlineStr">
        <is>
          <t>High</t>
        </is>
      </c>
      <c r="J17" s="18" t="n">
        <v>4</v>
      </c>
      <c r="K17" s="18" t="inlineStr">
        <is>
          <t>HTTP was built so servers keep no memory between requests, which makes it scalable, so identity has to be carried with every call.</t>
        </is>
      </c>
      <c r="L17" s="18" t="inlineStr">
        <is>
          <t>For APIs used by apps and scripts, prefer sending a token in the Authorization header over relying on cookies.</t>
        </is>
      </c>
      <c r="M17" s="18" t="inlineStr">
        <is>
          <t>HTTP is a shopkeeper with no memory, so you must show your membership card every time you visit.</t>
        </is>
      </c>
      <c r="N17" s="18" t="inlineStr">
        <is>
          <t>A person showing a card at a counter each time, even on the same day.</t>
        </is>
      </c>
      <c r="O17" s="18" t="inlineStr">
        <is>
          <t>The understanding that clears up why a login seems to vanish.</t>
        </is>
      </c>
      <c r="P17" s="18" t="inlineStr">
        <is>
          <t>HTTP is stateless, meaning each request is independent, so clients identify themselves with each request using cookies or tokens.</t>
        </is>
      </c>
      <c r="Q17" s="17" t="n"/>
      <c r="R17" s="18" t="inlineStr">
        <is>
          <t>A cookie is a small value the server sets and the browser stores and sends back automatically. A token, such as a Bearer token, is a value your code stores and sends in the Authorization header. Stateless design lets any server handle any request, which helps scaling.</t>
        </is>
      </c>
      <c r="S17" s="18" t="inlineStr">
        <is>
          <t>The server forgets you after each call, so you send proof each time. Browsers do this with cookies automatically, and API clients usually send a token in a header.</t>
        </is>
      </c>
      <c r="T17" s="18" t="inlineStr">
        <is>
          <t>It is like a shopkeeper with no memory, so you show your membership card on every visit.</t>
        </is>
      </c>
      <c r="U17" s="18" t="inlineStr">
        <is>
          <t>Stateless = identity sent with every request (cookie or token)</t>
        </is>
      </c>
      <c r="V17" s="18" t="inlineStr">
        <is>
          <t>A browser sends a session cookie automatically with each request.</t>
        </is>
      </c>
      <c r="W17" s="18" t="inlineStr">
        <is>
          <t>A script sends Authorization: Bearer abc123 with each call.</t>
        </is>
      </c>
      <c r="X17" s="18" t="inlineStr">
        <is>
          <t>A mobile app stores a token and attaches it to every request.</t>
        </is>
      </c>
      <c r="Y17" s="18" t="inlineStr">
        <is>
          <t>authentication, Bearer token, JWT, sessions</t>
        </is>
      </c>
      <c r="Z17" s="18" t="inlineStr">
        <is>
          <t>stateless, session, cookie, token, Authorization</t>
        </is>
      </c>
      <c r="AA17" s="18" t="inlineStr">
        <is>
          <t>Login systems | API authentication | Scalable backends</t>
        </is>
      </c>
      <c r="AB17" s="18" t="inlineStr">
        <is>
          <t>A: Why do I have to send my token on every request? | B: Because HTTP is stateless and the server does not remember you between calls.</t>
        </is>
      </c>
      <c r="AC17" s="18" t="inlineStr">
        <is>
          <t>✗ After I log in once the server remembers me by itself → ✓ The server remembers nothing, so your client must send a cookie or token with every request</t>
        </is>
      </c>
      <c r="AD17" s="18" t="inlineStr">
        <is>
          <t>Cookie vs token: a cookie is stored and sent automatically by the browser, a token is stored and attached by your code.</t>
        </is>
      </c>
      <c r="AE17" s="18" t="inlineStr">
        <is>
          <t>Do not rely on cookies for non-browser API clients.</t>
        </is>
      </c>
      <c r="AF17" s="18" t="inlineStr">
        <is>
          <t>Stateless means show your card every time.</t>
        </is>
      </c>
      <c r="AG17" s="18" t="inlineStr">
        <is>
          <t>Attaching a stored access token to every request through one shared function.</t>
        </is>
      </c>
      <c r="AH17" s="18" t="inlineStr">
        <is>
          <t>An interviewer may ask: What does stateless mean in HTTP?</t>
        </is>
      </c>
      <c r="AI17" s="18" t="inlineStr">
        <is>
          <t>It is like showing your membership card on every visit.</t>
        </is>
      </c>
      <c r="AJ17" s="18" t="inlineStr">
        <is>
          <t>What does it mean that HTTP is stateless?</t>
        </is>
      </c>
      <c r="AK17" s="18" t="inlineStr">
        <is>
          <t>A) The server stores every user B) It only works with cookies C) It never fails D) The server keeps no memory between requests</t>
        </is>
      </c>
      <c r="AL17" s="18" t="inlineStr">
        <is>
          <t>D</t>
        </is>
      </c>
      <c r="AM17" s="18" t="inlineStr">
        <is>
          <t>Each request stands alone, so identity must be sent every time.</t>
        </is>
      </c>
      <c r="AN17" s="18" t="inlineStr">
        <is>
          <t>Browsers send a small stored value called a ____ automatically → cookie</t>
        </is>
      </c>
      <c r="AO17" s="18" t="inlineStr">
        <is>
          <t>How does a script prove who it is on every call? → By sending a token in the Authorization header</t>
        </is>
      </c>
      <c r="AP17" s="18" t="inlineStr">
        <is>
          <t>Explain stateless requests in three lines.</t>
        </is>
      </c>
      <c r="AQ17" s="18" t="inlineStr">
        <is>
          <t>Write how your favourite app might keep you logged in using a token.</t>
        </is>
      </c>
      <c r="AR17" s="17">
        <f>IF(J17="","",REPT("★",J17)&amp;REPT("☆",5-J17)&amp;" ("&amp;J17&amp;"/5)")</f>
        <v/>
      </c>
      <c r="AS17" s="17">
        <f>IF(Q17="","","Meaning: "&amp;Q17&amp;"  =  ______   (Answer: "&amp;F17&amp;")")</f>
        <v/>
      </c>
      <c r="AT17" s="17" t="inlineStr">
        <is>
          <t>New</t>
        </is>
      </c>
      <c r="AU17" s="17" t="n"/>
      <c r="AV17" s="17" t="n"/>
      <c r="AW17" s="17" t="n"/>
      <c r="AX17" s="17" t="n"/>
      <c r="AY17" s="17" t="n"/>
      <c r="AZ17" s="17" t="n"/>
      <c r="BA17" s="17" t="n"/>
      <c r="BB17" s="17" t="n"/>
    </row>
    <row r="18" ht="81" customHeight="1">
      <c r="A18" s="17" t="inlineStr">
        <is>
          <t>API-016</t>
        </is>
      </c>
      <c r="B18" s="17" t="inlineStr">
        <is>
          <t>03 Data formats</t>
        </is>
      </c>
      <c r="C18" s="17" t="inlineStr">
        <is>
          <t>Beginner</t>
        </is>
      </c>
      <c r="D18" s="17" t="n">
        <v>16</v>
      </c>
      <c r="E18" s="17" t="inlineStr">
        <is>
          <t>Claude knowledge</t>
        </is>
      </c>
      <c r="F18" s="18" t="inlineStr">
        <is>
          <t>JSON</t>
        </is>
      </c>
      <c r="G18" s="18" t="inlineStr">
        <is>
          <t>Which lightweight text format, built from curly braces and square brackets, do most web APIs use to send data?</t>
        </is>
      </c>
      <c r="H18" s="18" t="inlineStr">
        <is>
          <t>Data format</t>
        </is>
      </c>
      <c r="I18" s="18" t="inlineStr">
        <is>
          <t>Very high</t>
        </is>
      </c>
      <c r="J18" s="18" t="n">
        <v>5</v>
      </c>
      <c r="K18" s="18" t="inlineStr">
        <is>
          <t>JSON grew out of JavaScript's object syntax in the early 2000s and became popular because it is easy for people to read and for programs to parse.</t>
        </is>
      </c>
      <c r="L18" s="18" t="inlineStr">
        <is>
          <t>Use a JSON formatter or your browser's viewer to read long responses more easily.</t>
        </is>
      </c>
      <c r="M18" s="18" t="inlineStr">
        <is>
          <t>JSON is a neatly labelled box of boxes, where every item has a name tag.</t>
        </is>
      </c>
      <c r="N18" s="18" t="inlineStr">
        <is>
          <t>Curly braces holding named fields, with a square-bracket list inside one of them.</t>
        </is>
      </c>
      <c r="O18" s="18" t="inlineStr">
        <is>
          <t>The ease of reading data that looks almost like plain English.</t>
        </is>
      </c>
      <c r="P18" s="18" t="inlineStr">
        <is>
          <t>JSON is a text format for data made of objects (name and value pairs), arrays (lists), strings, numbers, true or false, and null.</t>
        </is>
      </c>
      <c r="Q18" s="17" t="n"/>
      <c r="R18" s="18" t="inlineStr">
        <is>
          <t>Objects use curly braces with double-quoted keys, arrays use square brackets, and values can be nested. JSON has no comments, no trailing commas and no single quotes for strings. Almost every language can convert JSON text into its own objects.</t>
        </is>
      </c>
      <c r="S18" s="18" t="inlineStr">
        <is>
          <t>JSON writes data as named fields. For example {"name": "Asha", "age": 21} is an object with two fields, and a list is written in square brackets.</t>
        </is>
      </c>
      <c r="T18" s="18" t="inlineStr">
        <is>
          <t>It is like a labelled box that can hold smaller labelled boxes.</t>
        </is>
      </c>
      <c r="U18" s="18" t="inlineStr">
        <is>
          <t>{"key": value} for objects, [a, b] for lists</t>
        </is>
      </c>
      <c r="V18" s="18" t="inlineStr">
        <is>
          <t>{"name": "Asha", "age": 21} is an object.</t>
        </is>
      </c>
      <c r="W18" s="18" t="inlineStr">
        <is>
          <t>["red", "green", "blue"] is an array of strings.</t>
        </is>
      </c>
      <c r="X18" s="18" t="inlineStr">
        <is>
          <t>{"user": {"id": 7, "tags": ["new", "vip"]}} nests an object and an array.</t>
        </is>
      </c>
      <c r="Y18" s="18" t="inlineStr">
        <is>
          <t>parsing JSON, Content-Type, REST, XML</t>
        </is>
      </c>
      <c r="Z18" s="18" t="inlineStr">
        <is>
          <t>object, array, key, value, null</t>
        </is>
      </c>
      <c r="AA18" s="18" t="inlineStr">
        <is>
          <t>Almost every web API | Configuration files | Data exchange</t>
        </is>
      </c>
      <c r="AB18" s="18" t="inlineStr">
        <is>
          <t>A: My JSON will not parse. | B: Check for single quotes or a trailing comma, since JSON allows neither.</t>
        </is>
      </c>
      <c r="AC18" s="18" t="inlineStr">
        <is>
          <t>✗ JSON allows single quotes and comments like JavaScript → ✓ JSON requires double quotes for keys and strings and allows no comments or trailing commas</t>
        </is>
      </c>
      <c r="AD18" s="18" t="inlineStr">
        <is>
          <t>JSON vs a JavaScript object: JSON is text with strict rules, a JavaScript object lives in memory.</t>
        </is>
      </c>
      <c r="AE18" s="18" t="inlineStr">
        <is>
          <t>Do not hand-write JSON with trailing commas.</t>
        </is>
      </c>
      <c r="AF18" s="18" t="inlineStr">
        <is>
          <t>JSON needs double quotes and no trailing commas.</t>
        </is>
      </c>
      <c r="AG18" s="18" t="inlineStr">
        <is>
          <t>Reading a JSON response from an orders API and showing the items in a table.</t>
        </is>
      </c>
      <c r="AH18" s="18" t="inlineStr">
        <is>
          <t>An interviewer may ask: What data types does JSON support?</t>
        </is>
      </c>
      <c r="AI18" s="18" t="inlineStr">
        <is>
          <t>It is like a labelled box that can hold smaller labelled boxes.</t>
        </is>
      </c>
      <c r="AJ18" s="18" t="inlineStr">
        <is>
          <t>Which of these is a rule of valid JSON?</t>
        </is>
      </c>
      <c r="AK18" s="18" t="inlineStr">
        <is>
          <t>A) A trailing comma is allowed B) Comments may be added anywhere C) Keys and text values use double quotes D) Keys may be written without quotes</t>
        </is>
      </c>
      <c r="AL18" s="18" t="inlineStr">
        <is>
          <t>C</t>
        </is>
      </c>
      <c r="AM18" s="18" t="inlineStr">
        <is>
          <t>JSON needs double-quoted keys and no trailing commas.</t>
        </is>
      </c>
      <c r="AN18" s="18" t="inlineStr">
        <is>
          <t>In JSON a list of values is written inside square ____ → brackets</t>
        </is>
      </c>
      <c r="AO18" s="18" t="inlineStr">
        <is>
          <t>How do you write a list of three colours in JSON? → ["red", "green", "blue"]</t>
        </is>
      </c>
      <c r="AP18" s="18" t="inlineStr">
        <is>
          <t>Explain JSON in three lines.</t>
        </is>
      </c>
      <c r="AQ18" s="18" t="inlineStr">
        <is>
          <t>Write a JSON object that describes a book with a title, author and tags.</t>
        </is>
      </c>
      <c r="AR18" s="17">
        <f>IF(J18="","",REPT("★",J18)&amp;REPT("☆",5-J18)&amp;" ("&amp;J18&amp;"/5)")</f>
        <v/>
      </c>
      <c r="AS18" s="17">
        <f>IF(Q18="","","Meaning: "&amp;Q18&amp;"  =  ______   (Answer: "&amp;F18&amp;")")</f>
        <v/>
      </c>
      <c r="AT18" s="17" t="inlineStr">
        <is>
          <t>New</t>
        </is>
      </c>
      <c r="AU18" s="17" t="n"/>
      <c r="AV18" s="17" t="n"/>
      <c r="AW18" s="17" t="n"/>
      <c r="AX18" s="17" t="n"/>
      <c r="AY18" s="17" t="n"/>
      <c r="AZ18" s="17" t="n"/>
      <c r="BA18" s="17" t="n"/>
      <c r="BB18" s="17" t="n"/>
    </row>
    <row r="19" ht="81" customHeight="1">
      <c r="A19" s="17" t="inlineStr">
        <is>
          <t>API-018</t>
        </is>
      </c>
      <c r="B19" s="17" t="inlineStr">
        <is>
          <t>03 Data formats</t>
        </is>
      </c>
      <c r="C19" s="17" t="inlineStr">
        <is>
          <t>Intermediate</t>
        </is>
      </c>
      <c r="D19" s="17" t="n">
        <v>18</v>
      </c>
      <c r="E19" s="17" t="inlineStr">
        <is>
          <t>Claude knowledge</t>
        </is>
      </c>
      <c r="F19" s="18" t="inlineStr">
        <is>
          <t>XML</t>
        </is>
      </c>
      <c r="G19" s="18" t="inlineStr">
        <is>
          <t>Which older tag-based format do some enterprise and SOAP APIs still use instead of JSON?</t>
        </is>
      </c>
      <c r="H19" s="18" t="inlineStr">
        <is>
          <t>Data format</t>
        </is>
      </c>
      <c r="I19" s="18" t="inlineStr">
        <is>
          <t>Medium</t>
        </is>
      </c>
      <c r="J19" s="18" t="n">
        <v>2</v>
      </c>
      <c r="K19" s="18" t="inlineStr">
        <is>
          <t>XML was standardised in the late 1990s as a flexible way to describe data with custom tags, and it dominated enterprise web services before JSON became popular.</t>
        </is>
      </c>
      <c r="L19" s="18" t="inlineStr">
        <is>
          <t>You may meet XML in older banking, government and enterprise integrations, so learn to read it even if you prefer JSON.</t>
        </is>
      </c>
      <c r="M19" s="18" t="inlineStr">
        <is>
          <t>XML is a form where every field is wrapped in an opening and closing tag.</t>
        </is>
      </c>
      <c r="N19" s="18" t="inlineStr">
        <is>
          <t>Nested angle-bracket tags such as user, name and email, each closed properly.</t>
        </is>
      </c>
      <c r="O19" s="18" t="inlineStr">
        <is>
          <t>The calm of recognising an old format instead of fearing it.</t>
        </is>
      </c>
      <c r="P19" s="18" t="inlineStr">
        <is>
          <t>XML is a text format that wraps data in opening and closing tags, such as &lt;name&gt;Asha&lt;/name&gt;, and is used by SOAP and some older APIs.</t>
        </is>
      </c>
      <c r="Q19" s="17" t="n"/>
      <c r="R19" s="18" t="inlineStr">
        <is>
          <t>Every element has a start and end tag and elements nest inside each other. XML can also carry attributes and namespaces, which makes it verbose compared with JSON. SOAP is a protocol that sends XML messages over HTTP with a strict structure.</t>
        </is>
      </c>
      <c r="S19" s="18" t="inlineStr">
        <is>
          <t>XML wraps each value in tags, like &lt;name&gt;Asha&lt;/name&gt;. It is wordier than JSON, but you will still find it in older systems.</t>
        </is>
      </c>
      <c r="T19" s="18" t="inlineStr">
        <is>
          <t>It is like a form where every answer is placed between a start label and an end label.</t>
        </is>
      </c>
      <c r="U19" s="18" t="inlineStr">
        <is>
          <t>&lt;tag&gt;value&lt;/tag&gt;</t>
        </is>
      </c>
      <c r="V19" s="18" t="inlineStr">
        <is>
          <t>&lt;user&gt;&lt;name&gt;Asha&lt;/name&gt;&lt;/user&gt; nests a name inside a user.</t>
        </is>
      </c>
      <c r="W19" s="18" t="inlineStr">
        <is>
          <t>A SOAP request that wraps its data in an XML envelope.</t>
        </is>
      </c>
      <c r="X19" s="18" t="inlineStr">
        <is>
          <t>An RSS feed, which is an XML file listing articles.</t>
        </is>
      </c>
      <c r="Y19" s="18" t="inlineStr">
        <is>
          <t>JSON, SOAP, Content-Type, parsing</t>
        </is>
      </c>
      <c r="Z19" s="18" t="inlineStr">
        <is>
          <t>tag, element, attribute, namespace, SOAP</t>
        </is>
      </c>
      <c r="AA19" s="18" t="inlineStr">
        <is>
          <t>Legacy enterprise APIs | SOAP services | Feeds such as RSS</t>
        </is>
      </c>
      <c r="AB19" s="18" t="inlineStr">
        <is>
          <t>A: This bank API returns tags, not JSON. | B: It uses XML, so set the Accept header and use an XML parser.</t>
        </is>
      </c>
      <c r="AC19" s="18" t="inlineStr">
        <is>
          <t>✗ XML is obsolete and never used → ✓ XML is still used in many enterprise, banking and feed integrations</t>
        </is>
      </c>
      <c r="AD19" s="18" t="inlineStr">
        <is>
          <t>JSON vs XML: JSON is shorter and easier to read, XML is more verbose but supports attributes and strict schemas.</t>
        </is>
      </c>
      <c r="AE19" s="18" t="inlineStr">
        <is>
          <t>Do not parse XML with regular expressions, use a real XML parser.</t>
        </is>
      </c>
      <c r="AF19" s="18" t="inlineStr">
        <is>
          <t>XML closes every tag it opens.</t>
        </is>
      </c>
      <c r="AG19" s="18" t="inlineStr">
        <is>
          <t>Integrating with a legacy partner system that only offers a SOAP service.</t>
        </is>
      </c>
      <c r="AH19" s="18" t="inlineStr">
        <is>
          <t>An interviewer may ask: How do JSON and XML differ?</t>
        </is>
      </c>
      <c r="AI19" s="18" t="inlineStr">
        <is>
          <t>It is like a form where every answer sits between a start and an end label.</t>
        </is>
      </c>
      <c r="AJ19" s="18" t="inlineStr">
        <is>
          <t>How is a value written in XML?</t>
        </is>
      </c>
      <c r="AK19" s="18" t="inlineStr">
        <is>
          <t>A) In a table B) Between opening and closing tags C) After an equals sign D) Inside curly braces</t>
        </is>
      </c>
      <c r="AL19" s="18" t="inlineStr">
        <is>
          <t>B</t>
        </is>
      </c>
      <c r="AM19" s="18" t="inlineStr">
        <is>
          <t>XML wraps values in matching tags.</t>
        </is>
      </c>
      <c r="AN19" s="18" t="inlineStr">
        <is>
          <t>The protocol that sends XML messages over HTTP is called ____ → SOAP</t>
        </is>
      </c>
      <c r="AO19" s="18" t="inlineStr">
        <is>
          <t>A legacy API returns tags instead of JSON. What format is it likely using? → XML</t>
        </is>
      </c>
      <c r="AP19" s="18" t="inlineStr">
        <is>
          <t>Explain XML in three lines.</t>
        </is>
      </c>
      <c r="AQ19" s="18" t="inlineStr">
        <is>
          <t>Write an XML snippet for a book with a title and an author.</t>
        </is>
      </c>
      <c r="AR19" s="17">
        <f>IF(J19="","",REPT("★",J19)&amp;REPT("☆",5-J19)&amp;" ("&amp;J19&amp;"/5)")</f>
        <v/>
      </c>
      <c r="AS19" s="17">
        <f>IF(Q19="","","Meaning: "&amp;Q19&amp;"  =  ______   (Answer: "&amp;F19&amp;")")</f>
        <v/>
      </c>
      <c r="AT19" s="17" t="inlineStr">
        <is>
          <t>New</t>
        </is>
      </c>
      <c r="AU19" s="17" t="n"/>
      <c r="AV19" s="17" t="n"/>
      <c r="AW19" s="17" t="n"/>
      <c r="AX19" s="17" t="n"/>
      <c r="AY19" s="17" t="n"/>
      <c r="AZ19" s="17" t="n"/>
      <c r="BA19" s="17" t="n"/>
      <c r="BB19" s="17" t="n"/>
    </row>
    <row r="20" ht="94.5" customHeight="1">
      <c r="A20" s="17" t="inlineStr">
        <is>
          <t>API-019</t>
        </is>
      </c>
      <c r="B20" s="17" t="inlineStr">
        <is>
          <t>03 Data formats</t>
        </is>
      </c>
      <c r="C20" s="17" t="inlineStr">
        <is>
          <t>Intermediate</t>
        </is>
      </c>
      <c r="D20" s="17" t="n">
        <v>19</v>
      </c>
      <c r="E20" s="17" t="inlineStr">
        <is>
          <t>Claude knowledge</t>
        </is>
      </c>
      <c r="F20" s="18" t="inlineStr">
        <is>
          <t>Form data vs JSON bodies</t>
        </is>
      </c>
      <c r="G20" s="18" t="inlineStr">
        <is>
          <t>Which two common body formats differ as key=value pairs joined by ampersands and as structured text with braces?</t>
        </is>
      </c>
      <c r="H20" s="18" t="inlineStr">
        <is>
          <t>Data format</t>
        </is>
      </c>
      <c r="I20" s="18" t="inlineStr">
        <is>
          <t>Medium</t>
        </is>
      </c>
      <c r="J20" s="18" t="n">
        <v>3</v>
      </c>
      <c r="K20" s="18" t="inlineStr">
        <is>
          <t>HTML forms were built first and send simple key and value pairs, while modern APIs needed nested data, so JSON bodies became the norm for APIs.</t>
        </is>
      </c>
      <c r="L20" s="18" t="inlineStr">
        <is>
          <t>Use JSON for APIs unless the provider documentation asks for form encoding or file uploads.</t>
        </is>
      </c>
      <c r="M20" s="18" t="inlineStr">
        <is>
          <t>Form data is a flat list on a slip, while JSON is a filing cabinet with folders.</t>
        </is>
      </c>
      <c r="N20" s="18" t="inlineStr">
        <is>
          <t>One line of key=value pairs beside a nested block of braces.</t>
        </is>
      </c>
      <c r="O20" s="18" t="inlineStr">
        <is>
          <t>The relief of choosing the format the documentation expects.</t>
        </is>
      </c>
      <c r="P20" s="18" t="inlineStr">
        <is>
          <t>Form encoding sends flat key and value pairs, such as name=Asha&amp;age=21, while a JSON body sends structured data, and multipart form data is used for files.</t>
        </is>
      </c>
      <c r="Q20" s="17" t="n"/>
      <c r="R20" s="18" t="inlineStr">
        <is>
          <t>application/x-www-form-urlencoded is the default for simple HTML forms. multipart/form-data lets you send files together with fields. application/json suits nested objects and lists. Some older or auth endpoints, such as certain OAuth token endpoints, expect form encoding, so always follow the docs.</t>
        </is>
      </c>
      <c r="S20" s="18" t="inlineStr">
        <is>
          <t>Forms send flat pairs, JSON sends structured data, and multipart sends files. Pick the one the API documentation asks for.</t>
        </is>
      </c>
      <c r="T20" s="18" t="inlineStr">
        <is>
          <t>Form data is a flat list on a slip, and JSON is a filing cabinet with folders.</t>
        </is>
      </c>
      <c r="U20" s="18" t="inlineStr">
        <is>
          <t>urlencoded = flat pairs. JSON = nested. multipart = files.</t>
        </is>
      </c>
      <c r="V20" s="18" t="inlineStr">
        <is>
          <t>name=Asha&amp;age=21 sent as form-encoded data.</t>
        </is>
      </c>
      <c r="W20" s="18" t="inlineStr">
        <is>
          <t>{"name": "Asha", "tags": ["new"]} sent as JSON.</t>
        </is>
      </c>
      <c r="X20" s="18" t="inlineStr">
        <is>
          <t>A profile photo uploaded as multipart form data.</t>
        </is>
      </c>
      <c r="Y20" s="18" t="inlineStr">
        <is>
          <t>request body, Content-Type, JSON, OAuth</t>
        </is>
      </c>
      <c r="Z20" s="18" t="inlineStr">
        <is>
          <t>urlencoded, multipart, JSON, form, upload</t>
        </is>
      </c>
      <c r="AA20" s="18" t="inlineStr">
        <is>
          <t>Login forms | File uploads | OAuth token requests</t>
        </is>
      </c>
      <c r="AB20" s="18" t="inlineStr">
        <is>
          <t>A: The token endpoint rejects my JSON. | B: It may expect form-encoded data, so check the docs and Content-Type.</t>
        </is>
      </c>
      <c r="AC20" s="18" t="inlineStr">
        <is>
          <t>✗ Every API accepts JSON bodies → ✓ Some endpoints expect form-encoded or multipart bodies, so follow the documentation</t>
        </is>
      </c>
      <c r="AD20" s="18" t="inlineStr">
        <is>
          <t>JSON vs form encoding: JSON handles nested data, form encoding handles flat pairs.</t>
        </is>
      </c>
      <c r="AE20" s="18" t="inlineStr">
        <is>
          <t>Do not guess the body format, read the endpoint's documentation.</t>
        </is>
      </c>
      <c r="AF20" s="18" t="inlineStr">
        <is>
          <t>Form is flat, JSON is nested, multipart is for files.</t>
        </is>
      </c>
      <c r="AG20" s="18" t="inlineStr">
        <is>
          <t>Uploading a profile photo as multipart form data alongside a user id.</t>
        </is>
      </c>
      <c r="AH20" s="18" t="inlineStr">
        <is>
          <t>An interviewer may ask: When would you use multipart form data?</t>
        </is>
      </c>
      <c r="AI20" s="18" t="inlineStr">
        <is>
          <t>It is like a flat slip versus a filing cabinet with folders.</t>
        </is>
      </c>
      <c r="AJ20" s="18" t="inlineStr">
        <is>
          <t>Which format is used to upload files together with fields?</t>
        </is>
      </c>
      <c r="AK20" s="18" t="inlineStr">
        <is>
          <t>A) application/xml B) application/json C) multipart/form-data D) text/plain</t>
        </is>
      </c>
      <c r="AL20" s="18" t="inlineStr">
        <is>
          <t>C</t>
        </is>
      </c>
      <c r="AM20" s="18" t="inlineStr">
        <is>
          <t>Multipart form data can carry files and fields.</t>
        </is>
      </c>
      <c r="AN20" s="18" t="inlineStr">
        <is>
          <t>Flat key and value pairs joined by ampersands are called form-____ → urlencoded</t>
        </is>
      </c>
      <c r="AO20" s="18" t="inlineStr">
        <is>
          <t>A token endpoint rejects your JSON body. What may it expect? → Form-encoded data</t>
        </is>
      </c>
      <c r="AP20" s="18" t="inlineStr">
        <is>
          <t>Explain form data and JSON bodies in three lines.</t>
        </is>
      </c>
      <c r="AQ20" s="18" t="inlineStr">
        <is>
          <t>Write one example body each in form encoding and in JSON for the same user.</t>
        </is>
      </c>
      <c r="AR20" s="17">
        <f>IF(J20="","",REPT("★",J20)&amp;REPT("☆",5-J20)&amp;" ("&amp;J20&amp;"/5)")</f>
        <v/>
      </c>
      <c r="AS20" s="17">
        <f>IF(Q20="","","Meaning: "&amp;Q20&amp;"  =  ______   (Answer: "&amp;F20&amp;")")</f>
        <v/>
      </c>
      <c r="AT20" s="17" t="inlineStr">
        <is>
          <t>New</t>
        </is>
      </c>
      <c r="AU20" s="17" t="n"/>
      <c r="AV20" s="17" t="n"/>
      <c r="AW20" s="17" t="n"/>
      <c r="AX20" s="17" t="n"/>
      <c r="AY20" s="17" t="n"/>
      <c r="AZ20" s="17" t="n"/>
      <c r="BA20" s="17" t="n"/>
      <c r="BB20" s="17" t="n"/>
    </row>
    <row r="21" ht="81" customHeight="1">
      <c r="A21" s="17" t="inlineStr">
        <is>
          <t>API-021</t>
        </is>
      </c>
      <c r="B21" s="17" t="inlineStr">
        <is>
          <t>04 Authentication</t>
        </is>
      </c>
      <c r="C21" s="17" t="inlineStr">
        <is>
          <t>Beginner</t>
        </is>
      </c>
      <c r="D21" s="17" t="n">
        <v>21</v>
      </c>
      <c r="E21" s="17" t="inlineStr">
        <is>
          <t>Claude knowledge</t>
        </is>
      </c>
      <c r="F21" s="18" t="inlineStr">
        <is>
          <t>Basic authentication</t>
        </is>
      </c>
      <c r="G21" s="18" t="inlineStr">
        <is>
          <t>Which simple scheme sends a username and password as one encoded string in the Authorization header?</t>
        </is>
      </c>
      <c r="H21" s="18" t="inlineStr">
        <is>
          <t>Authentication method</t>
        </is>
      </c>
      <c r="I21" s="18" t="inlineStr">
        <is>
          <t>Medium</t>
        </is>
      </c>
      <c r="J21" s="18" t="n">
        <v>3</v>
      </c>
      <c r="K21" s="18" t="inlineStr">
        <is>
          <t>Early web servers needed a very simple way to check a username and password, so Basic authentication defined a standard header for them.</t>
        </is>
      </c>
      <c r="L21" s="18" t="inlineStr">
        <is>
          <t>Use Basic authentication only over HTTPS, since the credentials are not encrypted.</t>
        </is>
      </c>
      <c r="M21" s="18" t="inlineStr">
        <is>
          <t>Basic auth is writing your username and password on a postcard in a code anyone can read.</t>
        </is>
      </c>
      <c r="N21" s="18" t="inlineStr">
        <is>
          <t>A header holding the word Basic followed by a jumble of letters that decodes to a username and password.</t>
        </is>
      </c>
      <c r="O21" s="18" t="inlineStr">
        <is>
          <t>The caution of knowing a simple scheme is easy to misuse.</t>
        </is>
      </c>
      <c r="P21" s="18" t="inlineStr">
        <is>
          <t>Basic authentication joins the username and password with a colon, encodes them with Base64, and sends them as Authorization: Basic followed by that text.</t>
        </is>
      </c>
      <c r="Q21" s="17" t="n"/>
      <c r="R21" s="18" t="inlineStr">
        <is>
          <t>Base64 is an encoding, not encryption, so anyone who sees the header can decode it. Over HTTPS the whole request is encrypted in transit, which makes Basic acceptable for simple internal tools. Many modern APIs use API keys or tokens instead.</t>
        </is>
      </c>
      <c r="S21" s="18" t="inlineStr">
        <is>
          <t>Basic auth sends your username and password in a simple encoded form on every request. It is easy to use but only safe over HTTPS.</t>
        </is>
      </c>
      <c r="T21" s="18" t="inlineStr">
        <is>
          <t>It is like writing your login on a postcard in a code anyone can read.</t>
        </is>
      </c>
      <c r="U21" s="18" t="inlineStr">
        <is>
          <t>Authorization: Basic base64(username:password)</t>
        </is>
      </c>
      <c r="V21" s="18" t="inlineStr">
        <is>
          <t>Authorization: Basic YXNoYTpzZWNyZXQ= is the encoded form of asha:secret.</t>
        </is>
      </c>
      <c r="W21" s="18" t="inlineStr">
        <is>
          <t>curl -u asha:secret https://api.example.com/v1/me makes curl build the header.</t>
        </is>
      </c>
      <c r="X21" s="18" t="inlineStr">
        <is>
          <t>A legacy internal tool that still uses Basic authentication behind HTTPS.</t>
        </is>
      </c>
      <c r="Y21" s="18" t="inlineStr">
        <is>
          <t>HTTPS, Bearer token, API key, Base64</t>
        </is>
      </c>
      <c r="Z21" s="18" t="inlineStr">
        <is>
          <t>Basic, Base64, Authorization, credentials</t>
        </is>
      </c>
      <c r="AA21" s="18" t="inlineStr">
        <is>
          <t>Simple internal APIs | Legacy services | Quick tests</t>
        </is>
      </c>
      <c r="AB21" s="18" t="inlineStr">
        <is>
          <t>A: Is Base64 enough to hide the password? | B: No, it is only an encoding, so use HTTPS and prefer tokens.</t>
        </is>
      </c>
      <c r="AC21" s="18" t="inlineStr">
        <is>
          <t>✗ Base64 encryption makes Basic authentication secure on its own → ✓ Base64 is only an encoding that anyone can decode, so HTTPS is essential</t>
        </is>
      </c>
      <c r="AD21" s="18" t="inlineStr">
        <is>
          <t>Basic auth vs token auth: Basic sends the password every time, tokens send a temporary proof.</t>
        </is>
      </c>
      <c r="AE21" s="18" t="inlineStr">
        <is>
          <t>Do not use Basic authentication over plain HTTP.</t>
        </is>
      </c>
      <c r="AF21" s="18" t="inlineStr">
        <is>
          <t>Basic means encoded, not hidden.</t>
        </is>
      </c>
      <c r="AG21" s="18" t="inlineStr">
        <is>
          <t>Using Basic authentication with a service account on an internal reporting API.</t>
        </is>
      </c>
      <c r="AH21" s="18" t="inlineStr">
        <is>
          <t>An interviewer may ask: Why is Basic authentication considered weak?</t>
        </is>
      </c>
      <c r="AI21" s="18" t="inlineStr">
        <is>
          <t>It is like writing a login on a postcard in a code anyone can read.</t>
        </is>
      </c>
      <c r="AJ21" s="18" t="inlineStr">
        <is>
          <t>What does Base64 do to the credentials in Basic authentication?</t>
        </is>
      </c>
      <c r="AK21" s="18" t="inlineStr">
        <is>
          <t>A) Deletes them B) Encodes them, not encrypts C) Hashes them D) Encrypts them strongly</t>
        </is>
      </c>
      <c r="AL21" s="18" t="inlineStr">
        <is>
          <t>B</t>
        </is>
      </c>
      <c r="AM21" s="18" t="inlineStr">
        <is>
          <t>Base64 is reversible encoding, so it gives no protection by itself.</t>
        </is>
      </c>
      <c r="AN21" s="18" t="inlineStr">
        <is>
          <t>Basic authentication should only be used over ____ → HTTPS</t>
        </is>
      </c>
      <c r="AO21" s="18" t="inlineStr">
        <is>
          <t>How can curl add Basic authentication to a request? → With the -u username:password option</t>
        </is>
      </c>
      <c r="AP21" s="18" t="inlineStr">
        <is>
          <t>Explain Basic authentication in three lines.</t>
        </is>
      </c>
      <c r="AQ21" s="18" t="inlineStr">
        <is>
          <t>Write why a token is a better choice than Basic authentication for a public API.</t>
        </is>
      </c>
      <c r="AR21" s="17">
        <f>IF(J21="","",REPT("★",J21)&amp;REPT("☆",5-J21)&amp;" ("&amp;J21&amp;"/5)")</f>
        <v/>
      </c>
      <c r="AS21" s="17">
        <f>IF(Q21="","","Meaning: "&amp;Q21&amp;"  =  ______   (Answer: "&amp;F21&amp;")")</f>
        <v/>
      </c>
      <c r="AT21" s="17" t="inlineStr">
        <is>
          <t>New</t>
        </is>
      </c>
      <c r="AU21" s="17" t="n"/>
      <c r="AV21" s="17" t="n"/>
      <c r="AW21" s="17" t="n"/>
      <c r="AX21" s="17" t="n"/>
      <c r="AY21" s="17" t="n"/>
      <c r="AZ21" s="17" t="n"/>
      <c r="BA21" s="17" t="n"/>
      <c r="BB21" s="17" t="n"/>
    </row>
    <row r="22" ht="108" customHeight="1">
      <c r="A22" s="17" t="inlineStr">
        <is>
          <t>API-023</t>
        </is>
      </c>
      <c r="B22" s="17" t="inlineStr">
        <is>
          <t>04 Authentication</t>
        </is>
      </c>
      <c r="C22" s="17" t="inlineStr">
        <is>
          <t>Intermediate</t>
        </is>
      </c>
      <c r="D22" s="17" t="n">
        <v>23</v>
      </c>
      <c r="E22" s="17" t="inlineStr">
        <is>
          <t>Claude knowledge</t>
        </is>
      </c>
      <c r="F22" s="18" t="inlineStr">
        <is>
          <t>OAuth 2.0</t>
        </is>
      </c>
      <c r="G22" s="18" t="inlineStr">
        <is>
          <t>Which standard lets a user allow an app to access their data on another service without sharing their password?</t>
        </is>
      </c>
      <c r="H22" s="18" t="inlineStr">
        <is>
          <t>Authorisation framework</t>
        </is>
      </c>
      <c r="I22" s="18" t="inlineStr">
        <is>
          <t>Very high</t>
        </is>
      </c>
      <c r="J22" s="18" t="n">
        <v>5</v>
      </c>
      <c r="K22" s="18" t="inlineStr">
        <is>
          <t>Apps used to ask users for their passwords to read data from other services, which was dangerous, so OAuth was created to grant limited access through tokens instead.</t>
        </is>
      </c>
      <c r="L22" s="18" t="inlineStr">
        <is>
          <t>Use the authorization code flow, with PKCE for apps that cannot keep a secret, rather than older shortcuts.</t>
        </is>
      </c>
      <c r="M22" s="18" t="inlineStr">
        <is>
          <t>OAuth is a hotel key card that opens only your room and expires, instead of handing over the master key.</t>
        </is>
      </c>
      <c r="N22" s="18" t="inlineStr">
        <is>
          <t>A user clicking Allow on a provider's screen, after which the app receives a limited key.</t>
        </is>
      </c>
      <c r="O22" s="18" t="inlineStr">
        <is>
          <t>The comfort of granting access without giving away a password.</t>
        </is>
      </c>
      <c r="P22" s="18" t="inlineStr">
        <is>
          <t>OAuth 2.0 is an authorisation framework in which a user grants an app limited access to their data on another service, and the app receives tokens instead of the user's password.</t>
        </is>
      </c>
      <c r="Q22" s="17" t="n"/>
      <c r="R22" s="18" t="inlineStr">
        <is>
          <t>In the authorization code flow, the app sends the user to the provider to log in and approve the requested scopes. The provider sends back a short-lived code, and the app exchanges it for an access token and often a refresh token. PKCE adds protection for apps that cannot store a secret, such as mobile and single-page apps.</t>
        </is>
      </c>
      <c r="S22" s="18" t="inlineStr">
        <is>
          <t>The user logs in at the provider, not at your app, and approves what you may do. Your app then gets a token with only those permissions.</t>
        </is>
      </c>
      <c r="T22" s="18" t="inlineStr">
        <is>
          <t>It is like a hotel key card that opens only your room and expires.</t>
        </is>
      </c>
      <c r="U22" s="18" t="inlineStr">
        <is>
          <t>User approves at the provider → app gets a code → app exchanges it for tokens</t>
        </is>
      </c>
      <c r="V22" s="18" t="inlineStr">
        <is>
          <t>A scheduling app asking permission to read your calendar.</t>
        </is>
      </c>
      <c r="W22" s="18" t="inlineStr">
        <is>
          <t>A website offering Sign in with a big provider's account.</t>
        </is>
      </c>
      <c r="X22" s="18" t="inlineStr">
        <is>
          <t>A mobile app using the authorization code flow with PKCE.</t>
        </is>
      </c>
      <c r="Y22" s="18" t="inlineStr">
        <is>
          <t>access token, refresh token, scopes, JWT</t>
        </is>
      </c>
      <c r="Z22" s="18" t="inlineStr">
        <is>
          <t>authorization code, PKCE, client id, client secret, redirect URI</t>
        </is>
      </c>
      <c r="AA22" s="18" t="inlineStr">
        <is>
          <t>Sign in with another account | Third-party app access | Enterprise integrations</t>
        </is>
      </c>
      <c r="AB22" s="18" t="inlineStr">
        <is>
          <t>A: Can our app read the user's files? | B: Only if the user approves through OAuth and we get a token with the right scopes.</t>
        </is>
      </c>
      <c r="AC22" s="18" t="inlineStr">
        <is>
          <t>✗ OAuth is a way to log users in → ✓ OAuth is about authorisation, meaning what an app may do, and login on top of it uses OpenID Connect</t>
        </is>
      </c>
      <c r="AD22" s="18" t="inlineStr">
        <is>
          <t>Authorisation vs authentication: OAuth says what an app may access, authentication proves who the user is.</t>
        </is>
      </c>
      <c r="AE22" s="18" t="inlineStr">
        <is>
          <t>Do not put a client secret inside a mobile or browser app.</t>
        </is>
      </c>
      <c r="AF22" s="18" t="inlineStr">
        <is>
          <t>OAuth lets a user say yes without sharing a password.</t>
        </is>
      </c>
      <c r="AG22" s="18" t="inlineStr">
        <is>
          <t>Letting users connect their calendar to a scheduling app through OAuth.</t>
        </is>
      </c>
      <c r="AH22" s="18" t="inlineStr">
        <is>
          <t>An interviewer may ask: Explain the authorization code flow in OAuth 2.0.</t>
        </is>
      </c>
      <c r="AI22" s="18" t="inlineStr">
        <is>
          <t>It is like a hotel key card that opens only your room.</t>
        </is>
      </c>
      <c r="AJ22" s="18" t="inlineStr">
        <is>
          <t>In OAuth 2.0, what does the app receive instead of the user's password?</t>
        </is>
      </c>
      <c r="AK22" s="18" t="inlineStr">
        <is>
          <t>A) A token B) A cookie banner C) A database D) A username</t>
        </is>
      </c>
      <c r="AL22" s="18" t="inlineStr">
        <is>
          <t>A</t>
        </is>
      </c>
      <c r="AM22" s="18" t="inlineStr">
        <is>
          <t>OAuth gives the app a token with limited permissions.</t>
        </is>
      </c>
      <c r="AN22" s="18" t="inlineStr">
        <is>
          <t>The extra protection for apps that cannot keep a secret is called ____ → PKCE</t>
        </is>
      </c>
      <c r="AO22" s="18" t="inlineStr">
        <is>
          <t>How does a user allow an app to read their calendar without sharing a password? → Through an OAuth consent screen at the provider</t>
        </is>
      </c>
      <c r="AP22" s="18" t="inlineStr">
        <is>
          <t>Explain OAuth 2.0 in three lines.</t>
        </is>
      </c>
      <c r="AQ22" s="18" t="inlineStr">
        <is>
          <t>Write the steps of the authorization code flow for a calendar app.</t>
        </is>
      </c>
      <c r="AR22" s="17">
        <f>IF(J22="","",REPT("★",J22)&amp;REPT("☆",5-J22)&amp;" ("&amp;J22&amp;"/5)")</f>
        <v/>
      </c>
      <c r="AS22" s="17">
        <f>IF(Q22="","","Meaning: "&amp;Q22&amp;"  =  ______   (Answer: "&amp;F22&amp;")")</f>
        <v/>
      </c>
      <c r="AT22" s="17" t="inlineStr">
        <is>
          <t>New</t>
        </is>
      </c>
      <c r="AU22" s="17" t="n"/>
      <c r="AV22" s="17" t="n"/>
      <c r="AW22" s="17" t="n"/>
      <c r="AX22" s="17" t="n"/>
      <c r="AY22" s="17" t="n"/>
      <c r="AZ22" s="17" t="n"/>
      <c r="BA22" s="17" t="n"/>
      <c r="BB22" s="17" t="n"/>
    </row>
    <row r="23" ht="94.5" customHeight="1">
      <c r="A23" s="17" t="inlineStr">
        <is>
          <t>API-024</t>
        </is>
      </c>
      <c r="B23" s="17" t="inlineStr">
        <is>
          <t>04 Authentication</t>
        </is>
      </c>
      <c r="C23" s="17" t="inlineStr">
        <is>
          <t>Intermediate</t>
        </is>
      </c>
      <c r="D23" s="17" t="n">
        <v>24</v>
      </c>
      <c r="E23" s="17" t="inlineStr">
        <is>
          <t>Claude knowledge</t>
        </is>
      </c>
      <c r="F23" s="18" t="inlineStr">
        <is>
          <t>Access token vs refresh token</t>
        </is>
      </c>
      <c r="G23" s="18" t="inlineStr">
        <is>
          <t>Which token is used on API calls and expires quickly, and which longer-lived one is used only to get a new one?</t>
        </is>
      </c>
      <c r="H23" s="18" t="inlineStr">
        <is>
          <t>Authentication concept</t>
        </is>
      </c>
      <c r="I23" s="18" t="inlineStr">
        <is>
          <t>High</t>
        </is>
      </c>
      <c r="J23" s="18" t="n">
        <v>4</v>
      </c>
      <c r="K23" s="18" t="inlineStr">
        <is>
          <t>Short-lived tokens limit the damage of theft, but asking users to log in again is annoying, so a second token was added to fetch new access tokens quietly.</t>
        </is>
      </c>
      <c r="L23" s="18" t="inlineStr">
        <is>
          <t>Store the refresh token more carefully than the access token, because it can mint new access tokens.</t>
        </is>
      </c>
      <c r="M23" s="18" t="inlineStr">
        <is>
          <t>The access token is a day pass for the gate, and the refresh token is the membership card you use to get a new day pass.</t>
        </is>
      </c>
      <c r="N23" s="18" t="inlineStr">
        <is>
          <t>A short-dated ticket for the gate beside a long-dated card kept in a safe.</t>
        </is>
      </c>
      <c r="O23" s="18" t="inlineStr">
        <is>
          <t>The ease of staying logged in without the risk of a permanent key.</t>
        </is>
      </c>
      <c r="P23" s="18" t="inlineStr">
        <is>
          <t>An access token is a short-lived credential sent with API calls, and a refresh token is a longer-lived credential used only to obtain new access tokens.</t>
        </is>
      </c>
      <c r="Q23" s="17" t="n"/>
      <c r="R23" s="18" t="inlineStr">
        <is>
          <t>Access tokens often last minutes or hours. When one expires and the API returns 401, the client sends the refresh token to the token endpoint and receives a new access token, and sometimes a new refresh token. If the refresh token is revoked or expired, the user must log in again.</t>
        </is>
      </c>
      <c r="S23" s="18" t="inlineStr">
        <is>
          <t>The access token opens the API but expires soon. The refresh token quietly gets a new access token so the user does not log in again.</t>
        </is>
      </c>
      <c r="T23" s="18" t="inlineStr">
        <is>
          <t>The access token is a day pass, and the refresh token is the membership card used to get another day pass.</t>
        </is>
      </c>
      <c r="U23" s="18" t="inlineStr">
        <is>
          <t>Access token = used for calls, short life. Refresh token = used to get new access tokens, longer life.</t>
        </is>
      </c>
      <c r="V23" s="18" t="inlineStr">
        <is>
          <t>An API call fails with 401 because the access token expired.</t>
        </is>
      </c>
      <c r="W23" s="18" t="inlineStr">
        <is>
          <t>The app sends the refresh token to the token endpoint and receives a new access token.</t>
        </is>
      </c>
      <c r="X23" s="18" t="inlineStr">
        <is>
          <t>A user logs in again because the refresh token was revoked.</t>
        </is>
      </c>
      <c r="Y23" s="18" t="inlineStr">
        <is>
          <t>OAuth 2.0, Bearer token, JWT, 401</t>
        </is>
      </c>
      <c r="Z23" s="18" t="inlineStr">
        <is>
          <t>access token, refresh token, expiry, token endpoint, revoke</t>
        </is>
      </c>
      <c r="AA23" s="18" t="inlineStr">
        <is>
          <t>Mobile apps | OAuth integrations | Long-running sessions</t>
        </is>
      </c>
      <c r="AB23" s="18" t="inlineStr">
        <is>
          <t>A: Users get logged out every hour. | B: Use the refresh token to get a new access token quietly when the old one expires.</t>
        </is>
      </c>
      <c r="AC23" s="18" t="inlineStr">
        <is>
          <t>✗ The refresh token should be sent with every API call → ✓ The refresh token is sent only to the token endpoint, and the access token is the one used on API calls</t>
        </is>
      </c>
      <c r="AD23" s="18" t="inlineStr">
        <is>
          <t>Access vs refresh token: the access token calls the API, the refresh token only gets new access tokens.</t>
        </is>
      </c>
      <c r="AE23" s="18" t="inlineStr">
        <is>
          <t>Do not send the refresh token to the API endpoints.</t>
        </is>
      </c>
      <c r="AF23" s="18" t="inlineStr">
        <is>
          <t>Access opens the door, refresh gets a new key.</t>
        </is>
      </c>
      <c r="AG23" s="18" t="inlineStr">
        <is>
          <t>Refreshing an expired access token automatically after a 401 response.</t>
        </is>
      </c>
      <c r="AH23" s="18" t="inlineStr">
        <is>
          <t>An interviewer may ask: Why do we need both an access token and a refresh token?</t>
        </is>
      </c>
      <c r="AI23" s="18" t="inlineStr">
        <is>
          <t>It is like a day pass for the gate and a card to get a new day pass.</t>
        </is>
      </c>
      <c r="AJ23" s="18" t="inlineStr">
        <is>
          <t>Which token should be sent with every API call?</t>
        </is>
      </c>
      <c r="AK23" s="18" t="inlineStr">
        <is>
          <t>A) The refresh token B) Neither C) The access token D) Both always</t>
        </is>
      </c>
      <c r="AL23" s="18" t="inlineStr">
        <is>
          <t>C</t>
        </is>
      </c>
      <c r="AM23" s="18" t="inlineStr">
        <is>
          <t>Only the access token is sent to API endpoints.</t>
        </is>
      </c>
      <c r="AN23" s="18" t="inlineStr">
        <is>
          <t>A longer-lived token used only to get new access tokens is a ____ token → refresh</t>
        </is>
      </c>
      <c r="AO23" s="18" t="inlineStr">
        <is>
          <t>A call returns 401 because the token expired. What do you do? → Use the refresh token to get a new access token</t>
        </is>
      </c>
      <c r="AP23" s="18" t="inlineStr">
        <is>
          <t>Explain the two token types in three lines.</t>
        </is>
      </c>
      <c r="AQ23" s="18" t="inlineStr">
        <is>
          <t>Write the sequence of calls when an access token expires.</t>
        </is>
      </c>
      <c r="AR23" s="17">
        <f>IF(J23="","",REPT("★",J23)&amp;REPT("☆",5-J23)&amp;" ("&amp;J23&amp;"/5)")</f>
        <v/>
      </c>
      <c r="AS23" s="17">
        <f>IF(Q23="","","Meaning: "&amp;Q23&amp;"  =  ______   (Answer: "&amp;F23&amp;")")</f>
        <v/>
      </c>
      <c r="AT23" s="17" t="inlineStr">
        <is>
          <t>New</t>
        </is>
      </c>
      <c r="AU23" s="17" t="n"/>
      <c r="AV23" s="17" t="n"/>
      <c r="AW23" s="17" t="n"/>
      <c r="AX23" s="17" t="n"/>
      <c r="AY23" s="17" t="n"/>
      <c r="AZ23" s="17" t="n"/>
      <c r="BA23" s="17" t="n"/>
      <c r="BB23" s="17" t="n"/>
    </row>
    <row r="24" ht="94.5" customHeight="1">
      <c r="A24" s="17" t="inlineStr">
        <is>
          <t>API-025</t>
        </is>
      </c>
      <c r="B24" s="17" t="inlineStr">
        <is>
          <t>04 Authentication</t>
        </is>
      </c>
      <c r="C24" s="17" t="inlineStr">
        <is>
          <t>Intermediate</t>
        </is>
      </c>
      <c r="D24" s="17" t="n">
        <v>25</v>
      </c>
      <c r="E24" s="17" t="inlineStr">
        <is>
          <t>Claude knowledge</t>
        </is>
      </c>
      <c r="F24" s="18" t="inlineStr">
        <is>
          <t>Scopes and permissions</t>
        </is>
      </c>
      <c r="G24" s="18" t="inlineStr">
        <is>
          <t>Which setting in an OAuth request limits what the resulting token is allowed to do?</t>
        </is>
      </c>
      <c r="H24" s="18" t="inlineStr">
        <is>
          <t>Authentication concept</t>
        </is>
      </c>
      <c r="I24" s="18" t="inlineStr">
        <is>
          <t>High</t>
        </is>
      </c>
      <c r="J24" s="18" t="n">
        <v>4</v>
      </c>
      <c r="K24" s="18" t="inlineStr">
        <is>
          <t>Granting full access to an account for a small task is dangerous, so OAuth lets providers define narrow permissions that apps ask for individually.</t>
        </is>
      </c>
      <c r="L24" s="18" t="inlineStr">
        <is>
          <t>Ask only for the scopes your feature really needs, since users and reviewers trust small requests more.</t>
        </is>
      </c>
      <c r="M24" s="18" t="inlineStr">
        <is>
          <t>Scopes are the list of rooms a key card may open.</t>
        </is>
      </c>
      <c r="N24" s="18" t="inlineStr">
        <is>
          <t>A consent screen with a short list of tick boxes such as read calendar and read email.</t>
        </is>
      </c>
      <c r="O24" s="18" t="inlineStr">
        <is>
          <t>The assurance that an app has only the access it needs.</t>
        </is>
      </c>
      <c r="P24" s="18" t="inlineStr">
        <is>
          <t>A scope is a named permission, such as read:calendar, that limits what an access token can do.</t>
        </is>
      </c>
      <c r="Q24" s="17" t="n"/>
      <c r="R24" s="18" t="inlineStr">
        <is>
          <t>The app lists scopes in its authorisation request, the user sees and approves them, and the issued token carries only those scopes. If the API receives a call that needs a scope the token lacks, it replies with 403 Forbidden or an insufficient scope error. Names are defined by each provider.</t>
        </is>
      </c>
      <c r="S24" s="18" t="inlineStr">
        <is>
          <t>Scopes say what the token may do. If your token only has a read scope, a request to change data will be rejected.</t>
        </is>
      </c>
      <c r="T24" s="18" t="inlineStr">
        <is>
          <t>It is like a list of rooms that a key card may open.</t>
        </is>
      </c>
      <c r="U24" s="18" t="inlineStr">
        <is>
          <t>Request scopes → user approves → token carries only those scopes</t>
        </is>
      </c>
      <c r="V24" s="18" t="inlineStr">
        <is>
          <t>A token with the scope read:profile can read a profile but not change it.</t>
        </is>
      </c>
      <c r="W24" s="18" t="inlineStr">
        <is>
          <t>A request for a write scope is refused with 403 when the token only has read.</t>
        </is>
      </c>
      <c r="X24" s="18" t="inlineStr">
        <is>
          <t>A consent screen that lists three requested permissions.</t>
        </is>
      </c>
      <c r="Y24" s="18" t="inlineStr">
        <is>
          <t>OAuth 2.0, access token, 403 Forbidden, least privilege</t>
        </is>
      </c>
      <c r="Z24" s="18" t="inlineStr">
        <is>
          <t>scope, permission, consent, least privilege</t>
        </is>
      </c>
      <c r="AA24" s="18" t="inlineStr">
        <is>
          <t>OAuth requests | Consent screens | API authorisation</t>
        </is>
      </c>
      <c r="AB24" s="18" t="inlineStr">
        <is>
          <t>A: My app gets 403 when updating events. | B: Your token may only have a read scope, so request the write scope as well.</t>
        </is>
      </c>
      <c r="AC24" s="18" t="inlineStr">
        <is>
          <t>✗ A token with valid login can do anything on the account → ✓ A token can do only what its scopes allow, even for a valid user</t>
        </is>
      </c>
      <c r="AD24" s="18" t="inlineStr">
        <is>
          <t>Scope vs role: a scope limits what a token can do, a role describes what a user is.</t>
        </is>
      </c>
      <c r="AE24" s="18" t="inlineStr">
        <is>
          <t>Do not request every scope just in case.</t>
        </is>
      </c>
      <c r="AF24" s="18" t="inlineStr">
        <is>
          <t>Scopes are the rooms the key card opens.</t>
        </is>
      </c>
      <c r="AG24" s="18" t="inlineStr">
        <is>
          <t>Requesting only read access to a calendar for a reminder app.</t>
        </is>
      </c>
      <c r="AH24" s="18" t="inlineStr">
        <is>
          <t>An interviewer may ask: What is the principle of least privilege?</t>
        </is>
      </c>
      <c r="AI24" s="18" t="inlineStr">
        <is>
          <t>It is like a key card that opens only some rooms.</t>
        </is>
      </c>
      <c r="AJ24" s="18" t="inlineStr">
        <is>
          <t>What does a 403 response often mean for an OAuth token?</t>
        </is>
      </c>
      <c r="AK24" s="18" t="inlineStr">
        <is>
          <t>A) The server is down B) The body is empty C) The token lacks the needed scope D) The URL is wrong</t>
        </is>
      </c>
      <c r="AL24" s="18" t="inlineStr">
        <is>
          <t>C</t>
        </is>
      </c>
      <c r="AM24" s="18" t="inlineStr">
        <is>
          <t>The token is valid but not permitted to do that action.</t>
        </is>
      </c>
      <c r="AN24" s="18" t="inlineStr">
        <is>
          <t>A named permission that limits what a token can do is called a ____ → scope</t>
        </is>
      </c>
      <c r="AO24" s="18" t="inlineStr">
        <is>
          <t>Your token cannot update data. What should you check? → Whether the token has a write scope</t>
        </is>
      </c>
      <c r="AP24" s="18" t="inlineStr">
        <is>
          <t>Explain scopes in three lines.</t>
        </is>
      </c>
      <c r="AQ24" s="18" t="inlineStr">
        <is>
          <t>Choose the smallest scopes for an app that only shows a user's name.</t>
        </is>
      </c>
      <c r="AR24" s="17">
        <f>IF(J24="","",REPT("★",J24)&amp;REPT("☆",5-J24)&amp;" ("&amp;J24&amp;"/5)")</f>
        <v/>
      </c>
      <c r="AS24" s="17">
        <f>IF(Q24="","","Meaning: "&amp;Q24&amp;"  =  ______   (Answer: "&amp;F24&amp;")")</f>
        <v/>
      </c>
      <c r="AT24" s="17" t="inlineStr">
        <is>
          <t>New</t>
        </is>
      </c>
      <c r="AU24" s="17" t="n"/>
      <c r="AV24" s="17" t="n"/>
      <c r="AW24" s="17" t="n"/>
      <c r="AX24" s="17" t="n"/>
      <c r="AY24" s="17" t="n"/>
      <c r="AZ24" s="17" t="n"/>
      <c r="BA24" s="17" t="n"/>
      <c r="BB24" s="17" t="n"/>
    </row>
    <row r="25" ht="94.5" customHeight="1">
      <c r="A25" s="17" t="inlineStr">
        <is>
          <t>API-026</t>
        </is>
      </c>
      <c r="B25" s="17" t="inlineStr">
        <is>
          <t>04 Authentication</t>
        </is>
      </c>
      <c r="C25" s="17" t="inlineStr">
        <is>
          <t>Advanced</t>
        </is>
      </c>
      <c r="D25" s="17" t="n">
        <v>26</v>
      </c>
      <c r="E25" s="17" t="inlineStr">
        <is>
          <t>Claude knowledge</t>
        </is>
      </c>
      <c r="F25" s="18" t="inlineStr">
        <is>
          <t>JWT (JSON Web Token)</t>
        </is>
      </c>
      <c r="G25" s="18" t="inlineStr">
        <is>
          <t>Which compact token with three dot-separated parts carries signed claims about a user?</t>
        </is>
      </c>
      <c r="H25" s="18" t="inlineStr">
        <is>
          <t>Authentication concept</t>
        </is>
      </c>
      <c r="I25" s="18" t="inlineStr">
        <is>
          <t>High</t>
        </is>
      </c>
      <c r="J25" s="18" t="n">
        <v>4</v>
      </c>
      <c r="K25" s="18" t="inlineStr">
        <is>
          <t>Servers wanted tokens that carry their own information and can be checked without a database lookup, so JSON Web Tokens combined data and a signature in one string.</t>
        </is>
      </c>
      <c r="L25" s="18" t="inlineStr">
        <is>
          <t>Always verify the signature and the expiry on the server, and never trust a token you have only decoded.</t>
        </is>
      </c>
      <c r="M25" s="18" t="inlineStr">
        <is>
          <t>A JWT is a sealed letter whose wax seal proves it was not altered, though the letter itself can be read.</t>
        </is>
      </c>
      <c r="N25" s="18" t="inlineStr">
        <is>
          <t>Three coloured sections separated by dots, labelled header, payload and signature.</t>
        </is>
      </c>
      <c r="O25" s="18" t="inlineStr">
        <is>
          <t>The curiosity of decoding a token and seeing the claims inside.</t>
        </is>
      </c>
      <c r="P25" s="18" t="inlineStr">
        <is>
          <t>A JWT is a token made of a header, a payload of claims and a signature, joined by dots, which a server can verify without storing the session.</t>
        </is>
      </c>
      <c r="Q25" s="17" t="n"/>
      <c r="R25" s="18" t="inlineStr">
        <is>
          <t>Each part is Base64URL encoded. The payload holds claims such as the user id (sub), the expiry (exp) and the issuer (iss). The signature, made with a secret or a private key, proves the content was not changed. A normal signed JWT is not encrypted, so anyone holding it can read the payload.</t>
        </is>
      </c>
      <c r="S25" s="18" t="inlineStr">
        <is>
          <t>A JWT carries data and a signature. The server checks the signature to trust it. Do not put secrets inside, because the payload can be read by anyone.</t>
        </is>
      </c>
      <c r="T25" s="18" t="inlineStr">
        <is>
          <t>It is like a sealed letter whose wax seal proves it was not altered, though the letter can be read.</t>
        </is>
      </c>
      <c r="U25" s="18" t="inlineStr">
        <is>
          <t>header.payload.signature</t>
        </is>
      </c>
      <c r="V25" s="18" t="inlineStr">
        <is>
          <t>A payload with sub, exp and iss claims.</t>
        </is>
      </c>
      <c r="W25" s="18" t="inlineStr">
        <is>
          <t>A server rejecting a token because the exp claim is in the past.</t>
        </is>
      </c>
      <c r="X25" s="18" t="inlineStr">
        <is>
          <t>A token used as a Bearer token in the Authorization header.</t>
        </is>
      </c>
      <c r="Y25" s="18" t="inlineStr">
        <is>
          <t>Bearer token, OAuth 2.0, Base64, signature</t>
        </is>
      </c>
      <c r="Z25" s="18" t="inlineStr">
        <is>
          <t>header, payload, claims, signature, exp, sub</t>
        </is>
      </c>
      <c r="AA25" s="18" t="inlineStr">
        <is>
          <t>API authentication | Single sign-on | Microservices</t>
        </is>
      </c>
      <c r="AB25" s="18" t="inlineStr">
        <is>
          <t>A: Can I store the user's password in the JWT payload? | B: No, the payload is only encoded, so anyone with the token can read it.</t>
        </is>
      </c>
      <c r="AC25" s="18" t="inlineStr">
        <is>
          <t>✗ A JWT is encrypted so its contents are secret → ✓ A signed JWT is only encoded and signed, so its contents can be read by anyone who holds it</t>
        </is>
      </c>
      <c r="AD25" s="18" t="inlineStr">
        <is>
          <t>Signed vs encrypted: a signature proves the data was not altered, encryption hides the data.</t>
        </is>
      </c>
      <c r="AE25" s="18" t="inlineStr">
        <is>
          <t>Do not put secrets or sensitive personal data in a JWT payload.</t>
        </is>
      </c>
      <c r="AF25" s="18" t="inlineStr">
        <is>
          <t>JWT is signed, not secret.</t>
        </is>
      </c>
      <c r="AG25" s="18" t="inlineStr">
        <is>
          <t>Checking the exp claim and signature of each incoming token on the server.</t>
        </is>
      </c>
      <c r="AH25" s="18" t="inlineStr">
        <is>
          <t>An interviewer may ask: What are the three parts of a JWT?</t>
        </is>
      </c>
      <c r="AI25" s="18" t="inlineStr">
        <is>
          <t>It is like a sealed letter whose seal proves it was not altered.</t>
        </is>
      </c>
      <c r="AJ25" s="18" t="inlineStr">
        <is>
          <t>What proves that a JWT has not been altered?</t>
        </is>
      </c>
      <c r="AK25" s="18" t="inlineStr">
        <is>
          <t>A) The signature B) The cookie C) The header name D) The URL</t>
        </is>
      </c>
      <c r="AL25" s="18" t="inlineStr">
        <is>
          <t>A</t>
        </is>
      </c>
      <c r="AM25" s="18" t="inlineStr">
        <is>
          <t>The signature is checked by the server to confirm the content was unchanged.</t>
        </is>
      </c>
      <c r="AN25" s="18" t="inlineStr">
        <is>
          <t>A JWT has a header, a payload and a ____ → signature</t>
        </is>
      </c>
      <c r="AO25" s="18" t="inlineStr">
        <is>
          <t>Why should you not store secrets in a JWT payload? → Because the payload is only encoded and can be read by anyone</t>
        </is>
      </c>
      <c r="AP25" s="18" t="inlineStr">
        <is>
          <t>Explain the three parts of a JWT in three lines.</t>
        </is>
      </c>
      <c r="AQ25" s="18" t="inlineStr">
        <is>
          <t>Write which claims you would put in a token for a login session.</t>
        </is>
      </c>
      <c r="AR25" s="17">
        <f>IF(J25="","",REPT("★",J25)&amp;REPT("☆",5-J25)&amp;" ("&amp;J25&amp;"/5)")</f>
        <v/>
      </c>
      <c r="AS25" s="17">
        <f>IF(Q25="","","Meaning: "&amp;Q25&amp;"  =  ______   (Answer: "&amp;F25&amp;")")</f>
        <v/>
      </c>
      <c r="AT25" s="17" t="inlineStr">
        <is>
          <t>New</t>
        </is>
      </c>
      <c r="AU25" s="17" t="n"/>
      <c r="AV25" s="17" t="n"/>
      <c r="AW25" s="17" t="n"/>
      <c r="AX25" s="17" t="n"/>
      <c r="AY25" s="17" t="n"/>
      <c r="AZ25" s="17" t="n"/>
      <c r="BA25" s="17" t="n"/>
      <c r="BB25" s="17" t="n"/>
    </row>
    <row r="26" ht="94.5" customHeight="1">
      <c r="A26" s="17" t="inlineStr">
        <is>
          <t>API-029</t>
        </is>
      </c>
      <c r="B26" s="17" t="inlineStr">
        <is>
          <t>05 Making calls</t>
        </is>
      </c>
      <c r="C26" s="17" t="inlineStr">
        <is>
          <t>Beginner</t>
        </is>
      </c>
      <c r="D26" s="17" t="n">
        <v>29</v>
      </c>
      <c r="E26" s="17" t="inlineStr">
        <is>
          <t>Claude knowledge</t>
        </is>
      </c>
      <c r="F26" s="18" t="inlineStr">
        <is>
          <t>API client tools (Postman and similar)</t>
        </is>
      </c>
      <c r="G26" s="18" t="inlineStr">
        <is>
          <t>Which kind of graphical tool lets you build, send and save API requests without writing code?</t>
        </is>
      </c>
      <c r="H26" s="18" t="inlineStr">
        <is>
          <t>Developer tool</t>
        </is>
      </c>
      <c r="I26" s="18" t="inlineStr">
        <is>
          <t>High</t>
        </is>
      </c>
      <c r="J26" s="18" t="n">
        <v>3</v>
      </c>
      <c r="K26" s="18" t="inlineStr">
        <is>
          <t>Typing long commands is slow for exploring an API, so graphical tools appeared that let you fill in forms for the URL, headers and body and see the response clearly.</t>
        </is>
      </c>
      <c r="L26" s="18" t="inlineStr">
        <is>
          <t>Save requests in a collection and use environment variables for the base URL and tokens, so switching between test and live is one click.</t>
        </is>
      </c>
      <c r="M26" s="18" t="inlineStr">
        <is>
          <t>An API client is a workbench where every request is a labelled tool you can pick up and reuse.</t>
        </is>
      </c>
      <c r="N26" s="18" t="inlineStr">
        <is>
          <t>A window with a URL bar, tabs for headers and body, and a formatted response below.</t>
        </is>
      </c>
      <c r="O26" s="18" t="inlineStr">
        <is>
          <t>The comfort of exploring an API visually before coding.</t>
        </is>
      </c>
      <c r="P26" s="18" t="inlineStr">
        <is>
          <t>An API client is a graphical tool, such as Postman, Insomnia or Bruno, in which you compose requests, send them and inspect responses.</t>
        </is>
      </c>
      <c r="Q26" s="17" t="n"/>
      <c r="R26" s="18" t="inlineStr">
        <is>
          <t>You choose the method, enter the URL, add headers, params and a body, and press send. The tool shows status, time, headers and a formatted body. Collections save related requests, and variables let one set of requests work against different environments. Many tools can also export code in several languages.</t>
        </is>
      </c>
      <c r="S26" s="18" t="inlineStr">
        <is>
          <t>An API client is a point-and-click way to try an API. You fill in the request, send it and read the answer, and you can save it for later.</t>
        </is>
      </c>
      <c r="T26" s="18" t="inlineStr">
        <is>
          <t>It is like a workbench where every request is a labelled tool you can reuse.</t>
        </is>
      </c>
      <c r="U26" s="18" t="inlineStr">
        <is>
          <t>Build request → send → read status and body → save in a collection</t>
        </is>
      </c>
      <c r="V26" s="18" t="inlineStr">
        <is>
          <t>Testing a login request and reading the returned token.</t>
        </is>
      </c>
      <c r="W26" s="18" t="inlineStr">
        <is>
          <t>Saving ten requests in a collection for a project.</t>
        </is>
      </c>
      <c r="X26" s="18" t="inlineStr">
        <is>
          <t>Switching an environment variable from test to live.</t>
        </is>
      </c>
      <c r="Y26" s="18" t="inlineStr">
        <is>
          <t>curl, fetch, environments, API documentation</t>
        </is>
      </c>
      <c r="Z26" s="18" t="inlineStr">
        <is>
          <t>collection, environment, variable, request, response</t>
        </is>
      </c>
      <c r="AA26" s="18" t="inlineStr">
        <is>
          <t>Exploring new APIs | Team testing | Sharing examples</t>
        </is>
      </c>
      <c r="AB26" s="18" t="inlineStr">
        <is>
          <t>A: I want to try this API before coding. | B: Use an API client, fill in the request and look at the response.</t>
        </is>
      </c>
      <c r="AC26" s="18" t="inlineStr">
        <is>
          <t>✗ API clients replace the need to understand HTTP → ✓ The tool only helps you send requests, and you still need to understand methods, headers and status codes</t>
        </is>
      </c>
      <c r="AD26" s="18" t="inlineStr">
        <is>
          <t>API client vs curl: an API client is graphical and saves requests, curl is a quick terminal command.</t>
        </is>
      </c>
      <c r="AE26" s="18" t="inlineStr">
        <is>
          <t>Do not share a collection that contains real secrets.</t>
        </is>
      </c>
      <c r="AF26" s="18" t="inlineStr">
        <is>
          <t>An API client is a workbench for requests.</t>
        </is>
      </c>
      <c r="AG26" s="18" t="inlineStr">
        <is>
          <t>Keeping a shared collection of the team's API calls with test environments.</t>
        </is>
      </c>
      <c r="AH26" s="18" t="inlineStr">
        <is>
          <t>An interviewer may ask: How do you explore and test an API before coding?</t>
        </is>
      </c>
      <c r="AI26" s="18" t="inlineStr">
        <is>
          <t>It is like a workbench with labelled tools.</t>
        </is>
      </c>
      <c r="AJ26" s="18" t="inlineStr">
        <is>
          <t>What is the main benefit of an API client tool?</t>
        </is>
      </c>
      <c r="AK26" s="18" t="inlineStr">
        <is>
          <t>A) Storing databases B) Hosting a website C) Writing DAX D) Building and testing requests without writing code</t>
        </is>
      </c>
      <c r="AL26" s="18" t="inlineStr">
        <is>
          <t>D</t>
        </is>
      </c>
      <c r="AM26" s="18" t="inlineStr">
        <is>
          <t>It lets you compose, send and inspect requests visually.</t>
        </is>
      </c>
      <c r="AN26" s="18" t="inlineStr">
        <is>
          <t>Related saved requests in Postman are grouped into a ____ → collection</t>
        </is>
      </c>
      <c r="AO26" s="18" t="inlineStr">
        <is>
          <t>How can one set of requests work for test and live servers? → Use environment variables for the base URL and tokens</t>
        </is>
      </c>
      <c r="AP26" s="18" t="inlineStr">
        <is>
          <t>Explain API client tools in three lines.</t>
        </is>
      </c>
      <c r="AQ26" s="18" t="inlineStr">
        <is>
          <t>List five requests you would save in a collection for a to-do API.</t>
        </is>
      </c>
      <c r="AR26" s="17">
        <f>IF(J26="","",REPT("★",J26)&amp;REPT("☆",5-J26)&amp;" ("&amp;J26&amp;"/5)")</f>
        <v/>
      </c>
      <c r="AS26" s="17">
        <f>IF(Q26="","","Meaning: "&amp;Q26&amp;"  =  ______   (Answer: "&amp;F26&amp;")")</f>
        <v/>
      </c>
      <c r="AT26" s="17" t="inlineStr">
        <is>
          <t>New</t>
        </is>
      </c>
      <c r="AU26" s="17" t="n"/>
      <c r="AV26" s="17" t="n"/>
      <c r="AW26" s="17" t="n"/>
      <c r="AX26" s="17" t="n"/>
      <c r="AY26" s="17" t="n"/>
      <c r="AZ26" s="17" t="n"/>
      <c r="BA26" s="17" t="n"/>
      <c r="BB26" s="17" t="n"/>
    </row>
    <row r="27" ht="108" customHeight="1">
      <c r="A27" s="17" t="inlineStr">
        <is>
          <t>API-035</t>
        </is>
      </c>
      <c r="B27" s="17" t="inlineStr">
        <is>
          <t>06 Real-world handling</t>
        </is>
      </c>
      <c r="C27" s="17" t="inlineStr">
        <is>
          <t>Intermediate</t>
        </is>
      </c>
      <c r="D27" s="17" t="n">
        <v>35</v>
      </c>
      <c r="E27" s="17" t="inlineStr">
        <is>
          <t>Claude knowledge</t>
        </is>
      </c>
      <c r="F27" s="18" t="inlineStr">
        <is>
          <t>Error handling for API calls</t>
        </is>
      </c>
      <c r="G27" s="18" t="inlineStr">
        <is>
          <t>What should your code do when a call fails because of the network, a bad request or a server problem?</t>
        </is>
      </c>
      <c r="H27" s="18" t="inlineStr">
        <is>
          <t>Reliability practice</t>
        </is>
      </c>
      <c r="I27" s="18" t="inlineStr">
        <is>
          <t>Very high</t>
        </is>
      </c>
      <c r="J27" s="18" t="n">
        <v>5</v>
      </c>
      <c r="K27" s="18" t="inlineStr">
        <is>
          <t>Networks drop, servers fail and users send bad input, so any real integration must expect failures and respond sensibly instead of crashing or hiding them.</t>
        </is>
      </c>
      <c r="L27" s="18" t="inlineStr">
        <is>
          <t>Handle network errors, 4xx errors and 5xx errors separately, since each calls for a different action.</t>
        </is>
      </c>
      <c r="M27" s="18" t="inlineStr">
        <is>
          <t>Good error handling is a safety net under a tightrope, so a fall becomes a bounce rather than a crash.</t>
        </is>
      </c>
      <c r="N27" s="18" t="inlineStr">
        <is>
          <t>Three paths from a failed call: show a message, fix the request, or retry later.</t>
        </is>
      </c>
      <c r="O27" s="18" t="inlineStr">
        <is>
          <t>The calm of an app that fails politely.</t>
        </is>
      </c>
      <c r="P27" s="18" t="inlineStr">
        <is>
          <t>Error handling is the practice of detecting failures in API calls and responding with the right action, such as showing a message, fixing the request, logging, or retrying.</t>
        </is>
      </c>
      <c r="Q27" s="17" t="n"/>
      <c r="R27" s="18" t="inlineStr">
        <is>
          <t>Network failures reject the fetch promise and need try and catch. Status 4xx means the request is wrong, so show a helpful message or fix it, and do not retry blindly. Status 5xx means a server problem, so retry carefully or tell the user to try later. Read the error body, because many APIs return a message and a code, and log the request id.</t>
        </is>
      </c>
      <c r="S27" s="18" t="inlineStr">
        <is>
          <t>Always expect a failure. Catch network errors, check the status, read the error message from the body, and then decide: fix, retry or tell the user.</t>
        </is>
      </c>
      <c r="T27" s="18" t="inlineStr">
        <is>
          <t>It is like a safety net under a tightrope.</t>
        </is>
      </c>
      <c r="U27" s="18" t="inlineStr">
        <is>
          <t>Network error → catch. 4xx → fix the request. 5xx → retry or inform.</t>
        </is>
      </c>
      <c r="V27" s="18" t="inlineStr">
        <is>
          <t>Showing a message that the internet connection was lost.</t>
        </is>
      </c>
      <c r="W27" s="18" t="inlineStr">
        <is>
          <t>Showing field errors returned with a 422 response.</t>
        </is>
      </c>
      <c r="X27" s="18" t="inlineStr">
        <is>
          <t>Retrying a 503 once and then showing a try-again message.</t>
        </is>
      </c>
      <c r="Y27" s="18" t="inlineStr">
        <is>
          <t>status codes, retries, timeouts, logging</t>
        </is>
      </c>
      <c r="Z27" s="18" t="inlineStr">
        <is>
          <t>error, exception, retry, fallback, logging</t>
        </is>
      </c>
      <c r="AA27" s="18" t="inlineStr">
        <is>
          <t>Every integration | User-facing apps | Background jobs</t>
        </is>
      </c>
      <c r="AB27" s="18" t="inlineStr">
        <is>
          <t>A: Users see a blank screen when the API fails. | B: Catch the error and show a clear message with a retry option.</t>
        </is>
      </c>
      <c r="AC27" s="18" t="inlineStr">
        <is>
          <t>✗ Retrying every failed request is the best way to handle errors → ✓ Retrying suits network and 5xx errors, while a 4xx error needs the request fixed</t>
        </is>
      </c>
      <c r="AD27" s="18" t="inlineStr">
        <is>
          <t>4xx vs 5xx handling: a 4xx means correct the request, a 5xx may be worth retrying.</t>
        </is>
      </c>
      <c r="AE27" s="18" t="inlineStr">
        <is>
          <t>Do not swallow errors silently with an empty catch block.</t>
        </is>
      </c>
      <c r="AF27" s="18" t="inlineStr">
        <is>
          <t>Catch it, classify it, then act.</t>
        </is>
      </c>
      <c r="AG27" s="18" t="inlineStr">
        <is>
          <t>Showing field errors from a 422 response beside the form inputs.</t>
        </is>
      </c>
      <c r="AH27" s="18" t="inlineStr">
        <is>
          <t>An interviewer may ask: How do you handle failed API calls?</t>
        </is>
      </c>
      <c r="AI27" s="18" t="inlineStr">
        <is>
          <t>It is like a safety net under a tightrope.</t>
        </is>
      </c>
      <c r="AJ27" s="18" t="inlineStr">
        <is>
          <t>Which error type is usually worth retrying?</t>
        </is>
      </c>
      <c r="AK27" s="18" t="inlineStr">
        <is>
          <t>A) 503 Service Unavailable B) 400 Bad Request C) 403 Forbidden D) 404 Not Found</t>
        </is>
      </c>
      <c r="AL27" s="18" t="inlineStr">
        <is>
          <t>A</t>
        </is>
      </c>
      <c r="AM27" s="18" t="inlineStr">
        <is>
          <t>A 5xx error may be temporary, whereas the 4xx errors need the request changed.</t>
        </is>
      </c>
      <c r="AN27" s="18" t="inlineStr">
        <is>
          <t>A try and ____ block catches network failures in JavaScript → catch</t>
        </is>
      </c>
      <c r="AO27" s="18" t="inlineStr">
        <is>
          <t>A call returns 422 with field errors. What should the app do? → Show the field messages so the user can correct the input</t>
        </is>
      </c>
      <c r="AP27" s="18" t="inlineStr">
        <is>
          <t>Explain how to handle API errors in three lines.</t>
        </is>
      </c>
      <c r="AQ27" s="18" t="inlineStr">
        <is>
          <t>Write an error plan for 401, 404, 429 and 500.</t>
        </is>
      </c>
      <c r="AR27" s="17">
        <f>IF(J27="","",REPT("★",J27)&amp;REPT("☆",5-J27)&amp;" ("&amp;J27&amp;"/5)")</f>
        <v/>
      </c>
      <c r="AS27" s="17">
        <f>IF(Q27="","","Meaning: "&amp;Q27&amp;"  =  ______   (Answer: "&amp;F27&amp;")")</f>
        <v/>
      </c>
      <c r="AT27" s="17" t="inlineStr">
        <is>
          <t>New</t>
        </is>
      </c>
      <c r="AU27" s="17" t="n"/>
      <c r="AV27" s="17" t="n"/>
      <c r="AW27" s="17" t="n"/>
      <c r="AX27" s="17" t="n"/>
      <c r="AY27" s="17" t="n"/>
      <c r="AZ27" s="17" t="n"/>
      <c r="BA27" s="17" t="n"/>
      <c r="BB27" s="17" t="n"/>
    </row>
    <row r="28" ht="94.5" customHeight="1">
      <c r="A28" s="17" t="inlineStr">
        <is>
          <t>API-038</t>
        </is>
      </c>
      <c r="B28" s="17" t="inlineStr">
        <is>
          <t>06 Real-world handling</t>
        </is>
      </c>
      <c r="C28" s="17" t="inlineStr">
        <is>
          <t>Intermediate</t>
        </is>
      </c>
      <c r="D28" s="17" t="n">
        <v>38</v>
      </c>
      <c r="E28" s="17" t="inlineStr">
        <is>
          <t>Claude knowledge</t>
        </is>
      </c>
      <c r="F28" s="18" t="inlineStr">
        <is>
          <t>Rate limiting (429)</t>
        </is>
      </c>
      <c r="G28" s="18" t="inlineStr">
        <is>
          <t>What do providers do to stop any one client from sending too many requests, and which status do they return?</t>
        </is>
      </c>
      <c r="H28" s="18" t="inlineStr">
        <is>
          <t>Reliability concept</t>
        </is>
      </c>
      <c r="I28" s="18" t="inlineStr">
        <is>
          <t>Very high</t>
        </is>
      </c>
      <c r="J28" s="18" t="n">
        <v>5</v>
      </c>
      <c r="K28" s="18" t="inlineStr">
        <is>
          <t>Shared servers must protect themselves and other users from overload, so providers cap how many requests each client may send in a time window.</t>
        </is>
      </c>
      <c r="L28" s="18" t="inlineStr">
        <is>
          <t>Read the rate limit headers and the Retry-After value, and slow down before you hit the limit.</t>
        </is>
      </c>
      <c r="M28" s="18" t="inlineStr">
        <is>
          <t>Rate limiting is a turnstile that lets only so many people through each minute.</t>
        </is>
      </c>
      <c r="N28" s="18" t="inlineStr">
        <is>
          <t>A gate that lets a few requests through and shows a stop sign to the rest.</t>
        </is>
      </c>
      <c r="O28" s="18" t="inlineStr">
        <is>
          <t>The patience of waiting for a limit to reset rather than fighting it.</t>
        </is>
      </c>
      <c r="P28" s="18" t="inlineStr">
        <is>
          <t>Rate limiting caps how many requests a client may make in a period, and a client that exceeds it receives status 429 Too Many Requests.</t>
        </is>
      </c>
      <c r="Q28" s="17" t="n"/>
      <c r="R28" s="18" t="inlineStr">
        <is>
          <t>Limits may be per key, per user or per IP, over a second, minute or day. Responses often include headers showing the limit, the remaining calls and the reset time, and a 429 may include Retry-After. Good clients throttle themselves, cache results and back off when limited.</t>
        </is>
      </c>
      <c r="S28" s="18" t="inlineStr">
        <is>
          <t>Each key may only make so many calls in a time window. If you go over, you get 429, so wait and slow down.</t>
        </is>
      </c>
      <c r="T28" s="18" t="inlineStr">
        <is>
          <t>It is like a turnstile that lets only a few people through each minute.</t>
        </is>
      </c>
      <c r="U28" s="18" t="inlineStr">
        <is>
          <t>Too many requests → 429 + Retry-After → wait → continue slower</t>
        </is>
      </c>
      <c r="V28" s="18" t="inlineStr">
        <is>
          <t>A free plan that allows sixty requests per minute.</t>
        </is>
      </c>
      <c r="W28" s="18" t="inlineStr">
        <is>
          <t>A 429 response with Retry-After: 30.</t>
        </is>
      </c>
      <c r="X28" s="18" t="inlineStr">
        <is>
          <t>A client that caches results to make fewer calls.</t>
        </is>
      </c>
      <c r="Y28" s="18" t="inlineStr">
        <is>
          <t>retries, backoff, caching, API key</t>
        </is>
      </c>
      <c r="Z28" s="18" t="inlineStr">
        <is>
          <t>rate limit, quota, throttle, 429, Retry-After</t>
        </is>
      </c>
      <c r="AA28" s="18" t="inlineStr">
        <is>
          <t>Public APIs | Paid plans | Bulk data jobs</t>
        </is>
      </c>
      <c r="AB28" s="18" t="inlineStr">
        <is>
          <t>A: My import job keeps getting 429. | B: You are over the rate limit, so slow down and honour Retry-After.</t>
        </is>
      </c>
      <c r="AC28" s="18" t="inlineStr">
        <is>
          <t>✗ A 429 means the API is broken → ✓ A 429 means you sent too many requests and should slow down</t>
        </is>
      </c>
      <c r="AD28" s="18" t="inlineStr">
        <is>
          <t>Rate limit vs quota: a rate limit caps speed over a short window, a quota caps total use over a longer period.</t>
        </is>
      </c>
      <c r="AE28" s="18" t="inlineStr">
        <is>
          <t>Do not retry a 429 immediately in a tight loop.</t>
        </is>
      </c>
      <c r="AF28" s="18" t="inlineStr">
        <is>
          <t>A 429 simply means you must slow down.</t>
        </is>
      </c>
      <c r="AG28" s="18" t="inlineStr">
        <is>
          <t>Throttling an import job to stay below the provider's per-minute limit.</t>
        </is>
      </c>
      <c r="AH28" s="18" t="inlineStr">
        <is>
          <t>An interviewer may ask: How do you deal with API rate limits?</t>
        </is>
      </c>
      <c r="AI28" s="18" t="inlineStr">
        <is>
          <t>It is like a turnstile that lets in only a few people each minute.</t>
        </is>
      </c>
      <c r="AJ28" s="18" t="inlineStr">
        <is>
          <t>Which status means you have been rate limited?</t>
        </is>
      </c>
      <c r="AK28" s="18" t="inlineStr">
        <is>
          <t>A) 429 B) 301 C) 404 D) 204</t>
        </is>
      </c>
      <c r="AL28" s="18" t="inlineStr">
        <is>
          <t>A</t>
        </is>
      </c>
      <c r="AM28" s="18" t="inlineStr">
        <is>
          <t>429 Too Many Requests is the standard rate limit response.</t>
        </is>
      </c>
      <c r="AN28" s="18" t="inlineStr">
        <is>
          <t>A header that says how long to wait is ____-After → Retry</t>
        </is>
      </c>
      <c r="AO28" s="18" t="inlineStr">
        <is>
          <t>Your job gets 429. What should it do? → Wait for the Retry-After time and then continue more slowly</t>
        </is>
      </c>
      <c r="AP28" s="18" t="inlineStr">
        <is>
          <t>Explain rate limiting in three lines.</t>
        </is>
      </c>
      <c r="AQ28" s="18" t="inlineStr">
        <is>
          <t>Write how you would keep a bulk job within sixty calls per minute.</t>
        </is>
      </c>
      <c r="AR28" s="17">
        <f>IF(J28="","",REPT("★",J28)&amp;REPT("☆",5-J28)&amp;" ("&amp;J28&amp;"/5)")</f>
        <v/>
      </c>
      <c r="AS28" s="17">
        <f>IF(Q28="","","Meaning: "&amp;Q28&amp;"  =  ______   (Answer: "&amp;F28&amp;")")</f>
        <v/>
      </c>
      <c r="AT28" s="17" t="inlineStr">
        <is>
          <t>New</t>
        </is>
      </c>
      <c r="AU28" s="17" t="n"/>
      <c r="AV28" s="17" t="n"/>
      <c r="AW28" s="17" t="n"/>
      <c r="AX28" s="17" t="n"/>
      <c r="AY28" s="17" t="n"/>
      <c r="AZ28" s="17" t="n"/>
      <c r="BA28" s="17" t="n"/>
      <c r="BB28" s="17" t="n"/>
    </row>
    <row r="29" ht="81" customHeight="1">
      <c r="A29" s="17" t="inlineStr">
        <is>
          <t>API-040</t>
        </is>
      </c>
      <c r="B29" s="17" t="inlineStr">
        <is>
          <t>06 Real-world handling</t>
        </is>
      </c>
      <c r="C29" s="17" t="inlineStr">
        <is>
          <t>Intermediate</t>
        </is>
      </c>
      <c r="D29" s="17" t="n">
        <v>40</v>
      </c>
      <c r="E29" s="17" t="inlineStr">
        <is>
          <t>Claude knowledge</t>
        </is>
      </c>
      <c r="F29" s="18" t="inlineStr">
        <is>
          <t>Filtering, sorting and searching</t>
        </is>
      </c>
      <c r="G29" s="18" t="inlineStr">
        <is>
          <t>Which query parameters let you ask the server for only matching items, in a chosen order?</t>
        </is>
      </c>
      <c r="H29" s="18" t="inlineStr">
        <is>
          <t>API technique</t>
        </is>
      </c>
      <c r="I29" s="18" t="inlineStr">
        <is>
          <t>High</t>
        </is>
      </c>
      <c r="J29" s="18" t="n">
        <v>4</v>
      </c>
      <c r="K29" s="18" t="inlineStr">
        <is>
          <t>Fetching everything and filtering in your own code wastes bandwidth, so APIs let clients ask the server to do the narrowing and ordering.</t>
        </is>
      </c>
      <c r="L29" s="18" t="inlineStr">
        <is>
          <t>Filter on the server whenever the API supports it, so less data travels.</t>
        </is>
      </c>
      <c r="M29" s="18" t="inlineStr">
        <is>
          <t>Filtering is telling the shop assistant exactly which items to bring instead of carrying the whole warehouse.</t>
        </is>
      </c>
      <c r="N29" s="18" t="inlineStr">
        <is>
          <t>A long list narrowing to a few rows after a filter is added to the URL.</t>
        </is>
      </c>
      <c r="O29" s="18" t="inlineStr">
        <is>
          <t>The speed of getting only what you need.</t>
        </is>
      </c>
      <c r="P29" s="18" t="inlineStr">
        <is>
          <t>Filtering, sorting and searching are done with query parameters that ask the server to return only matching items in a requested order.</t>
        </is>
      </c>
      <c r="Q29" s="17" t="n"/>
      <c r="R29" s="18" t="inlineStr">
        <is>
          <t>Common patterns are status=paid for filters, sort=-created_at or sort=price&amp;order=desc for sorting, and q=shirt for search. Names vary by provider, so always read the documentation. Combine them with pagination for large lists.</t>
        </is>
      </c>
      <c r="S29" s="18" t="inlineStr">
        <is>
          <t>Add parameters to the URL, like status=paid and sort=-created_at. The server returns only the matching items in that order.</t>
        </is>
      </c>
      <c r="T29" s="18" t="inlineStr">
        <is>
          <t>It is like telling the shop assistant exactly which items to bring.</t>
        </is>
      </c>
      <c r="U29" s="18" t="inlineStr">
        <is>
          <t>GET /items?filter=value&amp;sort=field&amp;page=1</t>
        </is>
      </c>
      <c r="V29" s="18" t="inlineStr">
        <is>
          <t>GET /orders?status=paid</t>
        </is>
      </c>
      <c r="W29" s="18" t="inlineStr">
        <is>
          <t>GET /orders?sort=-created_at</t>
        </is>
      </c>
      <c r="X29" s="18" t="inlineStr">
        <is>
          <t>GET /products?q=shirt&amp;limit=20</t>
        </is>
      </c>
      <c r="Y29" s="18" t="inlineStr">
        <is>
          <t>query parameters, pagination, search</t>
        </is>
      </c>
      <c r="Z29" s="18" t="inlineStr">
        <is>
          <t>filter, sort, order, search, query</t>
        </is>
      </c>
      <c r="AA29" s="18" t="inlineStr">
        <is>
          <t>Lists and tables | Search boxes | Reports</t>
        </is>
      </c>
      <c r="AB29" s="18" t="inlineStr">
        <is>
          <t>A: The app downloads all orders just to show paid ones. | B: Ask the API to filter with status=paid instead.</t>
        </is>
      </c>
      <c r="AC29" s="18" t="inlineStr">
        <is>
          <t>✗ Every API uses the same names for filter and sort parameters → ✓ Names differ between providers, so check the documentation</t>
        </is>
      </c>
      <c r="AD29" s="18" t="inlineStr">
        <is>
          <t>Server-side vs client-side filtering: server-side sends only the matches, client-side downloads everything first.</t>
        </is>
      </c>
      <c r="AE29" s="18" t="inlineStr">
        <is>
          <t>Do not download whole datasets just to filter them in your code.</t>
        </is>
      </c>
      <c r="AF29" s="18" t="inlineStr">
        <is>
          <t>Ask the server to narrow it down.</t>
        </is>
      </c>
      <c r="AG29" s="18" t="inlineStr">
        <is>
          <t>Using status and date filters so a dashboard loads only the last week of paid orders.</t>
        </is>
      </c>
      <c r="AH29" s="18" t="inlineStr">
        <is>
          <t>An interviewer may ask: How would you design filtering and sorting in an API?</t>
        </is>
      </c>
      <c r="AI29" s="18" t="inlineStr">
        <is>
          <t>It is like telling a shop assistant exactly which items to bring.</t>
        </is>
      </c>
      <c r="AJ29" s="18" t="inlineStr">
        <is>
          <t>Which URL asks only for paid orders?</t>
        </is>
      </c>
      <c r="AK29" s="18" t="inlineStr">
        <is>
          <t>A) /paid B) /orders?status=paid C) /orders/paid/all/none D) /orders#paid</t>
        </is>
      </c>
      <c r="AL29" s="18" t="inlineStr">
        <is>
          <t>B</t>
        </is>
      </c>
      <c r="AM29" s="18" t="inlineStr">
        <is>
          <t>A query parameter is the usual way to filter a list.</t>
        </is>
      </c>
      <c r="AN29" s="18" t="inlineStr">
        <is>
          <t>A parameter such as sort=-created_at controls the ____ of results → order</t>
        </is>
      </c>
      <c r="AO29" s="18" t="inlineStr">
        <is>
          <t>How do you get the newest orders first? → Add a sort parameter such as sort=-created_at</t>
        </is>
      </c>
      <c r="AP29" s="18" t="inlineStr">
        <is>
          <t>Explain filtering and sorting in three lines.</t>
        </is>
      </c>
      <c r="AQ29" s="18" t="inlineStr">
        <is>
          <t>Write a URL that returns the ten cheapest products in a category.</t>
        </is>
      </c>
      <c r="AR29" s="17">
        <f>IF(J29="","",REPT("★",J29)&amp;REPT("☆",5-J29)&amp;" ("&amp;J29&amp;"/5)")</f>
        <v/>
      </c>
      <c r="AS29" s="17">
        <f>IF(Q29="","","Meaning: "&amp;Q29&amp;"  =  ______   (Answer: "&amp;F29&amp;")")</f>
        <v/>
      </c>
      <c r="AT29" s="17" t="inlineStr">
        <is>
          <t>New</t>
        </is>
      </c>
      <c r="AU29" s="17" t="n"/>
      <c r="AV29" s="17" t="n"/>
      <c r="AW29" s="17" t="n"/>
      <c r="AX29" s="17" t="n"/>
      <c r="AY29" s="17" t="n"/>
      <c r="AZ29" s="17" t="n"/>
      <c r="BA29" s="17" t="n"/>
      <c r="BB29" s="17" t="n"/>
    </row>
    <row r="30" ht="94.5" customHeight="1">
      <c r="A30" s="17" t="inlineStr">
        <is>
          <t>API-041</t>
        </is>
      </c>
      <c r="B30" s="17" t="inlineStr">
        <is>
          <t>06 Real-world handling</t>
        </is>
      </c>
      <c r="C30" s="17" t="inlineStr">
        <is>
          <t>Advanced</t>
        </is>
      </c>
      <c r="D30" s="17" t="n">
        <v>41</v>
      </c>
      <c r="E30" s="17" t="inlineStr">
        <is>
          <t>Claude knowledge</t>
        </is>
      </c>
      <c r="F30" s="18" t="inlineStr">
        <is>
          <t>Caching and ETags</t>
        </is>
      </c>
      <c r="G30" s="18" t="inlineStr">
        <is>
          <t>Which headers help you avoid downloading the same data again when it has not changed?</t>
        </is>
      </c>
      <c r="H30" s="18" t="inlineStr">
        <is>
          <t>Performance concept</t>
        </is>
      </c>
      <c r="I30" s="18" t="inlineStr">
        <is>
          <t>Medium</t>
        </is>
      </c>
      <c r="J30" s="18" t="n">
        <v>4</v>
      </c>
      <c r="K30" s="18" t="inlineStr">
        <is>
          <t>Fetching unchanged data wastes time and bandwidth, so HTTP added caching headers that let clients reuse a stored response or ask whether it has changed.</t>
        </is>
      </c>
      <c r="L30" s="18" t="inlineStr">
        <is>
          <t>Cache data that rarely changes, and use conditional requests to confirm freshness cheaply.</t>
        </is>
      </c>
      <c r="M30" s="18" t="inlineStr">
        <is>
          <t>An ETag is a version sticker, and you ask the server whether your sticker is still current.</t>
        </is>
      </c>
      <c r="N30" s="18" t="inlineStr">
        <is>
          <t>A stored response with a version tag, and a short 304 reply meaning nothing changed.</t>
        </is>
      </c>
      <c r="O30" s="18" t="inlineStr">
        <is>
          <t>The pleasure of faster apps and smaller bills.</t>
        </is>
      </c>
      <c r="P30" s="18" t="inlineStr">
        <is>
          <t>Caching stores responses for reuse, Cache-Control sets how long a response is fresh, and an ETag lets a client ask whether it has changed and receive 304 Not Modified if not.</t>
        </is>
      </c>
      <c r="Q30" s="17" t="n"/>
      <c r="R30" s="18" t="inlineStr">
        <is>
          <t>The server may send Cache-Control: max-age=60 and an ETag value. Later, the client sends If-None-Match with that ETag. If the data is unchanged the server replies 304 with no body, and the client reuses its stored copy. This saves bandwidth and counts less against some limits.</t>
        </is>
      </c>
      <c r="S30" s="18" t="inlineStr">
        <is>
          <t>Keep a copy, and ask the server whether it is still current. If it is, you get a tiny 304 reply and reuse your copy.</t>
        </is>
      </c>
      <c r="T30" s="18" t="inlineStr">
        <is>
          <t>It is like holding a version sticker and asking the shop whether yours is still current.</t>
        </is>
      </c>
      <c r="U30" s="18" t="inlineStr">
        <is>
          <t>ETag + If-None-Match → 304 Not Modified (reuse your copy)</t>
        </is>
      </c>
      <c r="V30" s="18" t="inlineStr">
        <is>
          <t>Cache-Control: max-age=60 means the response is fresh for a minute.</t>
        </is>
      </c>
      <c r="W30" s="18" t="inlineStr">
        <is>
          <t>Sending If-None-Match with the stored ETag.</t>
        </is>
      </c>
      <c r="X30" s="18" t="inlineStr">
        <is>
          <t>Receiving 304 and using the saved copy.</t>
        </is>
      </c>
      <c r="Y30" s="18" t="inlineStr">
        <is>
          <t>headers, rate limiting, performance, status codes</t>
        </is>
      </c>
      <c r="Z30" s="18" t="inlineStr">
        <is>
          <t>cache, ETag, If-None-Match, max-age, 304</t>
        </is>
      </c>
      <c r="AA30" s="18" t="inlineStr">
        <is>
          <t>Rarely changing data | Mobile apps | High-traffic services</t>
        </is>
      </c>
      <c r="AB30" s="18" t="inlineStr">
        <is>
          <t>A: We download the same price list every minute. | B: Use an ETag so the server can reply 304 when nothing changed.</t>
        </is>
      </c>
      <c r="AC30" s="18" t="inlineStr">
        <is>
          <t>✗ A 304 response means an error → ✓ A 304 means not modified, and you should reuse your stored copy</t>
        </is>
      </c>
      <c r="AD30" s="18" t="inlineStr">
        <is>
          <t>max-age vs ETag: max-age says how long a copy stays fresh, an ETag lets you check whether it changed.</t>
        </is>
      </c>
      <c r="AE30" s="18" t="inlineStr">
        <is>
          <t>Do not cache private or frequently changing data for long.</t>
        </is>
      </c>
      <c r="AF30" s="18" t="inlineStr">
        <is>
          <t>304 means your copy is still good.</t>
        </is>
      </c>
      <c r="AG30" s="18" t="inlineStr">
        <is>
          <t>Using ETags so a mobile app downloads a catalogue only when it changes.</t>
        </is>
      </c>
      <c r="AH30" s="18" t="inlineStr">
        <is>
          <t>An interviewer may ask: How does an ETag reduce bandwidth?</t>
        </is>
      </c>
      <c r="AI30" s="18" t="inlineStr">
        <is>
          <t>It is like checking whether your version sticker is still current.</t>
        </is>
      </c>
      <c r="AJ30" s="18" t="inlineStr">
        <is>
          <t>What does status 304 mean?</t>
        </is>
      </c>
      <c r="AK30" s="18" t="inlineStr">
        <is>
          <t>A) Not Modified B) Server Error C) Not Found D) Bad Request</t>
        </is>
      </c>
      <c r="AL30" s="18" t="inlineStr">
        <is>
          <t>A</t>
        </is>
      </c>
      <c r="AM30" s="18" t="inlineStr">
        <is>
          <t>304 tells the client its stored copy is still valid.</t>
        </is>
      </c>
      <c r="AN30" s="18" t="inlineStr">
        <is>
          <t>A conditional request sends the ____ header with the stored ETag → If-None-Match</t>
        </is>
      </c>
      <c r="AO30" s="18" t="inlineStr">
        <is>
          <t>How can an app avoid downloading unchanged data? → Send If-None-Match with the stored ETag and reuse the copy on 304</t>
        </is>
      </c>
      <c r="AP30" s="18" t="inlineStr">
        <is>
          <t>Explain ETags in three lines.</t>
        </is>
      </c>
      <c r="AQ30" s="18" t="inlineStr">
        <is>
          <t>Write the request and response steps of a conditional request.</t>
        </is>
      </c>
      <c r="AR30" s="17">
        <f>IF(J30="","",REPT("★",J30)&amp;REPT("☆",5-J30)&amp;" ("&amp;J30&amp;"/5)")</f>
        <v/>
      </c>
      <c r="AS30" s="17">
        <f>IF(Q30="","","Meaning: "&amp;Q30&amp;"  =  ______   (Answer: "&amp;F30&amp;")")</f>
        <v/>
      </c>
      <c r="AT30" s="17" t="inlineStr">
        <is>
          <t>New</t>
        </is>
      </c>
      <c r="AU30" s="17" t="n"/>
      <c r="AV30" s="17" t="n"/>
      <c r="AW30" s="17" t="n"/>
      <c r="AX30" s="17" t="n"/>
      <c r="AY30" s="17" t="n"/>
      <c r="AZ30" s="17" t="n"/>
      <c r="BA30" s="17" t="n"/>
      <c r="BB30" s="17" t="n"/>
    </row>
    <row r="31" ht="108" customHeight="1">
      <c r="A31" s="17" t="inlineStr">
        <is>
          <t>API-042</t>
        </is>
      </c>
      <c r="B31" s="17" t="inlineStr">
        <is>
          <t>06 Real-world handling</t>
        </is>
      </c>
      <c r="C31" s="17" t="inlineStr">
        <is>
          <t>Advanced</t>
        </is>
      </c>
      <c r="D31" s="17" t="n">
        <v>42</v>
      </c>
      <c r="E31" s="17" t="inlineStr">
        <is>
          <t>Claude knowledge</t>
        </is>
      </c>
      <c r="F31" s="18" t="inlineStr">
        <is>
          <t>API versioning</t>
        </is>
      </c>
      <c r="G31" s="18" t="inlineStr">
        <is>
          <t>How do providers change an API without breaking the apps that already use it?</t>
        </is>
      </c>
      <c r="H31" s="18" t="inlineStr">
        <is>
          <t>API design</t>
        </is>
      </c>
      <c r="I31" s="18" t="inlineStr">
        <is>
          <t>Medium</t>
        </is>
      </c>
      <c r="J31" s="18" t="n">
        <v>4</v>
      </c>
      <c r="K31" s="18" t="inlineStr">
        <is>
          <t>An API cannot change freely once others depend on it, so providers label versions and keep old ones running while clients migrate to new ones.</t>
        </is>
      </c>
      <c r="L31" s="18" t="inlineStr">
        <is>
          <t>Pin your integration to a specific version and watch the provider's deprecation notices.</t>
        </is>
      </c>
      <c r="M31" s="18" t="inlineStr">
        <is>
          <t>Versioning is keeping old editions of a book on the shelf while a new edition is published.</t>
        </is>
      </c>
      <c r="N31" s="18" t="inlineStr">
        <is>
          <t>Two shelves labelled v1 and v2 holding the same API with small differences.</t>
        </is>
      </c>
      <c r="O31" s="18" t="inlineStr">
        <is>
          <t>The security of knowing an update will not suddenly break your app.</t>
        </is>
      </c>
      <c r="P31" s="18" t="inlineStr">
        <is>
          <t>API versioning labels each release of an API, such as v1 or v2, so that clients can keep using a stable version while a new one is introduced.</t>
        </is>
      </c>
      <c r="Q31" s="17" t="n"/>
      <c r="R31" s="18" t="inlineStr">
        <is>
          <t>Versions appear in the URL (/v1/users), in a header, or in a date such as 2024-01-01. Breaking changes, such as removing a field, belong in a new version, while adding optional fields is usually backward compatible. Providers announce deprecation dates, and clients should migrate before the old version is removed.</t>
        </is>
      </c>
      <c r="S31" s="18" t="inlineStr">
        <is>
          <t>A version number lets the provider improve the API without breaking you. Stay on a version until you have tested the next one.</t>
        </is>
      </c>
      <c r="T31" s="18" t="inlineStr">
        <is>
          <t>It is like keeping old editions of a book on the shelf while the new edition is published.</t>
        </is>
      </c>
      <c r="U31" s="18" t="inlineStr">
        <is>
          <t>Breaking change → new version. Adding optional fields → usually same version.</t>
        </is>
      </c>
      <c r="V31" s="18" t="inlineStr">
        <is>
          <t>https://api.example.com/v1/users and /v2/users exist side by side.</t>
        </is>
      </c>
      <c r="W31" s="18" t="inlineStr">
        <is>
          <t>A header such as X-API-Version: 2024-01-01 chooses the version.</t>
        </is>
      </c>
      <c r="X31" s="18" t="inlineStr">
        <is>
          <t>A deprecation notice announcing that v1 ends in six months.</t>
        </is>
      </c>
      <c r="Y31" s="18" t="inlineStr">
        <is>
          <t>base URL, headers, backward compatibility, deprecation</t>
        </is>
      </c>
      <c r="Z31" s="18" t="inlineStr">
        <is>
          <t>version, deprecation, breaking change, backward compatible</t>
        </is>
      </c>
      <c r="AA31" s="18" t="inlineStr">
        <is>
          <t>Public APIs | Long-lived integrations | Mobile apps</t>
        </is>
      </c>
      <c r="AB31" s="18" t="inlineStr">
        <is>
          <t>A: The provider removed a field and our app broke. | B: We should have pinned a version and tested the new one before upgrading.</t>
        </is>
      </c>
      <c r="AC31" s="18" t="inlineStr">
        <is>
          <t>✗ Adding a new optional field always needs a new API version → ✓ Adding optional fields is usually backward compatible, and breaking changes need a new version</t>
        </is>
      </c>
      <c r="AD31" s="18" t="inlineStr">
        <is>
          <t>Backward compatible vs breaking: compatible changes leave old clients working, breaking changes do not.</t>
        </is>
      </c>
      <c r="AE31" s="18" t="inlineStr">
        <is>
          <t>Do not ignore deprecation notices.</t>
        </is>
      </c>
      <c r="AF31" s="18" t="inlineStr">
        <is>
          <t>New version for breaking changes.</t>
        </is>
      </c>
      <c r="AG31" s="18" t="inlineStr">
        <is>
          <t>Migrating from v1 to v2 of a payment API before v1 was switched off.</t>
        </is>
      </c>
      <c r="AH31" s="18" t="inlineStr">
        <is>
          <t>An interviewer may ask: How would you version an API?</t>
        </is>
      </c>
      <c r="AI31" s="18" t="inlineStr">
        <is>
          <t>It is like keeping old editions on the shelf while a new one is published.</t>
        </is>
      </c>
      <c r="AJ31" s="18" t="inlineStr">
        <is>
          <t>Which change needs a new API version?</t>
        </is>
      </c>
      <c r="AK31" s="18" t="inlineStr">
        <is>
          <t>A) Adding an optional field B) Removing a field clients rely on C) Fixing a typo in docs D) Improving speed</t>
        </is>
      </c>
      <c r="AL31" s="18" t="inlineStr">
        <is>
          <t>B</t>
        </is>
      </c>
      <c r="AM31" s="18" t="inlineStr">
        <is>
          <t>Removing a field is a breaking change.</t>
        </is>
      </c>
      <c r="AN31" s="18" t="inlineStr">
        <is>
          <t>Announcing that an old version will end is called ____ → deprecation</t>
        </is>
      </c>
      <c r="AO31" s="18" t="inlineStr">
        <is>
          <t>How do you protect an integration from sudden changes? → Pin it to a specific API version</t>
        </is>
      </c>
      <c r="AP31" s="18" t="inlineStr">
        <is>
          <t>Explain API versioning in three lines.</t>
        </is>
      </c>
      <c r="AQ31" s="18" t="inlineStr">
        <is>
          <t>Write where in the URL or header you would place a version.</t>
        </is>
      </c>
      <c r="AR31" s="17">
        <f>IF(J31="","",REPT("★",J31)&amp;REPT("☆",5-J31)&amp;" ("&amp;J31&amp;"/5)")</f>
        <v/>
      </c>
      <c r="AS31" s="17">
        <f>IF(Q31="","","Meaning: "&amp;Q31&amp;"  =  ______   (Answer: "&amp;F31&amp;")")</f>
        <v/>
      </c>
      <c r="AT31" s="17" t="inlineStr">
        <is>
          <t>New</t>
        </is>
      </c>
      <c r="AU31" s="17" t="n"/>
      <c r="AV31" s="17" t="n"/>
      <c r="AW31" s="17" t="n"/>
      <c r="AX31" s="17" t="n"/>
      <c r="AY31" s="17" t="n"/>
      <c r="AZ31" s="17" t="n"/>
      <c r="BA31" s="17" t="n"/>
      <c r="BB31" s="17" t="n"/>
    </row>
    <row r="32" ht="94.5" customHeight="1">
      <c r="A32" s="17" t="inlineStr">
        <is>
          <t>API-043</t>
        </is>
      </c>
      <c r="B32" s="17" t="inlineStr">
        <is>
          <t>07 Webhooks and async</t>
        </is>
      </c>
      <c r="C32" s="17" t="inlineStr">
        <is>
          <t>Intermediate</t>
        </is>
      </c>
      <c r="D32" s="17" t="n">
        <v>43</v>
      </c>
      <c r="E32" s="17" t="inlineStr">
        <is>
          <t>Claude knowledge</t>
        </is>
      </c>
      <c r="F32" s="18" t="inlineStr">
        <is>
          <t>Webhook</t>
        </is>
      </c>
      <c r="G32" s="18" t="inlineStr">
        <is>
          <t>What is it called when a service sends an HTTP request to your URL by itself as soon as an event happens?</t>
        </is>
      </c>
      <c r="H32" s="18" t="inlineStr">
        <is>
          <t>Integration pattern</t>
        </is>
      </c>
      <c r="I32" s="18" t="inlineStr">
        <is>
          <t>High</t>
        </is>
      </c>
      <c r="J32" s="18" t="n">
        <v>5</v>
      </c>
      <c r="K32" s="18" t="inlineStr">
        <is>
          <t>Asking a service again and again whether something has happened is wasteful, so providers reverse the direction and call you when the event occurs.</t>
        </is>
      </c>
      <c r="L32" s="18" t="inlineStr">
        <is>
          <t>Respond with a 2xx quickly and do the heavy work afterwards, or the provider may think delivery failed and retry.</t>
        </is>
      </c>
      <c r="M32" s="18" t="inlineStr">
        <is>
          <t>A webhook is a doorbell: instead of checking the door every minute, you hear a ring when someone arrives.</t>
        </is>
      </c>
      <c r="N32" s="18" t="inlineStr">
        <is>
          <t>A provider sending an arrow to your server's URL the moment a payment succeeds.</t>
        </is>
      </c>
      <c r="O32" s="18" t="inlineStr">
        <is>
          <t>The ease of being told instead of constantly asking.</t>
        </is>
      </c>
      <c r="P32" s="18" t="inlineStr">
        <is>
          <t>A webhook is an HTTP request that a provider sends to a URL you registered whenever a chosen event happens.</t>
        </is>
      </c>
      <c r="Q32" s="17" t="n"/>
      <c r="R32" s="18" t="inlineStr">
        <is>
          <t>You give the provider a public HTTPS URL and choose the events, such as payment succeeded. When an event occurs, the provider sends a POST with a JSON body describing it. Your server verifies it, processes it and returns a 2xx status. If you fail or time out, many providers retry.</t>
        </is>
      </c>
      <c r="S32" s="18" t="inlineStr">
        <is>
          <t>Instead of you asking whether something happened, the provider calls your URL when it does. Your job is to receive, verify and reply quickly.</t>
        </is>
      </c>
      <c r="T32" s="18" t="inlineStr">
        <is>
          <t>It is like a doorbell that rings when someone arrives, instead of you checking the door every minute.</t>
        </is>
      </c>
      <c r="U32" s="18" t="inlineStr">
        <is>
          <t>Event happens → provider POSTs to your URL → you verify, process and return 2xx</t>
        </is>
      </c>
      <c r="V32" s="18" t="inlineStr">
        <is>
          <t>A payment provider notifying your server that a payment succeeded.</t>
        </is>
      </c>
      <c r="W32" s="18" t="inlineStr">
        <is>
          <t>A code hosting service notifying a build server about a new commit.</t>
        </is>
      </c>
      <c r="X32" s="18" t="inlineStr">
        <is>
          <t>A messaging service notifying you that an email was delivered.</t>
        </is>
      </c>
      <c r="Y32" s="18" t="inlineStr">
        <is>
          <t>polling, signature verification, idempotency, API vs SDK vs webhook</t>
        </is>
      </c>
      <c r="Z32" s="18" t="inlineStr">
        <is>
          <t>webhook, event, callback, endpoint, delivery</t>
        </is>
      </c>
      <c r="AA32" s="18" t="inlineStr">
        <is>
          <t>Payments | Messaging | Continuous integration</t>
        </is>
      </c>
      <c r="AB32" s="18" t="inlineStr">
        <is>
          <t>A: How do we know when a payment completes? | B: Register a webhook and the provider will call our URL.</t>
        </is>
      </c>
      <c r="AC32" s="18" t="inlineStr">
        <is>
          <t>✗ A webhook is a request your app sends to ask for new data → ✓ A webhook is a request the provider sends to your URL when an event occurs</t>
        </is>
      </c>
      <c r="AD32" s="18" t="inlineStr">
        <is>
          <t>Webhook vs polling: a webhook pushes events to you, polling means you keep asking.</t>
        </is>
      </c>
      <c r="AE32" s="18" t="inlineStr">
        <is>
          <t>Do not do slow work before replying to a webhook.</t>
        </is>
      </c>
      <c r="AF32" s="18" t="inlineStr">
        <is>
          <t>A webhook rings your bell when it happens.</t>
        </is>
      </c>
      <c r="AG32" s="18" t="inlineStr">
        <is>
          <t>Marking an order paid when a payment webhook arrives.</t>
        </is>
      </c>
      <c r="AH32" s="18" t="inlineStr">
        <is>
          <t>An interviewer may ask: What is a webhook and how is it different from polling?</t>
        </is>
      </c>
      <c r="AI32" s="18" t="inlineStr">
        <is>
          <t>It is like a doorbell that rings when someone arrives.</t>
        </is>
      </c>
      <c r="AJ32" s="18" t="inlineStr">
        <is>
          <t>Who sends the request in a webhook?</t>
        </is>
      </c>
      <c r="AK32" s="18" t="inlineStr">
        <is>
          <t>A) The user B) The browser C) The database D) The provider</t>
        </is>
      </c>
      <c r="AL32" s="18" t="inlineStr">
        <is>
          <t>D</t>
        </is>
      </c>
      <c r="AM32" s="18" t="inlineStr">
        <is>
          <t>A webhook is the provider calling your registered URL.</t>
        </is>
      </c>
      <c r="AN32" s="18" t="inlineStr">
        <is>
          <t>You return a ____ status quickly to confirm receipt of a webhook → 2xx</t>
        </is>
      </c>
      <c r="AO32" s="18" t="inlineStr">
        <is>
          <t>How do you learn that a payment succeeded without asking repeatedly? → Register a webhook for the payment event</t>
        </is>
      </c>
      <c r="AP32" s="18" t="inlineStr">
        <is>
          <t>Explain a webhook in three lines.</t>
        </is>
      </c>
      <c r="AQ32" s="18" t="inlineStr">
        <is>
          <t>Write the steps your server follows when a webhook arrives.</t>
        </is>
      </c>
      <c r="AR32" s="17">
        <f>IF(J32="","",REPT("★",J32)&amp;REPT("☆",5-J32)&amp;" ("&amp;J32&amp;"/5)")</f>
        <v/>
      </c>
      <c r="AS32" s="17">
        <f>IF(Q32="","","Meaning: "&amp;Q32&amp;"  =  ______   (Answer: "&amp;F32&amp;")")</f>
        <v/>
      </c>
      <c r="AT32" s="17" t="inlineStr">
        <is>
          <t>New</t>
        </is>
      </c>
      <c r="AU32" s="17" t="n"/>
      <c r="AV32" s="17" t="n"/>
      <c r="AW32" s="17" t="n"/>
      <c r="AX32" s="17" t="n"/>
      <c r="AY32" s="17" t="n"/>
      <c r="AZ32" s="17" t="n"/>
      <c r="BA32" s="17" t="n"/>
      <c r="BB32" s="17" t="n"/>
    </row>
    <row r="33" ht="108" customHeight="1">
      <c r="A33" s="17" t="inlineStr">
        <is>
          <t>API-045</t>
        </is>
      </c>
      <c r="B33" s="17" t="inlineStr">
        <is>
          <t>07 Webhooks and async</t>
        </is>
      </c>
      <c r="C33" s="17" t="inlineStr">
        <is>
          <t>Intermediate</t>
        </is>
      </c>
      <c r="D33" s="17" t="n">
        <v>45</v>
      </c>
      <c r="E33" s="17" t="inlineStr">
        <is>
          <t>Claude knowledge</t>
        </is>
      </c>
      <c r="F33" s="18" t="inlineStr">
        <is>
          <t>Polling vs webhooks</t>
        </is>
      </c>
      <c r="G33" s="18" t="inlineStr">
        <is>
          <t>Which two ways let you learn that something has changed, by repeatedly asking or by being told?</t>
        </is>
      </c>
      <c r="H33" s="18" t="inlineStr">
        <is>
          <t>Integration pattern</t>
        </is>
      </c>
      <c r="I33" s="18" t="inlineStr">
        <is>
          <t>High</t>
        </is>
      </c>
      <c r="J33" s="18" t="n">
        <v>4</v>
      </c>
      <c r="K33" s="18" t="inlineStr">
        <is>
          <t>Systems need to find out when work is finished or data changes, and there are two basic ways to do it: ask repeatedly, or let the other side call you.</t>
        </is>
      </c>
      <c r="L33" s="18" t="inlineStr">
        <is>
          <t>Use webhooks when the provider offers them, and use polling with sensible intervals as a fallback.</t>
        </is>
      </c>
      <c r="M33" s="18" t="inlineStr">
        <is>
          <t>Polling is checking your mailbox every hour, and a webhook is the postman ringing your bell.</t>
        </is>
      </c>
      <c r="N33" s="18" t="inlineStr">
        <is>
          <t>A clock with repeated arrows to a server beside a single arrow arriving once.</t>
        </is>
      </c>
      <c r="O33" s="18" t="inlineStr">
        <is>
          <t>The efficiency of not wasting calls on empty answers.</t>
        </is>
      </c>
      <c r="P33" s="18" t="inlineStr">
        <is>
          <t>Polling means your app repeatedly asks the API whether something has changed, while a webhook means the provider tells your app when it happens.</t>
        </is>
      </c>
      <c r="Q33" s="17" t="n"/>
      <c r="R33" s="18" t="inlineStr">
        <is>
          <t>Polling is simple and works without a public URL, but it wastes requests and delays updates by up to the polling interval. Webhooks are timely and efficient, but need a public, secured endpoint and careful handling of retries. Many integrations combine both, using a webhook for speed and a periodic poll to catch anything missed.</t>
        </is>
      </c>
      <c r="S33" s="18" t="inlineStr">
        <is>
          <t>Polling asks every so often. A webhook tells you the moment it happens. Webhooks are more efficient, and polling is a good backup.</t>
        </is>
      </c>
      <c r="T33" s="18" t="inlineStr">
        <is>
          <t>Polling is checking your mailbox every hour, and a webhook is the postman ringing your bell.</t>
        </is>
      </c>
      <c r="U33" s="18" t="inlineStr">
        <is>
          <t>Polling = you ask repeatedly. Webhook = they tell you.</t>
        </is>
      </c>
      <c r="V33" s="18" t="inlineStr">
        <is>
          <t>Checking a job status every ten seconds until it says done.</t>
        </is>
      </c>
      <c r="W33" s="18" t="inlineStr">
        <is>
          <t>Getting a webhook the moment a report is ready.</t>
        </is>
      </c>
      <c r="X33" s="18" t="inlineStr">
        <is>
          <t>Using a webhook plus a nightly poll to catch missed events.</t>
        </is>
      </c>
      <c r="Y33" s="18" t="inlineStr">
        <is>
          <t>webhook, rate limiting, retries, long-running tasks</t>
        </is>
      </c>
      <c r="Z33" s="18" t="inlineStr">
        <is>
          <t>polling, interval, push, pull, event</t>
        </is>
      </c>
      <c r="AA33" s="18" t="inlineStr">
        <is>
          <t>Long-running jobs | Payments | Syncing data</t>
        </is>
      </c>
      <c r="AB33" s="18" t="inlineStr">
        <is>
          <t>A: Our app calls the status endpoint every second. | B: Switch to a webhook, or at least poll less often.</t>
        </is>
      </c>
      <c r="AC33" s="18" t="inlineStr">
        <is>
          <t>✗ Polling is always better because it is simpler → ✓ Polling wastes requests and delays updates, so webhooks are usually more efficient when available</t>
        </is>
      </c>
      <c r="AD33" s="18" t="inlineStr">
        <is>
          <t>Polling vs webhook: polling pulls on a schedule, a webhook pushes on an event.</t>
        </is>
      </c>
      <c r="AE33" s="18" t="inlineStr">
        <is>
          <t>Do not poll every second without a limit.</t>
        </is>
      </c>
      <c r="AF33" s="18" t="inlineStr">
        <is>
          <t>Polling pulls the news, webhooks push it.</t>
        </is>
      </c>
      <c r="AG33" s="18" t="inlineStr">
        <is>
          <t>Using a webhook for payments and a nightly poll to reconcile anything missed.</t>
        </is>
      </c>
      <c r="AH33" s="18" t="inlineStr">
        <is>
          <t>An interviewer may ask: When would you choose polling over webhooks?</t>
        </is>
      </c>
      <c r="AI33" s="18" t="inlineStr">
        <is>
          <t>It is like checking your mailbox versus the postman ringing the bell.</t>
        </is>
      </c>
      <c r="AJ33" s="18" t="inlineStr">
        <is>
          <t>Which approach delivers an event the moment it happens?</t>
        </is>
      </c>
      <c r="AK33" s="18" t="inlineStr">
        <is>
          <t>A) Polling every hour B) Webhook C) Cron job D) Manual refresh</t>
        </is>
      </c>
      <c r="AL33" s="18" t="inlineStr">
        <is>
          <t>B</t>
        </is>
      </c>
      <c r="AM33" s="18" t="inlineStr">
        <is>
          <t>A webhook is sent by the provider as soon as the event occurs.</t>
        </is>
      </c>
      <c r="AN33" s="18" t="inlineStr">
        <is>
          <t>Repeatedly asking an API whether something changed is called ____ → polling</t>
        </is>
      </c>
      <c r="AO33" s="18" t="inlineStr">
        <is>
          <t>A job takes minutes and has no webhook. What can you do? → Poll its status at sensible intervals with a limit</t>
        </is>
      </c>
      <c r="AP33" s="18" t="inlineStr">
        <is>
          <t>Explain polling and webhooks in three lines.</t>
        </is>
      </c>
      <c r="AQ33" s="18" t="inlineStr">
        <is>
          <t>Write when you would use both together.</t>
        </is>
      </c>
      <c r="AR33" s="17">
        <f>IF(J33="","",REPT("★",J33)&amp;REPT("☆",5-J33)&amp;" ("&amp;J33&amp;"/5)")</f>
        <v/>
      </c>
      <c r="AS33" s="17">
        <f>IF(Q33="","","Meaning: "&amp;Q33&amp;"  =  ______   (Answer: "&amp;F33&amp;")")</f>
        <v/>
      </c>
      <c r="AT33" s="17" t="inlineStr">
        <is>
          <t>New</t>
        </is>
      </c>
      <c r="AU33" s="17" t="n"/>
      <c r="AV33" s="17" t="n"/>
      <c r="AW33" s="17" t="n"/>
      <c r="AX33" s="17" t="n"/>
      <c r="AY33" s="17" t="n"/>
      <c r="AZ33" s="17" t="n"/>
      <c r="BA33" s="17" t="n"/>
      <c r="BB33" s="17" t="n"/>
    </row>
    <row r="34" ht="94.5" customHeight="1">
      <c r="A34" s="17" t="inlineStr">
        <is>
          <t>API-046</t>
        </is>
      </c>
      <c r="B34" s="17" t="inlineStr">
        <is>
          <t>07 Webhooks and async</t>
        </is>
      </c>
      <c r="C34" s="17" t="inlineStr">
        <is>
          <t>Advanced</t>
        </is>
      </c>
      <c r="D34" s="17" t="n">
        <v>46</v>
      </c>
      <c r="E34" s="17" t="inlineStr">
        <is>
          <t>Claude knowledge</t>
        </is>
      </c>
      <c r="F34" s="18" t="inlineStr">
        <is>
          <t>Idempotent webhook handling</t>
        </is>
      </c>
      <c r="G34" s="18" t="inlineStr">
        <is>
          <t>How do you make sure a webhook that arrives twice is processed only once?</t>
        </is>
      </c>
      <c r="H34" s="18" t="inlineStr">
        <is>
          <t>Reliability practice</t>
        </is>
      </c>
      <c r="I34" s="18" t="inlineStr">
        <is>
          <t>High</t>
        </is>
      </c>
      <c r="J34" s="18" t="n">
        <v>5</v>
      </c>
      <c r="K34" s="18" t="inlineStr">
        <is>
          <t>Providers retry deliveries when they do not get a quick 2xx, so the same event can arrive more than once, and handlers must cope without repeating the action.</t>
        </is>
      </c>
      <c r="L34" s="18" t="inlineStr">
        <is>
          <t>Store the event id before or while processing, and ignore any event whose id you have already seen.</t>
        </is>
      </c>
      <c r="M34" s="18" t="inlineStr">
        <is>
          <t>It is like a doorman with a guest list who ticks each name once and turns away repeats.</t>
        </is>
      </c>
      <c r="N34" s="18" t="inlineStr">
        <is>
          <t>A list of event ids with a tick beside each one that has been handled.</t>
        </is>
      </c>
      <c r="O34" s="18" t="inlineStr">
        <is>
          <t>The peace of knowing a retry will not charge or ship twice.</t>
        </is>
      </c>
      <c r="P34" s="18" t="inlineStr">
        <is>
          <t>Idempotent webhook handling means processing each event only once, even if the provider delivers it several times.</t>
        </is>
      </c>
      <c r="Q34" s="17" t="n"/>
      <c r="R34" s="18" t="inlineStr">
        <is>
          <t>Each webhook has a unique event id. Your handler records that id in a database, usually in the same transaction as the work, and skips events whose id is already stored. Reply with 2xx quickly, put heavy work on a queue, and do not depend on the order of events, since delivery order is not guaranteed.</t>
        </is>
      </c>
      <c r="S34" s="18" t="inlineStr">
        <is>
          <t>Save the id of every event you process. If the same id arrives again, reply OK and do nothing, so retries never cause duplicates.</t>
        </is>
      </c>
      <c r="T34" s="18" t="inlineStr">
        <is>
          <t>It is like a doorman who ticks each name once and turns away repeats.</t>
        </is>
      </c>
      <c r="U34" s="18" t="inlineStr">
        <is>
          <t>Receive event → already seen its id? → skip. Otherwise process and record the id.</t>
        </is>
      </c>
      <c r="V34" s="18" t="inlineStr">
        <is>
          <t>Ignoring a second delivery of the event with id evt_123.</t>
        </is>
      </c>
      <c r="W34" s="18" t="inlineStr">
        <is>
          <t>Marking an order paid only if it is not already paid.</t>
        </is>
      </c>
      <c r="X34" s="18" t="inlineStr">
        <is>
          <t>Putting the work on a queue and replying 200 straight away.</t>
        </is>
      </c>
      <c r="Y34" s="18" t="inlineStr">
        <is>
          <t>webhook, idempotency, retries, queues</t>
        </is>
      </c>
      <c r="Z34" s="18" t="inlineStr">
        <is>
          <t>event id, deduplication, retry, queue, at-least-once</t>
        </is>
      </c>
      <c r="AA34" s="18" t="inlineStr">
        <is>
          <t>Payments | Order systems | Notification systems</t>
        </is>
      </c>
      <c r="AB34" s="18" t="inlineStr">
        <is>
          <t>A: Customers got two confirmation emails. | B: The webhook was delivered twice, so deduplicate by event id.</t>
        </is>
      </c>
      <c r="AC34" s="18" t="inlineStr">
        <is>
          <t>✗ A webhook is delivered exactly once → ✓ Providers usually guarantee at least once, so duplicates can happen and must be handled</t>
        </is>
      </c>
      <c r="AD34" s="18" t="inlineStr">
        <is>
          <t>At-least-once vs exactly-once: at-least-once may repeat events, so your handler must deduplicate.</t>
        </is>
      </c>
      <c r="AE34" s="18" t="inlineStr">
        <is>
          <t>Do not assume events arrive in order or only once.</t>
        </is>
      </c>
      <c r="AF34" s="18" t="inlineStr">
        <is>
          <t>Record the id, skip the repeats.</t>
        </is>
      </c>
      <c r="AG34" s="18" t="inlineStr">
        <is>
          <t>Storing processed event ids so retried payment webhooks never double-ship an order.</t>
        </is>
      </c>
      <c r="AH34" s="18" t="inlineStr">
        <is>
          <t>An interviewer may ask: How do you handle duplicate webhook deliveries?</t>
        </is>
      </c>
      <c r="AI34" s="18" t="inlineStr">
        <is>
          <t>It is like a doorman ticking each name once.</t>
        </is>
      </c>
      <c r="AJ34" s="18" t="inlineStr">
        <is>
          <t>How do you detect a duplicate webhook?</t>
        </is>
      </c>
      <c r="AK34" s="18" t="inlineStr">
        <is>
          <t>A) Compare the time B) Check the URL C) Check whether its event id is already stored D) Count the headers</t>
        </is>
      </c>
      <c r="AL34" s="18" t="inlineStr">
        <is>
          <t>C</t>
        </is>
      </c>
      <c r="AM34" s="18" t="inlineStr">
        <is>
          <t>A stored event id shows the event was already processed.</t>
        </is>
      </c>
      <c r="AN34" s="18" t="inlineStr">
        <is>
          <t>Providers usually guarantee delivery at ____ once → least</t>
        </is>
      </c>
      <c r="AO34" s="18" t="inlineStr">
        <is>
          <t>The same payment event arrives twice. What should your handler do? → Recognise the stored event id and skip processing</t>
        </is>
      </c>
      <c r="AP34" s="18" t="inlineStr">
        <is>
          <t>Explain idempotent webhook handling in three lines.</t>
        </is>
      </c>
      <c r="AQ34" s="18" t="inlineStr">
        <is>
          <t>Write a table design that stores processed webhook event ids.</t>
        </is>
      </c>
      <c r="AR34" s="17">
        <f>IF(J34="","",REPT("★",J34)&amp;REPT("☆",5-J34)&amp;" ("&amp;J34&amp;"/5)")</f>
        <v/>
      </c>
      <c r="AS34" s="17">
        <f>IF(Q34="","","Meaning: "&amp;Q34&amp;"  =  ______   (Answer: "&amp;F34&amp;")")</f>
        <v/>
      </c>
      <c r="AT34" s="17" t="inlineStr">
        <is>
          <t>New</t>
        </is>
      </c>
      <c r="AU34" s="17" t="n"/>
      <c r="AV34" s="17" t="n"/>
      <c r="AW34" s="17" t="n"/>
      <c r="AX34" s="17" t="n"/>
      <c r="AY34" s="17" t="n"/>
      <c r="AZ34" s="17" t="n"/>
      <c r="BA34" s="17" t="n"/>
      <c r="BB34" s="17" t="n"/>
    </row>
    <row r="35" ht="94.5" customHeight="1">
      <c r="A35" s="17" t="inlineStr">
        <is>
          <t>API-047</t>
        </is>
      </c>
      <c r="B35" s="17" t="inlineStr">
        <is>
          <t>08 Design and advanced</t>
        </is>
      </c>
      <c r="C35" s="17" t="inlineStr">
        <is>
          <t>Intermediate</t>
        </is>
      </c>
      <c r="D35" s="17" t="n">
        <v>47</v>
      </c>
      <c r="E35" s="17" t="inlineStr">
        <is>
          <t>Claude knowledge</t>
        </is>
      </c>
      <c r="F35" s="18" t="inlineStr">
        <is>
          <t>OpenAPI and Swagger</t>
        </is>
      </c>
      <c r="G35" s="18" t="inlineStr">
        <is>
          <t>Which standard file format describes every endpoint of a REST API so that tools can create docs, mocks and client code from it?</t>
        </is>
      </c>
      <c r="H35" s="18" t="inlineStr">
        <is>
          <t>API documentation</t>
        </is>
      </c>
      <c r="I35" s="18" t="inlineStr">
        <is>
          <t>High</t>
        </is>
      </c>
      <c r="J35" s="18" t="n">
        <v>4</v>
      </c>
      <c r="K35" s="18" t="inlineStr">
        <is>
          <t>Hand-written API docs drifted away from the real API, so a machine-readable description was standardised that tools could read to generate consistent documentation.</t>
        </is>
      </c>
      <c r="L35" s="18" t="inlineStr">
        <is>
          <t>Treat the OpenAPI file as the single source of truth, and generate docs and clients from it.</t>
        </is>
      </c>
      <c r="M35" s="18" t="inlineStr">
        <is>
          <t>An OpenAPI file is the blueprint of a building that every contractor can read.</t>
        </is>
      </c>
      <c r="N35" s="18" t="inlineStr">
        <is>
          <t>A YAML file on one side and an interactive documentation page generated from it on the other.</t>
        </is>
      </c>
      <c r="O35" s="18" t="inlineStr">
        <is>
          <t>The satisfaction of docs that always match the API.</t>
        </is>
      </c>
      <c r="P35" s="18" t="inlineStr">
        <is>
          <t>OpenAPI is a standard, machine-readable format, in YAML or JSON, that describes an API's endpoints, parameters, request bodies, responses and authentication.</t>
        </is>
      </c>
      <c r="Q35" s="17" t="n"/>
      <c r="R35" s="18" t="inlineStr">
        <is>
          <t>Tools such as Swagger UI turn an OpenAPI file into interactive documentation in which you can try calls. Other tools generate client libraries, server stubs, tests and mock servers. The format was previously called the Swagger specification, and Swagger now names a set of tools around it.</t>
        </is>
      </c>
      <c r="S35" s="18" t="inlineStr">
        <is>
          <t>OpenAPI is a blueprint of your API written in a file. Tools read it to show docs, make test calls and even generate code.</t>
        </is>
      </c>
      <c r="T35" s="18" t="inlineStr">
        <is>
          <t>It is like a blueprint of a building that every contractor can read.</t>
        </is>
      </c>
      <c r="U35" s="18" t="inlineStr">
        <is>
          <t>OpenAPI file → docs, mocks, client code and tests</t>
        </is>
      </c>
      <c r="V35" s="18" t="inlineStr">
        <is>
          <t>Swagger UI showing an interactive page for the API.</t>
        </is>
      </c>
      <c r="W35" s="18" t="inlineStr">
        <is>
          <t>Generating a client library in several languages from one file.</t>
        </is>
      </c>
      <c r="X35" s="18" t="inlineStr">
        <is>
          <t>Running a mock server from the described responses.</t>
        </is>
      </c>
      <c r="Y35" s="18" t="inlineStr">
        <is>
          <t>API documentation, mocking, REST, testing</t>
        </is>
      </c>
      <c r="Z35" s="18" t="inlineStr">
        <is>
          <t>OpenAPI, Swagger, specification, schema, YAML</t>
        </is>
      </c>
      <c r="AA35" s="18" t="inlineStr">
        <is>
          <t>API documentation | Code generation | Contract testing</t>
        </is>
      </c>
      <c r="AB35" s="18" t="inlineStr">
        <is>
          <t>A: Our docs are always out of date. | B: Describe the API in OpenAPI and generate the docs from it.</t>
        </is>
      </c>
      <c r="AC35" s="18" t="inlineStr">
        <is>
          <t>✗ Swagger and OpenAPI are completely different things → ✓ OpenAPI is the specification, and Swagger is the family of tools that grew from it</t>
        </is>
      </c>
      <c r="AD35" s="18" t="inlineStr">
        <is>
          <t>OpenAPI vs Swagger UI: OpenAPI is the description format, Swagger UI is a tool that displays it.</t>
        </is>
      </c>
      <c r="AE35" s="18" t="inlineStr">
        <is>
          <t>Do not let the documentation and the real API drift apart.</t>
        </is>
      </c>
      <c r="AF35" s="18" t="inlineStr">
        <is>
          <t>OpenAPI is the blueprint file.</t>
        </is>
      </c>
      <c r="AG35" s="18" t="inlineStr">
        <is>
          <t>Publishing an OpenAPI file so partners can generate their own clients.</t>
        </is>
      </c>
      <c r="AH35" s="18" t="inlineStr">
        <is>
          <t>An interviewer may ask: What is OpenAPI used for?</t>
        </is>
      </c>
      <c r="AI35" s="18" t="inlineStr">
        <is>
          <t>It is like a blueprint every contractor can read.</t>
        </is>
      </c>
      <c r="AJ35" s="18" t="inlineStr">
        <is>
          <t>What does an OpenAPI file describe?</t>
        </is>
      </c>
      <c r="AK35" s="18" t="inlineStr">
        <is>
          <t>A) A network cable B) A database C) A web page design D) An API's endpoints and formats</t>
        </is>
      </c>
      <c r="AL35" s="18" t="inlineStr">
        <is>
          <t>D</t>
        </is>
      </c>
      <c r="AM35" s="18" t="inlineStr">
        <is>
          <t>It lists endpoints, parameters, bodies, responses and security.</t>
        </is>
      </c>
      <c r="AN35" s="18" t="inlineStr">
        <is>
          <t>The tool that shows interactive docs from an OpenAPI file is Swagger ____ → UI</t>
        </is>
      </c>
      <c r="AO35" s="18" t="inlineStr">
        <is>
          <t>How can docs always match the API? → Generate them from one OpenAPI file</t>
        </is>
      </c>
      <c r="AP35" s="18" t="inlineStr">
        <is>
          <t>Explain OpenAPI in three lines.</t>
        </is>
      </c>
      <c r="AQ35" s="18" t="inlineStr">
        <is>
          <t>Write the details you would put in an OpenAPI entry for a get user endpoint.</t>
        </is>
      </c>
      <c r="AR35" s="17">
        <f>IF(J35="","",REPT("★",J35)&amp;REPT("☆",5-J35)&amp;" ("&amp;J35&amp;"/5)")</f>
        <v/>
      </c>
      <c r="AS35" s="17">
        <f>IF(Q35="","","Meaning: "&amp;Q35&amp;"  =  ______   (Answer: "&amp;F35&amp;")")</f>
        <v/>
      </c>
      <c r="AT35" s="17" t="inlineStr">
        <is>
          <t>New</t>
        </is>
      </c>
      <c r="AU35" s="17" t="n"/>
      <c r="AV35" s="17" t="n"/>
      <c r="AW35" s="17" t="n"/>
      <c r="AX35" s="17" t="n"/>
      <c r="AY35" s="17" t="n"/>
      <c r="AZ35" s="17" t="n"/>
      <c r="BA35" s="17" t="n"/>
      <c r="BB35" s="17" t="n"/>
    </row>
    <row r="36" ht="108" customHeight="1">
      <c r="A36" s="17" t="inlineStr">
        <is>
          <t>API-048</t>
        </is>
      </c>
      <c r="B36" s="17" t="inlineStr">
        <is>
          <t>08 Design and advanced</t>
        </is>
      </c>
      <c r="C36" s="17" t="inlineStr">
        <is>
          <t>Advanced</t>
        </is>
      </c>
      <c r="D36" s="17" t="n">
        <v>48</v>
      </c>
      <c r="E36" s="17" t="inlineStr">
        <is>
          <t>Claude knowledge</t>
        </is>
      </c>
      <c r="F36" s="18" t="inlineStr">
        <is>
          <t>GraphQL vs REST</t>
        </is>
      </c>
      <c r="G36" s="18" t="inlineStr">
        <is>
          <t>Which query-based style lets the client choose exactly which fields it wants from one single endpoint?</t>
        </is>
      </c>
      <c r="H36" s="18" t="inlineStr">
        <is>
          <t>API style</t>
        </is>
      </c>
      <c r="I36" s="18" t="inlineStr">
        <is>
          <t>High</t>
        </is>
      </c>
      <c r="J36" s="18" t="n">
        <v>4</v>
      </c>
      <c r="K36" s="18" t="inlineStr">
        <is>
          <t>Mobile apps wasted data and made many round trips with fixed REST responses, so Facebook created GraphQL, which lets a client ask for exactly the fields it needs.</t>
        </is>
      </c>
      <c r="L36" s="18" t="inlineStr">
        <is>
          <t>Choose GraphQL when clients need flexible data shapes, and REST when simple resources and caching matter more.</t>
        </is>
      </c>
      <c r="M36" s="18" t="inlineStr">
        <is>
          <t>REST is a set menu, and GraphQL is ordering exactly the dishes and portions you want.</t>
        </is>
      </c>
      <c r="N36" s="18" t="inlineStr">
        <is>
          <t>One request listing the wanted fields, and a response containing exactly those fields.</t>
        </is>
      </c>
      <c r="O36" s="18" t="inlineStr">
        <is>
          <t>The efficiency of getting precisely what you asked for.</t>
        </is>
      </c>
      <c r="P36" s="18" t="inlineStr">
        <is>
          <t>GraphQL is a query language for APIs in which the client sends a query naming the fields it wants to a single endpoint, and the server returns exactly that shape.</t>
        </is>
      </c>
      <c r="Q36" s="17" t="n"/>
      <c r="R36" s="18" t="inlineStr">
        <is>
          <t>A REST API has many endpoints with fixed responses, which can cause over-fetching (extra fields) or under-fetching (needing several calls). GraphQL uses one endpoint, a typed schema, and queries and mutations. It reduces round trips, but caching and rate limiting are harder, and complex queries need protection.</t>
        </is>
      </c>
      <c r="S36" s="18" t="inlineStr">
        <is>
          <t>With REST you call different URLs and take what comes back. With GraphQL you send one query that lists the fields you want, and you get only those.</t>
        </is>
      </c>
      <c r="T36" s="18" t="inlineStr">
        <is>
          <t>REST is a set menu, and GraphQL is ordering exactly the dishes you want.</t>
        </is>
      </c>
      <c r="U36" s="18" t="inlineStr">
        <is>
          <t>REST = many endpoints, fixed shapes. GraphQL = one endpoint, client chooses fields.</t>
        </is>
      </c>
      <c r="V36" s="18" t="inlineStr">
        <is>
          <t>A query that asks for a user's name and the titles of their last three orders in one call.</t>
        </is>
      </c>
      <c r="W36" s="18" t="inlineStr">
        <is>
          <t>A mutation that changes a record.</t>
        </is>
      </c>
      <c r="X36" s="18" t="inlineStr">
        <is>
          <t>A REST app making three calls to build one screen.</t>
        </is>
      </c>
      <c r="Y36" s="18" t="inlineStr">
        <is>
          <t>REST, over-fetching, schema, API design</t>
        </is>
      </c>
      <c r="Z36" s="18" t="inlineStr">
        <is>
          <t>GraphQL, query, mutation, schema, over-fetching</t>
        </is>
      </c>
      <c r="AA36" s="18" t="inlineStr">
        <is>
          <t>Mobile apps | Complex data graphs | Front-end driven products</t>
        </is>
      </c>
      <c r="AB36" s="18" t="inlineStr">
        <is>
          <t>A: Our app needs three REST calls for one screen. | B: GraphQL could fetch the exact fields in one query.</t>
        </is>
      </c>
      <c r="AC36" s="18" t="inlineStr">
        <is>
          <t>✗ GraphQL always replaces REST and is better → ✓ GraphQL suits flexible queries, while REST stays simpler and caches well, so the choice depends on needs</t>
        </is>
      </c>
      <c r="AD36" s="18" t="inlineStr">
        <is>
          <t>GraphQL vs REST: GraphQL has one endpoint and flexible queries, REST has many endpoints with fixed responses.</t>
        </is>
      </c>
      <c r="AE36" s="18" t="inlineStr">
        <is>
          <t>Do not allow unlimited deeply nested queries on a public GraphQL API.</t>
        </is>
      </c>
      <c r="AF36" s="18" t="inlineStr">
        <is>
          <t>GraphQL asks for exactly the fields you want.</t>
        </is>
      </c>
      <c r="AG36" s="18" t="inlineStr">
        <is>
          <t>Using GraphQL so a mobile screen loads a user and their orders in one request.</t>
        </is>
      </c>
      <c r="AH36" s="18" t="inlineStr">
        <is>
          <t>An interviewer may ask: What problems does GraphQL solve compared with REST?</t>
        </is>
      </c>
      <c r="AI36" s="18" t="inlineStr">
        <is>
          <t>It is like ordering exact dishes instead of a set menu.</t>
        </is>
      </c>
      <c r="AJ36" s="18" t="inlineStr">
        <is>
          <t>How many endpoints does a typical GraphQL API expose?</t>
        </is>
      </c>
      <c r="AK36" s="18" t="inlineStr">
        <is>
          <t>A) One B) One per field C) None D) One per resource</t>
        </is>
      </c>
      <c r="AL36" s="18" t="inlineStr">
        <is>
          <t>A</t>
        </is>
      </c>
      <c r="AM36" s="18" t="inlineStr">
        <is>
          <t>GraphQL commonly uses a single endpoint for all queries.</t>
        </is>
      </c>
      <c r="AN36" s="18" t="inlineStr">
        <is>
          <t>Getting more fields than you need is called over-____ → fetching</t>
        </is>
      </c>
      <c r="AO36" s="18" t="inlineStr">
        <is>
          <t>A screen needs data from three REST endpoints. What could reduce the calls? → A single GraphQL query</t>
        </is>
      </c>
      <c r="AP36" s="18" t="inlineStr">
        <is>
          <t>Explain GraphQL versus REST in three lines.</t>
        </is>
      </c>
      <c r="AQ36" s="18" t="inlineStr">
        <is>
          <t>Write which of your apps would suit GraphQL and why.</t>
        </is>
      </c>
      <c r="AR36" s="17">
        <f>IF(J36="","",REPT("★",J36)&amp;REPT("☆",5-J36)&amp;" ("&amp;J36&amp;"/5)")</f>
        <v/>
      </c>
      <c r="AS36" s="17">
        <f>IF(Q36="","","Meaning: "&amp;Q36&amp;"  =  ______   (Answer: "&amp;F36&amp;")")</f>
        <v/>
      </c>
      <c r="AT36" s="17" t="inlineStr">
        <is>
          <t>New</t>
        </is>
      </c>
      <c r="AU36" s="17" t="n"/>
      <c r="AV36" s="17" t="n"/>
      <c r="AW36" s="17" t="n"/>
      <c r="AX36" s="17" t="n"/>
      <c r="AY36" s="17" t="n"/>
      <c r="AZ36" s="17" t="n"/>
      <c r="BA36" s="17" t="n"/>
      <c r="BB36" s="17" t="n"/>
    </row>
    <row r="37" ht="108" customHeight="1">
      <c r="A37" s="17" t="inlineStr">
        <is>
          <t>API-049</t>
        </is>
      </c>
      <c r="B37" s="17" t="inlineStr">
        <is>
          <t>08 Design and advanced</t>
        </is>
      </c>
      <c r="C37" s="17" t="inlineStr">
        <is>
          <t>Advanced</t>
        </is>
      </c>
      <c r="D37" s="17" t="n">
        <v>49</v>
      </c>
      <c r="E37" s="17" t="inlineStr">
        <is>
          <t>Claude knowledge</t>
        </is>
      </c>
      <c r="F37" s="18" t="inlineStr">
        <is>
          <t>gRPC</t>
        </is>
      </c>
      <c r="G37" s="18" t="inlineStr">
        <is>
          <t>Which fast, binary protocol built on HTTP/2 and Protocol Buffers is often used between internal services?</t>
        </is>
      </c>
      <c r="H37" s="18" t="inlineStr">
        <is>
          <t>API style</t>
        </is>
      </c>
      <c r="I37" s="18" t="inlineStr">
        <is>
          <t>Medium</t>
        </is>
      </c>
      <c r="J37" s="18" t="n">
        <v>3</v>
      </c>
      <c r="K37" s="18" t="inlineStr">
        <is>
          <t>Services inside a company needed faster, strongly typed calls than text-based JSON over HTTP, so Google built gRPC on top of HTTP/2 and Protocol Buffers.</t>
        </is>
      </c>
      <c r="L37" s="18" t="inlineStr">
        <is>
          <t>Use gRPC between internal services where speed and strict contracts matter, and REST for public APIs.</t>
        </is>
      </c>
      <c r="M37" s="18" t="inlineStr">
        <is>
          <t>gRPC is a private express lane between services, with a strictly typed language on both ends.</t>
        </is>
      </c>
      <c r="N37" s="18" t="inlineStr">
        <is>
          <t>Two services joined by a fast pipe carrying compact binary messages.</t>
        </is>
      </c>
      <c r="O37" s="18" t="inlineStr">
        <is>
          <t>The satisfaction of a tight, fast contract between services.</t>
        </is>
      </c>
      <c r="P37" s="18" t="inlineStr">
        <is>
          <t>gRPC is a remote procedure call framework that sends compact binary messages defined in Protocol Buffers over HTTP/2.</t>
        </is>
      </c>
      <c r="Q37" s="17" t="n"/>
      <c r="R37" s="18" t="inlineStr">
        <is>
          <t>You define services and messages in a .proto file, and tools generate client and server code in many languages. Messages are small and fast to encode, and HTTP/2 allows streaming in both directions. Browsers cannot call gRPC directly without a gateway, so it is mostly used for internal service-to-service calls.</t>
        </is>
      </c>
      <c r="S37" s="18" t="inlineStr">
        <is>
          <t>gRPC calls functions on another service using small binary messages and a shared definition file. It is very fast, but less friendly for browsers than REST.</t>
        </is>
      </c>
      <c r="T37" s="18" t="inlineStr">
        <is>
          <t>It is like a private express lane between two buildings with a strict language on both ends.</t>
        </is>
      </c>
      <c r="U37" s="18" t="inlineStr">
        <is>
          <t>.proto file → generated client and server code → fast binary calls over HTTP/2</t>
        </is>
      </c>
      <c r="V37" s="18" t="inlineStr">
        <is>
          <t>A microservice calling another microservice through generated gRPC code.</t>
        </is>
      </c>
      <c r="W37" s="18" t="inlineStr">
        <is>
          <t>A streaming call that sends updates continuously.</t>
        </is>
      </c>
      <c r="X37" s="18" t="inlineStr">
        <is>
          <t>A .proto file defining a GetUser call and its messages.</t>
        </is>
      </c>
      <c r="Y37" s="18" t="inlineStr">
        <is>
          <t>REST, HTTP/2, microservices, API gateway</t>
        </is>
      </c>
      <c r="Z37" s="18" t="inlineStr">
        <is>
          <t>gRPC, Protocol Buffers, proto, HTTP/2, streaming</t>
        </is>
      </c>
      <c r="AA37" s="18" t="inlineStr">
        <is>
          <t>Microservices | High-performance systems | Streaming data</t>
        </is>
      </c>
      <c r="AB37" s="18" t="inlineStr">
        <is>
          <t>A: Our internal calls are slow with JSON. | B: Consider gRPC with Protocol Buffers for service-to-service traffic.</t>
        </is>
      </c>
      <c r="AC37" s="18" t="inlineStr">
        <is>
          <t>✗ gRPC works directly from any web browser → ✓ Browsers need a gateway or a special web version to call gRPC services</t>
        </is>
      </c>
      <c r="AD37" s="18" t="inlineStr">
        <is>
          <t>gRPC vs REST: gRPC is binary, fast and strictly typed, REST is text-based, simple and browser-friendly.</t>
        </is>
      </c>
      <c r="AE37" s="18" t="inlineStr">
        <is>
          <t>Do not use gRPC for a public API that browsers must call directly.</t>
        </is>
      </c>
      <c r="AF37" s="18" t="inlineStr">
        <is>
          <t>gRPC is fast, binary and typed.</t>
        </is>
      </c>
      <c r="AG37" s="18" t="inlineStr">
        <is>
          <t>Using gRPC between an orders service and an inventory service.</t>
        </is>
      </c>
      <c r="AH37" s="18" t="inlineStr">
        <is>
          <t>An interviewer may ask: When would you choose gRPC over REST?</t>
        </is>
      </c>
      <c r="AI37" s="18" t="inlineStr">
        <is>
          <t>It is like a private express lane between two buildings.</t>
        </is>
      </c>
      <c r="AJ37" s="18" t="inlineStr">
        <is>
          <t>What format does gRPC use for messages?</t>
        </is>
      </c>
      <c r="AK37" s="18" t="inlineStr">
        <is>
          <t>A) CSV B) Protocol Buffers C) XML D) HTML</t>
        </is>
      </c>
      <c r="AL37" s="18" t="inlineStr">
        <is>
          <t>B</t>
        </is>
      </c>
      <c r="AM37" s="18" t="inlineStr">
        <is>
          <t>gRPC messages are defined and encoded with Protocol Buffers.</t>
        </is>
      </c>
      <c r="AN37" s="18" t="inlineStr">
        <is>
          <t>gRPC runs on top of HTTP/____ → 2</t>
        </is>
      </c>
      <c r="AO37" s="18" t="inlineStr">
        <is>
          <t>Two internal services need fast, strictly typed calls. What could you use? → gRPC</t>
        </is>
      </c>
      <c r="AP37" s="18" t="inlineStr">
        <is>
          <t>Explain gRPC in three lines.</t>
        </is>
      </c>
      <c r="AQ37" s="18" t="inlineStr">
        <is>
          <t>Write which of your service calls would benefit from gRPC.</t>
        </is>
      </c>
      <c r="AR37" s="17">
        <f>IF(J37="","",REPT("★",J37)&amp;REPT("☆",5-J37)&amp;" ("&amp;J37&amp;"/5)")</f>
        <v/>
      </c>
      <c r="AS37" s="17">
        <f>IF(Q37="","","Meaning: "&amp;Q37&amp;"  =  ______   (Answer: "&amp;F37&amp;")")</f>
        <v/>
      </c>
      <c r="AT37" s="17" t="inlineStr">
        <is>
          <t>New</t>
        </is>
      </c>
      <c r="AU37" s="17" t="n"/>
      <c r="AV37" s="17" t="n"/>
      <c r="AW37" s="17" t="n"/>
      <c r="AX37" s="17" t="n"/>
      <c r="AY37" s="17" t="n"/>
      <c r="AZ37" s="17" t="n"/>
      <c r="BA37" s="17" t="n"/>
      <c r="BB37" s="17" t="n"/>
    </row>
    <row r="38" ht="81" customHeight="1">
      <c r="A38" s="17" t="inlineStr">
        <is>
          <t>API-050</t>
        </is>
      </c>
      <c r="B38" s="17" t="inlineStr">
        <is>
          <t>08 Design and advanced</t>
        </is>
      </c>
      <c r="C38" s="17" t="inlineStr">
        <is>
          <t>Advanced</t>
        </is>
      </c>
      <c r="D38" s="17" t="n">
        <v>50</v>
      </c>
      <c r="E38" s="17" t="inlineStr">
        <is>
          <t>Claude knowledge</t>
        </is>
      </c>
      <c r="F38" s="18" t="inlineStr">
        <is>
          <t>API gateway</t>
        </is>
      </c>
      <c r="G38" s="18" t="inlineStr">
        <is>
          <t>Which single entry point sits in front of many services and handles authentication, rate limiting and routing for them?</t>
        </is>
      </c>
      <c r="H38" s="18" t="inlineStr">
        <is>
          <t>Architecture</t>
        </is>
      </c>
      <c r="I38" s="18" t="inlineStr">
        <is>
          <t>Medium</t>
        </is>
      </c>
      <c r="J38" s="18" t="n">
        <v>3</v>
      </c>
      <c r="K38" s="18" t="inlineStr">
        <is>
          <t>With many backend services, each one repeating login checks and limits became messy, so a gateway was placed in front to handle these shared concerns in one place.</t>
        </is>
      </c>
      <c r="L38" s="18" t="inlineStr">
        <is>
          <t>Put cross-cutting rules such as authentication, throttling and logging in the gateway, and keep business logic in the services.</t>
        </is>
      </c>
      <c r="M38" s="18" t="inlineStr">
        <is>
          <t>An API gateway is a reception desk that checks visitors and sends them to the right office.</t>
        </is>
      </c>
      <c r="N38" s="18" t="inlineStr">
        <is>
          <t>One door at the front leading to several services behind it.</t>
        </is>
      </c>
      <c r="O38" s="18" t="inlineStr">
        <is>
          <t>The orderliness of one place that controls access.</t>
        </is>
      </c>
      <c r="P38" s="18" t="inlineStr">
        <is>
          <t>An API gateway is a server that acts as the single entry point for clients and routes requests to backend services while applying shared rules.</t>
        </is>
      </c>
      <c r="Q38" s="17" t="n"/>
      <c r="R38" s="18" t="inlineStr">
        <is>
          <t>A gateway can authenticate callers, apply rate limits, route requests to the right service, combine responses, cache, and log traffic. Clients only know one address, while services behind it can change. Cloud providers and open-source tools offer gateways.</t>
        </is>
      </c>
      <c r="S38" s="18" t="inlineStr">
        <is>
          <t>The gateway is the front desk. It checks who you are, applies limits and sends the request to the right service behind it.</t>
        </is>
      </c>
      <c r="T38" s="18" t="inlineStr">
        <is>
          <t>It is like a reception desk that checks visitors and directs them to the right office.</t>
        </is>
      </c>
      <c r="U38" s="18" t="inlineStr">
        <is>
          <t>Client → gateway (auth, limits, routing) → services</t>
        </is>
      </c>
      <c r="V38" s="18" t="inlineStr">
        <is>
          <t>A gateway checking tokens before any request reaches the services.</t>
        </is>
      </c>
      <c r="W38" s="18" t="inlineStr">
        <is>
          <t>A gateway sending /orders to the orders service and /users to the users service.</t>
        </is>
      </c>
      <c r="X38" s="18" t="inlineStr">
        <is>
          <t>A gateway applying a per-key rate limit.</t>
        </is>
      </c>
      <c r="Y38" s="18" t="inlineStr">
        <is>
          <t>rate limiting, authentication, microservices, routing</t>
        </is>
      </c>
      <c r="Z38" s="18" t="inlineStr">
        <is>
          <t>gateway, routing, throttling, proxy, entry point</t>
        </is>
      </c>
      <c r="AA38" s="18" t="inlineStr">
        <is>
          <t>Microservices | Public API platforms | Enterprise integration</t>
        </is>
      </c>
      <c r="AB38" s="18" t="inlineStr">
        <is>
          <t>A: Every service repeats the same token check. | B: Move authentication into an API gateway in front of them.</t>
        </is>
      </c>
      <c r="AC38" s="18" t="inlineStr">
        <is>
          <t>✗ An API gateway replaces the need for any security in services → ✓ A gateway handles shared checks, but services still need their own protection in depth</t>
        </is>
      </c>
      <c r="AD38" s="18" t="inlineStr">
        <is>
          <t>Gateway vs load balancer: a gateway understands and manages API calls, a load balancer mainly spreads traffic across servers.</t>
        </is>
      </c>
      <c r="AE38" s="18" t="inlineStr">
        <is>
          <t>Do not put heavy business logic in the gateway.</t>
        </is>
      </c>
      <c r="AF38" s="18" t="inlineStr">
        <is>
          <t>A gateway is the front desk for all services.</t>
        </is>
      </c>
      <c r="AG38" s="18" t="inlineStr">
        <is>
          <t>Using a gateway to apply authentication and rate limits to all internal services.</t>
        </is>
      </c>
      <c r="AH38" s="18" t="inlineStr">
        <is>
          <t>An interviewer may ask: What does an API gateway do?</t>
        </is>
      </c>
      <c r="AI38" s="18" t="inlineStr">
        <is>
          <t>It is like a reception desk that directs visitors.</t>
        </is>
      </c>
      <c r="AJ38" s="18" t="inlineStr">
        <is>
          <t>What is the role of an API gateway?</t>
        </is>
      </c>
      <c r="AK38" s="18" t="inlineStr">
        <is>
          <t>A) A chart tool B) A programming language C) A single entry point that routes and protects requests D) A database</t>
        </is>
      </c>
      <c r="AL38" s="18" t="inlineStr">
        <is>
          <t>C</t>
        </is>
      </c>
      <c r="AM38" s="18" t="inlineStr">
        <is>
          <t>A gateway routes requests and applies shared rules such as authentication.</t>
        </is>
      </c>
      <c r="AN38" s="18" t="inlineStr">
        <is>
          <t>A gateway can ____ requests to the right backend service → route</t>
        </is>
      </c>
      <c r="AO38" s="18" t="inlineStr">
        <is>
          <t>Where would you put token checking for ten services? → In an API gateway in front of them</t>
        </is>
      </c>
      <c r="AP38" s="18" t="inlineStr">
        <is>
          <t>Explain an API gateway in three lines.</t>
        </is>
      </c>
      <c r="AQ38" s="18" t="inlineStr">
        <is>
          <t>List three rules you would put in a gateway.</t>
        </is>
      </c>
      <c r="AR38" s="17">
        <f>IF(J38="","",REPT("★",J38)&amp;REPT("☆",5-J38)&amp;" ("&amp;J38&amp;"/5)")</f>
        <v/>
      </c>
      <c r="AS38" s="17">
        <f>IF(Q38="","","Meaning: "&amp;Q38&amp;"  =  ______   (Answer: "&amp;F38&amp;")")</f>
        <v/>
      </c>
      <c r="AT38" s="17" t="inlineStr">
        <is>
          <t>New</t>
        </is>
      </c>
      <c r="AU38" s="17" t="n"/>
      <c r="AV38" s="17" t="n"/>
      <c r="AW38" s="17" t="n"/>
      <c r="AX38" s="17" t="n"/>
      <c r="AY38" s="17" t="n"/>
      <c r="AZ38" s="17" t="n"/>
      <c r="BA38" s="17" t="n"/>
      <c r="BB38" s="17" t="n"/>
    </row>
    <row r="39" ht="94.5" customHeight="1">
      <c r="A39" s="17" t="inlineStr">
        <is>
          <t>API-051</t>
        </is>
      </c>
      <c r="B39" s="17" t="inlineStr">
        <is>
          <t>08 Design and advanced</t>
        </is>
      </c>
      <c r="C39" s="17" t="inlineStr">
        <is>
          <t>Intermediate</t>
        </is>
      </c>
      <c r="D39" s="17" t="n">
        <v>51</v>
      </c>
      <c r="E39" s="17" t="inlineStr">
        <is>
          <t>Claude knowledge</t>
        </is>
      </c>
      <c r="F39" s="18" t="inlineStr">
        <is>
          <t>CORS</t>
        </is>
      </c>
      <c r="G39" s="18" t="inlineStr">
        <is>
          <t>Which browser security rule decides whether a web page from one origin may call an API on another origin?</t>
        </is>
      </c>
      <c r="H39" s="18" t="inlineStr">
        <is>
          <t>Browser security</t>
        </is>
      </c>
      <c r="I39" s="18" t="inlineStr">
        <is>
          <t>Very high</t>
        </is>
      </c>
      <c r="J39" s="18" t="n">
        <v>5</v>
      </c>
      <c r="K39" s="18" t="inlineStr">
        <is>
          <t>Browsers block pages from reading responses from other sites by default, to protect users, so servers must explicitly allow trusted origins using CORS headers.</t>
        </is>
      </c>
      <c r="L39" s="18" t="inlineStr">
        <is>
          <t>Fix a CORS error on the server by allowing the right origin, and not on the client.</t>
        </is>
      </c>
      <c r="M39" s="18" t="inlineStr">
        <is>
          <t>CORS is a building guard who lets a visitor read a file only if the owner has said that visitor may.</t>
        </is>
      </c>
      <c r="N39" s="18" t="inlineStr">
        <is>
          <t>A browser blocking a response until the server sends a header that names the page's origin.</t>
        </is>
      </c>
      <c r="O39" s="18" t="inlineStr">
        <is>
          <t>The frustration of a red error turning into understanding.</t>
        </is>
      </c>
      <c r="P39" s="18" t="inlineStr">
        <is>
          <t>CORS (Cross-Origin Resource Sharing) is a browser mechanism in which the server uses headers such as Access-Control-Allow-Origin to say which other origins may read its responses.</t>
        </is>
      </c>
      <c r="Q39" s="17" t="n"/>
      <c r="R39" s="18" t="inlineStr">
        <is>
          <t>An origin is the scheme, host and port. When a page on one origin calls an API on another, the browser checks the response headers. For some requests it first sends a preflight OPTIONS request. CORS applies only to browsers, so curl and servers are not affected, and the fix is a server configuration.</t>
        </is>
      </c>
      <c r="S39" s="18" t="inlineStr">
        <is>
          <t>The browser asks the API server, may this page read your answer? If the server does not say yes in its headers, the browser blocks it, even though the call reached the server.</t>
        </is>
      </c>
      <c r="T39" s="18" t="inlineStr">
        <is>
          <t>It is like a guard who lets a visitor read a file only if the owner has approved that visitor.</t>
        </is>
      </c>
      <c r="U39" s="18" t="inlineStr">
        <is>
          <t>Browser, other origin → preflight OPTIONS → server sends Access-Control-Allow-Origin → allowed</t>
        </is>
      </c>
      <c r="V39" s="18" t="inlineStr">
        <is>
          <t>A page on app.example.com calling api.example.com and being blocked.</t>
        </is>
      </c>
      <c r="W39" s="18" t="inlineStr">
        <is>
          <t>The server adding Access-Control-Allow-Origin for the trusted site.</t>
        </is>
      </c>
      <c r="X39" s="18" t="inlineStr">
        <is>
          <t>A preflight OPTIONS request before a call with a custom header.</t>
        </is>
      </c>
      <c r="Y39" s="18" t="inlineStr">
        <is>
          <t>headers, browser security, same-origin policy, preflight</t>
        </is>
      </c>
      <c r="Z39" s="18" t="inlineStr">
        <is>
          <t>origin, preflight, Access-Control-Allow-Origin, same-origin policy</t>
        </is>
      </c>
      <c r="AA39" s="18" t="inlineStr">
        <is>
          <t>Front-end apps | Browser-based API calls | API configuration</t>
        </is>
      </c>
      <c r="AB39" s="18" t="inlineStr">
        <is>
          <t>A: The call works in curl but fails in the browser with a CORS error. | B: CORS only applies in browsers, so allow your site's origin on the server.</t>
        </is>
      </c>
      <c r="AC39" s="18" t="inlineStr">
        <is>
          <t>✗ A CORS error means the API server is down → ✓ The server received the call, but the browser blocked the response because the headers did not allow your origin</t>
        </is>
      </c>
      <c r="AD39" s="18" t="inlineStr">
        <is>
          <t>CORS vs authentication: CORS controls which sites may read responses in a browser, authentication controls who may use the API.</t>
        </is>
      </c>
      <c r="AE39" s="18" t="inlineStr">
        <is>
          <t>Do not set Access-Control-Allow-Origin to everything for an API that handles private data.</t>
        </is>
      </c>
      <c r="AF39" s="18" t="inlineStr">
        <is>
          <t>CORS lives in the browser, the fix lives on the server.</t>
        </is>
      </c>
      <c r="AG39" s="18" t="inlineStr">
        <is>
          <t>Allowing a company web app's origin on the API after a CORS error.</t>
        </is>
      </c>
      <c r="AH39" s="18" t="inlineStr">
        <is>
          <t>An interviewer may ask: What is CORS and how do you fix a CORS error?</t>
        </is>
      </c>
      <c r="AI39" s="18" t="inlineStr">
        <is>
          <t>It is like a guard who lets a visitor read a file only with the owner's approval.</t>
        </is>
      </c>
      <c r="AJ39" s="18" t="inlineStr">
        <is>
          <t>Where is a CORS error fixed?</t>
        </is>
      </c>
      <c r="AK39" s="18" t="inlineStr">
        <is>
          <t>A) In the server's response headers B) In the database C) In the user's browser settings only D) In the DNS</t>
        </is>
      </c>
      <c r="AL39" s="18" t="inlineStr">
        <is>
          <t>A</t>
        </is>
      </c>
      <c r="AM39" s="18" t="inlineStr">
        <is>
          <t>The server must send headers that allow the requesting origin.</t>
        </is>
      </c>
      <c r="AN39" s="18" t="inlineStr">
        <is>
          <t>A request that checks permission before the real call is called a ____ → preflight</t>
        </is>
      </c>
      <c r="AO39" s="18" t="inlineStr">
        <is>
          <t>A call works in curl but fails in the browser. What is likely the cause? → A CORS restriction on the server</t>
        </is>
      </c>
      <c r="AP39" s="18" t="inlineStr">
        <is>
          <t>Explain CORS in three lines.</t>
        </is>
      </c>
      <c r="AQ39" s="18" t="inlineStr">
        <is>
          <t>Write which origins you would allow for a company API.</t>
        </is>
      </c>
      <c r="AR39" s="17">
        <f>IF(J39="","",REPT("★",J39)&amp;REPT("☆",5-J39)&amp;" ("&amp;J39&amp;"/5)")</f>
        <v/>
      </c>
      <c r="AS39" s="17">
        <f>IF(Q39="","","Meaning: "&amp;Q39&amp;"  =  ______   (Answer: "&amp;F39&amp;")")</f>
        <v/>
      </c>
      <c r="AT39" s="17" t="inlineStr">
        <is>
          <t>New</t>
        </is>
      </c>
      <c r="AU39" s="17" t="n"/>
      <c r="AV39" s="17" t="n"/>
      <c r="AW39" s="17" t="n"/>
      <c r="AX39" s="17" t="n"/>
      <c r="AY39" s="17" t="n"/>
      <c r="AZ39" s="17" t="n"/>
      <c r="BA39" s="17" t="n"/>
      <c r="BB39" s="17" t="n"/>
    </row>
    <row r="40" ht="108" customHeight="1">
      <c r="A40" s="17" t="inlineStr">
        <is>
          <t>API-052</t>
        </is>
      </c>
      <c r="B40" s="17" t="inlineStr">
        <is>
          <t>08 Design and advanced</t>
        </is>
      </c>
      <c r="C40" s="17" t="inlineStr">
        <is>
          <t>Intermediate</t>
        </is>
      </c>
      <c r="D40" s="17" t="n">
        <v>52</v>
      </c>
      <c r="E40" s="17" t="inlineStr">
        <is>
          <t>Claude knowledge</t>
        </is>
      </c>
      <c r="F40" s="18" t="inlineStr">
        <is>
          <t>API testing and mocking</t>
        </is>
      </c>
      <c r="G40" s="18" t="inlineStr">
        <is>
          <t>Which practices let you check that an integration works, without always calling the real service?</t>
        </is>
      </c>
      <c r="H40" s="18" t="inlineStr">
        <is>
          <t>Quality practice</t>
        </is>
      </c>
      <c r="I40" s="18" t="inlineStr">
        <is>
          <t>High</t>
        </is>
      </c>
      <c r="J40" s="18" t="n">
        <v>4</v>
      </c>
      <c r="K40" s="18" t="inlineStr">
        <is>
          <t>Calling real APIs in every test is slow, costly and unreliable, so developers use sandboxes, test modes and fake responses to check their code safely.</t>
        </is>
      </c>
      <c r="L40" s="18" t="inlineStr">
        <is>
          <t>Mock the API in unit tests, and run a few real tests against the provider's sandbox before going live.</t>
        </is>
      </c>
      <c r="M40" s="18" t="inlineStr">
        <is>
          <t>Mocking is rehearsing with an actor who plays the API, so the real show is never at risk.</t>
        </is>
      </c>
      <c r="N40" s="18" t="inlineStr">
        <is>
          <t>A test run that returns prepared responses instead of calling the internet.</t>
        </is>
      </c>
      <c r="O40" s="18" t="inlineStr">
        <is>
          <t>The confidence of tests that are fast and repeatable.</t>
        </is>
      </c>
      <c r="P40" s="18" t="inlineStr">
        <is>
          <t>API testing checks that requests and responses behave correctly, and mocking replaces the real API with controlled fake responses so tests are fast and reliable.</t>
        </is>
      </c>
      <c r="Q40" s="17" t="n"/>
      <c r="R40" s="18" t="inlineStr">
        <is>
          <t>Unit tests use mocks or stubs for success, errors, timeouts and odd data. Integration tests call the provider's sandbox or test mode, which behaves like production without real money or data. Contract tests check that your assumptions about the API still match. Mock servers can be generated from an OpenAPI file.</t>
        </is>
      </c>
      <c r="S40" s="18" t="inlineStr">
        <is>
          <t>In everyday tests, fake the API with prepared answers. Before launch, test against the provider's sandbox to see real behaviour.</t>
        </is>
      </c>
      <c r="T40" s="18" t="inlineStr">
        <is>
          <t>It is like rehearsing with an actor who plays the API, so the real show is never at risk.</t>
        </is>
      </c>
      <c r="U40" s="18" t="inlineStr">
        <is>
          <t>Unit tests with mocks, integration tests in a sandbox, contract tests for changes</t>
        </is>
      </c>
      <c r="V40" s="18" t="inlineStr">
        <is>
          <t>A mock that returns a 500 error to test the retry logic.</t>
        </is>
      </c>
      <c r="W40" s="18" t="inlineStr">
        <is>
          <t>A test in the provider's sandbox using test card numbers.</t>
        </is>
      </c>
      <c r="X40" s="18" t="inlineStr">
        <is>
          <t>A mock server generated from an OpenAPI file.</t>
        </is>
      </c>
      <c r="Y40" s="18" t="inlineStr">
        <is>
          <t>error handling, OpenAPI, sandbox, retries</t>
        </is>
      </c>
      <c r="Z40" s="18" t="inlineStr">
        <is>
          <t>mock, stub, sandbox, test mode, contract test</t>
        </is>
      </c>
      <c r="AA40" s="18" t="inlineStr">
        <is>
          <t>Automated testing | Development without internet | Payments and messaging</t>
        </is>
      </c>
      <c r="AB40" s="18" t="inlineStr">
        <is>
          <t>A: Our tests fail whenever the provider is slow. | B: Mock the API in unit tests and keep a few sandbox tests.</t>
        </is>
      </c>
      <c r="AC40" s="18" t="inlineStr">
        <is>
          <t>✗ Tests should always call the real production API → ✓ Use mocks or a sandbox so tests are fast, safe and repeatable</t>
        </is>
      </c>
      <c r="AD40" s="18" t="inlineStr">
        <is>
          <t>Mock vs sandbox: a mock is a fake you control inside your tests, a sandbox is the provider's safe test environment.</t>
        </is>
      </c>
      <c r="AE40" s="18" t="inlineStr">
        <is>
          <t>Do not run tests that move real money or data.</t>
        </is>
      </c>
      <c r="AF40" s="18" t="inlineStr">
        <is>
          <t>Mock to practise, sandbox to prove.</t>
        </is>
      </c>
      <c r="AG40" s="18" t="inlineStr">
        <is>
          <t>Testing payment failures with mocks and a final check in the provider's sandbox.</t>
        </is>
      </c>
      <c r="AH40" s="18" t="inlineStr">
        <is>
          <t>An interviewer may ask: How do you test code that calls an external API?</t>
        </is>
      </c>
      <c r="AI40" s="18" t="inlineStr">
        <is>
          <t>It is like rehearsing with an actor who plays the API.</t>
        </is>
      </c>
      <c r="AJ40" s="18" t="inlineStr">
        <is>
          <t>Why use mocks when testing API calls?</t>
        </is>
      </c>
      <c r="AK40" s="18" t="inlineStr">
        <is>
          <t>A) They make the API faster B) They encrypt data C) They remove the need for code D) Tests become fast and repeatable</t>
        </is>
      </c>
      <c r="AL40" s="18" t="inlineStr">
        <is>
          <t>D</t>
        </is>
      </c>
      <c r="AM40" s="18" t="inlineStr">
        <is>
          <t>Mocks give controlled responses without the real service.</t>
        </is>
      </c>
      <c r="AN40" s="18" t="inlineStr">
        <is>
          <t>A provider's safe test environment is called a ____ → sandbox</t>
        </is>
      </c>
      <c r="AO40" s="18" t="inlineStr">
        <is>
          <t>How can you test how your app handles a 500 error? → Use a mock that returns a 500 response</t>
        </is>
      </c>
      <c r="AP40" s="18" t="inlineStr">
        <is>
          <t>Explain API testing and mocking in three lines.</t>
        </is>
      </c>
      <c r="AQ40" s="18" t="inlineStr">
        <is>
          <t>List four responses you would mock to test an integration.</t>
        </is>
      </c>
      <c r="AR40" s="17">
        <f>IF(J40="","",REPT("★",J40)&amp;REPT("☆",5-J40)&amp;" ("&amp;J40&amp;"/5)")</f>
        <v/>
      </c>
      <c r="AS40" s="17">
        <f>IF(Q40="","","Meaning: "&amp;Q40&amp;"  =  ______   (Answer: "&amp;F40&amp;")")</f>
        <v/>
      </c>
      <c r="AT40" s="17" t="inlineStr">
        <is>
          <t>New</t>
        </is>
      </c>
      <c r="AU40" s="17" t="n"/>
      <c r="AV40" s="17" t="n"/>
      <c r="AW40" s="17" t="n"/>
      <c r="AX40" s="17" t="n"/>
      <c r="AY40" s="17" t="n"/>
      <c r="AZ40" s="17" t="n"/>
      <c r="BA40" s="17" t="n"/>
      <c r="BB40" s="17" t="n"/>
    </row>
  </sheetData>
  <autoFilter ref="A2:BB40"/>
  <mergeCells count="6">
    <mergeCell ref="F1:O1"/>
    <mergeCell ref="AT1:BB1"/>
    <mergeCell ref="AR1:AS1"/>
    <mergeCell ref="A1:E1"/>
    <mergeCell ref="AJ1:AQ1"/>
    <mergeCell ref="P1:AI1"/>
  </mergeCells>
  <dataValidations count="2">
    <dataValidation sqref="AT3:AT40" showDropDown="0" showInputMessage="0" showErrorMessage="0" allowBlank="1" type="list">
      <formula1>"New,Learning,Known"</formula1>
    </dataValidation>
    <dataValidation sqref="BA3:BA40" showDropDown="0" showInputMessage="0" showErrorMessage="0" allowBlank="1" type="list">
      <formula1>"OK,Fix"</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9"/>
  <sheetViews>
    <sheetView showGridLines="0" workbookViewId="0">
      <pane ySplit="3" topLeftCell="A4" activePane="bottomLeft" state="frozen"/>
      <selection pane="bottomLeft" activeCell="A1" sqref="A1"/>
    </sheetView>
  </sheetViews>
  <sheetFormatPr baseColWidth="8" defaultRowHeight="15"/>
  <cols>
    <col width="28" customWidth="1" min="1" max="1"/>
    <col width="100" customWidth="1" min="2" max="2"/>
  </cols>
  <sheetData>
    <row r="1">
      <c r="A1" s="20" t="inlineStr">
        <is>
          <t>Topic (56-pt) · card view</t>
        </is>
      </c>
    </row>
    <row r="2">
      <c r="A2" s="21" t="inlineStr">
        <is>
          <t>Card ID chuno ▸</t>
        </is>
      </c>
      <c r="B2" s="22" t="inlineStr">
        <is>
          <t>API-001</t>
        </is>
      </c>
    </row>
    <row r="4">
      <c r="A4" s="23" t="inlineStr">
        <is>
          <t>FRONT · Recognition (pehchano)</t>
        </is>
      </c>
    </row>
    <row r="5" ht="30" customHeight="1">
      <c r="A5" s="24" t="inlineStr">
        <is>
          <t>ID</t>
        </is>
      </c>
      <c r="B5" s="17">
        <f>INDEX('Topic (56-pt) cards'!$A$3:$BB$40,MATCH($B$2,'Topic (56-pt) cards'!$A$3:$A$40,0),MATCH("ID",'Topic (56-pt) cards'!$A$2:$BB$2,0))&amp;""</f>
        <v/>
      </c>
    </row>
    <row r="6" ht="30" customHeight="1">
      <c r="A6" s="24" t="inlineStr">
        <is>
          <t>Topic</t>
        </is>
      </c>
      <c r="B6" s="17">
        <f>INDEX('Topic (56-pt) cards'!$A$3:$BB$40,MATCH($B$2,'Topic (56-pt) cards'!$A$3:$A$40,0),MATCH("Topic",'Topic (56-pt) cards'!$A$2:$BB$2,0))&amp;""</f>
        <v/>
      </c>
    </row>
    <row r="7" ht="30" customHeight="1">
      <c r="A7" s="24" t="inlineStr">
        <is>
          <t>Level</t>
        </is>
      </c>
      <c r="B7" s="17">
        <f>INDEX('Topic (56-pt) cards'!$A$3:$BB$40,MATCH($B$2,'Topic (56-pt) cards'!$A$3:$A$40,0),MATCH("Level",'Topic (56-pt) cards'!$A$2:$BB$2,0))&amp;""</f>
        <v/>
      </c>
    </row>
    <row r="8" ht="30" customHeight="1">
      <c r="A8" s="24" t="inlineStr">
        <is>
          <t>Term / topic</t>
        </is>
      </c>
      <c r="B8" s="17">
        <f>INDEX('Topic (56-pt) cards'!$A$3:$BB$40,MATCH($B$2,'Topic (56-pt) cards'!$A$3:$A$40,0),MATCH("Term / topic",'Topic (56-pt) cards'!$A$2:$BB$2,0))&amp;""</f>
        <v/>
      </c>
    </row>
    <row r="9" ht="30" customHeight="1">
      <c r="A9" s="24" t="inlineStr">
        <is>
          <t>Recall cue</t>
        </is>
      </c>
      <c r="B9" s="17">
        <f>INDEX('Topic (56-pt) cards'!$A$3:$BB$40,MATCH($B$2,'Topic (56-pt) cards'!$A$3:$A$40,0),MATCH("Recall cue",'Topic (56-pt) cards'!$A$2:$BB$2,0))&amp;""</f>
        <v/>
      </c>
    </row>
    <row r="10" ht="30" customHeight="1">
      <c r="A10" s="24" t="inlineStr">
        <is>
          <t>Category</t>
        </is>
      </c>
      <c r="B10" s="17">
        <f>INDEX('Topic (56-pt) cards'!$A$3:$BB$40,MATCH($B$2,'Topic (56-pt) cards'!$A$3:$A$40,0),MATCH("Category",'Topic (56-pt) cards'!$A$2:$BB$2,0))&amp;""</f>
        <v/>
      </c>
    </row>
    <row r="11" ht="30" customHeight="1">
      <c r="A11" s="24" t="inlineStr">
        <is>
          <t>How often used</t>
        </is>
      </c>
      <c r="B11" s="17">
        <f>INDEX('Topic (56-pt) cards'!$A$3:$BB$40,MATCH($B$2,'Topic (56-pt) cards'!$A$3:$A$40,0),MATCH("How often used",'Topic (56-pt) cards'!$A$2:$BB$2,0))&amp;""</f>
        <v/>
      </c>
    </row>
    <row r="12" ht="30" customHeight="1">
      <c r="A12" s="24" t="inlineStr">
        <is>
          <t>Importance (1-5)</t>
        </is>
      </c>
      <c r="B12" s="17">
        <f>INDEX('Topic (56-pt) cards'!$A$3:$BB$40,MATCH($B$2,'Topic (56-pt) cards'!$A$3:$A$40,0),MATCH("Importance (1-5)",'Topic (56-pt) cards'!$A$2:$BB$2,0))&amp;""</f>
        <v/>
      </c>
    </row>
    <row r="13" ht="30" customHeight="1">
      <c r="A13" s="24" t="inlineStr">
        <is>
          <t>Origin / why it exists</t>
        </is>
      </c>
      <c r="B13" s="17">
        <f>INDEX('Topic (56-pt) cards'!$A$3:$BB$40,MATCH($B$2,'Topic (56-pt) cards'!$A$3:$A$40,0),MATCH("Origin / why it exists",'Topic (56-pt) cards'!$A$2:$BB$2,0))&amp;""</f>
        <v/>
      </c>
    </row>
    <row r="14" ht="30" customHeight="1">
      <c r="A14" s="24" t="inlineStr">
        <is>
          <t>Pro tip</t>
        </is>
      </c>
      <c r="B14" s="17">
        <f>INDEX('Topic (56-pt) cards'!$A$3:$BB$40,MATCH($B$2,'Topic (56-pt) cards'!$A$3:$A$40,0),MATCH("Pro tip",'Topic (56-pt) cards'!$A$2:$BB$2,0))&amp;""</f>
        <v/>
      </c>
    </row>
    <row r="15" ht="30" customHeight="1">
      <c r="A15" s="24" t="inlineStr">
        <is>
          <t>Memory story</t>
        </is>
      </c>
      <c r="B15" s="17">
        <f>INDEX('Topic (56-pt) cards'!$A$3:$BB$40,MATCH($B$2,'Topic (56-pt) cards'!$A$3:$A$40,0),MATCH("Memory story",'Topic (56-pt) cards'!$A$2:$BB$2,0))&amp;""</f>
        <v/>
      </c>
    </row>
    <row r="16" ht="30" customHeight="1">
      <c r="A16" s="24" t="inlineStr">
        <is>
          <t>Picture it</t>
        </is>
      </c>
      <c r="B16" s="17">
        <f>INDEX('Topic (56-pt) cards'!$A$3:$BB$40,MATCH($B$2,'Topic (56-pt) cards'!$A$3:$A$40,0),MATCH("Picture it",'Topic (56-pt) cards'!$A$2:$BB$2,0))&amp;""</f>
        <v/>
      </c>
    </row>
    <row r="17" ht="30" customHeight="1">
      <c r="A17" s="24" t="inlineStr">
        <is>
          <t>Emotion hook</t>
        </is>
      </c>
      <c r="B17" s="17">
        <f>INDEX('Topic (56-pt) cards'!$A$3:$BB$40,MATCH($B$2,'Topic (56-pt) cards'!$A$3:$A$40,0),MATCH("Emotion hook",'Topic (56-pt) cards'!$A$2:$BB$2,0))&amp;""</f>
        <v/>
      </c>
    </row>
    <row r="18" ht="30" customHeight="1">
      <c r="A18" s="24" t="inlineStr">
        <is>
          <t>Importance ★</t>
        </is>
      </c>
      <c r="B18" s="17">
        <f>INDEX('Topic (56-pt) cards'!$A$3:$BB$40,MATCH($B$2,'Topic (56-pt) cards'!$A$3:$A$40,0),MATCH("Importance ★",'Topic (56-pt) cards'!$A$2:$BB$2,0))&amp;""</f>
        <v/>
      </c>
    </row>
    <row r="19">
      <c r="A19" s="25" t="inlineStr">
        <is>
          <t>BACK · Understanding (samjho)</t>
        </is>
      </c>
    </row>
    <row r="20" ht="30" customHeight="1">
      <c r="A20" s="24" t="inlineStr">
        <is>
          <t>Definition (simple)</t>
        </is>
      </c>
      <c r="B20" s="17">
        <f>INDEX('Topic (56-pt) cards'!$A$3:$BB$40,MATCH($B$2,'Topic (56-pt) cards'!$A$3:$A$40,0),MATCH("Definition (simple)",'Topic (56-pt) cards'!$A$2:$BB$2,0))&amp;""</f>
        <v/>
      </c>
    </row>
    <row r="21" ht="30" customHeight="1">
      <c r="A21" s="24" t="inlineStr">
        <is>
          <t>Meaning in learner's language</t>
        </is>
      </c>
      <c r="B21" s="17">
        <f>INDEX('Topic (56-pt) cards'!$A$3:$BB$40,MATCH($B$2,'Topic (56-pt) cards'!$A$3:$A$40,0),MATCH("Meaning in learner's language",'Topic (56-pt) cards'!$A$2:$BB$2,0))&amp;""</f>
        <v/>
      </c>
    </row>
    <row r="22" ht="54" customHeight="1">
      <c r="A22" s="24" t="inlineStr">
        <is>
          <t>How / why it works</t>
        </is>
      </c>
      <c r="B22" s="17">
        <f>INDEX('Topic (56-pt) cards'!$A$3:$BB$40,MATCH($B$2,'Topic (56-pt) cards'!$A$3:$A$40,0),MATCH("How / why it works",'Topic (56-pt) cards'!$A$2:$BB$2,0))&amp;""</f>
        <v/>
      </c>
    </row>
    <row r="23" ht="30" customHeight="1">
      <c r="A23" s="24" t="inlineStr">
        <is>
          <t>Simple explanation (Hinglish)</t>
        </is>
      </c>
      <c r="B23" s="17">
        <f>INDEX('Topic (56-pt) cards'!$A$3:$BB$40,MATCH($B$2,'Topic (56-pt) cards'!$A$3:$A$40,0),MATCH("Simple explanation (Hinglish)",'Topic (56-pt) cards'!$A$2:$BB$2,0))&amp;""</f>
        <v/>
      </c>
    </row>
    <row r="24" ht="30" customHeight="1">
      <c r="A24" s="24" t="inlineStr">
        <is>
          <t>Real-life analogy</t>
        </is>
      </c>
      <c r="B24" s="17">
        <f>INDEX('Topic (56-pt) cards'!$A$3:$BB$40,MATCH($B$2,'Topic (56-pt) cards'!$A$3:$A$40,0),MATCH("Real-life analogy",'Topic (56-pt) cards'!$A$2:$BB$2,0))&amp;""</f>
        <v/>
      </c>
    </row>
    <row r="25" ht="30" customHeight="1">
      <c r="A25" s="24" t="inlineStr">
        <is>
          <t>Formula / rule</t>
        </is>
      </c>
      <c r="B25" s="17">
        <f>INDEX('Topic (56-pt) cards'!$A$3:$BB$40,MATCH($B$2,'Topic (56-pt) cards'!$A$3:$A$40,0),MATCH("Formula / rule",'Topic (56-pt) cards'!$A$2:$BB$2,0))&amp;""</f>
        <v/>
      </c>
    </row>
    <row r="26" ht="30" customHeight="1">
      <c r="A26" s="24" t="inlineStr">
        <is>
          <t>Example 1</t>
        </is>
      </c>
      <c r="B26" s="17">
        <f>INDEX('Topic (56-pt) cards'!$A$3:$BB$40,MATCH($B$2,'Topic (56-pt) cards'!$A$3:$A$40,0),MATCH("Example 1",'Topic (56-pt) cards'!$A$2:$BB$2,0))&amp;""</f>
        <v/>
      </c>
    </row>
    <row r="27" ht="30" customHeight="1">
      <c r="A27" s="24" t="inlineStr">
        <is>
          <t>Example 2</t>
        </is>
      </c>
      <c r="B27" s="17">
        <f>INDEX('Topic (56-pt) cards'!$A$3:$BB$40,MATCH($B$2,'Topic (56-pt) cards'!$A$3:$A$40,0),MATCH("Example 2",'Topic (56-pt) cards'!$A$2:$BB$2,0))&amp;""</f>
        <v/>
      </c>
    </row>
    <row r="28" ht="30" customHeight="1">
      <c r="A28" s="24" t="inlineStr">
        <is>
          <t>Example 3</t>
        </is>
      </c>
      <c r="B28" s="17">
        <f>INDEX('Topic (56-pt) cards'!$A$3:$BB$40,MATCH($B$2,'Topic (56-pt) cards'!$A$3:$A$40,0),MATCH("Example 3",'Topic (56-pt) cards'!$A$2:$BB$2,0))&amp;""</f>
        <v/>
      </c>
    </row>
    <row r="29" ht="30" customHeight="1">
      <c r="A29" s="24" t="inlineStr">
        <is>
          <t>Related concepts</t>
        </is>
      </c>
      <c r="B29" s="17">
        <f>INDEX('Topic (56-pt) cards'!$A$3:$BB$40,MATCH($B$2,'Topic (56-pt) cards'!$A$3:$A$40,0),MATCH("Related concepts",'Topic (56-pt) cards'!$A$2:$BB$2,0))&amp;""</f>
        <v/>
      </c>
    </row>
    <row r="30" ht="30" customHeight="1">
      <c r="A30" s="24" t="inlineStr">
        <is>
          <t>Family / group</t>
        </is>
      </c>
      <c r="B30" s="17">
        <f>INDEX('Topic (56-pt) cards'!$A$3:$BB$40,MATCH($B$2,'Topic (56-pt) cards'!$A$3:$A$40,0),MATCH("Family / group",'Topic (56-pt) cards'!$A$2:$BB$2,0))&amp;""</f>
        <v/>
      </c>
    </row>
    <row r="31" ht="30" customHeight="1">
      <c r="A31" s="24" t="inlineStr">
        <is>
          <t>Where it is used</t>
        </is>
      </c>
      <c r="B31" s="17">
        <f>INDEX('Topic (56-pt) cards'!$A$3:$BB$40,MATCH($B$2,'Topic (56-pt) cards'!$A$3:$A$40,0),MATCH("Where it is used",'Topic (56-pt) cards'!$A$2:$BB$2,0))&amp;""</f>
        <v/>
      </c>
    </row>
    <row r="32" ht="30" customHeight="1">
      <c r="A32" s="24" t="inlineStr">
        <is>
          <t>Mini conversation</t>
        </is>
      </c>
      <c r="B32" s="17">
        <f>INDEX('Topic (56-pt) cards'!$A$3:$BB$40,MATCH($B$2,'Topic (56-pt) cards'!$A$3:$A$40,0),MATCH("Mini conversation",'Topic (56-pt) cards'!$A$2:$BB$2,0))&amp;""</f>
        <v/>
      </c>
    </row>
    <row r="33" ht="30" customHeight="1">
      <c r="A33" s="24" t="inlineStr">
        <is>
          <t>Common mistake</t>
        </is>
      </c>
      <c r="B33" s="17">
        <f>INDEX('Topic (56-pt) cards'!$A$3:$BB$40,MATCH($B$2,'Topic (56-pt) cards'!$A$3:$A$40,0),MATCH("Common mistake",'Topic (56-pt) cards'!$A$2:$BB$2,0))&amp;""</f>
        <v/>
      </c>
    </row>
    <row r="34" ht="30" customHeight="1">
      <c r="A34" s="24" t="inlineStr">
        <is>
          <t>Don't confuse with</t>
        </is>
      </c>
      <c r="B34" s="17">
        <f>INDEX('Topic (56-pt) cards'!$A$3:$BB$40,MATCH($B$2,'Topic (56-pt) cards'!$A$3:$A$40,0),MATCH("Don't confuse with",'Topic (56-pt) cards'!$A$2:$BB$2,0))&amp;""</f>
        <v/>
      </c>
    </row>
    <row r="35" ht="30" customHeight="1">
      <c r="A35" s="24" t="inlineStr">
        <is>
          <t>Avoid / don't</t>
        </is>
      </c>
      <c r="B35" s="17">
        <f>INDEX('Topic (56-pt) cards'!$A$3:$BB$40,MATCH($B$2,'Topic (56-pt) cards'!$A$3:$A$40,0),MATCH("Avoid / don't",'Topic (56-pt) cards'!$A$2:$BB$2,0))&amp;""</f>
        <v/>
      </c>
    </row>
    <row r="36" ht="30" customHeight="1">
      <c r="A36" s="24" t="inlineStr">
        <is>
          <t>Memory trick</t>
        </is>
      </c>
      <c r="B36" s="17">
        <f>INDEX('Topic (56-pt) cards'!$A$3:$BB$40,MATCH($B$2,'Topic (56-pt) cards'!$A$3:$A$40,0),MATCH("Memory trick",'Topic (56-pt) cards'!$A$2:$BB$2,0))&amp;""</f>
        <v/>
      </c>
    </row>
    <row r="37" ht="30" customHeight="1">
      <c r="A37" s="24" t="inlineStr">
        <is>
          <t>Real life: project / work</t>
        </is>
      </c>
      <c r="B37" s="17">
        <f>INDEX('Topic (56-pt) cards'!$A$3:$BB$40,MATCH($B$2,'Topic (56-pt) cards'!$A$3:$A$40,0),MATCH("Real life: project / work",'Topic (56-pt) cards'!$A$2:$BB$2,0))&amp;""</f>
        <v/>
      </c>
    </row>
    <row r="38" ht="30" customHeight="1">
      <c r="A38" s="24" t="inlineStr">
        <is>
          <t>Real life: interview / exam</t>
        </is>
      </c>
      <c r="B38" s="17">
        <f>INDEX('Topic (56-pt) cards'!$A$3:$BB$40,MATCH($B$2,'Topic (56-pt) cards'!$A$3:$A$40,0),MATCH("Real life: interview / exam",'Topic (56-pt) cards'!$A$2:$BB$2,0))&amp;""</f>
        <v/>
      </c>
    </row>
    <row r="39" ht="30" customHeight="1">
      <c r="A39" s="24" t="inlineStr">
        <is>
          <t>Real life: daily life</t>
        </is>
      </c>
      <c r="B39" s="17">
        <f>INDEX('Topic (56-pt) cards'!$A$3:$BB$40,MATCH($B$2,'Topic (56-pt) cards'!$A$3:$A$40,0),MATCH("Real life: daily life",'Topic (56-pt) cards'!$A$2:$BB$2,0))&amp;""</f>
        <v/>
      </c>
    </row>
    <row r="40">
      <c r="A40" s="27" t="inlineStr">
        <is>
          <t>PRACTICE · Khud karo</t>
        </is>
      </c>
    </row>
    <row r="41" ht="30" customHeight="1">
      <c r="A41" s="24" t="inlineStr">
        <is>
          <t>MCQ question</t>
        </is>
      </c>
      <c r="B41" s="17">
        <f>INDEX('Topic (56-pt) cards'!$A$3:$BB$40,MATCH($B$2,'Topic (56-pt) cards'!$A$3:$A$40,0),MATCH("MCQ question",'Topic (56-pt) cards'!$A$2:$BB$2,0))&amp;""</f>
        <v/>
      </c>
    </row>
    <row r="42" ht="30" customHeight="1">
      <c r="A42" s="24" t="inlineStr">
        <is>
          <t>MCQ options</t>
        </is>
      </c>
      <c r="B42" s="17">
        <f>INDEX('Topic (56-pt) cards'!$A$3:$BB$40,MATCH($B$2,'Topic (56-pt) cards'!$A$3:$A$40,0),MATCH("MCQ options",'Topic (56-pt) cards'!$A$2:$BB$2,0))&amp;""</f>
        <v/>
      </c>
    </row>
    <row r="43" ht="30" customHeight="1">
      <c r="A43" s="24" t="inlineStr">
        <is>
          <t>MCQ answer</t>
        </is>
      </c>
      <c r="B43" s="17">
        <f>INDEX('Topic (56-pt) cards'!$A$3:$BB$40,MATCH($B$2,'Topic (56-pt) cards'!$A$3:$A$40,0),MATCH("MCQ answer",'Topic (56-pt) cards'!$A$2:$BB$2,0))&amp;""</f>
        <v/>
      </c>
    </row>
    <row r="44" ht="30" customHeight="1">
      <c r="A44" s="24" t="inlineStr">
        <is>
          <t>Why that answer</t>
        </is>
      </c>
      <c r="B44" s="17">
        <f>INDEX('Topic (56-pt) cards'!$A$3:$BB$40,MATCH($B$2,'Topic (56-pt) cards'!$A$3:$A$40,0),MATCH("Why that answer",'Topic (56-pt) cards'!$A$2:$BB$2,0))&amp;""</f>
        <v/>
      </c>
    </row>
    <row r="45" ht="30" customHeight="1">
      <c r="A45" s="24" t="inlineStr">
        <is>
          <t>Fill the blank</t>
        </is>
      </c>
      <c r="B45" s="17">
        <f>INDEX('Topic (56-pt) cards'!$A$3:$BB$40,MATCH($B$2,'Topic (56-pt) cards'!$A$3:$A$40,0),MATCH("Fill the blank",'Topic (56-pt) cards'!$A$2:$BB$2,0))&amp;""</f>
        <v/>
      </c>
    </row>
    <row r="46" ht="30" customHeight="1">
      <c r="A46" s="24" t="inlineStr">
        <is>
          <t>Apply it</t>
        </is>
      </c>
      <c r="B46" s="17">
        <f>INDEX('Topic (56-pt) cards'!$A$3:$BB$40,MATCH($B$2,'Topic (56-pt) cards'!$A$3:$A$40,0),MATCH("Apply it",'Topic (56-pt) cards'!$A$2:$BB$2,0))&amp;""</f>
        <v/>
      </c>
    </row>
    <row r="47" ht="30" customHeight="1">
      <c r="A47" s="24" t="inlineStr">
        <is>
          <t>Explain it yourself</t>
        </is>
      </c>
      <c r="B47" s="17">
        <f>INDEX('Topic (56-pt) cards'!$A$3:$BB$40,MATCH($B$2,'Topic (56-pt) cards'!$A$3:$A$40,0),MATCH("Explain it yourself",'Topic (56-pt) cards'!$A$2:$BB$2,0))&amp;""</f>
        <v/>
      </c>
    </row>
    <row r="48" ht="30" customHeight="1">
      <c r="A48" s="24" t="inlineStr">
        <is>
          <t>Write your own</t>
        </is>
      </c>
      <c r="B48" s="17">
        <f>INDEX('Topic (56-pt) cards'!$A$3:$BB$40,MATCH($B$2,'Topic (56-pt) cards'!$A$3:$A$40,0),MATCH("Write your own",'Topic (56-pt) cards'!$A$2:$BB$2,0))&amp;""</f>
        <v/>
      </c>
    </row>
    <row r="49" ht="30" customHeight="1">
      <c r="A49" s="24" t="inlineStr">
        <is>
          <t>Quick recall (reverse)</t>
        </is>
      </c>
      <c r="B49" s="17">
        <f>INDEX('Topic (56-pt) cards'!$A$3:$BB$40,MATCH($B$2,'Topic (56-pt) cards'!$A$3:$A$40,0),MATCH("Quick recall (reverse)",'Topic (56-pt) cards'!$A$2:$BB$2,0))&amp;""</f>
        <v/>
      </c>
    </row>
  </sheetData>
  <mergeCells count="3">
    <mergeCell ref="A4:B4"/>
    <mergeCell ref="A19:B19"/>
    <mergeCell ref="A40:B40"/>
  </mergeCells>
  <dataValidations count="1">
    <dataValidation sqref="B2" showDropDown="0" showInputMessage="0" showErrorMessage="0" allowBlank="0" type="list">
      <formula1>='Topic (56-pt) cards'!$A$3:$A$40</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3"/>
  <sheetViews>
    <sheetView workbookViewId="0">
      <pane ySplit="1" topLeftCell="A2" activePane="bottomLeft" state="frozen"/>
      <selection pane="bottomLeft" activeCell="A1" sqref="A1"/>
    </sheetView>
  </sheetViews>
  <sheetFormatPr baseColWidth="8" defaultRowHeight="15"/>
  <cols>
    <col width="55" customWidth="1" min="1" max="1"/>
    <col width="90" customWidth="1" min="2" max="2"/>
    <col width="30" customWidth="1" min="3" max="3"/>
  </cols>
  <sheetData>
    <row r="1">
      <c r="A1" s="28" t="inlineStr">
        <is>
          <t>Front</t>
        </is>
      </c>
      <c r="B1" s="28" t="inlineStr">
        <is>
          <t>Back</t>
        </is>
      </c>
      <c r="C1" s="28" t="inlineStr">
        <is>
          <t>Tags</t>
        </is>
      </c>
    </row>
    <row r="2" ht="409" customHeight="1">
      <c r="A2" s="29" t="inlineStr">
        <is>
          <t>API (Application Programming Interface)
What is the agreed doorway that lets one piece of software ask another for data or actions?</t>
        </is>
      </c>
      <c r="B2" s="29" t="inlineStr">
        <is>
          <t>DEFINITION (SIMPLE):
An API is a set of rules that lets one program request data or actions from another program in a defined way.
HOW / WHY IT WORKS:
The provider decides which requests are allowed and in what format, and your program follows those rules. For example, a weather API accepts a city name and returns the temperature. You never see the provider's code or database, only the request and the response.
SIMPLE EXPLANATION (HINGLISH):
An API is how two programs talk. You send a request in the agreed format, and the other program sends back an answer, while its inner workings stay hidden.
REAL-LIFE ANALOGY:
It works like a waiter who takes your order to the kitchen and brings back the food.
FORMULA / RULE:
Request (in the agreed format) → API → Response (data or result)
EXAMPLE 1:
A weather app asks a weather API for today's temperature in a city.
EXAMPLE 2:
A shopping site asks a payment API to charge a card.
EXAMPLE 3:
A website asks a maps API to show a location on a map.
RELATED CONCEPTS:
client, server, endpoint, REST
FAMILY / GROUP:
interface, contract, request, response, provider
WHERE IT IS USED:
Web and mobile apps | Payments and maps | Connecting company systems
MINI CONVERSATION:
A: How does our app get the weather data? | B: It calls the weather provider's API with a city name and receives the temperature back.
COMMON MISTAKE:
✗ An API gives you direct access to the other system's database → ✓ An API exposes only the specific requests the provider allows, and the database stays hidden behind it
DON'T CONFUSE WITH:
API vs database: a database stores the data, an API is the controlled doorway for asking for it.
AVOID / DON'T:
Do not assume an API will accept anything, always read its documentation first.
MEMORY TRICK:
An API is the waiter between you and the kitchen.
REAL LIFE: PROJECT / WORK:
Connecting a shop's website to a payment API so customers can pay by card.
REAL LIFE: INTERVIEW / EXAM:
An interviewer may ask: What is an API and why do we use one?
REAL LIFE: DAILY LIFE:
It is like ordering through a waiter instead of walking into the kitchen.</t>
        </is>
      </c>
      <c r="C2" s="29" t="inlineStr">
        <is>
          <t>01_Basics_Beginner_API-001</t>
        </is>
      </c>
    </row>
    <row r="3" ht="409" customHeight="1">
      <c r="A3" s="29" t="inlineStr">
        <is>
          <t>Client and server
In an API call, which side asks for something and which side answers?</t>
        </is>
      </c>
      <c r="B3" s="29" t="inlineStr">
        <is>
          <t>DEFINITION (SIMPLE):
The client is the program that sends a request, and the server is the program that receives it and sends back a response.
HOW / WHY IT WORKS:
A browser, a mobile app or your own script can be the client. The server is a program running somewhere that listens for requests, applies its rules, and responds. The same program can be a client to one API and a server to another.
SIMPLE EXPLANATION (HINGLISH):
The client asks, and the server answers. Your app is usually the client when it calls someone else's API.
REAL-LIFE ANALOGY:
The client is the customer ordering food and the server is the kitchen preparing it.
FORMULA / RULE:
Client sends request → Server sends response
EXAMPLE 1:
A mobile app (client) asks a server for the list of products.
EXAMPLE 2:
A script (client) asks a weather server for tomorrow's forecast.
EXAMPLE 3:
A backend service is a server for the website and a client of a payment API.
RELATED CONCEPTS:
API, request, response, HTTP
FAMILY / GROUP:
client, server, request, response, host
WHERE IT IS USED:
Every web and mobile app | Microservices | API debugging
MINI CONVERSATION:
A: The data is not showing in the app. | B: Check whether the client sent the request correctly or whether the server returned an error.
COMMON MISTAKE:
✗ A client must be a person using a browser → ✓ A client is any program that sends a request, including scripts and other servers
DON'T CONFUSE WITH:
Client vs server: the client starts the request, the server listens and responds.
AVOID / DON'T:
Do not trust anything that comes from the client without checking it on the server.
MEMORY TRICK:
The client asks and the server answers.
REAL LIFE: PROJECT / WORK:
Building a mobile app that acts as a client of the company's order server.
REAL LIFE: INTERVIEW / EXAM:
An interviewer may ask: What is the difference between a client and a server?
REAL LIFE: DAILY LIFE:
It is like a customer ordering and a kitchen cooking.</t>
        </is>
      </c>
      <c r="C3" s="29" t="inlineStr">
        <is>
          <t>01_Basics_Beginner_API-002</t>
        </is>
      </c>
    </row>
    <row r="4" ht="409" customHeight="1">
      <c r="A4" s="29" t="inlineStr">
        <is>
          <t>Request and response cycle
What are the steps from the moment a client sends a call to the moment it receives an answer?</t>
        </is>
      </c>
      <c r="B4" s="29" t="inlineStr">
        <is>
          <t>DEFINITION (SIMPLE):
The request and response cycle is the exchange in which a client sends a request and the server returns one response.
HOW / WHY IT WORKS:
A request has a method, a URL, headers and sometimes a body. The server processes it and returns a response with a status code, headers and usually a body. Each pair is independent, and the server does not remember earlier requests unless you send identifying information again.
SIMPLE EXPLANATION (HINGLISH):
You send a request with what you want, and the server replies with a status and, usually, data. Then the conversation for that call is over.
REAL-LIFE ANALOGY:
It is like sending a letter and getting one reply that refers to it.
FORMULA / RULE:
Request = method + URL + headers + body. Response = status + headers + body.
EXAMPLE 1:
A GET request for a user, answered with status 200 and the user's data.
EXAMPLE 2:
A POST request that creates an order, answered with status 201.
EXAMPLE 3:
A request with a wrong URL, answered with status 404.
RELATED CONCEPTS:
HTTP methods, status codes, headers, body
FAMILY / GROUP:
request, response, status, header, body
WHERE IT IS USED:
Every API call | Debugging | Reading API documentation
MINI CONVERSATION:
A: What happens when I call the API? | B: You send a request, the server processes it, and returns a response with a status and data.
COMMON MISTAKE:
✗ The server remembers my previous requests automatically → ✓ Each HTTP request is independent, and the client must send identity such as a token each time
DON'T CONFUSE WITH:
Request vs response: the request asks, the response answers with a status.
AVOID / DON'T:
Do not ignore the status code and read only the body.
MEMORY TRICK:
One request earns one response.
REAL LIFE: PROJECT / WORK:
Logging both the request and the response to find why a call failed.
REAL LIFE: INTERVIEW / EXAM:
An interviewer may ask: What does an HTTP request contain?
REAL LIFE: DAILY LIFE:
It is like a letter and its reply.</t>
        </is>
      </c>
      <c r="C4" s="29" t="inlineStr">
        <is>
          <t>01_Basics_Beginner_API-003</t>
        </is>
      </c>
    </row>
    <row r="5" ht="409" customHeight="1">
      <c r="A5" s="29" t="inlineStr">
        <is>
          <t>REST
Which popular style of web API treats data as resources with URLs and uses standard HTTP methods on them?</t>
        </is>
      </c>
      <c r="B5" s="29" t="inlineStr">
        <is>
          <t>DEFINITION (SIMPLE):
REST is an API style where resources are identified by URLs and manipulated with standard HTTP methods, with each request being stateless.
HOW / WHY IT WORKS:
A REST API groups data into resources such as users or orders, gives each a URL, and uses GET, POST, PUT, PATCH and DELETE to read, create, replace, update and remove. Each request carries all information needed, so the server keeps no session between calls. Responses are commonly JSON.
SIMPLE EXPLANATION (HINGLISH):
In REST, think of resources and actions. GET /users lists users and POST /users creates one, and every call is independent.
REAL-LIFE ANALOGY:
It is like a library where each book has an address and the librarian understands get, add, change and remove.
FORMULA / RULE:
Resource (URL) + HTTP method (action) = one clear operation
EXAMPLE 1:
GET /users returns a list of users.
EXAMPLE 2:
POST /users creates a new user.
EXAMPLE 3:
DELETE /users/42 removes the user with id 42.
RELATED CONCEPTS:
HTTP methods, endpoint, JSON, stateless
FAMILY / GROUP:
resource, endpoint, stateless, CRUD, URL
WHERE IT IS USED:
Most web APIs | Mobile backends | Public developer platforms
MINI CONVERSATION:
A: How should I name my endpoint to list orders? | B: Use a noun, GET /orders, and let the method say what to do.
COMMON MISTAKE:
✗ Any API that uses HTTP is a REST API → ✓ REST is a specific style with resources, standard methods and stateless requests, and many APIs only partly follow it
DON'T CONFUSE WITH:
REST vs RPC style: REST models resources with URLs, RPC style calls named actions such as /getUser.
AVOID / DON'T:
Do not put verbs in URLs, such as /createUser, when a method can express it.
MEMORY TRICK:
REST means resources plus standard methods.
REAL LIFE: PROJECT / WORK:
Designing a REST API with /products and /orders for an online shop.
REAL LIFE: INTERVIEW / EXAM:
An interviewer may ask: What makes an API RESTful?
REAL LIFE: DAILY LIFE:
It is like a library where every book has an address and a clear set of actions.</t>
        </is>
      </c>
      <c r="C5" s="29" t="inlineStr">
        <is>
          <t>01_Basics_Beginner_API-004</t>
        </is>
      </c>
    </row>
    <row r="6" ht="409" customHeight="1">
      <c r="A6" s="29" t="inlineStr">
        <is>
          <t>Endpoint and base URL
Which address do you call to reach one specific function of an API, and which shared part comes before it?</t>
        </is>
      </c>
      <c r="B6" s="29" t="inlineStr">
        <is>
          <t>DEFINITION (SIMPLE):
A base URL is the common starting address of an API, and an endpoint is a specific path under it that performs one function.
HOW / WHY IT WORKS:
If the base URL is https://api.example.com/v1, then the endpoint /users gives https://api.example.com/v1/users. The method you use on the endpoint decides the action. Different environments, such as sandbox and production, usually have different base URLs.
SIMPLE EXPLANATION (HINGLISH):
The base URL is the shared start of every address. An endpoint is the rest, pointing to one thing like users or orders.
REAL-LIFE ANALOGY:
It is like a street name and the house numbers on it.
FORMULA / RULE:
Full URL = base URL + endpoint path (+ query)
EXAMPLE 1:
Base https://api.example.com/v1 plus /users gives the users endpoint.
EXAMPLE 2:
The same base with /orders/17 points to one order.
EXAMPLE 3:
A sandbox base URL used for testing and a production one for live use.
RELATED CONCEPTS:
REST, URL parts, versioning, environment
FAMILY / GROUP:
base URL, endpoint, path, route, environment
WHERE IT IS USED:
Every API call | Configuration | Switching test and live
MINI CONVERSATION:
A: Where do I send the request to list orders? | B: To the orders endpoint under the base URL from the docs.
COMMON MISTAKE:
✗ An endpoint is the whole server → ✓ An endpoint is one specific address, and a server usually offers many
DON'T CONFUSE WITH:
Base URL vs endpoint: the base URL is common to all calls, the endpoint is specific to one function.
AVOID / DON'T:
Do not hard-code the base URL in many places.
MEMORY TRICK:
Base is the street, endpoint is the house.
REAL LIFE: PROJECT / WORK:
Putting the base URL in a configuration file so the app can switch to the production server.
REAL LIFE: INTERVIEW / EXAM:
An interviewer may ask: What is the difference between a base URL and an endpoint?
REAL LIFE: DAILY LIFE:
It is like a street name and the house numbers on it.</t>
        </is>
      </c>
      <c r="C6" s="29" t="inlineStr">
        <is>
          <t>01_Basics_Beginner_API-005</t>
        </is>
      </c>
    </row>
    <row r="7" ht="409" customHeight="1">
      <c r="A7" s="29" t="inlineStr">
        <is>
          <t>API vs SDK vs webhook
Which three things differ as the doorway, the ready-made toolkit that wraps it, and the call that arrives by itself?</t>
        </is>
      </c>
      <c r="B7" s="29" t="inlineStr">
        <is>
          <t>DEFINITION (SIMPLE):
An API is the interface you call, an SDK is a library that wraps the API in your language, and a webhook is a call the provider makes to your URL when an event happens.
HOW / WHY IT WORKS:
With an API you send requests yourself. An SDK gives ready-made functions that build requests and parse responses for you. A webhook flips the direction: the provider sends an HTTP request to an address you give it when something occurs, such as a payment completing.
SIMPLE EXPLANATION (HINGLISH):
The API is the door, the SDK is a toolkit that opens it for you, and a webhook is the provider knocking on your door when something happens.
REAL-LIFE ANALOGY:
The API is a door, the SDK is a handy key set, and the webhook is a doorbell that rings by itself.
FORMULA / RULE:
API = you call them. SDK = library that calls for you. Webhook = they call you.
EXAMPLE 1:
Calling a payments API with plain HTTP requests.
EXAMPLE 2:
Using the payments provider's JavaScript SDK to create a charge.
EXAMPLE 3:
Receiving a webhook when a payment succeeds.
RELATED CONCEPTS:
REST, webhook, library, polling
FAMILY / GROUP:
API, SDK, webhook, library, callback
WHERE IT IS USED:
Payments | Messaging | Integrations with third-party services
MINI CONVERSATION:
A: Do I need the SDK to use this service? | B: No, you can call the API directly, but the SDK saves time.
COMMON MISTAKE:
✗ A webhook is the same as an API call you make → ✓ A webhook is a request the provider sends to you when an event occurs
DON'T CONFUSE WITH:
API vs webhook: with an API you ask, with a webhook you are told.
AVOID / DON'T:
Do not use an outdated SDK without checking its version.
MEMORY TRICK:
API you call, webhook calls you.
REAL LIFE: PROJECT / WORK:
Using an SDK to send emails and a webhook to track delivery events.
REAL LIFE: INTERVIEW / EXAM:
An interviewer may ask: What is the difference between polling an API and using a webhook?
REAL LIFE: DAILY LIFE:
It is like knocking on a door versus having the doorbell ring.</t>
        </is>
      </c>
      <c r="C7" s="29" t="inlineStr">
        <is>
          <t>01_Basics_Intermediate_API-006</t>
        </is>
      </c>
    </row>
    <row r="8" ht="409" customHeight="1">
      <c r="A8" s="29" t="inlineStr">
        <is>
          <t>Public, private and partner APIs
Which three audiences decide how open an API is, from anyone on the internet to only a company's own teams?</t>
        </is>
      </c>
      <c r="B8" s="29" t="inlineStr">
        <is>
          <t>DEFINITION (SIMPLE):
A public API is open to any developer, a partner API is shared with selected business partners, and a private API is used only inside one organisation.
HOW / WHY IT WORKS:
Public APIs usually require signing up for a key and follow published terms. Partner APIs need an agreement and credentials. Private or internal APIs connect a company's own systems and are not exposed outside. The access level affects documentation, support and stability promises.
SIMPLE EXPLANATION (HINGLISH):
Public means anyone can sign up and use it. Partner means invited businesses only. Private means just your own company's systems.
REAL-LIFE ANALOGY:
It is like a public shop, a members-only club and a staff room.
FORMULA / RULE:
Public = anyone with an account. Partner = invited. Private = internal only.
EXAMPLE 1:
A public weather API that anyone can use with a free key.
EXAMPLE 2:
A partner API shared with an airline's travel agents.
EXAMPLE 3:
A private API between a company's billing and orders systems.
RELATED CONCEPTS:
API key, authentication, rate limiting, documentation
FAMILY / GROUP:
public, partner, private, internal, open API
WHERE IT IS USED:
Choosing which API to use | Planning integrations | Security design
MINI CONVERSATION:
A: Can I use this company's API? | B: Check whether it is public, or whether you need partner access.
COMMON MISTAKE:
✗ A public API means no authentication is needed → ✓ Public APIs usually still need an API key or token so the provider can identify and limit users
DON'T CONFUSE WITH:
Public vs private API: public is open to outside developers, private is for internal systems only.
AVOID / DON'T:
Do not expose a private API to the internet without strong security.
MEMORY TRICK:
Public for all, partner for a few, private for us.
REAL LIFE: PROJECT / WORK:
Using a partner API to get shipping rates from a courier company.
REAL LIFE: INTERVIEW / EXAM:
An interviewer may ask: What are the types of APIs by access level?
REAL LIFE: DAILY LIFE:
It is like a public shop, a members club and a staff room.</t>
        </is>
      </c>
      <c r="C8" s="29" t="inlineStr">
        <is>
          <t>01_Basics_Beginner_API-007</t>
        </is>
      </c>
    </row>
    <row r="9" ht="409" customHeight="1">
      <c r="A9" s="29" t="inlineStr">
        <is>
          <t>HTTP methods (GET, POST, PUT, PATCH, DELETE)
Which five request methods tell an API whether you want to read, create, replace, partly change or remove something?</t>
        </is>
      </c>
      <c r="B9" s="29" t="inlineStr">
        <is>
          <t>DEFINITION (SIMPLE):
HTTP methods are verbs sent with a request that say what to do with the resource: GET reads, POST creates, PUT replaces, PATCH changes part of it, and DELETE removes it.
HOW / WHY IT WORKS:
GET retrieves data and is safe, meaning it should not change anything. POST sends data to create a resource or trigger an action. PUT replaces a whole resource, PATCH updates only some fields, and DELETE removes it. HEAD and OPTIONS also exist for headers and capabilities.
SIMPLE EXPLANATION (HINGLISH):
GET reads, POST creates, PUT replaces everything, PATCH changes only a few fields, and DELETE removes. The URL says what, and the method says what to do with it.
REAL-LIFE ANALOGY:
It is like the actions in a filing office: look up, add, replace, correct and shred.
FORMULA / RULE:
GET = read, POST = create, PUT = replace, PATCH = partial update, DELETE = remove
EXAMPLE 1:
GET /users/42 reads user 42.
EXAMPLE 2:
POST /orders creates a new order.
EXAMPLE 3:
PATCH /users/42 changes only the email of user 42.
RELATED CONCEPTS:
REST, idempotency, status codes, request body
FAMILY / GROUP:
GET, POST, PUT, PATCH, DELETE, HEAD, OPTIONS
WHERE IT IS USED:
Every REST API | API documentation | Writing client code
MINI CONVERSATION:
A: I only want to change the user's email. | B: Use PATCH, since PUT would replace the whole user.
COMMON MISTAKE:
✗ PUT and PATCH do the same thing → ✓ PUT replaces the whole resource, while PATCH changes only the fields you send
DON'T CONFUSE WITH:
PUT vs PATCH: PUT replaces everything, PATCH updates part of it.
AVOID / DON'T:
Do not use GET to delete or change data.
MEMORY TRICK:
GET gets, POST posts a new one.
REAL LIFE: PROJECT / WORK:
Using POST to create orders and PATCH to update only their status.
REAL LIFE: INTERVIEW / EXAM:
An interviewer may ask: What is the difference between PUT and PATCH?
REAL LIFE: DAILY LIFE:
It is like looking up, adding, replacing, correcting and shredding a file.</t>
        </is>
      </c>
      <c r="C9" s="29" t="inlineStr">
        <is>
          <t>02_HTTP_Beginner_API-008</t>
        </is>
      </c>
    </row>
    <row r="10" ht="409" customHeight="1">
      <c r="A10" s="29" t="inlineStr">
        <is>
          <t>URL parts (path and query parameters)
In a URL such as /users/42?active=true, which parts name the resource and which parts filter or modify it?</t>
        </is>
      </c>
      <c r="B10" s="29" t="inlineStr">
        <is>
          <t>DEFINITION (SIMPLE):
The path identifies the resource, such as /users/42, and the query string after the question mark adds named options such as active=true.
HOW / WHY IT WORKS:
A URL has a scheme (https), a host (api.example.com), a path (/users/42), and an optional query string that starts with a question mark and joins pairs with ampersands. Special characters in values must be URL-encoded. Path parameters like 42 are part of the resource address.
SIMPLE EXPLANATION (HINGLISH):
The path says which thing you mean. The query string after the question mark adds options such as filters, sorting and page numbers.
REAL-LIFE ANALOGY:
The path is the house address and the query is the note pinned to the door saying how you want it.
FORMULA / RULE:
scheme://host/path?key=value&amp;key2=value2
EXAMPLE 1:
https://api.example.com/users/42 uses 42 as a path parameter.
EXAMPLE 2:
https://api.example.com/users?active=true filters users with a query parameter.
EXAMPLE 3:
https://api.example.com/orders?page=2&amp;limit=10 asks for the second page of ten.
RELATED CONCEPTS:
endpoint, pagination, filtering, URL encoding
FAMILY / GROUP:
scheme, host, path, query string, parameter, fragment
WHERE IT IS USED:
Every API call | Filtering and paging | Building URLs in code
MINI CONVERSATION:
A: How do I get only active users? | B: Add a query parameter, GET /users?active=true.
COMMON MISTAKE:
✗ Query parameters and path parameters are the same thing → ✓ Path parameters identify the resource, while query parameters add optional filters or settings
DON'T CONFUSE WITH:
Path vs query: the path names the resource, the query refines the request.
AVOID / DON'T:
Do not put spaces or special characters in URLs without encoding them.
MEMORY TRICK:
The path points and the query refines it.
REAL LIFE: PROJECT / WORK:
Building a list request with page, limit and sort query parameters.
REAL LIFE: INTERVIEW / EXAM:
An interviewer may ask: When do you use a path parameter and when a query parameter?
REAL LIFE: DAILY LIFE:
It is like an address plus a note pinned to the door.</t>
        </is>
      </c>
      <c r="C10" s="29" t="inlineStr">
        <is>
          <t>02_HTTP_Beginner_API-009</t>
        </is>
      </c>
    </row>
    <row r="11" ht="409" customHeight="1">
      <c r="A11" s="29" t="inlineStr">
        <is>
          <t>Headers
Which key-value pairs travel with every request and response and carry information about the message rather than its data?</t>
        </is>
      </c>
      <c r="B11" s="29" t="inlineStr">
        <is>
          <t>DEFINITION (SIMPLE):
Headers are name and value pairs sent with a request or response that describe the message, such as its format, authorisation or caching.
HOW / WHY IT WORKS:
Common request headers include Authorization, Content-Type, Accept and User-Agent. Common response headers include Content-Type, Cache-Control and Retry-After. Header names are case-insensitive. Custom headers are often prefixed or documented by the provider, such as X-Request-Id.
SIMPLE EXPLANATION (HINGLISH):
Headers are small labels on a message. They say things like I am sending JSON, here is my token, and please give me JSON back.
REAL-LIFE ANALOGY:
Headers are the labels on a parcel, while the body is the goods inside.
FORMULA / RULE:
Header-Name: value
EXAMPLE 1:
Authorization: Bearer abc123 carries the token.
EXAMPLE 2:
Content-Type: application/json says the body is JSON.
EXAMPLE 3:
Accept: application/json asks for a JSON answer.
RELATED CONCEPTS:
Content-Type, Authorization, request body, status codes
FAMILY / GROUP:
header, Content-Type, Accept, Authorization, User-Agent
WHERE IT IS USED:
Authentication | Content negotiation | Caching and debugging
MINI CONVERSATION:
A: The server says it cannot read my data. | B: You probably forgot the Content-Type header for JSON.
COMMON MISTAKE:
✗ Headers carry the main data of a request → ✓ Headers carry information about the message, and the main data goes in the body or the URL
DON'T CONFUSE WITH:
Header vs body: the header describes the message, the body is the data itself.
AVOID / DON'T:
Do not put secrets in custom headers without HTTPS.
MEMORY TRICK:
Headers are labels, body is goods.
REAL LIFE: PROJECT / WORK:
Setting Authorization and Content-Type headers on every request of an API client.
REAL LIFE: INTERVIEW / EXAM:
An interviewer may ask: Which headers are used in an API request and why?
REAL LIFE: DAILY LIFE:
It is like the labels on a parcel.</t>
        </is>
      </c>
      <c r="C11" s="29" t="inlineStr">
        <is>
          <t>02_HTTP_Beginner_API-010</t>
        </is>
      </c>
    </row>
    <row r="12" ht="409" customHeight="1">
      <c r="A12" s="29" t="inlineStr">
        <is>
          <t>Request body
Which part of a request carries the actual data you are sending, such as the fields of a new user?</t>
        </is>
      </c>
      <c r="B12" s="29" t="inlineStr">
        <is>
          <t>DEFINITION (SIMPLE):
The request body is the data sent with a request, most often JSON, used by methods such as POST, PUT and PATCH.
HOW / WHY IT WORKS:
The body can be JSON, form data, files or plain text, and its type is announced by the Content-Type header. The server reads the body to create or update a resource. GET and DELETE requests normally do not have a body.
SIMPLE EXPLANATION (HINGLISH):
The body is where the data goes. To create a user, you send the user's fields as JSON in the body of a POST request.
REAL-LIFE ANALOGY:
It is like the sheet of paper inside an envelope.
FORMULA / RULE:
POST + Content-Type: application/json + {"name": "Asha"}
EXAMPLE 1:
A POST body {"name": "Asha", "email": "asha@example.com"} to create a user.
EXAMPLE 2:
A PATCH body {"email": "new@example.com"} to change one field.
EXAMPLE 3:
A multipart body that uploads an image file.
RELATED CONCEPTS:
Content-Type, HTTP methods, JSON, form data
FAMILY / GROUP:
body, payload, JSON, multipart, form data
WHERE IT IS USED:
Creating and updating records | File uploads | Sending forms
MINI CONVERSATION:
A: How do I send the new user's details? | B: Put them as JSON in the body of a POST request.
COMMON MISTAKE:
✗ A GET request normally carries its data in a body → ✓ A GET request carries its options in the URL, and the body is meant for POST, PUT and PATCH
DON'T CONFUSE WITH:
Body vs query string: the body carries larger structured data, the query string carries short options.
AVOID / DON'T:
Do not send secrets in the URL when a body can carry them.
MEMORY TRICK:
Body is the payload inside.
REAL LIFE: PROJECT / WORK:
Sending an order's items as a JSON body to the create order endpoint.
REAL LIFE: INTERVIEW / EXAM:
An interviewer may ask: Where would you send data for a POST request?
REAL LIFE: DAILY LIFE:
It is like the paper inside an envelope.</t>
        </is>
      </c>
      <c r="C12" s="29" t="inlineStr">
        <is>
          <t>02_HTTP_Beginner_API-011</t>
        </is>
      </c>
    </row>
    <row r="13" ht="409" customHeight="1">
      <c r="A13" s="29" t="inlineStr">
        <is>
          <t>Status codes (2xx, 3xx, 4xx, 5xx)
Which three-digit numbers in a response tell you whether a request worked, was redirected, failed because of you, or failed on the server?</t>
        </is>
      </c>
      <c r="B13" s="29" t="inlineStr">
        <is>
          <t>DEFINITION (SIMPLE):
A status code is a three-digit number in a response, where the first digit shows the group: 2 success, 3 redirect, 4 client error and 5 server error.
HOW / WHY IT WORKS:
Common ones are 200 OK, 201 Created, 204 No Content, 400 Bad Request, 401 Unauthorized (not authenticated), 403 Forbidden, 404 Not Found, 409 Conflict, 429 Too Many Requests, 500 Internal Server Error and 503 Service Unavailable. A 4xx usually means fix your request, and a 5xx may be worth retrying.
SIMPLE EXPLANATION (HINGLISH):
Look at the first digit. 2 means it worked, 4 means your request has a problem, and 5 means the server has a problem.
REAL-LIFE ANALOGY:
It is like traffic lights, with green for go, a detour sign, a stop for your mistake and a broken signal for the server's.
FORMULA / RULE:
2xx success, 3xx redirect, 4xx you erred, 5xx server erred
EXAMPLE 1:
201 Created after a successful POST.
EXAMPLE 2:
404 Not Found for a wrong URL or missing record.
EXAMPLE 3:
503 Service Unavailable when the server is overloaded.
RELATED CONCEPTS:
error handling, retries, rate limiting, authentication
FAMILY / GROUP:
200, 201, 204, 400, 401, 403, 404, 429, 500, 503
WHERE IT IS USED:
Every API call | Error handling | Debugging
MINI CONVERSATION:
A: My call returned 401. | B: That means you are not authenticated, so check your token or API key.
COMMON MISTAKE:
✗ 401 and 403 mean the same thing → ✓ 401 means you are not authenticated, while 403 means you are known but not allowed to do that
DON'T CONFUSE WITH:
401 vs 403: 401 asks who you are, 403 says you are not permitted.
AVOID / DON'T:
Do not treat every non-200 response as the same error.
MEMORY TRICK:
The first digit tells whose fault it is.
REAL LIFE: PROJECT / WORK:
Showing different messages for 404, 429 and 500 in an app.
REAL LIFE: INTERVIEW / EXAM:
An interviewer may ask: What is the difference between 401 and 403?
REAL LIFE: DAILY LIFE:
It is like traffic lights guiding what to do next.</t>
        </is>
      </c>
      <c r="C13" s="29" t="inlineStr">
        <is>
          <t>02_HTTP_Beginner_API-012</t>
        </is>
      </c>
    </row>
    <row r="14" ht="409" customHeight="1">
      <c r="A14" s="29" t="inlineStr">
        <is>
          <t>Content types (Content-Type and Accept)
Which two headers tell the server the format of what you send and the format you want back?</t>
        </is>
      </c>
      <c r="B14" s="29" t="inlineStr">
        <is>
          <t>DEFINITION (SIMPLE):
Content-Type states the format of the message body, and Accept lists the formats the client is willing to receive.
HOW / WHY IT WORKS:
Common media types are application/json, application/xml, text/html, application/x-www-form-urlencoded and multipart/form-data. If you send JSON without the right Content-Type, the server may reject or misread it. The response also has a Content-Type that tells you how to parse it.
SIMPLE EXPLANATION (HINGLISH):
Content-Type describes what you are sending. Accept says what you want back. Mismatches cause errors like 415 Unsupported Media Type.
REAL-LIFE ANALOGY:
It is like writing a letter in one language and asking for the reply in another.
FORMULA / RULE:
Content-Type = what I send. Accept = what I want.
EXAMPLE 1:
Content-Type: application/json on a POST with a JSON body.
EXAMPLE 2:
Accept: application/json to ask for a JSON response.
EXAMPLE 3:
Content-Type: multipart/form-data when uploading a file.
RELATED CONCEPTS:
headers, JSON, request body, form data
FAMILY / GROUP:
media type, MIME type, Content-Type, Accept, 415
WHERE IT IS USED:
Sending JSON | File uploads | Content negotiation
MINI CONVERSATION:
A: The server returns 415 when I post my data. | B: Check that you set Content-Type to application/json.
COMMON MISTAKE:
✗ Content-Type and Accept are interchangeable → ✓ Content-Type describes the body you send, while Accept describes the format you want in the response
DON'T CONFUSE WITH:
Content-Type vs Accept: one describes the message, the other states a preference for the reply.
AVOID / DON'T:
Do not send a JSON body without the JSON content type.
MEMORY TRICK:
Content-Type is what I send, Accept is what I want.
REAL LIFE: PROJECT / WORK:
Fixing a 415 error by adding the JSON content type to a client.
REAL LIFE: INTERVIEW / EXAM:
An interviewer may ask: What is the difference between Content-Type and Accept?
REAL LIFE: DAILY LIFE:
It is like writing in one language and asking for the reply in another.</t>
        </is>
      </c>
      <c r="C14" s="29" t="inlineStr">
        <is>
          <t>02_HTTP_Intermediate_API-013</t>
        </is>
      </c>
    </row>
    <row r="15" ht="409" customHeight="1">
      <c r="A15" s="29" t="inlineStr">
        <is>
          <t>Idempotency
Which property means that repeating the same request again leaves the server in the same state as doing it once?</t>
        </is>
      </c>
      <c r="B15" s="29" t="inlineStr">
        <is>
          <t>DEFINITION (SIMPLE):
An operation is idempotent when making the same request many times has the same effect as making it once.
HOW / WHY IT WORKS:
GET, PUT and DELETE are defined as idempotent, because replacing or deleting something twice leaves the same final state. POST is generally not idempotent, since it can create a new record each time. Many APIs let you add an Idempotency-Key header so a repeated POST is recognised and ignored.
SIMPLE EXPLANATION (HINGLISH):
If repeating a call changes nothing more after the first time, it is idempotent. That makes retries safe.
REAL-LIFE ANALOGY:
It is like pressing a lift's call button many times, which still brings only one lift.
FORMULA / RULE:
GET, PUT, DELETE = idempotent. POST = not by default.
EXAMPLE 1:
Deleting user 42 twice leaves the same result as deleting once.
EXAMPLE 2:
Setting an order's status to shipped twice leaves it shipped.
EXAMPLE 3:
Posting a payment twice could charge two times without an idempotency key.
RELATED CONCEPTS:
HTTP methods, retries, webhooks, payments
FAMILY / GROUP:
idempotent, safe, retry, duplicate, Idempotency-Key
WHERE IT IS USED:
Payments | Retries | Reliable integrations
MINI CONVERSATION:
A: My payment call timed out, can I retry it? | B: Only with an idempotency key, or you may charge the customer twice.
COMMON MISTAKE:
✗ Idempotent means the request never changes anything → ✓ Idempotent means repeating it has no extra effect, and it may still change data the first time
DON'T CONFUSE WITH:
Safe vs idempotent: a safe request does not change data, an idempotent request can change data but gives the same result when repeated.
AVOID / DON'T:
Do not retry a plain POST blindly after a timeout.
MEMORY TRICK:
Idempotent means the same result however many times.
REAL LIFE: PROJECT / WORK:
Adding an Idempotency-Key header to payment requests so retries are safe.
REAL LIFE: INTERVIEW / EXAM:
An interviewer may ask: Which HTTP methods are idempotent?
REAL LIFE: DAILY LIFE:
It is like pressing a lift button many times and still getting one lift.</t>
        </is>
      </c>
      <c r="C15" s="29" t="inlineStr">
        <is>
          <t>02_HTTP_Intermediate_API-014</t>
        </is>
      </c>
    </row>
    <row r="16" ht="409" customHeight="1">
      <c r="A16" s="29" t="inlineStr">
        <is>
          <t>Stateless requests, cookies and tokens
Why must a client send its identity again on every request, and what are the common ways to do so?</t>
        </is>
      </c>
      <c r="B16" s="29" t="inlineStr">
        <is>
          <t>DEFINITION (SIMPLE):
HTTP is stateless, meaning each request is independent, so clients identify themselves with each request using cookies or tokens.
HOW / WHY IT WORKS:
A cookie is a small value the server sets and the browser stores and sends back automatically. A token, such as a Bearer token, is a value your code stores and sends in the Authorization header. Stateless design lets any server handle any request, which helps scaling.
SIMPLE EXPLANATION (HINGLISH):
The server forgets you after each call, so you send proof each time. Browsers do this with cookies automatically, and API clients usually send a token in a header.
REAL-LIFE ANALOGY:
It is like a shopkeeper with no memory, so you show your membership card on every visit.
FORMULA / RULE:
Stateless = identity sent with every request (cookie or token)
EXAMPLE 1:
A browser sends a session cookie automatically with each request.
EXAMPLE 2:
A script sends Authorization: Bearer abc123 with each call.
EXAMPLE 3:
A mobile app stores a token and attaches it to every request.
RELATED CONCEPTS:
authentication, Bearer token, JWT, sessions
FAMILY / GROUP:
stateless, session, cookie, token, Authorization
WHERE IT IS USED:
Login systems | API authentication | Scalable backends
MINI CONVERSATION:
A: Why do I have to send my token on every request? | B: Because HTTP is stateless and the server does not remember you between calls.
COMMON MISTAKE:
✗ After I log in once the server remembers me by itself → ✓ The server remembers nothing, so your client must send a cookie or token with every request
DON'T CONFUSE WITH:
Cookie vs token: a cookie is stored and sent automatically by the browser, a token is stored and attached by your code.
AVOID / DON'T:
Do not rely on cookies for non-browser API clients.
MEMORY TRICK:
Stateless means show your card every time.
REAL LIFE: PROJECT / WORK:
Attaching a stored access token to every request through one shared function.
REAL LIFE: INTERVIEW / EXAM:
An interviewer may ask: What does stateless mean in HTTP?
REAL LIFE: DAILY LIFE:
It is like showing your membership card on every visit.</t>
        </is>
      </c>
      <c r="C16" s="29" t="inlineStr">
        <is>
          <t>02_HTTP_Intermediate_API-015</t>
        </is>
      </c>
    </row>
    <row r="17" ht="409" customHeight="1">
      <c r="A17" s="29" t="inlineStr">
        <is>
          <t>JSON
Which lightweight text format, built from curly braces and square brackets, do most web APIs use to send data?</t>
        </is>
      </c>
      <c r="B17" s="29" t="inlineStr">
        <is>
          <t>DEFINITION (SIMPLE):
JSON is a text format for data made of objects (name and value pairs), arrays (lists), strings, numbers, true or false, and null.
HOW / WHY IT WORKS:
Objects use curly braces with double-quoted keys, arrays use square brackets, and values can be nested. JSON has no comments, no trailing commas and no single quotes for strings. Almost every language can convert JSON text into its own objects.
SIMPLE EXPLANATION (HINGLISH):
JSON writes data as named fields. For example {"name": "Asha", "age": 21} is an object with two fields, and a list is written in square brackets.
REAL-LIFE ANALOGY:
It is like a labelled box that can hold smaller labelled boxes.
FORMULA / RULE:
{"key": value} for objects, [a, b] for lists
EXAMPLE 1:
{"name": "Asha", "age": 21} is an object.
EXAMPLE 2:
["red", "green", "blue"] is an array of strings.
EXAMPLE 3:
{"user": {"id": 7, "tags": ["new", "vip"]}} nests an object and an array.
RELATED CONCEPTS:
parsing JSON, Content-Type, REST, XML
FAMILY / GROUP:
object, array, key, value, null
WHERE IT IS USED:
Almost every web API | Configuration files | Data exchange
MINI CONVERSATION:
A: My JSON will not parse. | B: Check for single quotes or a trailing comma, since JSON allows neither.
COMMON MISTAKE:
✗ JSON allows single quotes and comments like JavaScript → ✓ JSON requires double quotes for keys and strings and allows no comments or trailing commas
DON'T CONFUSE WITH:
JSON vs a JavaScript object: JSON is text with strict rules, a JavaScript object lives in memory.
AVOID / DON'T:
Do not hand-write JSON with trailing commas.
MEMORY TRICK:
JSON needs double quotes and no trailing commas.
REAL LIFE: PROJECT / WORK:
Reading a JSON response from an orders API and showing the items in a table.
REAL LIFE: INTERVIEW / EXAM:
An interviewer may ask: What data types does JSON support?
REAL LIFE: DAILY LIFE:
It is like a labelled box that can hold smaller labelled boxes.</t>
        </is>
      </c>
      <c r="C17" s="29" t="inlineStr">
        <is>
          <t>03_Data_formats_Beginner_API-016</t>
        </is>
      </c>
    </row>
    <row r="18" ht="409" customHeight="1">
      <c r="A18" s="29" t="inlineStr">
        <is>
          <t>Parsing JSON and reading nested data
How do you turn a JSON text from an API into an object and pull out a value from deep inside it?
const text = '{"user": {"name": "Asha", "tags": ["new", "vip"]}}';
const data = JSON.parse(text);
console.log(data.user.name);
console.log(data.user.tags[0]);</t>
        </is>
      </c>
      <c r="B18" s="29" t="inlineStr">
        <is>
          <t>MEANING (SHORT):
JSON.parse converts JSON text into a JavaScript object, and dot or bracket notation reads values inside it.
CODE:
const text = '{"user": {"name": "Asha", "tags": ["new", "vip"]}}';
const data = JSON.parse(text);
console.log(data.user.name);
console.log(data.user.tags[0]);
OUTPUT:
Asha
new
EXPLANATION:
JSON.parse throws an error if the text is not valid JSON, so wrap it in try and catch when the source is not trusted. Object fields are read with dots, and array items by index starting at zero. With fetch, response.json() does the parsing for you.
SIMPLE EXPLANATION (HINGLISH):
Parse the text once to get an object, then walk down with dots and indexes. Use optional chaining when a field may be missing.
REAL-LIFE ANALOGY:
It is like opening a parcel and then the smaller boxes inside it.
SYNTAX PATTERN:
JSON.parse(text)  |  object.field.subfield[index]
ANATOMY:
JSON.parse = text to object | . = go into a field | [0] = first item of an array
EXAMPLE 1:
const data = JSON.parse('{"id": 7}');
EXAMPLE 2:
console.log(data.user?.address?.city);
EXAMPLE 3:
const first = data.items[0].name;
VARIATION:
JSON.stringify(data)   // object back to text
data?.user?.email ?? "none"   // safe read with a default
USED WITH:
fetch, response.json(), optional chaining, try and catch
RELATED CONCEPTS:
JSON, fetch, error handling
ALTERNATIVES:
response.json() when using fetch
WHERE IT IS USED:
Reading API responses | Config files | Test data
MINI CONVERSATION:
A: My code crashes reading the city. | B: The address may be missing, so use optional chaining like data.user?.address?.city.
COMMON MISTAKE:
✗ JSON.parse accepts any text → ✓ JSON.parse throws an error when the text is not valid JSON
COMMONLY CONFUSED WITH:
JSON.parse vs JSON.stringify: parse turns text into an object, stringify turns an object into text.
AVOID / DON'T:
Do not read deep fields without checking they exist.
WRONG CODE:
const data = JSON.stringify('{"id": 7}');
RIGHT CODE:
const data = JSON.parse('{"id": 7}');
MEMORY TRICK:
Parse unpacks the text, stringify packs it again.
REAL LIFE: PROJECT / WORK:
Parsing an orders response and reading the first item's price.
REAL LIFE: INTERVIEW / EXAM:
An interviewer may ask: What happens if you parse invalid JSON?
REAL LIFE: DAILY LIFE:
It is like opening a parcel and then the smaller boxes inside.</t>
        </is>
      </c>
      <c r="C18" s="29" t="inlineStr">
        <is>
          <t>03_Data_formats_Beginner_API-017</t>
        </is>
      </c>
    </row>
    <row r="19" ht="409" customHeight="1">
      <c r="A19" s="29" t="inlineStr">
        <is>
          <t>XML
Which older tag-based format do some enterprise and SOAP APIs still use instead of JSON?</t>
        </is>
      </c>
      <c r="B19" s="29" t="inlineStr">
        <is>
          <t>DEFINITION (SIMPLE):
XML is a text format that wraps data in opening and closing tags, such as &lt;name&gt;Asha&lt;/name&gt;, and is used by SOAP and some older APIs.
HOW / WHY IT WORKS:
Every element has a start and end tag and elements nest inside each other. XML can also carry attributes and namespaces, which makes it verbose compared with JSON. SOAP is a protocol that sends XML messages over HTTP with a strict structure.
SIMPLE EXPLANATION (HINGLISH):
XML wraps each value in tags, like &lt;name&gt;Asha&lt;/name&gt;. It is wordier than JSON, but you will still find it in older systems.
REAL-LIFE ANALOGY:
It is like a form where every answer is placed between a start label and an end label.
FORMULA / RULE:
&lt;tag&gt;value&lt;/tag&gt;
EXAMPLE 1:
&lt;user&gt;&lt;name&gt;Asha&lt;/name&gt;&lt;/user&gt; nests a name inside a user.
EXAMPLE 2:
A SOAP request that wraps its data in an XML envelope.
EXAMPLE 3:
An RSS feed, which is an XML file listing articles.
RELATED CONCEPTS:
JSON, SOAP, Content-Type, parsing
FAMILY / GROUP:
tag, element, attribute, namespace, SOAP
WHERE IT IS USED:
Legacy enterprise APIs | SOAP services | Feeds such as RSS
MINI CONVERSATION:
A: This bank API returns tags, not JSON. | B: It uses XML, so set the Accept header and use an XML parser.
COMMON MISTAKE:
✗ XML is obsolete and never used → ✓ XML is still used in many enterprise, banking and feed integrations
DON'T CONFUSE WITH:
JSON vs XML: JSON is shorter and easier to read, XML is more verbose but supports attributes and strict schemas.
AVOID / DON'T:
Do not parse XML with regular expressions, use a real XML parser.
MEMORY TRICK:
XML closes every tag it opens.
REAL LIFE: PROJECT / WORK:
Integrating with a legacy partner system that only offers a SOAP service.
REAL LIFE: INTERVIEW / EXAM:
An interviewer may ask: How do JSON and XML differ?
REAL LIFE: DAILY LIFE:
It is like a form where every answer sits between a start and an end label.</t>
        </is>
      </c>
      <c r="C19" s="29" t="inlineStr">
        <is>
          <t>03_Data_formats_Intermediate_API-018</t>
        </is>
      </c>
    </row>
    <row r="20" ht="409" customHeight="1">
      <c r="A20" s="29" t="inlineStr">
        <is>
          <t>Form data vs JSON bodies
Which two common body formats differ as key=value pairs joined by ampersands and as structured text with braces?</t>
        </is>
      </c>
      <c r="B20" s="29" t="inlineStr">
        <is>
          <t>DEFINITION (SIMPLE):
Form encoding sends flat key and value pairs, such as name=Asha&amp;age=21, while a JSON body sends structured data, and multipart form data is used for files.
HOW / WHY IT WORKS:
application/x-www-form-urlencoded is the default for simple HTML forms. multipart/form-data lets you send files together with fields. application/json suits nested objects and lists. Some older or auth endpoints, such as certain OAuth token endpoints, expect form encoding, so always follow the docs.
SIMPLE EXPLANATION (HINGLISH):
Forms send flat pairs, JSON sends structured data, and multipart sends files. Pick the one the API documentation asks for.
REAL-LIFE ANALOGY:
Form data is a flat list on a slip, and JSON is a filing cabinet with folders.
FORMULA / RULE:
urlencoded = flat pairs. JSON = nested. multipart = files.
EXAMPLE 1:
name=Asha&amp;age=21 sent as form-encoded data.
EXAMPLE 2:
{"name": "Asha", "tags": ["new"]} sent as JSON.
EXAMPLE 3:
A profile photo uploaded as multipart form data.
RELATED CONCEPTS:
request body, Content-Type, JSON, OAuth
FAMILY / GROUP:
urlencoded, multipart, JSON, form, upload
WHERE IT IS USED:
Login forms | File uploads | OAuth token requests
MINI CONVERSATION:
A: The token endpoint rejects my JSON. | B: It may expect form-encoded data, so check the docs and Content-Type.
COMMON MISTAKE:
✗ Every API accepts JSON bodies → ✓ Some endpoints expect form-encoded or multipart bodies, so follow the documentation
DON'T CONFUSE WITH:
JSON vs form encoding: JSON handles nested data, form encoding handles flat pairs.
AVOID / DON'T:
Do not guess the body format, read the endpoint's documentation.
MEMORY TRICK:
Form is flat, JSON is nested, multipart is for files.
REAL LIFE: PROJECT / WORK:
Uploading a profile photo as multipart form data alongside a user id.
REAL LIFE: INTERVIEW / EXAM:
An interviewer may ask: When would you use multipart form data?
REAL LIFE: DAILY LIFE:
It is like a flat slip versus a filing cabinet with folders.</t>
        </is>
      </c>
      <c r="C20" s="29" t="inlineStr">
        <is>
          <t>03_Data_formats_Intermediate_API-019</t>
        </is>
      </c>
    </row>
    <row r="21" ht="409" customHeight="1">
      <c r="A21" s="29" t="inlineStr">
        <is>
          <t>API key
Which simple secret string do many providers give you so they can recognise your application on every call?
const res = await fetch("https://api.example.com/v1/weather?city=Delhi", {
  headers: { "X-API-Key": process.env.WEATHER_API_KEY }
});</t>
        </is>
      </c>
      <c r="B21" s="29" t="inlineStr">
        <is>
          <t>MEANING (SHORT):
An API key is a secret string that identifies your application to the API provider and is sent with each request.
CODE:
const res = await fetch("https://api.example.com/v1/weather?city=Delhi", {
  headers: { "X-API-Key": process.env.WEATHER_API_KEY }
});
OUTPUT:
The server checks the key and, if it is valid, returns the weather data.
EXPLANATION:
The header name varies by provider, such as X-API-Key or a documented custom name, and some providers use a query parameter instead. A key usually identifies the app and its plan, not an individual user. Anyone holding the key can use your quota, so keep it secret and rotate it if leaked.
SIMPLE EXPLANATION (HINGLISH):
You get a key when you sign up, and send it with every request. The provider uses it to know who you are and to apply your limits.
REAL-LIFE ANALOGY:
It is like a library card number that tells the library who is borrowing.
SYNTAX PATTERN:
headers: { "X-API-Key": key }
ANATOMY:
X-API-Key = the header name (varies by provider) | key = your secret value
EXAMPLE 1:
headers: { "X-API-Key": process.env.MAPS_KEY }
EXAMPLE 2:
curl -H "X-API-Key: $WEATHER_KEY" https://api.example.com/v1/weather
EXAMPLE 3:
A provider that expects the key as a query parameter named api_key.
VARIATION:
?api_key=abc123   // some providers, but URLs get logged
Authorization: Bearer &lt;key&gt;   // some providers use this header
USED WITH:
environment variables, HTTPS, rate limiting, headers
RELATED CONCEPTS:
Bearer token, secrets, rate limiting
ALTERNATIVES:
OAuth 2.0 when the app acts for a user
WHERE IT IS USED:
Public APIs | Maps and weather services | Server-to-server calls
MINI CONVERSATION:
A: Can I put the API key in my website's JavaScript? | B: No, anyone can read it there, so call the API from your server.
COMMON MISTAKE:
✗ An API key is safe to put in front-end code → ✓ Anyone can read front-end code, so keys must stay on the server or be restricted by the provider
COMMONLY CONFUSED WITH:
API key vs OAuth token: a key identifies your app, an OAuth token represents a user's permission.
AVOID / DON'T:
Do not commit an API key into a public repository.
WRONG CODE:
fetch("https://api.example.com/v1/weather?city=Delhi&amp;key=MY_REAL_KEY_123")
RIGHT CODE:
fetch("https://api.example.com/v1/weather?city=Delhi", { headers: { "X-API-Key": process.env.WEATHER_API_KEY } })
MEMORY TRICK:
A key names the app, so keep it secret.
REAL LIFE: PROJECT / WORK:
Calling a weather API from a backend using a key stored in an environment variable.
REAL LIFE: INTERVIEW / EXAM:
An interviewer may ask: How do you keep an API key secure?
REAL LIFE: DAILY LIFE:
It is like a library card number that tells the library who is borrowing.</t>
        </is>
      </c>
      <c r="C21" s="29" t="inlineStr">
        <is>
          <t>04_Authentication_Beginner_API-020</t>
        </is>
      </c>
    </row>
    <row r="22" ht="409" customHeight="1">
      <c r="A22" s="29" t="inlineStr">
        <is>
          <t>Basic authentication
Which simple scheme sends a username and password as one encoded string in the Authorization header?</t>
        </is>
      </c>
      <c r="B22" s="29" t="inlineStr">
        <is>
          <t>DEFINITION (SIMPLE):
Basic authentication joins the username and password with a colon, encodes them with Base64, and sends them as Authorization: Basic followed by that text.
HOW / WHY IT WORKS:
Base64 is an encoding, not encryption, so anyone who sees the header can decode it. Over HTTPS the whole request is encrypted in transit, which makes Basic acceptable for simple internal tools. Many modern APIs use API keys or tokens instead.
SIMPLE EXPLANATION (HINGLISH):
Basic auth sends your username and password in a simple encoded form on every request. It is easy to use but only safe over HTTPS.
REAL-LIFE ANALOGY:
It is like writing your login on a postcard in a code anyone can read.
FORMULA / RULE:
Authorization: Basic base64(username:password)
EXAMPLE 1:
Authorization: Basic YXNoYTpzZWNyZXQ= is the encoded form of asha:secret.
EXAMPLE 2:
curl -u asha:secret https://api.example.com/v1/me makes curl build the header.
EXAMPLE 3:
A legacy internal tool that still uses Basic authentication behind HTTPS.
RELATED CONCEPTS:
HTTPS, Bearer token, API key, Base64
FAMILY / GROUP:
Basic, Base64, Authorization, credentials
WHERE IT IS USED:
Simple internal APIs | Legacy services | Quick tests
MINI CONVERSATION:
A: Is Base64 enough to hide the password? | B: No, it is only an encoding, so use HTTPS and prefer tokens.
COMMON MISTAKE:
✗ Base64 encryption makes Basic authentication secure on its own → ✓ Base64 is only an encoding that anyone can decode, so HTTPS is essential
DON'T CONFUSE WITH:
Basic auth vs token auth: Basic sends the password every time, tokens send a temporary proof.
AVOID / DON'T:
Do not use Basic authentication over plain HTTP.
MEMORY TRICK:
Basic means encoded, not hidden.
REAL LIFE: PROJECT / WORK:
Using Basic authentication with a service account on an internal reporting API.
REAL LIFE: INTERVIEW / EXAM:
An interviewer may ask: Why is Basic authentication considered weak?
REAL LIFE: DAILY LIFE:
It is like writing a login on a postcard in a code anyone can read.</t>
        </is>
      </c>
      <c r="C22" s="29" t="inlineStr">
        <is>
          <t>04_Authentication_Beginner_API-021</t>
        </is>
      </c>
    </row>
    <row r="23" ht="409" customHeight="1">
      <c r="A23" s="29" t="inlineStr">
        <is>
          <t>Bearer token
Which credential do you place after the word Bearer in the Authorization header to prove you may call a protected endpoint?
const res = await fetch("https://api.example.com/v1/me", {
  headers: { Authorization: `Bearer ${token}` }
});
console.log(res.status);</t>
        </is>
      </c>
      <c r="B23" s="29" t="inlineStr">
        <is>
          <t>MEANING (SHORT):
A bearer token is a credential sent in the Authorization header as Bearer followed by the token, and whoever holds it can use the API.
CODE:
const res = await fetch("https://api.example.com/v1/me", {
  headers: { Authorization: `Bearer ${token}` }
});
console.log(res.status);
OUTPUT:
200 when the token is valid, or 401 when it is missing or expired.
EXPLANATION:
The token is usually obtained after logging in or through OAuth. It often expires after a short time. Because anyone who steals it can use it, it must only travel over HTTPS and must never be logged or exposed in URLs.
SIMPLE EXPLANATION (HINGLISH):
You first get a token, then send it as Authorization: Bearer plus the token on every call. The server checks it and decides whether to let you in.
REAL-LIFE ANALOGY:
It is like a ticket, where whoever holds it gets in.
SYNTAX PATTERN:
Authorization: Bearer &lt;token&gt;
ANATOMY:
Authorization = the header | Bearer = the scheme | &lt;token&gt; = the credential
EXAMPLE 1:
headers: { Authorization: `Bearer ${token}` }
EXAMPLE 2:
curl -H "Authorization: Bearer $TOKEN" https://api.example.com/v1/me
EXAMPLE 3:
A mobile app that adds the stored token to every request through one function.
VARIATION:
Authorization: Bearer eyJhbGciOi...   // a JWT used as a bearer token
USED WITH:
OAuth 2.0, JWT, HTTPS, refresh token
RELATED CONCEPTS:
OAuth 2.0, JWT, access token
ALTERNATIVES:
API key or Basic authentication
WHERE IT IS USED:
Most modern APIs | Mobile apps | Single-page apps
MINI CONVERSATION:
A: My call returns 401 even though I logged in. | B: Check that the token is sent as Authorization: Bearer plus the token, and that it has not expired.
COMMON MISTAKE:
✗ A bearer token is safe to log or share since it is temporary → ✓ Whoever holds a valid bearer token can use it, so never log or share it
COMMONLY CONFUSED WITH:
Bearer token vs API key: a token is usually temporary and tied to a user or session, a key usually identifies an application.
AVOID / DON'T:
Do not send a token over plain HTTP.
WRONG CODE:
headers: { Authorization: token }
RIGHT CODE:
headers: { Authorization: `Bearer ${token}` }
MEMORY TRICK:
Bearer means whoever bears it gets in.
REAL LIFE: PROJECT / WORK:
Adding a Bearer header to every call through a shared request helper.
REAL LIFE: INTERVIEW / EXAM:
An interviewer may ask: How do you send a token to a protected API?
REAL LIFE: DAILY LIFE:
It is like a ticket, where whoever holds it gets in.</t>
        </is>
      </c>
      <c r="C23" s="29" t="inlineStr">
        <is>
          <t>04_Authentication_Beginner_API-022</t>
        </is>
      </c>
    </row>
    <row r="24" ht="409" customHeight="1">
      <c r="A24" s="29" t="inlineStr">
        <is>
          <t>OAuth 2.0
Which standard lets a user allow an app to access their data on another service without sharing their password?</t>
        </is>
      </c>
      <c r="B24" s="29" t="inlineStr">
        <is>
          <t>DEFINITION (SIMPLE):
OAuth 2.0 is an authorisation framework in which a user grants an app limited access to their data on another service, and the app receives tokens instead of the user's password.
HOW / WHY IT WORKS:
In the authorization code flow, the app sends the user to the provider to log in and approve the requested scopes. The provider sends back a short-lived code, and the app exchanges it for an access token and often a refresh token. PKCE adds protection for apps that cannot store a secret, such as mobile and single-page apps.
SIMPLE EXPLANATION (HINGLISH):
The user logs in at the provider, not at your app, and approves what you may do. Your app then gets a token with only those permissions.
REAL-LIFE ANALOGY:
It is like a hotel key card that opens only your room and expires.
FORMULA / RULE:
User approves at the provider → app gets a code → app exchanges it for tokens
EXAMPLE 1:
A scheduling app asking permission to read your calendar.
EXAMPLE 2:
A website offering Sign in with a big provider's account.
EXAMPLE 3:
A mobile app using the authorization code flow with PKCE.
RELATED CONCEPTS:
access token, refresh token, scopes, JWT
FAMILY / GROUP:
authorization code, PKCE, client id, client secret, redirect URI
WHERE IT IS USED:
Sign in with another account | Third-party app access | Enterprise integrations
MINI CONVERSATION:
A: Can our app read the user's files? | B: Only if the user approves through OAuth and we get a token with the right scopes.
COMMON MISTAKE:
✗ OAuth is a way to log users in → ✓ OAuth is about authorisation, meaning what an app may do, and login on top of it uses OpenID Connect
DON'T CONFUSE WITH:
Authorisation vs authentication: OAuth says what an app may access, authentication proves who the user is.
AVOID / DON'T:
Do not put a client secret inside a mobile or browser app.
MEMORY TRICK:
OAuth lets a user say yes without sharing a password.
REAL LIFE: PROJECT / WORK:
Letting users connect their calendar to a scheduling app through OAuth.
REAL LIFE: INTERVIEW / EXAM:
An interviewer may ask: Explain the authorization code flow in OAuth 2.0.
REAL LIFE: DAILY LIFE:
It is like a hotel key card that opens only your room.</t>
        </is>
      </c>
      <c r="C24" s="29" t="inlineStr">
        <is>
          <t>04_Authentication_Intermediate_API-023</t>
        </is>
      </c>
    </row>
    <row r="25" ht="409" customHeight="1">
      <c r="A25" s="29" t="inlineStr">
        <is>
          <t>Access token vs refresh token
Which token is used on API calls and expires quickly, and which longer-lived one is used only to get a new one?</t>
        </is>
      </c>
      <c r="B25" s="29" t="inlineStr">
        <is>
          <t>DEFINITION (SIMPLE):
An access token is a short-lived credential sent with API calls, and a refresh token is a longer-lived credential used only to obtain new access tokens.
HOW / WHY IT WORKS:
Access tokens often last minutes or hours. When one expires and the API returns 401, the client sends the refresh token to the token endpoint and receives a new access token, and sometimes a new refresh token. If the refresh token is revoked or expired, the user must log in again.
SIMPLE EXPLANATION (HINGLISH):
The access token opens the API but expires soon. The refresh token quietly gets a new access token so the user does not log in again.
REAL-LIFE ANALOGY:
The access token is a day pass, and the refresh token is the membership card used to get another day pass.
FORMULA / RULE:
Access token = used for calls, short life. Refresh token = used to get new access tokens, longer life.
EXAMPLE 1:
An API call fails with 401 because the access token expired.
EXAMPLE 2:
The app sends the refresh token to the token endpoint and receives a new access token.
EXAMPLE 3:
A user logs in again because the refresh token was revoked.
RELATED CONCEPTS:
OAuth 2.0, Bearer token, JWT, 401
FAMILY / GROUP:
access token, refresh token, expiry, token endpoint, revoke
WHERE IT IS USED:
Mobile apps | OAuth integrations | Long-running sessions
MINI CONVERSATION:
A: Users get logged out every hour. | B: Use the refresh token to get a new access token quietly when the old one expires.
COMMON MISTAKE:
✗ The refresh token should be sent with every API call → ✓ The refresh token is sent only to the token endpoint, and the access token is the one used on API calls
DON'T CONFUSE WITH:
Access vs refresh token: the access token calls the API, the refresh token only gets new access tokens.
AVOID / DON'T:
Do not send the refresh token to the API endpoints.
MEMORY TRICK:
Access opens the door, refresh gets a new key.
REAL LIFE: PROJECT / WORK:
Refreshing an expired access token automatically after a 401 response.
REAL LIFE: INTERVIEW / EXAM:
An interviewer may ask: Why do we need both an access token and a refresh token?
REAL LIFE: DAILY LIFE:
It is like a day pass for the gate and a card to get a new day pass.</t>
        </is>
      </c>
      <c r="C25" s="29" t="inlineStr">
        <is>
          <t>04_Authentication_Intermediate_API-024</t>
        </is>
      </c>
    </row>
    <row r="26" ht="409" customHeight="1">
      <c r="A26" s="29" t="inlineStr">
        <is>
          <t>Scopes and permissions
Which setting in an OAuth request limits what the resulting token is allowed to do?</t>
        </is>
      </c>
      <c r="B26" s="29" t="inlineStr">
        <is>
          <t>DEFINITION (SIMPLE):
A scope is a named permission, such as read:calendar, that limits what an access token can do.
HOW / WHY IT WORKS:
The app lists scopes in its authorisation request, the user sees and approves them, and the issued token carries only those scopes. If the API receives a call that needs a scope the token lacks, it replies with 403 Forbidden or an insufficient scope error. Names are defined by each provider.
SIMPLE EXPLANATION (HINGLISH):
Scopes say what the token may do. If your token only has a read scope, a request to change data will be rejected.
REAL-LIFE ANALOGY:
It is like a list of rooms that a key card may open.
FORMULA / RULE:
Request scopes → user approves → token carries only those scopes
EXAMPLE 1:
A token with the scope read:profile can read a profile but not change it.
EXAMPLE 2:
A request for a write scope is refused with 403 when the token only has read.
EXAMPLE 3:
A consent screen that lists three requested permissions.
RELATED CONCEPTS:
OAuth 2.0, access token, 403 Forbidden, least privilege
FAMILY / GROUP:
scope, permission, consent, least privilege
WHERE IT IS USED:
OAuth requests | Consent screens | API authorisation
MINI CONVERSATION:
A: My app gets 403 when updating events. | B: Your token may only have a read scope, so request the write scope as well.
COMMON MISTAKE:
✗ A token with valid login can do anything on the account → ✓ A token can do only what its scopes allow, even for a valid user
DON'T CONFUSE WITH:
Scope vs role: a scope limits what a token can do, a role describes what a user is.
AVOID / DON'T:
Do not request every scope just in case.
MEMORY TRICK:
Scopes are the rooms the key card opens.
REAL LIFE: PROJECT / WORK:
Requesting only read access to a calendar for a reminder app.
REAL LIFE: INTERVIEW / EXAM:
An interviewer may ask: What is the principle of least privilege?
REAL LIFE: DAILY LIFE:
It is like a key card that opens only some rooms.</t>
        </is>
      </c>
      <c r="C26" s="29" t="inlineStr">
        <is>
          <t>04_Authentication_Intermediate_API-025</t>
        </is>
      </c>
    </row>
    <row r="27" ht="409" customHeight="1">
      <c r="A27" s="29" t="inlineStr">
        <is>
          <t>JWT (JSON Web Token)
Which compact token with three dot-separated parts carries signed claims about a user?</t>
        </is>
      </c>
      <c r="B27" s="29" t="inlineStr">
        <is>
          <t>DEFINITION (SIMPLE):
A JWT is a token made of a header, a payload of claims and a signature, joined by dots, which a server can verify without storing the session.
HOW / WHY IT WORKS:
Each part is Base64URL encoded. The payload holds claims such as the user id (sub), the expiry (exp) and the issuer (iss). The signature, made with a secret or a private key, proves the content was not changed. A normal signed JWT is not encrypted, so anyone holding it can read the payload.
SIMPLE EXPLANATION (HINGLISH):
A JWT carries data and a signature. The server checks the signature to trust it. Do not put secrets inside, because the payload can be read by anyone.
REAL-LIFE ANALOGY:
It is like a sealed letter whose wax seal proves it was not altered, though the letter can be read.
FORMULA / RULE:
header.payload.signature
EXAMPLE 1:
A payload with sub, exp and iss claims.
EXAMPLE 2:
A server rejecting a token because the exp claim is in the past.
EXAMPLE 3:
A token used as a Bearer token in the Authorization header.
RELATED CONCEPTS:
Bearer token, OAuth 2.0, Base64, signature
FAMILY / GROUP:
header, payload, claims, signature, exp, sub
WHERE IT IS USED:
API authentication | Single sign-on | Microservices
MINI CONVERSATION:
A: Can I store the user's password in the JWT payload? | B: No, the payload is only encoded, so anyone with the token can read it.
COMMON MISTAKE:
✗ A JWT is encrypted so its contents are secret → ✓ A signed JWT is only encoded and signed, so its contents can be read by anyone who holds it
DON'T CONFUSE WITH:
Signed vs encrypted: a signature proves the data was not altered, encryption hides the data.
AVOID / DON'T:
Do not put secrets or sensitive personal data in a JWT payload.
MEMORY TRICK:
JWT is signed, not secret.
REAL LIFE: PROJECT / WORK:
Checking the exp claim and signature of each incoming token on the server.
REAL LIFE: INTERVIEW / EXAM:
An interviewer may ask: What are the three parts of a JWT?
REAL LIFE: DAILY LIFE:
It is like a sealed letter whose seal proves it was not altered.</t>
        </is>
      </c>
      <c r="C27" s="29" t="inlineStr">
        <is>
          <t>04_Authentication_Advanced_API-026</t>
        </is>
      </c>
    </row>
    <row r="28" ht="409" customHeight="1">
      <c r="A28" s="29" t="inlineStr">
        <is>
          <t>Keeping secrets safe (environment variables)
Where should an API key or token live so that it never ends up in your source code or repository?
# .env (kept out of git)
API_KEY=abc123
# .gitignore
.env
// app.js
const key = process.env.API_KEY;</t>
        </is>
      </c>
      <c r="B28" s="29" t="inlineStr">
        <is>
          <t>MEANING (SHORT):
Environment variables keep secrets outside the code, and the program reads them at run time.
CODE:
# .env (kept out of git)
API_KEY=abc123
# .gitignore
.env
// app.js
const key = process.env.API_KEY;
OUTPUT:
The program reads the key from the environment, and the key never appears in the committed code.
EXPLANATION:
Put secrets in environment variables, locally through a .env file that is ignored by git, and in production through your host's secret settings. If a secret is ever committed, treat it as leaked and rotate it, because deleting the file does not remove it from history. Front-end code cannot hide secrets at all.
SIMPLE EXPLANATION (HINGLISH):
Write the key in a .env file, add that file to .gitignore, and read it in code with process.env. If it ever leaks, replace the key.
REAL-LIFE ANALOGY:
It is like keeping valuables in a locked drawer, and the code only knows which drawer to open.
SYNTAX PATTERN:
process.env.NAME
ANATOMY:
process.env = the environment object | NAME = the variable's name
EXAMPLE 1:
const key = process.env.API_KEY;
EXAMPLE 2:
A hosting dashboard where you add the variable instead of editing code.
EXAMPLE 3:
A .env.example file that lists names with fake values.
VARIATION:
dotenv loads .env into process.env in Node projects
A secret manager service for larger teams
USED WITH:
.gitignore, dotenv, API key, deployment settings
RELATED CONCEPTS:
API key, .gitignore, leaked secret
ALTERNATIVES:
A cloud secret manager
WHERE IT IS USED:
Local development | Deployment | Every integration with a key
MINI CONVERSATION:
A: I committed my API key by mistake. | B: Rotate the key now, because removing the file does not erase it from history.
COMMON MISTAKE:
✗ Deleting a committed secret from the file makes it safe → ✓ A committed secret stays in history, so you must rotate the key
COMMONLY CONFUSED WITH:
Environment variable vs hard-coded value: one is supplied outside the code, the other is written into it.
AVOID / DON'T:
Do not put secrets in front-end code or public repositories.
WRONG CODE:
const key = "abc123";
RIGHT CODE:
const key = process.env.API_KEY;
MEMORY TRICK:
Secrets live outside the code.
REAL LIFE: PROJECT / WORK:
Keeping a payment provider key in the hosting dashboard and never in the repository.
REAL LIFE: INTERVIEW / EXAM:
An interviewer may ask: How do you manage secrets in an application?
REAL LIFE: DAILY LIFE:
It is like keeping valuables in a locked drawer outside the shop window.</t>
        </is>
      </c>
      <c r="C28" s="29" t="inlineStr">
        <is>
          <t>04_Authentication_Beginner_API-027</t>
        </is>
      </c>
    </row>
    <row r="29" ht="409" customHeight="1">
      <c r="A29" s="29" t="inlineStr">
        <is>
          <t>curl
Which command-line tool lets you send an HTTP request from the terminal to test an API quickly?
curl -i https://api.example.com/v1/users/42 -H "Accept: application/json"</t>
        </is>
      </c>
      <c r="B29" s="29" t="inlineStr">
        <is>
          <t>MEANING (SHORT):
curl is a command-line tool that sends HTTP requests and prints the response.
CODE:
curl -i https://api.example.com/v1/users/42 -H "Accept: application/json"
OUTPUT:
HTTP/2 200
content-type: application/json
{"id": 42, "name": "Asha"}
EXPLANATION:
By default curl sends a GET request. You can set the method with -X, add headers with -H, send a body with -d, and show response headers with -i. Many API documentation pages give examples as curl commands, which you can paste into a terminal to try.
SIMPLE EXPLANATION (HINGLISH):
Type curl and a URL to make a request. Add -H for headers, -d for a body and -i to see the status and headers.
REAL-LIFE ANALOGY:
It is like a pocket telephone that dials any web address from your terminal.
SYNTAX PATTERN:
curl [options] &lt;url&gt;
ANATOMY:
-X = method | -H = header | -d = request body | -i = show response headers
EXAMPLE 1:
curl https://api.example.com/v1/users
EXAMPLE 2:
curl -X POST https://api.example.com/v1/users -H "Content-Type: application/json" -d '{"name": "Asha"}'
EXAMPLE 3:
curl -i -H "Authorization: Bearer $TOKEN" https://api.example.com/v1/me
VARIATION:
curl -s URL   // silent, hide the progress bar
curl -v URL   // verbose, show the whole conversation
USED WITH:
-X, -H, -d, -i, -v
RELATED CONCEPTS:
fetch, API client tools, HTTP methods
ALTERNATIVES:
Postman or a similar API client
WHERE IT IS USED:
Testing endpoints | API documentation | Quick debugging
MINI CONVERSATION:
A: Does the endpoint work before I code against it? | B: Try it with curl first, and look at the status and body.
COMMON MISTAKE:
✗ curl is only for downloading files → ✓ curl can send any kind of HTTP request, including POST requests with headers and a body
COMMONLY CONFUSED WITH:
curl vs fetch: curl runs in the terminal, fetch runs inside JavaScript code.
AVOID / DON'T:
Do not paste real tokens into commands that are saved in a shared history.
WRONG CODE:
curl -X POST https://api.example.com/v1/users -d {"name": "Asha"}
RIGHT CODE:
curl -X POST https://api.example.com/v1/users -H "Content-Type: application/json" -d '{"name": "Asha"}'
MEMORY TRICK:
curl calls a URL from the terminal.
REAL LIFE: PROJECT / WORK:
Testing a new endpoint with curl before writing any code for it.
REAL LIFE: INTERVIEW / EXAM:
An interviewer may ask: How do you test an API from the command line?
REAL LIFE: DAILY LIFE:
It is like a pocket telephone that dials any web address.</t>
        </is>
      </c>
      <c r="C29" s="29" t="inlineStr">
        <is>
          <t>05_Making_calls_Beginner_API-028</t>
        </is>
      </c>
    </row>
    <row r="30" ht="409" customHeight="1">
      <c r="A30" s="29" t="inlineStr">
        <is>
          <t>API client tools (Postman and similar)
Which kind of graphical tool lets you build, send and save API requests without writing code?</t>
        </is>
      </c>
      <c r="B30" s="29" t="inlineStr">
        <is>
          <t>DEFINITION (SIMPLE):
An API client is a graphical tool, such as Postman, Insomnia or Bruno, in which you compose requests, send them and inspect responses.
HOW / WHY IT WORKS:
You choose the method, enter the URL, add headers, params and a body, and press send. The tool shows status, time, headers and a formatted body. Collections save related requests, and variables let one set of requests work against different environments. Many tools can also export code in several languages.
SIMPLE EXPLANATION (HINGLISH):
An API client is a point-and-click way to try an API. You fill in the request, send it and read the answer, and you can save it for later.
REAL-LIFE ANALOGY:
It is like a workbench where every request is a labelled tool you can reuse.
FORMULA / RULE:
Build request → send → read status and body → save in a collection
EXAMPLE 1:
Testing a login request and reading the returned token.
EXAMPLE 2:
Saving ten requests in a collection for a project.
EXAMPLE 3:
Switching an environment variable from test to live.
RELATED CONCEPTS:
curl, fetch, environments, API documentation
FAMILY / GROUP:
collection, environment, variable, request, response
WHERE IT IS USED:
Exploring new APIs | Team testing | Sharing examples
MINI CONVERSATION:
A: I want to try this API before coding. | B: Use an API client, fill in the request and look at the response.
COMMON MISTAKE:
✗ API clients replace the need to understand HTTP → ✓ The tool only helps you send requests, and you still need to understand methods, headers and status codes
DON'T CONFUSE WITH:
API client vs curl: an API client is graphical and saves requests, curl is a quick terminal command.
AVOID / DON'T:
Do not share a collection that contains real secrets.
MEMORY TRICK:
An API client is a workbench for requests.
REAL LIFE: PROJECT / WORK:
Keeping a shared collection of the team's API calls with test environments.
REAL LIFE: INTERVIEW / EXAM:
An interviewer may ask: How do you explore and test an API before coding?
REAL LIFE: DAILY LIFE:
It is like a workbench with labelled tools.</t>
        </is>
      </c>
      <c r="C30" s="29" t="inlineStr">
        <is>
          <t>05_Making_calls_Beginner_API-029</t>
        </is>
      </c>
    </row>
    <row r="31" ht="409" customHeight="1">
      <c r="A31" s="29" t="inlineStr">
        <is>
          <t>fetch (making a GET request in JavaScript)
Which built-in JavaScript function sends an HTTP request and returns a promise for the response?
const res = await fetch("https://api.example.com/v1/users/42");
const user = await res.json();
console.log(user.name);</t>
        </is>
      </c>
      <c r="B31" s="29" t="inlineStr">
        <is>
          <t>MEANING (SHORT):
fetch sends an HTTP request and returns a promise that resolves to a Response object.
CODE:
const res = await fetch("https://api.example.com/v1/users/42");
const user = await res.json();
console.log(user.name);
OUTPUT:
Asha
EXPLANATION:
fetch takes a URL and an optional settings object. Without settings it sends a GET request. It resolves with a Response, which has status, headers and methods such as json() and text() that read the body. Both steps are asynchronous, so each uses await.
SIMPLE EXPLANATION (HINGLISH):
Call fetch with a URL, wait for the response, then call res.json() to read the data. Use await so the code waits for each step.
REAL-LIFE ANALOGY:
It is like sending a courier to an address and waiting for the parcel to come back.
SYNTAX PATTERN:
const res = await fetch(url, options)
ANATOMY:
fetch = send the request | url = where to send | options = method, headers, body | await = wait for the answer
EXAMPLE 1:
const res = await fetch("https://api.example.com/v1/users");
EXAMPLE 2:
const res = await fetch(url, { method: "DELETE" });
EXAMPLE 3:
const text = await (await fetch(url)).text();
VARIATION:
fetch(url).then(res =&gt; res.json())   // promise chain style
await fetch(url, { headers: { Accept: "application/json" } })
USED WITH:
await, res.json(), headers, async functions
RELATED CONCEPTS:
curl, response handling, Promise, error handling
ALTERNATIVES:
axios or another HTTP library
WHERE IT IS USED:
Web front ends | Node.js scripts | Calling any REST API
MINI CONVERSATION:
A: How do I get data from an API in JavaScript? | B: Use fetch with the URL, await it, and then read res.json().
COMMON MISTAKE:
✗ fetch returns the data directly → ✓ fetch returns a promise for a Response object, and you must read the body with res.json() or res.text()
COMMONLY CONFUSED WITH:
fetch vs res.json(): fetch gets the response, res.json() reads and parses its body.
AVOID / DON'T:
Do not forget await, or you will be holding a promise instead of the data.
WRONG CODE:
const user = await fetch("https://api.example.com/v1/users/42");
RIGHT CODE:
const res = await fetch("https://api.example.com/v1/users/42"); const user = await res.json();
MEMORY TRICK:
fetch fetches the response, json reads it.
REAL LIFE: PROJECT / WORK:
Loading a list of products from an API and showing it on a page.
REAL LIFE: INTERVIEW / EXAM:
An interviewer may ask: What does fetch return?
REAL LIFE: DAILY LIFE:
It is like sending a courier and waiting for the parcel.</t>
        </is>
      </c>
      <c r="C31" s="29" t="inlineStr">
        <is>
          <t>05_Making_calls_Beginner_API-030</t>
        </is>
      </c>
    </row>
    <row r="32" ht="409" customHeight="1">
      <c r="A32" s="29" t="inlineStr">
        <is>
          <t>Sending query parameters (URLSearchParams)
Which built-in helper builds a correctly encoded query string for you from an object of values?
const params = new URLSearchParams({ city: "New Delhi", units: "metric" });
const url = "https://api.example.com/v1/weather?" + params.toString();
console.log(url);</t>
        </is>
      </c>
      <c r="B32" s="29" t="inlineStr">
        <is>
          <t>MEANING (SHORT):
URLSearchParams turns a set of key and value pairs into a properly encoded query string.
CODE:
const params = new URLSearchParams({ city: "New Delhi", units: "metric" });
const url = "https://api.example.com/v1/weather?" + params.toString();
console.log(url);
OUTPUT:
https://api.example.com/v1/weather?city=New+Delhi&amp;units=metric
EXPLANATION:
URLSearchParams encodes spaces and special characters, so values such as New Delhi or a &amp; symbol do not break the URL. You can also use the URL class and its searchParams property. It makes code shorter and prevents bugs from missing encoding.
SIMPLE EXPLANATION (HINGLISH):
Give URLSearchParams an object and it creates the part after the question mark, with correct encoding. Then add it to your URL.
REAL-LIFE ANALOGY:
It is like a careful packer who boxes every option so nothing breaks in transit.
SYNTAX PATTERN:
new URLSearchParams(object).toString()
ANATOMY:
new URLSearchParams = create the helper | object = key and value pairs | toString() = get the query string
EXAMPLE 1:
new URLSearchParams({ page: 2, limit: 10 }).toString()
EXAMPLE 2:
const url = new URL("https://api.example.com/v1/orders"); url.searchParams.set("status", "paid");
EXAMPLE 3:
params.append("tag", "a&amp;b")
VARIATION:
url.searchParams.append("tag", "new")   // add a repeated key
url.toString()   // the full URL
USED WITH:
URL, fetch, pagination, filtering
RELATED CONCEPTS:
URL parts, pagination, fetch
ALTERNATIVES:
encodeURIComponent for single values
WHERE IT IS USED:
Filtering | Pagination | Search endpoints
MINI CONVERSATION:
A: My search with a space in it breaks the URL. | B: Build the query with URLSearchParams so it is encoded.
COMMON MISTAKE:
✗ Spaces and symbols can be put directly into a URL → ✓ Special characters must be encoded, and URLSearchParams does that for you
COMMONLY CONFUSED WITH:
URLSearchParams vs encodeURIComponent: the first builds a whole query string, the second encodes one value.
AVOID / DON'T:
Do not build query strings by joining text with ampersands.
WRONG CODE:
const url = "https://api.example.com/v1/weather?city=" + "New Delhi";
RIGHT CODE:
const url = "https://api.example.com/v1/weather?" + new URLSearchParams({ city: "New Delhi" });
MEMORY TRICK:
URLSearchParams packs your options safely for you.
REAL LIFE: PROJECT / WORK:
Building search and filter URLs for a product list.
REAL LIFE: INTERVIEW / EXAM:
An interviewer may ask: Why should query strings be encoded?
REAL LIFE: DAILY LIFE:
It is like a careful packer who boxes every option.</t>
        </is>
      </c>
      <c r="C32" s="29" t="inlineStr">
        <is>
          <t>05_Making_calls_Beginner_API-031</t>
        </is>
      </c>
    </row>
    <row r="33" ht="409" customHeight="1">
      <c r="A33" s="29" t="inlineStr">
        <is>
          <t>Sending a JSON body (POST with fetch)
How do you create a record by sending JSON data with fetch?
const res = await fetch("https://api.example.com/v1/users", {
  method: "POST",
  headers: { "Content-Type": "application/json" },
  body: JSON.stringify({ name: "Asha", email: "asha@example.com" })
});
console.log(res.status);</t>
        </is>
      </c>
      <c r="B33" s="29" t="inlineStr">
        <is>
          <t>MEANING (SHORT):
To send JSON with fetch, set method to POST, add a JSON Content-Type header, and pass JSON.stringify of your object as the body.
CODE:
const res = await fetch("https://api.example.com/v1/users", {
  method: "POST",
  headers: { "Content-Type": "application/json" },
  body: JSON.stringify({ name: "Asha", email: "asha@example.com" })
});
console.log(res.status);
OUTPUT:
201
EXPLANATION:
fetch sends a GET request unless you set a different method. The body must be a string, so objects need JSON.stringify. Without the Content-Type header the server may not treat the body as JSON. A successful create usually returns 201 and often the created record.
SIMPLE EXPLANATION (HINGLISH):
Set the method to POST, add the JSON header, and stringify your object into the body. Then read the response status.
REAL-LIFE ANALOGY:
It is like putting a typed letter into an envelope and marking the language on it.
SYNTAX PATTERN:
fetch(url, { method, headers, body: JSON.stringify(data) })
ANATOMY:
method = POST | headers = Content-Type | body = text version of your data
EXAMPLE 1:
fetch(url, { method: "POST", headers: { "Content-Type": "application/json" }, body: JSON.stringify(user) })
EXAMPLE 2:
fetch(url, { method: "PATCH", headers: { "Content-Type": "application/json" }, body: JSON.stringify({ email }) })
EXAMPLE 3:
fetch(url, { method: "PUT", headers: { "Content-Type": "application/json" }, body: JSON.stringify(product) })
VARIATION:
const created = await res.json();   // read the new record
headers: { "Content-Type": "application/json", Authorization: `Bearer ${token}` }
USED WITH:
JSON.stringify, Content-Type, status 201, Authorization
RELATED CONCEPTS:
request body, HTTP methods, Content-Type
ALTERNATIVES:
A library such as axios that stringifies for you
WHERE IT IS USED:
Creating records | Updating profiles | Submitting forms to APIs
MINI CONVERSATION:
A: The server says my body is empty. | B: Did you stringify the object and set the JSON content type?
COMMON MISTAKE:
✗ You can pass a JavaScript object directly as the fetch body → ✓ The body must be a string or similar, so use JSON.stringify for JSON
COMMONLY CONFUSED WITH:
JSON.stringify vs JSON.parse: stringify prepares data to send, parse reads data received.
AVOID / DON'T:
Do not forget the Content-Type header.
WRONG CODE:
fetch(url, { method: "POST", body: { name: "Asha" } })
RIGHT CODE:
fetch(url, { method: "POST", headers: { "Content-Type": "application/json" }, body: JSON.stringify({ name: "Asha" }) })
MEMORY TRICK:
Stringify the body and label it JSON.
REAL LIFE: PROJECT / WORK:
Creating an order from a form by posting the items as JSON.
REAL LIFE: INTERVIEW / EXAM:
An interviewer may ask: How do you send JSON in a POST request with fetch?
REAL LIFE: DAILY LIFE:
It is like putting a typed letter in an envelope and marking its language.</t>
        </is>
      </c>
      <c r="C33" s="29" t="inlineStr">
        <is>
          <t>05_Making_calls_Intermediate_API-032</t>
        </is>
      </c>
    </row>
    <row r="34" ht="409" customHeight="1">
      <c r="A34" s="29" t="inlineStr">
        <is>
          <t>Checking the response (res.ok and res.status)
Why must you check the response status yourself, since fetch does not fail on a 404 or a 500?
const res = await fetch("https://api.example.com/v1/users/999");
if (!res.ok) {
  throw new Error(`Request failed with status ${res.status}`);
}
const user = await res.json();</t>
        </is>
      </c>
      <c r="B34" s="29" t="inlineStr">
        <is>
          <t>MEANING (SHORT):
res.ok is true when the status is between 200 and 299, and you must check it because fetch resolves even for error statuses.
CODE:
const res = await fetch("https://api.example.com/v1/users/999");
if (!res.ok) {
  throw new Error(`Request failed with status ${res.status}`);
}
const user = await res.json();
OUTPUT:
An Error with the message Request failed with status 404 if the user does not exist.
EXPLANATION:
fetch rejects only on network failures such as no connection. A 404 or 500 still resolves normally, so without a check your code would try to parse an error body as if it were data. Check res.ok, then read the status and body to decide what to do.
SIMPLE EXPLANATION (HINGLISH):
After every fetch, check res.ok. If it is false, handle the error before using the data.
REAL-LIFE ANALOGY:
It is like noticing that the parcel arrived but holds a complaint instead of the goods.
SYNTAX PATTERN:
if (!res.ok) { ... }
ANATOMY:
res.ok = true for 200 to 299 | res.status = the exact number | res.statusText = the short text
EXAMPLE 1:
if (!res.ok) throw new Error(res.status);
EXAMPLE 2:
if (res.status === 404) return null;
EXAMPLE 3:
const err = await res.json(); console.error(err.message);
VARIATION:
if (res.status === 401) refreshToken();   // handle a specific status
const body = await res.text();   // read an error body as text
USED WITH:
fetch, try and catch, status codes, error handling
RELATED CONCEPTS:
status codes, error handling, fetch
ALTERNATIVES:
axios, which rejects on error statuses by default
WHERE IT IS USED:
Every real API client | Error handling | Retries
MINI CONVERSATION:
A: My code crashes parsing the response. | B: The status was probably 500, so check res.ok before calling res.json().
COMMON MISTAKE:
✗ fetch throws an error when the server returns 404 or 500 → ✓ fetch only rejects on network failures, and you must check res.ok yourself
COMMONLY CONFUSED WITH:
res.ok vs res.status: ok is a true or false check, status is the exact number.
AVOID / DON'T:
Do not call res.json() before checking whether the call succeeded.
WRONG CODE:
const user = await (await fetch(url)).json();
RIGHT CODE:
const res = await fetch(url); if (!res.ok) throw new Error(res.status); const user = await res.json();
MEMORY TRICK:
fetch fails on the network, not on the status.
REAL LIFE: PROJECT / WORK:
Wrapping fetch in a helper that throws an error for any non-2xx response.
REAL LIFE: INTERVIEW / EXAM:
An interviewer may ask: Does fetch reject on a 404?
REAL LIFE: DAILY LIFE:
It is like noticing a parcel arrived but holds a complaint.</t>
        </is>
      </c>
      <c r="C34" s="29" t="inlineStr">
        <is>
          <t>05_Making_calls_Intermediate_API-033</t>
        </is>
      </c>
    </row>
    <row r="35" ht="409" customHeight="1">
      <c r="A35" s="29" t="inlineStr">
        <is>
          <t>Setting headers in a request
How do you attach headers such as Authorization and Accept to a fetch call?
const res = await fetch("https://api.example.com/v1/orders", {
  headers: {
    Authorization: `Bearer ${token}`,
    Accept: "application/json"
  }
});</t>
        </is>
      </c>
      <c r="B35" s="29" t="inlineStr">
        <is>
          <t>MEANING (SHORT):
Headers are passed in the headers field of the fetch options as an object of names and values.
CODE:
const res = await fetch("https://api.example.com/v1/orders", {
  headers: {
    Authorization: `Bearer ${token}`,
    Accept: "application/json"
  }
});
OUTPUT:
The server receives both headers with the request and uses them to authenticate and choose the response format.
EXPLANATION:
Header names are case-insensitive, but it is common to write them in the form shown in the documentation. You can also build a Headers object and set values with its set method. Do not send headers that the browser controls itself, such as Host.
SIMPLE EXPLANATION (HINGLISH):
Put a headers object inside the options of fetch. Each key is a header name and each value is its text.
REAL-LIFE ANALOGY:
It is like writing labels on a parcel before it leaves.
SYNTAX PATTERN:
fetch(url, { headers: { Name: "value" } })
ANATOMY:
headers = the options field | Name = header name | "value" = header value
EXAMPLE 1:
headers: { Accept: "application/json" }
EXAMPLE 2:
headers: { "Accept-Language": "en" }
EXAMPLE 3:
headers: { "Content-Type": "application/json", "X-Request-Id": id }
VARIATION:
const h = new Headers(); h.set("Accept", "application/json");
headers: { ...baseHeaders, "X-Extra": "1" }   // merge with a shared set
USED WITH:
Authorization, Content-Type, Accept, Bearer token
RELATED CONCEPTS:
headers, authentication, Content-Type
ALTERNATIVES:
A library setting default headers once
WHERE IT IS USED:
Authentication | Content negotiation | Tracing requests
MINI CONVERSATION:
A: The server says I am not authorised. | B: Add the Authorization header to the fetch options.
COMMON MISTAKE:
✗ Headers can be placed anywhere in the fetch call → ✓ Headers belong in the headers field of the options object
COMMONLY CONFUSED WITH:
headers vs body: headers describe the request, the body carries the data.
AVOID / DON'T:
Do not put a header name with a space or colon inside the key.
WRONG CODE:
fetch(url, { Authorization: token })
RIGHT CODE:
fetch(url, { headers: { Authorization: `Bearer ${token}` } })
MEMORY TRICK:
Headers go in the headers field.
REAL LIFE: PROJECT / WORK:
Building one function that adds the token and accept headers to every request.
REAL LIFE: INTERVIEW / EXAM:
An interviewer may ask: How do you pass an authorisation header with fetch?
REAL LIFE: DAILY LIFE:
It is like writing labels on a parcel before it leaves.</t>
        </is>
      </c>
      <c r="C35" s="29" t="inlineStr">
        <is>
          <t>05_Making_calls_Intermediate_API-034</t>
        </is>
      </c>
    </row>
    <row r="36" ht="409" customHeight="1">
      <c r="A36" s="29" t="inlineStr">
        <is>
          <t>Error handling for API calls
What should your code do when a call fails because of the network, a bad request or a server problem?</t>
        </is>
      </c>
      <c r="B36" s="29" t="inlineStr">
        <is>
          <t>DEFINITION (SIMPLE):
Error handling is the practice of detecting failures in API calls and responding with the right action, such as showing a message, fixing the request, logging, or retrying.
HOW / WHY IT WORKS:
Network failures reject the fetch promise and need try and catch. Status 4xx means the request is wrong, so show a helpful message or fix it, and do not retry blindly. Status 5xx means a server problem, so retry carefully or tell the user to try later. Read the error body, because many APIs return a message and a code, and log the request id.
SIMPLE EXPLANATION (HINGLISH):
Always expect a failure. Catch network errors, check the status, read the error message from the body, and then decide: fix, retry or tell the user.
REAL-LIFE ANALOGY:
It is like a safety net under a tightrope.
FORMULA / RULE:
Network error → catch. 4xx → fix the request. 5xx → retry or inform.
EXAMPLE 1:
Showing a message that the internet connection was lost.
EXAMPLE 2:
Showing field errors returned with a 422 response.
EXAMPLE 3:
Retrying a 503 once and then showing a try-again message.
RELATED CONCEPTS:
status codes, retries, timeouts, logging
FAMILY / GROUP:
error, exception, retry, fallback, logging
WHERE IT IS USED:
Every integration | User-facing apps | Background jobs
MINI CONVERSATION:
A: Users see a blank screen when the API fails. | B: Catch the error and show a clear message with a retry option.
COMMON MISTAKE:
✗ Retrying every failed request is the best way to handle errors → ✓ Retrying suits network and 5xx errors, while a 4xx error needs the request fixed
DON'T CONFUSE WITH:
4xx vs 5xx handling: a 4xx means correct the request, a 5xx may be worth retrying.
AVOID / DON'T:
Do not swallow errors silently with an empty catch block.
MEMORY TRICK:
Catch it, classify it, then act.
REAL LIFE: PROJECT / WORK:
Showing field errors from a 422 response beside the form inputs.
REAL LIFE: INTERVIEW / EXAM:
An interviewer may ask: How do you handle failed API calls?
REAL LIFE: DAILY LIFE:
It is like a safety net under a tightrope.</t>
        </is>
      </c>
      <c r="C36" s="29" t="inlineStr">
        <is>
          <t>06_Real-world_handling_Intermediate_API-035</t>
        </is>
      </c>
    </row>
    <row r="37" ht="409" customHeight="1">
      <c r="A37" s="29" t="inlineStr">
        <is>
          <t>Retries and exponential backoff
Which technique waits longer after each failed attempt so a struggling server is not hammered with repeated requests?
async function fetchWithRetry(url, tries = 3) {
  for (let i = 0; i &lt; tries; i++) {
    const res = await fetch(url);
    if (res.ok) return res;
    if (res.status &lt; 500 &amp;&amp; res.status !== 429) throw new Error(`Failed: ${res.status}`);
    await new Promise(r =&gt; setTimeout(r, 2 ** i * 1000));
  }
  throw new Error("Too many retries");
}</t>
        </is>
      </c>
      <c r="B37" s="29" t="inlineStr">
        <is>
          <t>MEANING (SHORT):
Exponential backoff retries a failed call after waiting a time that doubles with each attempt.
CODE:
async function fetchWithRetry(url, tries = 3) {
  for (let i = 0; i &lt; tries; i++) {
    const res = await fetch(url);
    if (res.ok) return res;
    if (res.status &lt; 500 &amp;&amp; res.status !== 429) throw new Error(`Failed: ${res.status}`);
    await new Promise(r =&gt; setTimeout(r, 2 ** i * 1000));
  }
  throw new Error("Too many retries");
}
OUTPUT:
Failed 5xx or 429 calls are tried up to 3 times, waiting 1 and 2 seconds between attempts; other errors fail at once.
EXPLANATION:
Only retry errors that may be temporary, such as network failures, 429 and 5xx. Never retry plain 4xx errors, because the same request will fail again. Add jitter, a small random amount, so many clients do not retry at the same instant. Only retry non-idempotent requests when you use an idempotency key.
SIMPLE EXPLANATION (HINGLISH):
If a call fails temporarily, wait, then try again, waiting longer each time. Stop after a few tries, and do not retry mistakes in your own request.
REAL-LIFE ANALOGY:
It is like knocking on a door and waiting a little longer after each unanswered knock.
SYNTAX PATTERN:
delay = 2 ** attempt * baseDelay (plus jitter)
ANATOMY:
2 ** i = doubles each attempt | baseDelay = starting wait | jitter = random extra time
EXAMPLE 1:
Waiting 1, 2 and 4 seconds between attempts.
EXAMPLE 2:
Honouring a Retry-After: 30 header from a 429 response.
EXAMPLE 3:
Giving up after five tries and showing a message.
VARIATION:
const delay = 2 ** i * 1000 + Math.random() * 250;   // with jitter
const wait = Number(res.headers.get("Retry-After")) * 1000;   // use the server's hint
USED WITH:
429, 5xx, Retry-After, idempotency
RELATED CONCEPTS:
rate limiting, error handling, idempotency, timeouts
ALTERNATIVES:
A retry library or the SDK's built-in retries
WHERE IT IS USED:
Unreliable networks | Rate-limited APIs | Background jobs
MINI CONVERSATION:
A: Our nightly job floods the API when it fails. | B: Add exponential backoff with jitter and a limit on attempts.
COMMON MISTAKE:
✗ Retrying immediately and as fast as possible is the best strategy → ✓ Fast retries can overload the server, so wait longer after each attempt
COMMONLY CONFUSED WITH:
Backoff vs a fixed delay: backoff grows each time, a fixed delay stays the same.
AVOID / DON'T:
Do not retry forever without a limit.
WRONG CODE:
while (true) { const res = await fetch(url); if (res.ok) return res; }
RIGHT CODE:
for (let i = 0; i &lt; 3; i++) { const res = await fetch(url); if (res.ok) return res; await new Promise(r =&gt; setTimeout(r, 2 ** i * 1000)); }
MEMORY TRICK:
Wait longer after each failure.
REAL LIFE: PROJECT / WORK:
Retrying a payment status check with backoff and a maximum of five attempts.
REAL LIFE: INTERVIEW / EXAM:
An interviewer may ask: What is exponential backoff and why add jitter?
REAL LIFE: DAILY LIFE:
It is like knocking on a door and waiting longer each time.</t>
        </is>
      </c>
      <c r="C37" s="29" t="inlineStr">
        <is>
          <t>06_Real-world_handling_Advanced_API-036</t>
        </is>
      </c>
    </row>
    <row r="38" ht="409" customHeight="1">
      <c r="A38" s="29" t="inlineStr">
        <is>
          <t>Timeouts (AbortController)
How do you stop waiting for an API that never answers, so your app does not hang forever?
const controller = new AbortController();
const timer = setTimeout(() =&gt; controller.abort(), 5000);
try {
  const res = await fetch("https://api.example.com/v1/report", { signal: controller.signal });
  console.log(res.status);
} finally {
  clearTimeout(timer);
}</t>
        </is>
      </c>
      <c r="B38" s="29" t="inlineStr">
        <is>
          <t>MEANING (SHORT):
A timeout cancels a request that takes too long, which in fetch is done with an AbortController and a timer.
CODE:
const controller = new AbortController();
const timer = setTimeout(() =&gt; controller.abort(), 5000);
try {
  const res = await fetch("https://api.example.com/v1/report", { signal: controller.signal });
  console.log(res.status);
} finally {
  clearTimeout(timer);
}
OUTPUT:
If the server does not answer within five seconds, fetch rejects with an AbortError.
EXPLANATION:
fetch has no built-in timeout, so you create an AbortController, pass its signal to fetch, and call abort after a delay. Aborting rejects the promise, which your catch block can handle, for example by retrying or showing a message. Always clear the timer when the call finishes. AbortSignal.timeout rejects with TimeoutError, while controller.abort() rejects with AbortError.
SIMPLE EXPLANATION (HINGLISH):
Without a timeout, a silent server can make your app wait forever. Set a limit, abort after it, and handle the error.
REAL-LIFE ANALOGY:
It is like an egg timer that rings when waiting has gone on long enough.
SYNTAX PATTERN:
fetch(url, { signal: controller.signal })
ANATOMY:
AbortController = the cancel switch | signal = handed to fetch | abort() = pull the switch
EXAMPLE 1:
setTimeout(() =&gt; controller.abort(), 5000)
EXAMPLE 2:
catch (err) { if (err.name === "AbortError") showTimeoutMessage(); }
EXAMPLE 3:
A user-triggered cancel button that calls controller.abort().
VARIATION:
fetch(url, { signal: AbortSignal.timeout(5000) })   // shorter in modern runtimes
USED WITH:
AbortController, try and catch, retries
RELATED CONCEPTS:
error handling, retries, fetch
ALTERNATIVES:
A library option such as a timeout setting
WHERE IT IS USED:
Slow third-party APIs | Mobile networks | Background jobs
MINI CONVERSATION:
A: The page spins forever when the API is down. | B: Add a five-second timeout and show an error message.
COMMON MISTAKE:
✗ fetch times out by itself after a short while → ✓ fetch has no default timeout that you can rely on, so you must set one
COMMONLY CONFUSED WITH:
Timeout vs retry: a timeout stops waiting, a retry tries again.
AVOID / DON'T:
Do not leave external calls without a time limit.
WRONG CODE:
const res = await fetch(url, { timeout: 5000 });
RIGHT CODE:
const res = await fetch(url, { signal: AbortSignal.timeout(5000) });
MEMORY TRICK:
A timeout rings the egg timer.
REAL LIFE: PROJECT / WORK:
Cancelling a slow report request after ten seconds and offering a retry.
REAL LIFE: INTERVIEW / EXAM:
An interviewer may ask: How do you set a timeout on fetch?
REAL LIFE: DAILY LIFE:
It is like an egg timer that rings when you have waited long enough.</t>
        </is>
      </c>
      <c r="C38" s="29" t="inlineStr">
        <is>
          <t>06_Real-world_handling_Intermediate_API-037</t>
        </is>
      </c>
    </row>
    <row r="39" ht="409" customHeight="1">
      <c r="A39" s="29" t="inlineStr">
        <is>
          <t>Rate limiting (429)
What do providers do to stop any one client from sending too many requests, and which status do they return?</t>
        </is>
      </c>
      <c r="B39" s="29" t="inlineStr">
        <is>
          <t>DEFINITION (SIMPLE):
Rate limiting caps how many requests a client may make in a period, and a client that exceeds it receives status 429 Too Many Requests.
HOW / WHY IT WORKS:
Limits may be per key, per user or per IP, over a second, minute or day. Responses often include headers showing the limit, the remaining calls and the reset time, and a 429 may include Retry-After. Good clients throttle themselves, cache results and back off when limited.
SIMPLE EXPLANATION (HINGLISH):
Each key may only make so many calls in a time window. If you go over, you get 429, so wait and slow down.
REAL-LIFE ANALOGY:
It is like a turnstile that lets only a few people through each minute.
FORMULA / RULE:
Too many requests → 429 + Retry-After → wait → continue slower
EXAMPLE 1:
A free plan that allows sixty requests per minute.
EXAMPLE 2:
A 429 response with Retry-After: 30.
EXAMPLE 3:
A client that caches results to make fewer calls.
RELATED CONCEPTS:
retries, backoff, caching, API key
FAMILY / GROUP:
rate limit, quota, throttle, 429, Retry-After
WHERE IT IS USED:
Public APIs | Paid plans | Bulk data jobs
MINI CONVERSATION:
A: My import job keeps getting 429. | B: You are over the rate limit, so slow down and honour Retry-After.
COMMON MISTAKE:
✗ A 429 means the API is broken → ✓ A 429 means you sent too many requests and should slow down
DON'T CONFUSE WITH:
Rate limit vs quota: a rate limit caps speed over a short window, a quota caps total use over a longer period.
AVOID / DON'T:
Do not retry a 429 immediately in a tight loop.
MEMORY TRICK:
A 429 simply means you must slow down.
REAL LIFE: PROJECT / WORK:
Throttling an import job to stay below the provider's per-minute limit.
REAL LIFE: INTERVIEW / EXAM:
An interviewer may ask: How do you deal with API rate limits?
REAL LIFE: DAILY LIFE:
It is like a turnstile that lets in only a few people each minute.</t>
        </is>
      </c>
      <c r="C39" s="29" t="inlineStr">
        <is>
          <t>06_Real-world_handling_Intermediate_API-038</t>
        </is>
      </c>
    </row>
    <row r="40" ht="409" customHeight="1">
      <c r="A40" s="29" t="inlineStr">
        <is>
          <t>Pagination (cursor and page)
How do APIs return a long list in smaller pieces, and how do you walk through all the pieces?
let url = "https://api.example.com/v1/orders?limit=100";
const all = [];
while (url) {
  const res = await fetch(url);
  const page = await res.json();
  all.push(...page.data);
  url = page.next;
}
console.log(all.length);</t>
        </is>
      </c>
      <c r="B40" s="29" t="inlineStr">
        <is>
          <t>MEANING (SHORT):
Pagination splits a long list into pages, and the client keeps requesting the next page until none remains.
CODE:
let url = "https://api.example.com/v1/orders?limit=100";
const all = [];
while (url) {
  const res = await fetch(url);
  const page = await res.json();
  all.push(...page.data);
  url = page.next;
}
console.log(all.length);
OUTPUT:
The total number of orders collected from all pages.
EXPLANATION:
Common styles are page and limit numbers, offset and limit, and cursors, where each response includes a token for the next page. A typical response has the items plus a next link or cursor, which is empty on the last page. Always follow the provider's documented fields, and stop when there is no next page.
SIMPLE EXPLANATION (HINGLISH):
Ask for a page, read its items, then use the next link or cursor to ask for the next page, and repeat until there is no next.
REAL-LIFE ANALOGY:
It is like reading a long book one chapter at a time using the bookmark you are given.
SYNTAX PATTERN:
next = response.next (or a cursor value)
ANATOMY:
limit = page size | next or cursor = pointer to the next page | loop until no next
EXAMPLE 1:
GET /orders?page=2&amp;limit=50
EXAMPLE 2:
GET /orders?cursor=abc123&amp;limit=100
EXAMPLE 3:
A response with a next link that is null on the last page.
VARIATION:
?offset=200&amp;limit=100   // offset style
Link header with rel="next"   // some APIs use headers
USED WITH:
query parameters, loops, rate limiting
RELATED CONCEPTS:
URL parts, filtering, rate limiting
ALTERNATIVES:
Streaming or export endpoints for very large data
WHERE IT IS USED:
Lists of orders and users | Data export | Sync jobs
MINI CONVERSATION:
A: The API only returned 100 items but we have thousands. | B: It is paginated, so follow the next link until there are no more pages.
COMMON MISTAKE:
✗ One request returns the whole list → ✓ Large lists come back in pages, and you must request each page in turn
COMMONLY CONFUSED WITH:
Offset paging vs cursor paging: offset uses a position number, a cursor uses a pointer from the server and is steadier when data changes.
AVOID / DON'T:
Do not assume the first response holds all the data.
WRONG CODE:
const orders = (await (await fetch(url)).json()).data;
RIGHT CODE:
while (url) { const page = await (await fetch(url)).json(); all.push(...page.data); url = page.next; }
MEMORY TRICK:
Keep following next until there is none.
REAL LIFE: PROJECT / WORK:
Syncing all customers by following the cursor until the last page.
REAL LIFE: INTERVIEW / EXAM:
An interviewer may ask: Why is cursor pagination often better than page numbers?
REAL LIFE: DAILY LIFE:
It is like reading a book chapter by chapter with a bookmark.</t>
        </is>
      </c>
      <c r="C40" s="29" t="inlineStr">
        <is>
          <t>06_Real-world_handling_Intermediate_API-039</t>
        </is>
      </c>
    </row>
    <row r="41" ht="409" customHeight="1">
      <c r="A41" s="29" t="inlineStr">
        <is>
          <t>Filtering, sorting and searching
Which query parameters let you ask the server for only matching items, in a chosen order?</t>
        </is>
      </c>
      <c r="B41" s="29" t="inlineStr">
        <is>
          <t>DEFINITION (SIMPLE):
Filtering, sorting and searching are done with query parameters that ask the server to return only matching items in a requested order.
HOW / WHY IT WORKS:
Common patterns are status=paid for filters, sort=-created_at or sort=price&amp;order=desc for sorting, and q=shirt for search. Names vary by provider, so always read the documentation. Combine them with pagination for large lists.
SIMPLE EXPLANATION (HINGLISH):
Add parameters to the URL, like status=paid and sort=-created_at. The server returns only the matching items in that order.
REAL-LIFE ANALOGY:
It is like telling the shop assistant exactly which items to bring.
FORMULA / RULE:
GET /items?filter=value&amp;sort=field&amp;page=1
EXAMPLE 1:
GET /orders?status=paid
EXAMPLE 2:
GET /orders?sort=-created_at
EXAMPLE 3:
GET /products?q=shirt&amp;limit=20
RELATED CONCEPTS:
query parameters, pagination, search
FAMILY / GROUP:
filter, sort, order, search, query
WHERE IT IS USED:
Lists and tables | Search boxes | Reports
MINI CONVERSATION:
A: The app downloads all orders just to show paid ones. | B: Ask the API to filter with status=paid instead.
COMMON MISTAKE:
✗ Every API uses the same names for filter and sort parameters → ✓ Names differ between providers, so check the documentation
DON'T CONFUSE WITH:
Server-side vs client-side filtering: server-side sends only the matches, client-side downloads everything first.
AVOID / DON'T:
Do not download whole datasets just to filter them in your code.
MEMORY TRICK:
Ask the server to narrow it down.
REAL LIFE: PROJECT / WORK:
Using status and date filters so a dashboard loads only the last week of paid orders.
REAL LIFE: INTERVIEW / EXAM:
An interviewer may ask: How would you design filtering and sorting in an API?
REAL LIFE: DAILY LIFE:
It is like telling a shop assistant exactly which items to bring.</t>
        </is>
      </c>
      <c r="C41" s="29" t="inlineStr">
        <is>
          <t>06_Real-world_handling_Intermediate_API-040</t>
        </is>
      </c>
    </row>
    <row r="42" ht="409" customHeight="1">
      <c r="A42" s="29" t="inlineStr">
        <is>
          <t>Caching and ETags
Which headers help you avoid downloading the same data again when it has not changed?</t>
        </is>
      </c>
      <c r="B42" s="29" t="inlineStr">
        <is>
          <t>DEFINITION (SIMPLE):
Caching stores responses for reuse, Cache-Control sets how long a response is fresh, and an ETag lets a client ask whether it has changed and receive 304 Not Modified if not.
HOW / WHY IT WORKS:
The server may send Cache-Control: max-age=60 and an ETag value. Later, the client sends If-None-Match with that ETag. If the data is unchanged the server replies 304 with no body, and the client reuses its stored copy. This saves bandwidth and counts less against some limits.
SIMPLE EXPLANATION (HINGLISH):
Keep a copy, and ask the server whether it is still current. If it is, you get a tiny 304 reply and reuse your copy.
REAL-LIFE ANALOGY:
It is like holding a version sticker and asking the shop whether yours is still current.
FORMULA / RULE:
ETag + If-None-Match → 304 Not Modified (reuse your copy)
EXAMPLE 1:
Cache-Control: max-age=60 means the response is fresh for a minute.
EXAMPLE 2:
Sending If-None-Match with the stored ETag.
EXAMPLE 3:
Receiving 304 and using the saved copy.
RELATED CONCEPTS:
headers, rate limiting, performance, status codes
FAMILY / GROUP:
cache, ETag, If-None-Match, max-age, 304
WHERE IT IS USED:
Rarely changing data | Mobile apps | High-traffic services
MINI CONVERSATION:
A: We download the same price list every minute. | B: Use an ETag so the server can reply 304 when nothing changed.
COMMON MISTAKE:
✗ A 304 response means an error → ✓ A 304 means not modified, and you should reuse your stored copy
DON'T CONFUSE WITH:
max-age vs ETag: max-age says how long a copy stays fresh, an ETag lets you check whether it changed.
AVOID / DON'T:
Do not cache private or frequently changing data for long.
MEMORY TRICK:
304 means your copy is still good.
REAL LIFE: PROJECT / WORK:
Using ETags so a mobile app downloads a catalogue only when it changes.
REAL LIFE: INTERVIEW / EXAM:
An interviewer may ask: How does an ETag reduce bandwidth?
REAL LIFE: DAILY LIFE:
It is like checking whether your version sticker is still current.</t>
        </is>
      </c>
      <c r="C42" s="29" t="inlineStr">
        <is>
          <t>06_Real-world_handling_Advanced_API-041</t>
        </is>
      </c>
    </row>
    <row r="43" ht="409" customHeight="1">
      <c r="A43" s="29" t="inlineStr">
        <is>
          <t>API versioning
How do providers change an API without breaking the apps that already use it?</t>
        </is>
      </c>
      <c r="B43" s="29" t="inlineStr">
        <is>
          <t>DEFINITION (SIMPLE):
API versioning labels each release of an API, such as v1 or v2, so that clients can keep using a stable version while a new one is introduced.
HOW / WHY IT WORKS:
Versions appear in the URL (/v1/users), in a header, or in a date such as 2024-01-01. Breaking changes, such as removing a field, belong in a new version, while adding optional fields is usually backward compatible. Providers announce deprecation dates, and clients should migrate before the old version is removed.
SIMPLE EXPLANATION (HINGLISH):
A version number lets the provider improve the API without breaking you. Stay on a version until you have tested the next one.
REAL-LIFE ANALOGY:
It is like keeping old editions of a book on the shelf while the new edition is published.
FORMULA / RULE:
Breaking change → new version. Adding optional fields → usually same version.
EXAMPLE 1:
https://api.example.com/v1/users and /v2/users exist side by side.
EXAMPLE 2:
A header such as X-API-Version: 2024-01-01 chooses the version.
EXAMPLE 3:
A deprecation notice announcing that v1 ends in six months.
RELATED CONCEPTS:
base URL, headers, backward compatibility, deprecation
FAMILY / GROUP:
version, deprecation, breaking change, backward compatible
WHERE IT IS USED:
Public APIs | Long-lived integrations | Mobile apps
MINI CONVERSATION:
A: The provider removed a field and our app broke. | B: We should have pinned a version and tested the new one before upgrading.
COMMON MISTAKE:
✗ Adding a new optional field always needs a new API version → ✓ Adding optional fields is usually backward compatible, and breaking changes need a new version
DON'T CONFUSE WITH:
Backward compatible vs breaking: compatible changes leave old clients working, breaking changes do not.
AVOID / DON'T:
Do not ignore deprecation notices.
MEMORY TRICK:
New version for breaking changes.
REAL LIFE: PROJECT / WORK:
Migrating from v1 to v2 of a payment API before v1 was switched off.
REAL LIFE: INTERVIEW / EXAM:
An interviewer may ask: How would you version an API?
REAL LIFE: DAILY LIFE:
It is like keeping old editions on the shelf while a new one is published.</t>
        </is>
      </c>
      <c r="C43" s="29" t="inlineStr">
        <is>
          <t>06_Real-world_handling_Advanced_API-042</t>
        </is>
      </c>
    </row>
    <row r="44" ht="409" customHeight="1">
      <c r="A44" s="29" t="inlineStr">
        <is>
          <t>Webhook
What is it called when a service sends an HTTP request to your URL by itself as soon as an event happens?</t>
        </is>
      </c>
      <c r="B44" s="29" t="inlineStr">
        <is>
          <t>DEFINITION (SIMPLE):
A webhook is an HTTP request that a provider sends to a URL you registered whenever a chosen event happens.
HOW / WHY IT WORKS:
You give the provider a public HTTPS URL and choose the events, such as payment succeeded. When an event occurs, the provider sends a POST with a JSON body describing it. Your server verifies it, processes it and returns a 2xx status. If you fail or time out, many providers retry.
SIMPLE EXPLANATION (HINGLISH):
Instead of you asking whether something happened, the provider calls your URL when it does. Your job is to receive, verify and reply quickly.
REAL-LIFE ANALOGY:
It is like a doorbell that rings when someone arrives, instead of you checking the door every minute.
FORMULA / RULE:
Event happens → provider POSTs to your URL → you verify, process and return 2xx
EXAMPLE 1:
A payment provider notifying your server that a payment succeeded.
EXAMPLE 2:
A code hosting service notifying a build server about a new commit.
EXAMPLE 3:
A messaging service notifying you that an email was delivered.
RELATED CONCEPTS:
polling, signature verification, idempotency, API vs SDK vs webhook
FAMILY / GROUP:
webhook, event, callback, endpoint, delivery
WHERE IT IS USED:
Payments | Messaging | Continuous integration
MINI CONVERSATION:
A: How do we know when a payment completes? | B: Register a webhook and the provider will call our URL.
COMMON MISTAKE:
✗ A webhook is a request your app sends to ask for new data → ✓ A webhook is a request the provider sends to your URL when an event occurs
DON'T CONFUSE WITH:
Webhook vs polling: a webhook pushes events to you, polling means you keep asking.
AVOID / DON'T:
Do not do slow work before replying to a webhook.
MEMORY TRICK:
A webhook rings your bell when it happens.
REAL LIFE: PROJECT / WORK:
Marking an order paid when a payment webhook arrives.
REAL LIFE: INTERVIEW / EXAM:
An interviewer may ask: What is a webhook and how is it different from polling?
REAL LIFE: DAILY LIFE:
It is like a doorbell that rings when someone arrives.</t>
        </is>
      </c>
      <c r="C44" s="29" t="inlineStr">
        <is>
          <t>07_Webhooks_and_async_Intermediate_API-043</t>
        </is>
      </c>
    </row>
    <row r="45" ht="409" customHeight="1">
      <c r="A45" s="29" t="inlineStr">
        <is>
          <t>Verifying webhook signatures
How do you check that a webhook really came from the provider and was not forged or changed on the way?
import crypto from "node:crypto";
function isValid(rawBody, signature, secret) {
  const expected = Buffer.from(crypto.createHmac("sha256", secret).update(rawBody).digest("hex"));
  const given = Buffer.from(signature);
  return expected.length === given.length &amp;&amp; crypto.timingSafeEqual(expected, given);
}</t>
        </is>
      </c>
      <c r="B45" s="29" t="inlineStr">
        <is>
          <t>MEANING (SHORT):
Signature verification recalculates a keyed hash of the raw body and compares it to the signature header sent by the provider.
CODE:
import crypto from "node:crypto";
function isValid(rawBody, signature, secret) {
  const expected = Buffer.from(crypto.createHmac("sha256", secret).update(rawBody).digest("hex"));
  const given = Buffer.from(signature);
  return expected.length === given.length &amp;&amp; crypto.timingSafeEqual(expected, given);
}
OUTPUT:
true when the signature matches the body and the secret, and false when the body was changed or forged.
EXPLANATION:
The provider computes an HMAC of the body with the shared secret and sends it in a header. You repeat the calculation on the exact raw bytes you received, since parsed or re-encoded JSON can differ, and compare. Many providers also include a timestamp to reject old, replayed deliveries. The exact header and format come from each provider's documentation.
SIMPLE EXPLANATION (HINGLISH):
The sender signs the message with a secret. You sign what you received with the same secret and compare. If the two signatures differ, reject the request.
REAL-LIFE ANALOGY:
It is like a wax seal that only the real sender could have pressed.
SYNTAX PATTERN:
crypto.createHmac("sha256", secret).update(rawBody).digest("hex")
ANATOMY:
createHmac = keyed hash | secret = shared secret | update = the raw body | digest = the resulting signature
EXAMPLE 1:
Comparing the computed HMAC with the signature header.
EXAMPLE 2:
Rejecting a delivery whose timestamp is more than five minutes old.
EXAMPLE 3:
Using timingSafeEqual to avoid timing attacks.
VARIATION:
Some providers sign a timestamp together with the body
Some use public-key signatures instead of a shared secret
USED WITH:
HMAC, raw body, timestamps, HTTPS
RELATED CONCEPTS:
webhook, idempotency, secrets, HTTPS
ALTERNATIVES:
A provider SDK helper that verifies for you
WHERE IT IS USED:
Payment webhooks | Source control webhooks | Any public callback URL
MINI CONVERSATION:
A: Anyone could post fake payment events to our URL. | B: Verify the provider's signature using the shared secret before trusting the event.
COMMON MISTAKE:
✗ Parsing the JSON first and then verifying the signature is fine → ✓ Verify against the exact raw body, because re-encoding the parsed JSON can change the bytes
COMMONLY CONFUSED WITH:
Signature verification vs authentication token: a signature proves the message is genuine and unaltered, a token proves who is calling.
AVOID / DON'T:
Do not trust an event before verifying its signature.
WRONG CODE:
const body = JSON.stringify(req.body); const expected = hmac(body);
RIGHT CODE:
const expected = crypto.createHmac("sha256", secret).update(rawBody).digest("hex");
MEMORY TRICK:
Sign it, compare it, then trust it.
REAL LIFE: PROJECT / WORK:
Verifying each payment webhook before marking an order paid.
REAL LIFE: INTERVIEW / EXAM:
An interviewer may ask: How do you secure a webhook endpoint?
REAL LIFE: DAILY LIFE:
It is like checking the wax seal on a letter.</t>
        </is>
      </c>
      <c r="C45" s="29" t="inlineStr">
        <is>
          <t>07_Webhooks_and_async_Advanced_API-044</t>
        </is>
      </c>
    </row>
    <row r="46" ht="409" customHeight="1">
      <c r="A46" s="29" t="inlineStr">
        <is>
          <t>Polling vs webhooks
Which two ways let you learn that something has changed, by repeatedly asking or by being told?</t>
        </is>
      </c>
      <c r="B46" s="29" t="inlineStr">
        <is>
          <t>DEFINITION (SIMPLE):
Polling means your app repeatedly asks the API whether something has changed, while a webhook means the provider tells your app when it happens.
HOW / WHY IT WORKS:
Polling is simple and works without a public URL, but it wastes requests and delays updates by up to the polling interval. Webhooks are timely and efficient, but need a public, secured endpoint and careful handling of retries. Many integrations combine both, using a webhook for speed and a periodic poll to catch anything missed.
SIMPLE EXPLANATION (HINGLISH):
Polling asks every so often. A webhook tells you the moment it happens. Webhooks are more efficient, and polling is a good backup.
REAL-LIFE ANALOGY:
Polling is checking your mailbox every hour, and a webhook is the postman ringing your bell.
FORMULA / RULE:
Polling = you ask repeatedly. Webhook = they tell you.
EXAMPLE 1:
Checking a job status every ten seconds until it says done.
EXAMPLE 2:
Getting a webhook the moment a report is ready.
EXAMPLE 3:
Using a webhook plus a nightly poll to catch missed events.
RELATED CONCEPTS:
webhook, rate limiting, retries, long-running tasks
FAMILY / GROUP:
polling, interval, push, pull, event
WHERE IT IS USED:
Long-running jobs | Payments | Syncing data
MINI CONVERSATION:
A: Our app calls the status endpoint every second. | B: Switch to a webhook, or at least poll less often.
COMMON MISTAKE:
✗ Polling is always better because it is simpler → ✓ Polling wastes requests and delays updates, so webhooks are usually more efficient when available
DON'T CONFUSE WITH:
Polling vs webhook: polling pulls on a schedule, a webhook pushes on an event.
AVOID / DON'T:
Do not poll every second without a limit.
MEMORY TRICK:
Polling pulls the news, webhooks push it.
REAL LIFE: PROJECT / WORK:
Using a webhook for payments and a nightly poll to reconcile anything missed.
REAL LIFE: INTERVIEW / EXAM:
An interviewer may ask: When would you choose polling over webhooks?
REAL LIFE: DAILY LIFE:
It is like checking your mailbox versus the postman ringing the bell.</t>
        </is>
      </c>
      <c r="C46" s="29" t="inlineStr">
        <is>
          <t>07_Webhooks_and_async_Intermediate_API-045</t>
        </is>
      </c>
    </row>
    <row r="47" ht="409" customHeight="1">
      <c r="A47" s="29" t="inlineStr">
        <is>
          <t>Idempotent webhook handling
How do you make sure a webhook that arrives twice is processed only once?</t>
        </is>
      </c>
      <c r="B47" s="29" t="inlineStr">
        <is>
          <t>DEFINITION (SIMPLE):
Idempotent webhook handling means processing each event only once, even if the provider delivers it several times.
HOW / WHY IT WORKS:
Each webhook has a unique event id. Your handler records that id in a database, usually in the same transaction as the work, and skips events whose id is already stored. Reply with 2xx quickly, put heavy work on a queue, and do not depend on the order of events, since delivery order is not guaranteed.
SIMPLE EXPLANATION (HINGLISH):
Save the id of every event you process. If the same id arrives again, reply OK and do nothing, so retries never cause duplicates.
REAL-LIFE ANALOGY:
It is like a doorman who ticks each name once and turns away repeats.
FORMULA / RULE:
Receive event → already seen its id? → skip. Otherwise process and record the id.
EXAMPLE 1:
Ignoring a second delivery of the event with id evt_123.
EXAMPLE 2:
Marking an order paid only if it is not already paid.
EXAMPLE 3:
Putting the work on a queue and replying 200 straight away.
RELATED CONCEPTS:
webhook, idempotency, retries, queues
FAMILY / GROUP:
event id, deduplication, retry, queue, at-least-once
WHERE IT IS USED:
Payments | Order systems | Notification systems
MINI CONVERSATION:
A: Customers got two confirmation emails. | B: The webhook was delivered twice, so deduplicate by event id.
COMMON MISTAKE:
✗ A webhook is delivered exactly once → ✓ Providers usually guarantee at least once, so duplicates can happen and must be handled
DON'T CONFUSE WITH:
At-least-once vs exactly-once: at-least-once may repeat events, so your handler must deduplicate.
AVOID / DON'T:
Do not assume events arrive in order or only once.
MEMORY TRICK:
Record the id, skip the repeats.
REAL LIFE: PROJECT / WORK:
Storing processed event ids so retried payment webhooks never double-ship an order.
REAL LIFE: INTERVIEW / EXAM:
An interviewer may ask: How do you handle duplicate webhook deliveries?
REAL LIFE: DAILY LIFE:
It is like a doorman ticking each name once.</t>
        </is>
      </c>
      <c r="C47" s="29" t="inlineStr">
        <is>
          <t>07_Webhooks_and_async_Advanced_API-046</t>
        </is>
      </c>
    </row>
    <row r="48" ht="409" customHeight="1">
      <c r="A48" s="29" t="inlineStr">
        <is>
          <t>OpenAPI and Swagger
Which standard file format describes every endpoint of a REST API so that tools can create docs, mocks and client code from it?</t>
        </is>
      </c>
      <c r="B48" s="29" t="inlineStr">
        <is>
          <t>DEFINITION (SIMPLE):
OpenAPI is a standard, machine-readable format, in YAML or JSON, that describes an API's endpoints, parameters, request bodies, responses and authentication.
HOW / WHY IT WORKS:
Tools such as Swagger UI turn an OpenAPI file into interactive documentation in which you can try calls. Other tools generate client libraries, server stubs, tests and mock servers. The format was previously called the Swagger specification, and Swagger now names a set of tools around it.
SIMPLE EXPLANATION (HINGLISH):
OpenAPI is a blueprint of your API written in a file. Tools read it to show docs, make test calls and even generate code.
REAL-LIFE ANALOGY:
It is like a blueprint of a building that every contractor can read.
FORMULA / RULE:
OpenAPI file → docs, mocks, client code and tests
EXAMPLE 1:
Swagger UI showing an interactive page for the API.
EXAMPLE 2:
Generating a client library in several languages from one file.
EXAMPLE 3:
Running a mock server from the described responses.
RELATED CONCEPTS:
API documentation, mocking, REST, testing
FAMILY / GROUP:
OpenAPI, Swagger, specification, schema, YAML
WHERE IT IS USED:
API documentation | Code generation | Contract testing
MINI CONVERSATION:
A: Our docs are always out of date. | B: Describe the API in OpenAPI and generate the docs from it.
COMMON MISTAKE:
✗ Swagger and OpenAPI are completely different things → ✓ OpenAPI is the specification, and Swagger is the family of tools that grew from it
DON'T CONFUSE WITH:
OpenAPI vs Swagger UI: OpenAPI is the description format, Swagger UI is a tool that displays it.
AVOID / DON'T:
Do not let the documentation and the real API drift apart.
MEMORY TRICK:
OpenAPI is the blueprint file.
REAL LIFE: PROJECT / WORK:
Publishing an OpenAPI file so partners can generate their own clients.
REAL LIFE: INTERVIEW / EXAM:
An interviewer may ask: What is OpenAPI used for?
REAL LIFE: DAILY LIFE:
It is like a blueprint every contractor can read.</t>
        </is>
      </c>
      <c r="C48" s="29" t="inlineStr">
        <is>
          <t>08_Design_and_advanced_Intermediate_API-047</t>
        </is>
      </c>
    </row>
    <row r="49" ht="409" customHeight="1">
      <c r="A49" s="29" t="inlineStr">
        <is>
          <t>GraphQL vs REST
Which query-based style lets the client choose exactly which fields it wants from one single endpoint?</t>
        </is>
      </c>
      <c r="B49" s="29" t="inlineStr">
        <is>
          <t>DEFINITION (SIMPLE):
GraphQL is a query language for APIs in which the client sends a query naming the fields it wants to a single endpoint, and the server returns exactly that shape.
HOW / WHY IT WORKS:
A REST API has many endpoints with fixed responses, which can cause over-fetching (extra fields) or under-fetching (needing several calls). GraphQL uses one endpoint, a typed schema, and queries and mutations. It reduces round trips, but caching and rate limiting are harder, and complex queries need protection.
SIMPLE EXPLANATION (HINGLISH):
With REST you call different URLs and take what comes back. With GraphQL you send one query that lists the fields you want, and you get only those.
REAL-LIFE ANALOGY:
REST is a set menu, and GraphQL is ordering exactly the dishes you want.
FORMULA / RULE:
REST = many endpoints, fixed shapes. GraphQL = one endpoint, client chooses fields.
EXAMPLE 1:
A query that asks for a user's name and the titles of their last three orders in one call.
EXAMPLE 2:
A mutation that changes a record.
EXAMPLE 3:
A REST app making three calls to build one screen.
RELATED CONCEPTS:
REST, over-fetching, schema, API design
FAMILY / GROUP:
GraphQL, query, mutation, schema, over-fetching
WHERE IT IS USED:
Mobile apps | Complex data graphs | Front-end driven products
MINI CONVERSATION:
A: Our app needs three REST calls for one screen. | B: GraphQL could fetch the exact fields in one query.
COMMON MISTAKE:
✗ GraphQL always replaces REST and is better → ✓ GraphQL suits flexible queries, while REST stays simpler and caches well, so the choice depends on needs
DON'T CONFUSE WITH:
GraphQL vs REST: GraphQL has one endpoint and flexible queries, REST has many endpoints with fixed responses.
AVOID / DON'T:
Do not allow unlimited deeply nested queries on a public GraphQL API.
MEMORY TRICK:
GraphQL asks for exactly the fields you want.
REAL LIFE: PROJECT / WORK:
Using GraphQL so a mobile screen loads a user and their orders in one request.
REAL LIFE: INTERVIEW / EXAM:
An interviewer may ask: What problems does GraphQL solve compared with REST?
REAL LIFE: DAILY LIFE:
It is like ordering exact dishes instead of a set menu.</t>
        </is>
      </c>
      <c r="C49" s="29" t="inlineStr">
        <is>
          <t>08_Design_and_advanced_Advanced_API-048</t>
        </is>
      </c>
    </row>
    <row r="50" ht="409" customHeight="1">
      <c r="A50" s="29" t="inlineStr">
        <is>
          <t>gRPC
Which fast, binary protocol built on HTTP/2 and Protocol Buffers is often used between internal services?</t>
        </is>
      </c>
      <c r="B50" s="29" t="inlineStr">
        <is>
          <t>DEFINITION (SIMPLE):
gRPC is a remote procedure call framework that sends compact binary messages defined in Protocol Buffers over HTTP/2.
HOW / WHY IT WORKS:
You define services and messages in a .proto file, and tools generate client and server code in many languages. Messages are small and fast to encode, and HTTP/2 allows streaming in both directions. Browsers cannot call gRPC directly without a gateway, so it is mostly used for internal service-to-service calls.
SIMPLE EXPLANATION (HINGLISH):
gRPC calls functions on another service using small binary messages and a shared definition file. It is very fast, but less friendly for browsers than REST.
REAL-LIFE ANALOGY:
It is like a private express lane between two buildings with a strict language on both ends.
FORMULA / RULE:
.proto file → generated client and server code → fast binary calls over HTTP/2
EXAMPLE 1:
A microservice calling another microservice through generated gRPC code.
EXAMPLE 2:
A streaming call that sends updates continuously.
EXAMPLE 3:
A .proto file defining a GetUser call and its messages.
RELATED CONCEPTS:
REST, HTTP/2, microservices, API gateway
FAMILY / GROUP:
gRPC, Protocol Buffers, proto, HTTP/2, streaming
WHERE IT IS USED:
Microservices | High-performance systems | Streaming data
MINI CONVERSATION:
A: Our internal calls are slow with JSON. | B: Consider gRPC with Protocol Buffers for service-to-service traffic.
COMMON MISTAKE:
✗ gRPC works directly from any web browser → ✓ Browsers need a gateway or a special web version to call gRPC services
DON'T CONFUSE WITH:
gRPC vs REST: gRPC is binary, fast and strictly typed, REST is text-based, simple and browser-friendly.
AVOID / DON'T:
Do not use gRPC for a public API that browsers must call directly.
MEMORY TRICK:
gRPC is fast, binary and typed.
REAL LIFE: PROJECT / WORK:
Using gRPC between an orders service and an inventory service.
REAL LIFE: INTERVIEW / EXAM:
An interviewer may ask: When would you choose gRPC over REST?
REAL LIFE: DAILY LIFE:
It is like a private express lane between two buildings.</t>
        </is>
      </c>
      <c r="C50" s="29" t="inlineStr">
        <is>
          <t>08_Design_and_advanced_Advanced_API-049</t>
        </is>
      </c>
    </row>
    <row r="51" ht="409" customHeight="1">
      <c r="A51" s="29" t="inlineStr">
        <is>
          <t>API gateway
Which single entry point sits in front of many services and handles authentication, rate limiting and routing for them?</t>
        </is>
      </c>
      <c r="B51" s="29" t="inlineStr">
        <is>
          <t>DEFINITION (SIMPLE):
An API gateway is a server that acts as the single entry point for clients and routes requests to backend services while applying shared rules.
HOW / WHY IT WORKS:
A gateway can authenticate callers, apply rate limits, route requests to the right service, combine responses, cache, and log traffic. Clients only know one address, while services behind it can change. Cloud providers and open-source tools offer gateways.
SIMPLE EXPLANATION (HINGLISH):
The gateway is the front desk. It checks who you are, applies limits and sends the request to the right service behind it.
REAL-LIFE ANALOGY:
It is like a reception desk that checks visitors and directs them to the right office.
FORMULA / RULE:
Client → gateway (auth, limits, routing) → services
EXAMPLE 1:
A gateway checking tokens before any request reaches the services.
EXAMPLE 2:
A gateway sending /orders to the orders service and /users to the users service.
EXAMPLE 3:
A gateway applying a per-key rate limit.
RELATED CONCEPTS:
rate limiting, authentication, microservices, routing
FAMILY / GROUP:
gateway, routing, throttling, proxy, entry point
WHERE IT IS USED:
Microservices | Public API platforms | Enterprise integration
MINI CONVERSATION:
A: Every service repeats the same token check. | B: Move authentication into an API gateway in front of them.
COMMON MISTAKE:
✗ An API gateway replaces the need for any security in services → ✓ A gateway handles shared checks, but services still need their own protection in depth
DON'T CONFUSE WITH:
Gateway vs load balancer: a gateway understands and manages API calls, a load balancer mainly spreads traffic across servers.
AVOID / DON'T:
Do not put heavy business logic in the gateway.
MEMORY TRICK:
A gateway is the front desk for all services.
REAL LIFE: PROJECT / WORK:
Using a gateway to apply authentication and rate limits to all internal services.
REAL LIFE: INTERVIEW / EXAM:
An interviewer may ask: What does an API gateway do?
REAL LIFE: DAILY LIFE:
It is like a reception desk that directs visitors.</t>
        </is>
      </c>
      <c r="C51" s="29" t="inlineStr">
        <is>
          <t>08_Design_and_advanced_Advanced_API-050</t>
        </is>
      </c>
    </row>
    <row r="52" ht="409" customHeight="1">
      <c r="A52" s="29" t="inlineStr">
        <is>
          <t>CORS
Which browser security rule decides whether a web page from one origin may call an API on another origin?</t>
        </is>
      </c>
      <c r="B52" s="29" t="inlineStr">
        <is>
          <t>DEFINITION (SIMPLE):
CORS (Cross-Origin Resource Sharing) is a browser mechanism in which the server uses headers such as Access-Control-Allow-Origin to say which other origins may read its responses.
HOW / WHY IT WORKS:
An origin is the scheme, host and port. When a page on one origin calls an API on another, the browser checks the response headers. For some requests it first sends a preflight OPTIONS request. CORS applies only to browsers, so curl and servers are not affected, and the fix is a server configuration.
SIMPLE EXPLANATION (HINGLISH):
The browser asks the API server, may this page read your answer? If the server does not say yes in its headers, the browser blocks it, even though the call reached the server.
REAL-LIFE ANALOGY:
It is like a guard who lets a visitor read a file only if the owner has approved that visitor.
FORMULA / RULE:
Browser, other origin → preflight OPTIONS → server sends Access-Control-Allow-Origin → allowed
EXAMPLE 1:
A page on app.example.com calling api.example.com and being blocked.
EXAMPLE 2:
The server adding Access-Control-Allow-Origin for the trusted site.
EXAMPLE 3:
A preflight OPTIONS request before a call with a custom header.
RELATED CONCEPTS:
headers, browser security, same-origin policy, preflight
FAMILY / GROUP:
origin, preflight, Access-Control-Allow-Origin, same-origin policy
WHERE IT IS USED:
Front-end apps | Browser-based API calls | API configuration
MINI CONVERSATION:
A: The call works in curl but fails in the browser with a CORS error. | B: CORS only applies in browsers, so allow your site's origin on the server.
COMMON MISTAKE:
✗ A CORS error means the API server is down → ✓ The server received the call, but the browser blocked the response because the headers did not allow your origin
DON'T CONFUSE WITH:
CORS vs authentication: CORS controls which sites may read responses in a browser, authentication controls who may use the API.
AVOID / DON'T:
Do not set Access-Control-Allow-Origin to everything for an API that handles private data.
MEMORY TRICK:
CORS lives in the browser, the fix lives on the server.
REAL LIFE: PROJECT / WORK:
Allowing a company web app's origin on the API after a CORS error.
REAL LIFE: INTERVIEW / EXAM:
An interviewer may ask: What is CORS and how do you fix a CORS error?
REAL LIFE: DAILY LIFE:
It is like a guard who lets a visitor read a file only with the owner's approval.</t>
        </is>
      </c>
      <c r="C52" s="29" t="inlineStr">
        <is>
          <t>08_Design_and_advanced_Intermediate_API-051</t>
        </is>
      </c>
    </row>
    <row r="53" ht="409" customHeight="1">
      <c r="A53" s="29" t="inlineStr">
        <is>
          <t>API testing and mocking
Which practices let you check that an integration works, without always calling the real service?</t>
        </is>
      </c>
      <c r="B53" s="29" t="inlineStr">
        <is>
          <t>DEFINITION (SIMPLE):
API testing checks that requests and responses behave correctly, and mocking replaces the real API with controlled fake responses so tests are fast and reliable.
HOW / WHY IT WORKS:
Unit tests use mocks or stubs for success, errors, timeouts and odd data. Integration tests call the provider's sandbox or test mode, which behaves like production without real money or data. Contract tests check that your assumptions about the API still match. Mock servers can be generated from an OpenAPI file.
SIMPLE EXPLANATION (HINGLISH):
In everyday tests, fake the API with prepared answers. Before launch, test against the provider's sandbox to see real behaviour.
REAL-LIFE ANALOGY:
It is like rehearsing with an actor who plays the API, so the real show is never at risk.
FORMULA / RULE:
Unit tests with mocks, integration tests in a sandbox, contract tests for changes
EXAMPLE 1:
A mock that returns a 500 error to test the retry logic.
EXAMPLE 2:
A test in the provider's sandbox using test card numbers.
EXAMPLE 3:
A mock server generated from an OpenAPI file.
RELATED CONCEPTS:
error handling, OpenAPI, sandbox, retries
FAMILY / GROUP:
mock, stub, sandbox, test mode, contract test
WHERE IT IS USED:
Automated testing | Development without internet | Payments and messaging
MINI CONVERSATION:
A: Our tests fail whenever the provider is slow. | B: Mock the API in unit tests and keep a few sandbox tests.
COMMON MISTAKE:
✗ Tests should always call the real production API → ✓ Use mocks or a sandbox so tests are fast, safe and repeatable
DON'T CONFUSE WITH:
Mock vs sandbox: a mock is a fake you control inside your tests, a sandbox is the provider's safe test environment.
AVOID / DON'T:
Do not run tests that move real money or data.
MEMORY TRICK:
Mock to practise, sandbox to prove.
REAL LIFE: PROJECT / WORK:
Testing payment failures with mocks and a final check in the provider's sandbox.
REAL LIFE: INTERVIEW / EXAM:
An interviewer may ask: How do you test code that calls an external API?
REAL LIFE: DAILY LIFE:
It is like rehearsing with an actor who plays the API.</t>
        </is>
      </c>
      <c r="C53" s="29" t="inlineStr">
        <is>
          <t>08_Design_and_advanced_Intermediate_API-052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3"/>
  <sheetViews>
    <sheetView workbookViewId="0">
      <pane ySplit="1" topLeftCell="A2" activePane="bottomLeft" state="frozen"/>
      <selection pane="bottomLeft" activeCell="A1" sqref="A1"/>
    </sheetView>
  </sheetViews>
  <sheetFormatPr baseColWidth="8" defaultRowHeight="15"/>
  <cols>
    <col width="65" customWidth="1" min="1" max="1"/>
    <col width="70" customWidth="1" min="2" max="2"/>
    <col width="30" customWidth="1" min="3" max="3"/>
  </cols>
  <sheetData>
    <row r="1">
      <c r="A1" s="28" t="inlineStr">
        <is>
          <t>Front</t>
        </is>
      </c>
      <c r="B1" s="28" t="inlineStr">
        <is>
          <t>Back</t>
        </is>
      </c>
      <c r="C1" s="28" t="inlineStr">
        <is>
          <t>Tags</t>
        </is>
      </c>
    </row>
    <row r="2" ht="94.5" customHeight="1">
      <c r="A2" s="29" t="inlineStr">
        <is>
          <t>MCQ: What is the main purpose of an API?
A) To store files B) To design web pages C) To speed up the internet D) To let programs communicate in a defined way
FILL: A program sends a ____ to an API and gets a response back
APPLY: Which kind of rules must you follow when calling an API?</t>
        </is>
      </c>
      <c r="B2" s="29" t="inlineStr">
        <is>
          <t>MCQ answer: D  An API defines how one program can request data or actions from another.
Fill answer: request
Apply: The provider's documented request format</t>
        </is>
      </c>
      <c r="C2" s="29" t="inlineStr">
        <is>
          <t>01_Basics_Beginner_API-001_quiz</t>
        </is>
      </c>
    </row>
    <row r="3" ht="94.5" customHeight="1">
      <c r="A3" s="29" t="inlineStr">
        <is>
          <t>MCQ: Which side usually starts an API conversation?
A) The server B) The database C) The client D) The router
FILL: The program that answers an API request is called the ____
APPLY: Your script calls a weather API. Which role does your script play?</t>
        </is>
      </c>
      <c r="B3" s="29" t="inlineStr">
        <is>
          <t>MCQ answer: C  The client sends the first request, and the server responds.
Fill answer: server
Apply: The client</t>
        </is>
      </c>
      <c r="C3" s="29" t="inlineStr">
        <is>
          <t>01_Basics_Beginner_API-002_quiz</t>
        </is>
      </c>
    </row>
    <row r="4" ht="81" customHeight="1">
      <c r="A4" s="29" t="inlineStr">
        <is>
          <t>MCQ: What does a response always include?
A) A password B) A status code C) A cookie banner D) A database
FILL: A request has a method, a URL, headers and sometimes a ____
APPLY: A call returns 404. Which half of the cycle tells you this?</t>
        </is>
      </c>
      <c r="B4" s="29" t="inlineStr">
        <is>
          <t>MCQ answer: B  Every HTTP response carries a status code.
Fill answer: body
Apply: The response status</t>
        </is>
      </c>
      <c r="C4" s="29" t="inlineStr">
        <is>
          <t>01_Basics_Beginner_API-003_quiz</t>
        </is>
      </c>
    </row>
    <row r="5" ht="81" customHeight="1">
      <c r="A5" s="29" t="inlineStr">
        <is>
          <t>MCQ: In REST, which part of a request usually names the resource?
A) The URL B) The response C) The status code D) The cookie
FILL: In REST, DELETE /users/42 removes the ____ with id 42
APPLY: How would you create a new product in a REST API?</t>
        </is>
      </c>
      <c r="B5" s="29" t="inlineStr">
        <is>
          <t>MCQ answer: A  The URL identifies the resource, and the method gives the action.
Fill answer: user
Apply: Send POST to the products endpoint</t>
        </is>
      </c>
      <c r="C5" s="29" t="inlineStr">
        <is>
          <t>01_Basics_Beginner_API-004_quiz</t>
        </is>
      </c>
    </row>
    <row r="6" ht="81" customHeight="1">
      <c r="A6" s="29" t="inlineStr">
        <is>
          <t>MCQ: Which is an endpoint under the base https://api.example.com/v1?
A) JSON B) https://api.example.com C) HTTP D) /users
FILL: The full address is the base URL plus the endpoint ____
APPLY: How do you make switching between test and live easy?</t>
        </is>
      </c>
      <c r="B6" s="29" t="inlineStr">
        <is>
          <t>MCQ answer: D  An endpoint is a path such as /users that sits under the base URL.
Fill answer: path
Apply: Keep the base URL in one configuration value</t>
        </is>
      </c>
      <c r="C6" s="29" t="inlineStr">
        <is>
          <t>01_Basics_Beginner_API-005_quiz</t>
        </is>
      </c>
    </row>
    <row r="7" ht="81" customHeight="1">
      <c r="A7" s="29" t="inlineStr">
        <is>
          <t>MCQ: Which of these is called by the provider when an event happens?
A) API B) SDK C) Webhook D) Endpoint
FILL: A library that wraps an API in your language is called an ____
APPLY: How do you get told when a payment completes?</t>
        </is>
      </c>
      <c r="B7" s="29" t="inlineStr">
        <is>
          <t>MCQ answer: C  A webhook is the provider calling your URL.
Fill answer: SDK
Apply: Use a webhook</t>
        </is>
      </c>
      <c r="C7" s="29" t="inlineStr">
        <is>
          <t>01_Basics_Intermediate_API-006_quiz</t>
        </is>
      </c>
    </row>
    <row r="8" ht="94.5" customHeight="1">
      <c r="A8" s="29" t="inlineStr">
        <is>
          <t>MCQ: Which API is used only inside one organisation?
A) Open B) Private C) Public D) Partner
FILL: An API shared only with chosen business partners is a ____ API
APPLY: You need data from a company's internal system. Which API type is it likely to be?</t>
        </is>
      </c>
      <c r="B8" s="29" t="inlineStr">
        <is>
          <t>MCQ answer: B  A private or internal API is not available outside the company.
Fill answer: partner
Apply: A private API</t>
        </is>
      </c>
      <c r="C8" s="29" t="inlineStr">
        <is>
          <t>01_Basics_Beginner_API-007_quiz</t>
        </is>
      </c>
    </row>
    <row r="9" ht="94.5" customHeight="1">
      <c r="A9" s="29" t="inlineStr">
        <is>
          <t>MCQ: Which method should you use to change only one field of an existing record?
A) PATCH B) GET C) DELETE D) POST
FILL: To read data without changing it you use the ____ method
APPLY: Which method creates a new record?</t>
        </is>
      </c>
      <c r="B9" s="29" t="inlineStr">
        <is>
          <t>MCQ answer: A  PATCH sends a partial update, while PUT replaces the whole record.
Fill answer: GET
Apply: POST</t>
        </is>
      </c>
      <c r="C9" s="29" t="inlineStr">
        <is>
          <t>02_HTTP_Beginner_API-008_quiz</t>
        </is>
      </c>
    </row>
    <row r="10" ht="81" customHeight="1">
      <c r="A10" s="29" t="inlineStr">
        <is>
          <t>MCQ: In /orders?page=2&amp;limit=10, what does page=2 belong to?
A) The query string B) The scheme C) The host D) The header
FILL: Query parameters begin after a ____ mark in the URL
APPLY: How would you request only active users?</t>
        </is>
      </c>
      <c r="B10" s="29" t="inlineStr">
        <is>
          <t>MCQ answer: A  Everything after the question mark is the query string.
Fill answer: question
Apply: Add the query parameter active=true to the users endpoint</t>
        </is>
      </c>
      <c r="C10" s="29" t="inlineStr">
        <is>
          <t>02_HTTP_Beginner_API-009_quiz</t>
        </is>
      </c>
    </row>
    <row r="11" ht="108" customHeight="1">
      <c r="A11" s="29" t="inlineStr">
        <is>
          <t>MCQ: Which header usually carries a token?
A) User-Agent B) Accept C) Authorization D) Cache-Control
FILL: The header that tells the server the body is JSON is Content-____
APPLY: A server cannot read your JSON body. Which header do you check?</t>
        </is>
      </c>
      <c r="B11" s="29" t="inlineStr">
        <is>
          <t>MCQ answer: C  The Authorization header carries credentials such as a Bearer token.
Fill answer: Type
Apply: Content-Type</t>
        </is>
      </c>
      <c r="C11" s="29" t="inlineStr">
        <is>
          <t>02_HTTP_Beginner_API-010_quiz</t>
        </is>
      </c>
    </row>
    <row r="12" ht="94.5" customHeight="1">
      <c r="A12" s="29" t="inlineStr">
        <is>
          <t>MCQ: Where does the data of a POST request normally go?
A) The browser history B) The response C) The status code D) The body
FILL: The body of a POST request is usually written as ____
APPLY: Where do you put new user details when creating a user?</t>
        </is>
      </c>
      <c r="B12" s="29" t="inlineStr">
        <is>
          <t>MCQ answer: D  POST sends its data in the request body.
Fill answer: JSON
Apply: In the JSON body of a POST request</t>
        </is>
      </c>
      <c r="C12" s="29" t="inlineStr">
        <is>
          <t>02_HTTP_Beginner_API-011_quiz</t>
        </is>
      </c>
    </row>
    <row r="13" ht="81" customHeight="1">
      <c r="A13" s="29" t="inlineStr">
        <is>
          <t>MCQ: Which status group means the client made a mistake?
A) 2xx B) 4xx C) 5xx D) 3xx
FILL: The status code 404 means Not ____
APPLY: A POST created a record. Which code do you expect?</t>
        </is>
      </c>
      <c r="B13" s="29" t="inlineStr">
        <is>
          <t>MCQ answer: B  4xx codes mean the request has a problem on the client side.
Fill answer: Found
Apply: 201 Created</t>
        </is>
      </c>
      <c r="C13" s="29" t="inlineStr">
        <is>
          <t>02_HTTP_Beginner_API-012_quiz</t>
        </is>
      </c>
    </row>
    <row r="14" ht="81" customHeight="1">
      <c r="A14" s="29" t="inlineStr">
        <is>
          <t>MCQ: Which header describes the format of the body you send?
A) Content-Type B) Accept C) Cache-Control D) Authorization
FILL: Status 415 means Unsupported ____ Type
APPLY: A server rejects your JSON body with 415. What do you check?</t>
        </is>
      </c>
      <c r="B14" s="29" t="inlineStr">
        <is>
          <t>MCQ answer: A  Content-Type describes the body being sent.
Fill answer: Media
Apply: That Content-Type is application/json</t>
        </is>
      </c>
      <c r="C14" s="29" t="inlineStr">
        <is>
          <t>02_HTTP_Intermediate_API-013_quiz</t>
        </is>
      </c>
    </row>
    <row r="15" ht="81" customHeight="1">
      <c r="A15" s="29" t="inlineStr">
        <is>
          <t>MCQ: Which method is generally not idempotent?
A) GET B) POST C) DELETE D) PUT
FILL: A header that makes a repeated POST safe is called an ____ key
APPLY: A POST payment timed out. How can you retry safely?</t>
        </is>
      </c>
      <c r="B15" s="29" t="inlineStr">
        <is>
          <t>MCQ answer: B  A POST can create a new record each time it is sent.
Fill answer: Idempotency
Apply: Send it again with the same idempotency key</t>
        </is>
      </c>
      <c r="C15" s="29" t="inlineStr">
        <is>
          <t>02_HTTP_Intermediate_API-014_quiz</t>
        </is>
      </c>
    </row>
    <row r="16" ht="94.5" customHeight="1">
      <c r="A16" s="29" t="inlineStr">
        <is>
          <t>MCQ: What does it mean that HTTP is stateless?
A) The server stores every user B) It only works with cookies C) It never fails D) The server keeps no memory between requests
FILL: Browsers send a small stored value called a ____ automatically
APPLY: How does a script prove who it is on every call?</t>
        </is>
      </c>
      <c r="B16" s="29" t="inlineStr">
        <is>
          <t>MCQ answer: D  Each request stands alone, so identity must be sent every time.
Fill answer: cookie
Apply: By sending a token in the Authorization header</t>
        </is>
      </c>
      <c r="C16" s="29" t="inlineStr">
        <is>
          <t>02_HTTP_Intermediate_API-015_quiz</t>
        </is>
      </c>
    </row>
    <row r="17" ht="108" customHeight="1">
      <c r="A17" s="29" t="inlineStr">
        <is>
          <t>MCQ: Which of these is a rule of valid JSON?
A) A trailing comma is allowed B) Comments may be added anywhere C) Keys and text values use double quotes D) Keys may be written without quotes
FILL: In JSON a list of values is written inside square ____
APPLY: How do you write a list of three colours in JSON?</t>
        </is>
      </c>
      <c r="B17" s="29" t="inlineStr">
        <is>
          <t>MCQ answer: C  JSON needs double-quoted keys and no trailing commas.
Fill answer: brackets
Apply: ["red", "green", "blue"]</t>
        </is>
      </c>
      <c r="C17" s="29" t="inlineStr">
        <is>
          <t>03_Data_formats_Beginner_API-016_quiz</t>
        </is>
      </c>
    </row>
    <row r="18" ht="121.5" customHeight="1">
      <c r="A18" s="29" t="inlineStr">
        <is>
          <t>MCQ: Which function turns JSON text into an object?
A) JSON.merge B) JSON.stringify C) JSON.read D) JSON.parse
FILL: const data = JSON.____(text)
HINDI TO TASK: Read the first tag from the object data.user.tags.
PRACTICE QUESTION: What does data?.user?.city return if user is missing?</t>
        </is>
      </c>
      <c r="B18" s="29" t="inlineStr">
        <is>
          <t>MCQ answer: D  JSON.parse converts text into an object.
Fill answer: parse
Task answer:
console.log(data.user.tags[0]);
Practice answer:
undefined, without throwing an error.</t>
        </is>
      </c>
      <c r="C18" s="29" t="inlineStr">
        <is>
          <t>03_Data_formats_Beginner_API-017_quiz</t>
        </is>
      </c>
    </row>
    <row r="19" ht="108" customHeight="1">
      <c r="A19" s="29" t="inlineStr">
        <is>
          <t>MCQ: How is a value written in XML?
A) In a table B) Between opening and closing tags C) After an equals sign D) Inside curly braces
FILL: The protocol that sends XML messages over HTTP is called ____
APPLY: A legacy API returns tags instead of JSON. What format is it likely using?</t>
        </is>
      </c>
      <c r="B19" s="29" t="inlineStr">
        <is>
          <t>MCQ answer: B  XML wraps values in matching tags.
Fill answer: SOAP
Apply: XML</t>
        </is>
      </c>
      <c r="C19" s="29" t="inlineStr">
        <is>
          <t>03_Data_formats_Intermediate_API-018_quiz</t>
        </is>
      </c>
    </row>
    <row r="20" ht="108" customHeight="1">
      <c r="A20" s="29" t="inlineStr">
        <is>
          <t>MCQ: Which format is used to upload files together with fields?
A) application/xml B) application/json C) multipart/form-data D) text/plain
FILL: Flat key and value pairs joined by ampersands are called form-____
APPLY: A token endpoint rejects your JSON body. What may it expect?</t>
        </is>
      </c>
      <c r="B20" s="29" t="inlineStr">
        <is>
          <t>MCQ answer: C  Multipart form data can carry files and fields.
Fill answer: urlencoded
Apply: Form-encoded data</t>
        </is>
      </c>
      <c r="C20" s="29" t="inlineStr">
        <is>
          <t>03_Data_formats_Intermediate_API-019_quiz</t>
        </is>
      </c>
    </row>
    <row r="21" ht="135" customHeight="1">
      <c r="A21" s="29" t="inlineStr">
        <is>
          <t>MCQ: What does an API key usually identify?
A) Your application B) Your password C) Your browser D) Your internet provider
FILL: Keys are best sent in a request ____ rather than in the URL
HINDI TO TASK: Call the weather endpoint with a key read from the environment variable WEATHER_API_KEY.
PRACTICE QUESTION: Why is putting a key in a URL a risk?</t>
        </is>
      </c>
      <c r="B21" s="29" t="inlineStr">
        <is>
          <t>MCQ answer: A  A key identifies the calling application and its plan.
Fill answer: header
Task answer:
fetch("https://api.example.com/v1/weather?city=Delhi", { headers: { "X-API-Key": process.env.WEATHER_API_KEY } })
Practice answer:
URLs are often logged and shared, so the key can leak.</t>
        </is>
      </c>
      <c r="C21" s="29" t="inlineStr">
        <is>
          <t>04_Authentication_Beginner_API-020_quiz</t>
        </is>
      </c>
    </row>
    <row r="22" ht="94.5" customHeight="1">
      <c r="A22" s="29" t="inlineStr">
        <is>
          <t>MCQ: What does Base64 do to the credentials in Basic authentication?
A) Deletes them B) Encodes them, not encrypts C) Hashes them D) Encrypts them strongly
FILL: Basic authentication should only be used over ____
APPLY: How can curl add Basic authentication to a request?</t>
        </is>
      </c>
      <c r="B22" s="29" t="inlineStr">
        <is>
          <t>MCQ answer: B  Base64 is reversible encoding, so it gives no protection by itself.
Fill answer: HTTPS
Apply: With the -u username:password option</t>
        </is>
      </c>
      <c r="C22" s="29" t="inlineStr">
        <is>
          <t>04_Authentication_Beginner_API-021_quiz</t>
        </is>
      </c>
    </row>
    <row r="23" ht="162" customHeight="1">
      <c r="A23" s="29" t="inlineStr">
        <is>
          <t>MCQ: What is the correct format of the Authorization header for a bearer token?
A) Authorization: &lt;token&gt; B) Bearer: Authorization C) Token: Bearer D) Authorization: Bearer &lt;token&gt;
FILL: Authorization: ____ abc123
HINDI TO TASK: Send the token stored in the variable token with a request to /v1/me.
PRACTICE QUESTION: What does a 401 usually suggest when you send a bearer token?</t>
        </is>
      </c>
      <c r="B23" s="29" t="inlineStr">
        <is>
          <t>MCQ answer: D  The scheme word Bearer is followed by a space and the token.
Fill answer: Bearer
Task answer:
fetch("https://api.example.com/v1/me", { headers: { Authorization: `Bearer ${token}` } })
Practice answer:
The token is missing, invalid or expired.</t>
        </is>
      </c>
      <c r="C23" s="29" t="inlineStr">
        <is>
          <t>04_Authentication_Beginner_API-022_quiz</t>
        </is>
      </c>
    </row>
    <row r="24" ht="121.5" customHeight="1">
      <c r="A24" s="29" t="inlineStr">
        <is>
          <t>MCQ: In OAuth 2.0, what does the app receive instead of the user's password?
A) A token B) A cookie banner C) A database D) A username
FILL: The extra protection for apps that cannot keep a secret is called ____
APPLY: How does a user allow an app to read their calendar without sharing a password?</t>
        </is>
      </c>
      <c r="B24" s="29" t="inlineStr">
        <is>
          <t>MCQ answer: A  OAuth gives the app a token with limited permissions.
Fill answer: PKCE
Apply: Through an OAuth consent screen at the provider</t>
        </is>
      </c>
      <c r="C24" s="29" t="inlineStr">
        <is>
          <t>04_Authentication_Intermediate_API-023_quiz</t>
        </is>
      </c>
    </row>
    <row r="25" ht="94.5" customHeight="1">
      <c r="A25" s="29" t="inlineStr">
        <is>
          <t>MCQ: Which token should be sent with every API call?
A) The refresh token B) Neither C) The access token D) Both always
FILL: A longer-lived token used only to get new access tokens is a ____ token
APPLY: A call returns 401 because the token expired. What do you do?</t>
        </is>
      </c>
      <c r="B25" s="29" t="inlineStr">
        <is>
          <t>MCQ answer: C  Only the access token is sent to API endpoints.
Fill answer: refresh
Apply: Use the refresh token to get a new access token</t>
        </is>
      </c>
      <c r="C25" s="29" t="inlineStr">
        <is>
          <t>04_Authentication_Intermediate_API-024_quiz</t>
        </is>
      </c>
    </row>
    <row r="26" ht="108" customHeight="1">
      <c r="A26" s="29" t="inlineStr">
        <is>
          <t>MCQ: What does a 403 response often mean for an OAuth token?
A) The server is down B) The body is empty C) The token lacks the needed scope D) The URL is wrong
FILL: A named permission that limits what a token can do is called a ____
APPLY: Your token cannot update data. What should you check?</t>
        </is>
      </c>
      <c r="B26" s="29" t="inlineStr">
        <is>
          <t>MCQ answer: C  The token is valid but not permitted to do that action.
Fill answer: scope
Apply: Whether the token has a write scope</t>
        </is>
      </c>
      <c r="C26" s="29" t="inlineStr">
        <is>
          <t>04_Authentication_Intermediate_API-025_quiz</t>
        </is>
      </c>
    </row>
    <row r="27" ht="81" customHeight="1">
      <c r="A27" s="29" t="inlineStr">
        <is>
          <t>MCQ: What proves that a JWT has not been altered?
A) The signature B) The cookie C) The header name D) The URL
FILL: A JWT has a header, a payload and a ____
APPLY: Why should you not store secrets in a JWT payload?</t>
        </is>
      </c>
      <c r="B27" s="29" t="inlineStr">
        <is>
          <t>MCQ answer: A  The signature is checked by the server to confirm the content was unchanged.
Fill answer: signature
Apply: Because the payload is only encoded and can be read by anyone</t>
        </is>
      </c>
      <c r="C27" s="29" t="inlineStr">
        <is>
          <t>04_Authentication_Advanced_API-026_quiz</t>
        </is>
      </c>
    </row>
    <row r="28" ht="135" customHeight="1">
      <c r="A28" s="29" t="inlineStr">
        <is>
          <t>MCQ: Where should an API key be stored?
A) In the README B) In front-end code C) In a public repo D) In an environment variable
FILL: Add the file .env to ____ so it is not committed
HINDI TO TASK: Read a key named PAYMENT_KEY from the environment.
PRACTICE QUESTION: What must you do if a key was committed to a repository?</t>
        </is>
      </c>
      <c r="B28" s="29" t="inlineStr">
        <is>
          <t>MCQ answer: D  Environment variables keep secrets out of the source code.
Fill answer: .gitignore
Task answer:
const key = process.env.PAYMENT_KEY;
Practice answer:
Rotate the key, because it stays in the history.</t>
        </is>
      </c>
      <c r="C28" s="29" t="inlineStr">
        <is>
          <t>04_Authentication_Beginner_API-027_quiz</t>
        </is>
      </c>
    </row>
    <row r="29" ht="135" customHeight="1">
      <c r="A29" s="29" t="inlineStr">
        <is>
          <t>MCQ: Which curl option adds a header to the request?
A) -s B) -H C) -d D) -i
FILL: The curl option that shows the response headers is -____
HINDI TO TASK: Send a GET request to /v1/users with the Accept header set to JSON.
PRACTICE QUESTION: What method does curl use when you give no -X option?</t>
        </is>
      </c>
      <c r="B29" s="29" t="inlineStr">
        <is>
          <t>MCQ answer: B  -H adds a request header, while -d sends a body.
Fill answer: i
Task answer:
curl https://api.example.com/v1/users -H "Accept: application/json"
Practice answer:
GET</t>
        </is>
      </c>
      <c r="C29" s="29" t="inlineStr">
        <is>
          <t>05_Making_calls_Beginner_API-028_quiz</t>
        </is>
      </c>
    </row>
    <row r="30" ht="94.5" customHeight="1">
      <c r="A30" s="29" t="inlineStr">
        <is>
          <t>MCQ: What is the main benefit of an API client tool?
A) Storing databases B) Hosting a website C) Writing DAX D) Building and testing requests without writing code
FILL: Related saved requests in Postman are grouped into a ____
APPLY: How can one set of requests work for test and live servers?</t>
        </is>
      </c>
      <c r="B30" s="29" t="inlineStr">
        <is>
          <t>MCQ answer: D  It lets you compose, send and inspect requests visually.
Fill answer: collection
Apply: Use environment variables for the base URL and tokens</t>
        </is>
      </c>
      <c r="C30" s="29" t="inlineStr">
        <is>
          <t>05_Making_calls_Beginner_API-029_quiz</t>
        </is>
      </c>
    </row>
    <row r="31" ht="135" customHeight="1">
      <c r="A31" s="29" t="inlineStr">
        <is>
          <t>MCQ: What does fetch return?
A) A string B) The JSON data directly C) A promise for a Response D) A boolean
FILL: const res = ____ fetch(url);
HINDI TO TASK: Fetch the user at /v1/users/7 and print the name.
PRACTICE QUESTION: What method of the response reads the body as JSON?</t>
        </is>
      </c>
      <c r="B31" s="29" t="inlineStr">
        <is>
          <t>MCQ answer: C  fetch gives a promise that resolves to a Response object.
Fill answer: await
Task answer:
const res = await fetch("https://api.example.com/v1/users/7"); const user = await res.json(); console.log(user.name);
Practice answer:
res.json()</t>
        </is>
      </c>
      <c r="C31" s="29" t="inlineStr">
        <is>
          <t>05_Making_calls_Beginner_API-030_quiz</t>
        </is>
      </c>
    </row>
    <row r="32" ht="121.5" customHeight="1">
      <c r="A32" s="29" t="inlineStr">
        <is>
          <t>MCQ: Which tool builds an encoded query string from an object?
A) URLSearchParams B) Date.now C) Math.random D) JSON.parse
FILL: new URLSearchParams({ page: 2 }).____() gives the query string
HINDI TO TASK: Build the query string for page 3 and limit 20.
PRACTICE QUESTION: What does URLSearchParams do with a space in a value?</t>
        </is>
      </c>
      <c r="B32" s="29" t="inlineStr">
        <is>
          <t>MCQ answer: A  URLSearchParams encodes pairs into a query string.
Fill answer: toString
Task answer:
new URLSearchParams({ page: 3, limit: 20 }).toString()
Practice answer:
It encodes it, usually as a plus sign or percent code.</t>
        </is>
      </c>
      <c r="C32" s="29" t="inlineStr">
        <is>
          <t>05_Making_calls_Beginner_API-031_quiz</t>
        </is>
      </c>
    </row>
    <row r="33" ht="135" customHeight="1">
      <c r="A33" s="29" t="inlineStr">
        <is>
          <t>MCQ: What must you do to an object before sending it as a JSON body?
A) Use Math.round B) Use JSON.stringify C) Use JSON.parse D) Delete its keys
FILL: body: JSON.____({ name: "Asha" })
HINDI TO TASK: Post a new product with the name Pen to /v1/products.
PRACTICE QUESTION: What status code do you usually expect after a successful create?</t>
        </is>
      </c>
      <c r="B33" s="29" t="inlineStr">
        <is>
          <t>MCQ answer: B  The body must be text, so the object is converted with JSON.stringify.
Fill answer: stringify
Task answer:
fetch("https://api.example.com/v1/products", { method: "POST", headers: { "Content-Type": "application/json" }, body: JSON.stringify({ name: "Pen" }) })
Practice answer:
201 Created</t>
        </is>
      </c>
      <c r="C33" s="29" t="inlineStr">
        <is>
          <t>05_Making_calls_Intermediate_API-032_quiz</t>
        </is>
      </c>
    </row>
    <row r="34" ht="108" customHeight="1">
      <c r="A34" s="29" t="inlineStr">
        <is>
          <t>MCQ: When does fetch reject its promise?
A) On every 500 B) Never C) On every 404 D) On a network failure
FILL: res.____ is true for statuses from 200 to 299
HINDI TO TASK: Throw an error if the response is not successful.
PRACTICE QUESTION: What does res.ok return for a 404 response?</t>
        </is>
      </c>
      <c r="B34" s="29" t="inlineStr">
        <is>
          <t>MCQ answer: D  fetch rejects only when the request cannot be completed, such as no connection.
Fill answer: ok
Task answer:
if (!res.ok) { throw new Error(`Failed: ${res.status}`); }
Practice answer:
false</t>
        </is>
      </c>
      <c r="C34" s="29" t="inlineStr">
        <is>
          <t>05_Making_calls_Intermediate_API-033_quiz</t>
        </is>
      </c>
    </row>
    <row r="35" ht="135" customHeight="1">
      <c r="A35" s="29" t="inlineStr">
        <is>
          <t>MCQ: Where do headers go in a fetch call?
A) In the status line B) In the URL fragment C) In the headers field of the options D) In the response
FILL: fetch(url, { ____: { Accept: "application/json" } })
HINDI TO TASK: Send the Accept header with the value application/json.
PRACTICE QUESTION: Are header names case-sensitive?</t>
        </is>
      </c>
      <c r="B35" s="29" t="inlineStr">
        <is>
          <t>MCQ answer: C  The options object has a headers field for them.
Fill answer: headers
Task answer:
fetch(url, { headers: { Accept: "application/json" } })
Practice answer:
No, header names are case-insensitive.</t>
        </is>
      </c>
      <c r="C35" s="29" t="inlineStr">
        <is>
          <t>05_Making_calls_Intermediate_API-034_quiz</t>
        </is>
      </c>
    </row>
    <row r="36" ht="94.5" customHeight="1">
      <c r="A36" s="29" t="inlineStr">
        <is>
          <t>MCQ: Which error type is usually worth retrying?
A) 503 Service Unavailable B) 400 Bad Request C) 403 Forbidden D) 404 Not Found
FILL: A try and ____ block catches network failures in JavaScript
APPLY: A call returns 422 with field errors. What should the app do?</t>
        </is>
      </c>
      <c r="B36" s="29" t="inlineStr">
        <is>
          <t>MCQ answer: A  A 5xx error may be temporary, whereas the 4xx errors need the request changed.
Fill answer: catch
Apply: Show the field messages so the user can correct the input</t>
        </is>
      </c>
      <c r="C36" s="29" t="inlineStr">
        <is>
          <t>06_Real-world_handling_Intermediate_API-035_quiz</t>
        </is>
      </c>
    </row>
    <row r="37" ht="135" customHeight="1">
      <c r="A37" s="29" t="inlineStr">
        <is>
          <t>MCQ: Which status should you not blindly retry?
A) A network timeout B) 400 Bad Request C) 503 Service Unavailable D) 429 Too Many Requests
FILL: Adding a small random extra delay is called ____
HINDI TO TASK: Wait two seconds before the next attempt.
PRACTICE QUESTION: Which response header can tell you how long to wait?</t>
        </is>
      </c>
      <c r="B37" s="29" t="inlineStr">
        <is>
          <t>MCQ answer: B  A 400 means the request itself is wrong, so repeating it will fail again.
Fill answer: jitter
Task answer:
await new Promise(r =&gt; setTimeout(r, 2000));
Practice answer:
Retry-After</t>
        </is>
      </c>
      <c r="C37" s="29" t="inlineStr">
        <is>
          <t>06_Real-world_handling_Advanced_API-036_quiz</t>
        </is>
      </c>
    </row>
    <row r="38" ht="135" customHeight="1">
      <c r="A38" s="29" t="inlineStr">
        <is>
          <t>MCQ: What do you pass to fetch to allow cancelling the request?
A) A timeout number B) A cookie C) A header D) A signal from an AbortController
FILL: The object used to cancel a fetch request is an ____Controller
HINDI TO TASK: Abort the request after three seconds.
PRACTICE QUESTION: What error name does an aborted fetch reject with?</t>
        </is>
      </c>
      <c r="B38" s="29" t="inlineStr">
        <is>
          <t>MCQ answer: D  fetch accepts a signal that can abort the request.
Fill answer: Abort
Task answer:
setTimeout(() =&gt; controller.abort(), 3000);
Practice answer:
AbortError</t>
        </is>
      </c>
      <c r="C38" s="29" t="inlineStr">
        <is>
          <t>06_Real-world_handling_Intermediate_API-037_quiz</t>
        </is>
      </c>
    </row>
    <row r="39" ht="81" customHeight="1">
      <c r="A39" s="29" t="inlineStr">
        <is>
          <t>MCQ: Which status means you have been rate limited?
A) 429 B) 301 C) 404 D) 204
FILL: A header that says how long to wait is ____-After
APPLY: Your job gets 429. What should it do?</t>
        </is>
      </c>
      <c r="B39" s="29" t="inlineStr">
        <is>
          <t>MCQ answer: A  429 Too Many Requests is the standard rate limit response.
Fill answer: Retry
Apply: Wait for the Retry-After time and then continue more slowly</t>
        </is>
      </c>
      <c r="C39" s="29" t="inlineStr">
        <is>
          <t>06_Real-world_handling_Intermediate_API-038_quiz</t>
        </is>
      </c>
    </row>
    <row r="40" ht="148.5" customHeight="1">
      <c r="A40" s="29" t="inlineStr">
        <is>
          <t>MCQ: How do you know you have reached the last page?
A) The body is JSON B) The list is long C) There is no next link or cursor D) The status is 500
FILL: A pointer to the next page returned by the server is called a ____
HINDI TO TASK: Collect items while a next link exists.
PRACTICE QUESTION: What parameter sets how many items come in one page?</t>
        </is>
      </c>
      <c r="B40" s="29" t="inlineStr">
        <is>
          <t>MCQ answer: C  The final response has an empty next value.
Fill answer: cursor
Task answer:
while (url) { const page = await (await fetch(url)).json(); all.push(...page.data); url = page.next; }
Practice answer:
limit (or a similarly named page size parameter)</t>
        </is>
      </c>
      <c r="C40" s="29" t="inlineStr">
        <is>
          <t>06_Real-world_handling_Intermediate_API-039_quiz</t>
        </is>
      </c>
    </row>
    <row r="41" ht="108" customHeight="1">
      <c r="A41" s="29" t="inlineStr">
        <is>
          <t>MCQ: Which URL asks only for paid orders?
A) /paid B) /orders?status=paid C) /orders/paid/all/none D) /orders#paid
FILL: A parameter such as sort=-created_at controls the ____ of results
APPLY: How do you get the newest orders first?</t>
        </is>
      </c>
      <c r="B41" s="29" t="inlineStr">
        <is>
          <t>MCQ answer: B  A query parameter is the usual way to filter a list.
Fill answer: order
Apply: Add a sort parameter such as sort=-created_at</t>
        </is>
      </c>
      <c r="C41" s="29" t="inlineStr">
        <is>
          <t>06_Real-world_handling_Intermediate_API-040_quiz</t>
        </is>
      </c>
    </row>
    <row r="42" ht="94.5" customHeight="1">
      <c r="A42" s="29" t="inlineStr">
        <is>
          <t>MCQ: What does status 304 mean?
A) Not Modified B) Server Error C) Not Found D) Bad Request
FILL: A conditional request sends the ____ header with the stored ETag
APPLY: How can an app avoid downloading unchanged data?</t>
        </is>
      </c>
      <c r="B42" s="29" t="inlineStr">
        <is>
          <t>MCQ answer: A  304 tells the client its stored copy is still valid.
Fill answer: If-None-Match
Apply: Send If-None-Match with the stored ETag and reuse the copy on 304</t>
        </is>
      </c>
      <c r="C42" s="29" t="inlineStr">
        <is>
          <t>06_Real-world_handling_Advanced_API-041_quiz</t>
        </is>
      </c>
    </row>
    <row r="43" ht="94.5" customHeight="1">
      <c r="A43" s="29" t="inlineStr">
        <is>
          <t>MCQ: Which change needs a new API version?
A) Adding an optional field B) Removing a field clients rely on C) Fixing a typo in docs D) Improving speed
FILL: Announcing that an old version will end is called ____
APPLY: How do you protect an integration from sudden changes?</t>
        </is>
      </c>
      <c r="B43" s="29" t="inlineStr">
        <is>
          <t>MCQ answer: B  Removing a field is a breaking change.
Fill answer: deprecation
Apply: Pin it to a specific API version</t>
        </is>
      </c>
      <c r="C43" s="29" t="inlineStr">
        <is>
          <t>06_Real-world_handling_Advanced_API-042_quiz</t>
        </is>
      </c>
    </row>
    <row r="44" ht="108" customHeight="1">
      <c r="A44" s="29" t="inlineStr">
        <is>
          <t>MCQ: Who sends the request in a webhook?
A) The user B) The browser C) The database D) The provider
FILL: You return a ____ status quickly to confirm receipt of a webhook
APPLY: How do you learn that a payment succeeded without asking repeatedly?</t>
        </is>
      </c>
      <c r="B44" s="29" t="inlineStr">
        <is>
          <t>MCQ answer: D  A webhook is the provider calling your registered URL.
Fill answer: 2xx
Apply: Register a webhook for the payment event</t>
        </is>
      </c>
      <c r="C44" s="29" t="inlineStr">
        <is>
          <t>07_Webhooks_and_async_Intermediate_API-043_quiz</t>
        </is>
      </c>
    </row>
    <row r="45" ht="148.5" customHeight="1">
      <c r="A45" s="29" t="inlineStr">
        <is>
          <t>MCQ: What do you compute the signature from?
A) The response B) The URL only C) The exact raw body D) The parsed object
FILL: Webhook signatures are usually an ____ of the body with a shared secret
HINDI TO TASK: Compute a sha256 HMAC of the raw body with a secret.
PRACTICE QUESTION: Why compare signatures with a timing-safe function?</t>
        </is>
      </c>
      <c r="B45" s="29" t="inlineStr">
        <is>
          <t>MCQ answer: C  Only the exact raw bytes give the same signature as the sender.
Fill answer: HMAC
Task answer:
crypto.createHmac("sha256", secret).update(rawBody).digest("hex")
Practice answer:
To avoid leaking information through how long the comparison takes.</t>
        </is>
      </c>
      <c r="C45" s="29" t="inlineStr">
        <is>
          <t>07_Webhooks_and_async_Advanced_API-044_quiz</t>
        </is>
      </c>
    </row>
    <row r="46" ht="94.5" customHeight="1">
      <c r="A46" s="29" t="inlineStr">
        <is>
          <t>MCQ: Which approach delivers an event the moment it happens?
A) Polling every hour B) Webhook C) Cron job D) Manual refresh
FILL: Repeatedly asking an API whether something changed is called ____
APPLY: A job takes minutes and has no webhook. What can you do?</t>
        </is>
      </c>
      <c r="B46" s="29" t="inlineStr">
        <is>
          <t>MCQ answer: B  A webhook is sent by the provider as soon as the event occurs.
Fill answer: polling
Apply: Poll its status at sensible intervals with a limit</t>
        </is>
      </c>
      <c r="C46" s="29" t="inlineStr">
        <is>
          <t>07_Webhooks_and_async_Intermediate_API-045_quiz</t>
        </is>
      </c>
    </row>
    <row r="47" ht="108" customHeight="1">
      <c r="A47" s="29" t="inlineStr">
        <is>
          <t>MCQ: How do you detect a duplicate webhook?
A) Compare the time B) Check the URL C) Check whether its event id is already stored D) Count the headers
FILL: Providers usually guarantee delivery at ____ once
APPLY: The same payment event arrives twice. What should your handler do?</t>
        </is>
      </c>
      <c r="B47" s="29" t="inlineStr">
        <is>
          <t>MCQ answer: C  A stored event id shows the event was already processed.
Fill answer: least
Apply: Recognise the stored event id and skip processing</t>
        </is>
      </c>
      <c r="C47" s="29" t="inlineStr">
        <is>
          <t>07_Webhooks_and_async_Advanced_API-046_quiz</t>
        </is>
      </c>
    </row>
    <row r="48" ht="108" customHeight="1">
      <c r="A48" s="29" t="inlineStr">
        <is>
          <t>MCQ: What does an OpenAPI file describe?
A) A network cable B) A database C) A web page design D) An API's endpoints and formats
FILL: The tool that shows interactive docs from an OpenAPI file is Swagger ____
APPLY: How can docs always match the API?</t>
        </is>
      </c>
      <c r="B48" s="29" t="inlineStr">
        <is>
          <t>MCQ answer: D  It lists endpoints, parameters, bodies, responses and security.
Fill answer: UI
Apply: Generate them from one OpenAPI file</t>
        </is>
      </c>
      <c r="C48" s="29" t="inlineStr">
        <is>
          <t>08_Design_and_advanced_Intermediate_API-047_quiz</t>
        </is>
      </c>
    </row>
    <row r="49" ht="94.5" customHeight="1">
      <c r="A49" s="29" t="inlineStr">
        <is>
          <t>MCQ: How many endpoints does a typical GraphQL API expose?
A) One B) One per field C) None D) One per resource
FILL: Getting more fields than you need is called over-____
APPLY: A screen needs data from three REST endpoints. What could reduce the calls?</t>
        </is>
      </c>
      <c r="B49" s="29" t="inlineStr">
        <is>
          <t>MCQ answer: A  GraphQL commonly uses a single endpoint for all queries.
Fill answer: fetching
Apply: A single GraphQL query</t>
        </is>
      </c>
      <c r="C49" s="29" t="inlineStr">
        <is>
          <t>08_Design_and_advanced_Advanced_API-048_quiz</t>
        </is>
      </c>
    </row>
    <row r="50" ht="94.5" customHeight="1">
      <c r="A50" s="29" t="inlineStr">
        <is>
          <t>MCQ: What format does gRPC use for messages?
A) CSV B) Protocol Buffers C) XML D) HTML
FILL: gRPC runs on top of HTTP/____
APPLY: Two internal services need fast, strictly typed calls. What could you use?</t>
        </is>
      </c>
      <c r="B50" s="29" t="inlineStr">
        <is>
          <t>MCQ answer: B  gRPC messages are defined and encoded with Protocol Buffers.
Fill answer: 2
Apply: gRPC</t>
        </is>
      </c>
      <c r="C50" s="29" t="inlineStr">
        <is>
          <t>08_Design_and_advanced_Advanced_API-049_quiz</t>
        </is>
      </c>
    </row>
    <row r="51" ht="94.5" customHeight="1">
      <c r="A51" s="29" t="inlineStr">
        <is>
          <t>MCQ: What is the role of an API gateway?
A) A chart tool B) A programming language C) A single entry point that routes and protects requests D) A database
FILL: A gateway can ____ requests to the right backend service
APPLY: Where would you put token checking for ten services?</t>
        </is>
      </c>
      <c r="B51" s="29" t="inlineStr">
        <is>
          <t>MCQ answer: C  A gateway routes requests and applies shared rules such as authentication.
Fill answer: route
Apply: In an API gateway in front of them</t>
        </is>
      </c>
      <c r="C51" s="29" t="inlineStr">
        <is>
          <t>08_Design_and_advanced_Advanced_API-050_quiz</t>
        </is>
      </c>
    </row>
    <row r="52" ht="121.5" customHeight="1">
      <c r="A52" s="29" t="inlineStr">
        <is>
          <t>MCQ: Where is a CORS error fixed?
A) In the server's response headers B) In the database C) In the user's browser settings only D) In the DNS
FILL: A request that checks permission before the real call is called a ____
APPLY: A call works in curl but fails in the browser. What is likely the cause?</t>
        </is>
      </c>
      <c r="B52" s="29" t="inlineStr">
        <is>
          <t>MCQ answer: A  The server must send headers that allow the requesting origin.
Fill answer: preflight
Apply: A CORS restriction on the server</t>
        </is>
      </c>
      <c r="C52" s="29" t="inlineStr">
        <is>
          <t>08_Design_and_advanced_Intermediate_API-051_quiz</t>
        </is>
      </c>
    </row>
    <row r="53" ht="94.5" customHeight="1">
      <c r="A53" s="29" t="inlineStr">
        <is>
          <t>MCQ: Why use mocks when testing API calls?
A) They make the API faster B) They encrypt data C) They remove the need for code D) Tests become fast and repeatable
FILL: A provider's safe test environment is called a ____
APPLY: How can you test how your app handles a 500 error?</t>
        </is>
      </c>
      <c r="B53" s="29" t="inlineStr">
        <is>
          <t>MCQ answer: D  Mocks give controlled responses without the real service.
Fill answer: sandbox
Apply: Use a mock that returns a 500 response</t>
        </is>
      </c>
      <c r="C53" s="29" t="inlineStr">
        <is>
          <t>08_Design_and_advanced_Intermediate_API-052_quiz</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90" customWidth="1" min="1" max="1"/>
    <col width="10" customWidth="1" min="2" max="2"/>
  </cols>
  <sheetData>
    <row r="1">
      <c r="A1" s="21" t="inlineStr">
        <is>
          <t>Cards by type</t>
        </is>
      </c>
    </row>
    <row r="2">
      <c r="A2" t="inlineStr">
        <is>
          <t>Topic (56-pt)</t>
        </is>
      </c>
      <c r="B2" t="n">
        <v>38</v>
      </c>
    </row>
    <row r="3">
      <c r="A3" t="inlineStr">
        <is>
          <t>Code concept (56-pt)</t>
        </is>
      </c>
      <c r="B3" t="n">
        <v>14</v>
      </c>
    </row>
    <row r="5">
      <c r="A5" s="21" t="inlineStr">
        <is>
          <t>Cards by topic</t>
        </is>
      </c>
    </row>
    <row r="6">
      <c r="A6" t="inlineStr">
        <is>
          <t>02 HTTP</t>
        </is>
      </c>
      <c r="B6" t="n">
        <v>8</v>
      </c>
    </row>
    <row r="7">
      <c r="A7" t="inlineStr">
        <is>
          <t>04 Authentication</t>
        </is>
      </c>
      <c r="B7" t="n">
        <v>8</v>
      </c>
    </row>
    <row r="8">
      <c r="A8" t="inlineStr">
        <is>
          <t>06 Real-world handling</t>
        </is>
      </c>
      <c r="B8" t="n">
        <v>8</v>
      </c>
    </row>
    <row r="9">
      <c r="A9" t="inlineStr">
        <is>
          <t>01 Basics</t>
        </is>
      </c>
      <c r="B9" t="n">
        <v>7</v>
      </c>
    </row>
    <row r="10">
      <c r="A10" t="inlineStr">
        <is>
          <t>05 Making calls</t>
        </is>
      </c>
      <c r="B10" t="n">
        <v>7</v>
      </c>
    </row>
    <row r="11">
      <c r="A11" t="inlineStr">
        <is>
          <t>08 Design and advanced</t>
        </is>
      </c>
      <c r="B11" t="n">
        <v>6</v>
      </c>
    </row>
    <row r="12">
      <c r="A12" t="inlineStr">
        <is>
          <t>03 Data formats</t>
        </is>
      </c>
      <c r="B12" t="n">
        <v>4</v>
      </c>
    </row>
    <row r="13">
      <c r="A13" t="inlineStr">
        <is>
          <t>07 Webhooks and async</t>
        </is>
      </c>
      <c r="B13" t="n">
        <v>4</v>
      </c>
    </row>
    <row r="15">
      <c r="A15" s="21" t="inlineStr">
        <is>
          <t>Cards by level</t>
        </is>
      </c>
    </row>
    <row r="16">
      <c r="A16" t="inlineStr">
        <is>
          <t>Intermediate</t>
        </is>
      </c>
      <c r="B16" t="n">
        <v>22</v>
      </c>
    </row>
    <row r="17">
      <c r="A17" t="inlineStr">
        <is>
          <t>Beginner</t>
        </is>
      </c>
      <c r="B17" t="n">
        <v>21</v>
      </c>
    </row>
    <row r="18">
      <c r="A18" t="inlineStr">
        <is>
          <t>Advanced</t>
        </is>
      </c>
      <c r="B18" t="n">
        <v>9</v>
      </c>
    </row>
    <row r="20">
      <c r="A20" s="21" t="inlineStr">
        <is>
          <t>Cards by source</t>
        </is>
      </c>
    </row>
    <row r="21">
      <c r="A21" t="inlineStr">
        <is>
          <t>Claude knowledge</t>
        </is>
      </c>
      <c r="B21" t="n">
        <v>52</v>
      </c>
    </row>
    <row r="23">
      <c r="A23" s="21" t="inlineStr">
        <is>
          <t>Error check</t>
        </is>
      </c>
    </row>
    <row r="24">
      <c r="A24" t="inlineStr">
        <is>
          <t>0 errors, 0 warnings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2026-10-07T16:54:23Z</dcterms:created>
  <dcterms:modified xmlns:dcterms="http://purl.org/dc/terms/" xmlns:xsi="http://www.w3.org/2001/XMLSchema-instance" xsi:type="dcterms:W3CDTF">2026-10-07T16:54:23Z</dcterms:modified>
</cp:coreProperties>
</file>