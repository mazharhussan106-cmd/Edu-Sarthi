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ode concept (56-pt) cards" sheetId="2" state="visible" r:id="rId2"/>
    <sheet xmlns:r="http://schemas.openxmlformats.org/officeDocument/2006/relationships" name="Code card view" sheetId="3" state="visible" r:id="rId3"/>
    <sheet xmlns:r="http://schemas.openxmlformats.org/officeDocument/2006/relationships" name="Topic (56-pt) cards" sheetId="4" state="visible" r:id="rId4"/>
    <sheet xmlns:r="http://schemas.openxmlformats.org/officeDocument/2006/relationships" name="Topic card view" sheetId="5" state="visible" r:id="rId5"/>
    <sheet xmlns:r="http://schemas.openxmlformats.org/officeDocument/2006/relationships" name="Anki Import" sheetId="6" state="visible" r:id="rId6"/>
    <sheet xmlns:r="http://schemas.openxmlformats.org/officeDocument/2006/relationships" name="Anki Quiz" sheetId="7" state="visible" r:id="rId7"/>
    <sheet xmlns:r="http://schemas.openxmlformats.org/officeDocument/2006/relationships" name="Summary" sheetId="8" state="visible" r:id="rId8"/>
  </sheets>
  <definedNames>
    <definedName name="_xlnm._FilterDatabase" localSheetId="1" hidden="1">'Code concept (56-pt) cards'!$A$2:$BN$14</definedName>
    <definedName name="_xlnm._FilterDatabase" localSheetId="3" hidden="1">'Topic (56-pt) cards'!$A$2:$BB$30</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sz val="14"/>
    </font>
    <font>
      <sz val="11"/>
    </font>
    <font>
      <b val="1"/>
      <sz val="11"/>
    </font>
    <font>
      <b val="1"/>
      <color rgb="00FFFFFF"/>
    </font>
    <font>
      <b val="1"/>
    </font>
    <font>
      <name val="Consolas"/>
      <sz val="10"/>
    </font>
    <font>
      <b val="1"/>
      <color rgb="001F3864"/>
      <sz val="16"/>
    </font>
    <font>
      <b val="1"/>
      <color rgb="00C00000"/>
      <sz val="12"/>
    </font>
    <font>
      <b val="1"/>
      <color rgb="00FFFFFF"/>
      <sz val="12"/>
    </font>
    <font>
      <b val="1"/>
      <color rgb="001F3864"/>
    </font>
  </fonts>
  <fills count="21">
    <fill>
      <patternFill/>
    </fill>
    <fill>
      <patternFill patternType="gray125"/>
    </fill>
    <fill>
      <patternFill patternType="solid">
        <fgColor rgb="00FFF4D6"/>
      </patternFill>
    </fill>
    <fill>
      <patternFill patternType="solid">
        <fgColor rgb="00374151"/>
      </patternFill>
    </fill>
    <fill>
      <patternFill patternType="solid">
        <fgColor rgb="001F3A68"/>
      </patternFill>
    </fill>
    <fill>
      <patternFill patternType="solid">
        <fgColor rgb="000F7F74"/>
      </patternFill>
    </fill>
    <fill>
      <patternFill patternType="solid">
        <fgColor rgb="00B35500"/>
      </patternFill>
    </fill>
    <fill>
      <patternFill patternType="solid">
        <fgColor rgb="00475569"/>
      </patternFill>
    </fill>
    <fill>
      <patternFill patternType="solid">
        <fgColor rgb="005B21B6"/>
      </patternFill>
    </fill>
    <fill>
      <patternFill patternType="solid">
        <fgColor rgb="00E5E7EB"/>
      </patternFill>
    </fill>
    <fill>
      <patternFill patternType="solid">
        <fgColor rgb="00DBE4F3"/>
      </patternFill>
    </fill>
    <fill>
      <patternFill patternType="solid">
        <fgColor rgb="00D5EFEC"/>
      </patternFill>
    </fill>
    <fill>
      <patternFill patternType="solid">
        <fgColor rgb="00F8E3CF"/>
      </patternFill>
    </fill>
    <fill>
      <patternFill patternType="solid">
        <fgColor rgb="00E2E8F0"/>
      </patternFill>
    </fill>
    <fill>
      <patternFill patternType="solid">
        <fgColor rgb="00E9DDFB"/>
      </patternFill>
    </fill>
    <fill>
      <patternFill patternType="solid">
        <fgColor rgb="00FFF2CC"/>
      </patternFill>
    </fill>
    <fill>
      <patternFill patternType="solid">
        <fgColor rgb="001F5FA8"/>
      </patternFill>
    </fill>
    <fill>
      <patternFill patternType="solid">
        <fgColor rgb="00F2F2F2"/>
      </patternFill>
    </fill>
    <fill>
      <patternFill patternType="solid">
        <fgColor rgb="002F7D4F"/>
      </patternFill>
    </fill>
    <fill>
      <patternFill patternType="solid">
        <fgColor rgb="00C2561A"/>
      </patternFill>
    </fill>
    <fill>
      <patternFill patternType="solid">
        <fgColor rgb="001F3864"/>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2" borderId="0" pivotButton="0" quotePrefix="0" xfId="0"/>
    <xf numFmtId="0" fontId="4" fillId="3" borderId="0" applyAlignment="1" pivotButton="0" quotePrefix="0" xfId="0">
      <alignment horizontal="center"/>
    </xf>
    <xf numFmtId="0" fontId="4" fillId="4" borderId="0" applyAlignment="1" pivotButton="0" quotePrefix="0" xfId="0">
      <alignment horizontal="center"/>
    </xf>
    <xf numFmtId="0" fontId="4" fillId="5" borderId="0" applyAlignment="1" pivotButton="0" quotePrefix="0" xfId="0">
      <alignment horizontal="center"/>
    </xf>
    <xf numFmtId="0" fontId="4" fillId="6" borderId="0" applyAlignment="1" pivotButton="0" quotePrefix="0" xfId="0">
      <alignment horizontal="center"/>
    </xf>
    <xf numFmtId="0" fontId="4" fillId="7" borderId="0" applyAlignment="1" pivotButton="0" quotePrefix="0" xfId="0">
      <alignment horizontal="center"/>
    </xf>
    <xf numFmtId="0" fontId="4" fillId="8" borderId="0" applyAlignment="1" pivotButton="0" quotePrefix="0" xfId="0">
      <alignment horizontal="center"/>
    </xf>
    <xf numFmtId="0" fontId="5" fillId="9" borderId="1" applyAlignment="1" pivotButton="0" quotePrefix="0" xfId="0">
      <alignment vertical="top" wrapText="1"/>
    </xf>
    <xf numFmtId="0" fontId="5" fillId="10" borderId="1" applyAlignment="1" pivotButton="0" quotePrefix="0" xfId="0">
      <alignment vertical="top" wrapText="1"/>
    </xf>
    <xf numFmtId="0" fontId="5" fillId="11" borderId="1" applyAlignment="1" pivotButton="0" quotePrefix="0" xfId="0">
      <alignment vertical="top" wrapText="1"/>
    </xf>
    <xf numFmtId="0" fontId="5" fillId="12" borderId="1" applyAlignment="1" pivotButton="0" quotePrefix="0" xfId="0">
      <alignment vertical="top" wrapText="1"/>
    </xf>
    <xf numFmtId="0" fontId="5" fillId="13" borderId="1" applyAlignment="1" pivotButton="0" quotePrefix="0" xfId="0">
      <alignment vertical="top" wrapText="1"/>
    </xf>
    <xf numFmtId="0" fontId="5" fillId="14" borderId="1" applyAlignment="1" pivotButton="0" quotePrefix="0" xfId="0">
      <alignment vertical="top" wrapText="1"/>
    </xf>
    <xf numFmtId="0" fontId="0" fillId="0" borderId="1" applyAlignment="1" pivotButton="0" quotePrefix="0" xfId="0">
      <alignment vertical="top" wrapText="1"/>
    </xf>
    <xf numFmtId="0" fontId="0" fillId="2" borderId="1" applyAlignment="1" pivotButton="0" quotePrefix="0" xfId="0">
      <alignment vertical="top" wrapText="1"/>
    </xf>
    <xf numFmtId="0" fontId="6" fillId="2" borderId="1" applyAlignment="1" pivotButton="0" quotePrefix="0" xfId="0">
      <alignment vertical="top" wrapText="1"/>
    </xf>
    <xf numFmtId="0" fontId="7" fillId="0" borderId="0" pivotButton="0" quotePrefix="0" xfId="0"/>
    <xf numFmtId="0" fontId="5" fillId="0" borderId="0" pivotButton="0" quotePrefix="0" xfId="0"/>
    <xf numFmtId="0" fontId="8" fillId="15" borderId="1" pivotButton="0" quotePrefix="0" xfId="0"/>
    <xf numFmtId="0" fontId="9" fillId="16" borderId="0" applyAlignment="1" pivotButton="0" quotePrefix="0" xfId="0">
      <alignment horizontal="center"/>
    </xf>
    <xf numFmtId="0" fontId="10" fillId="17" borderId="1" applyAlignment="1" pivotButton="0" quotePrefix="0" xfId="0">
      <alignment vertical="top" wrapText="1"/>
    </xf>
    <xf numFmtId="0" fontId="9" fillId="18" borderId="0" applyAlignment="1" pivotButton="0" quotePrefix="0" xfId="0">
      <alignment horizontal="center"/>
    </xf>
    <xf numFmtId="0" fontId="6" fillId="0" borderId="1" applyAlignment="1" pivotButton="0" quotePrefix="0" xfId="0">
      <alignment vertical="top" wrapText="1"/>
    </xf>
    <xf numFmtId="0" fontId="9" fillId="19" borderId="0" applyAlignment="1" pivotButton="0" quotePrefix="0" xfId="0">
      <alignment horizontal="center"/>
    </xf>
    <xf numFmtId="0" fontId="4" fillId="2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1" t="inlineStr">
        <is>
          <t>CI/CD – Beginner to Advanced Flashcards</t>
        </is>
      </c>
    </row>
    <row r="2">
      <c r="A2" s="2" t="inlineStr">
        <is>
          <t>Subject: CI/CD and GitHub Actions   ·   Learner: Self learner, English   ·   Cards: 40</t>
        </is>
      </c>
    </row>
    <row r="3">
      <c r="A3" s="2" t="inlineStr">
        <is>
          <t>Source: Claude knowledge</t>
        </is>
      </c>
    </row>
    <row r="4">
      <c r="A4" s="2" t="inlineStr"/>
    </row>
    <row r="5">
      <c r="A5" s="3" t="inlineStr">
        <is>
          <t>How to study a card</t>
        </is>
      </c>
    </row>
    <row r="6">
      <c r="A6" s="2" t="inlineStr">
        <is>
          <t>1. Read Side 1 only. Try to say the meaning, answer or formula out loud before looking further.</t>
        </is>
      </c>
    </row>
    <row r="7">
      <c r="A7" s="2" t="inlineStr">
        <is>
          <t>2. Check yourself against Side 2. Read the examples and the common mistake.</t>
        </is>
      </c>
    </row>
    <row r="8">
      <c r="A8" s="2" t="inlineStr">
        <is>
          <t>3. Do the practice on Side 3 without looking back. Then mark Status: New → Learning → Known.</t>
        </is>
      </c>
    </row>
    <row r="9">
      <c r="A9" s="2" t="inlineStr">
        <is>
          <t>4. Review on days 1, 3, 7, 15, 30, 60 after first study: write the date or ✓ in that day's column.</t>
        </is>
      </c>
    </row>
    <row r="10">
      <c r="A10" s="2" t="inlineStr">
        <is>
          <t xml:space="preserve">   Got it wrong on a review? Start that card's days again from Day 1.</t>
        </is>
      </c>
    </row>
    <row r="11">
      <c r="A11" s="2" t="inlineStr">
        <is>
          <t>5. Follow 'Study order': prerequisites come first, then easy to hard.</t>
        </is>
      </c>
    </row>
    <row r="12">
      <c r="A12" s="2" t="inlineStr"/>
    </row>
    <row r="13">
      <c r="A13" s="3" t="inlineStr">
        <is>
          <t>Colours</t>
        </is>
      </c>
    </row>
    <row r="14">
      <c r="A14" s="4" t="inlineStr">
        <is>
          <t>Shaded cells were added by Claude, not taken from your own book or notes. Check them against a trusted source,</t>
        </is>
      </c>
    </row>
    <row r="15">
      <c r="A15" s="2" t="inlineStr">
        <is>
          <t>and mark the card 'Fix' in the OK / Fix column if anything is wrong. Unshaded cells came from your 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1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42" customWidth="1" min="7" max="7"/>
    <col width="18" customWidth="1" min="8" max="8"/>
    <col width="18" customWidth="1" min="9" max="9"/>
    <col width="18" customWidth="1" min="10" max="10"/>
    <col width="18" customWidth="1" min="11" max="11"/>
    <col width="42" customWidth="1" min="12" max="12"/>
    <col width="42" customWidth="1" min="13" max="13"/>
    <col width="42" customWidth="1" min="14" max="14"/>
    <col width="42" customWidth="1" min="15" max="15"/>
    <col width="42" customWidth="1" min="16" max="16"/>
    <col width="42" customWidth="1" min="17" max="17"/>
    <col width="18" customWidth="1" min="18" max="18"/>
    <col width="18" customWidth="1" min="19" max="19"/>
    <col width="42" customWidth="1" min="20" max="20"/>
    <col width="42" customWidth="1" min="21" max="21"/>
    <col width="42" customWidth="1" min="22" max="22"/>
    <col width="42" customWidth="1" min="23" max="23"/>
    <col width="42" customWidth="1" min="24" max="24"/>
    <col width="18" customWidth="1" min="25" max="25"/>
    <col width="18" customWidth="1" min="26" max="26"/>
    <col width="42" customWidth="1" min="27" max="27"/>
    <col width="42" customWidth="1" min="28" max="28"/>
    <col width="42" customWidth="1" min="29" max="29"/>
    <col width="42" customWidth="1" min="30" max="30"/>
    <col width="18" customWidth="1" min="31" max="31"/>
    <col width="18" customWidth="1" min="32" max="32"/>
    <col width="18" customWidth="1" min="33" max="33"/>
    <col width="42" customWidth="1" min="34" max="34"/>
    <col width="42" customWidth="1" min="35" max="35"/>
    <col width="42" customWidth="1" min="36" max="36"/>
    <col width="42" customWidth="1" min="37" max="37"/>
    <col width="42" customWidth="1" min="38" max="38"/>
    <col width="42" customWidth="1" min="39" max="39"/>
    <col width="42" customWidth="1" min="40" max="40"/>
    <col width="42" customWidth="1" min="41" max="41"/>
    <col width="42" customWidth="1" min="42" max="42"/>
    <col width="42" customWidth="1" min="43" max="43"/>
    <col width="42" customWidth="1" min="44" max="44"/>
    <col width="42" customWidth="1" min="45" max="45"/>
    <col width="42" customWidth="1" min="46" max="46"/>
    <col width="42" customWidth="1" min="47" max="47"/>
    <col width="18" customWidth="1" min="48" max="48"/>
    <col width="18" customWidth="1" min="49" max="49"/>
    <col width="42" customWidth="1" min="50" max="50"/>
    <col width="42" customWidth="1" min="51" max="51"/>
    <col width="42" customWidth="1" min="52" max="52"/>
    <col width="42" customWidth="1" min="53" max="53"/>
    <col width="42" customWidth="1" min="54" max="54"/>
    <col width="42" customWidth="1" min="55" max="55"/>
    <col width="18" customWidth="1" min="56" max="56"/>
    <col width="42" customWidth="1" min="57" max="57"/>
    <col width="18" customWidth="1" min="58" max="58"/>
    <col width="9" customWidth="1" min="59" max="59"/>
    <col width="9" customWidth="1" min="60" max="60"/>
    <col width="9" customWidth="1" min="61" max="61"/>
    <col width="9" customWidth="1" min="62" max="62"/>
    <col width="9" customWidth="1" min="63" max="63"/>
    <col width="9" customWidth="1" min="64" max="64"/>
    <col width="18" customWidth="1" min="65" max="65"/>
    <col width="18" customWidth="1" min="66" max="66"/>
  </cols>
  <sheetData>
    <row r="1">
      <c r="A1" s="5" t="inlineStr">
        <is>
          <t>Card</t>
        </is>
      </c>
      <c r="F1" s="6" t="inlineStr">
        <is>
          <t>Side 1 · Recognition</t>
        </is>
      </c>
      <c r="R1" s="7" t="inlineStr">
        <is>
          <t>Side 2 · Understanding</t>
        </is>
      </c>
      <c r="AT1" s="8" t="inlineStr">
        <is>
          <t>Side 3 · Real life &amp; Practice</t>
        </is>
      </c>
      <c r="BD1" s="9" t="inlineStr">
        <is>
          <t>Auto</t>
        </is>
      </c>
      <c r="BF1" s="10" t="inlineStr">
        <is>
          <t>My review</t>
        </is>
      </c>
    </row>
    <row r="2">
      <c r="A2" s="11" t="inlineStr">
        <is>
          <t>ID</t>
        </is>
      </c>
      <c r="B2" s="11" t="inlineStr">
        <is>
          <t>Topic</t>
        </is>
      </c>
      <c r="C2" s="11" t="inlineStr">
        <is>
          <t>Level</t>
        </is>
      </c>
      <c r="D2" s="11" t="inlineStr">
        <is>
          <t>Study order</t>
        </is>
      </c>
      <c r="E2" s="11" t="inlineStr">
        <is>
          <t>Source</t>
        </is>
      </c>
      <c r="F2" s="12" t="inlineStr">
        <is>
          <t>Concept</t>
        </is>
      </c>
      <c r="G2" s="12" t="inlineStr">
        <is>
          <t>Recall cue</t>
        </is>
      </c>
      <c r="H2" s="12" t="inlineStr">
        <is>
          <t>Read aloud</t>
        </is>
      </c>
      <c r="I2" s="12" t="inlineStr">
        <is>
          <t>Type</t>
        </is>
      </c>
      <c r="J2" s="12" t="inlineStr">
        <is>
          <t>How often used</t>
        </is>
      </c>
      <c r="K2" s="12" t="inlineStr">
        <is>
          <t>Importance (1-5)</t>
        </is>
      </c>
      <c r="L2" s="12" t="inlineStr">
        <is>
          <t>Origin / why it exists</t>
        </is>
      </c>
      <c r="M2" s="12" t="inlineStr">
        <is>
          <t>Pro tip</t>
        </is>
      </c>
      <c r="N2" s="12" t="inlineStr">
        <is>
          <t>Typing hint</t>
        </is>
      </c>
      <c r="O2" s="12" t="inlineStr">
        <is>
          <t>Memory story</t>
        </is>
      </c>
      <c r="P2" s="12" t="inlineStr">
        <is>
          <t>Picture it</t>
        </is>
      </c>
      <c r="Q2" s="12" t="inlineStr">
        <is>
          <t>Emotion hook</t>
        </is>
      </c>
      <c r="R2" s="13" t="inlineStr">
        <is>
          <t>Meaning (short)</t>
        </is>
      </c>
      <c r="S2" s="13" t="inlineStr">
        <is>
          <t>Meaning in learner's language</t>
        </is>
      </c>
      <c r="T2" s="13" t="inlineStr">
        <is>
          <t>Code</t>
        </is>
      </c>
      <c r="U2" s="13" t="inlineStr">
        <is>
          <t>Output</t>
        </is>
      </c>
      <c r="V2" s="13" t="inlineStr">
        <is>
          <t>Explanation</t>
        </is>
      </c>
      <c r="W2" s="13" t="inlineStr">
        <is>
          <t>Simple explanation (Hinglish)</t>
        </is>
      </c>
      <c r="X2" s="13" t="inlineStr">
        <is>
          <t>Real-life analogy</t>
        </is>
      </c>
      <c r="Y2" s="13" t="inlineStr">
        <is>
          <t>Syntax pattern</t>
        </is>
      </c>
      <c r="Z2" s="13" t="inlineStr">
        <is>
          <t>Anatomy</t>
        </is>
      </c>
      <c r="AA2" s="13" t="inlineStr">
        <is>
          <t>Example 1</t>
        </is>
      </c>
      <c r="AB2" s="13" t="inlineStr">
        <is>
          <t>Example 2</t>
        </is>
      </c>
      <c r="AC2" s="13" t="inlineStr">
        <is>
          <t>Example 3</t>
        </is>
      </c>
      <c r="AD2" s="13" t="inlineStr">
        <is>
          <t>Variation</t>
        </is>
      </c>
      <c r="AE2" s="13" t="inlineStr">
        <is>
          <t>Used with</t>
        </is>
      </c>
      <c r="AF2" s="13" t="inlineStr">
        <is>
          <t>Related concepts</t>
        </is>
      </c>
      <c r="AG2" s="13" t="inlineStr">
        <is>
          <t>Alternatives</t>
        </is>
      </c>
      <c r="AH2" s="13" t="inlineStr">
        <is>
          <t>Family / group</t>
        </is>
      </c>
      <c r="AI2" s="13" t="inlineStr">
        <is>
          <t>Where it is used</t>
        </is>
      </c>
      <c r="AJ2" s="13" t="inlineStr">
        <is>
          <t>Mini conversation</t>
        </is>
      </c>
      <c r="AK2" s="13" t="inlineStr">
        <is>
          <t>Common mistake</t>
        </is>
      </c>
      <c r="AL2" s="13" t="inlineStr">
        <is>
          <t>Commonly confused with</t>
        </is>
      </c>
      <c r="AM2" s="13" t="inlineStr">
        <is>
          <t>Avoid / don't</t>
        </is>
      </c>
      <c r="AN2" s="13" t="inlineStr">
        <is>
          <t>Wrong code</t>
        </is>
      </c>
      <c r="AO2" s="13" t="inlineStr">
        <is>
          <t>Right code</t>
        </is>
      </c>
      <c r="AP2" s="13" t="inlineStr">
        <is>
          <t>Memory trick</t>
        </is>
      </c>
      <c r="AQ2" s="13" t="inlineStr">
        <is>
          <t>Real life: project / work</t>
        </is>
      </c>
      <c r="AR2" s="13" t="inlineStr">
        <is>
          <t>Real life: interview / exam</t>
        </is>
      </c>
      <c r="AS2" s="13" t="inlineStr">
        <is>
          <t>Real life: daily life</t>
        </is>
      </c>
      <c r="AT2" s="14" t="inlineStr">
        <is>
          <t>MCQ question</t>
        </is>
      </c>
      <c r="AU2" s="14" t="inlineStr">
        <is>
          <t>MCQ options</t>
        </is>
      </c>
      <c r="AV2" s="14" t="inlineStr">
        <is>
          <t>MCQ answer</t>
        </is>
      </c>
      <c r="AW2" s="14" t="inlineStr">
        <is>
          <t>Why that answer</t>
        </is>
      </c>
      <c r="AX2" s="14" t="inlineStr">
        <is>
          <t>Fill the blank</t>
        </is>
      </c>
      <c r="AY2" s="14" t="inlineStr">
        <is>
          <t>Try it yourself</t>
        </is>
      </c>
      <c r="AZ2" s="14" t="inlineStr">
        <is>
          <t>Task answer</t>
        </is>
      </c>
      <c r="BA2" s="14" t="inlineStr">
        <is>
          <t>Write your own</t>
        </is>
      </c>
      <c r="BB2" s="14" t="inlineStr">
        <is>
          <t>Practice question</t>
        </is>
      </c>
      <c r="BC2" s="14" t="inlineStr">
        <is>
          <t>Practice answer</t>
        </is>
      </c>
      <c r="BD2" s="15" t="inlineStr">
        <is>
          <t>Importance ★</t>
        </is>
      </c>
      <c r="BE2" s="15" t="inlineStr">
        <is>
          <t>Quick recall (reverse)</t>
        </is>
      </c>
      <c r="BF2" s="16" t="inlineStr">
        <is>
          <t>Status</t>
        </is>
      </c>
      <c r="BG2" s="16" t="inlineStr">
        <is>
          <t>Day 1</t>
        </is>
      </c>
      <c r="BH2" s="16" t="inlineStr">
        <is>
          <t>Day 3</t>
        </is>
      </c>
      <c r="BI2" s="16" t="inlineStr">
        <is>
          <t>Day 7</t>
        </is>
      </c>
      <c r="BJ2" s="16" t="inlineStr">
        <is>
          <t>Day 15</t>
        </is>
      </c>
      <c r="BK2" s="16" t="inlineStr">
        <is>
          <t>Day 30</t>
        </is>
      </c>
      <c r="BL2" s="16" t="inlineStr">
        <is>
          <t>Day 60</t>
        </is>
      </c>
      <c r="BM2" s="16" t="inlineStr">
        <is>
          <t>OK / Fix</t>
        </is>
      </c>
      <c r="BN2" s="16" t="inlineStr">
        <is>
          <t>My note</t>
        </is>
      </c>
    </row>
    <row r="3" ht="148.5" customHeight="1">
      <c r="A3" s="17" t="inlineStr">
        <is>
          <t>CICD-007</t>
        </is>
      </c>
      <c r="B3" s="17" t="inlineStr">
        <is>
          <t>02 GitHub Actions</t>
        </is>
      </c>
      <c r="C3" s="17" t="inlineStr">
        <is>
          <t>Beginner</t>
        </is>
      </c>
      <c r="D3" s="17" t="n">
        <v>7</v>
      </c>
      <c r="E3" s="17" t="inlineStr">
        <is>
          <t>Claude knowledge</t>
        </is>
      </c>
      <c r="F3" s="18" t="inlineStr">
        <is>
          <t>Workflow file</t>
        </is>
      </c>
      <c r="G3" s="18" t="inlineStr">
        <is>
          <t>Which YAML file in your repository defines an automated GitHub Actions process?</t>
        </is>
      </c>
      <c r="H3" s="17" t="n"/>
      <c r="I3" s="18" t="inlineStr">
        <is>
          <t>GitHub Actions concept</t>
        </is>
      </c>
      <c r="J3" s="18" t="inlineStr">
        <is>
          <t>Very high</t>
        </is>
      </c>
      <c r="K3" s="18" t="n">
        <v>5</v>
      </c>
      <c r="L3" s="18" t="inlineStr">
        <is>
          <t>Automation needs to live with the code and be reviewed like code, so GitHub reads workflow definitions from a folder in the repository.</t>
        </is>
      </c>
      <c r="M3" s="18" t="inlineStr">
        <is>
          <t>Keep workflows small and named clearly, one purpose per file.</t>
        </is>
      </c>
      <c r="N3" s="17" t="n"/>
      <c r="O3" s="18" t="inlineStr">
        <is>
          <t>The workflow file is a recipe card stored in the cookbook beside the code.</t>
        </is>
      </c>
      <c r="P3" s="18" t="inlineStr">
        <is>
          <t>A YAML file under .github/workflows triggering a run.</t>
        </is>
      </c>
      <c r="Q3" s="18" t="inlineStr">
        <is>
          <t>The thrill of your first green check.</t>
        </is>
      </c>
      <c r="R3" s="18" t="inlineStr">
        <is>
          <t>A workflow is a YAML file in .github/workflows that names its triggers and the jobs to run.</t>
        </is>
      </c>
      <c r="S3" s="17" t="n"/>
      <c r="T3" s="19" t="inlineStr">
        <is>
          <t>name: CI
on:
  pull_request:
  push:
    branches: [main]
jobs:
  test:
    runs-on: ubuntu-latest
    steps:
      - uses: actions/checkout@v4
      - run: npm test</t>
        </is>
      </c>
      <c r="U3" s="19" t="inlineStr">
        <is>
          <t>On each pull request and each push to main, a runner starts, checks out the code and runs the tests.</t>
        </is>
      </c>
      <c r="V3" s="18" t="inlineStr">
        <is>
          <t>The file must be inside .github/workflows and end in .yml or .yaml. The on key lists triggers, and jobs defines the work. Each job runs on a runner named by runs-on. Steps either run shell commands with run or use a packaged action with uses. Results appear in the Actions tab and on the pull request.</t>
        </is>
      </c>
      <c r="W3" s="18" t="inlineStr">
        <is>
          <t>Write a YAML file with a trigger and jobs, commit it, and GitHub runs it for you.</t>
        </is>
      </c>
      <c r="X3" s="18" t="inlineStr">
        <is>
          <t>It is a recipe card kept in the cookbook beside the code.</t>
        </is>
      </c>
      <c r="Y3" s="19" t="inlineStr">
        <is>
          <t>name: / on: / jobs: &lt;id&gt;: runs-on: / steps:</t>
        </is>
      </c>
      <c r="Z3" s="18" t="inlineStr">
        <is>
          <t>name = label | on = triggers | jobs = work units | runs-on = machine | steps = commands</t>
        </is>
      </c>
      <c r="AA3" s="19" t="inlineStr">
        <is>
          <t>on: workflow_dispatch</t>
        </is>
      </c>
      <c r="AB3" s="19" t="inlineStr">
        <is>
          <t>on: { schedule: [{ cron: "0 2 * * *" }] }</t>
        </is>
      </c>
      <c r="AC3" s="19" t="inlineStr">
        <is>
          <t>on: { push: { tags: ["v*"] } }</t>
        </is>
      </c>
      <c r="AD3" s="19" t="inlineStr">
        <is>
          <t>on: [push, pull_request]   // shorthand for two triggers</t>
        </is>
      </c>
      <c r="AE3" s="18" t="inlineStr">
        <is>
          <t>runners, secrets, actions, branch protection</t>
        </is>
      </c>
      <c r="AF3" s="18" t="inlineStr">
        <is>
          <t>jobs and steps, runners, triggers, reusable workflows</t>
        </is>
      </c>
      <c r="AG3" s="18" t="inlineStr">
        <is>
          <t>GitLab CI files | Jenkinsfiles</t>
        </is>
      </c>
      <c r="AH3" s="17" t="n"/>
      <c r="AI3" s="18" t="inlineStr">
        <is>
          <t>Testing | Building | Deploying</t>
        </is>
      </c>
      <c r="AJ3" s="18" t="inlineStr">
        <is>
          <t>A: Nothing runs after my push. | B: The file must be in .github/workflows.</t>
        </is>
      </c>
      <c r="AK3" s="18" t="inlineStr">
        <is>
          <t>✗ A workflow file can live anywhere in the repo → ✓ It must be inside .github/workflows to be detected</t>
        </is>
      </c>
      <c r="AL3" s="18" t="inlineStr">
        <is>
          <t>Workflow vs job: a workflow is the whole file, a job is one unit of work inside it.</t>
        </is>
      </c>
      <c r="AM3" s="18" t="inlineStr">
        <is>
          <t>Do not use tabs in YAML.</t>
        </is>
      </c>
      <c r="AN3" s="19" t="inlineStr">
        <is>
          <t>.github/workflow/ci.yml</t>
        </is>
      </c>
      <c r="AO3" s="19" t="inlineStr">
        <is>
          <t>.github/workflows/ci.yml</t>
        </is>
      </c>
      <c r="AP3" s="18" t="inlineStr">
        <is>
          <t>Folder name ends with an s.</t>
        </is>
      </c>
      <c r="AQ3" s="18" t="inlineStr">
        <is>
          <t>Adding a first workflow that ran the unit tests on every pull request.</t>
        </is>
      </c>
      <c r="AR3" s="18" t="inlineStr">
        <is>
          <t>An interviewer may ask: Where do GitHub Actions workflows live?</t>
        </is>
      </c>
      <c r="AS3" s="18" t="inlineStr">
        <is>
          <t>It is like a recipe card kept beside the code.</t>
        </is>
      </c>
      <c r="AT3" s="18" t="inlineStr">
        <is>
          <t>Which folder holds workflow files?</t>
        </is>
      </c>
      <c r="AU3" s="18" t="inlineStr">
        <is>
          <t>A) .actions B) .github/workflows C) .github/workflow D) workflows</t>
        </is>
      </c>
      <c r="AV3" s="18" t="inlineStr">
        <is>
          <t>B</t>
        </is>
      </c>
      <c r="AW3" s="18" t="inlineStr">
        <is>
          <t>GitHub only reads workflows from .github/workflows.</t>
        </is>
      </c>
      <c r="AX3" s="19" t="inlineStr">
        <is>
          <t>The key that lists the events that start a workflow is ____ → on</t>
        </is>
      </c>
      <c r="AY3" s="18" t="inlineStr">
        <is>
          <t>Write a trigger that runs on pull requests.</t>
        </is>
      </c>
      <c r="AZ3" s="19" t="inlineStr">
        <is>
          <t>on:
  pull_request:</t>
        </is>
      </c>
      <c r="BA3" s="18" t="inlineStr">
        <is>
          <t>Create a workflow that runs echo hello on every push.</t>
        </is>
      </c>
      <c r="BB3" s="19" t="inlineStr">
        <is>
          <t>What file extensions can a workflow use?</t>
        </is>
      </c>
      <c r="BC3" s="19" t="inlineStr">
        <is>
          <t>.yml or .yaml</t>
        </is>
      </c>
      <c r="BD3" s="17">
        <f>IF(K3="","",REPT("★",K3)&amp;REPT("☆",5-K3)&amp;" ("&amp;K3&amp;"/5)")</f>
        <v/>
      </c>
      <c r="BE3" s="17">
        <f>IF(S3="","","Meaning: "&amp;S3&amp;"  =  ______   (Answer: "&amp;F3&amp;")")</f>
        <v/>
      </c>
      <c r="BF3" s="17" t="inlineStr">
        <is>
          <t>New</t>
        </is>
      </c>
      <c r="BG3" s="17" t="n"/>
      <c r="BH3" s="17" t="n"/>
      <c r="BI3" s="17" t="n"/>
      <c r="BJ3" s="17" t="n"/>
      <c r="BK3" s="17" t="n"/>
      <c r="BL3" s="17" t="n"/>
      <c r="BM3" s="17" t="n"/>
      <c r="BN3" s="17" t="n"/>
    </row>
    <row r="4" ht="148.5" customHeight="1">
      <c r="A4" s="17" t="inlineStr">
        <is>
          <t>CICD-008</t>
        </is>
      </c>
      <c r="B4" s="17" t="inlineStr">
        <is>
          <t>02 GitHub Actions</t>
        </is>
      </c>
      <c r="C4" s="17" t="inlineStr">
        <is>
          <t>Beginner</t>
        </is>
      </c>
      <c r="D4" s="17" t="n">
        <v>8</v>
      </c>
      <c r="E4" s="17" t="inlineStr">
        <is>
          <t>Claude knowledge</t>
        </is>
      </c>
      <c r="F4" s="18" t="inlineStr">
        <is>
          <t>Jobs and steps</t>
        </is>
      </c>
      <c r="G4" s="18" t="inlineStr">
        <is>
          <t>How are the work units inside a workflow organised and ordered?</t>
        </is>
      </c>
      <c r="H4" s="17" t="n"/>
      <c r="I4" s="18" t="inlineStr">
        <is>
          <t>GitHub Actions concept</t>
        </is>
      </c>
      <c r="J4" s="18" t="inlineStr">
        <is>
          <t>Very high</t>
        </is>
      </c>
      <c r="K4" s="18" t="n">
        <v>5</v>
      </c>
      <c r="L4" s="18" t="inlineStr">
        <is>
          <t>One long script is hard to read and reuse, so work is split into jobs, which hold ordered steps.</t>
        </is>
      </c>
      <c r="M4" s="18" t="inlineStr">
        <is>
          <t>Use needs to chain jobs, otherwise they run at the same time.</t>
        </is>
      </c>
      <c r="N4" s="17" t="n"/>
      <c r="O4" s="18" t="inlineStr">
        <is>
          <t>Jobs are workstations, and steps are the tasks done at each one.</t>
        </is>
      </c>
      <c r="P4" s="18" t="inlineStr">
        <is>
          <t>Two job boxes with an arrow between them and steps inside.</t>
        </is>
      </c>
      <c r="Q4" s="18" t="inlineStr">
        <is>
          <t>The tidy feeling of a clear pipeline layout.</t>
        </is>
      </c>
      <c r="R4" s="18" t="inlineStr">
        <is>
          <t>A job is a group of steps that run on one runner, and jobs run in parallel unless one declares needs on another.</t>
        </is>
      </c>
      <c r="S4" s="17" t="n"/>
      <c r="T4" s="19" t="inlineStr">
        <is>
          <t>jobs:
  build:
    runs-on: ubuntu-latest
    steps:
      - uses: actions/checkout@v4
      - run: make build
  deploy:
    needs: build
    runs-on: ubuntu-latest
    steps:
      - run: echo deploying</t>
        </is>
      </c>
      <c r="U4" s="19" t="inlineStr">
        <is>
          <t>The build job runs first, and the deploy job starts only after it succeeds.</t>
        </is>
      </c>
      <c r="V4" s="18" t="inlineStr">
        <is>
          <t>Every job gets a fresh runner, so files do not carry over between jobs unless you upload and download artifacts. Steps inside a job run in order and share the file system. A failing step stops the job. Use if conditions to run a step only in some cases. Job outputs can pass small values to later jobs.</t>
        </is>
      </c>
      <c r="W4" s="18" t="inlineStr">
        <is>
          <t>Jobs run on separate machines, steps run in order inside a job, and needs links jobs.</t>
        </is>
      </c>
      <c r="X4" s="18" t="inlineStr">
        <is>
          <t>Jobs are workstations, and steps are the tasks done at each one.</t>
        </is>
      </c>
      <c r="Y4" s="19" t="inlineStr">
        <is>
          <t>jobs: &lt;id&gt;: needs: [other] steps: - run: command</t>
        </is>
      </c>
      <c r="Z4" s="18" t="inlineStr">
        <is>
          <t>jobs = units of work | needs = dependency | steps = ordered tasks | if = condition</t>
        </is>
      </c>
      <c r="AA4" s="19" t="inlineStr">
        <is>
          <t>needs: [lint, test]</t>
        </is>
      </c>
      <c r="AB4" s="19" t="inlineStr">
        <is>
          <t>if: github.ref == 'refs/heads/main'</t>
        </is>
      </c>
      <c r="AC4" s="19" t="inlineStr">
        <is>
          <t>outputs: version: ${{ steps.v.outputs.version }}</t>
        </is>
      </c>
      <c r="AD4" s="19" t="inlineStr">
        <is>
          <t>continue-on-error: true   // let one step fail without stopping the job</t>
        </is>
      </c>
      <c r="AE4" s="18" t="inlineStr">
        <is>
          <t>artifacts, outputs, conditions</t>
        </is>
      </c>
      <c r="AF4" s="18" t="inlineStr">
        <is>
          <t>workflow file, runners, artifacts, matrix</t>
        </is>
      </c>
      <c r="AG4" s="18" t="inlineStr">
        <is>
          <t>Stages in other CI tools</t>
        </is>
      </c>
      <c r="AH4" s="17" t="n"/>
      <c r="AI4" s="18" t="inlineStr">
        <is>
          <t>Multi-stage pipelines | Parallel testing | Releases</t>
        </is>
      </c>
      <c r="AJ4" s="18" t="inlineStr">
        <is>
          <t>A: The deploy job cannot find my build output. | B: Jobs do not share files, so upload and download an artifact.</t>
        </is>
      </c>
      <c r="AK4" s="18" t="inlineStr">
        <is>
          <t>✗ Jobs in one workflow share the same file system → ✓ Each job runs on its own fresh runner</t>
        </is>
      </c>
      <c r="AL4" s="18" t="inlineStr">
        <is>
          <t>needs vs steps order: needs orders jobs, steps order tasks inside a job.</t>
        </is>
      </c>
      <c r="AM4" s="18" t="inlineStr">
        <is>
          <t>Do not assume files from one job exist in the next.</t>
        </is>
      </c>
      <c r="AN4" s="19" t="inlineStr">
        <is>
          <t>deploy:
  runs-on: ubuntu-latest   # runs at the same time as build</t>
        </is>
      </c>
      <c r="AO4" s="19" t="inlineStr">
        <is>
          <t>deploy:
  needs: build
  runs-on: ubuntu-latest</t>
        </is>
      </c>
      <c r="AP4" s="18" t="inlineStr">
        <is>
          <t>Needs chains jobs, steps stay in a job.</t>
        </is>
      </c>
      <c r="AQ4" s="18" t="inlineStr">
        <is>
          <t>Splitting lint, test and deploy into chained jobs so failures showed up clearly.</t>
        </is>
      </c>
      <c r="AR4" s="18" t="inlineStr">
        <is>
          <t>An interviewer may ask: How do you make one job wait for another?</t>
        </is>
      </c>
      <c r="AS4" s="18" t="inlineStr">
        <is>
          <t>It is like workstations with ordered tasks at each.</t>
        </is>
      </c>
      <c r="AT4" s="18" t="inlineStr">
        <is>
          <t>How do you make a job wait for another job?</t>
        </is>
      </c>
      <c r="AU4" s="18" t="inlineStr">
        <is>
          <t>A) after B) wait C) depends D) needs</t>
        </is>
      </c>
      <c r="AV4" s="18" t="inlineStr">
        <is>
          <t>D</t>
        </is>
      </c>
      <c r="AW4" s="18" t="inlineStr">
        <is>
          <t>The needs key declares job dependencies.</t>
        </is>
      </c>
      <c r="AX4" s="19" t="inlineStr">
        <is>
          <t>Jobs run in ____ by default unless chained → parallel</t>
        </is>
      </c>
      <c r="AY4" s="18" t="inlineStr">
        <is>
          <t>Make the deploy job wait for the test job.</t>
        </is>
      </c>
      <c r="AZ4" s="19" t="inlineStr">
        <is>
          <t>deploy:
  needs: test</t>
        </is>
      </c>
      <c r="BA4" s="18" t="inlineStr">
        <is>
          <t>Write two jobs where the second runs only if the first passes.</t>
        </is>
      </c>
      <c r="BB4" s="19" t="inlineStr">
        <is>
          <t>Do two jobs share a file system?</t>
        </is>
      </c>
      <c r="BC4" s="19" t="inlineStr">
        <is>
          <t>No, each job has its own runner.</t>
        </is>
      </c>
      <c r="BD4" s="17">
        <f>IF(K4="","",REPT("★",K4)&amp;REPT("☆",5-K4)&amp;" ("&amp;K4&amp;"/5)")</f>
        <v/>
      </c>
      <c r="BE4" s="17">
        <f>IF(S4="","","Meaning: "&amp;S4&amp;"  =  ______   (Answer: "&amp;F4&amp;")")</f>
        <v/>
      </c>
      <c r="BF4" s="17" t="inlineStr">
        <is>
          <t>New</t>
        </is>
      </c>
      <c r="BG4" s="17" t="n"/>
      <c r="BH4" s="17" t="n"/>
      <c r="BI4" s="17" t="n"/>
      <c r="BJ4" s="17" t="n"/>
      <c r="BK4" s="17" t="n"/>
      <c r="BL4" s="17" t="n"/>
      <c r="BM4" s="17" t="n"/>
      <c r="BN4" s="17" t="n"/>
    </row>
    <row r="5" ht="108" customHeight="1">
      <c r="A5" s="17" t="inlineStr">
        <is>
          <t>CICD-009</t>
        </is>
      </c>
      <c r="B5" s="17" t="inlineStr">
        <is>
          <t>02 GitHub Actions</t>
        </is>
      </c>
      <c r="C5" s="17" t="inlineStr">
        <is>
          <t>Beginner</t>
        </is>
      </c>
      <c r="D5" s="17" t="n">
        <v>9</v>
      </c>
      <c r="E5" s="17" t="inlineStr">
        <is>
          <t>Claude knowledge</t>
        </is>
      </c>
      <c r="F5" s="18" t="inlineStr">
        <is>
          <t>Runners</t>
        </is>
      </c>
      <c r="G5" s="18" t="inlineStr">
        <is>
          <t>Which machines actually execute the jobs of a workflow?</t>
        </is>
      </c>
      <c r="H5" s="17" t="n"/>
      <c r="I5" s="18" t="inlineStr">
        <is>
          <t>GitHub Actions concept</t>
        </is>
      </c>
      <c r="J5" s="18" t="inlineStr">
        <is>
          <t>High</t>
        </is>
      </c>
      <c r="K5" s="18" t="n">
        <v>4</v>
      </c>
      <c r="L5" s="18" t="inlineStr">
        <is>
          <t>Jobs need computers to run on, so GitHub offers hosted machines and lets you register your own.</t>
        </is>
      </c>
      <c r="M5" s="18" t="inlineStr">
        <is>
          <t>Pin a specific runner image version if a new image could break your build.</t>
        </is>
      </c>
      <c r="N5" s="17" t="n"/>
      <c r="O5" s="18" t="inlineStr">
        <is>
          <t>A runner is the worker who walks up to your job card and does it.</t>
        </is>
      </c>
      <c r="P5" s="18" t="inlineStr">
        <is>
          <t>A job card going to a machine labelled ubuntu-latest.</t>
        </is>
      </c>
      <c r="Q5" s="18" t="inlineStr">
        <is>
          <t>The ease of a clean machine for every run.</t>
        </is>
      </c>
      <c r="R5" s="18" t="inlineStr">
        <is>
          <t>A runner is a machine that runs a job, either GitHub-hosted with a fresh virtual machine each time, or self-hosted on your own infrastructure.</t>
        </is>
      </c>
      <c r="S5" s="17" t="n"/>
      <c r="T5" s="19" t="inlineStr">
        <is>
          <t>jobs:
  test:
    runs-on: ubuntu-latest
  mac-build:
    runs-on: macos-14
  internal:
    runs-on: [self-hosted, linux]</t>
        </is>
      </c>
      <c r="U5" s="19" t="inlineStr">
        <is>
          <t>Three jobs go to a hosted Linux machine, a hosted macOS machine and one of your own Linux runners.</t>
        </is>
      </c>
      <c r="V5" s="18" t="inlineStr">
        <is>
          <t>Hosted runners start clean for each job and include common tools. Minutes are free or paid depending on the plan, and macOS costs more than Linux. Self-hosted runners suit private networks or special hardware, but you must secure and update them. Labels in runs-on choose which runner is used.</t>
        </is>
      </c>
      <c r="W5" s="18" t="inlineStr">
        <is>
          <t>Choose hosted runners for convenience and self-hosted ones for private access or special hardware.</t>
        </is>
      </c>
      <c r="X5" s="18" t="inlineStr">
        <is>
          <t>A runner is the worker who picks up your job card and does it.</t>
        </is>
      </c>
      <c r="Y5" s="19" t="inlineStr">
        <is>
          <t>runs-on: ubuntu-latest | runs-on: [self-hosted, label]</t>
        </is>
      </c>
      <c r="Z5" s="18" t="inlineStr">
        <is>
          <t>ubuntu-latest = hosted Linux | macos-14 = hosted Mac | self-hosted = your machine | labels = selectors</t>
        </is>
      </c>
      <c r="AA5" s="19" t="inlineStr">
        <is>
          <t>runs-on: ubuntu-22.04</t>
        </is>
      </c>
      <c r="AB5" s="19" t="inlineStr">
        <is>
          <t>runs-on: windows-latest</t>
        </is>
      </c>
      <c r="AC5" s="19" t="inlineStr">
        <is>
          <t>runs-on: [self-hosted, gpu]</t>
        </is>
      </c>
      <c r="AD5" s="19" t="inlineStr">
        <is>
          <t>runs-on: ubuntu-latest-4-cores   // a larger hosted runner</t>
        </is>
      </c>
      <c r="AE5" s="18" t="inlineStr">
        <is>
          <t>matrix, caching, cost</t>
        </is>
      </c>
      <c r="AF5" s="18" t="inlineStr">
        <is>
          <t>workflow file, matrix builds, self-hosted runners, caching</t>
        </is>
      </c>
      <c r="AG5" s="18" t="inlineStr">
        <is>
          <t>Other CI agents</t>
        </is>
      </c>
      <c r="AH5" s="17" t="n"/>
      <c r="AI5" s="18" t="inlineStr">
        <is>
          <t>All workflows | Cross-platform builds | Private networks</t>
        </is>
      </c>
      <c r="AJ5" s="18" t="inlineStr">
        <is>
          <t>A: The job needs our internal database. | B: Use a self-hosted runner inside the network.</t>
        </is>
      </c>
      <c r="AK5" s="18" t="inlineStr">
        <is>
          <t>✗ Hosted runners keep files between runs → ✓ Each job starts on a fresh machine</t>
        </is>
      </c>
      <c r="AL5" s="18" t="inlineStr">
        <is>
          <t>Hosted vs self-hosted: hosted are managed by GitHub, self-hosted are managed by you.</t>
        </is>
      </c>
      <c r="AM5" s="18" t="inlineStr">
        <is>
          <t>Do not use self-hosted runners for public repositories without protection.</t>
        </is>
      </c>
      <c r="AN5" s="19" t="inlineStr">
        <is>
          <t>runs-on: ubuntu</t>
        </is>
      </c>
      <c r="AO5" s="19" t="inlineStr">
        <is>
          <t>runs-on: ubuntu-latest</t>
        </is>
      </c>
      <c r="AP5" s="18" t="inlineStr">
        <is>
          <t>Latest label picks the current image.</t>
        </is>
      </c>
      <c r="AQ5" s="18" t="inlineStr">
        <is>
          <t>Using a self-hosted runner so tests could reach a customer's private test database.</t>
        </is>
      </c>
      <c r="AR5" s="18" t="inlineStr">
        <is>
          <t>An interviewer may ask: When would you use a self-hosted runner?</t>
        </is>
      </c>
      <c r="AS5" s="18" t="inlineStr">
        <is>
          <t>It is like a worker who picks up each job card.</t>
        </is>
      </c>
      <c r="AT5" s="18" t="inlineStr">
        <is>
          <t>What starts fresh for every hosted job?</t>
        </is>
      </c>
      <c r="AU5" s="18" t="inlineStr">
        <is>
          <t>A) The branch B) The repository C) The secrets D) The runner machine</t>
        </is>
      </c>
      <c r="AV5" s="18" t="inlineStr">
        <is>
          <t>D</t>
        </is>
      </c>
      <c r="AW5" s="18" t="inlineStr">
        <is>
          <t>Hosted runners are new virtual machines per job.</t>
        </is>
      </c>
      <c r="AX5" s="19" t="inlineStr">
        <is>
          <t>The key that picks the machine for a job is ____ → runs-on</t>
        </is>
      </c>
      <c r="AY5" s="18" t="inlineStr">
        <is>
          <t>Run a job on a hosted Windows machine.</t>
        </is>
      </c>
      <c r="AZ5" s="19" t="inlineStr">
        <is>
          <t>runs-on: windows-latest</t>
        </is>
      </c>
      <c r="BA5" s="18" t="inlineStr">
        <is>
          <t>Write a runs-on value for a self-hosted Linux runner with a GPU.</t>
        </is>
      </c>
      <c r="BB5" s="19" t="inlineStr">
        <is>
          <t>Why do self-hosted runners need extra care?</t>
        </is>
      </c>
      <c r="BC5" s="19" t="inlineStr">
        <is>
          <t>You must secure and update them, and untrusted code could run on them.</t>
        </is>
      </c>
      <c r="BD5" s="17">
        <f>IF(K5="","",REPT("★",K5)&amp;REPT("☆",5-K5)&amp;" ("&amp;K5&amp;"/5)")</f>
        <v/>
      </c>
      <c r="BE5" s="17">
        <f>IF(S5="","","Meaning: "&amp;S5&amp;"  =  ______   (Answer: "&amp;F5&amp;")")</f>
        <v/>
      </c>
      <c r="BF5" s="17" t="inlineStr">
        <is>
          <t>New</t>
        </is>
      </c>
      <c r="BG5" s="17" t="n"/>
      <c r="BH5" s="17" t="n"/>
      <c r="BI5" s="17" t="n"/>
      <c r="BJ5" s="17" t="n"/>
      <c r="BK5" s="17" t="n"/>
      <c r="BL5" s="17" t="n"/>
      <c r="BM5" s="17" t="n"/>
      <c r="BN5" s="17" t="n"/>
    </row>
    <row r="6" ht="162" customHeight="1">
      <c r="A6" s="17" t="inlineStr">
        <is>
          <t>CICD-010</t>
        </is>
      </c>
      <c r="B6" s="17" t="inlineStr">
        <is>
          <t>02 GitHub Actions</t>
        </is>
      </c>
      <c r="C6" s="17" t="inlineStr">
        <is>
          <t>Intermediate</t>
        </is>
      </c>
      <c r="D6" s="17" t="n">
        <v>10</v>
      </c>
      <c r="E6" s="17" t="inlineStr">
        <is>
          <t>Claude knowledge</t>
        </is>
      </c>
      <c r="F6" s="18" t="inlineStr">
        <is>
          <t>Matrix builds</t>
        </is>
      </c>
      <c r="G6" s="18" t="inlineStr">
        <is>
          <t>Which feature runs the same job across several versions or systems automatically?</t>
        </is>
      </c>
      <c r="H6" s="17" t="n"/>
      <c r="I6" s="18" t="inlineStr">
        <is>
          <t>GitHub Actions concept</t>
        </is>
      </c>
      <c r="J6" s="18" t="inlineStr">
        <is>
          <t>High</t>
        </is>
      </c>
      <c r="K6" s="18" t="n">
        <v>4</v>
      </c>
      <c r="L6" s="18" t="inlineStr">
        <is>
          <t>Libraries must work on many versions, so repeating a job by hand for each combination was replaced by a matrix.</t>
        </is>
      </c>
      <c r="M6" s="18" t="inlineStr">
        <is>
          <t>Use exclude to skip combinations that are not supported, and fail-fast to stop early.</t>
        </is>
      </c>
      <c r="N6" s="17" t="n"/>
      <c r="O6" s="18" t="inlineStr">
        <is>
          <t>A matrix is a grid of test tubes, each holding one combination.</t>
        </is>
      </c>
      <c r="P6" s="18" t="inlineStr">
        <is>
          <t>A grid of versions against operating systems with green ticks.</t>
        </is>
      </c>
      <c r="Q6" s="18" t="inlineStr">
        <is>
          <t>The confidence of testing many versions at once.</t>
        </is>
      </c>
      <c r="R6" s="18" t="inlineStr">
        <is>
          <t>A matrix strategy creates one job for each combination of the listed values, and runs them in parallel.</t>
        </is>
      </c>
      <c r="S6" s="17" t="n"/>
      <c r="T6" s="19" t="inlineStr">
        <is>
          <t>jobs:
  test:
    runs-on: ${{ matrix.os }}
    strategy:
      matrix:
        os: [ubuntu-latest, windows-latest]
        python: ["3.11", "3.12"]
    steps:
      - uses: actions/setup-python@v5
        with:
          python-version: ${{ matrix.python }}</t>
        </is>
      </c>
      <c r="U6" s="19" t="inlineStr">
        <is>
          <t>Four jobs run, one for each operating system and Python version combination.</t>
        </is>
      </c>
      <c r="V6" s="18" t="inlineStr">
        <is>
          <t>Values are read with the matrix context, such as matrix.os. Two lists of two values produce four jobs. The exclude key removes combinations, and include adds special ones. By default fail-fast cancels the other jobs when one fails, which can be turned off. Each matrix job counts towards the concurrency and minutes used.</t>
        </is>
      </c>
      <c r="W6" s="18" t="inlineStr">
        <is>
          <t>List the versions and systems once, and Actions makes a job for each combination.</t>
        </is>
      </c>
      <c r="X6" s="18" t="inlineStr">
        <is>
          <t>It is a grid of test tubes, each holding one combination.</t>
        </is>
      </c>
      <c r="Y6" s="19" t="inlineStr">
        <is>
          <t>strategy: matrix: key: [values]</t>
        </is>
      </c>
      <c r="Z6" s="18" t="inlineStr">
        <is>
          <t>strategy = how to run | matrix = lists | exclude = remove combos | fail-fast = stop on first failure</t>
        </is>
      </c>
      <c r="AA6" s="19" t="inlineStr">
        <is>
          <t>matrix: node: [20, 22, 24]</t>
        </is>
      </c>
      <c r="AB6" s="19" t="inlineStr">
        <is>
          <t>exclude: [{ os: windows-latest, python: "3.11" }]</t>
        </is>
      </c>
      <c r="AC6" s="19" t="inlineStr">
        <is>
          <t>fail-fast: false</t>
        </is>
      </c>
      <c r="AD6" s="19" t="inlineStr">
        <is>
          <t>max-parallel: 2   // limit simultaneous jobs</t>
        </is>
      </c>
      <c r="AE6" s="18" t="inlineStr">
        <is>
          <t>runners, caching, setup actions</t>
        </is>
      </c>
      <c r="AF6" s="18" t="inlineStr">
        <is>
          <t>runners, jobs and steps, caching, quality gates</t>
        </is>
      </c>
      <c r="AG6" s="18" t="inlineStr">
        <is>
          <t>Separate hand-written jobs</t>
        </is>
      </c>
      <c r="AH6" s="17" t="n"/>
      <c r="AI6" s="18" t="inlineStr">
        <is>
          <t>Libraries | Cross-platform apps | Compatibility tests</t>
        </is>
      </c>
      <c r="AJ6" s="18" t="inlineStr">
        <is>
          <t>A: Do we support Python 3.11 and 3.12? | B: The matrix tests both on every pull request.</t>
        </is>
      </c>
      <c r="AK6" s="18" t="inlineStr">
        <is>
          <t>✗ Matrix jobs run one after the other → ✓ They run in parallel, within your concurrency limits</t>
        </is>
      </c>
      <c r="AL6" s="18" t="inlineStr">
        <is>
          <t>Matrix vs needs: a matrix repeats a job, needs orders different jobs.</t>
        </is>
      </c>
      <c r="AM6" s="18" t="inlineStr">
        <is>
          <t>Do not make a huge matrix that burns minutes without need.</t>
        </is>
      </c>
      <c r="AN6" s="19" t="inlineStr">
        <is>
          <t>python-version: 3.10</t>
        </is>
      </c>
      <c r="AO6" s="19" t="inlineStr">
        <is>
          <t>python-version: "3.10"</t>
        </is>
      </c>
      <c r="AP6" s="18" t="inlineStr">
        <is>
          <t>Quote versions so 3.10 stays 3.10.</t>
        </is>
      </c>
      <c r="AQ6" s="18" t="inlineStr">
        <is>
          <t>Testing a customer library against three Python versions with one matrix.</t>
        </is>
      </c>
      <c r="AR6" s="18" t="inlineStr">
        <is>
          <t>An interviewer may ask: How would you test on several versions?</t>
        </is>
      </c>
      <c r="AS6" s="18" t="inlineStr">
        <is>
          <t>It is like a grid of test tubes.</t>
        </is>
      </c>
      <c r="AT6" s="18" t="inlineStr">
        <is>
          <t>Two operating systems and three versions give how many jobs?</t>
        </is>
      </c>
      <c r="AU6" s="18" t="inlineStr">
        <is>
          <t>A) 3 B) 6 C) 5 D) 2</t>
        </is>
      </c>
      <c r="AV6" s="18" t="inlineStr">
        <is>
          <t>B</t>
        </is>
      </c>
      <c r="AW6" s="18" t="inlineStr">
        <is>
          <t>Two times three combinations are created.</t>
        </is>
      </c>
      <c r="AX6" s="19" t="inlineStr">
        <is>
          <t>The key that removes a combination from the grid is ____ → exclude</t>
        </is>
      </c>
      <c r="AY6" s="18" t="inlineStr">
        <is>
          <t>Test on Node 20 and 22.</t>
        </is>
      </c>
      <c r="AZ6" s="19" t="inlineStr">
        <is>
          <t>strategy:
  matrix:
    node: [20, 22]</t>
        </is>
      </c>
      <c r="BA6" s="18" t="inlineStr">
        <is>
          <t>Add a matrix of two operating systems to a test job.</t>
        </is>
      </c>
      <c r="BB6" s="19" t="inlineStr">
        <is>
          <t>What does fail-fast do?</t>
        </is>
      </c>
      <c r="BC6" s="19" t="inlineStr">
        <is>
          <t>It cancels other matrix jobs when one fails.</t>
        </is>
      </c>
      <c r="BD6" s="17">
        <f>IF(K6="","",REPT("★",K6)&amp;REPT("☆",5-K6)&amp;" ("&amp;K6&amp;"/5)")</f>
        <v/>
      </c>
      <c r="BE6" s="17">
        <f>IF(S6="","","Meaning: "&amp;S6&amp;"  =  ______   (Answer: "&amp;F6&amp;")")</f>
        <v/>
      </c>
      <c r="BF6" s="17" t="inlineStr">
        <is>
          <t>New</t>
        </is>
      </c>
      <c r="BG6" s="17" t="n"/>
      <c r="BH6" s="17" t="n"/>
      <c r="BI6" s="17" t="n"/>
      <c r="BJ6" s="17" t="n"/>
      <c r="BK6" s="17" t="n"/>
      <c r="BL6" s="17" t="n"/>
      <c r="BM6" s="17" t="n"/>
      <c r="BN6" s="17" t="n"/>
    </row>
    <row r="7" ht="135" customHeight="1">
      <c r="A7" s="17" t="inlineStr">
        <is>
          <t>CICD-011</t>
        </is>
      </c>
      <c r="B7" s="17" t="inlineStr">
        <is>
          <t>02 GitHub Actions</t>
        </is>
      </c>
      <c r="C7" s="17" t="inlineStr">
        <is>
          <t>Intermediate</t>
        </is>
      </c>
      <c r="D7" s="17" t="n">
        <v>11</v>
      </c>
      <c r="E7" s="17" t="inlineStr">
        <is>
          <t>Claude knowledge</t>
        </is>
      </c>
      <c r="F7" s="18" t="inlineStr">
        <is>
          <t>Caching dependencies</t>
        </is>
      </c>
      <c r="G7" s="18" t="inlineStr">
        <is>
          <t>How do you avoid downloading the same packages on every run?</t>
        </is>
      </c>
      <c r="H7" s="17" t="n"/>
      <c r="I7" s="18" t="inlineStr">
        <is>
          <t>GitHub Actions concept</t>
        </is>
      </c>
      <c r="J7" s="18" t="inlineStr">
        <is>
          <t>High</t>
        </is>
      </c>
      <c r="K7" s="18" t="n">
        <v>4</v>
      </c>
      <c r="L7" s="18" t="inlineStr">
        <is>
          <t>Installing dependencies is often the slowest step, so Actions can save and restore folders between runs.</t>
        </is>
      </c>
      <c r="M7" s="18" t="inlineStr">
        <is>
          <t>Key the cache on a hash of the lockfile so it refreshes only when dependencies change.</t>
        </is>
      </c>
      <c r="N7" s="17" t="n"/>
      <c r="O7" s="18" t="inlineStr">
        <is>
          <t>A cache is a lunch box packed once and reused all week.</t>
        </is>
      </c>
      <c r="P7" s="18" t="inlineStr">
        <is>
          <t>A package folder saved after one run and restored in the next.</t>
        </is>
      </c>
      <c r="Q7" s="18" t="inlineStr">
        <is>
          <t>The joy of a build that drops from five minutes to one.</t>
        </is>
      </c>
      <c r="R7" s="18" t="inlineStr">
        <is>
          <t>The cache action stores files under a key and restores them in later runs when the key matches.</t>
        </is>
      </c>
      <c r="S7" s="17" t="n"/>
      <c r="T7" s="19" t="inlineStr">
        <is>
          <t>- uses: actions/cache@v4
  with:
    path: ~/.npm
    key: npm-${{ hashFiles('package-lock.json') }}
    restore-keys: npm-</t>
        </is>
      </c>
      <c r="U7" s="19" t="inlineStr">
        <is>
          <t>The first run saves the npm cache, and later runs with the same lockfile restore it in seconds.</t>
        </is>
      </c>
      <c r="V7" s="18" t="inlineStr">
        <is>
          <t>The key must change when the contents should change, which is why a hash of the lockfile is used. restore-keys gives a fallback prefix when there is no exact match. Caches belong to a branch scope, so feature branches can read the main branch cache. Caches that are not accessed for a while are removed, and there is a total size limit per repository. Many setup actions have a built-in cache option.</t>
        </is>
      </c>
      <c r="W7" s="18" t="inlineStr">
        <is>
          <t>Cache the package folder with a key built from the lockfile.</t>
        </is>
      </c>
      <c r="X7" s="18" t="inlineStr">
        <is>
          <t>A cache is a lunch box packed once and reused all week.</t>
        </is>
      </c>
      <c r="Y7" s="19" t="inlineStr">
        <is>
          <t>uses: actions/cache@v4 with: path, key, restore-keys</t>
        </is>
      </c>
      <c r="Z7" s="18" t="inlineStr">
        <is>
          <t>path = what to save | key = exact match | restore-keys = fallback prefixes</t>
        </is>
      </c>
      <c r="AA7" s="19" t="inlineStr">
        <is>
          <t>uses: actions/setup-node@v4 with: { node-version: 22, cache: npm }</t>
        </is>
      </c>
      <c r="AB7" s="19" t="inlineStr">
        <is>
          <t>key: pip-${{ hashFiles('requirements.txt') }}</t>
        </is>
      </c>
      <c r="AC7" s="19" t="inlineStr">
        <is>
          <t>path: ~/.cache/pip</t>
        </is>
      </c>
      <c r="AD7" s="19" t="inlineStr">
        <is>
          <t>enableCrossOsArchive: true   // share a cache between systems</t>
        </is>
      </c>
      <c r="AE7" s="18" t="inlineStr">
        <is>
          <t>setup actions, matrix, lockfiles</t>
        </is>
      </c>
      <c r="AF7" s="18" t="inlineStr">
        <is>
          <t>runners, jobs and steps, build artifacts, matrix builds</t>
        </is>
      </c>
      <c r="AG7" s="18" t="inlineStr">
        <is>
          <t>Docker layer cache</t>
        </is>
      </c>
      <c r="AH7" s="17" t="n"/>
      <c r="AI7" s="18" t="inlineStr">
        <is>
          <t>Slow installs | Large projects | Cost saving</t>
        </is>
      </c>
      <c r="AJ7" s="18" t="inlineStr">
        <is>
          <t>A: Every run reinstalls everything. | B: Add a cache keyed on the lockfile.</t>
        </is>
      </c>
      <c r="AK7" s="18" t="inlineStr">
        <is>
          <t>✗ A cache and an artifact are the same thing → ✓ A cache speeds up repeated work, an artifact passes results to people or later jobs</t>
        </is>
      </c>
      <c r="AL7" s="18" t="inlineStr">
        <is>
          <t>Cache vs artifact: caches are for speed, artifacts are for results.</t>
        </is>
      </c>
      <c r="AM7" s="18" t="inlineStr">
        <is>
          <t>Do not cache secrets or build outputs that must be fresh.</t>
        </is>
      </c>
      <c r="AN7" s="19" t="inlineStr">
        <is>
          <t>key: npm-cache</t>
        </is>
      </c>
      <c r="AO7" s="19" t="inlineStr">
        <is>
          <t>key: npm-${{ hashFiles('package-lock.json') }}</t>
        </is>
      </c>
      <c r="AP7" s="18" t="inlineStr">
        <is>
          <t>Hash the lockfile to refresh the cache.</t>
        </is>
      </c>
      <c r="AQ7" s="18" t="inlineStr">
        <is>
          <t>Cutting build time by caching pip downloads keyed on the requirements file.</t>
        </is>
      </c>
      <c r="AR7" s="18" t="inlineStr">
        <is>
          <t>An interviewer may ask: How do you speed up a slow dependency install?</t>
        </is>
      </c>
      <c r="AS7" s="18" t="inlineStr">
        <is>
          <t>It is like a lunch box packed once.</t>
        </is>
      </c>
      <c r="AT7" s="18" t="inlineStr">
        <is>
          <t>Why include a lockfile hash in the key?</t>
        </is>
      </c>
      <c r="AU7" s="18" t="inlineStr">
        <is>
          <t>A) It deletes old runs B) It encrypts the cache C) The cache refreshes when dependencies change D) It speeds the network</t>
        </is>
      </c>
      <c r="AV7" s="18" t="inlineStr">
        <is>
          <t>C</t>
        </is>
      </c>
      <c r="AW7" s="18" t="inlineStr">
        <is>
          <t>A new hash makes a new key and a fresh cache.</t>
        </is>
      </c>
      <c r="AX7" s="19" t="inlineStr">
        <is>
          <t>A fallback prefix for a partial cache match is set with ____-keys → restore</t>
        </is>
      </c>
      <c r="AY7" s="18" t="inlineStr">
        <is>
          <t>Cache the pip folder using the requirements file as key.</t>
        </is>
      </c>
      <c r="AZ7" s="19" t="inlineStr">
        <is>
          <t>- uses: actions/cache@v4
  with:
    path: ~/.cache/pip
    key: pip-${{ hashFiles('requirements.txt') }}</t>
        </is>
      </c>
      <c r="BA7" s="18" t="inlineStr">
        <is>
          <t>Write a cache step for a Node project using npm.</t>
        </is>
      </c>
      <c r="BB7" s="19" t="inlineStr">
        <is>
          <t>Why can feature branches use the main branch cache?</t>
        </is>
      </c>
      <c r="BC7" s="19" t="inlineStr">
        <is>
          <t>Caches from the default branch are readable by other branches.</t>
        </is>
      </c>
      <c r="BD7" s="17">
        <f>IF(K7="","",REPT("★",K7)&amp;REPT("☆",5-K7)&amp;" ("&amp;K7&amp;"/5)")</f>
        <v/>
      </c>
      <c r="BE7" s="17">
        <f>IF(S7="","","Meaning: "&amp;S7&amp;"  =  ______   (Answer: "&amp;F7&amp;")")</f>
        <v/>
      </c>
      <c r="BF7" s="17" t="inlineStr">
        <is>
          <t>New</t>
        </is>
      </c>
      <c r="BG7" s="17" t="n"/>
      <c r="BH7" s="17" t="n"/>
      <c r="BI7" s="17" t="n"/>
      <c r="BJ7" s="17" t="n"/>
      <c r="BK7" s="17" t="n"/>
      <c r="BL7" s="17" t="n"/>
      <c r="BM7" s="17" t="n"/>
      <c r="BN7" s="17" t="n"/>
    </row>
    <row r="8" ht="121.5" customHeight="1">
      <c r="A8" s="17" t="inlineStr">
        <is>
          <t>CICD-012</t>
        </is>
      </c>
      <c r="B8" s="17" t="inlineStr">
        <is>
          <t>02 GitHub Actions</t>
        </is>
      </c>
      <c r="C8" s="17" t="inlineStr">
        <is>
          <t>Intermediate</t>
        </is>
      </c>
      <c r="D8" s="17" t="n">
        <v>12</v>
      </c>
      <c r="E8" s="17" t="inlineStr">
        <is>
          <t>Claude knowledge</t>
        </is>
      </c>
      <c r="F8" s="18" t="inlineStr">
        <is>
          <t>Artifacts in workflows</t>
        </is>
      </c>
      <c r="G8" s="18" t="inlineStr">
        <is>
          <t>How do you keep files from one job and pass them to another or download them later?</t>
        </is>
      </c>
      <c r="H8" s="17" t="n"/>
      <c r="I8" s="18" t="inlineStr">
        <is>
          <t>GitHub Actions concept</t>
        </is>
      </c>
      <c r="J8" s="18" t="inlineStr">
        <is>
          <t>High</t>
        </is>
      </c>
      <c r="K8" s="18" t="n">
        <v>4</v>
      </c>
      <c r="L8" s="18" t="inlineStr">
        <is>
          <t>Jobs run on separate machines, so results must be uploaded and downloaded explicitly.</t>
        </is>
      </c>
      <c r="M8" s="18" t="inlineStr">
        <is>
          <t>Set a short retention for large artifacts to save storage.</t>
        </is>
      </c>
      <c r="N8" s="17" t="n"/>
      <c r="O8" s="18" t="inlineStr">
        <is>
          <t>An artifact is a parcel posted from one workstation to another.</t>
        </is>
      </c>
      <c r="P8" s="18" t="inlineStr">
        <is>
          <t>A box uploaded after build and downloaded before deploy.</t>
        </is>
      </c>
      <c r="Q8" s="18" t="inlineStr">
        <is>
          <t>The relief when the deploy job finally finds the build output.</t>
        </is>
      </c>
      <c r="R8" s="18" t="inlineStr">
        <is>
          <t>upload-artifact stores files from a job, and download-artifact retrieves them in a later job or lets you download them from the run page.</t>
        </is>
      </c>
      <c r="S8" s="17" t="n"/>
      <c r="T8" s="19" t="inlineStr">
        <is>
          <t>- uses: actions/upload-artifact@v4
  with:
    name: dist
    path: dist/
    retention-days: 7
# later job
- uses: actions/download-artifact@v4
  with:
    name: dist</t>
        </is>
      </c>
      <c r="U8" s="19" t="inlineStr">
        <is>
          <t>The dist folder is stored for seven days and appears again in the later job.</t>
        </is>
      </c>
      <c r="V8" s="18" t="inlineStr">
        <is>
          <t>Artifacts are attached to the workflow run. They are useful for build outputs, test reports and logs. Unlike a cache, an artifact is meant for results, and it can be downloaded by people with access. Names must be unique within a run when using version 4. Large artifacts cost storage, so set retention.</t>
        </is>
      </c>
      <c r="W8" s="18" t="inlineStr">
        <is>
          <t>Upload at the end of a job, download at the start of the next.</t>
        </is>
      </c>
      <c r="X8" s="18" t="inlineStr">
        <is>
          <t>It is a parcel posted from one workstation to another.</t>
        </is>
      </c>
      <c r="Y8" s="19" t="inlineStr">
        <is>
          <t>actions/upload-artifact@v4 with: name, path, retention-days</t>
        </is>
      </c>
      <c r="Z8" s="18" t="inlineStr">
        <is>
          <t>name = label | path = files | retention-days = how long kept</t>
        </is>
      </c>
      <c r="AA8" s="19" t="inlineStr">
        <is>
          <t>name: coverage-report</t>
        </is>
      </c>
      <c r="AB8" s="19" t="inlineStr">
        <is>
          <t>path: |
  dist/
  reports/</t>
        </is>
      </c>
      <c r="AC8" s="19" t="inlineStr">
        <is>
          <t>if: always()   // upload even when the tests fail</t>
        </is>
      </c>
      <c r="AD8" s="19" t="inlineStr">
        <is>
          <t>if-no-files-found: error   // fail if nothing matched</t>
        </is>
      </c>
      <c r="AE8" s="18" t="inlineStr">
        <is>
          <t>needs, build jobs, test reports</t>
        </is>
      </c>
      <c r="AF8" s="18" t="inlineStr">
        <is>
          <t>jobs and steps, caching, build artifacts, reports</t>
        </is>
      </c>
      <c r="AG8" s="18" t="inlineStr">
        <is>
          <t>Container registries for images</t>
        </is>
      </c>
      <c r="AH8" s="17" t="n"/>
      <c r="AI8" s="18" t="inlineStr">
        <is>
          <t>Passing builds | Test reports | Debugging</t>
        </is>
      </c>
      <c r="AJ8" s="18" t="inlineStr">
        <is>
          <t>A: Tests failed and I cannot see the report. | B: Upload it with if: always() so it exists on failure.</t>
        </is>
      </c>
      <c r="AK8" s="18" t="inlineStr">
        <is>
          <t>✗ Artifacts are shared automatically between jobs → ✓ You must upload and download them explicitly</t>
        </is>
      </c>
      <c r="AL8" s="18" t="inlineStr">
        <is>
          <t>Artifact vs cache: artifacts carry results, caches speed up repeated work.</t>
        </is>
      </c>
      <c r="AM8" s="18" t="inlineStr">
        <is>
          <t>Do not upload secrets inside artifacts.</t>
        </is>
      </c>
      <c r="AN8" s="19" t="inlineStr">
        <is>
          <t>- uses: actions/upload-artifact@v4
  with:
    name: dist   # path is missing, so the step fails</t>
        </is>
      </c>
      <c r="AO8" s="19" t="inlineStr">
        <is>
          <t>- uses: actions/upload-artifact@v4
  with:
    name: dist
    path: dist/</t>
        </is>
      </c>
      <c r="AP8" s="18" t="inlineStr">
        <is>
          <t>Always name the parcel you upload.</t>
        </is>
      </c>
      <c r="AQ8" s="18" t="inlineStr">
        <is>
          <t>Uploading test reports even on failure so reviewers could inspect them.</t>
        </is>
      </c>
      <c r="AR8" s="18" t="inlineStr">
        <is>
          <t>An interviewer may ask: How do you pass files between jobs?</t>
        </is>
      </c>
      <c r="AS8" s="18" t="inlineStr">
        <is>
          <t>It is like posting a parcel between workstations.</t>
        </is>
      </c>
      <c r="AT8" s="18" t="inlineStr">
        <is>
          <t>Which condition uploads a report even when tests fail?</t>
        </is>
      </c>
      <c r="AU8" s="18" t="inlineStr">
        <is>
          <t>A) always() B) never() C) success() D) once()</t>
        </is>
      </c>
      <c r="AV8" s="18" t="inlineStr">
        <is>
          <t>A</t>
        </is>
      </c>
      <c r="AW8" s="18" t="inlineStr">
        <is>
          <t>always() runs the step regardless of earlier failures.</t>
        </is>
      </c>
      <c r="AX8" s="19" t="inlineStr">
        <is>
          <t>How long a file is stored is set by ____-days → retention</t>
        </is>
      </c>
      <c r="AY8" s="18" t="inlineStr">
        <is>
          <t>Upload the reports folder under the name reports.</t>
        </is>
      </c>
      <c r="AZ8" s="19" t="inlineStr">
        <is>
          <t>- uses: actions/upload-artifact@v4
  with:
    name: reports
    path: reports/</t>
        </is>
      </c>
      <c r="BA8" s="18" t="inlineStr">
        <is>
          <t>Add a step that uploads a coverage report even on failure.</t>
        </is>
      </c>
      <c r="BB8" s="19" t="inlineStr">
        <is>
          <t>Why set retention-days?</t>
        </is>
      </c>
      <c r="BC8" s="19" t="inlineStr">
        <is>
          <t>To save storage by deleting old artifacts.</t>
        </is>
      </c>
      <c r="BD8" s="17">
        <f>IF(K8="","",REPT("★",K8)&amp;REPT("☆",5-K8)&amp;" ("&amp;K8&amp;"/5)")</f>
        <v/>
      </c>
      <c r="BE8" s="17">
        <f>IF(S8="","","Meaning: "&amp;S8&amp;"  =  ______   (Answer: "&amp;F8&amp;")")</f>
        <v/>
      </c>
      <c r="BF8" s="17" t="inlineStr">
        <is>
          <t>New</t>
        </is>
      </c>
      <c r="BG8" s="17" t="n"/>
      <c r="BH8" s="17" t="n"/>
      <c r="BI8" s="17" t="n"/>
      <c r="BJ8" s="17" t="n"/>
      <c r="BK8" s="17" t="n"/>
      <c r="BL8" s="17" t="n"/>
      <c r="BM8" s="17" t="n"/>
      <c r="BN8" s="17" t="n"/>
    </row>
    <row r="9" ht="108" customHeight="1">
      <c r="A9" s="17" t="inlineStr">
        <is>
          <t>CICD-013</t>
        </is>
      </c>
      <c r="B9" s="17" t="inlineStr">
        <is>
          <t>02 GitHub Actions</t>
        </is>
      </c>
      <c r="C9" s="17" t="inlineStr">
        <is>
          <t>Intermediate</t>
        </is>
      </c>
      <c r="D9" s="17" t="n">
        <v>13</v>
      </c>
      <c r="E9" s="17" t="inlineStr">
        <is>
          <t>Claude knowledge</t>
        </is>
      </c>
      <c r="F9" s="18" t="inlineStr">
        <is>
          <t>Secrets in workflows</t>
        </is>
      </c>
      <c r="G9" s="18" t="inlineStr">
        <is>
          <t>How do you give a workflow a password or token without putting it in the code?</t>
        </is>
      </c>
      <c r="H9" s="17" t="n"/>
      <c r="I9" s="18" t="inlineStr">
        <is>
          <t>GitHub Actions concept</t>
        </is>
      </c>
      <c r="J9" s="18" t="inlineStr">
        <is>
          <t>Very high</t>
        </is>
      </c>
      <c r="K9" s="18" t="n">
        <v>5</v>
      </c>
      <c r="L9" s="18" t="inlineStr">
        <is>
          <t>Credentials in a repository leak, so GitHub stores encrypted secrets and injects them only into runs.</t>
        </is>
      </c>
      <c r="M9" s="18" t="inlineStr">
        <is>
          <t>Prefer short-lived tokens through OIDC over stored long-lived secrets.</t>
        </is>
      </c>
      <c r="N9" s="17" t="n"/>
      <c r="O9" s="18" t="inlineStr">
        <is>
          <t>A secret is a sealed envelope handed to the job only when it runs.</t>
        </is>
      </c>
      <c r="P9" s="18" t="inlineStr">
        <is>
          <t>A key icon feeding a masked value into a step.</t>
        </is>
      </c>
      <c r="Q9" s="18" t="inlineStr">
        <is>
          <t>The peace of keeping tokens out of the code.</t>
        </is>
      </c>
      <c r="R9" s="18" t="inlineStr">
        <is>
          <t>Repository, environment and organisation secrets are encrypted values that workflows read with the secrets context, and logs mask them.</t>
        </is>
      </c>
      <c r="S9" s="17" t="n"/>
      <c r="T9" s="19" t="inlineStr">
        <is>
          <t>steps:
  - run: ./deploy.sh
    env:
      API_TOKEN: ${{ secrets.API_TOKEN }}</t>
        </is>
      </c>
      <c r="U9" s="19" t="inlineStr">
        <is>
          <t>The script receives the token as an environment variable, and the log shows *** instead of the value.</t>
        </is>
      </c>
      <c r="V9" s="18" t="inlineStr">
        <is>
          <t>Secrets are set in repository settings and cannot be read back. They are not passed to workflows triggered from forks by default. Masking only hides exact values, so printing a transformed secret may reveal it. Environment secrets are available only to jobs that use that environment. Scope each secret as narrowly as you can.</t>
        </is>
      </c>
      <c r="W9" s="18" t="inlineStr">
        <is>
          <t>Store the value in settings, read it with the secrets context, and never print it.</t>
        </is>
      </c>
      <c r="X9" s="18" t="inlineStr">
        <is>
          <t>A secret is a sealed envelope handed to the job only when it runs.</t>
        </is>
      </c>
      <c r="Y9" s="19" t="inlineStr">
        <is>
          <t>${{ secrets.NAME }}</t>
        </is>
      </c>
      <c r="Z9" s="18" t="inlineStr">
        <is>
          <t>secrets = context | NAME = secret name | env = pass to a step</t>
        </is>
      </c>
      <c r="AA9" s="19" t="inlineStr">
        <is>
          <t>password: ${{ secrets.DB_PASSWORD }}</t>
        </is>
      </c>
      <c r="AB9" s="19" t="inlineStr">
        <is>
          <t>gh secret set API_TOKEN</t>
        </is>
      </c>
      <c r="AC9" s="19" t="inlineStr">
        <is>
          <t>environment: production   // unlocks environment secrets</t>
        </is>
      </c>
      <c r="AD9" s="19" t="inlineStr">
        <is>
          <t>with:
  token: ${{ secrets.GITHUB_TOKEN }}   // the built-in short-lived token</t>
        </is>
      </c>
      <c r="AE9" s="18" t="inlineStr">
        <is>
          <t>environments, OIDC, least privilege</t>
        </is>
      </c>
      <c r="AF9" s="18" t="inlineStr">
        <is>
          <t>environments and approvals, OIDC, permissions, secret scanning</t>
        </is>
      </c>
      <c r="AG9" s="18" t="inlineStr">
        <is>
          <t>OIDC | External secret managers</t>
        </is>
      </c>
      <c r="AH9" s="17" t="n"/>
      <c r="AI9" s="18" t="inlineStr">
        <is>
          <t>Deployments | API calls | Registries</t>
        </is>
      </c>
      <c r="AJ9" s="18" t="inlineStr">
        <is>
          <t>A: Can I echo the token to debug? | B: No, never print secrets, even masked ones.</t>
        </is>
      </c>
      <c r="AK9" s="18" t="inlineStr">
        <is>
          <t>✗ Masking makes it safe to print secrets in logs → ✓ Masking is a safety net, and printing secrets is still dangerous</t>
        </is>
      </c>
      <c r="AL9" s="18" t="inlineStr">
        <is>
          <t>Secret vs variable: secrets are encrypted and masked, variables are plain configuration.</t>
        </is>
      </c>
      <c r="AM9" s="18" t="inlineStr">
        <is>
          <t>Do not pass secrets to workflows that run untrusted code.</t>
        </is>
      </c>
      <c r="AN9" s="19" t="inlineStr">
        <is>
          <t>env:
  API_TOKEN: abc123</t>
        </is>
      </c>
      <c r="AO9" s="19" t="inlineStr">
        <is>
          <t>env:
  API_TOKEN: ${{ secrets.API_TOKEN }}</t>
        </is>
      </c>
      <c r="AP9" s="18" t="inlineStr">
        <is>
          <t>Never print, never commit, always scope.</t>
        </is>
      </c>
      <c r="AQ9" s="18" t="inlineStr">
        <is>
          <t>Moving a registry password from a script into an environment secret.</t>
        </is>
      </c>
      <c r="AR9" s="18" t="inlineStr">
        <is>
          <t>An interviewer may ask: How do you handle credentials in GitHub Actions?</t>
        </is>
      </c>
      <c r="AS9" s="18" t="inlineStr">
        <is>
          <t>It is like a sealed envelope handed over at run time.</t>
        </is>
      </c>
      <c r="AT9" s="18" t="inlineStr">
        <is>
          <t>How do you read a secret named TOKEN in a workflow?</t>
        </is>
      </c>
      <c r="AU9" s="18" t="inlineStr">
        <is>
          <t>A) The secrets context written with double braces B) A plain text file C) The repository README D) A bare dollar variable only</t>
        </is>
      </c>
      <c r="AV9" s="18" t="inlineStr">
        <is>
          <t>A</t>
        </is>
      </c>
      <c r="AW9" s="18" t="inlineStr">
        <is>
          <t>The secrets context exposes stored secrets to steps.</t>
        </is>
      </c>
      <c r="AX9" s="19" t="inlineStr">
        <is>
          <t>Secret values in logs are replaced with ____ → ***</t>
        </is>
      </c>
      <c r="AY9" s="18" t="inlineStr">
        <is>
          <t>Pass the secret API_TOKEN to a step as an environment variable.</t>
        </is>
      </c>
      <c r="AZ9" s="19" t="inlineStr">
        <is>
          <t>env:
  API_TOKEN: ${{ secrets.API_TOKEN }}</t>
        </is>
      </c>
      <c r="BA9" s="18" t="inlineStr">
        <is>
          <t>Write a step that uses a database password from secrets.</t>
        </is>
      </c>
      <c r="BB9" s="19" t="inlineStr">
        <is>
          <t>Are secrets passed to workflows from forks by default?</t>
        </is>
      </c>
      <c r="BC9" s="19" t="inlineStr">
        <is>
          <t>No, they are withheld for safety.</t>
        </is>
      </c>
      <c r="BD9" s="17">
        <f>IF(K9="","",REPT("★",K9)&amp;REPT("☆",5-K9)&amp;" ("&amp;K9&amp;"/5)")</f>
        <v/>
      </c>
      <c r="BE9" s="17">
        <f>IF(S9="","","Meaning: "&amp;S9&amp;"  =  ______   (Answer: "&amp;F9&amp;")")</f>
        <v/>
      </c>
      <c r="BF9" s="17" t="inlineStr">
        <is>
          <t>New</t>
        </is>
      </c>
      <c r="BG9" s="17" t="n"/>
      <c r="BH9" s="17" t="n"/>
      <c r="BI9" s="17" t="n"/>
      <c r="BJ9" s="17" t="n"/>
      <c r="BK9" s="17" t="n"/>
      <c r="BL9" s="17" t="n"/>
      <c r="BM9" s="17" t="n"/>
      <c r="BN9" s="17" t="n"/>
    </row>
    <row r="10" ht="108" customHeight="1">
      <c r="A10" s="17" t="inlineStr">
        <is>
          <t>CICD-014</t>
        </is>
      </c>
      <c r="B10" s="17" t="inlineStr">
        <is>
          <t>02 GitHub Actions</t>
        </is>
      </c>
      <c r="C10" s="17" t="inlineStr">
        <is>
          <t>Advanced</t>
        </is>
      </c>
      <c r="D10" s="17" t="n">
        <v>14</v>
      </c>
      <c r="E10" s="17" t="inlineStr">
        <is>
          <t>Claude knowledge</t>
        </is>
      </c>
      <c r="F10" s="18" t="inlineStr">
        <is>
          <t>Environments and approvals</t>
        </is>
      </c>
      <c r="G10" s="18" t="inlineStr">
        <is>
          <t>How do you protect a deployment target with rules and a required reviewer?</t>
        </is>
      </c>
      <c r="H10" s="17" t="n"/>
      <c r="I10" s="18" t="inlineStr">
        <is>
          <t>GitHub Actions concept</t>
        </is>
      </c>
      <c r="J10" s="18" t="inlineStr">
        <is>
          <t>High</t>
        </is>
      </c>
      <c r="K10" s="18" t="n">
        <v>5</v>
      </c>
      <c r="L10" s="18" t="inlineStr">
        <is>
          <t>Production deployments need a human check and their own secrets, so GitHub lets you define protected environments.</t>
        </is>
      </c>
      <c r="M10" s="18" t="inlineStr">
        <is>
          <t>Give each environment its own secrets, and require approval only for production.</t>
        </is>
      </c>
      <c r="N10" s="17" t="n"/>
      <c r="O10" s="18" t="inlineStr">
        <is>
          <t>An environment is a locked gate with a guard who asks for a signature.</t>
        </is>
      </c>
      <c r="P10" s="18" t="inlineStr">
        <is>
          <t>A job stopping at a gate until a reviewer clicks approve.</t>
        </is>
      </c>
      <c r="Q10" s="18" t="inlineStr">
        <is>
          <t>The assurance that nothing reaches production by accident.</t>
        </is>
      </c>
      <c r="R10" s="18" t="inlineStr">
        <is>
          <t>An environment is a named deployment target in repository settings that can require reviewers, wait timers, branch limits and its own secrets.</t>
        </is>
      </c>
      <c r="S10" s="17" t="n"/>
      <c r="T10" s="19" t="inlineStr">
        <is>
          <t>jobs:
  deploy:
    runs-on: ubuntu-latest
    environment:
      name: production
      url: https://app.example.com
    steps:
      - run: ./deploy.sh</t>
        </is>
      </c>
      <c r="U10" s="19" t="inlineStr">
        <is>
          <t>The job pauses until a required reviewer approves, then runs with the production secrets.</t>
        </is>
      </c>
      <c r="V10" s="18" t="inlineStr">
        <is>
          <t>Protection rules are configured in settings, not in the YAML. The job waits for approval before any step runs. Deployment history is recorded for each environment. Branch rules can allow only main to deploy to production. This gives delivery with a manual gate, as opposed to full deployment.</t>
        </is>
      </c>
      <c r="W10" s="18" t="inlineStr">
        <is>
          <t>Name the environment in the job, and set reviewers and secrets in settings.</t>
        </is>
      </c>
      <c r="X10" s="18" t="inlineStr">
        <is>
          <t>It is a locked gate with a guard who asks for a signature.</t>
        </is>
      </c>
      <c r="Y10" s="19" t="inlineStr">
        <is>
          <t>environment: name: production url: ...</t>
        </is>
      </c>
      <c r="Z10" s="18" t="inlineStr">
        <is>
          <t>environment = target name | url = link shown in UI | rules = set in settings</t>
        </is>
      </c>
      <c r="AA10" s="19" t="inlineStr">
        <is>
          <t>environment: staging</t>
        </is>
      </c>
      <c r="AB10" s="19" t="inlineStr">
        <is>
          <t>environment: { name: production }</t>
        </is>
      </c>
      <c r="AC10" s="19" t="inlineStr">
        <is>
          <t>concurrency: production   // one deployment at a time</t>
        </is>
      </c>
      <c r="AD10" s="19" t="inlineStr">
        <is>
          <t>environment: ${{ inputs.target }}   // choose at run time</t>
        </is>
      </c>
      <c r="AE10" s="18" t="inlineStr">
        <is>
          <t>secrets, reviewers, branches</t>
        </is>
      </c>
      <c r="AF10" s="18" t="inlineStr">
        <is>
          <t>environments, secrets in workflows, deployment strategies, permissions</t>
        </is>
      </c>
      <c r="AG10" s="18" t="inlineStr">
        <is>
          <t>Manual release scripts</t>
        </is>
      </c>
      <c r="AH10" s="17" t="n"/>
      <c r="AI10" s="18" t="inlineStr">
        <is>
          <t>Production deploys | Compliance | Staging</t>
        </is>
      </c>
      <c r="AJ10" s="18" t="inlineStr">
        <is>
          <t>A: Can anyone deploy to production? | B: No, it needs a reviewer to approve.</t>
        </is>
      </c>
      <c r="AK10" s="18" t="inlineStr">
        <is>
          <t>✗ Approval rules are written in the workflow YAML → ✓ They are configured in the environment's settings</t>
        </is>
      </c>
      <c r="AL10" s="18" t="inlineStr">
        <is>
          <t>Environment secret vs repository secret: environment secrets are only for jobs using that environment.</t>
        </is>
      </c>
      <c r="AM10" s="18" t="inlineStr">
        <is>
          <t>Do not let feature branches deploy to production.</t>
        </is>
      </c>
      <c r="AN10" s="19" t="inlineStr">
        <is>
          <t>deploy:
  environment: prod   # a typo here silently creates a new, unprotected environment</t>
        </is>
      </c>
      <c r="AO10" s="19" t="inlineStr">
        <is>
          <t>deploy:
  environment: production</t>
        </is>
      </c>
      <c r="AP10" s="18" t="inlineStr">
        <is>
          <t>Rules live in settings, name lives in YAML.</t>
        </is>
      </c>
      <c r="AQ10" s="18" t="inlineStr">
        <is>
          <t>Adding a production environment with a required approver after a bad release.</t>
        </is>
      </c>
      <c r="AR10" s="18" t="inlineStr">
        <is>
          <t>An interviewer may ask: How do you add a manual approval to a deployment?</t>
        </is>
      </c>
      <c r="AS10" s="18" t="inlineStr">
        <is>
          <t>It is like a gate with a guard.</t>
        </is>
      </c>
      <c r="AT10" s="18" t="inlineStr">
        <is>
          <t>Where are required reviewers configured?</t>
        </is>
      </c>
      <c r="AU10" s="18" t="inlineStr">
        <is>
          <t>A) In the Dockerfile B) In the README C) In the environment settings D) In package.json</t>
        </is>
      </c>
      <c r="AV10" s="18" t="inlineStr">
        <is>
          <t>C</t>
        </is>
      </c>
      <c r="AW10" s="18" t="inlineStr">
        <is>
          <t>Environment protection rules are managed in repository settings.</t>
        </is>
      </c>
      <c r="AX10" s="19" t="inlineStr">
        <is>
          <t>A named deployment target in GitHub is called an ____ → environment</t>
        </is>
      </c>
      <c r="AY10" s="18" t="inlineStr">
        <is>
          <t>Make a job deploy to the production environment.</t>
        </is>
      </c>
      <c r="AZ10" s="19" t="inlineStr">
        <is>
          <t>environment: production</t>
        </is>
      </c>
      <c r="BA10" s="18" t="inlineStr">
        <is>
          <t>Write a deploy job that targets staging with a URL.</t>
        </is>
      </c>
      <c r="BB10" s="19" t="inlineStr">
        <is>
          <t>What does a required reviewer do?</t>
        </is>
      </c>
      <c r="BC10" s="19" t="inlineStr">
        <is>
          <t>They must approve before the job runs.</t>
        </is>
      </c>
      <c r="BD10" s="17">
        <f>IF(K10="","",REPT("★",K10)&amp;REPT("☆",5-K10)&amp;" ("&amp;K10&amp;"/5)")</f>
        <v/>
      </c>
      <c r="BE10" s="17">
        <f>IF(S10="","","Meaning: "&amp;S10&amp;"  =  ______   (Answer: "&amp;F10&amp;")")</f>
        <v/>
      </c>
      <c r="BF10" s="17" t="inlineStr">
        <is>
          <t>New</t>
        </is>
      </c>
      <c r="BG10" s="17" t="n"/>
      <c r="BH10" s="17" t="n"/>
      <c r="BI10" s="17" t="n"/>
      <c r="BJ10" s="17" t="n"/>
      <c r="BK10" s="17" t="n"/>
      <c r="BL10" s="17" t="n"/>
      <c r="BM10" s="17" t="n"/>
      <c r="BN10" s="17" t="n"/>
    </row>
    <row r="11" ht="148.5" customHeight="1">
      <c r="A11" s="17" t="inlineStr">
        <is>
          <t>CICD-015</t>
        </is>
      </c>
      <c r="B11" s="17" t="inlineStr">
        <is>
          <t>02 GitHub Actions</t>
        </is>
      </c>
      <c r="C11" s="17" t="inlineStr">
        <is>
          <t>Advanced</t>
        </is>
      </c>
      <c r="D11" s="17" t="n">
        <v>15</v>
      </c>
      <c r="E11" s="17" t="inlineStr">
        <is>
          <t>Claude knowledge</t>
        </is>
      </c>
      <c r="F11" s="18" t="inlineStr">
        <is>
          <t>Reusable workflows</t>
        </is>
      </c>
      <c r="G11" s="18" t="inlineStr">
        <is>
          <t>How do you share one workflow across many repositories or jobs?</t>
        </is>
      </c>
      <c r="H11" s="17" t="n"/>
      <c r="I11" s="18" t="inlineStr">
        <is>
          <t>GitHub Actions concept</t>
        </is>
      </c>
      <c r="J11" s="18" t="inlineStr">
        <is>
          <t>Medium</t>
        </is>
      </c>
      <c r="K11" s="18" t="n">
        <v>4</v>
      </c>
      <c r="L11" s="18" t="inlineStr">
        <is>
          <t>Copying the same steps into every repository leads to drift, so a workflow can be called like a function.</t>
        </is>
      </c>
      <c r="M11" s="18" t="inlineStr">
        <is>
          <t>Pin the called workflow to a tag or commit, not a moving branch.</t>
        </is>
      </c>
      <c r="N11" s="17" t="n"/>
      <c r="O11" s="18" t="inlineStr">
        <is>
          <t>A reusable workflow is a shared recipe that other kitchens can cook from.</t>
        </is>
      </c>
      <c r="P11" s="18" t="inlineStr">
        <is>
          <t>Many callers pointing to one central workflow file.</t>
        </is>
      </c>
      <c r="Q11" s="18" t="inlineStr">
        <is>
          <t>The satisfaction of fixing something once for every repository.</t>
        </is>
      </c>
      <c r="R11" s="18" t="inlineStr">
        <is>
          <t>A reusable workflow uses the workflow_call trigger, so other workflows can call it with inputs and secrets.</t>
        </is>
      </c>
      <c r="S11" s="17" t="n"/>
      <c r="T11" s="19" t="inlineStr">
        <is>
          <t># .github/workflows/test.yml
on:
  workflow_call:
    inputs:
      node: { type: string, default: "20" }
# caller
jobs:
  ci:
    uses: acme/shared/.github/workflows/test.yml@v1
    with: { node: "22" }</t>
        </is>
      </c>
      <c r="U11" s="19" t="inlineStr">
        <is>
          <t>The caller runs the shared test workflow with Node 22 without copying any steps.</t>
        </is>
      </c>
      <c r="V11" s="18" t="inlineStr">
        <is>
          <t>The called workflow defines inputs and secrets under workflow_call. The caller uses the uses key at the job level with a path and a version. Secrets can be passed explicitly or inherited. Outputs can return values. A composite action is another reuse option, for sharing steps instead of whole jobs.</t>
        </is>
      </c>
      <c r="W11" s="18" t="inlineStr">
        <is>
          <t>Write the workflow once with workflow_call, and call it from other workflows with inputs.</t>
        </is>
      </c>
      <c r="X11" s="18" t="inlineStr">
        <is>
          <t>It is a shared recipe that other kitchens can cook from.</t>
        </is>
      </c>
      <c r="Y11" s="19" t="inlineStr">
        <is>
          <t>on: workflow_call: | uses: owner/repo/.github/workflows/file.yml@ref</t>
        </is>
      </c>
      <c r="Z11" s="18" t="inlineStr">
        <is>
          <t>workflow_call = makes it callable | inputs = parameters | uses = call it | @ref = version</t>
        </is>
      </c>
      <c r="AA11" s="19" t="inlineStr">
        <is>
          <t>secrets: inherit</t>
        </is>
      </c>
      <c r="AB11" s="19" t="inlineStr">
        <is>
          <t>uses: ./.github/workflows/test.yml</t>
        </is>
      </c>
      <c r="AC11" s="19" t="inlineStr">
        <is>
          <t>outputs: image: ${{ jobs.build.outputs.image }}</t>
        </is>
      </c>
      <c r="AD11" s="19" t="inlineStr">
        <is>
          <t>uses: acme/actions/setup@v2   // reuse steps with a composite action</t>
        </is>
      </c>
      <c r="AE11" s="18" t="inlineStr">
        <is>
          <t>versions, inputs, organisations</t>
        </is>
      </c>
      <c r="AF11" s="18" t="inlineStr">
        <is>
          <t>workflow file, jobs and steps, pinning actions, permissions</t>
        </is>
      </c>
      <c r="AG11" s="18" t="inlineStr">
        <is>
          <t>Composite actions | Copy and paste</t>
        </is>
      </c>
      <c r="AH11" s="17" t="n"/>
      <c r="AI11" s="18" t="inlineStr">
        <is>
          <t>Organisations | Many repositories | Standard pipelines</t>
        </is>
      </c>
      <c r="AJ11" s="18" t="inlineStr">
        <is>
          <t>A: Twenty repositories have slightly different test workflows. | B: Move it into one reusable workflow.</t>
        </is>
      </c>
      <c r="AK11" s="18" t="inlineStr">
        <is>
          <t>✗ A reusable workflow is the same as a composite action → ✓ A workflow reuses whole jobs, and a composite action reuses steps</t>
        </is>
      </c>
      <c r="AL11" s="18" t="inlineStr">
        <is>
          <t>Reusable workflow vs composite action: jobs versus steps.</t>
        </is>
      </c>
      <c r="AM11" s="18" t="inlineStr">
        <is>
          <t>Do not call a shared workflow from a moving branch name.</t>
        </is>
      </c>
      <c r="AN11" s="19" t="inlineStr">
        <is>
          <t>uses: acme/shared/.github/workflows/test.yml@main</t>
        </is>
      </c>
      <c r="AO11" s="19" t="inlineStr">
        <is>
          <t>uses: acme/shared/.github/workflows/test.yml@v1</t>
        </is>
      </c>
      <c r="AP11" s="18" t="inlineStr">
        <is>
          <t>Version your shared workflows like software.</t>
        </is>
      </c>
      <c r="AQ11" s="18" t="inlineStr">
        <is>
          <t>Replacing twelve copied test workflows with one reusable workflow.</t>
        </is>
      </c>
      <c r="AR11" s="18" t="inlineStr">
        <is>
          <t>An interviewer may ask: How would you standardise CI across many repositories?</t>
        </is>
      </c>
      <c r="AS11" s="18" t="inlineStr">
        <is>
          <t>It is like a shared recipe for many kitchens.</t>
        </is>
      </c>
      <c r="AT11" s="18" t="inlineStr">
        <is>
          <t>Which trigger makes a workflow callable?</t>
        </is>
      </c>
      <c r="AU11" s="18" t="inlineStr">
        <is>
          <t>A) schedule B) release C) push D) workflow_call</t>
        </is>
      </c>
      <c r="AV11" s="18" t="inlineStr">
        <is>
          <t>D</t>
        </is>
      </c>
      <c r="AW11" s="18" t="inlineStr">
        <is>
          <t>workflow_call lets other workflows invoke it.</t>
        </is>
      </c>
      <c r="AX11" s="19" t="inlineStr">
        <is>
          <t>A callable workflow declares its parameters as ____ → inputs</t>
        </is>
      </c>
      <c r="AY11" s="18" t="inlineStr">
        <is>
          <t>Call the shared workflow test.yml at version v1 from the acme/shared repo.</t>
        </is>
      </c>
      <c r="AZ11" s="19" t="inlineStr">
        <is>
          <t>jobs:
  ci:
    uses: acme/shared/.github/workflows/test.yml@v1</t>
        </is>
      </c>
      <c r="BA11" s="18" t="inlineStr">
        <is>
          <t>Add an input called node to a reusable workflow.</t>
        </is>
      </c>
      <c r="BB11" s="19" t="inlineStr">
        <is>
          <t>What is the difference between a reusable workflow and a composite action?</t>
        </is>
      </c>
      <c r="BC11" s="19" t="inlineStr">
        <is>
          <t>A reusable workflow shares whole jobs, a composite action shares steps.</t>
        </is>
      </c>
      <c r="BD11" s="17">
        <f>IF(K11="","",REPT("★",K11)&amp;REPT("☆",5-K11)&amp;" ("&amp;K11&amp;"/5)")</f>
        <v/>
      </c>
      <c r="BE11" s="17">
        <f>IF(S11="","","Meaning: "&amp;S11&amp;"  =  ______   (Answer: "&amp;F11&amp;")")</f>
        <v/>
      </c>
      <c r="BF11" s="17" t="inlineStr">
        <is>
          <t>New</t>
        </is>
      </c>
      <c r="BG11" s="17" t="n"/>
      <c r="BH11" s="17" t="n"/>
      <c r="BI11" s="17" t="n"/>
      <c r="BJ11" s="17" t="n"/>
      <c r="BK11" s="17" t="n"/>
      <c r="BL11" s="17" t="n"/>
      <c r="BM11" s="17" t="n"/>
      <c r="BN11" s="17" t="n"/>
    </row>
    <row r="12" ht="135" customHeight="1">
      <c r="A12" s="17" t="inlineStr">
        <is>
          <t>CICD-016</t>
        </is>
      </c>
      <c r="B12" s="17" t="inlineStr">
        <is>
          <t>02 GitHub Actions</t>
        </is>
      </c>
      <c r="C12" s="17" t="inlineStr">
        <is>
          <t>Advanced</t>
        </is>
      </c>
      <c r="D12" s="17" t="n">
        <v>16</v>
      </c>
      <c r="E12" s="17" t="inlineStr">
        <is>
          <t>Claude knowledge</t>
        </is>
      </c>
      <c r="F12" s="18" t="inlineStr">
        <is>
          <t>Workflow permissions</t>
        </is>
      </c>
      <c r="G12" s="18" t="inlineStr">
        <is>
          <t>How do you limit what the built-in GITHUB_TOKEN can do in a workflow?</t>
        </is>
      </c>
      <c r="H12" s="17" t="n"/>
      <c r="I12" s="18" t="inlineStr">
        <is>
          <t>GitHub Actions concept</t>
        </is>
      </c>
      <c r="J12" s="18" t="inlineStr">
        <is>
          <t>High</t>
        </is>
      </c>
      <c r="K12" s="18" t="n">
        <v>5</v>
      </c>
      <c r="L12" s="18" t="inlineStr">
        <is>
          <t>A token with write access everywhere makes a compromised step dangerous, so permissions can be limited per workflow and job.</t>
        </is>
      </c>
      <c r="M12" s="18" t="inlineStr">
        <is>
          <t>Start with read-only and add only the scopes a job needs.</t>
        </is>
      </c>
      <c r="N12" s="17" t="n"/>
      <c r="O12" s="18" t="inlineStr">
        <is>
          <t>Permissions are the keys on a keyring, and you hand over only the ones needed.</t>
        </is>
      </c>
      <c r="P12" s="18" t="inlineStr">
        <is>
          <t>A token with a short list of scopes ticked.</t>
        </is>
      </c>
      <c r="Q12" s="18" t="inlineStr">
        <is>
          <t>The security of a token that can do very little.</t>
        </is>
      </c>
      <c r="R12" s="18" t="inlineStr">
        <is>
          <t>The permissions key sets the scopes of GITHUB_TOKEN, such as contents, pull-requests or packages, as read, write or none.</t>
        </is>
      </c>
      <c r="S12" s="17" t="n"/>
      <c r="T12" s="19" t="inlineStr">
        <is>
          <t>permissions:
  contents: read
jobs:
  release:
    runs-on: ubuntu-latest
    permissions:
      contents: write
      packages: write
    steps:
      - uses: actions/checkout@v4</t>
        </is>
      </c>
      <c r="U12" s="19" t="inlineStr">
        <is>
          <t>Every job gets read-only access to contents, except the release job, which can also write contents and packages.</t>
        </is>
      </c>
      <c r="V12" s="18" t="inlineStr">
        <is>
          <t>When permissions is set, any scope you do not list becomes none. A workflow-level setting applies to every job unless a job overrides it. The repository default can also be set to read-only in settings. For OIDC to a cloud, a job needs id-token write. Least privilege here limits the damage from a malicious or buggy action.</t>
        </is>
      </c>
      <c r="W12" s="18" t="inlineStr">
        <is>
          <t>Set permissions at the top to read, then raise them only on the jobs that need more.</t>
        </is>
      </c>
      <c r="X12" s="18" t="inlineStr">
        <is>
          <t>Permissions are keys on a keyring, and you hand over only the ones needed.</t>
        </is>
      </c>
      <c r="Y12" s="19" t="inlineStr">
        <is>
          <t>permissions: scope: read|write|none</t>
        </is>
      </c>
      <c r="Z12" s="18" t="inlineStr">
        <is>
          <t>contents = repository files | packages = registry | id-token = OIDC | pull-requests = PR comments</t>
        </is>
      </c>
      <c r="AA12" s="19" t="inlineStr">
        <is>
          <t>permissions: read-all</t>
        </is>
      </c>
      <c r="AB12" s="19" t="inlineStr">
        <is>
          <t>permissions: { id-token: write, contents: read }</t>
        </is>
      </c>
      <c r="AC12" s="19" t="inlineStr">
        <is>
          <t>permissions: {}</t>
        </is>
      </c>
      <c r="AD12" s="19" t="inlineStr">
        <is>
          <t>permissions: write-all   // avoid, grants everything</t>
        </is>
      </c>
      <c r="AE12" s="18" t="inlineStr">
        <is>
          <t>GITHUB_TOKEN, OIDC, least privilege</t>
        </is>
      </c>
      <c r="AF12" s="18" t="inlineStr">
        <is>
          <t>secrets in workflows, OIDC to the cloud, pinning actions, least privilege tokens</t>
        </is>
      </c>
      <c r="AG12" s="18" t="inlineStr">
        <is>
          <t>Fine-grained personal tokens</t>
        </is>
      </c>
      <c r="AH12" s="17" t="n"/>
      <c r="AI12" s="18" t="inlineStr">
        <is>
          <t>Security hardening | Releases | Cloud deployment</t>
        </is>
      </c>
      <c r="AJ12" s="18" t="inlineStr">
        <is>
          <t>A: A third-party action has write access to our repo. | B: Set permissions to read at the top.</t>
        </is>
      </c>
      <c r="AK12" s="18" t="inlineStr">
        <is>
          <t>✗ The default token permissions are always minimal → ✓ Older repositories may default to broad write access, so set them explicitly</t>
        </is>
      </c>
      <c r="AL12" s="18" t="inlineStr">
        <is>
          <t>Permissions vs secrets: permissions limit the built-in token, secrets are stored values you add.</t>
        </is>
      </c>
      <c r="AM12" s="18" t="inlineStr">
        <is>
          <t>Do not grant write-all to any job.</t>
        </is>
      </c>
      <c r="AN12" s="19" t="inlineStr">
        <is>
          <t>permissions: write-all</t>
        </is>
      </c>
      <c r="AO12" s="19" t="inlineStr">
        <is>
          <t>permissions:
  contents: read</t>
        </is>
      </c>
      <c r="AP12" s="18" t="inlineStr">
        <is>
          <t>Read at the top, write only where needed.</t>
        </is>
      </c>
      <c r="AQ12" s="18" t="inlineStr">
        <is>
          <t>Setting read-only permissions workflow-wide after a third-party action review.</t>
        </is>
      </c>
      <c r="AR12" s="18" t="inlineStr">
        <is>
          <t>An interviewer may ask: How do you secure the GITHUB_TOKEN?</t>
        </is>
      </c>
      <c r="AS12" s="18" t="inlineStr">
        <is>
          <t>It is like handing over only the keys needed.</t>
        </is>
      </c>
      <c r="AT12" s="18" t="inlineStr">
        <is>
          <t>What happens to scopes you do not list once permissions is set?</t>
        </is>
      </c>
      <c r="AU12" s="18" t="inlineStr">
        <is>
          <t>A) They become read B) They become none C) They stay write D) They are ignored</t>
        </is>
      </c>
      <c r="AV12" s="18" t="inlineStr">
        <is>
          <t>B</t>
        </is>
      </c>
      <c r="AW12" s="18" t="inlineStr">
        <is>
          <t>Unlisted scopes are set to no access.</t>
        </is>
      </c>
      <c r="AX12" s="19" t="inlineStr">
        <is>
          <t>Cloud sign-in through OIDC needs the scope ____ write → id-token</t>
        </is>
      </c>
      <c r="AY12" s="18" t="inlineStr">
        <is>
          <t>Make a workflow read-only for repository contents.</t>
        </is>
      </c>
      <c r="AZ12" s="19" t="inlineStr">
        <is>
          <t>permissions:
  contents: read</t>
        </is>
      </c>
      <c r="BA12" s="18" t="inlineStr">
        <is>
          <t>Give a release job write access to packages only.</t>
        </is>
      </c>
      <c r="BB12" s="19" t="inlineStr">
        <is>
          <t>Why set permissions explicitly?</t>
        </is>
      </c>
      <c r="BC12" s="19" t="inlineStr">
        <is>
          <t>Defaults may be broad, and least privilege limits damage from a bad step.</t>
        </is>
      </c>
      <c r="BD12" s="17">
        <f>IF(K12="","",REPT("★",K12)&amp;REPT("☆",5-K12)&amp;" ("&amp;K12&amp;"/5)")</f>
        <v/>
      </c>
      <c r="BE12" s="17">
        <f>IF(S12="","","Meaning: "&amp;S12&amp;"  =  ______   (Answer: "&amp;F12&amp;")")</f>
        <v/>
      </c>
      <c r="BF12" s="17" t="inlineStr">
        <is>
          <t>New</t>
        </is>
      </c>
      <c r="BG12" s="17" t="n"/>
      <c r="BH12" s="17" t="n"/>
      <c r="BI12" s="17" t="n"/>
      <c r="BJ12" s="17" t="n"/>
      <c r="BK12" s="17" t="n"/>
      <c r="BL12" s="17" t="n"/>
      <c r="BM12" s="17" t="n"/>
      <c r="BN12" s="17" t="n"/>
    </row>
    <row r="13" ht="135" customHeight="1">
      <c r="A13" s="17" t="inlineStr">
        <is>
          <t>CICD-032</t>
        </is>
      </c>
      <c r="B13" s="17" t="inlineStr">
        <is>
          <t>05 Security and Scale</t>
        </is>
      </c>
      <c r="C13" s="17" t="inlineStr">
        <is>
          <t>Advanced</t>
        </is>
      </c>
      <c r="D13" s="17" t="n">
        <v>32</v>
      </c>
      <c r="E13" s="17" t="inlineStr">
        <is>
          <t>Claude knowledge</t>
        </is>
      </c>
      <c r="F13" s="18" t="inlineStr">
        <is>
          <t>OIDC to the cloud</t>
        </is>
      </c>
      <c r="G13" s="18" t="inlineStr">
        <is>
          <t>How can a workflow sign in to a cloud account without any stored key?</t>
        </is>
      </c>
      <c r="H13" s="17" t="n"/>
      <c r="I13" s="18" t="inlineStr">
        <is>
          <t>Security practice</t>
        </is>
      </c>
      <c r="J13" s="18" t="inlineStr">
        <is>
          <t>High</t>
        </is>
      </c>
      <c r="K13" s="18" t="n">
        <v>5</v>
      </c>
      <c r="L13" s="18" t="inlineStr">
        <is>
          <t>Stored cloud keys in secrets leak and never expire, so workflows now prove their identity with a short-lived signed token.</t>
        </is>
      </c>
      <c r="M13" s="18" t="inlineStr">
        <is>
          <t>Restrict the cloud role to your repository and branch in its trust policy.</t>
        </is>
      </c>
      <c r="N13" s="17" t="n"/>
      <c r="O13" s="18" t="inlineStr">
        <is>
          <t>OIDC is showing a signed visitor badge at the door instead of carrying a permanent key.</t>
        </is>
      </c>
      <c r="P13" s="18" t="inlineStr">
        <is>
          <t>A workflow exchanging a signed token for temporary cloud credentials.</t>
        </is>
      </c>
      <c r="Q13" s="18" t="inlineStr">
        <is>
          <t>The relief of deleting the last stored cloud key.</t>
        </is>
      </c>
      <c r="R13" s="18" t="inlineStr">
        <is>
          <t>With OpenID Connect, the workflow requests a signed identity token from GitHub, and the cloud exchanges it for temporary credentials for a role it trusts.</t>
        </is>
      </c>
      <c r="S13" s="17" t="n"/>
      <c r="T13" s="19" t="inlineStr">
        <is>
          <t>permissions:
  id-token: write
  contents: read
steps:
  - uses: aws-actions/configure-aws-credentials@v4
    with:
      role-to-assume: arn:aws:iam::123456789012:role/deploy
      aws-region: ap-south-1</t>
        </is>
      </c>
      <c r="U13" s="19" t="inlineStr">
        <is>
          <t>The job receives temporary credentials for the deploy role, and no long-lived key is stored anywhere.</t>
        </is>
      </c>
      <c r="V13" s="18" t="inlineStr">
        <is>
          <t>The cloud role has a trust policy that names GitHub as the identity provider and limits which repository, branch or environment may assume it. The token contains claims about the repository and ref. The workflow needs the id-token write permission. Credentials are short-lived, by default about an hour with the AWS action, so a leak is much less harmful. Azure and GCP offer similar federation.</t>
        </is>
      </c>
      <c r="W13" s="18" t="inlineStr">
        <is>
          <t>Trust GitHub in the cloud, limit the role by repository, and let the workflow request temporary access.</t>
        </is>
      </c>
      <c r="X13" s="18" t="inlineStr">
        <is>
          <t>It is like showing a signed visitor badge instead of carrying a permanent key.</t>
        </is>
      </c>
      <c r="Y13" s="19" t="inlineStr">
        <is>
          <t>permissions: id-token: write | role-to-assume: &lt;role&gt;</t>
        </is>
      </c>
      <c r="Z13" s="18" t="inlineStr">
        <is>
          <t>id-token = lets the job request a token | trust policy = who may assume | role = what they may do</t>
        </is>
      </c>
      <c r="AA13" s="19" t="inlineStr">
        <is>
          <t>sub: repo:acme/api:ref:refs/heads/main</t>
        </is>
      </c>
      <c r="AB13" s="19" t="inlineStr">
        <is>
          <t>role-to-assume: arn:aws:iam::123456789012:role/deploy</t>
        </is>
      </c>
      <c r="AC13" s="19" t="inlineStr">
        <is>
          <t>audience: sts.amazonaws.com</t>
        </is>
      </c>
      <c r="AD13" s="19" t="inlineStr">
        <is>
          <t>azure/login with client-id and tenant-id   // the same idea on Azure</t>
        </is>
      </c>
      <c r="AE13" s="18" t="inlineStr">
        <is>
          <t>IAM roles, permissions, environments</t>
        </is>
      </c>
      <c r="AF13" s="18" t="inlineStr">
        <is>
          <t>workflow permissions, secrets in workflows, temporary credentials, least privilege tokens</t>
        </is>
      </c>
      <c r="AG13" s="18" t="inlineStr">
        <is>
          <t>Stored access keys</t>
        </is>
      </c>
      <c r="AH13" s="17" t="n"/>
      <c r="AI13" s="18" t="inlineStr">
        <is>
          <t>Cloud deployments | Container pushes | Infrastructure pipelines</t>
        </is>
      </c>
      <c r="AJ13" s="18" t="inlineStr">
        <is>
          <t>A: Where is the AWS key stored for the pipeline? | B: Nowhere, it uses OIDC and a role.</t>
        </is>
      </c>
      <c r="AK13" s="18" t="inlineStr">
        <is>
          <t>✗ OIDC removes the need to limit the role → ✓ The trust policy must still restrict which repository and branch can use it</t>
        </is>
      </c>
      <c r="AL13" s="18" t="inlineStr">
        <is>
          <t>OIDC vs stored secret: OIDC gives temporary access, a secret is a long-lived value.</t>
        </is>
      </c>
      <c r="AM13" s="18" t="inlineStr">
        <is>
          <t>Do not trust every repository in the organisation with a powerful role.</t>
        </is>
      </c>
      <c r="AN13" s="19" t="inlineStr">
        <is>
          <t>permissions:
  contents: read   # no id-token, so OIDC fails</t>
        </is>
      </c>
      <c r="AO13" s="19" t="inlineStr">
        <is>
          <t>permissions:
  id-token: write
  contents: read</t>
        </is>
      </c>
      <c r="AP13" s="18" t="inlineStr">
        <is>
          <t>Badge at the door, no key in pocket.</t>
        </is>
      </c>
      <c r="AQ13" s="18" t="inlineStr">
        <is>
          <t>Replacing a stored deployment key with OIDC and a role limited to the main branch.</t>
        </is>
      </c>
      <c r="AR13" s="18" t="inlineStr">
        <is>
          <t>An interviewer may ask: How do you avoid storing cloud credentials in CI?</t>
        </is>
      </c>
      <c r="AS13" s="18" t="inlineStr">
        <is>
          <t>It is like a signed visitor badge instead of a permanent key.</t>
        </is>
      </c>
      <c r="AT13" s="18" t="inlineStr">
        <is>
          <t>Which permission does a job need to request an OIDC token?</t>
        </is>
      </c>
      <c r="AU13" s="18" t="inlineStr">
        <is>
          <t>A) contents: write B) actions: none C) packages: read D) id-token: write</t>
        </is>
      </c>
      <c r="AV13" s="18" t="inlineStr">
        <is>
          <t>D</t>
        </is>
      </c>
      <c r="AW13" s="18" t="inlineStr">
        <is>
          <t>The id-token write scope allows token requests.</t>
        </is>
      </c>
      <c r="AX13" s="19" t="inlineStr">
        <is>
          <t>The cloud checks a ____ policy to see who may assume the role → trust</t>
        </is>
      </c>
      <c r="AY13" s="18" t="inlineStr">
        <is>
          <t>Allow a job to request an OIDC token.</t>
        </is>
      </c>
      <c r="AZ13" s="19" t="inlineStr">
        <is>
          <t>permissions:
  id-token: write</t>
        </is>
      </c>
      <c r="BA13" s="18" t="inlineStr">
        <is>
          <t>Describe what the trust policy should restrict.</t>
        </is>
      </c>
      <c r="BB13" s="19" t="inlineStr">
        <is>
          <t>Why are OIDC credentials safer than stored keys?</t>
        </is>
      </c>
      <c r="BC13" s="19" t="inlineStr">
        <is>
          <t>They are temporary and no long-lived secret exists.</t>
        </is>
      </c>
      <c r="BD13" s="17">
        <f>IF(K13="","",REPT("★",K13)&amp;REPT("☆",5-K13)&amp;" ("&amp;K13&amp;"/5)")</f>
        <v/>
      </c>
      <c r="BE13" s="17">
        <f>IF(S13="","","Meaning: "&amp;S13&amp;"  =  ______   (Answer: "&amp;F13&amp;")")</f>
        <v/>
      </c>
      <c r="BF13" s="17" t="inlineStr">
        <is>
          <t>New</t>
        </is>
      </c>
      <c r="BG13" s="17" t="n"/>
      <c r="BH13" s="17" t="n"/>
      <c r="BI13" s="17" t="n"/>
      <c r="BJ13" s="17" t="n"/>
      <c r="BK13" s="17" t="n"/>
      <c r="BL13" s="17" t="n"/>
      <c r="BM13" s="17" t="n"/>
      <c r="BN13" s="17" t="n"/>
    </row>
    <row r="14" ht="121.5" customHeight="1">
      <c r="A14" s="17" t="inlineStr">
        <is>
          <t>CICD-033</t>
        </is>
      </c>
      <c r="B14" s="17" t="inlineStr">
        <is>
          <t>05 Security and Scale</t>
        </is>
      </c>
      <c r="C14" s="17" t="inlineStr">
        <is>
          <t>Advanced</t>
        </is>
      </c>
      <c r="D14" s="17" t="n">
        <v>33</v>
      </c>
      <c r="E14" s="17" t="inlineStr">
        <is>
          <t>Claude knowledge</t>
        </is>
      </c>
      <c r="F14" s="18" t="inlineStr">
        <is>
          <t>Pinning actions</t>
        </is>
      </c>
      <c r="G14" s="18" t="inlineStr">
        <is>
          <t>How do you stop a third-party action from changing under you?</t>
        </is>
      </c>
      <c r="H14" s="17" t="n"/>
      <c r="I14" s="18" t="inlineStr">
        <is>
          <t>Security practice</t>
        </is>
      </c>
      <c r="J14" s="18" t="inlineStr">
        <is>
          <t>High</t>
        </is>
      </c>
      <c r="K14" s="18" t="n">
        <v>5</v>
      </c>
      <c r="L14" s="18" t="inlineStr">
        <is>
          <t>A moving tag can be replaced by an attacker or a bad release, so workflows should point at an exact immutable version.</t>
        </is>
      </c>
      <c r="M14" s="18" t="inlineStr">
        <is>
          <t>Pin third-party actions to a full commit hash, and let a bot propose updates.</t>
        </is>
      </c>
      <c r="N14" s="17" t="n"/>
      <c r="O14" s="18" t="inlineStr">
        <is>
          <t>Pinning is writing the exact serial number instead of the product name.</t>
        </is>
      </c>
      <c r="P14" s="18" t="inlineStr">
        <is>
          <t>An action reference ending in a long commit hash.</t>
        </is>
      </c>
      <c r="Q14" s="18" t="inlineStr">
        <is>
          <t>The assurance that code does not change silently.</t>
        </is>
      </c>
      <c r="R14" s="18" t="inlineStr">
        <is>
          <t>Pinning means referencing an action by a full commit SHA rather than a tag or branch, so its code cannot change without your knowledge.</t>
        </is>
      </c>
      <c r="S14" s="17" t="n"/>
      <c r="T14" s="19" t="inlineStr">
        <is>
          <t>- uses: actions/checkout@b4ffde65f46336ab88eb53be808477a3936bae11   # v4.1.1
- uses: some-org/deploy-action@5e1c2a8b9d0f3a4b6c7d8e9f0a1b2c3d4e5f6a7b</t>
        </is>
      </c>
      <c r="U14" s="19" t="inlineStr">
        <is>
          <t>The workflow always runs the exact reviewed code, and a version comment shows the human-readable tag.</t>
        </is>
      </c>
      <c r="V14" s="18" t="inlineStr">
        <is>
          <t>Tags such as v1 can be moved by the action author, so a compromised maintainer account can change what your pipeline runs. A full commit hash is immutable. Bots such as Dependabot can open pull requests to update pinned hashes. Actions from the official organisation carry lower risk but pinning is still wise for critical pipelines. Review what an action does before use.</t>
        </is>
      </c>
      <c r="W14" s="18" t="inlineStr">
        <is>
          <t>Use full commit hashes for third-party actions, and update them through reviewed pull requests.</t>
        </is>
      </c>
      <c r="X14" s="18" t="inlineStr">
        <is>
          <t>Pinning is writing the exact serial number instead of the product name.</t>
        </is>
      </c>
      <c r="Y14" s="19" t="inlineStr">
        <is>
          <t>uses: owner/action@&lt;full-commit-sha&gt;</t>
        </is>
      </c>
      <c r="Z14" s="18" t="inlineStr">
        <is>
          <t>owner/action = which action | @sha = exact version | comment = human label</t>
        </is>
      </c>
      <c r="AA14" s="19" t="inlineStr">
        <is>
          <t>uses: actions/setup-node@60edb5dd545a775178f52524783378180af0d1f8   # v4.0.2</t>
        </is>
      </c>
      <c r="AB14" s="19" t="inlineStr">
        <is>
          <t>Dependabot updating github-actions weekly</t>
        </is>
      </c>
      <c r="AC14" s="19" t="inlineStr">
        <is>
          <t>uses: ./.github/actions/local-step</t>
        </is>
      </c>
      <c r="AD14" s="19" t="inlineStr">
        <is>
          <t>uses: owner/action@v1   // convenient but movable</t>
        </is>
      </c>
      <c r="AE14" s="18" t="inlineStr">
        <is>
          <t>Dependabot, code review, permissions</t>
        </is>
      </c>
      <c r="AF14" s="18" t="inlineStr">
        <is>
          <t>workflow permissions, secret scanning, reusable workflows, supply chain</t>
        </is>
      </c>
      <c r="AG14" s="18" t="inlineStr">
        <is>
          <t>Vendoring or forking the action</t>
        </is>
      </c>
      <c r="AH14" s="17" t="n"/>
      <c r="AI14" s="18" t="inlineStr">
        <is>
          <t>Security hardening | Regulated pipelines | Shared workflows</t>
        </is>
      </c>
      <c r="AJ14" s="18" t="inlineStr">
        <is>
          <t>A: An action we use was compromised. | B: Pinned hashes would have protected us from the new code.</t>
        </is>
      </c>
      <c r="AK14" s="18" t="inlineStr">
        <is>
          <t>✗ A version tag such as v4 can never change → ✓ Tags can be moved, and only a commit hash is immutable</t>
        </is>
      </c>
      <c r="AL14" s="18" t="inlineStr">
        <is>
          <t>Tag vs commit hash: a tag is a movable label, a hash identifies fixed code.</t>
        </is>
      </c>
      <c r="AM14" s="18" t="inlineStr">
        <is>
          <t>Do not use branch names such as main for third-party actions.</t>
        </is>
      </c>
      <c r="AN14" s="19" t="inlineStr">
        <is>
          <t>uses: some-org/deploy-action@main</t>
        </is>
      </c>
      <c r="AO14" s="19" t="inlineStr">
        <is>
          <t>uses: some-org/deploy-action@5e1c2a8b9d0f3a4b6c7d8e9f0a1b2c3d4e5f6a7b</t>
        </is>
      </c>
      <c r="AP14" s="18" t="inlineStr">
        <is>
          <t>Pin the hash, not the nickname.</t>
        </is>
      </c>
      <c r="AQ14" s="18" t="inlineStr">
        <is>
          <t>Pinning all third-party actions after a supply chain scare, with weekly update pull requests.</t>
        </is>
      </c>
      <c r="AR14" s="18" t="inlineStr">
        <is>
          <t>An interviewer may ask: How do you defend against a compromised GitHub Action?</t>
        </is>
      </c>
      <c r="AS14" s="18" t="inlineStr">
        <is>
          <t>It is like writing the exact serial number.</t>
        </is>
      </c>
      <c r="AT14" s="18" t="inlineStr">
        <is>
          <t>Which reference is immutable?</t>
        </is>
      </c>
      <c r="AU14" s="18" t="inlineStr">
        <is>
          <t>A) The word latest B) A full commit SHA C) A branch name D) A tag name</t>
        </is>
      </c>
      <c r="AV14" s="18" t="inlineStr">
        <is>
          <t>B</t>
        </is>
      </c>
      <c r="AW14" s="18" t="inlineStr">
        <is>
          <t>A hash identifies exact content.</t>
        </is>
      </c>
      <c r="AX14" s="19" t="inlineStr">
        <is>
          <t>A bot that proposes pinned updates is called ____ → Dependabot</t>
        </is>
      </c>
      <c r="AY14" s="18" t="inlineStr">
        <is>
          <t>Pin an action to a commit hash instead of a tag.</t>
        </is>
      </c>
      <c r="AZ14" s="19" t="inlineStr">
        <is>
          <t>uses: some-org/deploy-action@5e1c2a8b9d0f3a4b6c7d8e9f0a1b2c3d4e5f6a7b</t>
        </is>
      </c>
      <c r="BA14" s="18" t="inlineStr">
        <is>
          <t>Explain how you would keep pinned versions up to date.</t>
        </is>
      </c>
      <c r="BB14" s="19" t="inlineStr">
        <is>
          <t>Why can a tag be unsafe?</t>
        </is>
      </c>
      <c r="BC14" s="19" t="inlineStr">
        <is>
          <t>The author can move it to different code.</t>
        </is>
      </c>
      <c r="BD14" s="17">
        <f>IF(K14="","",REPT("★",K14)&amp;REPT("☆",5-K14)&amp;" ("&amp;K14&amp;"/5)")</f>
        <v/>
      </c>
      <c r="BE14" s="17">
        <f>IF(S14="","","Meaning: "&amp;S14&amp;"  =  ______   (Answer: "&amp;F14&amp;")")</f>
        <v/>
      </c>
      <c r="BF14" s="17" t="inlineStr">
        <is>
          <t>New</t>
        </is>
      </c>
      <c r="BG14" s="17" t="n"/>
      <c r="BH14" s="17" t="n"/>
      <c r="BI14" s="17" t="n"/>
      <c r="BJ14" s="17" t="n"/>
      <c r="BK14" s="17" t="n"/>
      <c r="BL14" s="17" t="n"/>
      <c r="BM14" s="17" t="n"/>
      <c r="BN14" s="17" t="n"/>
    </row>
  </sheetData>
  <autoFilter ref="A2:BN14"/>
  <mergeCells count="6">
    <mergeCell ref="AT1:BC1"/>
    <mergeCell ref="BD1:BE1"/>
    <mergeCell ref="F1:Q1"/>
    <mergeCell ref="A1:E1"/>
    <mergeCell ref="BF1:BN1"/>
    <mergeCell ref="R1:AS1"/>
  </mergeCells>
  <dataValidations count="2">
    <dataValidation sqref="BF3:BF14" showDropDown="0" showInputMessage="0" showErrorMessage="0" allowBlank="1" type="list">
      <formula1>"New,Learning,Known"</formula1>
    </dataValidation>
    <dataValidation sqref="BM3:BM14" showDropDown="0" showInputMessage="0" showErrorMessage="0" allowBlank="1" type="list">
      <formula1>"OK,Fix"</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1"/>
  <sheetViews>
    <sheetView showGridLines="0" workbookViewId="0">
      <pane ySplit="3" topLeftCell="A4" activePane="bottomLeft" state="frozen"/>
      <selection pane="bottomLeft" activeCell="A1" sqref="A1"/>
    </sheetView>
  </sheetViews>
  <sheetFormatPr baseColWidth="8" defaultRowHeight="15"/>
  <cols>
    <col width="28" customWidth="1" min="1" max="1"/>
    <col width="100" customWidth="1" min="2" max="2"/>
  </cols>
  <sheetData>
    <row r="1">
      <c r="A1" s="20" t="inlineStr">
        <is>
          <t>Code concept (56-pt) · card view</t>
        </is>
      </c>
    </row>
    <row r="2">
      <c r="A2" s="21" t="inlineStr">
        <is>
          <t>Card ID chuno ▸</t>
        </is>
      </c>
      <c r="B2" s="22" t="inlineStr">
        <is>
          <t>CICD-007</t>
        </is>
      </c>
    </row>
    <row r="4">
      <c r="A4" s="23" t="inlineStr">
        <is>
          <t>FRONT · Recognition (pehchano)</t>
        </is>
      </c>
    </row>
    <row r="5" ht="30" customHeight="1">
      <c r="A5" s="24" t="inlineStr">
        <is>
          <t>ID</t>
        </is>
      </c>
      <c r="B5" s="17">
        <f>INDEX('Code concept (56-pt) cards'!$A$3:$BN$14,MATCH($B$2,'Code concept (56-pt) cards'!$A$3:$A$14,0),MATCH("ID",'Code concept (56-pt) cards'!$A$2:$BN$2,0))&amp;""</f>
        <v/>
      </c>
    </row>
    <row r="6" ht="30" customHeight="1">
      <c r="A6" s="24" t="inlineStr">
        <is>
          <t>Topic</t>
        </is>
      </c>
      <c r="B6" s="17">
        <f>INDEX('Code concept (56-pt) cards'!$A$3:$BN$14,MATCH($B$2,'Code concept (56-pt) cards'!$A$3:$A$14,0),MATCH("Topic",'Code concept (56-pt) cards'!$A$2:$BN$2,0))&amp;""</f>
        <v/>
      </c>
    </row>
    <row r="7" ht="30" customHeight="1">
      <c r="A7" s="24" t="inlineStr">
        <is>
          <t>Level</t>
        </is>
      </c>
      <c r="B7" s="17">
        <f>INDEX('Code concept (56-pt) cards'!$A$3:$BN$14,MATCH($B$2,'Code concept (56-pt) cards'!$A$3:$A$14,0),MATCH("Level",'Code concept (56-pt) cards'!$A$2:$BN$2,0))&amp;""</f>
        <v/>
      </c>
    </row>
    <row r="8" ht="30" customHeight="1">
      <c r="A8" s="24" t="inlineStr">
        <is>
          <t>Concept</t>
        </is>
      </c>
      <c r="B8" s="17">
        <f>INDEX('Code concept (56-pt) cards'!$A$3:$BN$14,MATCH($B$2,'Code concept (56-pt) cards'!$A$3:$A$14,0),MATCH("Concept",'Code concept (56-pt) cards'!$A$2:$BN$2,0))&amp;""</f>
        <v/>
      </c>
    </row>
    <row r="9" ht="30" customHeight="1">
      <c r="A9" s="24" t="inlineStr">
        <is>
          <t>Recall cue</t>
        </is>
      </c>
      <c r="B9" s="17">
        <f>INDEX('Code concept (56-pt) cards'!$A$3:$BN$14,MATCH($B$2,'Code concept (56-pt) cards'!$A$3:$A$14,0),MATCH("Recall cue",'Code concept (56-pt) cards'!$A$2:$BN$2,0))&amp;""</f>
        <v/>
      </c>
    </row>
    <row r="10" ht="30" customHeight="1">
      <c r="A10" s="24" t="inlineStr">
        <is>
          <t>Read aloud</t>
        </is>
      </c>
      <c r="B10" s="17">
        <f>INDEX('Code concept (56-pt) cards'!$A$3:$BN$14,MATCH($B$2,'Code concept (56-pt) cards'!$A$3:$A$14,0),MATCH("Read aloud",'Code concept (56-pt) cards'!$A$2:$BN$2,0))&amp;""</f>
        <v/>
      </c>
    </row>
    <row r="11" ht="30" customHeight="1">
      <c r="A11" s="24" t="inlineStr">
        <is>
          <t>Type</t>
        </is>
      </c>
      <c r="B11" s="17">
        <f>INDEX('Code concept (56-pt) cards'!$A$3:$BN$14,MATCH($B$2,'Code concept (56-pt) cards'!$A$3:$A$14,0),MATCH("Type",'Code concept (56-pt) cards'!$A$2:$BN$2,0))&amp;""</f>
        <v/>
      </c>
    </row>
    <row r="12" ht="30" customHeight="1">
      <c r="A12" s="24" t="inlineStr">
        <is>
          <t>How often used</t>
        </is>
      </c>
      <c r="B12" s="17">
        <f>INDEX('Code concept (56-pt) cards'!$A$3:$BN$14,MATCH($B$2,'Code concept (56-pt) cards'!$A$3:$A$14,0),MATCH("How often used",'Code concept (56-pt) cards'!$A$2:$BN$2,0))&amp;""</f>
        <v/>
      </c>
    </row>
    <row r="13" ht="30" customHeight="1">
      <c r="A13" s="24" t="inlineStr">
        <is>
          <t>Importance (1-5)</t>
        </is>
      </c>
      <c r="B13" s="17">
        <f>INDEX('Code concept (56-pt) cards'!$A$3:$BN$14,MATCH($B$2,'Code concept (56-pt) cards'!$A$3:$A$14,0),MATCH("Importance (1-5)",'Code concept (56-pt) cards'!$A$2:$BN$2,0))&amp;""</f>
        <v/>
      </c>
    </row>
    <row r="14" ht="30" customHeight="1">
      <c r="A14" s="24" t="inlineStr">
        <is>
          <t>Origin / why it exists</t>
        </is>
      </c>
      <c r="B14" s="17">
        <f>INDEX('Code concept (56-pt) cards'!$A$3:$BN$14,MATCH($B$2,'Code concept (56-pt) cards'!$A$3:$A$14,0),MATCH("Origin / why it exists",'Code concept (56-pt) cards'!$A$2:$BN$2,0))&amp;""</f>
        <v/>
      </c>
    </row>
    <row r="15" ht="30" customHeight="1">
      <c r="A15" s="24" t="inlineStr">
        <is>
          <t>Pro tip</t>
        </is>
      </c>
      <c r="B15" s="17">
        <f>INDEX('Code concept (56-pt) cards'!$A$3:$BN$14,MATCH($B$2,'Code concept (56-pt) cards'!$A$3:$A$14,0),MATCH("Pro tip",'Code concept (56-pt) cards'!$A$2:$BN$2,0))&amp;""</f>
        <v/>
      </c>
    </row>
    <row r="16" ht="30" customHeight="1">
      <c r="A16" s="24" t="inlineStr">
        <is>
          <t>Typing hint</t>
        </is>
      </c>
      <c r="B16" s="17">
        <f>INDEX('Code concept (56-pt) cards'!$A$3:$BN$14,MATCH($B$2,'Code concept (56-pt) cards'!$A$3:$A$14,0),MATCH("Typing hint",'Code concept (56-pt) cards'!$A$2:$BN$2,0))&amp;""</f>
        <v/>
      </c>
    </row>
    <row r="17" ht="30" customHeight="1">
      <c r="A17" s="24" t="inlineStr">
        <is>
          <t>Memory story</t>
        </is>
      </c>
      <c r="B17" s="17">
        <f>INDEX('Code concept (56-pt) cards'!$A$3:$BN$14,MATCH($B$2,'Code concept (56-pt) cards'!$A$3:$A$14,0),MATCH("Memory story",'Code concept (56-pt) cards'!$A$2:$BN$2,0))&amp;""</f>
        <v/>
      </c>
    </row>
    <row r="18" ht="30" customHeight="1">
      <c r="A18" s="24" t="inlineStr">
        <is>
          <t>Picture it</t>
        </is>
      </c>
      <c r="B18" s="17">
        <f>INDEX('Code concept (56-pt) cards'!$A$3:$BN$14,MATCH($B$2,'Code concept (56-pt) cards'!$A$3:$A$14,0),MATCH("Picture it",'Code concept (56-pt) cards'!$A$2:$BN$2,0))&amp;""</f>
        <v/>
      </c>
    </row>
    <row r="19" ht="30" customHeight="1">
      <c r="A19" s="24" t="inlineStr">
        <is>
          <t>Emotion hook</t>
        </is>
      </c>
      <c r="B19" s="17">
        <f>INDEX('Code concept (56-pt) cards'!$A$3:$BN$14,MATCH($B$2,'Code concept (56-pt) cards'!$A$3:$A$14,0),MATCH("Emotion hook",'Code concept (56-pt) cards'!$A$2:$BN$2,0))&amp;""</f>
        <v/>
      </c>
    </row>
    <row r="20" ht="30" customHeight="1">
      <c r="A20" s="24" t="inlineStr">
        <is>
          <t>Importance ★</t>
        </is>
      </c>
      <c r="B20" s="17">
        <f>INDEX('Code concept (56-pt) cards'!$A$3:$BN$14,MATCH($B$2,'Code concept (56-pt) cards'!$A$3:$A$14,0),MATCH("Importance ★",'Code concept (56-pt) cards'!$A$2:$BN$2,0))&amp;""</f>
        <v/>
      </c>
    </row>
    <row r="21">
      <c r="A21" s="25" t="inlineStr">
        <is>
          <t>BACK · Understanding (samjho)</t>
        </is>
      </c>
    </row>
    <row r="22" ht="30" customHeight="1">
      <c r="A22" s="24" t="inlineStr">
        <is>
          <t>Meaning (short)</t>
        </is>
      </c>
      <c r="B22" s="17">
        <f>INDEX('Code concept (56-pt) cards'!$A$3:$BN$14,MATCH($B$2,'Code concept (56-pt) cards'!$A$3:$A$14,0),MATCH("Meaning (short)",'Code concept (56-pt) cards'!$A$2:$BN$2,0))&amp;""</f>
        <v/>
      </c>
    </row>
    <row r="23" ht="30" customHeight="1">
      <c r="A23" s="24" t="inlineStr">
        <is>
          <t>Meaning in learner's language</t>
        </is>
      </c>
      <c r="B23" s="17">
        <f>INDEX('Code concept (56-pt) cards'!$A$3:$BN$14,MATCH($B$2,'Code concept (56-pt) cards'!$A$3:$A$14,0),MATCH("Meaning in learner's language",'Code concept (56-pt) cards'!$A$2:$BN$2,0))&amp;""</f>
        <v/>
      </c>
    </row>
    <row r="24" ht="148.5" customHeight="1">
      <c r="A24" s="24" t="inlineStr">
        <is>
          <t>Code</t>
        </is>
      </c>
      <c r="B24" s="26">
        <f>INDEX('Code concept (56-pt) cards'!$A$3:$BN$14,MATCH($B$2,'Code concept (56-pt) cards'!$A$3:$A$14,0),MATCH("Code",'Code concept (56-pt) cards'!$A$2:$BN$2,0))&amp;""</f>
        <v/>
      </c>
    </row>
    <row r="25" ht="30" customHeight="1">
      <c r="A25" s="24" t="inlineStr">
        <is>
          <t>Output</t>
        </is>
      </c>
      <c r="B25" s="26">
        <f>INDEX('Code concept (56-pt) cards'!$A$3:$BN$14,MATCH($B$2,'Code concept (56-pt) cards'!$A$3:$A$14,0),MATCH("Output",'Code concept (56-pt) cards'!$A$2:$BN$2,0))&amp;""</f>
        <v/>
      </c>
    </row>
    <row r="26" ht="54" customHeight="1">
      <c r="A26" s="24" t="inlineStr">
        <is>
          <t>Explanation</t>
        </is>
      </c>
      <c r="B26" s="17">
        <f>INDEX('Code concept (56-pt) cards'!$A$3:$BN$14,MATCH($B$2,'Code concept (56-pt) cards'!$A$3:$A$14,0),MATCH("Explanation",'Code concept (56-pt) cards'!$A$2:$BN$2,0))&amp;""</f>
        <v/>
      </c>
    </row>
    <row r="27" ht="30" customHeight="1">
      <c r="A27" s="24" t="inlineStr">
        <is>
          <t>Simple explanation (Hinglish)</t>
        </is>
      </c>
      <c r="B27" s="17">
        <f>INDEX('Code concept (56-pt) cards'!$A$3:$BN$14,MATCH($B$2,'Code concept (56-pt) cards'!$A$3:$A$14,0),MATCH("Simple explanation (Hinglish)",'Code concept (56-pt) cards'!$A$2:$BN$2,0))&amp;""</f>
        <v/>
      </c>
    </row>
    <row r="28" ht="30" customHeight="1">
      <c r="A28" s="24" t="inlineStr">
        <is>
          <t>Real-life analogy</t>
        </is>
      </c>
      <c r="B28" s="17">
        <f>INDEX('Code concept (56-pt) cards'!$A$3:$BN$14,MATCH($B$2,'Code concept (56-pt) cards'!$A$3:$A$14,0),MATCH("Real-life analogy",'Code concept (56-pt) cards'!$A$2:$BN$2,0))&amp;""</f>
        <v/>
      </c>
    </row>
    <row r="29" ht="30" customHeight="1">
      <c r="A29" s="24" t="inlineStr">
        <is>
          <t>Syntax pattern</t>
        </is>
      </c>
      <c r="B29" s="26">
        <f>INDEX('Code concept (56-pt) cards'!$A$3:$BN$14,MATCH($B$2,'Code concept (56-pt) cards'!$A$3:$A$14,0),MATCH("Syntax pattern",'Code concept (56-pt) cards'!$A$2:$BN$2,0))&amp;""</f>
        <v/>
      </c>
    </row>
    <row r="30" ht="30" customHeight="1">
      <c r="A30" s="24" t="inlineStr">
        <is>
          <t>Anatomy</t>
        </is>
      </c>
      <c r="B30" s="17">
        <f>INDEX('Code concept (56-pt) cards'!$A$3:$BN$14,MATCH($B$2,'Code concept (56-pt) cards'!$A$3:$A$14,0),MATCH("Anatomy",'Code concept (56-pt) cards'!$A$2:$BN$2,0))&amp;""</f>
        <v/>
      </c>
    </row>
    <row r="31" ht="30" customHeight="1">
      <c r="A31" s="24" t="inlineStr">
        <is>
          <t>Example 1</t>
        </is>
      </c>
      <c r="B31" s="26">
        <f>INDEX('Code concept (56-pt) cards'!$A$3:$BN$14,MATCH($B$2,'Code concept (56-pt) cards'!$A$3:$A$14,0),MATCH("Example 1",'Code concept (56-pt) cards'!$A$2:$BN$2,0))&amp;""</f>
        <v/>
      </c>
    </row>
    <row r="32" ht="30" customHeight="1">
      <c r="A32" s="24" t="inlineStr">
        <is>
          <t>Example 2</t>
        </is>
      </c>
      <c r="B32" s="26">
        <f>INDEX('Code concept (56-pt) cards'!$A$3:$BN$14,MATCH($B$2,'Code concept (56-pt) cards'!$A$3:$A$14,0),MATCH("Example 2",'Code concept (56-pt) cards'!$A$2:$BN$2,0))&amp;""</f>
        <v/>
      </c>
    </row>
    <row r="33" ht="30" customHeight="1">
      <c r="A33" s="24" t="inlineStr">
        <is>
          <t>Example 3</t>
        </is>
      </c>
      <c r="B33" s="26">
        <f>INDEX('Code concept (56-pt) cards'!$A$3:$BN$14,MATCH($B$2,'Code concept (56-pt) cards'!$A$3:$A$14,0),MATCH("Example 3",'Code concept (56-pt) cards'!$A$2:$BN$2,0))&amp;""</f>
        <v/>
      </c>
    </row>
    <row r="34" ht="30" customHeight="1">
      <c r="A34" s="24" t="inlineStr">
        <is>
          <t>Variation</t>
        </is>
      </c>
      <c r="B34" s="26">
        <f>INDEX('Code concept (56-pt) cards'!$A$3:$BN$14,MATCH($B$2,'Code concept (56-pt) cards'!$A$3:$A$14,0),MATCH("Variation",'Code concept (56-pt) cards'!$A$2:$BN$2,0))&amp;""</f>
        <v/>
      </c>
    </row>
    <row r="35" ht="30" customHeight="1">
      <c r="A35" s="24" t="inlineStr">
        <is>
          <t>Used with</t>
        </is>
      </c>
      <c r="B35" s="17">
        <f>INDEX('Code concept (56-pt) cards'!$A$3:$BN$14,MATCH($B$2,'Code concept (56-pt) cards'!$A$3:$A$14,0),MATCH("Used with",'Code concept (56-pt) cards'!$A$2:$BN$2,0))&amp;""</f>
        <v/>
      </c>
    </row>
    <row r="36" ht="30" customHeight="1">
      <c r="A36" s="24" t="inlineStr">
        <is>
          <t>Related concepts</t>
        </is>
      </c>
      <c r="B36" s="17">
        <f>INDEX('Code concept (56-pt) cards'!$A$3:$BN$14,MATCH($B$2,'Code concept (56-pt) cards'!$A$3:$A$14,0),MATCH("Related concepts",'Code concept (56-pt) cards'!$A$2:$BN$2,0))&amp;""</f>
        <v/>
      </c>
    </row>
    <row r="37" ht="30" customHeight="1">
      <c r="A37" s="24" t="inlineStr">
        <is>
          <t>Alternatives</t>
        </is>
      </c>
      <c r="B37" s="17">
        <f>INDEX('Code concept (56-pt) cards'!$A$3:$BN$14,MATCH($B$2,'Code concept (56-pt) cards'!$A$3:$A$14,0),MATCH("Alternatives",'Code concept (56-pt) cards'!$A$2:$BN$2,0))&amp;""</f>
        <v/>
      </c>
    </row>
    <row r="38" ht="30" customHeight="1">
      <c r="A38" s="24" t="inlineStr">
        <is>
          <t>Family / group</t>
        </is>
      </c>
      <c r="B38" s="17">
        <f>INDEX('Code concept (56-pt) cards'!$A$3:$BN$14,MATCH($B$2,'Code concept (56-pt) cards'!$A$3:$A$14,0),MATCH("Family / group",'Code concept (56-pt) cards'!$A$2:$BN$2,0))&amp;""</f>
        <v/>
      </c>
    </row>
    <row r="39" ht="30" customHeight="1">
      <c r="A39" s="24" t="inlineStr">
        <is>
          <t>Where it is used</t>
        </is>
      </c>
      <c r="B39" s="17">
        <f>INDEX('Code concept (56-pt) cards'!$A$3:$BN$14,MATCH($B$2,'Code concept (56-pt) cards'!$A$3:$A$14,0),MATCH("Where it is used",'Code concept (56-pt) cards'!$A$2:$BN$2,0))&amp;""</f>
        <v/>
      </c>
    </row>
    <row r="40" ht="30" customHeight="1">
      <c r="A40" s="24" t="inlineStr">
        <is>
          <t>Mini conversation</t>
        </is>
      </c>
      <c r="B40" s="17">
        <f>INDEX('Code concept (56-pt) cards'!$A$3:$BN$14,MATCH($B$2,'Code concept (56-pt) cards'!$A$3:$A$14,0),MATCH("Mini conversation",'Code concept (56-pt) cards'!$A$2:$BN$2,0))&amp;""</f>
        <v/>
      </c>
    </row>
    <row r="41" ht="30" customHeight="1">
      <c r="A41" s="24" t="inlineStr">
        <is>
          <t>Common mistake</t>
        </is>
      </c>
      <c r="B41" s="17">
        <f>INDEX('Code concept (56-pt) cards'!$A$3:$BN$14,MATCH($B$2,'Code concept (56-pt) cards'!$A$3:$A$14,0),MATCH("Common mistake",'Code concept (56-pt) cards'!$A$2:$BN$2,0))&amp;""</f>
        <v/>
      </c>
    </row>
    <row r="42" ht="30" customHeight="1">
      <c r="A42" s="24" t="inlineStr">
        <is>
          <t>Commonly confused with</t>
        </is>
      </c>
      <c r="B42" s="17">
        <f>INDEX('Code concept (56-pt) cards'!$A$3:$BN$14,MATCH($B$2,'Code concept (56-pt) cards'!$A$3:$A$14,0),MATCH("Commonly confused with",'Code concept (56-pt) cards'!$A$2:$BN$2,0))&amp;""</f>
        <v/>
      </c>
    </row>
    <row r="43" ht="30" customHeight="1">
      <c r="A43" s="24" t="inlineStr">
        <is>
          <t>Avoid / don't</t>
        </is>
      </c>
      <c r="B43" s="17">
        <f>INDEX('Code concept (56-pt) cards'!$A$3:$BN$14,MATCH($B$2,'Code concept (56-pt) cards'!$A$3:$A$14,0),MATCH("Avoid / don't",'Code concept (56-pt) cards'!$A$2:$BN$2,0))&amp;""</f>
        <v/>
      </c>
    </row>
    <row r="44" ht="40.5" customHeight="1">
      <c r="A44" s="24" t="inlineStr">
        <is>
          <t>Wrong code</t>
        </is>
      </c>
      <c r="B44" s="26">
        <f>INDEX('Code concept (56-pt) cards'!$A$3:$BN$14,MATCH($B$2,'Code concept (56-pt) cards'!$A$3:$A$14,0),MATCH("Wrong code",'Code concept (56-pt) cards'!$A$2:$BN$2,0))&amp;""</f>
        <v/>
      </c>
    </row>
    <row r="45" ht="54" customHeight="1">
      <c r="A45" s="24" t="inlineStr">
        <is>
          <t>Right code</t>
        </is>
      </c>
      <c r="B45" s="26">
        <f>INDEX('Code concept (56-pt) cards'!$A$3:$BN$14,MATCH($B$2,'Code concept (56-pt) cards'!$A$3:$A$14,0),MATCH("Right code",'Code concept (56-pt) cards'!$A$2:$BN$2,0))&amp;""</f>
        <v/>
      </c>
    </row>
    <row r="46" ht="30" customHeight="1">
      <c r="A46" s="24" t="inlineStr">
        <is>
          <t>Memory trick</t>
        </is>
      </c>
      <c r="B46" s="17">
        <f>INDEX('Code concept (56-pt) cards'!$A$3:$BN$14,MATCH($B$2,'Code concept (56-pt) cards'!$A$3:$A$14,0),MATCH("Memory trick",'Code concept (56-pt) cards'!$A$2:$BN$2,0))&amp;""</f>
        <v/>
      </c>
    </row>
    <row r="47" ht="30" customHeight="1">
      <c r="A47" s="24" t="inlineStr">
        <is>
          <t>Real life: project / work</t>
        </is>
      </c>
      <c r="B47" s="17">
        <f>INDEX('Code concept (56-pt) cards'!$A$3:$BN$14,MATCH($B$2,'Code concept (56-pt) cards'!$A$3:$A$14,0),MATCH("Real life: project / work",'Code concept (56-pt) cards'!$A$2:$BN$2,0))&amp;""</f>
        <v/>
      </c>
    </row>
    <row r="48" ht="30" customHeight="1">
      <c r="A48" s="24" t="inlineStr">
        <is>
          <t>Real life: interview / exam</t>
        </is>
      </c>
      <c r="B48" s="17">
        <f>INDEX('Code concept (56-pt) cards'!$A$3:$BN$14,MATCH($B$2,'Code concept (56-pt) cards'!$A$3:$A$14,0),MATCH("Real life: interview / exam",'Code concept (56-pt) cards'!$A$2:$BN$2,0))&amp;""</f>
        <v/>
      </c>
    </row>
    <row r="49" ht="30" customHeight="1">
      <c r="A49" s="24" t="inlineStr">
        <is>
          <t>Real life: daily life</t>
        </is>
      </c>
      <c r="B49" s="17">
        <f>INDEX('Code concept (56-pt) cards'!$A$3:$BN$14,MATCH($B$2,'Code concept (56-pt) cards'!$A$3:$A$14,0),MATCH("Real life: daily life",'Code concept (56-pt) cards'!$A$2:$BN$2,0))&amp;""</f>
        <v/>
      </c>
    </row>
    <row r="50">
      <c r="A50" s="27" t="inlineStr">
        <is>
          <t>PRACTICE · Khud karo</t>
        </is>
      </c>
    </row>
    <row r="51" ht="30" customHeight="1">
      <c r="A51" s="24" t="inlineStr">
        <is>
          <t>MCQ question</t>
        </is>
      </c>
      <c r="B51" s="17">
        <f>INDEX('Code concept (56-pt) cards'!$A$3:$BN$14,MATCH($B$2,'Code concept (56-pt) cards'!$A$3:$A$14,0),MATCH("MCQ question",'Code concept (56-pt) cards'!$A$2:$BN$2,0))&amp;""</f>
        <v/>
      </c>
    </row>
    <row r="52" ht="30" customHeight="1">
      <c r="A52" s="24" t="inlineStr">
        <is>
          <t>MCQ options</t>
        </is>
      </c>
      <c r="B52" s="17">
        <f>INDEX('Code concept (56-pt) cards'!$A$3:$BN$14,MATCH($B$2,'Code concept (56-pt) cards'!$A$3:$A$14,0),MATCH("MCQ options",'Code concept (56-pt) cards'!$A$2:$BN$2,0))&amp;""</f>
        <v/>
      </c>
    </row>
    <row r="53" ht="30" customHeight="1">
      <c r="A53" s="24" t="inlineStr">
        <is>
          <t>MCQ answer</t>
        </is>
      </c>
      <c r="B53" s="17">
        <f>INDEX('Code concept (56-pt) cards'!$A$3:$BN$14,MATCH($B$2,'Code concept (56-pt) cards'!$A$3:$A$14,0),MATCH("MCQ answer",'Code concept (56-pt) cards'!$A$2:$BN$2,0))&amp;""</f>
        <v/>
      </c>
    </row>
    <row r="54" ht="30" customHeight="1">
      <c r="A54" s="24" t="inlineStr">
        <is>
          <t>Why that answer</t>
        </is>
      </c>
      <c r="B54" s="17">
        <f>INDEX('Code concept (56-pt) cards'!$A$3:$BN$14,MATCH($B$2,'Code concept (56-pt) cards'!$A$3:$A$14,0),MATCH("Why that answer",'Code concept (56-pt) cards'!$A$2:$BN$2,0))&amp;""</f>
        <v/>
      </c>
    </row>
    <row r="55" ht="30" customHeight="1">
      <c r="A55" s="24" t="inlineStr">
        <is>
          <t>Fill the blank</t>
        </is>
      </c>
      <c r="B55" s="26">
        <f>INDEX('Code concept (56-pt) cards'!$A$3:$BN$14,MATCH($B$2,'Code concept (56-pt) cards'!$A$3:$A$14,0),MATCH("Fill the blank",'Code concept (56-pt) cards'!$A$2:$BN$2,0))&amp;""</f>
        <v/>
      </c>
    </row>
    <row r="56" ht="30" customHeight="1">
      <c r="A56" s="24" t="inlineStr">
        <is>
          <t>Try it yourself</t>
        </is>
      </c>
      <c r="B56" s="17">
        <f>INDEX('Code concept (56-pt) cards'!$A$3:$BN$14,MATCH($B$2,'Code concept (56-pt) cards'!$A$3:$A$14,0),MATCH("Try it yourself",'Code concept (56-pt) cards'!$A$2:$BN$2,0))&amp;""</f>
        <v/>
      </c>
    </row>
    <row r="57" ht="54" customHeight="1">
      <c r="A57" s="24" t="inlineStr">
        <is>
          <t>Task answer</t>
        </is>
      </c>
      <c r="B57" s="26">
        <f>INDEX('Code concept (56-pt) cards'!$A$3:$BN$14,MATCH($B$2,'Code concept (56-pt) cards'!$A$3:$A$14,0),MATCH("Task answer",'Code concept (56-pt) cards'!$A$2:$BN$2,0))&amp;""</f>
        <v/>
      </c>
    </row>
    <row r="58" ht="30" customHeight="1">
      <c r="A58" s="24" t="inlineStr">
        <is>
          <t>Write your own</t>
        </is>
      </c>
      <c r="B58" s="17">
        <f>INDEX('Code concept (56-pt) cards'!$A$3:$BN$14,MATCH($B$2,'Code concept (56-pt) cards'!$A$3:$A$14,0),MATCH("Write your own",'Code concept (56-pt) cards'!$A$2:$BN$2,0))&amp;""</f>
        <v/>
      </c>
    </row>
    <row r="59" ht="30" customHeight="1">
      <c r="A59" s="24" t="inlineStr">
        <is>
          <t>Practice question</t>
        </is>
      </c>
      <c r="B59" s="26">
        <f>INDEX('Code concept (56-pt) cards'!$A$3:$BN$14,MATCH($B$2,'Code concept (56-pt) cards'!$A$3:$A$14,0),MATCH("Practice question",'Code concept (56-pt) cards'!$A$2:$BN$2,0))&amp;""</f>
        <v/>
      </c>
    </row>
    <row r="60" ht="30" customHeight="1">
      <c r="A60" s="24" t="inlineStr">
        <is>
          <t>Practice answer</t>
        </is>
      </c>
      <c r="B60" s="26">
        <f>INDEX('Code concept (56-pt) cards'!$A$3:$BN$14,MATCH($B$2,'Code concept (56-pt) cards'!$A$3:$A$14,0),MATCH("Practice answer",'Code concept (56-pt) cards'!$A$2:$BN$2,0))&amp;""</f>
        <v/>
      </c>
    </row>
    <row r="61" ht="30" customHeight="1">
      <c r="A61" s="24" t="inlineStr">
        <is>
          <t>Quick recall (reverse)</t>
        </is>
      </c>
      <c r="B61" s="17">
        <f>INDEX('Code concept (56-pt) cards'!$A$3:$BN$14,MATCH($B$2,'Code concept (56-pt) cards'!$A$3:$A$14,0),MATCH("Quick recall (reverse)",'Code concept (56-pt) cards'!$A$2:$BN$2,0))&amp;""</f>
        <v/>
      </c>
    </row>
  </sheetData>
  <mergeCells count="3">
    <mergeCell ref="A4:B4"/>
    <mergeCell ref="A21:B21"/>
    <mergeCell ref="A50:B50"/>
  </mergeCells>
  <dataValidations count="1">
    <dataValidation sqref="B2" showDropDown="0" showInputMessage="0" showErrorMessage="0" allowBlank="0" type="list">
      <formula1>='Code concept (56-pt) cards'!$A$3:$A$14</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B3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42" customWidth="1" min="7" max="7"/>
    <col width="18" customWidth="1" min="8" max="8"/>
    <col width="18" customWidth="1" min="9" max="9"/>
    <col width="18" customWidth="1" min="10" max="10"/>
    <col width="42" customWidth="1" min="11" max="11"/>
    <col width="42" customWidth="1" min="12" max="12"/>
    <col width="42" customWidth="1" min="13" max="13"/>
    <col width="42" customWidth="1" min="14" max="14"/>
    <col width="42" customWidth="1" min="15" max="15"/>
    <col width="42" customWidth="1" min="16" max="16"/>
    <col width="18" customWidth="1" min="17" max="17"/>
    <col width="42" customWidth="1" min="18" max="18"/>
    <col width="42" customWidth="1" min="19" max="19"/>
    <col width="42" customWidth="1" min="20" max="20"/>
    <col width="18" customWidth="1" min="21" max="21"/>
    <col width="42" customWidth="1" min="22" max="22"/>
    <col width="42" customWidth="1" min="23" max="23"/>
    <col width="42" customWidth="1" min="24" max="24"/>
    <col width="18" customWidth="1" min="25" max="25"/>
    <col width="42" customWidth="1" min="26" max="26"/>
    <col width="42" customWidth="1" min="27" max="27"/>
    <col width="42" customWidth="1" min="28" max="28"/>
    <col width="42" customWidth="1" min="29" max="29"/>
    <col width="42" customWidth="1" min="30" max="30"/>
    <col width="42" customWidth="1" min="31" max="31"/>
    <col width="42" customWidth="1" min="32" max="32"/>
    <col width="42" customWidth="1" min="33" max="33"/>
    <col width="42" customWidth="1" min="34" max="34"/>
    <col width="42" customWidth="1" min="35" max="35"/>
    <col width="42" customWidth="1" min="36" max="36"/>
    <col width="42" customWidth="1" min="37" max="37"/>
    <col width="18" customWidth="1" min="38" max="38"/>
    <col width="18" customWidth="1" min="39" max="39"/>
    <col width="42" customWidth="1" min="40" max="40"/>
    <col width="42" customWidth="1" min="41" max="41"/>
    <col width="42" customWidth="1" min="42" max="42"/>
    <col width="42" customWidth="1" min="43" max="43"/>
    <col width="18" customWidth="1" min="44" max="44"/>
    <col width="42" customWidth="1" min="45" max="45"/>
    <col width="18" customWidth="1" min="46" max="46"/>
    <col width="9" customWidth="1" min="47" max="47"/>
    <col width="9" customWidth="1" min="48" max="48"/>
    <col width="9" customWidth="1" min="49" max="49"/>
    <col width="9" customWidth="1" min="50" max="50"/>
    <col width="9" customWidth="1" min="51" max="51"/>
    <col width="9" customWidth="1" min="52" max="52"/>
    <col width="18" customWidth="1" min="53" max="53"/>
    <col width="18" customWidth="1" min="54" max="54"/>
  </cols>
  <sheetData>
    <row r="1">
      <c r="A1" s="5" t="inlineStr">
        <is>
          <t>Card</t>
        </is>
      </c>
      <c r="F1" s="6" t="inlineStr">
        <is>
          <t>Side 1 · Recognition</t>
        </is>
      </c>
      <c r="P1" s="7" t="inlineStr">
        <is>
          <t>Side 2 · Understanding</t>
        </is>
      </c>
      <c r="AJ1" s="8" t="inlineStr">
        <is>
          <t>Side 3 · Real life &amp; Practice</t>
        </is>
      </c>
      <c r="AR1" s="9" t="inlineStr">
        <is>
          <t>Auto</t>
        </is>
      </c>
      <c r="AT1" s="10" t="inlineStr">
        <is>
          <t>My review</t>
        </is>
      </c>
    </row>
    <row r="2">
      <c r="A2" s="11" t="inlineStr">
        <is>
          <t>ID</t>
        </is>
      </c>
      <c r="B2" s="11" t="inlineStr">
        <is>
          <t>Topic</t>
        </is>
      </c>
      <c r="C2" s="11" t="inlineStr">
        <is>
          <t>Level</t>
        </is>
      </c>
      <c r="D2" s="11" t="inlineStr">
        <is>
          <t>Study order</t>
        </is>
      </c>
      <c r="E2" s="11" t="inlineStr">
        <is>
          <t>Source</t>
        </is>
      </c>
      <c r="F2" s="12" t="inlineStr">
        <is>
          <t>Term / topic</t>
        </is>
      </c>
      <c r="G2" s="12" t="inlineStr">
        <is>
          <t>Recall cue</t>
        </is>
      </c>
      <c r="H2" s="12" t="inlineStr">
        <is>
          <t>Category</t>
        </is>
      </c>
      <c r="I2" s="12" t="inlineStr">
        <is>
          <t>How often used</t>
        </is>
      </c>
      <c r="J2" s="12" t="inlineStr">
        <is>
          <t>Importance (1-5)</t>
        </is>
      </c>
      <c r="K2" s="12" t="inlineStr">
        <is>
          <t>Origin / why it exists</t>
        </is>
      </c>
      <c r="L2" s="12" t="inlineStr">
        <is>
          <t>Pro tip</t>
        </is>
      </c>
      <c r="M2" s="12" t="inlineStr">
        <is>
          <t>Memory story</t>
        </is>
      </c>
      <c r="N2" s="12" t="inlineStr">
        <is>
          <t>Picture it</t>
        </is>
      </c>
      <c r="O2" s="12" t="inlineStr">
        <is>
          <t>Emotion hook</t>
        </is>
      </c>
      <c r="P2" s="13" t="inlineStr">
        <is>
          <t>Definition (simple)</t>
        </is>
      </c>
      <c r="Q2" s="13" t="inlineStr">
        <is>
          <t>Meaning in learner's language</t>
        </is>
      </c>
      <c r="R2" s="13" t="inlineStr">
        <is>
          <t>How / why it works</t>
        </is>
      </c>
      <c r="S2" s="13" t="inlineStr">
        <is>
          <t>Simple explanation (Hinglish)</t>
        </is>
      </c>
      <c r="T2" s="13" t="inlineStr">
        <is>
          <t>Real-life analogy</t>
        </is>
      </c>
      <c r="U2" s="13" t="inlineStr">
        <is>
          <t>Formula / rule</t>
        </is>
      </c>
      <c r="V2" s="13" t="inlineStr">
        <is>
          <t>Example 1</t>
        </is>
      </c>
      <c r="W2" s="13" t="inlineStr">
        <is>
          <t>Example 2</t>
        </is>
      </c>
      <c r="X2" s="13" t="inlineStr">
        <is>
          <t>Example 3</t>
        </is>
      </c>
      <c r="Y2" s="13" t="inlineStr">
        <is>
          <t>Related concepts</t>
        </is>
      </c>
      <c r="Z2" s="13" t="inlineStr">
        <is>
          <t>Family / group</t>
        </is>
      </c>
      <c r="AA2" s="13" t="inlineStr">
        <is>
          <t>Where it is used</t>
        </is>
      </c>
      <c r="AB2" s="13" t="inlineStr">
        <is>
          <t>Mini conversation</t>
        </is>
      </c>
      <c r="AC2" s="13" t="inlineStr">
        <is>
          <t>Common mistake</t>
        </is>
      </c>
      <c r="AD2" s="13" t="inlineStr">
        <is>
          <t>Don't confuse with</t>
        </is>
      </c>
      <c r="AE2" s="13" t="inlineStr">
        <is>
          <t>Avoid / don't</t>
        </is>
      </c>
      <c r="AF2" s="13" t="inlineStr">
        <is>
          <t>Memory trick</t>
        </is>
      </c>
      <c r="AG2" s="13" t="inlineStr">
        <is>
          <t>Real life: project / work</t>
        </is>
      </c>
      <c r="AH2" s="13" t="inlineStr">
        <is>
          <t>Real life: interview / exam</t>
        </is>
      </c>
      <c r="AI2" s="13" t="inlineStr">
        <is>
          <t>Real life: daily life</t>
        </is>
      </c>
      <c r="AJ2" s="14" t="inlineStr">
        <is>
          <t>MCQ question</t>
        </is>
      </c>
      <c r="AK2" s="14" t="inlineStr">
        <is>
          <t>MCQ options</t>
        </is>
      </c>
      <c r="AL2" s="14" t="inlineStr">
        <is>
          <t>MCQ answer</t>
        </is>
      </c>
      <c r="AM2" s="14" t="inlineStr">
        <is>
          <t>Why that answer</t>
        </is>
      </c>
      <c r="AN2" s="14" t="inlineStr">
        <is>
          <t>Fill the blank</t>
        </is>
      </c>
      <c r="AO2" s="14" t="inlineStr">
        <is>
          <t>Apply it</t>
        </is>
      </c>
      <c r="AP2" s="14" t="inlineStr">
        <is>
          <t>Explain it yourself</t>
        </is>
      </c>
      <c r="AQ2" s="14" t="inlineStr">
        <is>
          <t>Write your own</t>
        </is>
      </c>
      <c r="AR2" s="15" t="inlineStr">
        <is>
          <t>Importance ★</t>
        </is>
      </c>
      <c r="AS2" s="15" t="inlineStr">
        <is>
          <t>Quick recall (reverse)</t>
        </is>
      </c>
      <c r="AT2" s="16" t="inlineStr">
        <is>
          <t>Status</t>
        </is>
      </c>
      <c r="AU2" s="16" t="inlineStr">
        <is>
          <t>Day 1</t>
        </is>
      </c>
      <c r="AV2" s="16" t="inlineStr">
        <is>
          <t>Day 3</t>
        </is>
      </c>
      <c r="AW2" s="16" t="inlineStr">
        <is>
          <t>Day 7</t>
        </is>
      </c>
      <c r="AX2" s="16" t="inlineStr">
        <is>
          <t>Day 15</t>
        </is>
      </c>
      <c r="AY2" s="16" t="inlineStr">
        <is>
          <t>Day 30</t>
        </is>
      </c>
      <c r="AZ2" s="16" t="inlineStr">
        <is>
          <t>Day 60</t>
        </is>
      </c>
      <c r="BA2" s="16" t="inlineStr">
        <is>
          <t>OK / Fix</t>
        </is>
      </c>
      <c r="BB2" s="16" t="inlineStr">
        <is>
          <t>My note</t>
        </is>
      </c>
    </row>
    <row r="3" ht="108" customHeight="1">
      <c r="A3" s="17" t="inlineStr">
        <is>
          <t>CICD-001</t>
        </is>
      </c>
      <c r="B3" s="17" t="inlineStr">
        <is>
          <t>01 Ideas</t>
        </is>
      </c>
      <c r="C3" s="17" t="inlineStr">
        <is>
          <t>Beginner</t>
        </is>
      </c>
      <c r="D3" s="17" t="n">
        <v>1</v>
      </c>
      <c r="E3" s="17" t="inlineStr">
        <is>
          <t>Claude knowledge</t>
        </is>
      </c>
      <c r="F3" s="18" t="inlineStr">
        <is>
          <t>CI vs continuous delivery vs continuous deployment</t>
        </is>
      </c>
      <c r="G3" s="18" t="inlineStr">
        <is>
          <t>Which three practices differ in how far automation goes between a code change and production?</t>
        </is>
      </c>
      <c r="H3" s="18" t="inlineStr">
        <is>
          <t>Core concept</t>
        </is>
      </c>
      <c r="I3" s="18" t="inlineStr">
        <is>
          <t>Very high</t>
        </is>
      </c>
      <c r="J3" s="18" t="n">
        <v>5</v>
      </c>
      <c r="K3" s="18" t="inlineStr">
        <is>
          <t>Teams that merged code only occasionally suffered painful, risky releases, so they began integrating, testing and releasing in small automatic steps.</t>
        </is>
      </c>
      <c r="L3" s="18" t="inlineStr">
        <is>
          <t>Say which one you mean, because many people use CI/CD as one word for all three.</t>
        </is>
      </c>
      <c r="M3" s="18" t="inlineStr">
        <is>
          <t>CI checks the ingredients, delivery plates the dish, and deployment serves it without asking the manager.</t>
        </is>
      </c>
      <c r="N3" s="18" t="inlineStr">
        <is>
          <t>A pipeline arrow with three marked stopping points along it.</t>
        </is>
      </c>
      <c r="O3" s="18" t="inlineStr">
        <is>
          <t>The calm of small releases instead of one terrifying big one.</t>
        </is>
      </c>
      <c r="P3" s="18" t="inlineStr">
        <is>
          <t>Continuous integration merges and tests code often, continuous delivery keeps every build ready to release with a manual approval, and continuous deployment releases every passing build automatically.</t>
        </is>
      </c>
      <c r="Q3" s="17" t="n"/>
      <c r="R3" s="18" t="inlineStr">
        <is>
          <t>CI builds and tests each change soon after it is pushed. Continuous delivery adds an automated path to a release-ready package, but a person decides when to ship. Continuous deployment removes that decision, so every change that passes goes live. The difference is the human approval at the end. Strong tests are the price of full automation.</t>
        </is>
      </c>
      <c r="S3" s="18" t="inlineStr">
        <is>
          <t>CI tests every change, delivery makes it ready to ship, deployment ships it for you.</t>
        </is>
      </c>
      <c r="T3" s="18" t="inlineStr">
        <is>
          <t>CI checks the ingredients, delivery plates the dish, and deployment serves it without asking the manager.</t>
        </is>
      </c>
      <c r="U3" s="18" t="inlineStr">
        <is>
          <t>CI = test often. Delivery = ready to release. Deployment = released automatically.</t>
        </is>
      </c>
      <c r="V3" s="18" t="inlineStr">
        <is>
          <t>A pull request that runs the test suite automatically.</t>
        </is>
      </c>
      <c r="W3" s="18" t="inlineStr">
        <is>
          <t>A build that waits for a manager to click approve before going live.</t>
        </is>
      </c>
      <c r="X3" s="18" t="inlineStr">
        <is>
          <t>A change that goes live minutes after merging with no clicks.</t>
        </is>
      </c>
      <c r="Y3" s="18" t="inlineStr">
        <is>
          <t>pipeline stages, triggers, environments, approvals</t>
        </is>
      </c>
      <c r="Z3" s="18" t="inlineStr">
        <is>
          <t>integration, delivery, deployment, pipeline, automation</t>
        </is>
      </c>
      <c r="AA3" s="18" t="inlineStr">
        <is>
          <t>Software teams | Customer projects | Release planning</t>
        </is>
      </c>
      <c r="AB3" s="18" t="inlineStr">
        <is>
          <t>A: Do we ship every merge automatically? | B: Only after a manual approval, so that is delivery, not deployment.</t>
        </is>
      </c>
      <c r="AC3" s="18" t="inlineStr">
        <is>
          <t>✗ Continuous delivery and continuous deployment are the same thing → ✓ Delivery needs a human approval to release, while deployment does not</t>
        </is>
      </c>
      <c r="AD3" s="18" t="inlineStr">
        <is>
          <t>Delivery vs deployment: delivery waits for a human decision, deployment does not.</t>
        </is>
      </c>
      <c r="AE3" s="18" t="inlineStr">
        <is>
          <t>Do not automate releases before the tests can be trusted.</t>
        </is>
      </c>
      <c r="AF3" s="18" t="inlineStr">
        <is>
          <t>Test often, ready always, release automatically.</t>
        </is>
      </c>
      <c r="AG3" s="18" t="inlineStr">
        <is>
          <t>Moving a customer integration from monthly manual releases to a tested pipeline with approval.</t>
        </is>
      </c>
      <c r="AH3" s="18" t="inlineStr">
        <is>
          <t>An interviewer may ask: What is the difference between continuous delivery and continuous deployment?</t>
        </is>
      </c>
      <c r="AI3" s="18" t="inlineStr">
        <is>
          <t>It is like checking ingredients, plating a dish and serving it.</t>
        </is>
      </c>
      <c r="AJ3" s="18" t="inlineStr">
        <is>
          <t>What is the main difference between delivery and deployment?</t>
        </is>
      </c>
      <c r="AK3" s="18" t="inlineStr">
        <is>
          <t>A) There is no difference B) A person approves the release in delivery C) Deployment has no code D) Delivery has no tests</t>
        </is>
      </c>
      <c r="AL3" s="18" t="inlineStr">
        <is>
          <t>B</t>
        </is>
      </c>
      <c r="AM3" s="18" t="inlineStr">
        <is>
          <t>Deployment ships automatically, while delivery waits for approval.</t>
        </is>
      </c>
      <c r="AN3" s="18" t="inlineStr">
        <is>
          <t>Merging and testing code often is called continuous ____ → integration</t>
        </is>
      </c>
      <c r="AO3" s="18" t="inlineStr">
        <is>
          <t>Every passing change must go live with no clicks. Which practice is this? → Continuous deployment</t>
        </is>
      </c>
      <c r="AP3" s="18" t="inlineStr">
        <is>
          <t>Explain the three practices in three lines.</t>
        </is>
      </c>
      <c r="AQ3" s="18" t="inlineStr">
        <is>
          <t>Decide which one fits a bank and which one fits a small web shop.</t>
        </is>
      </c>
      <c r="AR3" s="17">
        <f>IF(J3="","",REPT("★",J3)&amp;REPT("☆",5-J3)&amp;" ("&amp;J3&amp;"/5)")</f>
        <v/>
      </c>
      <c r="AS3" s="17">
        <f>IF(Q3="","","Meaning: "&amp;Q3&amp;"  =  ______   (Answer: "&amp;F3&amp;")")</f>
        <v/>
      </c>
      <c r="AT3" s="17" t="inlineStr">
        <is>
          <t>New</t>
        </is>
      </c>
      <c r="AU3" s="17" t="n"/>
      <c r="AV3" s="17" t="n"/>
      <c r="AW3" s="17" t="n"/>
      <c r="AX3" s="17" t="n"/>
      <c r="AY3" s="17" t="n"/>
      <c r="AZ3" s="17" t="n"/>
      <c r="BA3" s="17" t="n"/>
      <c r="BB3" s="17" t="n"/>
    </row>
    <row r="4" ht="94.5" customHeight="1">
      <c r="A4" s="17" t="inlineStr">
        <is>
          <t>CICD-002</t>
        </is>
      </c>
      <c r="B4" s="17" t="inlineStr">
        <is>
          <t>01 Ideas</t>
        </is>
      </c>
      <c r="C4" s="17" t="inlineStr">
        <is>
          <t>Beginner</t>
        </is>
      </c>
      <c r="D4" s="17" t="n">
        <v>2</v>
      </c>
      <c r="E4" s="17" t="inlineStr">
        <is>
          <t>Claude knowledge</t>
        </is>
      </c>
      <c r="F4" s="18" t="inlineStr">
        <is>
          <t>Pipeline stages</t>
        </is>
      </c>
      <c r="G4" s="18" t="inlineStr">
        <is>
          <t>Which ordered steps does code pass through between a commit and a running release?</t>
        </is>
      </c>
      <c r="H4" s="18" t="inlineStr">
        <is>
          <t>Core concept</t>
        </is>
      </c>
      <c r="I4" s="18" t="inlineStr">
        <is>
          <t>Very high</t>
        </is>
      </c>
      <c r="J4" s="18" t="n">
        <v>5</v>
      </c>
      <c r="K4" s="18" t="inlineStr">
        <is>
          <t>Teams repeated the same manual steps for every release, so they wrote those steps down as an ordered, automatic pipeline.</t>
        </is>
      </c>
      <c r="L4" s="18" t="inlineStr">
        <is>
          <t>Put the fastest checks first so a broken change fails in seconds, not minutes.</t>
        </is>
      </c>
      <c r="M4" s="18" t="inlineStr">
        <is>
          <t>A pipeline is a factory conveyor belt where each station inspects the product before it moves on.</t>
        </is>
      </c>
      <c r="N4" s="18" t="inlineStr">
        <is>
          <t>Boxes labelled build, test, scan, package and deploy joined by arrows.</t>
        </is>
      </c>
      <c r="O4" s="18" t="inlineStr">
        <is>
          <t>The satisfaction of watching every stage turn green.</t>
        </is>
      </c>
      <c r="P4" s="18" t="inlineStr">
        <is>
          <t>A pipeline is an automated sequence of stages, such as build, test, scan, package and deploy, where each stage runs only if the one before it succeeded.</t>
        </is>
      </c>
      <c r="Q4" s="17" t="n"/>
      <c r="R4" s="18" t="inlineStr">
        <is>
          <t>A stage groups jobs that do one kind of work. Failure stops the pipeline, so bad changes do not reach later stages. Stages can run in parallel when they do not depend on each other. The pipeline definition is stored as code in the repository. Short feedback time is a key quality of a good pipeline.</t>
        </is>
      </c>
      <c r="S4" s="18" t="inlineStr">
        <is>
          <t>A pipeline runs build, test, scan and deploy in order, and stops at the first failure.</t>
        </is>
      </c>
      <c r="T4" s="18" t="inlineStr">
        <is>
          <t>It is a factory conveyor belt where each station inspects the product before it moves on.</t>
        </is>
      </c>
      <c r="U4" s="18" t="inlineStr">
        <is>
          <t>Commit → build → test → scan → package → deploy, stop on failure.</t>
        </is>
      </c>
      <c r="V4" s="18" t="inlineStr">
        <is>
          <t>A pipeline that lints code first and fails in ten seconds.</t>
        </is>
      </c>
      <c r="W4" s="18" t="inlineStr">
        <is>
          <t>Unit tests and security scans running side by side.</t>
        </is>
      </c>
      <c r="X4" s="18" t="inlineStr">
        <is>
          <t>A deploy stage that runs only on the main branch.</t>
        </is>
      </c>
      <c r="Y4" s="18" t="inlineStr">
        <is>
          <t>triggers, build artifacts, environments, quality gates</t>
        </is>
      </c>
      <c r="Z4" s="18" t="inlineStr">
        <is>
          <t>stage, job, step, gate, artifact</t>
        </is>
      </c>
      <c r="AA4" s="18" t="inlineStr">
        <is>
          <t>Every CI system | Release automation | Reviews</t>
        </is>
      </c>
      <c r="AB4" s="18" t="inlineStr">
        <is>
          <t>A: The deploy ran even though tests failed. | B: The stages were not chained, so add a dependency.</t>
        </is>
      </c>
      <c r="AC4" s="18" t="inlineStr">
        <is>
          <t>✗ A pipeline only needs one big script that does everything → ✓ Separate stages give clear feedback, parallel work and reuse</t>
        </is>
      </c>
      <c r="AD4" s="18" t="inlineStr">
        <is>
          <t>Stage vs job: a stage is a phase of the pipeline, a job is one unit of work inside it.</t>
        </is>
      </c>
      <c r="AE4" s="18" t="inlineStr">
        <is>
          <t>Do not put slow tests before quick linting.</t>
        </is>
      </c>
      <c r="AF4" s="18" t="inlineStr">
        <is>
          <t>Fast checks first, slow checks later.</t>
        </is>
      </c>
      <c r="AG4" s="18" t="inlineStr">
        <is>
          <t>Reordering stages so lint and unit tests failed fast before the slow integration tests.</t>
        </is>
      </c>
      <c r="AH4" s="18" t="inlineStr">
        <is>
          <t>An interviewer may ask: What stages would you put in a pipeline?</t>
        </is>
      </c>
      <c r="AI4" s="18" t="inlineStr">
        <is>
          <t>It is like a conveyor belt with an inspector at each station.</t>
        </is>
      </c>
      <c r="AJ4" s="18" t="inlineStr">
        <is>
          <t>What happens when an early stage fails?</t>
        </is>
      </c>
      <c r="AK4" s="18" t="inlineStr">
        <is>
          <t>A) The code deploys B) They all run anyway C) Later stages do not run D) The repo is deleted</t>
        </is>
      </c>
      <c r="AL4" s="18" t="inlineStr">
        <is>
          <t>C</t>
        </is>
      </c>
      <c r="AM4" s="18" t="inlineStr">
        <is>
          <t>Stages depend on the success of the one before.</t>
        </is>
      </c>
      <c r="AN4" s="18" t="inlineStr">
        <is>
          <t>Where the pipeline is defined as code in the repo is a ____ file → workflow</t>
        </is>
      </c>
      <c r="AO4" s="18" t="inlineStr">
        <is>
          <t>Linting takes ten seconds and integration tests take ten minutes. Which goes first? → Linting</t>
        </is>
      </c>
      <c r="AP4" s="18" t="inlineStr">
        <is>
          <t>Explain pipeline stages in three lines.</t>
        </is>
      </c>
      <c r="AQ4" s="18" t="inlineStr">
        <is>
          <t>Draw a pipeline for a Python API with five stages.</t>
        </is>
      </c>
      <c r="AR4" s="17">
        <f>IF(J4="","",REPT("★",J4)&amp;REPT("☆",5-J4)&amp;" ("&amp;J4&amp;"/5)")</f>
        <v/>
      </c>
      <c r="AS4" s="17">
        <f>IF(Q4="","","Meaning: "&amp;Q4&amp;"  =  ______   (Answer: "&amp;F4&amp;")")</f>
        <v/>
      </c>
      <c r="AT4" s="17" t="inlineStr">
        <is>
          <t>New</t>
        </is>
      </c>
      <c r="AU4" s="17" t="n"/>
      <c r="AV4" s="17" t="n"/>
      <c r="AW4" s="17" t="n"/>
      <c r="AX4" s="17" t="n"/>
      <c r="AY4" s="17" t="n"/>
      <c r="AZ4" s="17" t="n"/>
      <c r="BA4" s="17" t="n"/>
      <c r="BB4" s="17" t="n"/>
    </row>
    <row r="5" ht="108" customHeight="1">
      <c r="A5" s="17" t="inlineStr">
        <is>
          <t>CICD-003</t>
        </is>
      </c>
      <c r="B5" s="17" t="inlineStr">
        <is>
          <t>01 Ideas</t>
        </is>
      </c>
      <c r="C5" s="17" t="inlineStr">
        <is>
          <t>Beginner</t>
        </is>
      </c>
      <c r="D5" s="17" t="n">
        <v>3</v>
      </c>
      <c r="E5" s="17" t="inlineStr">
        <is>
          <t>Claude knowledge</t>
        </is>
      </c>
      <c r="F5" s="18" t="inlineStr">
        <is>
          <t>Triggers</t>
        </is>
      </c>
      <c r="G5" s="18" t="inlineStr">
        <is>
          <t>Which events start a pipeline run automatically?</t>
        </is>
      </c>
      <c r="H5" s="18" t="inlineStr">
        <is>
          <t>Core concept</t>
        </is>
      </c>
      <c r="I5" s="18" t="inlineStr">
        <is>
          <t>Very high</t>
        </is>
      </c>
      <c r="J5" s="18" t="n">
        <v>4</v>
      </c>
      <c r="K5" s="18" t="inlineStr">
        <is>
          <t>Nobody wants to start a build by hand every time, so pipelines listen for events such as pushes and pull requests.</t>
        </is>
      </c>
      <c r="L5" s="18" t="inlineStr">
        <is>
          <t>Run tests on pull requests and deploy only on merges to the main branch.</t>
        </is>
      </c>
      <c r="M5" s="18" t="inlineStr">
        <is>
          <t>A trigger is the doorbell that wakes the pipeline.</t>
        </is>
      </c>
      <c r="N5" s="18" t="inlineStr">
        <is>
          <t>An event arrow, such as a push, pointing at a pipeline box.</t>
        </is>
      </c>
      <c r="O5" s="18" t="inlineStr">
        <is>
          <t>The ease of builds starting on their own.</t>
        </is>
      </c>
      <c r="P5" s="18" t="inlineStr">
        <is>
          <t>A trigger is an event, such as a push, a pull request, a tag, a schedule or a manual click, that starts a pipeline.</t>
        </is>
      </c>
      <c r="Q5" s="17" t="n"/>
      <c r="R5" s="18" t="inlineStr">
        <is>
          <t>Triggers can be filtered by branch, path or tag. A path filter avoids running backend tests when only documentation changed. Scheduled triggers run nightly jobs. Manual triggers allow on-demand deployments or maintenance. Webhooks from other systems can also start runs. Pull request triggers run on code from a fork with fewer permissions.</t>
        </is>
      </c>
      <c r="S5" s="18" t="inlineStr">
        <is>
          <t>Choose which events start the pipeline, and filter them so only relevant changes run it.</t>
        </is>
      </c>
      <c r="T5" s="18" t="inlineStr">
        <is>
          <t>It is the doorbell that wakes the pipeline.</t>
        </is>
      </c>
      <c r="U5" s="18" t="inlineStr">
        <is>
          <t>Event + filter = when the pipeline runs.</t>
        </is>
      </c>
      <c r="V5" s="18" t="inlineStr">
        <is>
          <t>Running tests on every pull request.</t>
        </is>
      </c>
      <c r="W5" s="18" t="inlineStr">
        <is>
          <t>Deploying only when a version tag is pushed.</t>
        </is>
      </c>
      <c r="X5" s="18" t="inlineStr">
        <is>
          <t>A nightly scheduled data refresh.</t>
        </is>
      </c>
      <c r="Y5" s="18" t="inlineStr">
        <is>
          <t>GitHub Actions workflows, branches, environments, schedules</t>
        </is>
      </c>
      <c r="Z5" s="18" t="inlineStr">
        <is>
          <t>event, push, pull request, schedule, webhook</t>
        </is>
      </c>
      <c r="AA5" s="18" t="inlineStr">
        <is>
          <t>Workflow design | Cost control | Release automation</t>
        </is>
      </c>
      <c r="AB5" s="18" t="inlineStr">
        <is>
          <t>A: Why did docs changes run the whole test suite? | B: There is no path filter on the trigger.</t>
        </is>
      </c>
      <c r="AC5" s="18" t="inlineStr">
        <is>
          <t>✗ Pipelines can only start when code is pushed → ✓ They can also start on schedules, tags, manual clicks and webhooks</t>
        </is>
      </c>
      <c r="AD5" s="18" t="inlineStr">
        <is>
          <t>Push trigger vs pull request trigger: one runs on pushed commits, the other on proposed merges.</t>
        </is>
      </c>
      <c r="AE5" s="18" t="inlineStr">
        <is>
          <t>Do not trigger expensive jobs for every small docs change.</t>
        </is>
      </c>
      <c r="AF5" s="18" t="inlineStr">
        <is>
          <t>Events start it, filters narrow it.</t>
        </is>
      </c>
      <c r="AG5" s="18" t="inlineStr">
        <is>
          <t>Adding path filters so documentation edits no longer ran heavy integration tests.</t>
        </is>
      </c>
      <c r="AH5" s="18" t="inlineStr">
        <is>
          <t>An interviewer may ask: When should a deployment run?</t>
        </is>
      </c>
      <c r="AI5" s="18" t="inlineStr">
        <is>
          <t>It is like a doorbell that wakes the pipeline.</t>
        </is>
      </c>
      <c r="AJ5" s="18" t="inlineStr">
        <is>
          <t>Which trigger suits a nightly job?</t>
        </is>
      </c>
      <c r="AK5" s="18" t="inlineStr">
        <is>
          <t>A) A star B) A push C) A comment D) A schedule</t>
        </is>
      </c>
      <c r="AL5" s="18" t="inlineStr">
        <is>
          <t>D</t>
        </is>
      </c>
      <c r="AM5" s="18" t="inlineStr">
        <is>
          <t>Scheduled triggers run at set times.</t>
        </is>
      </c>
      <c r="AN5" s="18" t="inlineStr">
        <is>
          <t>A trigger that starts only for chosen branches uses a branch ____ → filter</t>
        </is>
      </c>
      <c r="AO5" s="18" t="inlineStr">
        <is>
          <t>You want deployments only for version tags. Which trigger? → A tag push</t>
        </is>
      </c>
      <c r="AP5" s="18" t="inlineStr">
        <is>
          <t>Explain triggers in three lines.</t>
        </is>
      </c>
      <c r="AQ5" s="18" t="inlineStr">
        <is>
          <t>List three triggers and what each is good for.</t>
        </is>
      </c>
      <c r="AR5" s="17">
        <f>IF(J5="","",REPT("★",J5)&amp;REPT("☆",5-J5)&amp;" ("&amp;J5&amp;"/5)")</f>
        <v/>
      </c>
      <c r="AS5" s="17">
        <f>IF(Q5="","","Meaning: "&amp;Q5&amp;"  =  ______   (Answer: "&amp;F5&amp;")")</f>
        <v/>
      </c>
      <c r="AT5" s="17" t="inlineStr">
        <is>
          <t>New</t>
        </is>
      </c>
      <c r="AU5" s="17" t="n"/>
      <c r="AV5" s="17" t="n"/>
      <c r="AW5" s="17" t="n"/>
      <c r="AX5" s="17" t="n"/>
      <c r="AY5" s="17" t="n"/>
      <c r="AZ5" s="17" t="n"/>
      <c r="BA5" s="17" t="n"/>
      <c r="BB5" s="17" t="n"/>
    </row>
    <row r="6" ht="108" customHeight="1">
      <c r="A6" s="17" t="inlineStr">
        <is>
          <t>CICD-004</t>
        </is>
      </c>
      <c r="B6" s="17" t="inlineStr">
        <is>
          <t>01 Ideas</t>
        </is>
      </c>
      <c r="C6" s="17" t="inlineStr">
        <is>
          <t>Beginner</t>
        </is>
      </c>
      <c r="D6" s="17" t="n">
        <v>4</v>
      </c>
      <c r="E6" s="17" t="inlineStr">
        <is>
          <t>Claude knowledge</t>
        </is>
      </c>
      <c r="F6" s="18" t="inlineStr">
        <is>
          <t>Build artifacts</t>
        </is>
      </c>
      <c r="G6" s="18" t="inlineStr">
        <is>
          <t>Which outputs of a build are saved and passed to later stages or releases?</t>
        </is>
      </c>
      <c r="H6" s="18" t="inlineStr">
        <is>
          <t>Core concept</t>
        </is>
      </c>
      <c r="I6" s="18" t="inlineStr">
        <is>
          <t>High</t>
        </is>
      </c>
      <c r="J6" s="18" t="n">
        <v>4</v>
      </c>
      <c r="K6" s="18" t="inlineStr">
        <is>
          <t>Rebuilding the same code in every stage risks differences, so one build is saved and reused through the pipeline.</t>
        </is>
      </c>
      <c r="L6" s="18" t="inlineStr">
        <is>
          <t>Build once, then deploy that same artifact to every environment.</t>
        </is>
      </c>
      <c r="M6" s="18" t="inlineStr">
        <is>
          <t>An artifact is the sealed box that travels down the line instead of being rebuilt at each station.</t>
        </is>
      </c>
      <c r="N6" s="18" t="inlineStr">
        <is>
          <t>A sealed package moving through test and production stages.</t>
        </is>
      </c>
      <c r="O6" s="18" t="inlineStr">
        <is>
          <t>The trust of shipping exactly what was tested.</t>
        </is>
      </c>
      <c r="P6" s="18" t="inlineStr">
        <is>
          <t>A build artifact is a file or package produced by a build, such as a container image, a zip or a wheel, that is stored and promoted through later stages.</t>
        </is>
      </c>
      <c r="Q6" s="17" t="n"/>
      <c r="R6" s="18" t="inlineStr">
        <is>
          <t>Artifacts include binaries, images, test reports and coverage files. They are stored in an artifact repository or container registry, and versioned, usually with the commit hash. Promoting the same artifact from test to production ensures that what was tested is what ships. Artifacts should be immutable, meaning never changed after creation.</t>
        </is>
      </c>
      <c r="S6" s="18" t="inlineStr">
        <is>
          <t>Build once, store the result with a version, and deploy the same thing everywhere.</t>
        </is>
      </c>
      <c r="T6" s="18" t="inlineStr">
        <is>
          <t>It is a sealed box that travels down the line instead of being rebuilt at each station.</t>
        </is>
      </c>
      <c r="U6" s="18" t="inlineStr">
        <is>
          <t>Build once, version it, promote it unchanged.</t>
        </is>
      </c>
      <c r="V6" s="18" t="inlineStr">
        <is>
          <t>A container image tagged with the commit hash.</t>
        </is>
      </c>
      <c r="W6" s="18" t="inlineStr">
        <is>
          <t>A test report uploaded for download.</t>
        </is>
      </c>
      <c r="X6" s="18" t="inlineStr">
        <is>
          <t>A Python package published to a private index.</t>
        </is>
      </c>
      <c r="Y6" s="18" t="inlineStr">
        <is>
          <t>registries, environments, release tagging, caching</t>
        </is>
      </c>
      <c r="Z6" s="18" t="inlineStr">
        <is>
          <t>artifact, package, image, version, immutable</t>
        </is>
      </c>
      <c r="AA6" s="18" t="inlineStr">
        <is>
          <t>Releases | Rollbacks | Auditing</t>
        </is>
      </c>
      <c r="AB6" s="18" t="inlineStr">
        <is>
          <t>A: The production build behaves differently from staging. | B: It was rebuilt, so promote the tested artifact instead.</t>
        </is>
      </c>
      <c r="AC6" s="18" t="inlineStr">
        <is>
          <t>✗ Rebuilding for each environment is safer → ✓ Rebuilding can introduce differences, so promote the same artifact</t>
        </is>
      </c>
      <c r="AD6" s="18" t="inlineStr">
        <is>
          <t>Artifact vs source code: the artifact is the built result, the source is the input.</t>
        </is>
      </c>
      <c r="AE6" s="18" t="inlineStr">
        <is>
          <t>Do not overwrite a published artifact version.</t>
        </is>
      </c>
      <c r="AF6" s="18" t="inlineStr">
        <is>
          <t>Build once, promote many times.</t>
        </is>
      </c>
      <c r="AG6" s="18" t="inlineStr">
        <is>
          <t>Promoting one tagged image from staging to production to avoid environment surprises.</t>
        </is>
      </c>
      <c r="AH6" s="18" t="inlineStr">
        <is>
          <t>An interviewer may ask: Why build only once in a pipeline?</t>
        </is>
      </c>
      <c r="AI6" s="18" t="inlineStr">
        <is>
          <t>It is like a sealed box passed down the line.</t>
        </is>
      </c>
      <c r="AJ6" s="18" t="inlineStr">
        <is>
          <t>Why promote the same artifact between environments?</t>
        </is>
      </c>
      <c r="AK6" s="18" t="inlineStr">
        <is>
          <t>A) What was tested is exactly what ships B) It saves disk space only C) It avoids logging D) It removes tests</t>
        </is>
      </c>
      <c r="AL6" s="18" t="inlineStr">
        <is>
          <t>A</t>
        </is>
      </c>
      <c r="AM6" s="18" t="inlineStr">
        <is>
          <t>A rebuilt artifact may differ from the tested one.</t>
        </is>
      </c>
      <c r="AN6" s="18" t="inlineStr">
        <is>
          <t>An artifact that is never changed after creation is called ____ → immutable</t>
        </is>
      </c>
      <c r="AO6" s="18" t="inlineStr">
        <is>
          <t>Staging works but production fails after a rebuild. What should you change? → Promote the same artifact</t>
        </is>
      </c>
      <c r="AP6" s="18" t="inlineStr">
        <is>
          <t>Explain build artifacts in three lines.</t>
        </is>
      </c>
      <c r="AQ6" s="18" t="inlineStr">
        <is>
          <t>List four artifacts a pipeline for a web API might produce.</t>
        </is>
      </c>
      <c r="AR6" s="17">
        <f>IF(J6="","",REPT("★",J6)&amp;REPT("☆",5-J6)&amp;" ("&amp;J6&amp;"/5)")</f>
        <v/>
      </c>
      <c r="AS6" s="17">
        <f>IF(Q6="","","Meaning: "&amp;Q6&amp;"  =  ______   (Answer: "&amp;F6&amp;")")</f>
        <v/>
      </c>
      <c r="AT6" s="17" t="inlineStr">
        <is>
          <t>New</t>
        </is>
      </c>
      <c r="AU6" s="17" t="n"/>
      <c r="AV6" s="17" t="n"/>
      <c r="AW6" s="17" t="n"/>
      <c r="AX6" s="17" t="n"/>
      <c r="AY6" s="17" t="n"/>
      <c r="AZ6" s="17" t="n"/>
      <c r="BA6" s="17" t="n"/>
      <c r="BB6" s="17" t="n"/>
    </row>
    <row r="7" ht="108" customHeight="1">
      <c r="A7" s="17" t="inlineStr">
        <is>
          <t>CICD-005</t>
        </is>
      </c>
      <c r="B7" s="17" t="inlineStr">
        <is>
          <t>01 Ideas</t>
        </is>
      </c>
      <c r="C7" s="17" t="inlineStr">
        <is>
          <t>Intermediate</t>
        </is>
      </c>
      <c r="D7" s="17" t="n">
        <v>5</v>
      </c>
      <c r="E7" s="17" t="inlineStr">
        <is>
          <t>Claude knowledge</t>
        </is>
      </c>
      <c r="F7" s="18" t="inlineStr">
        <is>
          <t>Environments</t>
        </is>
      </c>
      <c r="G7" s="18" t="inlineStr">
        <is>
          <t>Which separate places do changes pass through before reaching real users?</t>
        </is>
      </c>
      <c r="H7" s="18" t="inlineStr">
        <is>
          <t>Core concept</t>
        </is>
      </c>
      <c r="I7" s="18" t="inlineStr">
        <is>
          <t>Very high</t>
        </is>
      </c>
      <c r="J7" s="18" t="n">
        <v>4</v>
      </c>
      <c r="K7" s="18" t="inlineStr">
        <is>
          <t>Testing directly on live systems is dangerous, so teams set up copies of the system where changes are tried safely first.</t>
        </is>
      </c>
      <c r="L7" s="18" t="inlineStr">
        <is>
          <t>Keep staging as similar to production as you can afford.</t>
        </is>
      </c>
      <c r="M7" s="18" t="inlineStr">
        <is>
          <t>Environments are rehearsal rooms before the stage performance.</t>
        </is>
      </c>
      <c r="N7" s="18" t="inlineStr">
        <is>
          <t>Three boxes labelled dev, staging and production linked by arrows.</t>
        </is>
      </c>
      <c r="O7" s="18" t="inlineStr">
        <is>
          <t>The comfort of finding bugs before customers do.</t>
        </is>
      </c>
      <c r="P7" s="18" t="inlineStr">
        <is>
          <t>Environments are separate deployments of the same application, such as development, staging and production, each with its own configuration and data.</t>
        </is>
      </c>
      <c r="Q7" s="17" t="n"/>
      <c r="R7" s="18" t="inlineStr">
        <is>
          <t>Development is for quick changes, staging mirrors production for final checks, and production serves real users. Configuration, such as database addresses and keys, differs by environment and is kept outside the code. Production data should not be copied to lower environments without masking. Protected environments can require approvals.</t>
        </is>
      </c>
      <c r="S7" s="18" t="inlineStr">
        <is>
          <t>Try changes in dev and staging, then release to production with the same artifact and different settings.</t>
        </is>
      </c>
      <c r="T7" s="18" t="inlineStr">
        <is>
          <t>Environments are rehearsal rooms before the stage performance.</t>
        </is>
      </c>
      <c r="U7" s="18" t="inlineStr">
        <is>
          <t>Same artifact, different configuration per environment.</t>
        </is>
      </c>
      <c r="V7" s="18" t="inlineStr">
        <is>
          <t>A staging database that is a masked copy of production.</t>
        </is>
      </c>
      <c r="W7" s="18" t="inlineStr">
        <is>
          <t>A production environment that requires approval before deploying.</t>
        </is>
      </c>
      <c r="X7" s="18" t="inlineStr">
        <is>
          <t>A temporary preview environment per pull request.</t>
        </is>
      </c>
      <c r="Y7" s="18" t="inlineStr">
        <is>
          <t>build artifacts, configuration, approvals, secrets</t>
        </is>
      </c>
      <c r="Z7" s="18" t="inlineStr">
        <is>
          <t>dev, staging, production, configuration, promotion</t>
        </is>
      </c>
      <c r="AA7" s="18" t="inlineStr">
        <is>
          <t>Release flow | Testing | Customer projects</t>
        </is>
      </c>
      <c r="AB7" s="18" t="inlineStr">
        <is>
          <t>A: Can I test on production? | B: No, test on staging, which mirrors it.</t>
        </is>
      </c>
      <c r="AC7" s="18" t="inlineStr">
        <is>
          <t>✗ Staging does not need to resemble production → ✓ The closer it is, the more bugs it catches before release</t>
        </is>
      </c>
      <c r="AD7" s="18" t="inlineStr">
        <is>
          <t>Staging vs production: staging is a rehearsal copy, production serves real users.</t>
        </is>
      </c>
      <c r="AE7" s="18" t="inlineStr">
        <is>
          <t>Do not copy raw personal data into test environments.</t>
        </is>
      </c>
      <c r="AF7" s="18" t="inlineStr">
        <is>
          <t>Rehearse in staging, perform in production.</t>
        </is>
      </c>
      <c r="AG7" s="18" t="inlineStr">
        <is>
          <t>Adding a staging environment that caught a configuration bug before a customer launch.</t>
        </is>
      </c>
      <c r="AH7" s="18" t="inlineStr">
        <is>
          <t>An interviewer may ask: Why do you need a staging environment?</t>
        </is>
      </c>
      <c r="AI7" s="18" t="inlineStr">
        <is>
          <t>It is like a rehearsal room before the stage.</t>
        </is>
      </c>
      <c r="AJ7" s="18" t="inlineStr">
        <is>
          <t>What should differ between environments?</t>
        </is>
      </c>
      <c r="AK7" s="18" t="inlineStr">
        <is>
          <t>A) Configuration such as addresses and keys B) The code version C) The tests D) The language</t>
        </is>
      </c>
      <c r="AL7" s="18" t="inlineStr">
        <is>
          <t>A</t>
        </is>
      </c>
      <c r="AM7" s="18" t="inlineStr">
        <is>
          <t>The same artifact runs with environment-specific settings.</t>
        </is>
      </c>
      <c r="AN7" s="18" t="inlineStr">
        <is>
          <t>Moving a build from staging to production is called ____ → promotion</t>
        </is>
      </c>
      <c r="AO7" s="18" t="inlineStr">
        <is>
          <t>You need to catch config bugs before release. What do you add? → A staging environment</t>
        </is>
      </c>
      <c r="AP7" s="18" t="inlineStr">
        <is>
          <t>Explain environments in three lines.</t>
        </is>
      </c>
      <c r="AQ7" s="18" t="inlineStr">
        <is>
          <t>List what should differ between staging and production.</t>
        </is>
      </c>
      <c r="AR7" s="17">
        <f>IF(J7="","",REPT("★",J7)&amp;REPT("☆",5-J7)&amp;" ("&amp;J7&amp;"/5)")</f>
        <v/>
      </c>
      <c r="AS7" s="17">
        <f>IF(Q7="","","Meaning: "&amp;Q7&amp;"  =  ______   (Answer: "&amp;F7&amp;")")</f>
        <v/>
      </c>
      <c r="AT7" s="17" t="inlineStr">
        <is>
          <t>New</t>
        </is>
      </c>
      <c r="AU7" s="17" t="n"/>
      <c r="AV7" s="17" t="n"/>
      <c r="AW7" s="17" t="n"/>
      <c r="AX7" s="17" t="n"/>
      <c r="AY7" s="17" t="n"/>
      <c r="AZ7" s="17" t="n"/>
      <c r="BA7" s="17" t="n"/>
      <c r="BB7" s="17" t="n"/>
    </row>
    <row r="8" ht="135" customHeight="1">
      <c r="A8" s="17" t="inlineStr">
        <is>
          <t>CICD-006</t>
        </is>
      </c>
      <c r="B8" s="17" t="inlineStr">
        <is>
          <t>01 Ideas</t>
        </is>
      </c>
      <c r="C8" s="17" t="inlineStr">
        <is>
          <t>Advanced</t>
        </is>
      </c>
      <c r="D8" s="17" t="n">
        <v>6</v>
      </c>
      <c r="E8" s="17" t="inlineStr">
        <is>
          <t>Claude knowledge</t>
        </is>
      </c>
      <c r="F8" s="18" t="inlineStr">
        <is>
          <t>DORA metrics</t>
        </is>
      </c>
      <c r="G8" s="18" t="inlineStr">
        <is>
          <t>Which four measures describe how well a team delivers software?</t>
        </is>
      </c>
      <c r="H8" s="18" t="inlineStr">
        <is>
          <t>Core concept</t>
        </is>
      </c>
      <c r="I8" s="18" t="inlineStr">
        <is>
          <t>Medium</t>
        </is>
      </c>
      <c r="J8" s="18" t="n">
        <v>3</v>
      </c>
      <c r="K8" s="18" t="inlineStr">
        <is>
          <t>Research on thousands of teams found a small set of measures that separate high performers from the rest.</t>
        </is>
      </c>
      <c r="L8" s="18" t="inlineStr">
        <is>
          <t>Use the metrics to find bottlenecks, not to rank individual people.</t>
        </is>
      </c>
      <c r="M8" s="18" t="inlineStr">
        <is>
          <t>DORA metrics are the four dials on a delivery dashboard.</t>
        </is>
      </c>
      <c r="N8" s="18" t="inlineStr">
        <is>
          <t>Four dials: frequency, lead time, failure rate and recovery time.</t>
        </is>
      </c>
      <c r="O8" s="18" t="inlineStr">
        <is>
          <t>The motivation of watching your numbers improve.</t>
        </is>
      </c>
      <c r="P8" s="18" t="inlineStr">
        <is>
          <t>The DORA metrics are deployment frequency, lead time for changes, change failure rate, failed deployment recovery time (formerly time to restore service) and, in newer guidance, rework rate.</t>
        </is>
      </c>
      <c r="Q8" s="17" t="n"/>
      <c r="R8" s="18" t="inlineStr">
        <is>
          <t>Deployment frequency shows how often you release. Lead time measures the time from commit to production. Change failure rate is the share of releases causing a problem. Failed deployment recovery time (formerly time to restore) measures how fast you recover. Fast and stable go together, because small, frequent changes are easier to test and fix. Numbers can be gamed if used as targets for people.</t>
        </is>
      </c>
      <c r="S8" s="18" t="inlineStr">
        <is>
          <t>Measure how often, how fast, how safely and how quickly you recover.</t>
        </is>
      </c>
      <c r="T8" s="18" t="inlineStr">
        <is>
          <t>They are four dials on a delivery dashboard.</t>
        </is>
      </c>
      <c r="U8" s="18" t="inlineStr">
        <is>
          <t>Speed (frequency, lead time) + stability (failure rate, restore time).</t>
        </is>
      </c>
      <c r="V8" s="18" t="inlineStr">
        <is>
          <t>Deploying several times a day with a lead time under an hour.</t>
        </is>
      </c>
      <c r="W8" s="18" t="inlineStr">
        <is>
          <t>A rollback fixing a bad release in ten minutes.</t>
        </is>
      </c>
      <c r="X8" s="18" t="inlineStr">
        <is>
          <t>A change failure rate of five percent.</t>
        </is>
      </c>
      <c r="Y8" s="18" t="inlineStr">
        <is>
          <t>pipeline stages, rollbacks, monitoring, small batches</t>
        </is>
      </c>
      <c r="Z8" s="18" t="inlineStr">
        <is>
          <t>frequency, lead time, failure rate, recovery, delivery</t>
        </is>
      </c>
      <c r="AA8" s="18" t="inlineStr">
        <is>
          <t>Team reviews | Improvement plans | Engineering reports</t>
        </is>
      </c>
      <c r="AB8" s="18" t="inlineStr">
        <is>
          <t>A: How do we know the pipeline improved things? | B: Compare lead time and failure rate before and after.</t>
        </is>
      </c>
      <c r="AC8" s="18" t="inlineStr">
        <is>
          <t>✗ Releasing faster always means lower quality → ✓ Small frequent releases often improve stability</t>
        </is>
      </c>
      <c r="AD8" s="18" t="inlineStr">
        <is>
          <t>Speed vs stability metrics: frequency and lead time measure speed, failure rate and restore time measure stability.</t>
        </is>
      </c>
      <c r="AE8" s="18" t="inlineStr">
        <is>
          <t>Do not use DORA numbers to rank individuals.</t>
        </is>
      </c>
      <c r="AF8" s="18" t="inlineStr">
        <is>
          <t>Two for speed, two for stability.</t>
        </is>
      </c>
      <c r="AG8" s="18" t="inlineStr">
        <is>
          <t>Tracking lead time to show the customer that the new pipeline cut release time.</t>
        </is>
      </c>
      <c r="AH8" s="18" t="inlineStr">
        <is>
          <t>An interviewer may ask: What are the DORA metrics?</t>
        </is>
      </c>
      <c r="AI8" s="18" t="inlineStr">
        <is>
          <t>It is like four dials on a dashboard.</t>
        </is>
      </c>
      <c r="AJ8" s="18" t="inlineStr">
        <is>
          <t>Which metric measures time from commit to production?</t>
        </is>
      </c>
      <c r="AK8" s="18" t="inlineStr">
        <is>
          <t>A) Change failure rate B) Deployment frequency C) Lead time for changes D) Failed deployment recovery time</t>
        </is>
      </c>
      <c r="AL8" s="18" t="inlineStr">
        <is>
          <t>C</t>
        </is>
      </c>
      <c r="AM8" s="18" t="inlineStr">
        <is>
          <t>Lead time covers the span from commit to release.</t>
        </is>
      </c>
      <c r="AN8" s="18" t="inlineStr">
        <is>
          <t>The share of releases that cause problems is the change ____ rate → failure</t>
        </is>
      </c>
      <c r="AO8" s="18" t="inlineStr">
        <is>
          <t>You want to know how quickly you recover from incidents. Which metric? → Failed deployment recovery time</t>
        </is>
      </c>
      <c r="AP8" s="18" t="inlineStr">
        <is>
          <t>Explain the four DORA metrics in three lines.</t>
        </is>
      </c>
      <c r="AQ8" s="18" t="inlineStr">
        <is>
          <t>Write how you would measure lead time in your own pipeline.</t>
        </is>
      </c>
      <c r="AR8" s="17">
        <f>IF(J8="","",REPT("★",J8)&amp;REPT("☆",5-J8)&amp;" ("&amp;J8&amp;"/5)")</f>
        <v/>
      </c>
      <c r="AS8" s="17">
        <f>IF(Q8="","","Meaning: "&amp;Q8&amp;"  =  ______   (Answer: "&amp;F8&amp;")")</f>
        <v/>
      </c>
      <c r="AT8" s="17" t="inlineStr">
        <is>
          <t>New</t>
        </is>
      </c>
      <c r="AU8" s="17" t="n"/>
      <c r="AV8" s="17" t="n"/>
      <c r="AW8" s="17" t="n"/>
      <c r="AX8" s="17" t="n"/>
      <c r="AY8" s="17" t="n"/>
      <c r="AZ8" s="17" t="n"/>
      <c r="BA8" s="17" t="n"/>
      <c r="BB8" s="17" t="n"/>
    </row>
    <row r="9" ht="108" customHeight="1">
      <c r="A9" s="17" t="inlineStr">
        <is>
          <t>CICD-017</t>
        </is>
      </c>
      <c r="B9" s="17" t="inlineStr">
        <is>
          <t>03 Quality Gates</t>
        </is>
      </c>
      <c r="C9" s="17" t="inlineStr">
        <is>
          <t>Beginner</t>
        </is>
      </c>
      <c r="D9" s="17" t="n">
        <v>17</v>
      </c>
      <c r="E9" s="17" t="inlineStr">
        <is>
          <t>Claude knowledge</t>
        </is>
      </c>
      <c r="F9" s="18" t="inlineStr">
        <is>
          <t>Unit and integration tests in CI</t>
        </is>
      </c>
      <c r="G9" s="18" t="inlineStr">
        <is>
          <t>Which two kinds of automatic tests check small parts and connected parts of a system?</t>
        </is>
      </c>
      <c r="H9" s="18" t="inlineStr">
        <is>
          <t>Core concept</t>
        </is>
      </c>
      <c r="I9" s="18" t="inlineStr">
        <is>
          <t>Very high</t>
        </is>
      </c>
      <c r="J9" s="18" t="n">
        <v>5</v>
      </c>
      <c r="K9" s="18" t="inlineStr">
        <is>
          <t>Manual testing could not keep up with frequent releases, so tests were written as code that the pipeline runs on every change.</t>
        </is>
      </c>
      <c r="L9" s="18" t="inlineStr">
        <is>
          <t>Keep most tests as fast unit tests, with fewer slower integration tests on top.</t>
        </is>
      </c>
      <c r="M9" s="18" t="inlineStr">
        <is>
          <t>Unit tests check each brick, and integration tests check that the wall stands.</t>
        </is>
      </c>
      <c r="N9" s="18" t="inlineStr">
        <is>
          <t>A pyramid with many small unit tests at the base and few large tests at the top.</t>
        </is>
      </c>
      <c r="O9" s="18" t="inlineStr">
        <is>
          <t>The confidence of a green test run before merging.</t>
        </is>
      </c>
      <c r="P9" s="18" t="inlineStr">
        <is>
          <t>Unit tests check one small piece of code in isolation, and integration tests check that several parts, such as code and a database, work together.</t>
        </is>
      </c>
      <c r="Q9" s="17" t="n"/>
      <c r="R9" s="18" t="inlineStr">
        <is>
          <t>Unit tests run in milliseconds and pinpoint the broken function. Integration tests are slower, because they start real dependencies such as a database container, but they catch wiring mistakes. In CI the database is often started as a service container. A good suite has many unit tests and fewer integration tests. A failing test must block the merge.</t>
        </is>
      </c>
      <c r="S9" s="18" t="inlineStr">
        <is>
          <t>Run fast unit tests first, then integration tests, and block the merge if either fails.</t>
        </is>
      </c>
      <c r="T9" s="18" t="inlineStr">
        <is>
          <t>Unit tests check each brick, and integration tests check that the wall stands.</t>
        </is>
      </c>
      <c r="U9" s="18" t="inlineStr">
        <is>
          <t>Many fast unit tests + fewer slower integration tests.</t>
        </is>
      </c>
      <c r="V9" s="18" t="inlineStr">
        <is>
          <t>A test of one function that adds two prices.</t>
        </is>
      </c>
      <c r="W9" s="18" t="inlineStr">
        <is>
          <t>A test that saves a record to a real test database.</t>
        </is>
      </c>
      <c r="X9" s="18" t="inlineStr">
        <is>
          <t>A job starting a database service container before tests.</t>
        </is>
      </c>
      <c r="Y9" s="18" t="inlineStr">
        <is>
          <t>pipeline stages, required checks, flaky tests, coverage</t>
        </is>
      </c>
      <c r="Z9" s="18" t="inlineStr">
        <is>
          <t>unit, integration, test pyramid, mock, fixture</t>
        </is>
      </c>
      <c r="AA9" s="18" t="inlineStr">
        <is>
          <t>Every pipeline | Pull requests | Customer code</t>
        </is>
      </c>
      <c r="AB9" s="18" t="inlineStr">
        <is>
          <t>A: The tests pass locally but fail in CI. | B: CI uses a fresh database, so check the setup.</t>
        </is>
      </c>
      <c r="AC9" s="18" t="inlineStr">
        <is>
          <t>✗ More integration tests are always better than unit tests → ✓ They are slower and harder to debug, so keep most tests small</t>
        </is>
      </c>
      <c r="AD9" s="18" t="inlineStr">
        <is>
          <t>Unit vs integration test: unit checks one piece alone, integration checks pieces together.</t>
        </is>
      </c>
      <c r="AE9" s="18" t="inlineStr">
        <is>
          <t>Do not let a failing test pass by skipping it.</t>
        </is>
      </c>
      <c r="AF9" s="18" t="inlineStr">
        <is>
          <t>Many bricks, a few walls.</t>
        </is>
      </c>
      <c r="AG9" s="18" t="inlineStr">
        <is>
          <t>Adding a database service container so integration tests ran in the pipeline.</t>
        </is>
      </c>
      <c r="AH9" s="18" t="inlineStr">
        <is>
          <t>An interviewer may ask: What is the test pyramid?</t>
        </is>
      </c>
      <c r="AI9" s="18" t="inlineStr">
        <is>
          <t>It is like checking each brick and then the wall.</t>
        </is>
      </c>
      <c r="AJ9" s="18" t="inlineStr">
        <is>
          <t>Which tests are usually the fastest?</t>
        </is>
      </c>
      <c r="AK9" s="18" t="inlineStr">
        <is>
          <t>A) Load tests B) Manual tests C) Unit tests D) Integration tests</t>
        </is>
      </c>
      <c r="AL9" s="18" t="inlineStr">
        <is>
          <t>C</t>
        </is>
      </c>
      <c r="AM9" s="18" t="inlineStr">
        <is>
          <t>Unit tests avoid real dependencies.</t>
        </is>
      </c>
      <c r="AN9" s="18" t="inlineStr">
        <is>
          <t>A shape with many small tests at the base is the test ____ → pyramid</t>
        </is>
      </c>
      <c r="AO9" s="18" t="inlineStr">
        <is>
          <t>You must test code against a real database in CI. Which test type? → An integration test</t>
        </is>
      </c>
      <c r="AP9" s="18" t="inlineStr">
        <is>
          <t>Explain unit and integration tests in three lines.</t>
        </is>
      </c>
      <c r="AQ9" s="18" t="inlineStr">
        <is>
          <t>List two unit tests and one integration test for a login page.</t>
        </is>
      </c>
      <c r="AR9" s="17">
        <f>IF(J9="","",REPT("★",J9)&amp;REPT("☆",5-J9)&amp;" ("&amp;J9&amp;"/5)")</f>
        <v/>
      </c>
      <c r="AS9" s="17">
        <f>IF(Q9="","","Meaning: "&amp;Q9&amp;"  =  ______   (Answer: "&amp;F9&amp;")")</f>
        <v/>
      </c>
      <c r="AT9" s="17" t="inlineStr">
        <is>
          <t>New</t>
        </is>
      </c>
      <c r="AU9" s="17" t="n"/>
      <c r="AV9" s="17" t="n"/>
      <c r="AW9" s="17" t="n"/>
      <c r="AX9" s="17" t="n"/>
      <c r="AY9" s="17" t="n"/>
      <c r="AZ9" s="17" t="n"/>
      <c r="BA9" s="17" t="n"/>
      <c r="BB9" s="17" t="n"/>
    </row>
    <row r="10" ht="108" customHeight="1">
      <c r="A10" s="17" t="inlineStr">
        <is>
          <t>CICD-018</t>
        </is>
      </c>
      <c r="B10" s="17" t="inlineStr">
        <is>
          <t>03 Quality Gates</t>
        </is>
      </c>
      <c r="C10" s="17" t="inlineStr">
        <is>
          <t>Beginner</t>
        </is>
      </c>
      <c r="D10" s="17" t="n">
        <v>18</v>
      </c>
      <c r="E10" s="17" t="inlineStr">
        <is>
          <t>Claude knowledge</t>
        </is>
      </c>
      <c r="F10" s="18" t="inlineStr">
        <is>
          <t>Linting and formatting</t>
        </is>
      </c>
      <c r="G10" s="18" t="inlineStr">
        <is>
          <t>Which automatic checks find style problems and likely mistakes before tests run?</t>
        </is>
      </c>
      <c r="H10" s="18" t="inlineStr">
        <is>
          <t>Core concept</t>
        </is>
      </c>
      <c r="I10" s="18" t="inlineStr">
        <is>
          <t>Very high</t>
        </is>
      </c>
      <c r="J10" s="18" t="n">
        <v>4</v>
      </c>
      <c r="K10" s="18" t="inlineStr">
        <is>
          <t>Teams argued about style in reviews, so tools were introduced to check and fix it automatically.</t>
        </is>
      </c>
      <c r="L10" s="18" t="inlineStr">
        <is>
          <t>Run the formatter in a pre-commit hook and the linter in CI.</t>
        </is>
      </c>
      <c r="M10" s="18" t="inlineStr">
        <is>
          <t>A linter is a proofreader that marks mistakes, and a formatter retypes the page neatly.</t>
        </is>
      </c>
      <c r="N10" s="18" t="inlineStr">
        <is>
          <t>A code file with red marks beside suspicious lines.</t>
        </is>
      </c>
      <c r="O10" s="18" t="inlineStr">
        <is>
          <t>The relief of never arguing about commas again.</t>
        </is>
      </c>
      <c r="P10" s="18" t="inlineStr">
        <is>
          <t>Linting analyses code for likely bugs and rule violations, and formatting rewrites code into one consistent style.</t>
        </is>
      </c>
      <c r="Q10" s="17" t="n"/>
      <c r="R10" s="18" t="inlineStr">
        <is>
          <t>Linters such as ESLint or Ruff catch unused variables, risky patterns and some bugs without running the code. Formatters such as Prettier or Black change layout only. In CI the formatter runs in check mode and fails if files would change. Running these first gives feedback in seconds. Rules should be agreed by the team and stored in the repository.</t>
        </is>
      </c>
      <c r="S10" s="18" t="inlineStr">
        <is>
          <t>Lint to find mistakes, format for consistent style, and fail the pipeline fast.</t>
        </is>
      </c>
      <c r="T10" s="18" t="inlineStr">
        <is>
          <t>A linter is a proofreader, and a formatter retypes the page neatly.</t>
        </is>
      </c>
      <c r="U10" s="18" t="inlineStr">
        <is>
          <t>Lint = find problems. Format = make style uniform.</t>
        </is>
      </c>
      <c r="V10" s="18" t="inlineStr">
        <is>
          <t>ESLint flagging an unused variable.</t>
        </is>
      </c>
      <c r="W10" s="18" t="inlineStr">
        <is>
          <t>A check mode run that fails if code is unformatted.</t>
        </is>
      </c>
      <c r="X10" s="18" t="inlineStr">
        <is>
          <t>A pre-commit hook that formats files before a commit.</t>
        </is>
      </c>
      <c r="Y10" s="18" t="inlineStr">
        <is>
          <t>pipeline stages, required checks, code review, pre-commit hooks</t>
        </is>
      </c>
      <c r="Z10" s="18" t="inlineStr">
        <is>
          <t>lint, format, rule, style, check</t>
        </is>
      </c>
      <c r="AA10" s="18" t="inlineStr">
        <is>
          <t>Pull requests | Pre-commit hooks | Team standards</t>
        </is>
      </c>
      <c r="AB10" s="18" t="inlineStr">
        <is>
          <t>A: Reviews are full of style comments. | B: Add a formatter check in CI.</t>
        </is>
      </c>
      <c r="AC10" s="18" t="inlineStr">
        <is>
          <t>✗ Linting and formatting do the same job → ✓ Linting finds problems, and formatting only changes layout</t>
        </is>
      </c>
      <c r="AD10" s="18" t="inlineStr">
        <is>
          <t>Linter vs formatter: one reports risky code, the other rewrites style.</t>
        </is>
      </c>
      <c r="AE10" s="18" t="inlineStr">
        <is>
          <t>Do not disable lint rules just to get a green build.</t>
        </is>
      </c>
      <c r="AF10" s="18" t="inlineStr">
        <is>
          <t>Lint finds, format fixes style.</t>
        </is>
      </c>
      <c r="AG10" s="18" t="inlineStr">
        <is>
          <t>Adding lint and format checks that cut style comments in reviews.</t>
        </is>
      </c>
      <c r="AH10" s="18" t="inlineStr">
        <is>
          <t>An interviewer may ask: Why run linting first in a pipeline?</t>
        </is>
      </c>
      <c r="AI10" s="18" t="inlineStr">
        <is>
          <t>It is like a proofreader marking a page.</t>
        </is>
      </c>
      <c r="AJ10" s="18" t="inlineStr">
        <is>
          <t>Which tool changes only code layout?</t>
        </is>
      </c>
      <c r="AK10" s="18" t="inlineStr">
        <is>
          <t>A) A formatter B) A scanner C) A compiler D) A linter</t>
        </is>
      </c>
      <c r="AL10" s="18" t="inlineStr">
        <is>
          <t>A</t>
        </is>
      </c>
      <c r="AM10" s="18" t="inlineStr">
        <is>
          <t>Formatters rewrite style without changing behaviour.</t>
        </is>
      </c>
      <c r="AN10" s="18" t="inlineStr">
        <is>
          <t>Running a formatter without changing files is called check ____ → mode</t>
        </is>
      </c>
      <c r="AO10" s="18" t="inlineStr">
        <is>
          <t>Reviews waste time on style. What do you add? → A formatter check</t>
        </is>
      </c>
      <c r="AP10" s="18" t="inlineStr">
        <is>
          <t>Explain linting and formatting in three lines.</t>
        </is>
      </c>
      <c r="AQ10" s="18" t="inlineStr">
        <is>
          <t>Choose a linter and a formatter for a Python project.</t>
        </is>
      </c>
      <c r="AR10" s="17">
        <f>IF(J10="","",REPT("★",J10)&amp;REPT("☆",5-J10)&amp;" ("&amp;J10&amp;"/5)")</f>
        <v/>
      </c>
      <c r="AS10" s="17">
        <f>IF(Q10="","","Meaning: "&amp;Q10&amp;"  =  ______   (Answer: "&amp;F10&amp;")")</f>
        <v/>
      </c>
      <c r="AT10" s="17" t="inlineStr">
        <is>
          <t>New</t>
        </is>
      </c>
      <c r="AU10" s="17" t="n"/>
      <c r="AV10" s="17" t="n"/>
      <c r="AW10" s="17" t="n"/>
      <c r="AX10" s="17" t="n"/>
      <c r="AY10" s="17" t="n"/>
      <c r="AZ10" s="17" t="n"/>
      <c r="BA10" s="17" t="n"/>
      <c r="BB10" s="17" t="n"/>
    </row>
    <row r="11" ht="108" customHeight="1">
      <c r="A11" s="17" t="inlineStr">
        <is>
          <t>CICD-019</t>
        </is>
      </c>
      <c r="B11" s="17" t="inlineStr">
        <is>
          <t>03 Quality Gates</t>
        </is>
      </c>
      <c r="C11" s="17" t="inlineStr">
        <is>
          <t>Intermediate</t>
        </is>
      </c>
      <c r="D11" s="17" t="n">
        <v>19</v>
      </c>
      <c r="E11" s="17" t="inlineStr">
        <is>
          <t>Claude knowledge</t>
        </is>
      </c>
      <c r="F11" s="18" t="inlineStr">
        <is>
          <t>Security scans in CI</t>
        </is>
      </c>
      <c r="G11" s="18" t="inlineStr">
        <is>
          <t>Which automatic scans look for vulnerable dependencies, leaked secrets and risky code?</t>
        </is>
      </c>
      <c r="H11" s="18" t="inlineStr">
        <is>
          <t>Core concept</t>
        </is>
      </c>
      <c r="I11" s="18" t="inlineStr">
        <is>
          <t>High</t>
        </is>
      </c>
      <c r="J11" s="18" t="n">
        <v>5</v>
      </c>
      <c r="K11" s="18" t="inlineStr">
        <is>
          <t>Security reviews at the end of a project were slow and late, so scans were moved into the pipeline to catch problems early.</t>
        </is>
      </c>
      <c r="L11" s="18" t="inlineStr">
        <is>
          <t>Fail the build only on serious, fixable findings so the team does not learn to ignore alerts.</t>
        </is>
      </c>
      <c r="M11" s="18" t="inlineStr">
        <is>
          <t>Scans are airport security checks placed before the boarding gate.</t>
        </is>
      </c>
      <c r="N11" s="18" t="inlineStr">
        <is>
          <t>A pipeline with a scanner stage before packaging.</t>
        </is>
      </c>
      <c r="O11" s="18" t="inlineStr">
        <is>
          <t>The reassurance of finding a flaw before release.</t>
        </is>
      </c>
      <c r="P11" s="18" t="inlineStr">
        <is>
          <t>Security scans in CI include dependency scanning, secret scanning, static code analysis and image scanning, each checking a different risk.</t>
        </is>
      </c>
      <c r="Q11" s="17" t="n"/>
      <c r="R11" s="18" t="inlineStr">
        <is>
          <t>Dependency scanning compares packages with databases of known vulnerabilities. Secret scanning looks for leaked keys. Static analysis reads code for risky patterns, such as SQL built from user input. Image scanning checks container layers. Findings should have severity and owners. Too many false alarms cause alert fatigue, so tune the rules.</t>
        </is>
      </c>
      <c r="S11" s="18" t="inlineStr">
        <is>
          <t>Scan dependencies, secrets, code and images in the pipeline, and block only what matters.</t>
        </is>
      </c>
      <c r="T11" s="18" t="inlineStr">
        <is>
          <t>Scans are airport security checks before the boarding gate.</t>
        </is>
      </c>
      <c r="U11" s="18" t="inlineStr">
        <is>
          <t>Dependencies + secrets + code + images.</t>
        </is>
      </c>
      <c r="V11" s="18" t="inlineStr">
        <is>
          <t>A dependency scan failing on a critical vulnerability with a fix.</t>
        </is>
      </c>
      <c r="W11" s="18" t="inlineStr">
        <is>
          <t>A secret scan blocking a pushed API key.</t>
        </is>
      </c>
      <c r="X11" s="18" t="inlineStr">
        <is>
          <t>A static analysis tool flagging an injection risk.</t>
        </is>
      </c>
      <c r="Y11" s="18" t="inlineStr">
        <is>
          <t>quality gates, secret scanning, container scanning, least privilege</t>
        </is>
      </c>
      <c r="Z11" s="18" t="inlineStr">
        <is>
          <t>SAST, dependency, vulnerability, severity, false positive</t>
        </is>
      </c>
      <c r="AA11" s="18" t="inlineStr">
        <is>
          <t>Pull requests | Release gates | Compliance</t>
        </is>
      </c>
      <c r="AB11" s="18" t="inlineStr">
        <is>
          <t>A: The scan found forty issues. | B: Start with critical ones that have a fix.</t>
        </is>
      </c>
      <c r="AC11" s="18" t="inlineStr">
        <is>
          <t>✗ If the scanner is quiet, the code is secure → ✓ Scanners find known patterns only, and reviews and design still matter</t>
        </is>
      </c>
      <c r="AD11" s="18" t="inlineStr">
        <is>
          <t>SAST vs dependency scan: SAST reads your code, dependency scanning checks other people's packages.</t>
        </is>
      </c>
      <c r="AE11" s="18" t="inlineStr">
        <is>
          <t>Do not ignore alerts because there are too many.</t>
        </is>
      </c>
      <c r="AF11" s="18" t="inlineStr">
        <is>
          <t>Block what matters, tune what nags.</t>
        </is>
      </c>
      <c r="AG11" s="18" t="inlineStr">
        <is>
          <t>Adding a dependency scan that blocked a critical vulnerable library before release.</t>
        </is>
      </c>
      <c r="AH11" s="18" t="inlineStr">
        <is>
          <t>An interviewer may ask: What security checks belong in a pipeline?</t>
        </is>
      </c>
      <c r="AI11" s="18" t="inlineStr">
        <is>
          <t>It is like airport security before boarding.</t>
        </is>
      </c>
      <c r="AJ11" s="18" t="inlineStr">
        <is>
          <t>Which scan finds known vulnerable packages?</t>
        </is>
      </c>
      <c r="AK11" s="18" t="inlineStr">
        <is>
          <t>A) Caching B) Dependency scanning C) Formatting D) Tagging</t>
        </is>
      </c>
      <c r="AL11" s="18" t="inlineStr">
        <is>
          <t>B</t>
        </is>
      </c>
      <c r="AM11" s="18" t="inlineStr">
        <is>
          <t>It compares packages to vulnerability databases.</t>
        </is>
      </c>
      <c r="AN11" s="18" t="inlineStr">
        <is>
          <t>Too many false alarms cause alert ____ → fatigue</t>
        </is>
      </c>
      <c r="AO11" s="18" t="inlineStr">
        <is>
          <t>You need to catch a pushed API key. Which scan? → Secret scanning</t>
        </is>
      </c>
      <c r="AP11" s="18" t="inlineStr">
        <is>
          <t>Explain the security scans in three lines.</t>
        </is>
      </c>
      <c r="AQ11" s="18" t="inlineStr">
        <is>
          <t>Choose which findings should fail a build.</t>
        </is>
      </c>
      <c r="AR11" s="17">
        <f>IF(J11="","",REPT("★",J11)&amp;REPT("☆",5-J11)&amp;" ("&amp;J11&amp;"/5)")</f>
        <v/>
      </c>
      <c r="AS11" s="17">
        <f>IF(Q11="","","Meaning: "&amp;Q11&amp;"  =  ______   (Answer: "&amp;F11&amp;")")</f>
        <v/>
      </c>
      <c r="AT11" s="17" t="inlineStr">
        <is>
          <t>New</t>
        </is>
      </c>
      <c r="AU11" s="17" t="n"/>
      <c r="AV11" s="17" t="n"/>
      <c r="AW11" s="17" t="n"/>
      <c r="AX11" s="17" t="n"/>
      <c r="AY11" s="17" t="n"/>
      <c r="AZ11" s="17" t="n"/>
      <c r="BA11" s="17" t="n"/>
      <c r="BB11" s="17" t="n"/>
    </row>
    <row r="12" ht="108" customHeight="1">
      <c r="A12" s="17" t="inlineStr">
        <is>
          <t>CICD-020</t>
        </is>
      </c>
      <c r="B12" s="17" t="inlineStr">
        <is>
          <t>03 Quality Gates</t>
        </is>
      </c>
      <c r="C12" s="17" t="inlineStr">
        <is>
          <t>Intermediate</t>
        </is>
      </c>
      <c r="D12" s="17" t="n">
        <v>20</v>
      </c>
      <c r="E12" s="17" t="inlineStr">
        <is>
          <t>Claude knowledge</t>
        </is>
      </c>
      <c r="F12" s="18" t="inlineStr">
        <is>
          <t>Code coverage</t>
        </is>
      </c>
      <c r="G12" s="18" t="inlineStr">
        <is>
          <t>Which measure shows how much of the code the tests actually run?</t>
        </is>
      </c>
      <c r="H12" s="18" t="inlineStr">
        <is>
          <t>Core concept</t>
        </is>
      </c>
      <c r="I12" s="18" t="inlineStr">
        <is>
          <t>High</t>
        </is>
      </c>
      <c r="J12" s="18" t="n">
        <v>3</v>
      </c>
      <c r="K12" s="18" t="inlineStr">
        <is>
          <t>Teams needed a rough idea of untested areas, so tools record which lines run during the tests.</t>
        </is>
      </c>
      <c r="L12" s="18" t="inlineStr">
        <is>
          <t>Use coverage to find untested risky code, not as a number to chase.</t>
        </is>
      </c>
      <c r="M12" s="18" t="inlineStr">
        <is>
          <t>Coverage is a highlighter showing which pages of the book the tests actually read.</t>
        </is>
      </c>
      <c r="N12" s="18" t="inlineStr">
        <is>
          <t>Code lines painted green when tested and red when not.</t>
        </is>
      </c>
      <c r="O12" s="18" t="inlineStr">
        <is>
          <t>The curiosity of finding an untested corner.</t>
        </is>
      </c>
      <c r="P12" s="18" t="inlineStr">
        <is>
          <t>Code coverage is the percentage of lines, branches or functions that run during the test suite.</t>
        </is>
      </c>
      <c r="Q12" s="17" t="n"/>
      <c r="R12" s="18" t="inlineStr">
        <is>
          <t>A report highlights lines never executed. Coverage shows what is not tested, but not how well the tested lines are checked. A test with no assertions can reach one hundred percent. Teams often set a minimum gate, such as eighty percent, and require that new code is covered. Chasing a high number can produce poor tests.</t>
        </is>
      </c>
      <c r="S12" s="18" t="inlineStr">
        <is>
          <t>Use coverage to find gaps, set a sensible minimum, and focus on meaningful tests.</t>
        </is>
      </c>
      <c r="T12" s="18" t="inlineStr">
        <is>
          <t>Coverage is a highlighter showing which pages the tests read.</t>
        </is>
      </c>
      <c r="U12" s="18" t="inlineStr">
        <is>
          <t>Coverage = executed lines ÷ total lines. It shows gaps, not quality.</t>
        </is>
      </c>
      <c r="V12" s="18" t="inlineStr">
        <is>
          <t>A report showing an error branch never tested.</t>
        </is>
      </c>
      <c r="W12" s="18" t="inlineStr">
        <is>
          <t>A gate requiring new code to have eighty percent coverage.</t>
        </is>
      </c>
      <c r="X12" s="18" t="inlineStr">
        <is>
          <t>A test with no checks inflating the number.</t>
        </is>
      </c>
      <c r="Y12" s="18" t="inlineStr">
        <is>
          <t>unit tests, required checks, flaky tests, reviews</t>
        </is>
      </c>
      <c r="Z12" s="18" t="inlineStr">
        <is>
          <t>coverage, line, branch, threshold, report</t>
        </is>
      </c>
      <c r="AA12" s="18" t="inlineStr">
        <is>
          <t>Quality gates | Reviews | Reports</t>
        </is>
      </c>
      <c r="AB12" s="18" t="inlineStr">
        <is>
          <t>A: Coverage is ninety percent, so we are safe. | B: Not necessarily, the tests may check little.</t>
        </is>
      </c>
      <c r="AC12" s="18" t="inlineStr">
        <is>
          <t>✗ High coverage guarantees good tests → ✓ It only shows code was run, not that it was checked properly</t>
        </is>
      </c>
      <c r="AD12" s="18" t="inlineStr">
        <is>
          <t>Line vs branch coverage: lines count statements run, branches count decisions covered.</t>
        </is>
      </c>
      <c r="AE12" s="18" t="inlineStr">
        <is>
          <t>Do not write empty tests to raise the percentage.</t>
        </is>
      </c>
      <c r="AF12" s="18" t="inlineStr">
        <is>
          <t>Coverage shows gaps, not quality.</t>
        </is>
      </c>
      <c r="AG12" s="18" t="inlineStr">
        <is>
          <t>Using a coverage report to find an untested payment error path.</t>
        </is>
      </c>
      <c r="AH12" s="18" t="inlineStr">
        <is>
          <t>An interviewer may ask: Is one hundred percent coverage a good goal?</t>
        </is>
      </c>
      <c r="AI12" s="18" t="inlineStr">
        <is>
          <t>It is like a highlighter on read pages.</t>
        </is>
      </c>
      <c r="AJ12" s="18" t="inlineStr">
        <is>
          <t>What does coverage measure?</t>
        </is>
      </c>
      <c r="AK12" s="18" t="inlineStr">
        <is>
          <t>A) How many bugs exist B) How big the repo is C) How fast tests are D) How much code the tests run</t>
        </is>
      </c>
      <c r="AL12" s="18" t="inlineStr">
        <is>
          <t>D</t>
        </is>
      </c>
      <c r="AM12" s="18" t="inlineStr">
        <is>
          <t>It counts executed code in the tests.</t>
        </is>
      </c>
      <c r="AN12" s="18" t="inlineStr">
        <is>
          <t>A minimum coverage value that fails the build is a ____ → threshold</t>
        </is>
      </c>
      <c r="AO12" s="18" t="inlineStr">
        <is>
          <t>A team chases one hundred percent with empty tests. What is wrong? → The tests do not check anything</t>
        </is>
      </c>
      <c r="AP12" s="18" t="inlineStr">
        <is>
          <t>Explain code coverage in three lines.</t>
        </is>
      </c>
      <c r="AQ12" s="18" t="inlineStr">
        <is>
          <t>Decide a coverage rule for new code.</t>
        </is>
      </c>
      <c r="AR12" s="17">
        <f>IF(J12="","",REPT("★",J12)&amp;REPT("☆",5-J12)&amp;" ("&amp;J12&amp;"/5)")</f>
        <v/>
      </c>
      <c r="AS12" s="17">
        <f>IF(Q12="","","Meaning: "&amp;Q12&amp;"  =  ______   (Answer: "&amp;F12&amp;")")</f>
        <v/>
      </c>
      <c r="AT12" s="17" t="inlineStr">
        <is>
          <t>New</t>
        </is>
      </c>
      <c r="AU12" s="17" t="n"/>
      <c r="AV12" s="17" t="n"/>
      <c r="AW12" s="17" t="n"/>
      <c r="AX12" s="17" t="n"/>
      <c r="AY12" s="17" t="n"/>
      <c r="AZ12" s="17" t="n"/>
      <c r="BA12" s="17" t="n"/>
      <c r="BB12" s="17" t="n"/>
    </row>
    <row r="13" ht="135" customHeight="1">
      <c r="A13" s="17" t="inlineStr">
        <is>
          <t>CICD-021</t>
        </is>
      </c>
      <c r="B13" s="17" t="inlineStr">
        <is>
          <t>03 Quality Gates</t>
        </is>
      </c>
      <c r="C13" s="17" t="inlineStr">
        <is>
          <t>Intermediate</t>
        </is>
      </c>
      <c r="D13" s="17" t="n">
        <v>21</v>
      </c>
      <c r="E13" s="17" t="inlineStr">
        <is>
          <t>Claude knowledge</t>
        </is>
      </c>
      <c r="F13" s="18" t="inlineStr">
        <is>
          <t>Required checks and branch protection</t>
        </is>
      </c>
      <c r="G13" s="18" t="inlineStr">
        <is>
          <t>Which settings stop a pull request from merging until the checks pass?</t>
        </is>
      </c>
      <c r="H13" s="18" t="inlineStr">
        <is>
          <t>Core concept</t>
        </is>
      </c>
      <c r="I13" s="18" t="inlineStr">
        <is>
          <t>Very high</t>
        </is>
      </c>
      <c r="J13" s="18" t="n">
        <v>5</v>
      </c>
      <c r="K13" s="18" t="inlineStr">
        <is>
          <t>Checks that can be ignored are just suggestions, so repositories can require them before code reaches the main branch.</t>
        </is>
      </c>
      <c r="L13" s="18" t="inlineStr">
        <is>
          <t>Require checks, a review and an up-to-date branch on main.</t>
        </is>
      </c>
      <c r="M13" s="18" t="inlineStr">
        <is>
          <t>Branch protection is a turnstile that opens only with a valid ticket.</t>
        </is>
      </c>
      <c r="N13" s="18" t="inlineStr">
        <is>
          <t>A merge button greyed out with a list of pending checks.</t>
        </is>
      </c>
      <c r="O13" s="18" t="inlineStr">
        <is>
          <t>The safety of a protected main branch.</t>
        </is>
      </c>
      <c r="P13" s="18" t="inlineStr">
        <is>
          <t>Branch protection rules require status checks, reviews and other conditions before changes can be merged into a protected branch.</t>
        </is>
      </c>
      <c r="Q13" s="17" t="n"/>
      <c r="R13" s="18" t="inlineStr">
        <is>
          <t>You choose which checks are required, how many approvals are needed and whether force pushes are blocked. Rules can require the branch to be up to date before merging. Administrators can be included in the rules. A required check must report success. A check that never runs, for example because of a path filter, stays pending and blocks the merge, so design for that. Rulesets provide a newer way to manage rules across repositories.</t>
        </is>
      </c>
      <c r="S13" s="18" t="inlineStr">
        <is>
          <t>Protect main, require the pipeline and a review, and block direct pushes.</t>
        </is>
      </c>
      <c r="T13" s="18" t="inlineStr">
        <is>
          <t>Branch protection is a turnstile that opens only with a valid ticket.</t>
        </is>
      </c>
      <c r="U13" s="18" t="inlineStr">
        <is>
          <t>Required checks + review + no force push.</t>
        </is>
      </c>
      <c r="V13" s="18" t="inlineStr">
        <is>
          <t>A rule requiring the test and lint jobs to pass.</t>
        </is>
      </c>
      <c r="W13" s="18" t="inlineStr">
        <is>
          <t>A rule requiring one approving review.</t>
        </is>
      </c>
      <c r="X13" s="18" t="inlineStr">
        <is>
          <t>Blocking force pushes to main.</t>
        </is>
      </c>
      <c r="Y13" s="18" t="inlineStr">
        <is>
          <t>pull requests, quality gates, code owners, rulesets</t>
        </is>
      </c>
      <c r="Z13" s="18" t="inlineStr">
        <is>
          <t>protection, required check, review, ruleset, merge</t>
        </is>
      </c>
      <c r="AA13" s="18" t="inlineStr">
        <is>
          <t>Main branches | Teams | Compliance</t>
        </is>
      </c>
      <c r="AB13" s="18" t="inlineStr">
        <is>
          <t>A: Someone pushed a broken change to main. | B: Turn on branch protection and required checks.</t>
        </is>
      </c>
      <c r="AC13" s="18" t="inlineStr">
        <is>
          <t>✗ Admins should be exempt from branch protection → ✓ Including admins avoids accidental bypasses</t>
        </is>
      </c>
      <c r="AD13" s="18" t="inlineStr">
        <is>
          <t>Required check vs optional check: required ones block merging, optional ones only inform.</t>
        </is>
      </c>
      <c r="AE13" s="18" t="inlineStr">
        <is>
          <t>Do not allow direct pushes to the main branch.</t>
        </is>
      </c>
      <c r="AF13" s="18" t="inlineStr">
        <is>
          <t>Checks plus review guard the main branch.</t>
        </is>
      </c>
      <c r="AG13" s="18" t="inlineStr">
        <is>
          <t>Enabling required checks so broken code could no longer be merged into main.</t>
        </is>
      </c>
      <c r="AH13" s="18" t="inlineStr">
        <is>
          <t>An interviewer may ask: How do you stop broken code reaching the main branch?</t>
        </is>
      </c>
      <c r="AI13" s="18" t="inlineStr">
        <is>
          <t>It is like a turnstile that opens only with a ticket.</t>
        </is>
      </c>
      <c r="AJ13" s="18" t="inlineStr">
        <is>
          <t>What does a required check do?</t>
        </is>
      </c>
      <c r="AK13" s="18" t="inlineStr">
        <is>
          <t>A) Deletes the branch B) Adds a tag C) Speeds up tests D) Blocks merging until it passes</t>
        </is>
      </c>
      <c r="AL13" s="18" t="inlineStr">
        <is>
          <t>D</t>
        </is>
      </c>
      <c r="AM13" s="18" t="inlineStr">
        <is>
          <t>A required check must succeed before the merge.</t>
        </is>
      </c>
      <c r="AN13" s="18" t="inlineStr">
        <is>
          <t>Rules that guard the main branch are called branch ____ → protection</t>
        </is>
      </c>
      <c r="AO13" s="18" t="inlineStr">
        <is>
          <t>Broken code was pushed straight to main. What should you enable? → Branch protection</t>
        </is>
      </c>
      <c r="AP13" s="18" t="inlineStr">
        <is>
          <t>Explain required checks in three lines.</t>
        </is>
      </c>
      <c r="AQ13" s="18" t="inlineStr">
        <is>
          <t>Write the protection rules you would set on main.</t>
        </is>
      </c>
      <c r="AR13" s="17">
        <f>IF(J13="","",REPT("★",J13)&amp;REPT("☆",5-J13)&amp;" ("&amp;J13&amp;"/5)")</f>
        <v/>
      </c>
      <c r="AS13" s="17">
        <f>IF(Q13="","","Meaning: "&amp;Q13&amp;"  =  ______   (Answer: "&amp;F13&amp;")")</f>
        <v/>
      </c>
      <c r="AT13" s="17" t="inlineStr">
        <is>
          <t>New</t>
        </is>
      </c>
      <c r="AU13" s="17" t="n"/>
      <c r="AV13" s="17" t="n"/>
      <c r="AW13" s="17" t="n"/>
      <c r="AX13" s="17" t="n"/>
      <c r="AY13" s="17" t="n"/>
      <c r="AZ13" s="17" t="n"/>
      <c r="BA13" s="17" t="n"/>
      <c r="BB13" s="17" t="n"/>
    </row>
    <row r="14" ht="108" customHeight="1">
      <c r="A14" s="17" t="inlineStr">
        <is>
          <t>CICD-022</t>
        </is>
      </c>
      <c r="B14" s="17" t="inlineStr">
        <is>
          <t>03 Quality Gates</t>
        </is>
      </c>
      <c r="C14" s="17" t="inlineStr">
        <is>
          <t>Intermediate</t>
        </is>
      </c>
      <c r="D14" s="17" t="n">
        <v>22</v>
      </c>
      <c r="E14" s="17" t="inlineStr">
        <is>
          <t>Claude knowledge</t>
        </is>
      </c>
      <c r="F14" s="18" t="inlineStr">
        <is>
          <t>Flaky tests</t>
        </is>
      </c>
      <c r="G14" s="18" t="inlineStr">
        <is>
          <t>Which tests pass and fail randomly without any change in the code?</t>
        </is>
      </c>
      <c r="H14" s="18" t="inlineStr">
        <is>
          <t>Core concept</t>
        </is>
      </c>
      <c r="I14" s="18" t="inlineStr">
        <is>
          <t>High</t>
        </is>
      </c>
      <c r="J14" s="18" t="n">
        <v>4</v>
      </c>
      <c r="K14" s="18" t="inlineStr">
        <is>
          <t>As suites grew, some tests started failing at random because of timing or shared state, wasting everyone's time.</t>
        </is>
      </c>
      <c r="L14" s="18" t="inlineStr">
        <is>
          <t>Find the cause, since rerunning until green hides a real problem.</t>
        </is>
      </c>
      <c r="M14" s="18" t="inlineStr">
        <is>
          <t>A flaky test is a smoke alarm that rings for no reason, so people stop trusting it.</t>
        </is>
      </c>
      <c r="N14" s="18" t="inlineStr">
        <is>
          <t>A test history showing green and red runs on the same code.</t>
        </is>
      </c>
      <c r="O14" s="18" t="inlineStr">
        <is>
          <t>The frustration of a pipeline that fails for no reason.</t>
        </is>
      </c>
      <c r="P14" s="18" t="inlineStr">
        <is>
          <t>A flaky test is one that gives different results on the same code, usually because of timing, order, shared data or external services.</t>
        </is>
      </c>
      <c r="Q14" s="17" t="n"/>
      <c r="R14" s="18" t="inlineStr">
        <is>
          <t>Common causes are sleeps instead of waiting for a condition, tests that depend on each other, random data, clock use and network calls. Flakiness trains people to ignore failures, which is dangerous. Quarantining a test temporarily is acceptable only with an owner and a deadline. Fix by isolating data, controlling time and mocking external services.</t>
        </is>
      </c>
      <c r="S14" s="18" t="inlineStr">
        <is>
          <t>Find why the result changes, fix the cause, and never train the team to rerun and ignore.</t>
        </is>
      </c>
      <c r="T14" s="18" t="inlineStr">
        <is>
          <t>It is a smoke alarm that rings for no reason.</t>
        </is>
      </c>
      <c r="U14" s="18" t="inlineStr">
        <is>
          <t>Same code, different result = a bug in the test or system.</t>
        </is>
      </c>
      <c r="V14" s="18" t="inlineStr">
        <is>
          <t>A test that fails when run after another test.</t>
        </is>
      </c>
      <c r="W14" s="18" t="inlineStr">
        <is>
          <t>A test using real time that fails near midnight.</t>
        </is>
      </c>
      <c r="X14" s="18" t="inlineStr">
        <is>
          <t>A test calling a real web service.</t>
        </is>
      </c>
      <c r="Y14" s="18" t="inlineStr">
        <is>
          <t>unit tests, required checks, retries, test isolation</t>
        </is>
      </c>
      <c r="Z14" s="18" t="inlineStr">
        <is>
          <t>flaky, intermittent, isolation, timing, mock</t>
        </is>
      </c>
      <c r="AA14" s="18" t="inlineStr">
        <is>
          <t>Test suites | Pipelines | Reliability work</t>
        </is>
      </c>
      <c r="AB14" s="18" t="inlineStr">
        <is>
          <t>A: Just rerun it, it always passes the second time. | B: Then it is flaky, so let us find the cause.</t>
        </is>
      </c>
      <c r="AC14" s="18" t="inlineStr">
        <is>
          <t>✗ Rerunning a failed test until it passes is a fix → ✓ It hides the problem, which may be a real race condition</t>
        </is>
      </c>
      <c r="AD14" s="18" t="inlineStr">
        <is>
          <t>Flaky vs failing test: a failing test fails every time, a flaky test fails sometimes.</t>
        </is>
      </c>
      <c r="AE14" s="18" t="inlineStr">
        <is>
          <t>Do not add automatic retries to hide flakiness permanently.</t>
        </is>
      </c>
      <c r="AF14" s="18" t="inlineStr">
        <is>
          <t>Random failure means find the cause.</t>
        </is>
      </c>
      <c r="AG14" s="18" t="inlineStr">
        <is>
          <t>Replacing fixed sleeps with waits on a condition to remove random failures.</t>
        </is>
      </c>
      <c r="AH14" s="18" t="inlineStr">
        <is>
          <t>An interviewer may ask: How do you handle flaky tests?</t>
        </is>
      </c>
      <c r="AI14" s="18" t="inlineStr">
        <is>
          <t>It is like a smoke alarm that rings for nothing.</t>
        </is>
      </c>
      <c r="AJ14" s="18" t="inlineStr">
        <is>
          <t>Which is a common cause of flakiness?</t>
        </is>
      </c>
      <c r="AK14" s="18" t="inlineStr">
        <is>
          <t>A) Fixed sleeps and shared state B) Isolated data C) Clear assertions D) Small tests</t>
        </is>
      </c>
      <c r="AL14" s="18" t="inlineStr">
        <is>
          <t>A</t>
        </is>
      </c>
      <c r="AM14" s="18" t="inlineStr">
        <is>
          <t>Timing and shared state change results between runs.</t>
        </is>
      </c>
      <c r="AN14" s="18" t="inlineStr">
        <is>
          <t>Results that change without code changes are called ____ → flaky</t>
        </is>
      </c>
      <c r="AO14" s="18" t="inlineStr">
        <is>
          <t>A test fails near midnight only. What is a likely cause? → It depends on the clock</t>
        </is>
      </c>
      <c r="AP14" s="18" t="inlineStr">
        <is>
          <t>Explain flaky tests in three lines.</t>
        </is>
      </c>
      <c r="AQ14" s="18" t="inlineStr">
        <is>
          <t>List three causes and a fix for each.</t>
        </is>
      </c>
      <c r="AR14" s="17">
        <f>IF(J14="","",REPT("★",J14)&amp;REPT("☆",5-J14)&amp;" ("&amp;J14&amp;"/5)")</f>
        <v/>
      </c>
      <c r="AS14" s="17">
        <f>IF(Q14="","","Meaning: "&amp;Q14&amp;"  =  ______   (Answer: "&amp;F14&amp;")")</f>
        <v/>
      </c>
      <c r="AT14" s="17" t="inlineStr">
        <is>
          <t>New</t>
        </is>
      </c>
      <c r="AU14" s="17" t="n"/>
      <c r="AV14" s="17" t="n"/>
      <c r="AW14" s="17" t="n"/>
      <c r="AX14" s="17" t="n"/>
      <c r="AY14" s="17" t="n"/>
      <c r="AZ14" s="17" t="n"/>
      <c r="BA14" s="17" t="n"/>
      <c r="BB14" s="17" t="n"/>
    </row>
    <row r="15" ht="108" customHeight="1">
      <c r="A15" s="17" t="inlineStr">
        <is>
          <t>CICD-023</t>
        </is>
      </c>
      <c r="B15" s="17" t="inlineStr">
        <is>
          <t>04 Deployment</t>
        </is>
      </c>
      <c r="C15" s="17" t="inlineStr">
        <is>
          <t>Intermediate</t>
        </is>
      </c>
      <c r="D15" s="17" t="n">
        <v>23</v>
      </c>
      <c r="E15" s="17" t="inlineStr">
        <is>
          <t>Claude knowledge</t>
        </is>
      </c>
      <c r="F15" s="18" t="inlineStr">
        <is>
          <t>Rolling deployments</t>
        </is>
      </c>
      <c r="G15" s="18" t="inlineStr">
        <is>
          <t>Which strategy replaces old servers with new ones a few at a time?</t>
        </is>
      </c>
      <c r="H15" s="18" t="inlineStr">
        <is>
          <t>Core concept</t>
        </is>
      </c>
      <c r="I15" s="18" t="inlineStr">
        <is>
          <t>High</t>
        </is>
      </c>
      <c r="J15" s="18" t="n">
        <v>4</v>
      </c>
      <c r="K15" s="18" t="inlineStr">
        <is>
          <t>Replacing everything at once causes downtime, so updates were made gradually across the running instances.</t>
        </is>
      </c>
      <c r="L15" s="18" t="inlineStr">
        <is>
          <t>Make sure old and new versions can run side by side during the rollout.</t>
        </is>
      </c>
      <c r="M15" s="18" t="inlineStr">
        <is>
          <t>A rolling update is changing the tyres of a bus one wheel at a time while it keeps moving.</t>
        </is>
      </c>
      <c r="N15" s="18" t="inlineStr">
        <is>
          <t>A row of servers turning from old to new one by one.</t>
        </is>
      </c>
      <c r="O15" s="18" t="inlineStr">
        <is>
          <t>The ease of updating with no outage.</t>
        </is>
      </c>
      <c r="P15" s="18" t="inlineStr">
        <is>
          <t>A rolling deployment replaces instances of the old version with the new version gradually, keeping part of the service available throughout.</t>
        </is>
      </c>
      <c r="Q15" s="17" t="n"/>
      <c r="R15" s="18" t="inlineStr">
        <is>
          <t>A few instances are updated, checked for health, and then the next group is updated. Load balancers keep traffic away from instances being replaced. If health checks fail, the rollout stops. There is no extra full environment to pay for. The weakness is that two versions run at once, so database changes must be compatible with both.</t>
        </is>
      </c>
      <c r="S15" s="18" t="inlineStr">
        <is>
          <t>Update a few servers at a time, check health, and continue.</t>
        </is>
      </c>
      <c r="T15" s="18" t="inlineStr">
        <is>
          <t>It is like changing a bus's tyres one wheel at a time while it keeps moving.</t>
        </is>
      </c>
      <c r="U15" s="18" t="inlineStr">
        <is>
          <t>Replace a batch, check health, repeat.</t>
        </is>
      </c>
      <c r="V15" s="18" t="inlineStr">
        <is>
          <t>Updating two of ten servers at a time.</t>
        </is>
      </c>
      <c r="W15" s="18" t="inlineStr">
        <is>
          <t>A rollout that pauses when health checks fail.</t>
        </is>
      </c>
      <c r="X15" s="18" t="inlineStr">
        <is>
          <t>A Kubernetes deployment updating pods gradually.</t>
        </is>
      </c>
      <c r="Y15" s="18" t="inlineStr">
        <is>
          <t>blue-green, canary, health checks, rollbacks</t>
        </is>
      </c>
      <c r="Z15" s="18" t="inlineStr">
        <is>
          <t>rollout, batch, health check, surge, availability</t>
        </is>
      </c>
      <c r="AA15" s="18" t="inlineStr">
        <is>
          <t>Web services | Kubernetes | Server fleets</t>
        </is>
      </c>
      <c r="AB15" s="18" t="inlineStr">
        <is>
          <t>A: Can we deploy without downtime? | B: Yes, with a rolling update behind a load balancer.</t>
        </is>
      </c>
      <c r="AC15" s="18" t="inlineStr">
        <is>
          <t>✗ Rolling deployments never have two versions running → ✓ Old and new versions run side by side during the rollout</t>
        </is>
      </c>
      <c r="AD15" s="18" t="inlineStr">
        <is>
          <t>Rolling vs blue-green: rolling updates in place in batches, blue-green switches between two full environments.</t>
        </is>
      </c>
      <c r="AE15" s="18" t="inlineStr">
        <is>
          <t>Do not ship changes that break the old version while it is still running.</t>
        </is>
      </c>
      <c r="AF15" s="18" t="inlineStr">
        <is>
          <t>Few at a time, check each batch.</t>
        </is>
      </c>
      <c r="AG15" s="18" t="inlineStr">
        <is>
          <t>Switching a service to rolling updates and removing the maintenance downtime.</t>
        </is>
      </c>
      <c r="AH15" s="18" t="inlineStr">
        <is>
          <t>An interviewer may ask: What is the risk of a rolling deployment?</t>
        </is>
      </c>
      <c r="AI15" s="18" t="inlineStr">
        <is>
          <t>It is like changing tyres one wheel at a time.</t>
        </is>
      </c>
      <c r="AJ15" s="18" t="inlineStr">
        <is>
          <t>What is the main risk of rolling updates?</t>
        </is>
      </c>
      <c r="AK15" s="18" t="inlineStr">
        <is>
          <t>A) No servers are updated B) Two versions run at once C) The load balancer is removed D) Tests are skipped</t>
        </is>
      </c>
      <c r="AL15" s="18" t="inlineStr">
        <is>
          <t>B</t>
        </is>
      </c>
      <c r="AM15" s="18" t="inlineStr">
        <is>
          <t>During the rollout both versions serve traffic.</t>
        </is>
      </c>
      <c r="AN15" s="18" t="inlineStr">
        <is>
          <t>A check that decides whether to continue a rollout is a ____ check → health</t>
        </is>
      </c>
      <c r="AO15" s="18" t="inlineStr">
        <is>
          <t>You need zero downtime without paying for a second full environment. Which strategy? → A rolling deployment</t>
        </is>
      </c>
      <c r="AP15" s="18" t="inlineStr">
        <is>
          <t>Explain rolling deployments in three lines.</t>
        </is>
      </c>
      <c r="AQ15" s="18" t="inlineStr">
        <is>
          <t>List two conditions for a safe rolling update.</t>
        </is>
      </c>
      <c r="AR15" s="17">
        <f>IF(J15="","",REPT("★",J15)&amp;REPT("☆",5-J15)&amp;" ("&amp;J15&amp;"/5)")</f>
        <v/>
      </c>
      <c r="AS15" s="17">
        <f>IF(Q15="","","Meaning: "&amp;Q15&amp;"  =  ______   (Answer: "&amp;F15&amp;")")</f>
        <v/>
      </c>
      <c r="AT15" s="17" t="inlineStr">
        <is>
          <t>New</t>
        </is>
      </c>
      <c r="AU15" s="17" t="n"/>
      <c r="AV15" s="17" t="n"/>
      <c r="AW15" s="17" t="n"/>
      <c r="AX15" s="17" t="n"/>
      <c r="AY15" s="17" t="n"/>
      <c r="AZ15" s="17" t="n"/>
      <c r="BA15" s="17" t="n"/>
      <c r="BB15" s="17" t="n"/>
    </row>
    <row r="16" ht="94.5" customHeight="1">
      <c r="A16" s="17" t="inlineStr">
        <is>
          <t>CICD-024</t>
        </is>
      </c>
      <c r="B16" s="17" t="inlineStr">
        <is>
          <t>04 Deployment</t>
        </is>
      </c>
      <c r="C16" s="17" t="inlineStr">
        <is>
          <t>Intermediate</t>
        </is>
      </c>
      <c r="D16" s="17" t="n">
        <v>24</v>
      </c>
      <c r="E16" s="17" t="inlineStr">
        <is>
          <t>Claude knowledge</t>
        </is>
      </c>
      <c r="F16" s="18" t="inlineStr">
        <is>
          <t>Blue-green deployments</t>
        </is>
      </c>
      <c r="G16" s="18" t="inlineStr">
        <is>
          <t>Which strategy keeps two full environments and switches traffic from one to the other?</t>
        </is>
      </c>
      <c r="H16" s="18" t="inlineStr">
        <is>
          <t>Core concept</t>
        </is>
      </c>
      <c r="I16" s="18" t="inlineStr">
        <is>
          <t>High</t>
        </is>
      </c>
      <c r="J16" s="18" t="n">
        <v>4</v>
      </c>
      <c r="K16" s="18" t="inlineStr">
        <is>
          <t>Teams wanted instant switching and an instant way back, so they kept two identical environments side by side.</t>
        </is>
      </c>
      <c r="L16" s="18" t="inlineStr">
        <is>
          <t>Switch traffic at the load balancer or DNS, and keep the old environment until you are sure.</t>
        </is>
      </c>
      <c r="M16" s="18" t="inlineStr">
        <is>
          <t>Blue-green is two stages, with the audience moved from one to the other in a moment.</t>
        </is>
      </c>
      <c r="N16" s="18" t="inlineStr">
        <is>
          <t>Two boxes labelled blue and green with an arrow switching between them.</t>
        </is>
      </c>
      <c r="O16" s="18" t="inlineStr">
        <is>
          <t>The confidence of an instant way back.</t>
        </is>
      </c>
      <c r="P16" s="18" t="inlineStr">
        <is>
          <t>A blue-green deployment runs the new version in a separate full environment and then switches all traffic to it, keeping the old one ready for rollback.</t>
        </is>
      </c>
      <c r="Q16" s="17" t="n"/>
      <c r="R16" s="18" t="inlineStr">
        <is>
          <t>Blue is live and green holds the new version. After testing green, traffic is moved over in one step. If something fails, traffic switches back to blue. It needs double the capacity during the switch, and databases must work with both versions. Shared data and in-flight sessions need planning.</t>
        </is>
      </c>
      <c r="S16" s="18" t="inlineStr">
        <is>
          <t>Build the new version next to the old, test it, then switch traffic, and switch back if needed.</t>
        </is>
      </c>
      <c r="T16" s="18" t="inlineStr">
        <is>
          <t>It is two stages, with the audience moved from one to the other in a moment.</t>
        </is>
      </c>
      <c r="U16" s="18" t="inlineStr">
        <is>
          <t>Deploy to idle → test → switch → keep old for rollback.</t>
        </is>
      </c>
      <c r="V16" s="18" t="inlineStr">
        <is>
          <t>Switching a load balancer from the blue pool to the green pool.</t>
        </is>
      </c>
      <c r="W16" s="18" t="inlineStr">
        <is>
          <t>Rolling back by pointing traffic to the old pool again.</t>
        </is>
      </c>
      <c r="X16" s="18" t="inlineStr">
        <is>
          <t>Testing green with internal traffic before the switch.</t>
        </is>
      </c>
      <c r="Y16" s="18" t="inlineStr">
        <is>
          <t>rolling, canary, rollbacks, DNS and load balancers</t>
        </is>
      </c>
      <c r="Z16" s="18" t="inlineStr">
        <is>
          <t>blue, green, switch, cutover, idle</t>
        </is>
      </c>
      <c r="AA16" s="18" t="inlineStr">
        <is>
          <t>Critical services | Fast rollback needs | Cloud platforms</t>
        </is>
      </c>
      <c r="AB16" s="18" t="inlineStr">
        <is>
          <t>A: Can we roll back instantly if it fails? | B: Yes, with blue-green we just switch back.</t>
        </is>
      </c>
      <c r="AC16" s="18" t="inlineStr">
        <is>
          <t>✗ Blue-green solves database changes by itself → ✓ The database must be compatible with both versions during the switch</t>
        </is>
      </c>
      <c r="AD16" s="18" t="inlineStr">
        <is>
          <t>Blue-green vs canary: blue-green switches all traffic, canary shifts a small share first.</t>
        </is>
      </c>
      <c r="AE16" s="18" t="inlineStr">
        <is>
          <t>Do not delete the old environment right after the switch.</t>
        </is>
      </c>
      <c r="AF16" s="18" t="inlineStr">
        <is>
          <t>Two stages, one switch, easy way back.</t>
        </is>
      </c>
      <c r="AG16" s="18" t="inlineStr">
        <is>
          <t>Using blue-green so a payment service could be rolled back in seconds.</t>
        </is>
      </c>
      <c r="AH16" s="18" t="inlineStr">
        <is>
          <t>An interviewer may ask: What is the cost of blue-green?</t>
        </is>
      </c>
      <c r="AI16" s="18" t="inlineStr">
        <is>
          <t>It is like moving an audience between two stages.</t>
        </is>
      </c>
      <c r="AJ16" s="18" t="inlineStr">
        <is>
          <t>What is the main benefit of blue-green?</t>
        </is>
      </c>
      <c r="AK16" s="18" t="inlineStr">
        <is>
          <t>A) Lower cost B) No need for tests C) Instant rollback by switching back D) No load balancer</t>
        </is>
      </c>
      <c r="AL16" s="18" t="inlineStr">
        <is>
          <t>C</t>
        </is>
      </c>
      <c r="AM16" s="18" t="inlineStr">
        <is>
          <t>The old environment stays ready.</t>
        </is>
      </c>
      <c r="AN16" s="18" t="inlineStr">
        <is>
          <t>Moving all traffic to the new version is called the ____ → cutover</t>
        </is>
      </c>
      <c r="AO16" s="18" t="inlineStr">
        <is>
          <t>You need an instant way back. Which strategy? → Blue-green</t>
        </is>
      </c>
      <c r="AP16" s="18" t="inlineStr">
        <is>
          <t>Explain blue-green deployments in three lines.</t>
        </is>
      </c>
      <c r="AQ16" s="18" t="inlineStr">
        <is>
          <t>List the steps of a blue-green release.</t>
        </is>
      </c>
      <c r="AR16" s="17">
        <f>IF(J16="","",REPT("★",J16)&amp;REPT("☆",5-J16)&amp;" ("&amp;J16&amp;"/5)")</f>
        <v/>
      </c>
      <c r="AS16" s="17">
        <f>IF(Q16="","","Meaning: "&amp;Q16&amp;"  =  ______   (Answer: "&amp;F16&amp;")")</f>
        <v/>
      </c>
      <c r="AT16" s="17" t="inlineStr">
        <is>
          <t>New</t>
        </is>
      </c>
      <c r="AU16" s="17" t="n"/>
      <c r="AV16" s="17" t="n"/>
      <c r="AW16" s="17" t="n"/>
      <c r="AX16" s="17" t="n"/>
      <c r="AY16" s="17" t="n"/>
      <c r="AZ16" s="17" t="n"/>
      <c r="BA16" s="17" t="n"/>
      <c r="BB16" s="17" t="n"/>
    </row>
    <row r="17" ht="108" customHeight="1">
      <c r="A17" s="17" t="inlineStr">
        <is>
          <t>CICD-025</t>
        </is>
      </c>
      <c r="B17" s="17" t="inlineStr">
        <is>
          <t>04 Deployment</t>
        </is>
      </c>
      <c r="C17" s="17" t="inlineStr">
        <is>
          <t>Advanced</t>
        </is>
      </c>
      <c r="D17" s="17" t="n">
        <v>25</v>
      </c>
      <c r="E17" s="17" t="inlineStr">
        <is>
          <t>Claude knowledge</t>
        </is>
      </c>
      <c r="F17" s="18" t="inlineStr">
        <is>
          <t>Canary releases</t>
        </is>
      </c>
      <c r="G17" s="18" t="inlineStr">
        <is>
          <t>Which strategy sends a small share of traffic to the new version first?</t>
        </is>
      </c>
      <c r="H17" s="18" t="inlineStr">
        <is>
          <t>Core concept</t>
        </is>
      </c>
      <c r="I17" s="18" t="inlineStr">
        <is>
          <t>High</t>
        </is>
      </c>
      <c r="J17" s="18" t="n">
        <v>4</v>
      </c>
      <c r="K17" s="18" t="inlineStr">
        <is>
          <t>Miners once took canaries underground to detect danger, so teams send a small group of users to the new version to detect problems early.</t>
        </is>
      </c>
      <c r="L17" s="18" t="inlineStr">
        <is>
          <t>Watch error rate and latency, and set automatic rollback conditions.</t>
        </is>
      </c>
      <c r="M17" s="18" t="inlineStr">
        <is>
          <t>The canary is the small test group that tells you whether the mine is safe.</t>
        </is>
      </c>
      <c r="N17" s="18" t="inlineStr">
        <is>
          <t>A traffic split showing five percent on the new version and ninety-five on the old.</t>
        </is>
      </c>
      <c r="O17" s="18" t="inlineStr">
        <is>
          <t>The comfort of testing with a few users first.</t>
        </is>
      </c>
      <c r="P17" s="18" t="inlineStr">
        <is>
          <t>A canary release routes a small percentage of traffic to the new version, watches its health, and increases the share only if it behaves well.</t>
        </is>
      </c>
      <c r="Q17" s="17" t="n"/>
      <c r="R17" s="18" t="inlineStr">
        <is>
          <t>Typical steps are one, five, twenty-five and a hundred percent. Metrics such as errors and latency are compared between old and new. If they worsen, traffic returns to the old version. It needs good monitoring and traffic control, from a load balancer, mesh or flag system. It limits the number of users hurt by a bug.</t>
        </is>
      </c>
      <c r="S17" s="18" t="inlineStr">
        <is>
          <t>Send a few users to the new version, watch the metrics, and grow or stop.</t>
        </is>
      </c>
      <c r="T17" s="18" t="inlineStr">
        <is>
          <t>The canary is the small test group that tells you whether the mine is safe.</t>
        </is>
      </c>
      <c r="U17" s="18" t="inlineStr">
        <is>
          <t>Small share → measure → grow or roll back.</t>
        </is>
      </c>
      <c r="V17" s="18" t="inlineStr">
        <is>
          <t>Five percent of requests routed to version two.</t>
        </is>
      </c>
      <c r="W17" s="18" t="inlineStr">
        <is>
          <t>Automatic rollback when the error rate rises.</t>
        </is>
      </c>
      <c r="X17" s="18" t="inlineStr">
        <is>
          <t>Canary only for internal users first.</t>
        </is>
      </c>
      <c r="Y17" s="18" t="inlineStr">
        <is>
          <t>rolling, blue-green, feature flags, monitoring</t>
        </is>
      </c>
      <c r="Z17" s="18" t="inlineStr">
        <is>
          <t>canary, traffic split, percentage, metrics, promotion</t>
        </is>
      </c>
      <c r="AA17" s="18" t="inlineStr">
        <is>
          <t>Large services | Risky changes | Platforms with traffic control</t>
        </is>
      </c>
      <c r="AB17" s="18" t="inlineStr">
        <is>
          <t>A: How do we limit damage from a bad release? | B: Release to five percent first and watch.</t>
        </is>
      </c>
      <c r="AC17" s="18" t="inlineStr">
        <is>
          <t>✗ Canary releases need no monitoring → ✓ They depend on metrics to decide whether to continue</t>
        </is>
      </c>
      <c r="AD17" s="18" t="inlineStr">
        <is>
          <t>Canary vs rolling: canary controls the traffic share by percent, rolling replaces instances in batches.</t>
        </is>
      </c>
      <c r="AE17" s="18" t="inlineStr">
        <is>
          <t>Do not run a canary without clear success metrics.</t>
        </is>
      </c>
      <c r="AF17" s="18" t="inlineStr">
        <is>
          <t>A few users first, then the rest.</t>
        </is>
      </c>
      <c r="AG17" s="18" t="inlineStr">
        <is>
          <t>Releasing a new pricing service to five percent of traffic before full rollout.</t>
        </is>
      </c>
      <c r="AH17" s="18" t="inlineStr">
        <is>
          <t>An interviewer may ask: How would you release a risky change safely?</t>
        </is>
      </c>
      <c r="AI17" s="18" t="inlineStr">
        <is>
          <t>It is like testing with a small group first.</t>
        </is>
      </c>
      <c r="AJ17" s="18" t="inlineStr">
        <is>
          <t>What decides whether a canary continues?</t>
        </is>
      </c>
      <c r="AK17" s="18" t="inlineStr">
        <is>
          <t>A) The time of day B) The branch name C) The commit message D) Metrics such as error rate</t>
        </is>
      </c>
      <c r="AL17" s="18" t="inlineStr">
        <is>
          <t>D</t>
        </is>
      </c>
      <c r="AM17" s="18" t="inlineStr">
        <is>
          <t>Health metrics show whether the new version is safe.</t>
        </is>
      </c>
      <c r="AN17" s="18" t="inlineStr">
        <is>
          <t>The small test group that receives the new version first is named after a bird, the ____ → canary</t>
        </is>
      </c>
      <c r="AO17" s="18" t="inlineStr">
        <is>
          <t>A risky change should reach few users first. Which strategy? → A canary release</t>
        </is>
      </c>
      <c r="AP17" s="18" t="inlineStr">
        <is>
          <t>Explain canary releases in three lines.</t>
        </is>
      </c>
      <c r="AQ17" s="18" t="inlineStr">
        <is>
          <t>Write the steps and metrics for a canary rollout.</t>
        </is>
      </c>
      <c r="AR17" s="17">
        <f>IF(J17="","",REPT("★",J17)&amp;REPT("☆",5-J17)&amp;" ("&amp;J17&amp;"/5)")</f>
        <v/>
      </c>
      <c r="AS17" s="17">
        <f>IF(Q17="","","Meaning: "&amp;Q17&amp;"  =  ______   (Answer: "&amp;F17&amp;")")</f>
        <v/>
      </c>
      <c r="AT17" s="17" t="inlineStr">
        <is>
          <t>New</t>
        </is>
      </c>
      <c r="AU17" s="17" t="n"/>
      <c r="AV17" s="17" t="n"/>
      <c r="AW17" s="17" t="n"/>
      <c r="AX17" s="17" t="n"/>
      <c r="AY17" s="17" t="n"/>
      <c r="AZ17" s="17" t="n"/>
      <c r="BA17" s="17" t="n"/>
      <c r="BB17" s="17" t="n"/>
    </row>
    <row r="18" ht="108" customHeight="1">
      <c r="A18" s="17" t="inlineStr">
        <is>
          <t>CICD-026</t>
        </is>
      </c>
      <c r="B18" s="17" t="inlineStr">
        <is>
          <t>04 Deployment</t>
        </is>
      </c>
      <c r="C18" s="17" t="inlineStr">
        <is>
          <t>Intermediate</t>
        </is>
      </c>
      <c r="D18" s="17" t="n">
        <v>26</v>
      </c>
      <c r="E18" s="17" t="inlineStr">
        <is>
          <t>Claude knowledge</t>
        </is>
      </c>
      <c r="F18" s="18" t="inlineStr">
        <is>
          <t>Rollbacks</t>
        </is>
      </c>
      <c r="G18" s="18" t="inlineStr">
        <is>
          <t>How do you quickly return to the last good version when a release fails?</t>
        </is>
      </c>
      <c r="H18" s="18" t="inlineStr">
        <is>
          <t>Core concept</t>
        </is>
      </c>
      <c r="I18" s="18" t="inlineStr">
        <is>
          <t>Very high</t>
        </is>
      </c>
      <c r="J18" s="18" t="n">
        <v>5</v>
      </c>
      <c r="K18" s="18" t="inlineStr">
        <is>
          <t>Releases sometimes fail, so the ability to go back fast became as important as the ability to go forward.</t>
        </is>
      </c>
      <c r="L18" s="18" t="inlineStr">
        <is>
          <t>Practise rollbacks, and keep the previous artifact available.</t>
        </is>
      </c>
      <c r="M18" s="18" t="inlineStr">
        <is>
          <t>A rollback is the undo button, which works only if you saved the previous version.</t>
        </is>
      </c>
      <c r="N18" s="18" t="inlineStr">
        <is>
          <t>An arrow returning from version 2 to version 1.</t>
        </is>
      </c>
      <c r="O18" s="18" t="inlineStr">
        <is>
          <t>The calm of a fast undo.</t>
        </is>
      </c>
      <c r="P18" s="18" t="inlineStr">
        <is>
          <t>A rollback restores the previous working version of an application after a bad release, usually by redeploying the earlier artifact.</t>
        </is>
      </c>
      <c r="Q18" s="17" t="n"/>
      <c r="R18" s="18" t="inlineStr">
        <is>
          <t>With immutable, versioned artifacts, rollback means deploying the old tag again. Blue-green offers an instant switch back, and canaries stop and revert. Database changes complicate it, since data written by the new version may not fit the old one. Use backward-compatible changes in steps. Decide beforehand who may trigger a rollback and how.</t>
        </is>
      </c>
      <c r="S18" s="18" t="inlineStr">
        <is>
          <t>Keep the previous artifact, deploy it again, and design database changes so going back is safe.</t>
        </is>
      </c>
      <c r="T18" s="18" t="inlineStr">
        <is>
          <t>A rollback is the undo button that works only if you saved the previous version.</t>
        </is>
      </c>
      <c r="U18" s="18" t="inlineStr">
        <is>
          <t>Versioned artifact + compatible data = easy rollback.</t>
        </is>
      </c>
      <c r="V18" s="18" t="inlineStr">
        <is>
          <t>Redeploying image tag 1.4.2 after 1.4.3 failed.</t>
        </is>
      </c>
      <c r="W18" s="18" t="inlineStr">
        <is>
          <t>Switching traffic back to the blue environment.</t>
        </is>
      </c>
      <c r="X18" s="18" t="inlineStr">
        <is>
          <t>A migration that only adds a column, which is safe for the old version.</t>
        </is>
      </c>
      <c r="Y18" s="18" t="inlineStr">
        <is>
          <t>blue-green, build artifacts, database migrations, release tagging</t>
        </is>
      </c>
      <c r="Z18" s="18" t="inlineStr">
        <is>
          <t>rollback, revert, previous version, undo, roll forward</t>
        </is>
      </c>
      <c r="AA18" s="18" t="inlineStr">
        <is>
          <t>Incidents | Release planning | Runbooks</t>
        </is>
      </c>
      <c r="AB18" s="18" t="inlineStr">
        <is>
          <t>A: Version 1.4.3 broke checkout. | B: Redeploy 1.4.2 now and investigate after.</t>
        </is>
      </c>
      <c r="AC18" s="18" t="inlineStr">
        <is>
          <t>✗ A rollback is always possible after any release → ✓ Data and schema changes can make going back unsafe</t>
        </is>
      </c>
      <c r="AD18" s="18" t="inlineStr">
        <is>
          <t>Rollback vs roll forward: rollback returns to the old version, roll forward ships a quick fix.</t>
        </is>
      </c>
      <c r="AE18" s="18" t="inlineStr">
        <is>
          <t>Do not delete old artifacts that you may need to restore.</t>
        </is>
      </c>
      <c r="AF18" s="18" t="inlineStr">
        <is>
          <t>Keep the old version one command away.</t>
        </is>
      </c>
      <c r="AG18" s="18" t="inlineStr">
        <is>
          <t>Rolling back a failed release in two minutes by redeploying the previous image tag.</t>
        </is>
      </c>
      <c r="AH18" s="18" t="inlineStr">
        <is>
          <t>An interviewer may ask: How do you make rollbacks safe with database changes?</t>
        </is>
      </c>
      <c r="AI18" s="18" t="inlineStr">
        <is>
          <t>It is like an undo button that needs a saved copy.</t>
        </is>
      </c>
      <c r="AJ18" s="18" t="inlineStr">
        <is>
          <t>What makes rollback easy?</t>
        </is>
      </c>
      <c r="AK18" s="18" t="inlineStr">
        <is>
          <t>A) Rebuilding from the branch B) Deleting old images C) Versioned, immutable artifacts D) Editing the server by hand</t>
        </is>
      </c>
      <c r="AL18" s="18" t="inlineStr">
        <is>
          <t>C</t>
        </is>
      </c>
      <c r="AM18" s="18" t="inlineStr">
        <is>
          <t>The old version can simply be deployed again.</t>
        </is>
      </c>
      <c r="AN18" s="18" t="inlineStr">
        <is>
          <t>Shipping a quick fix instead of reverting is rolling ____ → forward</t>
        </is>
      </c>
      <c r="AO18" s="18" t="inlineStr">
        <is>
          <t>A release broke checkout. What is the fastest safe action? → Redeploy the previous version</t>
        </is>
      </c>
      <c r="AP18" s="18" t="inlineStr">
        <is>
          <t>Explain rollbacks in three lines.</t>
        </is>
      </c>
      <c r="AQ18" s="18" t="inlineStr">
        <is>
          <t>Write a short rollback runbook for an API.</t>
        </is>
      </c>
      <c r="AR18" s="17">
        <f>IF(J18="","",REPT("★",J18)&amp;REPT("☆",5-J18)&amp;" ("&amp;J18&amp;"/5)")</f>
        <v/>
      </c>
      <c r="AS18" s="17">
        <f>IF(Q18="","","Meaning: "&amp;Q18&amp;"  =  ______   (Answer: "&amp;F18&amp;")")</f>
        <v/>
      </c>
      <c r="AT18" s="17" t="inlineStr">
        <is>
          <t>New</t>
        </is>
      </c>
      <c r="AU18" s="17" t="n"/>
      <c r="AV18" s="17" t="n"/>
      <c r="AW18" s="17" t="n"/>
      <c r="AX18" s="17" t="n"/>
      <c r="AY18" s="17" t="n"/>
      <c r="AZ18" s="17" t="n"/>
      <c r="BA18" s="17" t="n"/>
      <c r="BB18" s="17" t="n"/>
    </row>
    <row r="19" ht="108" customHeight="1">
      <c r="A19" s="17" t="inlineStr">
        <is>
          <t>CICD-027</t>
        </is>
      </c>
      <c r="B19" s="17" t="inlineStr">
        <is>
          <t>04 Deployment</t>
        </is>
      </c>
      <c r="C19" s="17" t="inlineStr">
        <is>
          <t>Intermediate</t>
        </is>
      </c>
      <c r="D19" s="17" t="n">
        <v>27</v>
      </c>
      <c r="E19" s="17" t="inlineStr">
        <is>
          <t>Claude knowledge</t>
        </is>
      </c>
      <c r="F19" s="18" t="inlineStr">
        <is>
          <t>Feature flags</t>
        </is>
      </c>
      <c r="G19" s="18" t="inlineStr">
        <is>
          <t>Which switches let you turn features on or off without deploying new code?</t>
        </is>
      </c>
      <c r="H19" s="18" t="inlineStr">
        <is>
          <t>Core concept</t>
        </is>
      </c>
      <c r="I19" s="18" t="inlineStr">
        <is>
          <t>High</t>
        </is>
      </c>
      <c r="J19" s="18" t="n">
        <v>4</v>
      </c>
      <c r="K19" s="18" t="inlineStr">
        <is>
          <t>Deploying and releasing were tied together, so flags were introduced to separate shipping code from showing a feature.</t>
        </is>
      </c>
      <c r="L19" s="18" t="inlineStr">
        <is>
          <t>Remove a flag after the feature is fully released, or it becomes clutter.</t>
        </is>
      </c>
      <c r="M19" s="18" t="inlineStr">
        <is>
          <t>A feature flag is a light switch wired in before the room is open.</t>
        </is>
      </c>
      <c r="N19" s="18" t="inlineStr">
        <is>
          <t>A toggle controlling a new button in the interface.</t>
        </is>
      </c>
      <c r="O19" s="18" t="inlineStr">
        <is>
          <t>The comfort of turning a bad feature off in seconds.</t>
        </is>
      </c>
      <c r="P19" s="18" t="inlineStr">
        <is>
          <t>A feature flag is a runtime switch that enables or disables a feature, possibly for chosen users, without deploying new code.</t>
        </is>
      </c>
      <c r="Q19" s="17" t="n"/>
      <c r="R19" s="18" t="inlineStr">
        <is>
          <t>Code for a new feature is merged and deployed hidden behind a flag. The flag is then enabled for staff, a small group, or everyone. If problems appear, turning the flag off is faster than a rollback. Flags can be stored in config files or in a flag service. Old flags should be cleaned up, since each adds complexity and testing paths.</t>
        </is>
      </c>
      <c r="S19" s="18" t="inlineStr">
        <is>
          <t>Ship the code turned off, enable it gradually, and switch it off instantly if needed.</t>
        </is>
      </c>
      <c r="T19" s="18" t="inlineStr">
        <is>
          <t>It is a light switch wired in before the room opens.</t>
        </is>
      </c>
      <c r="U19" s="18" t="inlineStr">
        <is>
          <t>Deploy hidden, release by flag, remove when done.</t>
        </is>
      </c>
      <c r="V19" s="18" t="inlineStr">
        <is>
          <t>A new checkout page visible to ten percent of users.</t>
        </is>
      </c>
      <c r="W19" s="18" t="inlineStr">
        <is>
          <t>A kill switch disabling a failing integration.</t>
        </is>
      </c>
      <c r="X19" s="18" t="inlineStr">
        <is>
          <t>A flag enabled for internal staff only.</t>
        </is>
      </c>
      <c r="Y19" s="18" t="inlineStr">
        <is>
          <t>canary releases, rollbacks, trunk-based development, release tagging</t>
        </is>
      </c>
      <c r="Z19" s="18" t="inlineStr">
        <is>
          <t>flag, toggle, kill switch, rollout, targeting</t>
        </is>
      </c>
      <c r="AA19" s="18" t="inlineStr">
        <is>
          <t>Gradual releases | Experiments | Emergency switches</t>
        </is>
      </c>
      <c r="AB19" s="18" t="inlineStr">
        <is>
          <t>A: The new search is broken. | B: Turn off its flag while we fix it.</t>
        </is>
      </c>
      <c r="AC19" s="18" t="inlineStr">
        <is>
          <t>✗ Feature flags are free of cost → ✓ Each flag adds code paths and must be cleaned up</t>
        </is>
      </c>
      <c r="AD19" s="18" t="inlineStr">
        <is>
          <t>Deploy vs release: deploy puts code on servers, release makes the feature available.</t>
        </is>
      </c>
      <c r="AE19" s="18" t="inlineStr">
        <is>
          <t>Do not leave stale flags in the code for years.</t>
        </is>
      </c>
      <c r="AF19" s="18" t="inlineStr">
        <is>
          <t>Deploy dark, release by switch.</t>
        </is>
      </c>
      <c r="AG19" s="18" t="inlineStr">
        <is>
          <t>Hiding a new report behind a flag and enabling it for one customer first.</t>
        </is>
      </c>
      <c r="AH19" s="18" t="inlineStr">
        <is>
          <t>An interviewer may ask: What is the difference between deploying and releasing?</t>
        </is>
      </c>
      <c r="AI19" s="18" t="inlineStr">
        <is>
          <t>It is like a switch wired before opening.</t>
        </is>
      </c>
      <c r="AJ19" s="18" t="inlineStr">
        <is>
          <t>What does a feature flag separate?</t>
        </is>
      </c>
      <c r="AK19" s="18" t="inlineStr">
        <is>
          <t>A) Tests from code B) Deploying code from releasing a feature C) Dev from prod D) Users from admins</t>
        </is>
      </c>
      <c r="AL19" s="18" t="inlineStr">
        <is>
          <t>B</t>
        </is>
      </c>
      <c r="AM19" s="18" t="inlineStr">
        <is>
          <t>Code can be live while the feature stays hidden.</t>
        </is>
      </c>
      <c r="AN19" s="18" t="inlineStr">
        <is>
          <t>A flag that quickly disables a failing feature is a kill ____ → switch</t>
        </is>
      </c>
      <c r="AO19" s="18" t="inlineStr">
        <is>
          <t>A new feature is risky. How can you ship code but hide the feature? → Use a feature flag</t>
        </is>
      </c>
      <c r="AP19" s="18" t="inlineStr">
        <is>
          <t>Explain feature flags in three lines.</t>
        </is>
      </c>
      <c r="AQ19" s="18" t="inlineStr">
        <is>
          <t>List two benefits and one risk of feature flags.</t>
        </is>
      </c>
      <c r="AR19" s="17">
        <f>IF(J19="","",REPT("★",J19)&amp;REPT("☆",5-J19)&amp;" ("&amp;J19&amp;"/5)")</f>
        <v/>
      </c>
      <c r="AS19" s="17">
        <f>IF(Q19="","","Meaning: "&amp;Q19&amp;"  =  ______   (Answer: "&amp;F19&amp;")")</f>
        <v/>
      </c>
      <c r="AT19" s="17" t="inlineStr">
        <is>
          <t>New</t>
        </is>
      </c>
      <c r="AU19" s="17" t="n"/>
      <c r="AV19" s="17" t="n"/>
      <c r="AW19" s="17" t="n"/>
      <c r="AX19" s="17" t="n"/>
      <c r="AY19" s="17" t="n"/>
      <c r="AZ19" s="17" t="n"/>
      <c r="BA19" s="17" t="n"/>
      <c r="BB19" s="17" t="n"/>
    </row>
    <row r="20" ht="108" customHeight="1">
      <c r="A20" s="17" t="inlineStr">
        <is>
          <t>CICD-028</t>
        </is>
      </c>
      <c r="B20" s="17" t="inlineStr">
        <is>
          <t>04 Deployment</t>
        </is>
      </c>
      <c r="C20" s="17" t="inlineStr">
        <is>
          <t>Advanced</t>
        </is>
      </c>
      <c r="D20" s="17" t="n">
        <v>28</v>
      </c>
      <c r="E20" s="17" t="inlineStr">
        <is>
          <t>Claude knowledge</t>
        </is>
      </c>
      <c r="F20" s="18" t="inlineStr">
        <is>
          <t>Database migrations in pipelines</t>
        </is>
      </c>
      <c r="G20" s="18" t="inlineStr">
        <is>
          <t>How do you change a database schema safely as part of a release?</t>
        </is>
      </c>
      <c r="H20" s="18" t="inlineStr">
        <is>
          <t>Core concept</t>
        </is>
      </c>
      <c r="I20" s="18" t="inlineStr">
        <is>
          <t>High</t>
        </is>
      </c>
      <c r="J20" s="18" t="n">
        <v>5</v>
      </c>
      <c r="K20" s="18" t="inlineStr">
        <is>
          <t>Code and database must change together, so schema changes were written as versioned scripts that run in the pipeline.</t>
        </is>
      </c>
      <c r="L20" s="18" t="inlineStr">
        <is>
          <t>Split risky changes into small steps that old and new code can both handle.</t>
        </is>
      </c>
      <c r="M20" s="18" t="inlineStr">
        <is>
          <t>Migrations are numbered steps on a staircase that the database climbs in order.</t>
        </is>
      </c>
      <c r="N20" s="18" t="inlineStr">
        <is>
          <t>A staircase made of numbered migration files, one per step.</t>
        </is>
      </c>
      <c r="O20" s="18" t="inlineStr">
        <is>
          <t>The relief of schema changes that do not break the live app.</t>
        </is>
      </c>
      <c r="P20" s="18" t="inlineStr">
        <is>
          <t>A database migration is a versioned script that changes the schema, and pipelines apply migrations in order before or during a release.</t>
        </is>
      </c>
      <c r="Q20" s="17" t="n"/>
      <c r="R20" s="18" t="inlineStr">
        <is>
          <t>Tools such as Alembic, Flyway or Prisma Migrate keep a table that records which migrations ran. The safest pattern is expand and contract. First add a new column, deploy code that writes both, move data, switch reads and only later remove the old column. Destructive changes need backups. Long locks can block production, so large changes need care.</t>
        </is>
      </c>
      <c r="S20" s="18" t="inlineStr">
        <is>
          <t>Use versioned migrations, make each step compatible with both code versions, and back up before destructive changes.</t>
        </is>
      </c>
      <c r="T20" s="18" t="inlineStr">
        <is>
          <t>Migrations are numbered steps on a staircase that the database climbs in order.</t>
        </is>
      </c>
      <c r="U20" s="18" t="inlineStr">
        <is>
          <t>Expand, migrate data, switch, then contract.</t>
        </is>
      </c>
      <c r="V20" s="18" t="inlineStr">
        <is>
          <t>Adding a nullable column before the code uses it.</t>
        </is>
      </c>
      <c r="W20" s="18" t="inlineStr">
        <is>
          <t>Backfilling data in batches.</t>
        </is>
      </c>
      <c r="X20" s="18" t="inlineStr">
        <is>
          <t>Dropping an old column two releases later.</t>
        </is>
      </c>
      <c r="Y20" s="18" t="inlineStr">
        <is>
          <t>rollbacks, blue-green, backups, canary releases</t>
        </is>
      </c>
      <c r="Z20" s="18" t="inlineStr">
        <is>
          <t>migration, schema, expand and contract, backfill, lock</t>
        </is>
      </c>
      <c r="AA20" s="18" t="inlineStr">
        <is>
          <t>Every data-backed app | Releases | Upgrades</t>
        </is>
      </c>
      <c r="AB20" s="18" t="inlineStr">
        <is>
          <t>A: The new code needs a renamed column. | B: Add the new one first, then remove the old later.</t>
        </is>
      </c>
      <c r="AC20" s="18" t="inlineStr">
        <is>
          <t>✗ Renaming a column in one step is safe → ✓ A rename breaks the old version still running, so do it in steps</t>
        </is>
      </c>
      <c r="AD20" s="18" t="inlineStr">
        <is>
          <t>Expand vs contract: expand adds, contract removes what is no longer used.</t>
        </is>
      </c>
      <c r="AE20" s="18" t="inlineStr">
        <is>
          <t>Do not drop a column in the same release that stops using it.</t>
        </is>
      </c>
      <c r="AF20" s="18" t="inlineStr">
        <is>
          <t>Add first, switch next, remove last.</t>
        </is>
      </c>
      <c r="AG20" s="18" t="inlineStr">
        <is>
          <t>Splitting a column rename into three releases to avoid downtime.</t>
        </is>
      </c>
      <c r="AH20" s="18" t="inlineStr">
        <is>
          <t>An interviewer may ask: How do you change a database schema without downtime?</t>
        </is>
      </c>
      <c r="AI20" s="18" t="inlineStr">
        <is>
          <t>It is like climbing a numbered staircase.</t>
        </is>
      </c>
      <c r="AJ20" s="18" t="inlineStr">
        <is>
          <t>What should you do first when renaming a column safely?</t>
        </is>
      </c>
      <c r="AK20" s="18" t="inlineStr">
        <is>
          <t>A) Add the new column B) Stop the app C) Drop the old one D) Delete data</t>
        </is>
      </c>
      <c r="AL20" s="18" t="inlineStr">
        <is>
          <t>A</t>
        </is>
      </c>
      <c r="AM20" s="18" t="inlineStr">
        <is>
          <t>Expanding keeps the old code working.</t>
        </is>
      </c>
      <c r="AN20" s="18" t="inlineStr">
        <is>
          <t>Filling a new column with old data is called a ____ → backfill</t>
        </is>
      </c>
      <c r="AO20" s="18" t="inlineStr">
        <is>
          <t>You must rename a column with no downtime. What pattern? → Expand and contract</t>
        </is>
      </c>
      <c r="AP20" s="18" t="inlineStr">
        <is>
          <t>Explain safe migrations in three lines.</t>
        </is>
      </c>
      <c r="AQ20" s="18" t="inlineStr">
        <is>
          <t>Write the release steps to rename a column.</t>
        </is>
      </c>
      <c r="AR20" s="17">
        <f>IF(J20="","",REPT("★",J20)&amp;REPT("☆",5-J20)&amp;" ("&amp;J20&amp;"/5)")</f>
        <v/>
      </c>
      <c r="AS20" s="17">
        <f>IF(Q20="","","Meaning: "&amp;Q20&amp;"  =  ______   (Answer: "&amp;F20&amp;")")</f>
        <v/>
      </c>
      <c r="AT20" s="17" t="inlineStr">
        <is>
          <t>New</t>
        </is>
      </c>
      <c r="AU20" s="17" t="n"/>
      <c r="AV20" s="17" t="n"/>
      <c r="AW20" s="17" t="n"/>
      <c r="AX20" s="17" t="n"/>
      <c r="AY20" s="17" t="n"/>
      <c r="AZ20" s="17" t="n"/>
      <c r="BA20" s="17" t="n"/>
      <c r="BB20" s="17" t="n"/>
    </row>
    <row r="21" ht="121.5" customHeight="1">
      <c r="A21" s="17" t="inlineStr">
        <is>
          <t>CICD-029</t>
        </is>
      </c>
      <c r="B21" s="17" t="inlineStr">
        <is>
          <t>04 Deployment</t>
        </is>
      </c>
      <c r="C21" s="17" t="inlineStr">
        <is>
          <t>Advanced</t>
        </is>
      </c>
      <c r="D21" s="17" t="n">
        <v>29</v>
      </c>
      <c r="E21" s="17" t="inlineStr">
        <is>
          <t>Claude knowledge</t>
        </is>
      </c>
      <c r="F21" s="18" t="inlineStr">
        <is>
          <t>GitOps</t>
        </is>
      </c>
      <c r="G21" s="18" t="inlineStr">
        <is>
          <t>Which approach uses a Git repository as the source of truth for what runs in production?</t>
        </is>
      </c>
      <c r="H21" s="18" t="inlineStr">
        <is>
          <t>Core concept</t>
        </is>
      </c>
      <c r="I21" s="18" t="inlineStr">
        <is>
          <t>Medium</t>
        </is>
      </c>
      <c r="J21" s="18" t="n">
        <v>4</v>
      </c>
      <c r="K21" s="18" t="inlineStr">
        <is>
          <t>Manually applied changes drifted from what was written down, so teams made Git the single record, with a tool applying it.</t>
        </is>
      </c>
      <c r="L21" s="18" t="inlineStr">
        <is>
          <t>Make every change a pull request so there is a review and a history.</t>
        </is>
      </c>
      <c r="M21" s="18" t="inlineStr">
        <is>
          <t>GitOps is a ship whose cargo list is checked against the manifest and corrected automatically.</t>
        </is>
      </c>
      <c r="N21" s="18" t="inlineStr">
        <is>
          <t>A Git repository feeding an agent that syncs a cluster.</t>
        </is>
      </c>
      <c r="O21" s="18" t="inlineStr">
        <is>
          <t>The assurance that production matches the repository.</t>
        </is>
      </c>
      <c r="P21" s="18" t="inlineStr">
        <is>
          <t>GitOps keeps the desired state of infrastructure and applications in Git, and an automated agent applies it and corrects any drift.</t>
        </is>
      </c>
      <c r="Q21" s="17" t="n"/>
      <c r="R21" s="18" t="inlineStr">
        <is>
          <t>To change production you open a pull request that edits the manifests. After the merge, a tool such as Argo CD or Flux notices the change and applies it to the cluster. If someone changes the cluster by hand, the agent can detect and revert the drift. It gives an audit trail, easy rollback by reverting a commit, and fewer credentials outside the cluster.</t>
        </is>
      </c>
      <c r="S21" s="18" t="inlineStr">
        <is>
          <t>Git states what should run, and an agent makes reality match it.</t>
        </is>
      </c>
      <c r="T21" s="18" t="inlineStr">
        <is>
          <t>It is a ship whose cargo is checked against the manifest and corrected automatically.</t>
        </is>
      </c>
      <c r="U21" s="18" t="inlineStr">
        <is>
          <t>Git = desired state. Agent = reconcile.</t>
        </is>
      </c>
      <c r="V21" s="18" t="inlineStr">
        <is>
          <t>A merged pull request changing an image tag in a manifest.</t>
        </is>
      </c>
      <c r="W21" s="18" t="inlineStr">
        <is>
          <t>An agent reverting a manual edit.</t>
        </is>
      </c>
      <c r="X21" s="18" t="inlineStr">
        <is>
          <t>Rolling back by reverting a commit.</t>
        </is>
      </c>
      <c r="Y21" s="18" t="inlineStr">
        <is>
          <t>infrastructure as code, Kubernetes, rollbacks, environments</t>
        </is>
      </c>
      <c r="Z21" s="18" t="inlineStr">
        <is>
          <t>GitOps, reconcile, drift, manifest, agent</t>
        </is>
      </c>
      <c r="AA21" s="18" t="inlineStr">
        <is>
          <t>Kubernetes | Platform teams | Audited environments</t>
        </is>
      </c>
      <c r="AB21" s="18" t="inlineStr">
        <is>
          <t>A: Someone changed production by hand. | B: The GitOps agent will revert it to match Git.</t>
        </is>
      </c>
      <c r="AC21" s="18" t="inlineStr">
        <is>
          <t>✗ GitOps means running kubectl from your laptop → ✓ Changes are made in Git, and the agent applies them</t>
        </is>
      </c>
      <c r="AD21" s="18" t="inlineStr">
        <is>
          <t>Push vs pull deployment: push sends changes from the pipeline, pull has an agent fetch them from Git.</t>
        </is>
      </c>
      <c r="AE21" s="18" t="inlineStr">
        <is>
          <t>Do not make manual edits to a GitOps-managed cluster.</t>
        </is>
      </c>
      <c r="AF21" s="18" t="inlineStr">
        <is>
          <t>Commit it, merge it, the agent applies it.</t>
        </is>
      </c>
      <c r="AG21" s="18" t="inlineStr">
        <is>
          <t>Managing cluster settings through pull requests so every change had an author.</t>
        </is>
      </c>
      <c r="AH21" s="18" t="inlineStr">
        <is>
          <t>An interviewer may ask: What is GitOps?</t>
        </is>
      </c>
      <c r="AI21" s="18" t="inlineStr">
        <is>
          <t>It is like checking cargo against the manifest.</t>
        </is>
      </c>
      <c r="AJ21" s="18" t="inlineStr">
        <is>
          <t>What is the source of truth in GitOps?</t>
        </is>
      </c>
      <c r="AK21" s="18" t="inlineStr">
        <is>
          <t>A) A server console B) A Git repository C) A spreadsheet D) A chat message</t>
        </is>
      </c>
      <c r="AL21" s="18" t="inlineStr">
        <is>
          <t>B</t>
        </is>
      </c>
      <c r="AM21" s="18" t="inlineStr">
        <is>
          <t>Git holds the desired state.</t>
        </is>
      </c>
      <c r="AN21" s="18" t="inlineStr">
        <is>
          <t>When live state differs from Git it is called ____ → drift</t>
        </is>
      </c>
      <c r="AO21" s="18" t="inlineStr">
        <is>
          <t>You want every production change reviewed and recorded. Which approach? → GitOps</t>
        </is>
      </c>
      <c r="AP21" s="18" t="inlineStr">
        <is>
          <t>Explain GitOps in three lines.</t>
        </is>
      </c>
      <c r="AQ21" s="18" t="inlineStr">
        <is>
          <t>List the steps from a pull request to a change in the cluster.</t>
        </is>
      </c>
      <c r="AR21" s="17">
        <f>IF(J21="","",REPT("★",J21)&amp;REPT("☆",5-J21)&amp;" ("&amp;J21&amp;"/5)")</f>
        <v/>
      </c>
      <c r="AS21" s="17">
        <f>IF(Q21="","","Meaning: "&amp;Q21&amp;"  =  ______   (Answer: "&amp;F21&amp;")")</f>
        <v/>
      </c>
      <c r="AT21" s="17" t="inlineStr">
        <is>
          <t>New</t>
        </is>
      </c>
      <c r="AU21" s="17" t="n"/>
      <c r="AV21" s="17" t="n"/>
      <c r="AW21" s="17" t="n"/>
      <c r="AX21" s="17" t="n"/>
      <c r="AY21" s="17" t="n"/>
      <c r="AZ21" s="17" t="n"/>
      <c r="BA21" s="17" t="n"/>
      <c r="BB21" s="17" t="n"/>
    </row>
    <row r="22" ht="108" customHeight="1">
      <c r="A22" s="17" t="inlineStr">
        <is>
          <t>CICD-030</t>
        </is>
      </c>
      <c r="B22" s="17" t="inlineStr">
        <is>
          <t>04 Deployment</t>
        </is>
      </c>
      <c r="C22" s="17" t="inlineStr">
        <is>
          <t>Intermediate</t>
        </is>
      </c>
      <c r="D22" s="17" t="n">
        <v>30</v>
      </c>
      <c r="E22" s="17" t="inlineStr">
        <is>
          <t>Claude knowledge</t>
        </is>
      </c>
      <c r="F22" s="18" t="inlineStr">
        <is>
          <t>Infrastructure as code in pipelines</t>
        </is>
      </c>
      <c r="G22" s="18" t="inlineStr">
        <is>
          <t>How does a pipeline plan and apply infrastructure changes safely?</t>
        </is>
      </c>
      <c r="H22" s="18" t="inlineStr">
        <is>
          <t>Core concept</t>
        </is>
      </c>
      <c r="I22" s="18" t="inlineStr">
        <is>
          <t>High</t>
        </is>
      </c>
      <c r="J22" s="18" t="n">
        <v>4</v>
      </c>
      <c r="K22" s="18" t="inlineStr">
        <is>
          <t>Infrastructure changes carry as much risk as code changes, so pipelines run the same review and approval steps for them.</t>
        </is>
      </c>
      <c r="L22" s="18" t="inlineStr">
        <is>
          <t>Show the plan on the pull request and apply only after merge and approval.</t>
        </is>
      </c>
      <c r="M22" s="18" t="inlineStr">
        <is>
          <t>The plan is a preview of the renovation before the builders start.</t>
        </is>
      </c>
      <c r="N22" s="18" t="inlineStr">
        <is>
          <t>A pipeline with plan, approve and apply stages.</t>
        </is>
      </c>
      <c r="O22" s="18" t="inlineStr">
        <is>
          <t>The comfort of seeing changes before they happen.</t>
        </is>
      </c>
      <c r="P22" s="18" t="inlineStr">
        <is>
          <t>Running infrastructure as code in a pipeline means validating and planning on pull requests, then applying approved changes after merge.</t>
        </is>
      </c>
      <c r="Q22" s="17" t="n"/>
      <c r="R22" s="18" t="inlineStr">
        <is>
          <t>On a pull request the pipeline runs format and validate checks and a plan, posting the result for reviewers. After merge and approval the apply stage runs. State is stored remotely with locking so two runs do not collide. Credentials come from short-lived tokens. Separate environments use separate state and variables.</t>
        </is>
      </c>
      <c r="S22" s="18" t="inlineStr">
        <is>
          <t>Plan on the pull request, review it, apply after merge, and lock the state.</t>
        </is>
      </c>
      <c r="T22" s="18" t="inlineStr">
        <is>
          <t>The plan is a preview of the renovation before builders start.</t>
        </is>
      </c>
      <c r="U22" s="18" t="inlineStr">
        <is>
          <t>Validate → plan → review → apply.</t>
        </is>
      </c>
      <c r="V22" s="18" t="inlineStr">
        <is>
          <t>A plan comment listing two resources to change.</t>
        </is>
      </c>
      <c r="W22" s="18" t="inlineStr">
        <is>
          <t>A manual approval before apply in production.</t>
        </is>
      </c>
      <c r="X22" s="18" t="inlineStr">
        <is>
          <t>Remote state with locking.</t>
        </is>
      </c>
      <c r="Y22" s="18" t="inlineStr">
        <is>
          <t>infrastructure as code, environments, OIDC, approvals</t>
        </is>
      </c>
      <c r="Z22" s="18" t="inlineStr">
        <is>
          <t>plan, apply, state, lock, validate</t>
        </is>
      </c>
      <c r="AA22" s="18" t="inlineStr">
        <is>
          <t>Cloud teams | Platform engineering | Audited changes</t>
        </is>
      </c>
      <c r="AB22" s="18" t="inlineStr">
        <is>
          <t>A: What will this change do to production? | B: Read the plan posted on the pull request.</t>
        </is>
      </c>
      <c r="AC22" s="18" t="inlineStr">
        <is>
          <t>✗ Applying infrastructure changes from laptops is fine → ✓ A pipeline gives review, history and controlled credentials</t>
        </is>
      </c>
      <c r="AD22" s="18" t="inlineStr">
        <is>
          <t>Plan vs apply: plan previews, apply makes the change.</t>
        </is>
      </c>
      <c r="AE22" s="18" t="inlineStr">
        <is>
          <t>Do not run apply without reading the plan.</t>
        </is>
      </c>
      <c r="AF22" s="18" t="inlineStr">
        <is>
          <t>Plan on the PR, apply after merge.</t>
        </is>
      </c>
      <c r="AG22" s="18" t="inlineStr">
        <is>
          <t>Posting Terraform plans on pull requests so reviewers saw every resource change.</t>
        </is>
      </c>
      <c r="AH22" s="18" t="inlineStr">
        <is>
          <t>An interviewer may ask: How do you control infrastructure changes in CI?</t>
        </is>
      </c>
      <c r="AI22" s="18" t="inlineStr">
        <is>
          <t>It is like previewing a renovation.</t>
        </is>
      </c>
      <c r="AJ22" s="18" t="inlineStr">
        <is>
          <t>When should apply run?</t>
        </is>
      </c>
      <c r="AK22" s="18" t="inlineStr">
        <is>
          <t>A) On every typo B) Never C) After merge and approval D) Before review</t>
        </is>
      </c>
      <c r="AL22" s="18" t="inlineStr">
        <is>
          <t>C</t>
        </is>
      </c>
      <c r="AM22" s="18" t="inlineStr">
        <is>
          <t>Reviewed changes are applied from the main branch.</t>
        </is>
      </c>
      <c r="AN22" s="18" t="inlineStr">
        <is>
          <t>A lock on state stops two runs from ____ → colliding</t>
        </is>
      </c>
      <c r="AO22" s="18" t="inlineStr">
        <is>
          <t>A reviewer wants to see what will change. What do you post? → The plan</t>
        </is>
      </c>
      <c r="AP22" s="18" t="inlineStr">
        <is>
          <t>Explain infrastructure pipelines in three lines.</t>
        </is>
      </c>
      <c r="AQ22" s="18" t="inlineStr">
        <is>
          <t>Sketch the stages for a Terraform pipeline with approvals.</t>
        </is>
      </c>
      <c r="AR22" s="17">
        <f>IF(J22="","",REPT("★",J22)&amp;REPT("☆",5-J22)&amp;" ("&amp;J22&amp;"/5)")</f>
        <v/>
      </c>
      <c r="AS22" s="17">
        <f>IF(Q22="","","Meaning: "&amp;Q22&amp;"  =  ______   (Answer: "&amp;F22&amp;")")</f>
        <v/>
      </c>
      <c r="AT22" s="17" t="inlineStr">
        <is>
          <t>New</t>
        </is>
      </c>
      <c r="AU22" s="17" t="n"/>
      <c r="AV22" s="17" t="n"/>
      <c r="AW22" s="17" t="n"/>
      <c r="AX22" s="17" t="n"/>
      <c r="AY22" s="17" t="n"/>
      <c r="AZ22" s="17" t="n"/>
      <c r="BA22" s="17" t="n"/>
      <c r="BB22" s="17" t="n"/>
    </row>
    <row r="23" ht="94.5" customHeight="1">
      <c r="A23" s="17" t="inlineStr">
        <is>
          <t>CICD-031</t>
        </is>
      </c>
      <c r="B23" s="17" t="inlineStr">
        <is>
          <t>04 Deployment</t>
        </is>
      </c>
      <c r="C23" s="17" t="inlineStr">
        <is>
          <t>Beginner</t>
        </is>
      </c>
      <c r="D23" s="17" t="n">
        <v>31</v>
      </c>
      <c r="E23" s="17" t="inlineStr">
        <is>
          <t>Claude knowledge</t>
        </is>
      </c>
      <c r="F23" s="18" t="inlineStr">
        <is>
          <t>Release tagging and versioning</t>
        </is>
      </c>
      <c r="G23" s="18" t="inlineStr">
        <is>
          <t>How do you name and mark each release so it can be found and repeated?</t>
        </is>
      </c>
      <c r="H23" s="18" t="inlineStr">
        <is>
          <t>Core concept</t>
        </is>
      </c>
      <c r="I23" s="18" t="inlineStr">
        <is>
          <t>High</t>
        </is>
      </c>
      <c r="J23" s="18" t="n">
        <v>4</v>
      </c>
      <c r="K23" s="18" t="inlineStr">
        <is>
          <t>Teams needed to know exactly what version was live, so releases were labelled with tags and version numbers.</t>
        </is>
      </c>
      <c r="L23" s="18" t="inlineStr">
        <is>
          <t>Tag releases in Git and tag images with the same version and the commit hash.</t>
        </is>
      </c>
      <c r="M23" s="18" t="inlineStr">
        <is>
          <t>A release tag is a sticker with the version on a sealed box.</t>
        </is>
      </c>
      <c r="N23" s="18" t="inlineStr">
        <is>
          <t>A Git commit labelled v1.4.2 beside an image labelled the same.</t>
        </is>
      </c>
      <c r="O23" s="18" t="inlineStr">
        <is>
          <t>The clarity of knowing exactly what is live.</t>
        </is>
      </c>
      <c r="P23" s="18" t="inlineStr">
        <is>
          <t>Release tagging marks a specific commit with a version label, often following semantic versioning of major, minor and patch numbers.</t>
        </is>
      </c>
      <c r="Q23" s="17" t="n"/>
      <c r="R23" s="18" t="inlineStr">
        <is>
          <t>In semantic versioning, a major change breaks compatibility, a minor change adds features, and a patch fixes bugs. A pushed tag can trigger the release pipeline. Images and packages carry the same version. Changelogs summarise what changed. Avoid reusing or moving a tag, because it breaks traceability.</t>
        </is>
      </c>
      <c r="S23" s="18" t="inlineStr">
        <is>
          <t>Tag the commit with a version, build artifacts with the same version, and never move the tag.</t>
        </is>
      </c>
      <c r="T23" s="18" t="inlineStr">
        <is>
          <t>A release tag is a sticker with the version on a sealed box.</t>
        </is>
      </c>
      <c r="U23" s="18" t="inlineStr">
        <is>
          <t>MAJOR.MINOR.PATCH, one tag per release.</t>
        </is>
      </c>
      <c r="V23" s="18" t="inlineStr">
        <is>
          <t>v1.4.2 tagging a commit.</t>
        </is>
      </c>
      <c r="W23" s="18" t="inlineStr">
        <is>
          <t>An image tagged 1.4.2 and the commit hash.</t>
        </is>
      </c>
      <c r="X23" s="18" t="inlineStr">
        <is>
          <t>A tag push starting the release workflow.</t>
        </is>
      </c>
      <c r="Y23" s="18" t="inlineStr">
        <is>
          <t>build artifacts, triggers, rollbacks, changelogs</t>
        </is>
      </c>
      <c r="Z23" s="18" t="inlineStr">
        <is>
          <t>tag, semantic versioning, major, minor, patch</t>
        </is>
      </c>
      <c r="AA23" s="18" t="inlineStr">
        <is>
          <t>Releases | Packages | Rollbacks</t>
        </is>
      </c>
      <c r="AB23" s="18" t="inlineStr">
        <is>
          <t>A: Which version is live? | B: Tag v1.4.2, the commit is in the release notes.</t>
        </is>
      </c>
      <c r="AC23" s="18" t="inlineStr">
        <is>
          <t>✗ Moving a tag to a new commit is harmless → ✓ It breaks traceability, because the same tag then means different code</t>
        </is>
      </c>
      <c r="AD23" s="18" t="inlineStr">
        <is>
          <t>Major vs patch: major may break users, patch only fixes bugs.</t>
        </is>
      </c>
      <c r="AE23" s="18" t="inlineStr">
        <is>
          <t>Do not reuse a version number.</t>
        </is>
      </c>
      <c r="AF23" s="18" t="inlineStr">
        <is>
          <t>Major breaks, minor adds, patch fixes.</t>
        </is>
      </c>
      <c r="AG23" s="18" t="inlineStr">
        <is>
          <t>Triggering the release pipeline from version tags so every release was traceable.</t>
        </is>
      </c>
      <c r="AH23" s="18" t="inlineStr">
        <is>
          <t>An interviewer may ask: What does semantic versioning mean?</t>
        </is>
      </c>
      <c r="AI23" s="18" t="inlineStr">
        <is>
          <t>It is like a sticker with the version on a box.</t>
        </is>
      </c>
      <c r="AJ23" s="18" t="inlineStr">
        <is>
          <t>Which part of a version changes for a bug fix?</t>
        </is>
      </c>
      <c r="AK23" s="18" t="inlineStr">
        <is>
          <t>A) Patch B) Minor C) None D) Major</t>
        </is>
      </c>
      <c r="AL23" s="18" t="inlineStr">
        <is>
          <t>A</t>
        </is>
      </c>
      <c r="AM23" s="18" t="inlineStr">
        <is>
          <t>Patch increments cover backward-compatible fixes.</t>
        </is>
      </c>
      <c r="AN23" s="18" t="inlineStr">
        <is>
          <t>A version of the form 1.4.2 is called ____ versioning → semantic</t>
        </is>
      </c>
      <c r="AO23" s="18" t="inlineStr">
        <is>
          <t>A release adds a backward-compatible feature. Which number increases? → Minor</t>
        </is>
      </c>
      <c r="AP23" s="18" t="inlineStr">
        <is>
          <t>Explain semantic versioning in three lines.</t>
        </is>
      </c>
      <c r="AQ23" s="18" t="inlineStr">
        <is>
          <t>Write a tagging rule for images and Git.</t>
        </is>
      </c>
      <c r="AR23" s="17">
        <f>IF(J23="","",REPT("★",J23)&amp;REPT("☆",5-J23)&amp;" ("&amp;J23&amp;"/5)")</f>
        <v/>
      </c>
      <c r="AS23" s="17">
        <f>IF(Q23="","","Meaning: "&amp;Q23&amp;"  =  ______   (Answer: "&amp;F23&amp;")")</f>
        <v/>
      </c>
      <c r="AT23" s="17" t="inlineStr">
        <is>
          <t>New</t>
        </is>
      </c>
      <c r="AU23" s="17" t="n"/>
      <c r="AV23" s="17" t="n"/>
      <c r="AW23" s="17" t="n"/>
      <c r="AX23" s="17" t="n"/>
      <c r="AY23" s="17" t="n"/>
      <c r="AZ23" s="17" t="n"/>
      <c r="BA23" s="17" t="n"/>
      <c r="BB23" s="17" t="n"/>
    </row>
    <row r="24" ht="108" customHeight="1">
      <c r="A24" s="17" t="inlineStr">
        <is>
          <t>CICD-034</t>
        </is>
      </c>
      <c r="B24" s="17" t="inlineStr">
        <is>
          <t>05 Security and Scale</t>
        </is>
      </c>
      <c r="C24" s="17" t="inlineStr">
        <is>
          <t>Intermediate</t>
        </is>
      </c>
      <c r="D24" s="17" t="n">
        <v>34</v>
      </c>
      <c r="E24" s="17" t="inlineStr">
        <is>
          <t>Claude knowledge</t>
        </is>
      </c>
      <c r="F24" s="18" t="inlineStr">
        <is>
          <t>Least privilege tokens</t>
        </is>
      </c>
      <c r="G24" s="18" t="inlineStr">
        <is>
          <t>How do you give automation tokens only the access they need?</t>
        </is>
      </c>
      <c r="H24" s="18" t="inlineStr">
        <is>
          <t>Core concept</t>
        </is>
      </c>
      <c r="I24" s="18" t="inlineStr">
        <is>
          <t>High</t>
        </is>
      </c>
      <c r="J24" s="18" t="n">
        <v>5</v>
      </c>
      <c r="K24" s="18" t="inlineStr">
        <is>
          <t>Broad personal tokens in pipelines turned small leaks into large breaches, so scoped tokens became the standard.</t>
        </is>
      </c>
      <c r="L24" s="18" t="inlineStr">
        <is>
          <t>Prefer the built-in token or a fine-grained token limited to one repository.</t>
        </is>
      </c>
      <c r="M24" s="18" t="inlineStr">
        <is>
          <t>A scoped token is a key that opens one door, not the whole building.</t>
        </is>
      </c>
      <c r="N24" s="18" t="inlineStr">
        <is>
          <t>A token card listing a single repository and a single permission.</t>
        </is>
      </c>
      <c r="O24" s="18" t="inlineStr">
        <is>
          <t>The confidence of a token that cannot do much harm.</t>
        </is>
      </c>
      <c r="P24" s="18" t="inlineStr">
        <is>
          <t>Least privilege tokens are credentials limited to the specific repositories, permissions and lifetime needed for one automation task.</t>
        </is>
      </c>
      <c r="Q24" s="17" t="n"/>
      <c r="R24" s="18" t="inlineStr">
        <is>
          <t>Fine-grained tokens and GitHub App tokens can be restricted to chosen repositories and actions. The built-in GITHUB_TOKEN is created per run and expires. Personal access tokens tied to a person break when that person leaves and often grant too much. Bots should use their own identity. Set expiry dates and review tokens regularly.</t>
        </is>
      </c>
      <c r="S24" s="18" t="inlineStr">
        <is>
          <t>Give each automation its own narrow, short-lived token instead of a broad personal one.</t>
        </is>
      </c>
      <c r="T24" s="18" t="inlineStr">
        <is>
          <t>It is a key that opens one door, not the whole building.</t>
        </is>
      </c>
      <c r="U24" s="18" t="inlineStr">
        <is>
          <t>One task, one token, narrow scope, short life.</t>
        </is>
      </c>
      <c r="V24" s="18" t="inlineStr">
        <is>
          <t>A fine-grained token that can read one repository.</t>
        </is>
      </c>
      <c r="W24" s="18" t="inlineStr">
        <is>
          <t>A GitHub App installed on two repositories only.</t>
        </is>
      </c>
      <c r="X24" s="18" t="inlineStr">
        <is>
          <t>A token set to expire in thirty days.</t>
        </is>
      </c>
      <c r="Y24" s="18" t="inlineStr">
        <is>
          <t>workflow permissions, OIDC to the cloud, secrets in workflows, access reviews</t>
        </is>
      </c>
      <c r="Z24" s="18" t="inlineStr">
        <is>
          <t>scope, token, expiry, app, fine-grained</t>
        </is>
      </c>
      <c r="AA24" s="18" t="inlineStr">
        <is>
          <t>Automation | Integrations | Security reviews</t>
        </is>
      </c>
      <c r="AB24" s="18" t="inlineStr">
        <is>
          <t>A: The bot uses my personal token. | B: Replace it with an app token limited to one repository.</t>
        </is>
      </c>
      <c r="AC24" s="18" t="inlineStr">
        <is>
          <t>✗ A personal access token is a fine shared key for automation → ✓ It carries your full access and breaks when you leave</t>
        </is>
      </c>
      <c r="AD24" s="18" t="inlineStr">
        <is>
          <t>Personal token vs app token: a personal token acts as you, an app token acts as the app with set scopes.</t>
        </is>
      </c>
      <c r="AE24" s="18" t="inlineStr">
        <is>
          <t>Do not share one broad token across many pipelines.</t>
        </is>
      </c>
      <c r="AF24" s="18" t="inlineStr">
        <is>
          <t>One task, one token, small scope.</t>
        </is>
      </c>
      <c r="AG24" s="18" t="inlineStr">
        <is>
          <t>Replacing a shared admin token with a scoped app token for a release bot.</t>
        </is>
      </c>
      <c r="AH24" s="18" t="inlineStr">
        <is>
          <t>An interviewer may ask: How do you manage tokens used by automation?</t>
        </is>
      </c>
      <c r="AI24" s="18" t="inlineStr">
        <is>
          <t>It is like a key for one door only.</t>
        </is>
      </c>
      <c r="AJ24" s="18" t="inlineStr">
        <is>
          <t>What limits the damage if a token leaks?</t>
        </is>
      </c>
      <c r="AK24" s="18" t="inlineStr">
        <is>
          <t>A) A big repository B) Many users C) Narrow scope and short life D) A long name</t>
        </is>
      </c>
      <c r="AL24" s="18" t="inlineStr">
        <is>
          <t>C</t>
        </is>
      </c>
      <c r="AM24" s="18" t="inlineStr">
        <is>
          <t>A limited token can do little and soon expires.</t>
        </is>
      </c>
      <c r="AN24" s="18" t="inlineStr">
        <is>
          <t>A token that stops working after a date has an ____ → expiry</t>
        </is>
      </c>
      <c r="AO24" s="18" t="inlineStr">
        <is>
          <t>A bot needs to read one repository. What token do you give it? → A narrow fine-grained token</t>
        </is>
      </c>
      <c r="AP24" s="18" t="inlineStr">
        <is>
          <t>Explain least privilege tokens in three lines.</t>
        </is>
      </c>
      <c r="AQ24" s="18" t="inlineStr">
        <is>
          <t>List what to review in your existing tokens.</t>
        </is>
      </c>
      <c r="AR24" s="17">
        <f>IF(J24="","",REPT("★",J24)&amp;REPT("☆",5-J24)&amp;" ("&amp;J24&amp;"/5)")</f>
        <v/>
      </c>
      <c r="AS24" s="17">
        <f>IF(Q24="","","Meaning: "&amp;Q24&amp;"  =  ______   (Answer: "&amp;F24&amp;")")</f>
        <v/>
      </c>
      <c r="AT24" s="17" t="inlineStr">
        <is>
          <t>New</t>
        </is>
      </c>
      <c r="AU24" s="17" t="n"/>
      <c r="AV24" s="17" t="n"/>
      <c r="AW24" s="17" t="n"/>
      <c r="AX24" s="17" t="n"/>
      <c r="AY24" s="17" t="n"/>
      <c r="AZ24" s="17" t="n"/>
      <c r="BA24" s="17" t="n"/>
      <c r="BB24" s="17" t="n"/>
    </row>
    <row r="25" ht="108" customHeight="1">
      <c r="A25" s="17" t="inlineStr">
        <is>
          <t>CICD-035</t>
        </is>
      </c>
      <c r="B25" s="17" t="inlineStr">
        <is>
          <t>05 Security and Scale</t>
        </is>
      </c>
      <c r="C25" s="17" t="inlineStr">
        <is>
          <t>Intermediate</t>
        </is>
      </c>
      <c r="D25" s="17" t="n">
        <v>35</v>
      </c>
      <c r="E25" s="17" t="inlineStr">
        <is>
          <t>Claude knowledge</t>
        </is>
      </c>
      <c r="F25" s="18" t="inlineStr">
        <is>
          <t>Secret scanning</t>
        </is>
      </c>
      <c r="G25" s="18" t="inlineStr">
        <is>
          <t>Which feature detects credentials accidentally committed to a repository?</t>
        </is>
      </c>
      <c r="H25" s="18" t="inlineStr">
        <is>
          <t>Core concept</t>
        </is>
      </c>
      <c r="I25" s="18" t="inlineStr">
        <is>
          <t>Very high</t>
        </is>
      </c>
      <c r="J25" s="18" t="n">
        <v>5</v>
      </c>
      <c r="K25" s="18" t="inlineStr">
        <is>
          <t>Developers sometimes commit keys by mistake, and bots find them in minutes, so scanners detect them at once.</t>
        </is>
      </c>
      <c r="L25" s="18" t="inlineStr">
        <is>
          <t>Turn on push protection so secrets are blocked before they reach the repository.</t>
        </is>
      </c>
      <c r="M25" s="18" t="inlineStr">
        <is>
          <t>Secret scanning is a metal detector at the exit that beeps before a key leaves with you.</t>
        </is>
      </c>
      <c r="N25" s="18" t="inlineStr">
        <is>
          <t>A push being rejected with a warning about a detected key.</t>
        </is>
      </c>
      <c r="O25" s="18" t="inlineStr">
        <is>
          <t>The relief of a block before the mistake becomes public.</t>
        </is>
      </c>
      <c r="P25" s="18" t="inlineStr">
        <is>
          <t>Secret scanning searches code and history for known credential patterns, and push protection blocks a push that contains one.</t>
        </is>
      </c>
      <c r="Q25" s="17" t="n"/>
      <c r="R25" s="18" t="inlineStr">
        <is>
          <t>Providers register patterns for their own tokens and are notified when one is found, and some revoke it. Scanning also covers history, so old commits can reveal secrets. If a secret is found, revoke and rotate it first, then clean the history. Local tools can scan before commit. Custom patterns can cover internal key formats.</t>
        </is>
      </c>
      <c r="S25" s="18" t="inlineStr">
        <is>
          <t>Turn on scanning and push protection, and rotate any key that appears.</t>
        </is>
      </c>
      <c r="T25" s="18" t="inlineStr">
        <is>
          <t>It is a metal detector at the exit that beeps before a key leaves.</t>
        </is>
      </c>
      <c r="U25" s="18" t="inlineStr">
        <is>
          <t>Detect → block → revoke → rotate → clean.</t>
        </is>
      </c>
      <c r="V25" s="18" t="inlineStr">
        <is>
          <t>A push blocked because it contained a cloud key.</t>
        </is>
      </c>
      <c r="W25" s="18" t="inlineStr">
        <is>
          <t>A scan alert on a token in an old commit.</t>
        </is>
      </c>
      <c r="X25" s="18" t="inlineStr">
        <is>
          <t>A custom pattern for an internal API key.</t>
        </is>
      </c>
      <c r="Y25" s="18" t="inlineStr">
        <is>
          <t>secrets in workflows, pre-commit hooks, access keys, history cleanup</t>
        </is>
      </c>
      <c r="Z25" s="18" t="inlineStr">
        <is>
          <t>scanning, push protection, pattern, revoke, rotate</t>
        </is>
      </c>
      <c r="AA25" s="18" t="inlineStr">
        <is>
          <t>Repositories | Organisations | Audits</t>
        </is>
      </c>
      <c r="AB25" s="18" t="inlineStr">
        <is>
          <t>A: I pushed a key by mistake. | B: Revoke it first, then remove it from the history.</t>
        </is>
      </c>
      <c r="AC25" s="18" t="inlineStr">
        <is>
          <t>✗ Deleting the file in a new commit removes the leaked secret → ✓ The secret remains in history and must be revoked</t>
        </is>
      </c>
      <c r="AD25" s="18" t="inlineStr">
        <is>
          <t>Scanning vs push protection: scanning finds existing secrets, push protection blocks new ones.</t>
        </is>
      </c>
      <c r="AE25" s="18" t="inlineStr">
        <is>
          <t>Do not only delete the commit and assume the key is safe.</t>
        </is>
      </c>
      <c r="AF25" s="18" t="inlineStr">
        <is>
          <t>Revoke the key first, clean history second.</t>
        </is>
      </c>
      <c r="AG25" s="18" t="inlineStr">
        <is>
          <t>Enabling push protection that stopped three accidental key commits in a month.</t>
        </is>
      </c>
      <c r="AH25" s="18" t="inlineStr">
        <is>
          <t>An interviewer may ask: What do you do after a secret is committed?</t>
        </is>
      </c>
      <c r="AI25" s="18" t="inlineStr">
        <is>
          <t>It is like a metal detector at the exit.</t>
        </is>
      </c>
      <c r="AJ25" s="18" t="inlineStr">
        <is>
          <t>What is the first action after a secret is leaked?</t>
        </is>
      </c>
      <c r="AK25" s="18" t="inlineStr">
        <is>
          <t>A) Revoke it B) Delete the file only C) Rename the repository D) Wait</t>
        </is>
      </c>
      <c r="AL25" s="18" t="inlineStr">
        <is>
          <t>A</t>
        </is>
      </c>
      <c r="AM25" s="18" t="inlineStr">
        <is>
          <t>Copies may exist, so the secret must be invalidated.</t>
        </is>
      </c>
      <c r="AN25" s="18" t="inlineStr">
        <is>
          <t>A feature that blocks pushes containing secrets is push ____ → protection</t>
        </is>
      </c>
      <c r="AO25" s="18" t="inlineStr">
        <is>
          <t>A key appears in an old commit. What first? → Revoke and rotate it</t>
        </is>
      </c>
      <c r="AP25" s="18" t="inlineStr">
        <is>
          <t>Explain secret scanning in three lines.</t>
        </is>
      </c>
      <c r="AQ25" s="18" t="inlineStr">
        <is>
          <t>Write an incident checklist for a leaked key.</t>
        </is>
      </c>
      <c r="AR25" s="17">
        <f>IF(J25="","",REPT("★",J25)&amp;REPT("☆",5-J25)&amp;" ("&amp;J25&amp;"/5)")</f>
        <v/>
      </c>
      <c r="AS25" s="17">
        <f>IF(Q25="","","Meaning: "&amp;Q25&amp;"  =  ______   (Answer: "&amp;F25&amp;")")</f>
        <v/>
      </c>
      <c r="AT25" s="17" t="inlineStr">
        <is>
          <t>New</t>
        </is>
      </c>
      <c r="AU25" s="17" t="n"/>
      <c r="AV25" s="17" t="n"/>
      <c r="AW25" s="17" t="n"/>
      <c r="AX25" s="17" t="n"/>
      <c r="AY25" s="17" t="n"/>
      <c r="AZ25" s="17" t="n"/>
      <c r="BA25" s="17" t="n"/>
      <c r="BB25" s="17" t="n"/>
    </row>
    <row r="26" ht="121.5" customHeight="1">
      <c r="A26" s="17" t="inlineStr">
        <is>
          <t>CICD-036</t>
        </is>
      </c>
      <c r="B26" s="17" t="inlineStr">
        <is>
          <t>05 Security and Scale</t>
        </is>
      </c>
      <c r="C26" s="17" t="inlineStr">
        <is>
          <t>Advanced</t>
        </is>
      </c>
      <c r="D26" s="17" t="n">
        <v>36</v>
      </c>
      <c r="E26" s="17" t="inlineStr">
        <is>
          <t>Claude knowledge</t>
        </is>
      </c>
      <c r="F26" s="18" t="inlineStr">
        <is>
          <t>Self-hosted runners</t>
        </is>
      </c>
      <c r="G26" s="18" t="inlineStr">
        <is>
          <t>When and how should you run pipeline jobs on your own machines?</t>
        </is>
      </c>
      <c r="H26" s="18" t="inlineStr">
        <is>
          <t>Core concept</t>
        </is>
      </c>
      <c r="I26" s="18" t="inlineStr">
        <is>
          <t>Medium</t>
        </is>
      </c>
      <c r="J26" s="18" t="n">
        <v>4</v>
      </c>
      <c r="K26" s="18" t="inlineStr">
        <is>
          <t>Some jobs need private networks, special hardware or custom software, so teams run the runner agent on their own servers.</t>
        </is>
      </c>
      <c r="L26" s="18" t="inlineStr">
        <is>
          <t>Use ephemeral runners that exist for one job and are then destroyed.</t>
        </is>
      </c>
      <c r="M26" s="18" t="inlineStr">
        <is>
          <t>A self-hosted runner is your own employee who must be kept safe and up to date.</t>
        </is>
      </c>
      <c r="N26" s="18" t="inlineStr">
        <is>
          <t>A runner inside a private network connected to GitHub.</t>
        </is>
      </c>
      <c r="O26" s="18" t="inlineStr">
        <is>
          <t>The power and responsibility of running your own workers.</t>
        </is>
      </c>
      <c r="P26" s="18" t="inlineStr">
        <is>
          <t>A self-hosted runner is a machine you manage that runs the GitHub runner agent and picks up jobs from your repositories.</t>
        </is>
      </c>
      <c r="Q26" s="17" t="n"/>
      <c r="R26" s="18" t="inlineStr">
        <is>
          <t>They reach private systems, use special hardware such as GPUs, and can avoid hosted minute charges. You must patch them, isolate them and limit their credentials. Persistent runners keep state between jobs, which can leak data or cause odd failures. Ephemeral runners, often created on demand in containers or virtual machines, are safer. Never allow untrusted pull requests to run on them.</t>
        </is>
      </c>
      <c r="S26" s="18" t="inlineStr">
        <is>
          <t>Use self-hosted runners for private access or special hardware, keep them clean and isolated.</t>
        </is>
      </c>
      <c r="T26" s="18" t="inlineStr">
        <is>
          <t>It is your own employee, who must be kept safe and up to date.</t>
        </is>
      </c>
      <c r="U26" s="18" t="inlineStr">
        <is>
          <t>Private access + control, in exchange for patching and security work.</t>
        </is>
      </c>
      <c r="V26" s="18" t="inlineStr">
        <is>
          <t>A runner inside a company network reaching a private database.</t>
        </is>
      </c>
      <c r="W26" s="18" t="inlineStr">
        <is>
          <t>A GPU runner for model tests.</t>
        </is>
      </c>
      <c r="X26" s="18" t="inlineStr">
        <is>
          <t>Autoscaled ephemeral runners created per job.</t>
        </is>
      </c>
      <c r="Y26" s="18" t="inlineStr">
        <is>
          <t>runners, security, least privilege, autoscaling</t>
        </is>
      </c>
      <c r="Z26" s="18" t="inlineStr">
        <is>
          <t>self-hosted, ephemeral, label, agent, isolation</t>
        </is>
      </c>
      <c r="AA26" s="18" t="inlineStr">
        <is>
          <t>Private networks | Special hardware | Cost control</t>
        </is>
      </c>
      <c r="AB26" s="18" t="inlineStr">
        <is>
          <t>A: Public pull requests are running on our own runner. | B: That is risky, so restrict it to trusted workflows.</t>
        </is>
      </c>
      <c r="AC26" s="18" t="inlineStr">
        <is>
          <t>✗ Self-hosted runners are always cheaper and easier → ✓ You pay in maintenance and security effort</t>
        </is>
      </c>
      <c r="AD26" s="18" t="inlineStr">
        <is>
          <t>Ephemeral vs persistent runner: ephemeral lasts one job, persistent keeps state.</t>
        </is>
      </c>
      <c r="AE26" s="18" t="inlineStr">
        <is>
          <t>Do not run untrusted fork code on your own runners.</t>
        </is>
      </c>
      <c r="AF26" s="18" t="inlineStr">
        <is>
          <t>Own runners need own care.</t>
        </is>
      </c>
      <c r="AG26" s="18" t="inlineStr">
        <is>
          <t>Using a self-hosted runner to test against a customer's private test database.</t>
        </is>
      </c>
      <c r="AH26" s="18" t="inlineStr">
        <is>
          <t>An interviewer may ask: What are the risks of self-hosted runners?</t>
        </is>
      </c>
      <c r="AI26" s="18" t="inlineStr">
        <is>
          <t>It is like an employee who needs care and safety.</t>
        </is>
      </c>
      <c r="AJ26" s="18" t="inlineStr">
        <is>
          <t>Which runner type is safer against leftover data?</t>
        </is>
      </c>
      <c r="AK26" s="18" t="inlineStr">
        <is>
          <t>A) Shared forever B) Unpatched C) Persistent D) Ephemeral</t>
        </is>
      </c>
      <c r="AL26" s="18" t="inlineStr">
        <is>
          <t>D</t>
        </is>
      </c>
      <c r="AM26" s="18" t="inlineStr">
        <is>
          <t>A fresh machine per job leaves nothing behind.</t>
        </is>
      </c>
      <c r="AN26" s="18" t="inlineStr">
        <is>
          <t>A runner that is destroyed after one job is called ____ → ephemeral</t>
        </is>
      </c>
      <c r="AO26" s="18" t="inlineStr">
        <is>
          <t>A job must reach a private database. What runner fits? → A self-hosted runner</t>
        </is>
      </c>
      <c r="AP26" s="18" t="inlineStr">
        <is>
          <t>Explain self-hosted runners in three lines.</t>
        </is>
      </c>
      <c r="AQ26" s="18" t="inlineStr">
        <is>
          <t>List the security steps for a self-hosted runner.</t>
        </is>
      </c>
      <c r="AR26" s="17">
        <f>IF(J26="","",REPT("★",J26)&amp;REPT("☆",5-J26)&amp;" ("&amp;J26&amp;"/5)")</f>
        <v/>
      </c>
      <c r="AS26" s="17">
        <f>IF(Q26="","","Meaning: "&amp;Q26&amp;"  =  ______   (Answer: "&amp;F26&amp;")")</f>
        <v/>
      </c>
      <c r="AT26" s="17" t="inlineStr">
        <is>
          <t>New</t>
        </is>
      </c>
      <c r="AU26" s="17" t="n"/>
      <c r="AV26" s="17" t="n"/>
      <c r="AW26" s="17" t="n"/>
      <c r="AX26" s="17" t="n"/>
      <c r="AY26" s="17" t="n"/>
      <c r="AZ26" s="17" t="n"/>
      <c r="BA26" s="17" t="n"/>
      <c r="BB26" s="17" t="n"/>
    </row>
    <row r="27" ht="108" customHeight="1">
      <c r="A27" s="17" t="inlineStr">
        <is>
          <t>CICD-037</t>
        </is>
      </c>
      <c r="B27" s="17" t="inlineStr">
        <is>
          <t>06 Mapping</t>
        </is>
      </c>
      <c r="C27" s="17" t="inlineStr">
        <is>
          <t>Beginner</t>
        </is>
      </c>
      <c r="D27" s="17" t="n">
        <v>37</v>
      </c>
      <c r="E27" s="17" t="inlineStr">
        <is>
          <t>Claude knowledge</t>
        </is>
      </c>
      <c r="F27" s="18" t="inlineStr">
        <is>
          <t>Jenkins vs GitHub Actions</t>
        </is>
      </c>
      <c r="G27" s="18" t="inlineStr">
        <is>
          <t>How does the older Jenkins server compare with GitHub Actions?</t>
        </is>
      </c>
      <c r="H27" s="18" t="inlineStr">
        <is>
          <t>Reference</t>
        </is>
      </c>
      <c r="I27" s="18" t="inlineStr">
        <is>
          <t>Medium</t>
        </is>
      </c>
      <c r="J27" s="18" t="n">
        <v>3</v>
      </c>
      <c r="K27" s="18" t="inlineStr">
        <is>
          <t>Jenkins was an early popular automation server that you host yourself, while Actions arrived later built into GitHub.</t>
        </is>
      </c>
      <c r="L27" s="18" t="inlineStr">
        <is>
          <t>Learn the concepts first, since stages, jobs and agents appear in every tool.</t>
        </is>
      </c>
      <c r="M27" s="18" t="inlineStr">
        <is>
          <t>Jenkins is a workshop you own and maintain, and Actions is a workshop rented inside the GitHub building.</t>
        </is>
      </c>
      <c r="N27" s="18" t="inlineStr">
        <is>
          <t>A self-managed server on one side and a hosted service on the other.</t>
        </is>
      </c>
      <c r="O27" s="18" t="inlineStr">
        <is>
          <t>The calm of knowing the ideas carry over between tools.</t>
        </is>
      </c>
      <c r="P27" s="18" t="inlineStr">
        <is>
          <t>Jenkins is a self-hosted automation server configured through Jenkinsfiles and plugins, while GitHub Actions is a hosted service defined with YAML workflows next to the code.</t>
        </is>
      </c>
      <c r="Q27" s="17" t="n"/>
      <c r="R27" s="18" t="inlineStr">
        <is>
          <t>Jenkins offers deep customisation and a huge plugin ecosystem, but you maintain the server, plugins and agents. Actions removes server upkeep and integrates with pull requests, but is tied to GitHub. A Jenkinsfile defines stages and steps, similar to jobs and steps. Many customers still run Jenkins, so you will meet both.</t>
        </is>
      </c>
      <c r="S27" s="18" t="inlineStr">
        <is>
          <t>Same ideas, different packaging. Jenkins is self-managed and flexible, Actions is hosted and simple.</t>
        </is>
      </c>
      <c r="T27" s="18" t="inlineStr">
        <is>
          <t>Jenkins is a workshop you own, and Actions is one rented inside the GitHub building.</t>
        </is>
      </c>
      <c r="U27" s="18" t="inlineStr">
        <is>
          <t>Jenkins = host and maintain. Actions = hosted and integrated.</t>
        </is>
      </c>
      <c r="V27" s="18" t="inlineStr">
        <is>
          <t>A Jenkinsfile with stages for build and test.</t>
        </is>
      </c>
      <c r="W27" s="18" t="inlineStr">
        <is>
          <t>A workflow YAML doing the same on pull requests.</t>
        </is>
      </c>
      <c r="X27" s="18" t="inlineStr">
        <is>
          <t>A customer using Jenkins for older projects and Actions for new ones.</t>
        </is>
      </c>
      <c r="Y27" s="18" t="inlineStr">
        <is>
          <t>GitLab CI, Azure Pipelines, workflow file, runners</t>
        </is>
      </c>
      <c r="Z27" s="18" t="inlineStr">
        <is>
          <t>Jenkinsfile, plugin, agent, stage, workflow</t>
        </is>
      </c>
      <c r="AA27" s="18" t="inlineStr">
        <is>
          <t>Legacy systems | Migrations | Customer discovery</t>
        </is>
      </c>
      <c r="AB27" s="18" t="inlineStr">
        <is>
          <t>A: The customer runs Jenkins. | B: The concepts match, so we map stages to jobs.</t>
        </is>
      </c>
      <c r="AC27" s="18" t="inlineStr">
        <is>
          <t>✗ Jenkins is obsolete and nobody uses it → ✓ It is still widely used, especially in older enterprise setups</t>
        </is>
      </c>
      <c r="AD27" s="18" t="inlineStr">
        <is>
          <t>Jenkinsfile vs workflow: a Jenkinsfile uses stages and agents, a workflow uses jobs and runners.</t>
        </is>
      </c>
      <c r="AE27" s="18" t="inlineStr">
        <is>
          <t>Do not recommend a rewrite without a reason.</t>
        </is>
      </c>
      <c r="AF27" s="18" t="inlineStr">
        <is>
          <t>You host Jenkins, but you rent Actions.</t>
        </is>
      </c>
      <c r="AG27" s="18" t="inlineStr">
        <is>
          <t>Mapping a customer's Jenkins stages onto Actions jobs before a migration.</t>
        </is>
      </c>
      <c r="AH27" s="18" t="inlineStr">
        <is>
          <t>An interviewer may ask: How is Jenkins different from GitHub Actions?</t>
        </is>
      </c>
      <c r="AI27" s="18" t="inlineStr">
        <is>
          <t>It is like owning a workshop versus renting one.</t>
        </is>
      </c>
      <c r="AJ27" s="18" t="inlineStr">
        <is>
          <t>Which tool needs you to maintain the server?</t>
        </is>
      </c>
      <c r="AK27" s="18" t="inlineStr">
        <is>
          <t>A) GitHub-hosted Actions B) Both are hosted C) Jenkins D) Neither</t>
        </is>
      </c>
      <c r="AL27" s="18" t="inlineStr">
        <is>
          <t>C</t>
        </is>
      </c>
      <c r="AM27" s="18" t="inlineStr">
        <is>
          <t>Jenkins is self-hosted by default.</t>
        </is>
      </c>
      <c r="AN27" s="18" t="inlineStr">
        <is>
          <t>The file that defines a Jenkins pipeline is a ____ → Jenkinsfile</t>
        </is>
      </c>
      <c r="AO27" s="18" t="inlineStr">
        <is>
          <t>A customer wants less server upkeep for CI. What might you suggest? → A hosted service such as GitHub Actions</t>
        </is>
      </c>
      <c r="AP27" s="18" t="inlineStr">
        <is>
          <t>Explain Jenkins versus Actions in three lines.</t>
        </is>
      </c>
      <c r="AQ27" s="18" t="inlineStr">
        <is>
          <t>Map three Jenkins terms to their Actions equivalents.</t>
        </is>
      </c>
      <c r="AR27" s="17">
        <f>IF(J27="","",REPT("★",J27)&amp;REPT("☆",5-J27)&amp;" ("&amp;J27&amp;"/5)")</f>
        <v/>
      </c>
      <c r="AS27" s="17">
        <f>IF(Q27="","","Meaning: "&amp;Q27&amp;"  =  ______   (Answer: "&amp;F27&amp;")")</f>
        <v/>
      </c>
      <c r="AT27" s="17" t="inlineStr">
        <is>
          <t>New</t>
        </is>
      </c>
      <c r="AU27" s="17" t="n"/>
      <c r="AV27" s="17" t="n"/>
      <c r="AW27" s="17" t="n"/>
      <c r="AX27" s="17" t="n"/>
      <c r="AY27" s="17" t="n"/>
      <c r="AZ27" s="17" t="n"/>
      <c r="BA27" s="17" t="n"/>
      <c r="BB27" s="17" t="n"/>
    </row>
    <row r="28" ht="108" customHeight="1">
      <c r="A28" s="17" t="inlineStr">
        <is>
          <t>CICD-038</t>
        </is>
      </c>
      <c r="B28" s="17" t="inlineStr">
        <is>
          <t>06 Mapping</t>
        </is>
      </c>
      <c r="C28" s="17" t="inlineStr">
        <is>
          <t>Beginner</t>
        </is>
      </c>
      <c r="D28" s="17" t="n">
        <v>38</v>
      </c>
      <c r="E28" s="17" t="inlineStr">
        <is>
          <t>Claude knowledge</t>
        </is>
      </c>
      <c r="F28" s="18" t="inlineStr">
        <is>
          <t>GitLab CI vs GitHub Actions</t>
        </is>
      </c>
      <c r="G28" s="18" t="inlineStr">
        <is>
          <t>How do GitLab CI and GitHub Actions compare in structure and wording?</t>
        </is>
      </c>
      <c r="H28" s="18" t="inlineStr">
        <is>
          <t>Reference</t>
        </is>
      </c>
      <c r="I28" s="18" t="inlineStr">
        <is>
          <t>Medium</t>
        </is>
      </c>
      <c r="J28" s="18" t="n">
        <v>3</v>
      </c>
      <c r="K28" s="18" t="inlineStr">
        <is>
          <t>GitLab built CI into its platform early, and GitHub later added Actions, so both now offer similar built-in pipelines.</t>
        </is>
      </c>
      <c r="L28" s="18" t="inlineStr">
        <is>
          <t>Translate by concept, such as stage to job order and runner to runner.</t>
        </is>
      </c>
      <c r="M28" s="18" t="inlineStr">
        <is>
          <t>They are two languages describing the same factory line.</t>
        </is>
      </c>
      <c r="N28" s="18" t="inlineStr">
        <is>
          <t>Two YAML files side by side with matching parts.</t>
        </is>
      </c>
      <c r="O28" s="18" t="inlineStr">
        <is>
          <t>The comfort of recognising familiar ideas.</t>
        </is>
      </c>
      <c r="P28" s="18" t="inlineStr">
        <is>
          <t>GitLab CI defines pipelines in a .gitlab-ci.yml file with stages and jobs, while GitHub Actions uses workflow files with jobs and steps.</t>
        </is>
      </c>
      <c r="Q28" s="17" t="n"/>
      <c r="R28" s="18" t="inlineStr">
        <is>
          <t>In GitLab, jobs belong to stages that run in order, and runners execute them. In Actions, jobs depend on each other with needs. GitLab uses cache and artifacts keywords, similar to Actions caching and artifacts. GitLab has built-in container registry and environments. Actions has a large marketplace of reusable actions.</t>
        </is>
      </c>
      <c r="S28" s="18" t="inlineStr">
        <is>
          <t>Both are YAML pipelines with jobs and runners, and the main differences are naming and ecosystem.</t>
        </is>
      </c>
      <c r="T28" s="18" t="inlineStr">
        <is>
          <t>They are two languages describing the same factory line.</t>
        </is>
      </c>
      <c r="U28" s="18" t="inlineStr">
        <is>
          <t>GitLab stage and job ≈ Actions job order and job.</t>
        </is>
      </c>
      <c r="V28" s="18" t="inlineStr">
        <is>
          <t>A .gitlab-ci.yml with build and test stages.</t>
        </is>
      </c>
      <c r="W28" s="18" t="inlineStr">
        <is>
          <t>An Actions workflow with needs between jobs.</t>
        </is>
      </c>
      <c r="X28" s="18" t="inlineStr">
        <is>
          <t>Translating a GitLab cache block into an Actions cache step.</t>
        </is>
      </c>
      <c r="Y28" s="18" t="inlineStr">
        <is>
          <t>Jenkins, Azure Pipelines, workflow file, runners</t>
        </is>
      </c>
      <c r="Z28" s="18" t="inlineStr">
        <is>
          <t>.gitlab-ci.yml, stage, job, runner, variable</t>
        </is>
      </c>
      <c r="AA28" s="18" t="inlineStr">
        <is>
          <t>Customer migrations | Multi-tool teams | Interviews</t>
        </is>
      </c>
      <c r="AB28" s="18" t="inlineStr">
        <is>
          <t>A: Our pipeline is in GitLab. | B: The ideas map directly to Actions jobs and runners.</t>
        </is>
      </c>
      <c r="AC28" s="18" t="inlineStr">
        <is>
          <t>✗ The two tools cannot be compared because they work differently → ✓ They share the same concepts and differ mostly in syntax</t>
        </is>
      </c>
      <c r="AD28" s="18" t="inlineStr">
        <is>
          <t>GitLab stages vs Actions needs: stages group order, needs links specific jobs.</t>
        </is>
      </c>
      <c r="AE28" s="18" t="inlineStr">
        <is>
          <t>Do not translate line by line without checking behaviour.</t>
        </is>
      </c>
      <c r="AF28" s="18" t="inlineStr">
        <is>
          <t>The same concepts wear different keywords here.</t>
        </is>
      </c>
      <c r="AG28" s="18" t="inlineStr">
        <is>
          <t>Porting a GitLab pipeline to Actions by mapping stages to chained jobs.</t>
        </is>
      </c>
      <c r="AH28" s="18" t="inlineStr">
        <is>
          <t>An interviewer may ask: What is the equivalent of a GitLab stage in Actions?</t>
        </is>
      </c>
      <c r="AI28" s="18" t="inlineStr">
        <is>
          <t>It is like two languages for the same line.</t>
        </is>
      </c>
      <c r="AJ28" s="18" t="inlineStr">
        <is>
          <t>Which GitLab file defines the pipeline?</t>
        </is>
      </c>
      <c r="AK28" s="18" t="inlineStr">
        <is>
          <t>A) Makefile B) workflow.json C) Jenkinsfile D) .gitlab-ci.yml</t>
        </is>
      </c>
      <c r="AL28" s="18" t="inlineStr">
        <is>
          <t>D</t>
        </is>
      </c>
      <c r="AM28" s="18" t="inlineStr">
        <is>
          <t>GitLab reads pipeline definitions from .gitlab-ci.yml.</t>
        </is>
      </c>
      <c r="AN28" s="18" t="inlineStr">
        <is>
          <t>GitLab groups jobs that run in order into ____ → stages</t>
        </is>
      </c>
      <c r="AO28" s="18" t="inlineStr">
        <is>
          <t>You must move a GitLab pipeline to Actions. What do you map first? → Stages and jobs to chained jobs</t>
        </is>
      </c>
      <c r="AP28" s="18" t="inlineStr">
        <is>
          <t>Explain how GitLab CI maps to Actions in three lines.</t>
        </is>
      </c>
      <c r="AQ28" s="18" t="inlineStr">
        <is>
          <t>List four matching terms between the two tools.</t>
        </is>
      </c>
      <c r="AR28" s="17">
        <f>IF(J28="","",REPT("★",J28)&amp;REPT("☆",5-J28)&amp;" ("&amp;J28&amp;"/5)")</f>
        <v/>
      </c>
      <c r="AS28" s="17">
        <f>IF(Q28="","","Meaning: "&amp;Q28&amp;"  =  ______   (Answer: "&amp;F28&amp;")")</f>
        <v/>
      </c>
      <c r="AT28" s="17" t="inlineStr">
        <is>
          <t>New</t>
        </is>
      </c>
      <c r="AU28" s="17" t="n"/>
      <c r="AV28" s="17" t="n"/>
      <c r="AW28" s="17" t="n"/>
      <c r="AX28" s="17" t="n"/>
      <c r="AY28" s="17" t="n"/>
      <c r="AZ28" s="17" t="n"/>
      <c r="BA28" s="17" t="n"/>
      <c r="BB28" s="17" t="n"/>
    </row>
    <row r="29" ht="108" customHeight="1">
      <c r="A29" s="17" t="inlineStr">
        <is>
          <t>CICD-039</t>
        </is>
      </c>
      <c r="B29" s="17" t="inlineStr">
        <is>
          <t>06 Mapping</t>
        </is>
      </c>
      <c r="C29" s="17" t="inlineStr">
        <is>
          <t>Beginner</t>
        </is>
      </c>
      <c r="D29" s="17" t="n">
        <v>39</v>
      </c>
      <c r="E29" s="17" t="inlineStr">
        <is>
          <t>Claude knowledge</t>
        </is>
      </c>
      <c r="F29" s="18" t="inlineStr">
        <is>
          <t>Azure Pipelines vs GitHub Actions</t>
        </is>
      </c>
      <c r="G29" s="18" t="inlineStr">
        <is>
          <t>How do Azure Pipelines and GitHub Actions compare?</t>
        </is>
      </c>
      <c r="H29" s="18" t="inlineStr">
        <is>
          <t>Reference</t>
        </is>
      </c>
      <c r="I29" s="18" t="inlineStr">
        <is>
          <t>Medium</t>
        </is>
      </c>
      <c r="J29" s="18" t="n">
        <v>3</v>
      </c>
      <c r="K29" s="18" t="inlineStr">
        <is>
          <t>Microsoft owns both, so Azure Pipelines grew in Azure DevOps and Actions grew in GitHub with similar goals.</t>
        </is>
      </c>
      <c r="L29" s="18" t="inlineStr">
        <is>
          <t>Check which service hosts the customer's code, since that often decides the tool.</t>
        </is>
      </c>
      <c r="M29" s="18" t="inlineStr">
        <is>
          <t>They are siblings from the same family with different house rules.</t>
        </is>
      </c>
      <c r="N29" s="18" t="inlineStr">
        <is>
          <t>An azure-pipelines.yml next to a workflow file.</t>
        </is>
      </c>
      <c r="O29" s="18" t="inlineStr">
        <is>
          <t>The ease of reading either file after learning one.</t>
        </is>
      </c>
      <c r="P29" s="18" t="inlineStr">
        <is>
          <t>Azure Pipelines defines builds and releases in azure-pipelines.yml with stages, jobs and tasks, while Actions uses workflows with jobs and steps.</t>
        </is>
      </c>
      <c r="Q29" s="17" t="n"/>
      <c r="R29" s="18" t="inlineStr">
        <is>
          <t>Pipelines supports stages, jobs, steps and tasks, with pools of agents that run them. Variable groups and service connections hold settings and cloud access. Both tools support YAML, templates and approvals through environments. Pipelines is common in organisations that already use Azure DevOps boards and repositories.</t>
        </is>
      </c>
      <c r="S29" s="18" t="inlineStr">
        <is>
          <t>Almost the same ideas with different names, such as agent pool for runner.</t>
        </is>
      </c>
      <c r="T29" s="18" t="inlineStr">
        <is>
          <t>They are siblings from the same family with different house rules.</t>
        </is>
      </c>
      <c r="U29" s="18" t="inlineStr">
        <is>
          <t>Agent pool ≈ runner. Task ≈ action. Service connection ≈ OIDC role.</t>
        </is>
      </c>
      <c r="V29" s="18" t="inlineStr">
        <is>
          <t>An azure-pipelines.yml with a build stage.</t>
        </is>
      </c>
      <c r="W29" s="18" t="inlineStr">
        <is>
          <t>A variable group holding settings.</t>
        </is>
      </c>
      <c r="X29" s="18" t="inlineStr">
        <is>
          <t>A service connection to deploy to Azure.</t>
        </is>
      </c>
      <c r="Y29" s="18" t="inlineStr">
        <is>
          <t>Jenkins, GitLab CI, environments, OIDC</t>
        </is>
      </c>
      <c r="Z29" s="18" t="inlineStr">
        <is>
          <t>agent pool, task, service connection, variable group, stage</t>
        </is>
      </c>
      <c r="AA29" s="18" t="inlineStr">
        <is>
          <t>Azure customers | Enterprises | Migrations</t>
        </is>
      </c>
      <c r="AB29" s="18" t="inlineStr">
        <is>
          <t>A: Our code is in Azure DevOps. | B: Then Azure Pipelines is the natural choice.</t>
        </is>
      </c>
      <c r="AC29" s="18" t="inlineStr">
        <is>
          <t>✗ Azure Pipelines can only deploy to Azure → ✓ It can build and deploy to many targets</t>
        </is>
      </c>
      <c r="AD29" s="18" t="inlineStr">
        <is>
          <t>Task vs action: Azure Pipelines uses tasks, GitHub uses actions.</t>
        </is>
      </c>
      <c r="AE29" s="18" t="inlineStr">
        <is>
          <t>Do not assume the customer wants GitHub just because you do.</t>
        </is>
      </c>
      <c r="AF29" s="18" t="inlineStr">
        <is>
          <t>Agent pools are runners in Azure words.</t>
        </is>
      </c>
      <c r="AG29" s="18" t="inlineStr">
        <is>
          <t>Reading a customer's Azure pipeline and planning an equivalent workflow.</t>
        </is>
      </c>
      <c r="AH29" s="18" t="inlineStr">
        <is>
          <t>An interviewer may ask: What is the Azure Pipelines equivalent of a runner?</t>
        </is>
      </c>
      <c r="AI29" s="18" t="inlineStr">
        <is>
          <t>It is like siblings with different house rules.</t>
        </is>
      </c>
      <c r="AJ29" s="18" t="inlineStr">
        <is>
          <t>What does Azure Pipelines call machines that run jobs?</t>
        </is>
      </c>
      <c r="AK29" s="18" t="inlineStr">
        <is>
          <t>A) Runners only B) Agents in pools C) Nodes only D) Workers only</t>
        </is>
      </c>
      <c r="AL29" s="18" t="inlineStr">
        <is>
          <t>B</t>
        </is>
      </c>
      <c r="AM29" s="18" t="inlineStr">
        <is>
          <t>Jobs run on agents grouped into pools.</t>
        </is>
      </c>
      <c r="AN29" s="18" t="inlineStr">
        <is>
          <t>In Azure Pipelines a saved link for deploying to a cloud is a service ____ → connection</t>
        </is>
      </c>
      <c r="AO29" s="18" t="inlineStr">
        <is>
          <t>A customer keeps code in Azure DevOps. Which tool fits naturally? → Azure Pipelines</t>
        </is>
      </c>
      <c r="AP29" s="18" t="inlineStr">
        <is>
          <t>Explain Azure Pipelines versus Actions in three lines.</t>
        </is>
      </c>
      <c r="AQ29" s="18" t="inlineStr">
        <is>
          <t>Map three Azure Pipelines terms to Actions terms.</t>
        </is>
      </c>
      <c r="AR29" s="17">
        <f>IF(J29="","",REPT("★",J29)&amp;REPT("☆",5-J29)&amp;" ("&amp;J29&amp;"/5)")</f>
        <v/>
      </c>
      <c r="AS29" s="17">
        <f>IF(Q29="","","Meaning: "&amp;Q29&amp;"  =  ______   (Answer: "&amp;F29&amp;")")</f>
        <v/>
      </c>
      <c r="AT29" s="17" t="inlineStr">
        <is>
          <t>New</t>
        </is>
      </c>
      <c r="AU29" s="17" t="n"/>
      <c r="AV29" s="17" t="n"/>
      <c r="AW29" s="17" t="n"/>
      <c r="AX29" s="17" t="n"/>
      <c r="AY29" s="17" t="n"/>
      <c r="AZ29" s="17" t="n"/>
      <c r="BA29" s="17" t="n"/>
      <c r="BB29" s="17" t="n"/>
    </row>
    <row r="30" ht="108" customHeight="1">
      <c r="A30" s="17" t="inlineStr">
        <is>
          <t>CICD-040</t>
        </is>
      </c>
      <c r="B30" s="17" t="inlineStr">
        <is>
          <t>06 Mapping</t>
        </is>
      </c>
      <c r="C30" s="17" t="inlineStr">
        <is>
          <t>Intermediate</t>
        </is>
      </c>
      <c r="D30" s="17" t="n">
        <v>40</v>
      </c>
      <c r="E30" s="17" t="inlineStr">
        <is>
          <t>Claude knowledge</t>
        </is>
      </c>
      <c r="F30" s="18" t="inlineStr">
        <is>
          <t>Choosing a CI/CD tool</t>
        </is>
      </c>
      <c r="G30" s="18" t="inlineStr">
        <is>
          <t>Which questions decide the CI/CD tool for a customer?</t>
        </is>
      </c>
      <c r="H30" s="18" t="inlineStr">
        <is>
          <t>Reference</t>
        </is>
      </c>
      <c r="I30" s="18" t="inlineStr">
        <is>
          <t>Medium</t>
        </is>
      </c>
      <c r="J30" s="18" t="n">
        <v>4</v>
      </c>
      <c r="K30" s="18" t="inlineStr">
        <is>
          <t>Every customer already has code, clouds and habits, so the best tool depends on context rather than fame.</t>
        </is>
      </c>
      <c r="L30" s="18" t="inlineStr">
        <is>
          <t>Use the tool next to the code unless a requirement says otherwise.</t>
        </is>
      </c>
      <c r="M30" s="18" t="inlineStr">
        <is>
          <t>Choosing a tool is choosing a vehicle for the road, not for the brochure.</t>
        </is>
      </c>
      <c r="N30" s="18" t="inlineStr">
        <is>
          <t>A checklist with hosting, security, cost and skills.</t>
        </is>
      </c>
      <c r="O30" s="18" t="inlineStr">
        <is>
          <t>The clarity of a decision based on facts.</t>
        </is>
      </c>
      <c r="P30" s="18" t="inlineStr">
        <is>
          <t>Choosing a CI/CD tool means weighing where the code lives, security and compliance needs, private network access, cost and team skills.</t>
        </is>
      </c>
      <c r="Q30" s="17" t="n"/>
      <c r="R30" s="18" t="inlineStr">
        <is>
          <t>Ask where the repository is hosted, whether jobs must reach private systems, and who maintains the servers. Check compliance needs, such as audit logs and approvals. Consider cost in minutes and in staff time. Migrating pipelines has its own cost, so avoid it without a clear gain. Prefer standard, portable steps such as scripts and containers.</t>
        </is>
      </c>
      <c r="S30" s="18" t="inlineStr">
        <is>
          <t>Start from where the code lives and what the customer must keep private, then compare cost and skills.</t>
        </is>
      </c>
      <c r="T30" s="18" t="inlineStr">
        <is>
          <t>It is choosing a vehicle for the road, not for the brochure.</t>
        </is>
      </c>
      <c r="U30" s="18" t="inlineStr">
        <is>
          <t>Code location + security + network + cost + skills.</t>
        </is>
      </c>
      <c r="V30" s="18" t="inlineStr">
        <is>
          <t>A GitHub repository with Actions as the natural choice.</t>
        </is>
      </c>
      <c r="W30" s="18" t="inlineStr">
        <is>
          <t>A bank needing self-hosted runners in a private network.</t>
        </is>
      </c>
      <c r="X30" s="18" t="inlineStr">
        <is>
          <t>A team keeping Jenkins because migration is costly.</t>
        </is>
      </c>
      <c r="Y30" s="18" t="inlineStr">
        <is>
          <t>Jenkins, GitLab CI, Azure Pipelines, self-hosted runners</t>
        </is>
      </c>
      <c r="Z30" s="18" t="inlineStr">
        <is>
          <t>requirements, hosting, compliance, portability, cost</t>
        </is>
      </c>
      <c r="AA30" s="18" t="inlineStr">
        <is>
          <t>Proposals | Migrations | Platform decisions</t>
        </is>
      </c>
      <c r="AB30" s="18" t="inlineStr">
        <is>
          <t>A: Which CI tool should we use? | B: The one next to the code, unless security rules say otherwise.</t>
        </is>
      </c>
      <c r="AC30" s="18" t="inlineStr">
        <is>
          <t>✗ The newest CI tool is always the best choice → ✓ The best tool fits the customer's code, rules and skills</t>
        </is>
      </c>
      <c r="AD30" s="18" t="inlineStr">
        <is>
          <t>Hosted vs self-hosted: hosted is simpler, self-hosted gives control and private access.</t>
        </is>
      </c>
      <c r="AE30" s="18" t="inlineStr">
        <is>
          <t>Do not migrate pipelines without a clear benefit.</t>
        </is>
      </c>
      <c r="AF30" s="18" t="inlineStr">
        <is>
          <t>Fit the customer, not the fashion.</t>
        </is>
      </c>
      <c r="AG30" s="18" t="inlineStr">
        <is>
          <t>Recommending Actions for a GitHub customer while keeping private test runners.</t>
        </is>
      </c>
      <c r="AH30" s="18" t="inlineStr">
        <is>
          <t>An interviewer may ask: How would you choose a CI tool?</t>
        </is>
      </c>
      <c r="AI30" s="18" t="inlineStr">
        <is>
          <t>It is like choosing a vehicle for the road.</t>
        </is>
      </c>
      <c r="AJ30" s="18" t="inlineStr">
        <is>
          <t>What should usually decide the tool?</t>
        </is>
      </c>
      <c r="AK30" s="18" t="inlineStr">
        <is>
          <t>A) Where the code lives and the customer's needs B) Personal taste C) Random choice D) The logo</t>
        </is>
      </c>
      <c r="AL30" s="18" t="inlineStr">
        <is>
          <t>A</t>
        </is>
      </c>
      <c r="AM30" s="18" t="inlineStr">
        <is>
          <t>Context decides, since tools share the same ideas.</t>
        </is>
      </c>
      <c r="AN30" s="18" t="inlineStr">
        <is>
          <t>Steps written as scripts are more ____ between tools → portable</t>
        </is>
      </c>
      <c r="AO30" s="18" t="inlineStr">
        <is>
          <t>A customer's code is on GitHub and jobs need no private access. What tool? → GitHub Actions</t>
        </is>
      </c>
      <c r="AP30" s="18" t="inlineStr">
        <is>
          <t>Explain how to choose a CI/CD tool in three lines.</t>
        </is>
      </c>
      <c r="AQ30" s="18" t="inlineStr">
        <is>
          <t>Write five questions to ask a customer about CI/CD.</t>
        </is>
      </c>
      <c r="AR30" s="17">
        <f>IF(J30="","",REPT("★",J30)&amp;REPT("☆",5-J30)&amp;" ("&amp;J30&amp;"/5)")</f>
        <v/>
      </c>
      <c r="AS30" s="17">
        <f>IF(Q30="","","Meaning: "&amp;Q30&amp;"  =  ______   (Answer: "&amp;F30&amp;")")</f>
        <v/>
      </c>
      <c r="AT30" s="17" t="inlineStr">
        <is>
          <t>New</t>
        </is>
      </c>
      <c r="AU30" s="17" t="n"/>
      <c r="AV30" s="17" t="n"/>
      <c r="AW30" s="17" t="n"/>
      <c r="AX30" s="17" t="n"/>
      <c r="AY30" s="17" t="n"/>
      <c r="AZ30" s="17" t="n"/>
      <c r="BA30" s="17" t="n"/>
      <c r="BB30" s="17" t="n"/>
    </row>
  </sheetData>
  <autoFilter ref="A2:BB30"/>
  <mergeCells count="6">
    <mergeCell ref="F1:O1"/>
    <mergeCell ref="AT1:BB1"/>
    <mergeCell ref="AR1:AS1"/>
    <mergeCell ref="A1:E1"/>
    <mergeCell ref="AJ1:AQ1"/>
    <mergeCell ref="P1:AI1"/>
  </mergeCells>
  <dataValidations count="2">
    <dataValidation sqref="AT3:AT30" showDropDown="0" showInputMessage="0" showErrorMessage="0" allowBlank="1" type="list">
      <formula1>"New,Learning,Known"</formula1>
    </dataValidation>
    <dataValidation sqref="BA3:BA30" showDropDown="0" showInputMessage="0" showErrorMessage="0" allowBlank="1" type="list">
      <formula1>"OK,Fix"</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9"/>
  <sheetViews>
    <sheetView showGridLines="0" workbookViewId="0">
      <pane ySplit="3" topLeftCell="A4" activePane="bottomLeft" state="frozen"/>
      <selection pane="bottomLeft" activeCell="A1" sqref="A1"/>
    </sheetView>
  </sheetViews>
  <sheetFormatPr baseColWidth="8" defaultRowHeight="15"/>
  <cols>
    <col width="28" customWidth="1" min="1" max="1"/>
    <col width="100" customWidth="1" min="2" max="2"/>
  </cols>
  <sheetData>
    <row r="1">
      <c r="A1" s="20" t="inlineStr">
        <is>
          <t>Topic (56-pt) · card view</t>
        </is>
      </c>
    </row>
    <row r="2">
      <c r="A2" s="21" t="inlineStr">
        <is>
          <t>Card ID chuno ▸</t>
        </is>
      </c>
      <c r="B2" s="22" t="inlineStr">
        <is>
          <t>CICD-001</t>
        </is>
      </c>
    </row>
    <row r="4">
      <c r="A4" s="23" t="inlineStr">
        <is>
          <t>FRONT · Recognition (pehchano)</t>
        </is>
      </c>
    </row>
    <row r="5" ht="30" customHeight="1">
      <c r="A5" s="24" t="inlineStr">
        <is>
          <t>ID</t>
        </is>
      </c>
      <c r="B5" s="17">
        <f>INDEX('Topic (56-pt) cards'!$A$3:$BB$30,MATCH($B$2,'Topic (56-pt) cards'!$A$3:$A$30,0),MATCH("ID",'Topic (56-pt) cards'!$A$2:$BB$2,0))&amp;""</f>
        <v/>
      </c>
    </row>
    <row r="6" ht="30" customHeight="1">
      <c r="A6" s="24" t="inlineStr">
        <is>
          <t>Topic</t>
        </is>
      </c>
      <c r="B6" s="17">
        <f>INDEX('Topic (56-pt) cards'!$A$3:$BB$30,MATCH($B$2,'Topic (56-pt) cards'!$A$3:$A$30,0),MATCH("Topic",'Topic (56-pt) cards'!$A$2:$BB$2,0))&amp;""</f>
        <v/>
      </c>
    </row>
    <row r="7" ht="30" customHeight="1">
      <c r="A7" s="24" t="inlineStr">
        <is>
          <t>Level</t>
        </is>
      </c>
      <c r="B7" s="17">
        <f>INDEX('Topic (56-pt) cards'!$A$3:$BB$30,MATCH($B$2,'Topic (56-pt) cards'!$A$3:$A$30,0),MATCH("Level",'Topic (56-pt) cards'!$A$2:$BB$2,0))&amp;""</f>
        <v/>
      </c>
    </row>
    <row r="8" ht="30" customHeight="1">
      <c r="A8" s="24" t="inlineStr">
        <is>
          <t>Term / topic</t>
        </is>
      </c>
      <c r="B8" s="17">
        <f>INDEX('Topic (56-pt) cards'!$A$3:$BB$30,MATCH($B$2,'Topic (56-pt) cards'!$A$3:$A$30,0),MATCH("Term / topic",'Topic (56-pt) cards'!$A$2:$BB$2,0))&amp;""</f>
        <v/>
      </c>
    </row>
    <row r="9" ht="30" customHeight="1">
      <c r="A9" s="24" t="inlineStr">
        <is>
          <t>Recall cue</t>
        </is>
      </c>
      <c r="B9" s="17">
        <f>INDEX('Topic (56-pt) cards'!$A$3:$BB$30,MATCH($B$2,'Topic (56-pt) cards'!$A$3:$A$30,0),MATCH("Recall cue",'Topic (56-pt) cards'!$A$2:$BB$2,0))&amp;""</f>
        <v/>
      </c>
    </row>
    <row r="10" ht="30" customHeight="1">
      <c r="A10" s="24" t="inlineStr">
        <is>
          <t>Category</t>
        </is>
      </c>
      <c r="B10" s="17">
        <f>INDEX('Topic (56-pt) cards'!$A$3:$BB$30,MATCH($B$2,'Topic (56-pt) cards'!$A$3:$A$30,0),MATCH("Category",'Topic (56-pt) cards'!$A$2:$BB$2,0))&amp;""</f>
        <v/>
      </c>
    </row>
    <row r="11" ht="30" customHeight="1">
      <c r="A11" s="24" t="inlineStr">
        <is>
          <t>How often used</t>
        </is>
      </c>
      <c r="B11" s="17">
        <f>INDEX('Topic (56-pt) cards'!$A$3:$BB$30,MATCH($B$2,'Topic (56-pt) cards'!$A$3:$A$30,0),MATCH("How often used",'Topic (56-pt) cards'!$A$2:$BB$2,0))&amp;""</f>
        <v/>
      </c>
    </row>
    <row r="12" ht="30" customHeight="1">
      <c r="A12" s="24" t="inlineStr">
        <is>
          <t>Importance (1-5)</t>
        </is>
      </c>
      <c r="B12" s="17">
        <f>INDEX('Topic (56-pt) cards'!$A$3:$BB$30,MATCH($B$2,'Topic (56-pt) cards'!$A$3:$A$30,0),MATCH("Importance (1-5)",'Topic (56-pt) cards'!$A$2:$BB$2,0))&amp;""</f>
        <v/>
      </c>
    </row>
    <row r="13" ht="30" customHeight="1">
      <c r="A13" s="24" t="inlineStr">
        <is>
          <t>Origin / why it exists</t>
        </is>
      </c>
      <c r="B13" s="17">
        <f>INDEX('Topic (56-pt) cards'!$A$3:$BB$30,MATCH($B$2,'Topic (56-pt) cards'!$A$3:$A$30,0),MATCH("Origin / why it exists",'Topic (56-pt) cards'!$A$2:$BB$2,0))&amp;""</f>
        <v/>
      </c>
    </row>
    <row r="14" ht="30" customHeight="1">
      <c r="A14" s="24" t="inlineStr">
        <is>
          <t>Pro tip</t>
        </is>
      </c>
      <c r="B14" s="17">
        <f>INDEX('Topic (56-pt) cards'!$A$3:$BB$30,MATCH($B$2,'Topic (56-pt) cards'!$A$3:$A$30,0),MATCH("Pro tip",'Topic (56-pt) cards'!$A$2:$BB$2,0))&amp;""</f>
        <v/>
      </c>
    </row>
    <row r="15" ht="30" customHeight="1">
      <c r="A15" s="24" t="inlineStr">
        <is>
          <t>Memory story</t>
        </is>
      </c>
      <c r="B15" s="17">
        <f>INDEX('Topic (56-pt) cards'!$A$3:$BB$30,MATCH($B$2,'Topic (56-pt) cards'!$A$3:$A$30,0),MATCH("Memory story",'Topic (56-pt) cards'!$A$2:$BB$2,0))&amp;""</f>
        <v/>
      </c>
    </row>
    <row r="16" ht="30" customHeight="1">
      <c r="A16" s="24" t="inlineStr">
        <is>
          <t>Picture it</t>
        </is>
      </c>
      <c r="B16" s="17">
        <f>INDEX('Topic (56-pt) cards'!$A$3:$BB$30,MATCH($B$2,'Topic (56-pt) cards'!$A$3:$A$30,0),MATCH("Picture it",'Topic (56-pt) cards'!$A$2:$BB$2,0))&amp;""</f>
        <v/>
      </c>
    </row>
    <row r="17" ht="30" customHeight="1">
      <c r="A17" s="24" t="inlineStr">
        <is>
          <t>Emotion hook</t>
        </is>
      </c>
      <c r="B17" s="17">
        <f>INDEX('Topic (56-pt) cards'!$A$3:$BB$30,MATCH($B$2,'Topic (56-pt) cards'!$A$3:$A$30,0),MATCH("Emotion hook",'Topic (56-pt) cards'!$A$2:$BB$2,0))&amp;""</f>
        <v/>
      </c>
    </row>
    <row r="18" ht="30" customHeight="1">
      <c r="A18" s="24" t="inlineStr">
        <is>
          <t>Importance ★</t>
        </is>
      </c>
      <c r="B18" s="17">
        <f>INDEX('Topic (56-pt) cards'!$A$3:$BB$30,MATCH($B$2,'Topic (56-pt) cards'!$A$3:$A$30,0),MATCH("Importance ★",'Topic (56-pt) cards'!$A$2:$BB$2,0))&amp;""</f>
        <v/>
      </c>
    </row>
    <row r="19">
      <c r="A19" s="25" t="inlineStr">
        <is>
          <t>BACK · Understanding (samjho)</t>
        </is>
      </c>
    </row>
    <row r="20" ht="30" customHeight="1">
      <c r="A20" s="24" t="inlineStr">
        <is>
          <t>Definition (simple)</t>
        </is>
      </c>
      <c r="B20" s="17">
        <f>INDEX('Topic (56-pt) cards'!$A$3:$BB$30,MATCH($B$2,'Topic (56-pt) cards'!$A$3:$A$30,0),MATCH("Definition (simple)",'Topic (56-pt) cards'!$A$2:$BB$2,0))&amp;""</f>
        <v/>
      </c>
    </row>
    <row r="21" ht="30" customHeight="1">
      <c r="A21" s="24" t="inlineStr">
        <is>
          <t>Meaning in learner's language</t>
        </is>
      </c>
      <c r="B21" s="17">
        <f>INDEX('Topic (56-pt) cards'!$A$3:$BB$30,MATCH($B$2,'Topic (56-pt) cards'!$A$3:$A$30,0),MATCH("Meaning in learner's language",'Topic (56-pt) cards'!$A$2:$BB$2,0))&amp;""</f>
        <v/>
      </c>
    </row>
    <row r="22" ht="67.5" customHeight="1">
      <c r="A22" s="24" t="inlineStr">
        <is>
          <t>How / why it works</t>
        </is>
      </c>
      <c r="B22" s="17">
        <f>INDEX('Topic (56-pt) cards'!$A$3:$BB$30,MATCH($B$2,'Topic (56-pt) cards'!$A$3:$A$30,0),MATCH("How / why it works",'Topic (56-pt) cards'!$A$2:$BB$2,0))&amp;""</f>
        <v/>
      </c>
    </row>
    <row r="23" ht="30" customHeight="1">
      <c r="A23" s="24" t="inlineStr">
        <is>
          <t>Simple explanation (Hinglish)</t>
        </is>
      </c>
      <c r="B23" s="17">
        <f>INDEX('Topic (56-pt) cards'!$A$3:$BB$30,MATCH($B$2,'Topic (56-pt) cards'!$A$3:$A$30,0),MATCH("Simple explanation (Hinglish)",'Topic (56-pt) cards'!$A$2:$BB$2,0))&amp;""</f>
        <v/>
      </c>
    </row>
    <row r="24" ht="30" customHeight="1">
      <c r="A24" s="24" t="inlineStr">
        <is>
          <t>Real-life analogy</t>
        </is>
      </c>
      <c r="B24" s="17">
        <f>INDEX('Topic (56-pt) cards'!$A$3:$BB$30,MATCH($B$2,'Topic (56-pt) cards'!$A$3:$A$30,0),MATCH("Real-life analogy",'Topic (56-pt) cards'!$A$2:$BB$2,0))&amp;""</f>
        <v/>
      </c>
    </row>
    <row r="25" ht="30" customHeight="1">
      <c r="A25" s="24" t="inlineStr">
        <is>
          <t>Formula / rule</t>
        </is>
      </c>
      <c r="B25" s="17">
        <f>INDEX('Topic (56-pt) cards'!$A$3:$BB$30,MATCH($B$2,'Topic (56-pt) cards'!$A$3:$A$30,0),MATCH("Formula / rule",'Topic (56-pt) cards'!$A$2:$BB$2,0))&amp;""</f>
        <v/>
      </c>
    </row>
    <row r="26" ht="30" customHeight="1">
      <c r="A26" s="24" t="inlineStr">
        <is>
          <t>Example 1</t>
        </is>
      </c>
      <c r="B26" s="17">
        <f>INDEX('Topic (56-pt) cards'!$A$3:$BB$30,MATCH($B$2,'Topic (56-pt) cards'!$A$3:$A$30,0),MATCH("Example 1",'Topic (56-pt) cards'!$A$2:$BB$2,0))&amp;""</f>
        <v/>
      </c>
    </row>
    <row r="27" ht="30" customHeight="1">
      <c r="A27" s="24" t="inlineStr">
        <is>
          <t>Example 2</t>
        </is>
      </c>
      <c r="B27" s="17">
        <f>INDEX('Topic (56-pt) cards'!$A$3:$BB$30,MATCH($B$2,'Topic (56-pt) cards'!$A$3:$A$30,0),MATCH("Example 2",'Topic (56-pt) cards'!$A$2:$BB$2,0))&amp;""</f>
        <v/>
      </c>
    </row>
    <row r="28" ht="30" customHeight="1">
      <c r="A28" s="24" t="inlineStr">
        <is>
          <t>Example 3</t>
        </is>
      </c>
      <c r="B28" s="17">
        <f>INDEX('Topic (56-pt) cards'!$A$3:$BB$30,MATCH($B$2,'Topic (56-pt) cards'!$A$3:$A$30,0),MATCH("Example 3",'Topic (56-pt) cards'!$A$2:$BB$2,0))&amp;""</f>
        <v/>
      </c>
    </row>
    <row r="29" ht="30" customHeight="1">
      <c r="A29" s="24" t="inlineStr">
        <is>
          <t>Related concepts</t>
        </is>
      </c>
      <c r="B29" s="17">
        <f>INDEX('Topic (56-pt) cards'!$A$3:$BB$30,MATCH($B$2,'Topic (56-pt) cards'!$A$3:$A$30,0),MATCH("Related concepts",'Topic (56-pt) cards'!$A$2:$BB$2,0))&amp;""</f>
        <v/>
      </c>
    </row>
    <row r="30" ht="30" customHeight="1">
      <c r="A30" s="24" t="inlineStr">
        <is>
          <t>Family / group</t>
        </is>
      </c>
      <c r="B30" s="17">
        <f>INDEX('Topic (56-pt) cards'!$A$3:$BB$30,MATCH($B$2,'Topic (56-pt) cards'!$A$3:$A$30,0),MATCH("Family / group",'Topic (56-pt) cards'!$A$2:$BB$2,0))&amp;""</f>
        <v/>
      </c>
    </row>
    <row r="31" ht="30" customHeight="1">
      <c r="A31" s="24" t="inlineStr">
        <is>
          <t>Where it is used</t>
        </is>
      </c>
      <c r="B31" s="17">
        <f>INDEX('Topic (56-pt) cards'!$A$3:$BB$30,MATCH($B$2,'Topic (56-pt) cards'!$A$3:$A$30,0),MATCH("Where it is used",'Topic (56-pt) cards'!$A$2:$BB$2,0))&amp;""</f>
        <v/>
      </c>
    </row>
    <row r="32" ht="30" customHeight="1">
      <c r="A32" s="24" t="inlineStr">
        <is>
          <t>Mini conversation</t>
        </is>
      </c>
      <c r="B32" s="17">
        <f>INDEX('Topic (56-pt) cards'!$A$3:$BB$30,MATCH($B$2,'Topic (56-pt) cards'!$A$3:$A$30,0),MATCH("Mini conversation",'Topic (56-pt) cards'!$A$2:$BB$2,0))&amp;""</f>
        <v/>
      </c>
    </row>
    <row r="33" ht="30" customHeight="1">
      <c r="A33" s="24" t="inlineStr">
        <is>
          <t>Common mistake</t>
        </is>
      </c>
      <c r="B33" s="17">
        <f>INDEX('Topic (56-pt) cards'!$A$3:$BB$30,MATCH($B$2,'Topic (56-pt) cards'!$A$3:$A$30,0),MATCH("Common mistake",'Topic (56-pt) cards'!$A$2:$BB$2,0))&amp;""</f>
        <v/>
      </c>
    </row>
    <row r="34" ht="30" customHeight="1">
      <c r="A34" s="24" t="inlineStr">
        <is>
          <t>Don't confuse with</t>
        </is>
      </c>
      <c r="B34" s="17">
        <f>INDEX('Topic (56-pt) cards'!$A$3:$BB$30,MATCH($B$2,'Topic (56-pt) cards'!$A$3:$A$30,0),MATCH("Don't confuse with",'Topic (56-pt) cards'!$A$2:$BB$2,0))&amp;""</f>
        <v/>
      </c>
    </row>
    <row r="35" ht="30" customHeight="1">
      <c r="A35" s="24" t="inlineStr">
        <is>
          <t>Avoid / don't</t>
        </is>
      </c>
      <c r="B35" s="17">
        <f>INDEX('Topic (56-pt) cards'!$A$3:$BB$30,MATCH($B$2,'Topic (56-pt) cards'!$A$3:$A$30,0),MATCH("Avoid / don't",'Topic (56-pt) cards'!$A$2:$BB$2,0))&amp;""</f>
        <v/>
      </c>
    </row>
    <row r="36" ht="30" customHeight="1">
      <c r="A36" s="24" t="inlineStr">
        <is>
          <t>Memory trick</t>
        </is>
      </c>
      <c r="B36" s="17">
        <f>INDEX('Topic (56-pt) cards'!$A$3:$BB$30,MATCH($B$2,'Topic (56-pt) cards'!$A$3:$A$30,0),MATCH("Memory trick",'Topic (56-pt) cards'!$A$2:$BB$2,0))&amp;""</f>
        <v/>
      </c>
    </row>
    <row r="37" ht="30" customHeight="1">
      <c r="A37" s="24" t="inlineStr">
        <is>
          <t>Real life: project / work</t>
        </is>
      </c>
      <c r="B37" s="17">
        <f>INDEX('Topic (56-pt) cards'!$A$3:$BB$30,MATCH($B$2,'Topic (56-pt) cards'!$A$3:$A$30,0),MATCH("Real life: project / work",'Topic (56-pt) cards'!$A$2:$BB$2,0))&amp;""</f>
        <v/>
      </c>
    </row>
    <row r="38" ht="30" customHeight="1">
      <c r="A38" s="24" t="inlineStr">
        <is>
          <t>Real life: interview / exam</t>
        </is>
      </c>
      <c r="B38" s="17">
        <f>INDEX('Topic (56-pt) cards'!$A$3:$BB$30,MATCH($B$2,'Topic (56-pt) cards'!$A$3:$A$30,0),MATCH("Real life: interview / exam",'Topic (56-pt) cards'!$A$2:$BB$2,0))&amp;""</f>
        <v/>
      </c>
    </row>
    <row r="39" ht="30" customHeight="1">
      <c r="A39" s="24" t="inlineStr">
        <is>
          <t>Real life: daily life</t>
        </is>
      </c>
      <c r="B39" s="17">
        <f>INDEX('Topic (56-pt) cards'!$A$3:$BB$30,MATCH($B$2,'Topic (56-pt) cards'!$A$3:$A$30,0),MATCH("Real life: daily life",'Topic (56-pt) cards'!$A$2:$BB$2,0))&amp;""</f>
        <v/>
      </c>
    </row>
    <row r="40">
      <c r="A40" s="27" t="inlineStr">
        <is>
          <t>PRACTICE · Khud karo</t>
        </is>
      </c>
    </row>
    <row r="41" ht="30" customHeight="1">
      <c r="A41" s="24" t="inlineStr">
        <is>
          <t>MCQ question</t>
        </is>
      </c>
      <c r="B41" s="17">
        <f>INDEX('Topic (56-pt) cards'!$A$3:$BB$30,MATCH($B$2,'Topic (56-pt) cards'!$A$3:$A$30,0),MATCH("MCQ question",'Topic (56-pt) cards'!$A$2:$BB$2,0))&amp;""</f>
        <v/>
      </c>
    </row>
    <row r="42" ht="30" customHeight="1">
      <c r="A42" s="24" t="inlineStr">
        <is>
          <t>MCQ options</t>
        </is>
      </c>
      <c r="B42" s="17">
        <f>INDEX('Topic (56-pt) cards'!$A$3:$BB$30,MATCH($B$2,'Topic (56-pt) cards'!$A$3:$A$30,0),MATCH("MCQ options",'Topic (56-pt) cards'!$A$2:$BB$2,0))&amp;""</f>
        <v/>
      </c>
    </row>
    <row r="43" ht="30" customHeight="1">
      <c r="A43" s="24" t="inlineStr">
        <is>
          <t>MCQ answer</t>
        </is>
      </c>
      <c r="B43" s="17">
        <f>INDEX('Topic (56-pt) cards'!$A$3:$BB$30,MATCH($B$2,'Topic (56-pt) cards'!$A$3:$A$30,0),MATCH("MCQ answer",'Topic (56-pt) cards'!$A$2:$BB$2,0))&amp;""</f>
        <v/>
      </c>
    </row>
    <row r="44" ht="30" customHeight="1">
      <c r="A44" s="24" t="inlineStr">
        <is>
          <t>Why that answer</t>
        </is>
      </c>
      <c r="B44" s="17">
        <f>INDEX('Topic (56-pt) cards'!$A$3:$BB$30,MATCH($B$2,'Topic (56-pt) cards'!$A$3:$A$30,0),MATCH("Why that answer",'Topic (56-pt) cards'!$A$2:$BB$2,0))&amp;""</f>
        <v/>
      </c>
    </row>
    <row r="45" ht="30" customHeight="1">
      <c r="A45" s="24" t="inlineStr">
        <is>
          <t>Fill the blank</t>
        </is>
      </c>
      <c r="B45" s="17">
        <f>INDEX('Topic (56-pt) cards'!$A$3:$BB$30,MATCH($B$2,'Topic (56-pt) cards'!$A$3:$A$30,0),MATCH("Fill the blank",'Topic (56-pt) cards'!$A$2:$BB$2,0))&amp;""</f>
        <v/>
      </c>
    </row>
    <row r="46" ht="30" customHeight="1">
      <c r="A46" s="24" t="inlineStr">
        <is>
          <t>Apply it</t>
        </is>
      </c>
      <c r="B46" s="17">
        <f>INDEX('Topic (56-pt) cards'!$A$3:$BB$30,MATCH($B$2,'Topic (56-pt) cards'!$A$3:$A$30,0),MATCH("Apply it",'Topic (56-pt) cards'!$A$2:$BB$2,0))&amp;""</f>
        <v/>
      </c>
    </row>
    <row r="47" ht="30" customHeight="1">
      <c r="A47" s="24" t="inlineStr">
        <is>
          <t>Explain it yourself</t>
        </is>
      </c>
      <c r="B47" s="17">
        <f>INDEX('Topic (56-pt) cards'!$A$3:$BB$30,MATCH($B$2,'Topic (56-pt) cards'!$A$3:$A$30,0),MATCH("Explain it yourself",'Topic (56-pt) cards'!$A$2:$BB$2,0))&amp;""</f>
        <v/>
      </c>
    </row>
    <row r="48" ht="30" customHeight="1">
      <c r="A48" s="24" t="inlineStr">
        <is>
          <t>Write your own</t>
        </is>
      </c>
      <c r="B48" s="17">
        <f>INDEX('Topic (56-pt) cards'!$A$3:$BB$30,MATCH($B$2,'Topic (56-pt) cards'!$A$3:$A$30,0),MATCH("Write your own",'Topic (56-pt) cards'!$A$2:$BB$2,0))&amp;""</f>
        <v/>
      </c>
    </row>
    <row r="49" ht="30" customHeight="1">
      <c r="A49" s="24" t="inlineStr">
        <is>
          <t>Quick recall (reverse)</t>
        </is>
      </c>
      <c r="B49" s="17">
        <f>INDEX('Topic (56-pt) cards'!$A$3:$BB$30,MATCH($B$2,'Topic (56-pt) cards'!$A$3:$A$30,0),MATCH("Quick recall (reverse)",'Topic (56-pt) cards'!$A$2:$BB$2,0))&amp;""</f>
        <v/>
      </c>
    </row>
  </sheetData>
  <mergeCells count="3">
    <mergeCell ref="A4:B4"/>
    <mergeCell ref="A19:B19"/>
    <mergeCell ref="A40:B40"/>
  </mergeCells>
  <dataValidations count="1">
    <dataValidation sqref="B2" showDropDown="0" showInputMessage="0" showErrorMessage="0" allowBlank="0" type="list">
      <formula1>='Topic (56-pt) cards'!$A$3:$A$30</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1"/>
  <sheetViews>
    <sheetView workbookViewId="0">
      <pane ySplit="1" topLeftCell="A2" activePane="bottomLeft" state="frozen"/>
      <selection pane="bottomLeft" activeCell="A1" sqref="A1"/>
    </sheetView>
  </sheetViews>
  <sheetFormatPr baseColWidth="8" defaultRowHeight="15"/>
  <cols>
    <col width="55" customWidth="1" min="1" max="1"/>
    <col width="90" customWidth="1" min="2" max="2"/>
    <col width="30" customWidth="1" min="3" max="3"/>
  </cols>
  <sheetData>
    <row r="1">
      <c r="A1" s="28" t="inlineStr">
        <is>
          <t>Front</t>
        </is>
      </c>
      <c r="B1" s="28" t="inlineStr">
        <is>
          <t>Back</t>
        </is>
      </c>
      <c r="C1" s="28" t="inlineStr">
        <is>
          <t>Tags</t>
        </is>
      </c>
    </row>
    <row r="2" ht="409" customHeight="1">
      <c r="A2" s="29" t="inlineStr">
        <is>
          <t>CI vs continuous delivery vs continuous deployment
Which three practices differ in how far automation goes between a code change and production?</t>
        </is>
      </c>
      <c r="B2" s="29" t="inlineStr">
        <is>
          <t>DEFINITION (SIMPLE):
Continuous integration merges and tests code often, continuous delivery keeps every build ready to release with a manual approval, and continuous deployment releases every passing build automatically.
HOW / WHY IT WORKS:
CI builds and tests each change soon after it is pushed. Continuous delivery adds an automated path to a release-ready package, but a person decides when to ship. Continuous deployment removes that decision, so every change that passes goes live. The difference is the human approval at the end. Strong tests are the price of full automation.
SIMPLE EXPLANATION (HINGLISH):
CI tests every change, delivery makes it ready to ship, deployment ships it for you.
REAL-LIFE ANALOGY:
CI checks the ingredients, delivery plates the dish, and deployment serves it without asking the manager.
FORMULA / RULE:
CI = test often. Delivery = ready to release. Deployment = released automatically.
EXAMPLE 1:
A pull request that runs the test suite automatically.
EXAMPLE 2:
A build that waits for a manager to click approve before going live.
EXAMPLE 3:
A change that goes live minutes after merging with no clicks.
RELATED CONCEPTS:
pipeline stages, triggers, environments, approvals
FAMILY / GROUP:
integration, delivery, deployment, pipeline, automation
WHERE IT IS USED:
Software teams | Customer projects | Release planning
MINI CONVERSATION:
A: Do we ship every merge automatically? | B: Only after a manual approval, so that is delivery, not deployment.
COMMON MISTAKE:
✗ Continuous delivery and continuous deployment are the same thing → ✓ Delivery needs a human approval to release, while deployment does not
DON'T CONFUSE WITH:
Delivery vs deployment: delivery waits for a human decision, deployment does not.
AVOID / DON'T:
Do not automate releases before the tests can be trusted.
MEMORY TRICK:
Test often, ready always, release automatically.
REAL LIFE: PROJECT / WORK:
Moving a customer integration from monthly manual releases to a tested pipeline with approval.
REAL LIFE: INTERVIEW / EXAM:
An interviewer may ask: What is the difference between continuous delivery and continuous deployment?
REAL LIFE: DAILY LIFE:
It is like checking ingredients, plating a dish and serving it.</t>
        </is>
      </c>
      <c r="C2" s="29" t="inlineStr">
        <is>
          <t>01_Ideas_Beginner_CICD-001</t>
        </is>
      </c>
    </row>
    <row r="3" ht="409" customHeight="1">
      <c r="A3" s="29" t="inlineStr">
        <is>
          <t>Pipeline stages
Which ordered steps does code pass through between a commit and a running release?</t>
        </is>
      </c>
      <c r="B3" s="29" t="inlineStr">
        <is>
          <t>DEFINITION (SIMPLE):
A pipeline is an automated sequence of stages, such as build, test, scan, package and deploy, where each stage runs only if the one before it succeeded.
HOW / WHY IT WORKS:
A stage groups jobs that do one kind of work. Failure stops the pipeline, so bad changes do not reach later stages. Stages can run in parallel when they do not depend on each other. The pipeline definition is stored as code in the repository. Short feedback time is a key quality of a good pipeline.
SIMPLE EXPLANATION (HINGLISH):
A pipeline runs build, test, scan and deploy in order, and stops at the first failure.
REAL-LIFE ANALOGY:
It is a factory conveyor belt where each station inspects the product before it moves on.
FORMULA / RULE:
Commit → build → test → scan → package → deploy, stop on failure.
EXAMPLE 1:
A pipeline that lints code first and fails in ten seconds.
EXAMPLE 2:
Unit tests and security scans running side by side.
EXAMPLE 3:
A deploy stage that runs only on the main branch.
RELATED CONCEPTS:
triggers, build artifacts, environments, quality gates
FAMILY / GROUP:
stage, job, step, gate, artifact
WHERE IT IS USED:
Every CI system | Release automation | Reviews
MINI CONVERSATION:
A: The deploy ran even though tests failed. | B: The stages were not chained, so add a dependency.
COMMON MISTAKE:
✗ A pipeline only needs one big script that does everything → ✓ Separate stages give clear feedback, parallel work and reuse
DON'T CONFUSE WITH:
Stage vs job: a stage is a phase of the pipeline, a job is one unit of work inside it.
AVOID / DON'T:
Do not put slow tests before quick linting.
MEMORY TRICK:
Fast checks first, slow checks later.
REAL LIFE: PROJECT / WORK:
Reordering stages so lint and unit tests failed fast before the slow integration tests.
REAL LIFE: INTERVIEW / EXAM:
An interviewer may ask: What stages would you put in a pipeline?
REAL LIFE: DAILY LIFE:
It is like a conveyor belt with an inspector at each station.</t>
        </is>
      </c>
      <c r="C3" s="29" t="inlineStr">
        <is>
          <t>01_Ideas_Beginner_CICD-002</t>
        </is>
      </c>
    </row>
    <row r="4" ht="409" customHeight="1">
      <c r="A4" s="29" t="inlineStr">
        <is>
          <t>Triggers
Which events start a pipeline run automatically?</t>
        </is>
      </c>
      <c r="B4" s="29" t="inlineStr">
        <is>
          <t>DEFINITION (SIMPLE):
A trigger is an event, such as a push, a pull request, a tag, a schedule or a manual click, that starts a pipeline.
HOW / WHY IT WORKS:
Triggers can be filtered by branch, path or tag. A path filter avoids running backend tests when only documentation changed. Scheduled triggers run nightly jobs. Manual triggers allow on-demand deployments or maintenance. Webhooks from other systems can also start runs. Pull request triggers run on code from a fork with fewer permissions.
SIMPLE EXPLANATION (HINGLISH):
Choose which events start the pipeline, and filter them so only relevant changes run it.
REAL-LIFE ANALOGY:
It is the doorbell that wakes the pipeline.
FORMULA / RULE:
Event + filter = when the pipeline runs.
EXAMPLE 1:
Running tests on every pull request.
EXAMPLE 2:
Deploying only when a version tag is pushed.
EXAMPLE 3:
A nightly scheduled data refresh.
RELATED CONCEPTS:
GitHub Actions workflows, branches, environments, schedules
FAMILY / GROUP:
event, push, pull request, schedule, webhook
WHERE IT IS USED:
Workflow design | Cost control | Release automation
MINI CONVERSATION:
A: Why did docs changes run the whole test suite? | B: There is no path filter on the trigger.
COMMON MISTAKE:
✗ Pipelines can only start when code is pushed → ✓ They can also start on schedules, tags, manual clicks and webhooks
DON'T CONFUSE WITH:
Push trigger vs pull request trigger: one runs on pushed commits, the other on proposed merges.
AVOID / DON'T:
Do not trigger expensive jobs for every small docs change.
MEMORY TRICK:
Events start it, filters narrow it.
REAL LIFE: PROJECT / WORK:
Adding path filters so documentation edits no longer ran heavy integration tests.
REAL LIFE: INTERVIEW / EXAM:
An interviewer may ask: When should a deployment run?
REAL LIFE: DAILY LIFE:
It is like a doorbell that wakes the pipeline.</t>
        </is>
      </c>
      <c r="C4" s="29" t="inlineStr">
        <is>
          <t>01_Ideas_Beginner_CICD-003</t>
        </is>
      </c>
    </row>
    <row r="5" ht="409" customHeight="1">
      <c r="A5" s="29" t="inlineStr">
        <is>
          <t>Build artifacts
Which outputs of a build are saved and passed to later stages or releases?</t>
        </is>
      </c>
      <c r="B5" s="29" t="inlineStr">
        <is>
          <t>DEFINITION (SIMPLE):
A build artifact is a file or package produced by a build, such as a container image, a zip or a wheel, that is stored and promoted through later stages.
HOW / WHY IT WORKS:
Artifacts include binaries, images, test reports and coverage files. They are stored in an artifact repository or container registry, and versioned, usually with the commit hash. Promoting the same artifact from test to production ensures that what was tested is what ships. Artifacts should be immutable, meaning never changed after creation.
SIMPLE EXPLANATION (HINGLISH):
Build once, store the result with a version, and deploy the same thing everywhere.
REAL-LIFE ANALOGY:
It is a sealed box that travels down the line instead of being rebuilt at each station.
FORMULA / RULE:
Build once, version it, promote it unchanged.
EXAMPLE 1:
A container image tagged with the commit hash.
EXAMPLE 2:
A test report uploaded for download.
EXAMPLE 3:
A Python package published to a private index.
RELATED CONCEPTS:
registries, environments, release tagging, caching
FAMILY / GROUP:
artifact, package, image, version, immutable
WHERE IT IS USED:
Releases | Rollbacks | Auditing
MINI CONVERSATION:
A: The production build behaves differently from staging. | B: It was rebuilt, so promote the tested artifact instead.
COMMON MISTAKE:
✗ Rebuilding for each environment is safer → ✓ Rebuilding can introduce differences, so promote the same artifact
DON'T CONFUSE WITH:
Artifact vs source code: the artifact is the built result, the source is the input.
AVOID / DON'T:
Do not overwrite a published artifact version.
MEMORY TRICK:
Build once, promote many times.
REAL LIFE: PROJECT / WORK:
Promoting one tagged image from staging to production to avoid environment surprises.
REAL LIFE: INTERVIEW / EXAM:
An interviewer may ask: Why build only once in a pipeline?
REAL LIFE: DAILY LIFE:
It is like a sealed box passed down the line.</t>
        </is>
      </c>
      <c r="C5" s="29" t="inlineStr">
        <is>
          <t>01_Ideas_Beginner_CICD-004</t>
        </is>
      </c>
    </row>
    <row r="6" ht="409" customHeight="1">
      <c r="A6" s="29" t="inlineStr">
        <is>
          <t>Environments
Which separate places do changes pass through before reaching real users?</t>
        </is>
      </c>
      <c r="B6" s="29" t="inlineStr">
        <is>
          <t>DEFINITION (SIMPLE):
Environments are separate deployments of the same application, such as development, staging and production, each with its own configuration and data.
HOW / WHY IT WORKS:
Development is for quick changes, staging mirrors production for final checks, and production serves real users. Configuration, such as database addresses and keys, differs by environment and is kept outside the code. Production data should not be copied to lower environments without masking. Protected environments can require approvals.
SIMPLE EXPLANATION (HINGLISH):
Try changes in dev and staging, then release to production with the same artifact and different settings.
REAL-LIFE ANALOGY:
Environments are rehearsal rooms before the stage performance.
FORMULA / RULE:
Same artifact, different configuration per environment.
EXAMPLE 1:
A staging database that is a masked copy of production.
EXAMPLE 2:
A production environment that requires approval before deploying.
EXAMPLE 3:
A temporary preview environment per pull request.
RELATED CONCEPTS:
build artifacts, configuration, approvals, secrets
FAMILY / GROUP:
dev, staging, production, configuration, promotion
WHERE IT IS USED:
Release flow | Testing | Customer projects
MINI CONVERSATION:
A: Can I test on production? | B: No, test on staging, which mirrors it.
COMMON MISTAKE:
✗ Staging does not need to resemble production → ✓ The closer it is, the more bugs it catches before release
DON'T CONFUSE WITH:
Staging vs production: staging is a rehearsal copy, production serves real users.
AVOID / DON'T:
Do not copy raw personal data into test environments.
MEMORY TRICK:
Rehearse in staging, perform in production.
REAL LIFE: PROJECT / WORK:
Adding a staging environment that caught a configuration bug before a customer launch.
REAL LIFE: INTERVIEW / EXAM:
An interviewer may ask: Why do you need a staging environment?
REAL LIFE: DAILY LIFE:
It is like a rehearsal room before the stage.</t>
        </is>
      </c>
      <c r="C6" s="29" t="inlineStr">
        <is>
          <t>01_Ideas_Intermediate_CICD-005</t>
        </is>
      </c>
    </row>
    <row r="7" ht="409" customHeight="1">
      <c r="A7" s="29" t="inlineStr">
        <is>
          <t>DORA metrics
Which four measures describe how well a team delivers software?</t>
        </is>
      </c>
      <c r="B7" s="29" t="inlineStr">
        <is>
          <t>DEFINITION (SIMPLE):
The DORA metrics are deployment frequency, lead time for changes, change failure rate, failed deployment recovery time (formerly time to restore service) and, in newer guidance, rework rate.
HOW / WHY IT WORKS:
Deployment frequency shows how often you release. Lead time measures the time from commit to production. Change failure rate is the share of releases causing a problem. Failed deployment recovery time (formerly time to restore) measures how fast you recover. Fast and stable go together, because small, frequent changes are easier to test and fix. Numbers can be gamed if used as targets for people.
SIMPLE EXPLANATION (HINGLISH):
Measure how often, how fast, how safely and how quickly you recover.
REAL-LIFE ANALOGY:
They are four dials on a delivery dashboard.
FORMULA / RULE:
Speed (frequency, lead time) + stability (failure rate, restore time).
EXAMPLE 1:
Deploying several times a day with a lead time under an hour.
EXAMPLE 2:
A rollback fixing a bad release in ten minutes.
EXAMPLE 3:
A change failure rate of five percent.
RELATED CONCEPTS:
pipeline stages, rollbacks, monitoring, small batches
FAMILY / GROUP:
frequency, lead time, failure rate, recovery, delivery
WHERE IT IS USED:
Team reviews | Improvement plans | Engineering reports
MINI CONVERSATION:
A: How do we know the pipeline improved things? | B: Compare lead time and failure rate before and after.
COMMON MISTAKE:
✗ Releasing faster always means lower quality → ✓ Small frequent releases often improve stability
DON'T CONFUSE WITH:
Speed vs stability metrics: frequency and lead time measure speed, failure rate and restore time measure stability.
AVOID / DON'T:
Do not use DORA numbers to rank individuals.
MEMORY TRICK:
Two for speed, two for stability.
REAL LIFE: PROJECT / WORK:
Tracking lead time to show the customer that the new pipeline cut release time.
REAL LIFE: INTERVIEW / EXAM:
An interviewer may ask: What are the DORA metrics?
REAL LIFE: DAILY LIFE:
It is like four dials on a dashboard.</t>
        </is>
      </c>
      <c r="C7" s="29" t="inlineStr">
        <is>
          <t>01_Ideas_Advanced_CICD-006</t>
        </is>
      </c>
    </row>
    <row r="8" ht="409" customHeight="1">
      <c r="A8" s="29" t="inlineStr">
        <is>
          <t>Workflow file
Which YAML file in your repository defines an automated GitHub Actions process?
name: CI
on:
  pull_request:
  push:
    branches: [main]
jobs:
  test:
    runs-on: ubuntu-latest
    steps:
      - uses: actions/checkout@v4
      - run: npm test</t>
        </is>
      </c>
      <c r="B8" s="29" t="inlineStr">
        <is>
          <t>MEANING (SHORT):
A workflow is a YAML file in .github/workflows that names its triggers and the jobs to run.
CODE:
name: CI
on:
  pull_request:
  push:
    branches: [main]
jobs:
  test:
    runs-on: ubuntu-latest
    steps:
      - uses: actions/checkout@v4
      - run: npm test
OUTPUT:
On each pull request and each push to main, a runner starts, checks out the code and runs the tests.
EXPLANATION:
The file must be inside .github/workflows and end in .yml or .yaml. The on key lists triggers, and jobs defines the work. Each job runs on a runner named by runs-on. Steps either run shell commands with run or use a packaged action with uses. Results appear in the Actions tab and on the pull request.
SIMPLE EXPLANATION (HINGLISH):
Write a YAML file with a trigger and jobs, commit it, and GitHub runs it for you.
REAL-LIFE ANALOGY:
It is a recipe card kept in the cookbook beside the code.
SYNTAX PATTERN:
name: / on: / jobs: &lt;id&gt;: runs-on: / steps:
ANATOMY:
name = label | on = triggers | jobs = work units | runs-on = machine | steps = commands
EXAMPLE 1:
on: workflow_dispatch
EXAMPLE 2:
on: { schedule: [{ cron: "0 2 * * *" }] }
EXAMPLE 3:
on: { push: { tags: ["v*"] } }
VARIATION:
on: [push, pull_request]   // shorthand for two triggers
USED WITH:
runners, secrets, actions, branch protection
RELATED CONCEPTS:
jobs and steps, runners, triggers, reusable workflows
ALTERNATIVES:
GitLab CI files | Jenkinsfiles
WHERE IT IS USED:
Testing | Building | Deploying
MINI CONVERSATION:
A: Nothing runs after my push. | B: The file must be in .github/workflows.
COMMON MISTAKE:
✗ A workflow file can live anywhere in the repo → ✓ It must be inside .github/workflows to be detected
COMMONLY CONFUSED WITH:
Workflow vs job: a workflow is the whole file, a job is one unit of work inside it.
AVOID / DON'T:
Do not use tabs in YAML.
WRONG CODE:
.github/workflow/ci.yml
RIGHT CODE:
.github/workflows/ci.yml
MEMORY TRICK:
Folder name ends with an s.
REAL LIFE: PROJECT / WORK:
Adding a first workflow that ran the unit tests on every pull request.
REAL LIFE: INTERVIEW / EXAM:
An interviewer may ask: Where do GitHub Actions workflows live?
REAL LIFE: DAILY LIFE:
It is like a recipe card kept beside the code.</t>
        </is>
      </c>
      <c r="C8" s="29" t="inlineStr">
        <is>
          <t>02_GitHub_Actions_Beginner_CICD-007</t>
        </is>
      </c>
    </row>
    <row r="9" ht="409" customHeight="1">
      <c r="A9" s="29" t="inlineStr">
        <is>
          <t>Jobs and steps
How are the work units inside a workflow organised and ordered?
jobs:
  build:
    runs-on: ubuntu-latest
    steps:
      - uses: actions/checkout@v4
      - run: make build
  deploy:
    needs: build
    runs-on: ubuntu-latest
    steps:
      - run: echo deploying</t>
        </is>
      </c>
      <c r="B9" s="29" t="inlineStr">
        <is>
          <t>MEANING (SHORT):
A job is a group of steps that run on one runner, and jobs run in parallel unless one declares needs on another.
CODE:
jobs:
  build:
    runs-on: ubuntu-latest
    steps:
      - uses: actions/checkout@v4
      - run: make build
  deploy:
    needs: build
    runs-on: ubuntu-latest
    steps:
      - run: echo deploying
OUTPUT:
The build job runs first, and the deploy job starts only after it succeeds.
EXPLANATION:
Every job gets a fresh runner, so files do not carry over between jobs unless you upload and download artifacts. Steps inside a job run in order and share the file system. A failing step stops the job. Use if conditions to run a step only in some cases. Job outputs can pass small values to later jobs.
SIMPLE EXPLANATION (HINGLISH):
Jobs run on separate machines, steps run in order inside a job, and needs links jobs.
REAL-LIFE ANALOGY:
Jobs are workstations, and steps are the tasks done at each one.
SYNTAX PATTERN:
jobs: &lt;id&gt;: needs: [other] steps: - run: command
ANATOMY:
jobs = units of work | needs = dependency | steps = ordered tasks | if = condition
EXAMPLE 1:
needs: [lint, test]
EXAMPLE 2:
if: github.ref == 'refs/heads/main'
EXAMPLE 3:
outputs: version: ${{ steps.v.outputs.version }}
VARIATION:
continue-on-error: true   // let one step fail without stopping the job
USED WITH:
artifacts, outputs, conditions
RELATED CONCEPTS:
workflow file, runners, artifacts, matrix
ALTERNATIVES:
Stages in other CI tools
WHERE IT IS USED:
Multi-stage pipelines | Parallel testing | Releases
MINI CONVERSATION:
A: The deploy job cannot find my build output. | B: Jobs do not share files, so upload and download an artifact.
COMMON MISTAKE:
✗ Jobs in one workflow share the same file system → ✓ Each job runs on its own fresh runner
COMMONLY CONFUSED WITH:
needs vs steps order: needs orders jobs, steps order tasks inside a job.
AVOID / DON'T:
Do not assume files from one job exist in the next.
WRONG CODE:
deploy:
  runs-on: ubuntu-latest   # runs at the same time as build
RIGHT CODE:
deploy:
  needs: build
  runs-on: ubuntu-latest
MEMORY TRICK:
Needs chains jobs, steps stay in a job.
REAL LIFE: PROJECT / WORK:
Splitting lint, test and deploy into chained jobs so failures showed up clearly.
REAL LIFE: INTERVIEW / EXAM:
An interviewer may ask: How do you make one job wait for another?
REAL LIFE: DAILY LIFE:
It is like workstations with ordered tasks at each.</t>
        </is>
      </c>
      <c r="C9" s="29" t="inlineStr">
        <is>
          <t>02_GitHub_Actions_Beginner_CICD-008</t>
        </is>
      </c>
    </row>
    <row r="10" ht="409" customHeight="1">
      <c r="A10" s="29" t="inlineStr">
        <is>
          <t>Runners
Which machines actually execute the jobs of a workflow?
jobs:
  test:
    runs-on: ubuntu-latest
  mac-build:
    runs-on: macos-14
  internal:
    runs-on: [self-hosted, linux]</t>
        </is>
      </c>
      <c r="B10" s="29" t="inlineStr">
        <is>
          <t>MEANING (SHORT):
A runner is a machine that runs a job, either GitHub-hosted with a fresh virtual machine each time, or self-hosted on your own infrastructure.
CODE:
jobs:
  test:
    runs-on: ubuntu-latest
  mac-build:
    runs-on: macos-14
  internal:
    runs-on: [self-hosted, linux]
OUTPUT:
Three jobs go to a hosted Linux machine, a hosted macOS machine and one of your own Linux runners.
EXPLANATION:
Hosted runners start clean for each job and include common tools. Minutes are free or paid depending on the plan, and macOS costs more than Linux. Self-hosted runners suit private networks or special hardware, but you must secure and update them. Labels in runs-on choose which runner is used.
SIMPLE EXPLANATION (HINGLISH):
Choose hosted runners for convenience and self-hosted ones for private access or special hardware.
REAL-LIFE ANALOGY:
A runner is the worker who picks up your job card and does it.
SYNTAX PATTERN:
runs-on: ubuntu-latest | runs-on: [self-hosted, label]
ANATOMY:
ubuntu-latest = hosted Linux | macos-14 = hosted Mac | self-hosted = your machine | labels = selectors
EXAMPLE 1:
runs-on: ubuntu-22.04
EXAMPLE 2:
runs-on: windows-latest
EXAMPLE 3:
runs-on: [self-hosted, gpu]
VARIATION:
runs-on: ubuntu-latest-4-cores   // a larger hosted runner
USED WITH:
matrix, caching, cost
RELATED CONCEPTS:
workflow file, matrix builds, self-hosted runners, caching
ALTERNATIVES:
Other CI agents
WHERE IT IS USED:
All workflows | Cross-platform builds | Private networks
MINI CONVERSATION:
A: The job needs our internal database. | B: Use a self-hosted runner inside the network.
COMMON MISTAKE:
✗ Hosted runners keep files between runs → ✓ Each job starts on a fresh machine
COMMONLY CONFUSED WITH:
Hosted vs self-hosted: hosted are managed by GitHub, self-hosted are managed by you.
AVOID / DON'T:
Do not use self-hosted runners for public repositories without protection.
WRONG CODE:
runs-on: ubuntu
RIGHT CODE:
runs-on: ubuntu-latest
MEMORY TRICK:
Latest label picks the current image.
REAL LIFE: PROJECT / WORK:
Using a self-hosted runner so tests could reach a customer's private test database.
REAL LIFE: INTERVIEW / EXAM:
An interviewer may ask: When would you use a self-hosted runner?
REAL LIFE: DAILY LIFE:
It is like a worker who picks up each job card.</t>
        </is>
      </c>
      <c r="C10" s="29" t="inlineStr">
        <is>
          <t>02_GitHub_Actions_Beginner_CICD-009</t>
        </is>
      </c>
    </row>
    <row r="11" ht="409" customHeight="1">
      <c r="A11" s="29" t="inlineStr">
        <is>
          <t>Matrix builds
Which feature runs the same job across several versions or systems automatically?
jobs:
  test:
    runs-on: ${{ matrix.os }}
    strategy:
      matrix:
        os: [ubuntu-latest, windows-latest]
        python: ["3.11", "3.12"]
    steps:
      - uses: actions/setup-python@v5
        with:
          python-version: ${{ matrix.python }}</t>
        </is>
      </c>
      <c r="B11" s="29" t="inlineStr">
        <is>
          <t>MEANING (SHORT):
A matrix strategy creates one job for each combination of the listed values, and runs them in parallel.
CODE:
jobs:
  test:
    runs-on: ${{ matrix.os }}
    strategy:
      matrix:
        os: [ubuntu-latest, windows-latest]
        python: ["3.11", "3.12"]
    steps:
      - uses: actions/setup-python@v5
        with:
          python-version: ${{ matrix.python }}
OUTPUT:
Four jobs run, one for each operating system and Python version combination.
EXPLANATION:
Values are read with the matrix context, such as matrix.os. Two lists of two values produce four jobs. The exclude key removes combinations, and include adds special ones. By default fail-fast cancels the other jobs when one fails, which can be turned off. Each matrix job counts towards the concurrency and minutes used.
SIMPLE EXPLANATION (HINGLISH):
List the versions and systems once, and Actions makes a job for each combination.
REAL-LIFE ANALOGY:
It is a grid of test tubes, each holding one combination.
SYNTAX PATTERN:
strategy: matrix: key: [values]
ANATOMY:
strategy = how to run | matrix = lists | exclude = remove combos | fail-fast = stop on first failure
EXAMPLE 1:
matrix: node: [20, 22, 24]
EXAMPLE 2:
exclude: [{ os: windows-latest, python: "3.11" }]
EXAMPLE 3:
fail-fast: false
VARIATION:
max-parallel: 2   // limit simultaneous jobs
USED WITH:
runners, caching, setup actions
RELATED CONCEPTS:
runners, jobs and steps, caching, quality gates
ALTERNATIVES:
Separate hand-written jobs
WHERE IT IS USED:
Libraries | Cross-platform apps | Compatibility tests
MINI CONVERSATION:
A: Do we support Python 3.11 and 3.12? | B: The matrix tests both on every pull request.
COMMON MISTAKE:
✗ Matrix jobs run one after the other → ✓ They run in parallel, within your concurrency limits
COMMONLY CONFUSED WITH:
Matrix vs needs: a matrix repeats a job, needs orders different jobs.
AVOID / DON'T:
Do not make a huge matrix that burns minutes without need.
WRONG CODE:
python-version: 3.10
RIGHT CODE:
python-version: "3.10"
MEMORY TRICK:
Quote versions so 3.10 stays 3.10.
REAL LIFE: PROJECT / WORK:
Testing a customer library against three Python versions with one matrix.
REAL LIFE: INTERVIEW / EXAM:
An interviewer may ask: How would you test on several versions?
REAL LIFE: DAILY LIFE:
It is like a grid of test tubes.</t>
        </is>
      </c>
      <c r="C11" s="29" t="inlineStr">
        <is>
          <t>02_GitHub_Actions_Intermediate_CICD-010</t>
        </is>
      </c>
    </row>
    <row r="12" ht="409" customHeight="1">
      <c r="A12" s="29" t="inlineStr">
        <is>
          <t>Caching dependencies
How do you avoid downloading the same packages on every run?
- uses: actions/cache@v4
  with:
    path: ~/.npm
    key: npm-${{ hashFiles('package-lock.json') }}
    restore-keys: npm-</t>
        </is>
      </c>
      <c r="B12" s="29" t="inlineStr">
        <is>
          <t>MEANING (SHORT):
The cache action stores files under a key and restores them in later runs when the key matches.
CODE:
- uses: actions/cache@v4
  with:
    path: ~/.npm
    key: npm-${{ hashFiles('package-lock.json') }}
    restore-keys: npm-
OUTPUT:
The first run saves the npm cache, and later runs with the same lockfile restore it in seconds.
EXPLANATION:
The key must change when the contents should change, which is why a hash of the lockfile is used. restore-keys gives a fallback prefix when there is no exact match. Caches belong to a branch scope, so feature branches can read the main branch cache. Caches that are not accessed for a while are removed, and there is a total size limit per repository. Many setup actions have a built-in cache option.
SIMPLE EXPLANATION (HINGLISH):
Cache the package folder with a key built from the lockfile.
REAL-LIFE ANALOGY:
A cache is a lunch box packed once and reused all week.
SYNTAX PATTERN:
uses: actions/cache@v4 with: path, key, restore-keys
ANATOMY:
path = what to save | key = exact match | restore-keys = fallback prefixes
EXAMPLE 1:
uses: actions/setup-node@v4 with: { node-version: 22, cache: npm }
EXAMPLE 2:
key: pip-${{ hashFiles('requirements.txt') }}
EXAMPLE 3:
path: ~/.cache/pip
VARIATION:
enableCrossOsArchive: true   // share a cache between systems
USED WITH:
setup actions, matrix, lockfiles
RELATED CONCEPTS:
runners, jobs and steps, build artifacts, matrix builds
ALTERNATIVES:
Docker layer cache
WHERE IT IS USED:
Slow installs | Large projects | Cost saving
MINI CONVERSATION:
A: Every run reinstalls everything. | B: Add a cache keyed on the lockfile.
COMMON MISTAKE:
✗ A cache and an artifact are the same thing → ✓ A cache speeds up repeated work, an artifact passes results to people or later jobs
COMMONLY CONFUSED WITH:
Cache vs artifact: caches are for speed, artifacts are for results.
AVOID / DON'T:
Do not cache secrets or build outputs that must be fresh.
WRONG CODE:
key: npm-cache
RIGHT CODE:
key: npm-${{ hashFiles('package-lock.json') }}
MEMORY TRICK:
Hash the lockfile to refresh the cache.
REAL LIFE: PROJECT / WORK:
Cutting build time by caching pip downloads keyed on the requirements file.
REAL LIFE: INTERVIEW / EXAM:
An interviewer may ask: How do you speed up a slow dependency install?
REAL LIFE: DAILY LIFE:
It is like a lunch box packed once.</t>
        </is>
      </c>
      <c r="C12" s="29" t="inlineStr">
        <is>
          <t>02_GitHub_Actions_Intermediate_CICD-011</t>
        </is>
      </c>
    </row>
    <row r="13" ht="409" customHeight="1">
      <c r="A13" s="29" t="inlineStr">
        <is>
          <t>Artifacts in workflows
How do you keep files from one job and pass them to another or download them later?
- uses: actions/upload-artifact@v4
  with:
    name: dist
    path: dist/
    retention-days: 7
# later job
- uses: actions/download-artifact@v4
  with:
    name: dist</t>
        </is>
      </c>
      <c r="B13" s="29" t="inlineStr">
        <is>
          <t>MEANING (SHORT):
upload-artifact stores files from a job, and download-artifact retrieves them in a later job or lets you download them from the run page.
CODE:
- uses: actions/upload-artifact@v4
  with:
    name: dist
    path: dist/
    retention-days: 7
# later job
- uses: actions/download-artifact@v4
  with:
    name: dist
OUTPUT:
The dist folder is stored for seven days and appears again in the later job.
EXPLANATION:
Artifacts are attached to the workflow run. They are useful for build outputs, test reports and logs. Unlike a cache, an artifact is meant for results, and it can be downloaded by people with access. Names must be unique within a run when using version 4. Large artifacts cost storage, so set retention.
SIMPLE EXPLANATION (HINGLISH):
Upload at the end of a job, download at the start of the next.
REAL-LIFE ANALOGY:
It is a parcel posted from one workstation to another.
SYNTAX PATTERN:
actions/upload-artifact@v4 with: name, path, retention-days
ANATOMY:
name = label | path = files | retention-days = how long kept
EXAMPLE 1:
name: coverage-report
EXAMPLE 2:
path: |
  dist/
  reports/
EXAMPLE 3:
if: always()   // upload even when the tests fail
VARIATION:
if-no-files-found: error   // fail if nothing matched
USED WITH:
needs, build jobs, test reports
RELATED CONCEPTS:
jobs and steps, caching, build artifacts, reports
ALTERNATIVES:
Container registries for images
WHERE IT IS USED:
Passing builds | Test reports | Debugging
MINI CONVERSATION:
A: Tests failed and I cannot see the report. | B: Upload it with if: always() so it exists on failure.
COMMON MISTAKE:
✗ Artifacts are shared automatically between jobs → ✓ You must upload and download them explicitly
COMMONLY CONFUSED WITH:
Artifact vs cache: artifacts carry results, caches speed up repeated work.
AVOID / DON'T:
Do not upload secrets inside artifacts.
WRONG CODE:
- uses: actions/upload-artifact@v4
  with:
    name: dist   # path is missing, so the step fails
RIGHT CODE:
- uses: actions/upload-artifact@v4
  with:
    name: dist
    path: dist/
MEMORY TRICK:
Always name the parcel you upload.
REAL LIFE: PROJECT / WORK:
Uploading test reports even on failure so reviewers could inspect them.
REAL LIFE: INTERVIEW / EXAM:
An interviewer may ask: How do you pass files between jobs?
REAL LIFE: DAILY LIFE:
It is like posting a parcel between workstations.</t>
        </is>
      </c>
      <c r="C13" s="29" t="inlineStr">
        <is>
          <t>02_GitHub_Actions_Intermediate_CICD-012</t>
        </is>
      </c>
    </row>
    <row r="14" ht="409" customHeight="1">
      <c r="A14" s="29" t="inlineStr">
        <is>
          <t>Secrets in workflows
How do you give a workflow a password or token without putting it in the code?
steps:
  - run: ./deploy.sh
    env:
      API_TOKEN: ${{ secrets.API_TOKEN }}</t>
        </is>
      </c>
      <c r="B14" s="29" t="inlineStr">
        <is>
          <t>MEANING (SHORT):
Repository, environment and organisation secrets are encrypted values that workflows read with the secrets context, and logs mask them.
CODE:
steps:
  - run: ./deploy.sh
    env:
      API_TOKEN: ${{ secrets.API_TOKEN }}
OUTPUT:
The script receives the token as an environment variable, and the log shows *** instead of the value.
EXPLANATION:
Secrets are set in repository settings and cannot be read back. They are not passed to workflows triggered from forks by default. Masking only hides exact values, so printing a transformed secret may reveal it. Environment secrets are available only to jobs that use that environment. Scope each secret as narrowly as you can.
SIMPLE EXPLANATION (HINGLISH):
Store the value in settings, read it with the secrets context, and never print it.
REAL-LIFE ANALOGY:
A secret is a sealed envelope handed to the job only when it runs.
SYNTAX PATTERN:
${{ secrets.NAME }}
ANATOMY:
secrets = context | NAME = secret name | env = pass to a step
EXAMPLE 1:
password: ${{ secrets.DB_PASSWORD }}
EXAMPLE 2:
gh secret set API_TOKEN
EXAMPLE 3:
environment: production   // unlocks environment secrets
VARIATION:
with:
  token: ${{ secrets.GITHUB_TOKEN }}   // the built-in short-lived token
USED WITH:
environments, OIDC, least privilege
RELATED CONCEPTS:
environments and approvals, OIDC, permissions, secret scanning
ALTERNATIVES:
OIDC | External secret managers
WHERE IT IS USED:
Deployments | API calls | Registries
MINI CONVERSATION:
A: Can I echo the token to debug? | B: No, never print secrets, even masked ones.
COMMON MISTAKE:
✗ Masking makes it safe to print secrets in logs → ✓ Masking is a safety net, and printing secrets is still dangerous
COMMONLY CONFUSED WITH:
Secret vs variable: secrets are encrypted and masked, variables are plain configuration.
AVOID / DON'T:
Do not pass secrets to workflows that run untrusted code.
WRONG CODE:
env:
  API_TOKEN: abc123
RIGHT CODE:
env:
  API_TOKEN: ${{ secrets.API_TOKEN }}
MEMORY TRICK:
Never print, never commit, always scope.
REAL LIFE: PROJECT / WORK:
Moving a registry password from a script into an environment secret.
REAL LIFE: INTERVIEW / EXAM:
An interviewer may ask: How do you handle credentials in GitHub Actions?
REAL LIFE: DAILY LIFE:
It is like a sealed envelope handed over at run time.</t>
        </is>
      </c>
      <c r="C14" s="29" t="inlineStr">
        <is>
          <t>02_GitHub_Actions_Intermediate_CICD-013</t>
        </is>
      </c>
    </row>
    <row r="15" ht="409" customHeight="1">
      <c r="A15" s="29" t="inlineStr">
        <is>
          <t>Environments and approvals
How do you protect a deployment target with rules and a required reviewer?
jobs:
  deploy:
    runs-on: ubuntu-latest
    environment:
      name: production
      url: https://app.example.com
    steps:
      - run: ./deploy.sh</t>
        </is>
      </c>
      <c r="B15" s="29" t="inlineStr">
        <is>
          <t>MEANING (SHORT):
An environment is a named deployment target in repository settings that can require reviewers, wait timers, branch limits and its own secrets.
CODE:
jobs:
  deploy:
    runs-on: ubuntu-latest
    environment:
      name: production
      url: https://app.example.com
    steps:
      - run: ./deploy.sh
OUTPUT:
The job pauses until a required reviewer approves, then runs with the production secrets.
EXPLANATION:
Protection rules are configured in settings, not in the YAML. The job waits for approval before any step runs. Deployment history is recorded for each environment. Branch rules can allow only main to deploy to production. This gives delivery with a manual gate, as opposed to full deployment.
SIMPLE EXPLANATION (HINGLISH):
Name the environment in the job, and set reviewers and secrets in settings.
REAL-LIFE ANALOGY:
It is a locked gate with a guard who asks for a signature.
SYNTAX PATTERN:
environment: name: production url: ...
ANATOMY:
environment = target name | url = link shown in UI | rules = set in settings
EXAMPLE 1:
environment: staging
EXAMPLE 2:
environment: { name: production }
EXAMPLE 3:
concurrency: production   // one deployment at a time
VARIATION:
environment: ${{ inputs.target }}   // choose at run time
USED WITH:
secrets, reviewers, branches
RELATED CONCEPTS:
environments, secrets in workflows, deployment strategies, permissions
ALTERNATIVES:
Manual release scripts
WHERE IT IS USED:
Production deploys | Compliance | Staging
MINI CONVERSATION:
A: Can anyone deploy to production? | B: No, it needs a reviewer to approve.
COMMON MISTAKE:
✗ Approval rules are written in the workflow YAML → ✓ They are configured in the environment's settings
COMMONLY CONFUSED WITH:
Environment secret vs repository secret: environment secrets are only for jobs using that environment.
AVOID / DON'T:
Do not let feature branches deploy to production.
WRONG CODE:
deploy:
  environment: prod   # a typo here silently creates a new, unprotected environment
RIGHT CODE:
deploy:
  environment: production
MEMORY TRICK:
Rules live in settings, name lives in YAML.
REAL LIFE: PROJECT / WORK:
Adding a production environment with a required approver after a bad release.
REAL LIFE: INTERVIEW / EXAM:
An interviewer may ask: How do you add a manual approval to a deployment?
REAL LIFE: DAILY LIFE:
It is like a gate with a guard.</t>
        </is>
      </c>
      <c r="C15" s="29" t="inlineStr">
        <is>
          <t>02_GitHub_Actions_Advanced_CICD-014</t>
        </is>
      </c>
    </row>
    <row r="16" ht="409" customHeight="1">
      <c r="A16" s="29" t="inlineStr">
        <is>
          <t>Reusable workflows
How do you share one workflow across many repositories or jobs?
# .github/workflows/test.yml
on:
  workflow_call:
    inputs:
      node: { type: string, default: "20" }
# caller
jobs:
  ci:
    uses: acme/shared/.github/workflows/test.yml@v1
    with: { node: "22" }</t>
        </is>
      </c>
      <c r="B16" s="29" t="inlineStr">
        <is>
          <t>MEANING (SHORT):
A reusable workflow uses the workflow_call trigger, so other workflows can call it with inputs and secrets.
CODE:
# .github/workflows/test.yml
on:
  workflow_call:
    inputs:
      node: { type: string, default: "20" }
# caller
jobs:
  ci:
    uses: acme/shared/.github/workflows/test.yml@v1
    with: { node: "22" }
OUTPUT:
The caller runs the shared test workflow with Node 22 without copying any steps.
EXPLANATION:
The called workflow defines inputs and secrets under workflow_call. The caller uses the uses key at the job level with a path and a version. Secrets can be passed explicitly or inherited. Outputs can return values. A composite action is another reuse option, for sharing steps instead of whole jobs.
SIMPLE EXPLANATION (HINGLISH):
Write the workflow once with workflow_call, and call it from other workflows with inputs.
REAL-LIFE ANALOGY:
It is a shared recipe that other kitchens can cook from.
SYNTAX PATTERN:
on: workflow_call: | uses: owner/repo/.github/workflows/file.yml@ref
ANATOMY:
workflow_call = makes it callable | inputs = parameters | uses = call it | @ref = version
EXAMPLE 1:
secrets: inherit
EXAMPLE 2:
uses: ./.github/workflows/test.yml
EXAMPLE 3:
outputs: image: ${{ jobs.build.outputs.image }}
VARIATION:
uses: acme/actions/setup@v2   // reuse steps with a composite action
USED WITH:
versions, inputs, organisations
RELATED CONCEPTS:
workflow file, jobs and steps, pinning actions, permissions
ALTERNATIVES:
Composite actions | Copy and paste
WHERE IT IS USED:
Organisations | Many repositories | Standard pipelines
MINI CONVERSATION:
A: Twenty repositories have slightly different test workflows. | B: Move it into one reusable workflow.
COMMON MISTAKE:
✗ A reusable workflow is the same as a composite action → ✓ A workflow reuses whole jobs, and a composite action reuses steps
COMMONLY CONFUSED WITH:
Reusable workflow vs composite action: jobs versus steps.
AVOID / DON'T:
Do not call a shared workflow from a moving branch name.
WRONG CODE:
uses: acme/shared/.github/workflows/test.yml@main
RIGHT CODE:
uses: acme/shared/.github/workflows/test.yml@v1
MEMORY TRICK:
Version your shared workflows like software.
REAL LIFE: PROJECT / WORK:
Replacing twelve copied test workflows with one reusable workflow.
REAL LIFE: INTERVIEW / EXAM:
An interviewer may ask: How would you standardise CI across many repositories?
REAL LIFE: DAILY LIFE:
It is like a shared recipe for many kitchens.</t>
        </is>
      </c>
      <c r="C16" s="29" t="inlineStr">
        <is>
          <t>02_GitHub_Actions_Advanced_CICD-015</t>
        </is>
      </c>
    </row>
    <row r="17" ht="409" customHeight="1">
      <c r="A17" s="29" t="inlineStr">
        <is>
          <t>Workflow permissions
How do you limit what the built-in GITHUB_TOKEN can do in a workflow?
permissions:
  contents: read
jobs:
  release:
    runs-on: ubuntu-latest
    permissions:
      contents: write
      packages: write
    steps:
      - uses: actions/checkout@v4</t>
        </is>
      </c>
      <c r="B17" s="29" t="inlineStr">
        <is>
          <t>MEANING (SHORT):
The permissions key sets the scopes of GITHUB_TOKEN, such as contents, pull-requests or packages, as read, write or none.
CODE:
permissions:
  contents: read
jobs:
  release:
    runs-on: ubuntu-latest
    permissions:
      contents: write
      packages: write
    steps:
      - uses: actions/checkout@v4
OUTPUT:
Every job gets read-only access to contents, except the release job, which can also write contents and packages.
EXPLANATION:
When permissions is set, any scope you do not list becomes none. A workflow-level setting applies to every job unless a job overrides it. The repository default can also be set to read-only in settings. For OIDC to a cloud, a job needs id-token write. Least privilege here limits the damage from a malicious or buggy action.
SIMPLE EXPLANATION (HINGLISH):
Set permissions at the top to read, then raise them only on the jobs that need more.
REAL-LIFE ANALOGY:
Permissions are keys on a keyring, and you hand over only the ones needed.
SYNTAX PATTERN:
permissions: scope: read|write|none
ANATOMY:
contents = repository files | packages = registry | id-token = OIDC | pull-requests = PR comments
EXAMPLE 1:
permissions: read-all
EXAMPLE 2:
permissions: { id-token: write, contents: read }
EXAMPLE 3:
permissions: {}
VARIATION:
permissions: write-all   // avoid, grants everything
USED WITH:
GITHUB_TOKEN, OIDC, least privilege
RELATED CONCEPTS:
secrets in workflows, OIDC to the cloud, pinning actions, least privilege tokens
ALTERNATIVES:
Fine-grained personal tokens
WHERE IT IS USED:
Security hardening | Releases | Cloud deployment
MINI CONVERSATION:
A: A third-party action has write access to our repo. | B: Set permissions to read at the top.
COMMON MISTAKE:
✗ The default token permissions are always minimal → ✓ Older repositories may default to broad write access, so set them explicitly
COMMONLY CONFUSED WITH:
Permissions vs secrets: permissions limit the built-in token, secrets are stored values you add.
AVOID / DON'T:
Do not grant write-all to any job.
WRONG CODE:
permissions: write-all
RIGHT CODE:
permissions:
  contents: read
MEMORY TRICK:
Read at the top, write only where needed.
REAL LIFE: PROJECT / WORK:
Setting read-only permissions workflow-wide after a third-party action review.
REAL LIFE: INTERVIEW / EXAM:
An interviewer may ask: How do you secure the GITHUB_TOKEN?
REAL LIFE: DAILY LIFE:
It is like handing over only the keys needed.</t>
        </is>
      </c>
      <c r="C17" s="29" t="inlineStr">
        <is>
          <t>02_GitHub_Actions_Advanced_CICD-016</t>
        </is>
      </c>
    </row>
    <row r="18" ht="409" customHeight="1">
      <c r="A18" s="29" t="inlineStr">
        <is>
          <t>Unit and integration tests in CI
Which two kinds of automatic tests check small parts and connected parts of a system?</t>
        </is>
      </c>
      <c r="B18" s="29" t="inlineStr">
        <is>
          <t>DEFINITION (SIMPLE):
Unit tests check one small piece of code in isolation, and integration tests check that several parts, such as code and a database, work together.
HOW / WHY IT WORKS:
Unit tests run in milliseconds and pinpoint the broken function. Integration tests are slower, because they start real dependencies such as a database container, but they catch wiring mistakes. In CI the database is often started as a service container. A good suite has many unit tests and fewer integration tests. A failing test must block the merge.
SIMPLE EXPLANATION (HINGLISH):
Run fast unit tests first, then integration tests, and block the merge if either fails.
REAL-LIFE ANALOGY:
Unit tests check each brick, and integration tests check that the wall stands.
FORMULA / RULE:
Many fast unit tests + fewer slower integration tests.
EXAMPLE 1:
A test of one function that adds two prices.
EXAMPLE 2:
A test that saves a record to a real test database.
EXAMPLE 3:
A job starting a database service container before tests.
RELATED CONCEPTS:
pipeline stages, required checks, flaky tests, coverage
FAMILY / GROUP:
unit, integration, test pyramid, mock, fixture
WHERE IT IS USED:
Every pipeline | Pull requests | Customer code
MINI CONVERSATION:
A: The tests pass locally but fail in CI. | B: CI uses a fresh database, so check the setup.
COMMON MISTAKE:
✗ More integration tests are always better than unit tests → ✓ They are slower and harder to debug, so keep most tests small
DON'T CONFUSE WITH:
Unit vs integration test: unit checks one piece alone, integration checks pieces together.
AVOID / DON'T:
Do not let a failing test pass by skipping it.
MEMORY TRICK:
Many bricks, a few walls.
REAL LIFE: PROJECT / WORK:
Adding a database service container so integration tests ran in the pipeline.
REAL LIFE: INTERVIEW / EXAM:
An interviewer may ask: What is the test pyramid?
REAL LIFE: DAILY LIFE:
It is like checking each brick and then the wall.</t>
        </is>
      </c>
      <c r="C18" s="29" t="inlineStr">
        <is>
          <t>03_Quality_Gates_Beginner_CICD-017</t>
        </is>
      </c>
    </row>
    <row r="19" ht="409" customHeight="1">
      <c r="A19" s="29" t="inlineStr">
        <is>
          <t>Linting and formatting
Which automatic checks find style problems and likely mistakes before tests run?</t>
        </is>
      </c>
      <c r="B19" s="29" t="inlineStr">
        <is>
          <t>DEFINITION (SIMPLE):
Linting analyses code for likely bugs and rule violations, and formatting rewrites code into one consistent style.
HOW / WHY IT WORKS:
Linters such as ESLint or Ruff catch unused variables, risky patterns and some bugs without running the code. Formatters such as Prettier or Black change layout only. In CI the formatter runs in check mode and fails if files would change. Running these first gives feedback in seconds. Rules should be agreed by the team and stored in the repository.
SIMPLE EXPLANATION (HINGLISH):
Lint to find mistakes, format for consistent style, and fail the pipeline fast.
REAL-LIFE ANALOGY:
A linter is a proofreader, and a formatter retypes the page neatly.
FORMULA / RULE:
Lint = find problems. Format = make style uniform.
EXAMPLE 1:
ESLint flagging an unused variable.
EXAMPLE 2:
A check mode run that fails if code is unformatted.
EXAMPLE 3:
A pre-commit hook that formats files before a commit.
RELATED CONCEPTS:
pipeline stages, required checks, code review, pre-commit hooks
FAMILY / GROUP:
lint, format, rule, style, check
WHERE IT IS USED:
Pull requests | Pre-commit hooks | Team standards
MINI CONVERSATION:
A: Reviews are full of style comments. | B: Add a formatter check in CI.
COMMON MISTAKE:
✗ Linting and formatting do the same job → ✓ Linting finds problems, and formatting only changes layout
DON'T CONFUSE WITH:
Linter vs formatter: one reports risky code, the other rewrites style.
AVOID / DON'T:
Do not disable lint rules just to get a green build.
MEMORY TRICK:
Lint finds, format fixes style.
REAL LIFE: PROJECT / WORK:
Adding lint and format checks that cut style comments in reviews.
REAL LIFE: INTERVIEW / EXAM:
An interviewer may ask: Why run linting first in a pipeline?
REAL LIFE: DAILY LIFE:
It is like a proofreader marking a page.</t>
        </is>
      </c>
      <c r="C19" s="29" t="inlineStr">
        <is>
          <t>03_Quality_Gates_Beginner_CICD-018</t>
        </is>
      </c>
    </row>
    <row r="20" ht="409" customHeight="1">
      <c r="A20" s="29" t="inlineStr">
        <is>
          <t>Security scans in CI
Which automatic scans look for vulnerable dependencies, leaked secrets and risky code?</t>
        </is>
      </c>
      <c r="B20" s="29" t="inlineStr">
        <is>
          <t>DEFINITION (SIMPLE):
Security scans in CI include dependency scanning, secret scanning, static code analysis and image scanning, each checking a different risk.
HOW / WHY IT WORKS:
Dependency scanning compares packages with databases of known vulnerabilities. Secret scanning looks for leaked keys. Static analysis reads code for risky patterns, such as SQL built from user input. Image scanning checks container layers. Findings should have severity and owners. Too many false alarms cause alert fatigue, so tune the rules.
SIMPLE EXPLANATION (HINGLISH):
Scan dependencies, secrets, code and images in the pipeline, and block only what matters.
REAL-LIFE ANALOGY:
Scans are airport security checks before the boarding gate.
FORMULA / RULE:
Dependencies + secrets + code + images.
EXAMPLE 1:
A dependency scan failing on a critical vulnerability with a fix.
EXAMPLE 2:
A secret scan blocking a pushed API key.
EXAMPLE 3:
A static analysis tool flagging an injection risk.
RELATED CONCEPTS:
quality gates, secret scanning, container scanning, least privilege
FAMILY / GROUP:
SAST, dependency, vulnerability, severity, false positive
WHERE IT IS USED:
Pull requests | Release gates | Compliance
MINI CONVERSATION:
A: The scan found forty issues. | B: Start with critical ones that have a fix.
COMMON MISTAKE:
✗ If the scanner is quiet, the code is secure → ✓ Scanners find known patterns only, and reviews and design still matter
DON'T CONFUSE WITH:
SAST vs dependency scan: SAST reads your code, dependency scanning checks other people's packages.
AVOID / DON'T:
Do not ignore alerts because there are too many.
MEMORY TRICK:
Block what matters, tune what nags.
REAL LIFE: PROJECT / WORK:
Adding a dependency scan that blocked a critical vulnerable library before release.
REAL LIFE: INTERVIEW / EXAM:
An interviewer may ask: What security checks belong in a pipeline?
REAL LIFE: DAILY LIFE:
It is like airport security before boarding.</t>
        </is>
      </c>
      <c r="C20" s="29" t="inlineStr">
        <is>
          <t>03_Quality_Gates_Intermediate_CICD-019</t>
        </is>
      </c>
    </row>
    <row r="21" ht="409" customHeight="1">
      <c r="A21" s="29" t="inlineStr">
        <is>
          <t>Code coverage
Which measure shows how much of the code the tests actually run?</t>
        </is>
      </c>
      <c r="B21" s="29" t="inlineStr">
        <is>
          <t>DEFINITION (SIMPLE):
Code coverage is the percentage of lines, branches or functions that run during the test suite.
HOW / WHY IT WORKS:
A report highlights lines never executed. Coverage shows what is not tested, but not how well the tested lines are checked. A test with no assertions can reach one hundred percent. Teams often set a minimum gate, such as eighty percent, and require that new code is covered. Chasing a high number can produce poor tests.
SIMPLE EXPLANATION (HINGLISH):
Use coverage to find gaps, set a sensible minimum, and focus on meaningful tests.
REAL-LIFE ANALOGY:
Coverage is a highlighter showing which pages the tests read.
FORMULA / RULE:
Coverage = executed lines ÷ total lines. It shows gaps, not quality.
EXAMPLE 1:
A report showing an error branch never tested.
EXAMPLE 2:
A gate requiring new code to have eighty percent coverage.
EXAMPLE 3:
A test with no checks inflating the number.
RELATED CONCEPTS:
unit tests, required checks, flaky tests, reviews
FAMILY / GROUP:
coverage, line, branch, threshold, report
WHERE IT IS USED:
Quality gates | Reviews | Reports
MINI CONVERSATION:
A: Coverage is ninety percent, so we are safe. | B: Not necessarily, the tests may check little.
COMMON MISTAKE:
✗ High coverage guarantees good tests → ✓ It only shows code was run, not that it was checked properly
DON'T CONFUSE WITH:
Line vs branch coverage: lines count statements run, branches count decisions covered.
AVOID / DON'T:
Do not write empty tests to raise the percentage.
MEMORY TRICK:
Coverage shows gaps, not quality.
REAL LIFE: PROJECT / WORK:
Using a coverage report to find an untested payment error path.
REAL LIFE: INTERVIEW / EXAM:
An interviewer may ask: Is one hundred percent coverage a good goal?
REAL LIFE: DAILY LIFE:
It is like a highlighter on read pages.</t>
        </is>
      </c>
      <c r="C21" s="29" t="inlineStr">
        <is>
          <t>03_Quality_Gates_Intermediate_CICD-020</t>
        </is>
      </c>
    </row>
    <row r="22" ht="409" customHeight="1">
      <c r="A22" s="29" t="inlineStr">
        <is>
          <t>Required checks and branch protection
Which settings stop a pull request from merging until the checks pass?</t>
        </is>
      </c>
      <c r="B22" s="29" t="inlineStr">
        <is>
          <t>DEFINITION (SIMPLE):
Branch protection rules require status checks, reviews and other conditions before changes can be merged into a protected branch.
HOW / WHY IT WORKS:
You choose which checks are required, how many approvals are needed and whether force pushes are blocked. Rules can require the branch to be up to date before merging. Administrators can be included in the rules. A required check must report success. A check that never runs, for example because of a path filter, stays pending and blocks the merge, so design for that. Rulesets provide a newer way to manage rules across repositories.
SIMPLE EXPLANATION (HINGLISH):
Protect main, require the pipeline and a review, and block direct pushes.
REAL-LIFE ANALOGY:
Branch protection is a turnstile that opens only with a valid ticket.
FORMULA / RULE:
Required checks + review + no force push.
EXAMPLE 1:
A rule requiring the test and lint jobs to pass.
EXAMPLE 2:
A rule requiring one approving review.
EXAMPLE 3:
Blocking force pushes to main.
RELATED CONCEPTS:
pull requests, quality gates, code owners, rulesets
FAMILY / GROUP:
protection, required check, review, ruleset, merge
WHERE IT IS USED:
Main branches | Teams | Compliance
MINI CONVERSATION:
A: Someone pushed a broken change to main. | B: Turn on branch protection and required checks.
COMMON MISTAKE:
✗ Admins should be exempt from branch protection → ✓ Including admins avoids accidental bypasses
DON'T CONFUSE WITH:
Required check vs optional check: required ones block merging, optional ones only inform.
AVOID / DON'T:
Do not allow direct pushes to the main branch.
MEMORY TRICK:
Checks plus review guard the main branch.
REAL LIFE: PROJECT / WORK:
Enabling required checks so broken code could no longer be merged into main.
REAL LIFE: INTERVIEW / EXAM:
An interviewer may ask: How do you stop broken code reaching the main branch?
REAL LIFE: DAILY LIFE:
It is like a turnstile that opens only with a ticket.</t>
        </is>
      </c>
      <c r="C22" s="29" t="inlineStr">
        <is>
          <t>03_Quality_Gates_Intermediate_CICD-021</t>
        </is>
      </c>
    </row>
    <row r="23" ht="409" customHeight="1">
      <c r="A23" s="29" t="inlineStr">
        <is>
          <t>Flaky tests
Which tests pass and fail randomly without any change in the code?</t>
        </is>
      </c>
      <c r="B23" s="29" t="inlineStr">
        <is>
          <t>DEFINITION (SIMPLE):
A flaky test is one that gives different results on the same code, usually because of timing, order, shared data or external services.
HOW / WHY IT WORKS:
Common causes are sleeps instead of waiting for a condition, tests that depend on each other, random data, clock use and network calls. Flakiness trains people to ignore failures, which is dangerous. Quarantining a test temporarily is acceptable only with an owner and a deadline. Fix by isolating data, controlling time and mocking external services.
SIMPLE EXPLANATION (HINGLISH):
Find why the result changes, fix the cause, and never train the team to rerun and ignore.
REAL-LIFE ANALOGY:
It is a smoke alarm that rings for no reason.
FORMULA / RULE:
Same code, different result = a bug in the test or system.
EXAMPLE 1:
A test that fails when run after another test.
EXAMPLE 2:
A test using real time that fails near midnight.
EXAMPLE 3:
A test calling a real web service.
RELATED CONCEPTS:
unit tests, required checks, retries, test isolation
FAMILY / GROUP:
flaky, intermittent, isolation, timing, mock
WHERE IT IS USED:
Test suites | Pipelines | Reliability work
MINI CONVERSATION:
A: Just rerun it, it always passes the second time. | B: Then it is flaky, so let us find the cause.
COMMON MISTAKE:
✗ Rerunning a failed test until it passes is a fix → ✓ It hides the problem, which may be a real race condition
DON'T CONFUSE WITH:
Flaky vs failing test: a failing test fails every time, a flaky test fails sometimes.
AVOID / DON'T:
Do not add automatic retries to hide flakiness permanently.
MEMORY TRICK:
Random failure means find the cause.
REAL LIFE: PROJECT / WORK:
Replacing fixed sleeps with waits on a condition to remove random failures.
REAL LIFE: INTERVIEW / EXAM:
An interviewer may ask: How do you handle flaky tests?
REAL LIFE: DAILY LIFE:
It is like a smoke alarm that rings for nothing.</t>
        </is>
      </c>
      <c r="C23" s="29" t="inlineStr">
        <is>
          <t>03_Quality_Gates_Intermediate_CICD-022</t>
        </is>
      </c>
    </row>
    <row r="24" ht="409" customHeight="1">
      <c r="A24" s="29" t="inlineStr">
        <is>
          <t>Rolling deployments
Which strategy replaces old servers with new ones a few at a time?</t>
        </is>
      </c>
      <c r="B24" s="29" t="inlineStr">
        <is>
          <t>DEFINITION (SIMPLE):
A rolling deployment replaces instances of the old version with the new version gradually, keeping part of the service available throughout.
HOW / WHY IT WORKS:
A few instances are updated, checked for health, and then the next group is updated. Load balancers keep traffic away from instances being replaced. If health checks fail, the rollout stops. There is no extra full environment to pay for. The weakness is that two versions run at once, so database changes must be compatible with both.
SIMPLE EXPLANATION (HINGLISH):
Update a few servers at a time, check health, and continue.
REAL-LIFE ANALOGY:
It is like changing a bus's tyres one wheel at a time while it keeps moving.
FORMULA / RULE:
Replace a batch, check health, repeat.
EXAMPLE 1:
Updating two of ten servers at a time.
EXAMPLE 2:
A rollout that pauses when health checks fail.
EXAMPLE 3:
A Kubernetes deployment updating pods gradually.
RELATED CONCEPTS:
blue-green, canary, health checks, rollbacks
FAMILY / GROUP:
rollout, batch, health check, surge, availability
WHERE IT IS USED:
Web services | Kubernetes | Server fleets
MINI CONVERSATION:
A: Can we deploy without downtime? | B: Yes, with a rolling update behind a load balancer.
COMMON MISTAKE:
✗ Rolling deployments never have two versions running → ✓ Old and new versions run side by side during the rollout
DON'T CONFUSE WITH:
Rolling vs blue-green: rolling updates in place in batches, blue-green switches between two full environments.
AVOID / DON'T:
Do not ship changes that break the old version while it is still running.
MEMORY TRICK:
Few at a time, check each batch.
REAL LIFE: PROJECT / WORK:
Switching a service to rolling updates and removing the maintenance downtime.
REAL LIFE: INTERVIEW / EXAM:
An interviewer may ask: What is the risk of a rolling deployment?
REAL LIFE: DAILY LIFE:
It is like changing tyres one wheel at a time.</t>
        </is>
      </c>
      <c r="C24" s="29" t="inlineStr">
        <is>
          <t>04_Deployment_Intermediate_CICD-023</t>
        </is>
      </c>
    </row>
    <row r="25" ht="409" customHeight="1">
      <c r="A25" s="29" t="inlineStr">
        <is>
          <t>Blue-green deployments
Which strategy keeps two full environments and switches traffic from one to the other?</t>
        </is>
      </c>
      <c r="B25" s="29" t="inlineStr">
        <is>
          <t>DEFINITION (SIMPLE):
A blue-green deployment runs the new version in a separate full environment and then switches all traffic to it, keeping the old one ready for rollback.
HOW / WHY IT WORKS:
Blue is live and green holds the new version. After testing green, traffic is moved over in one step. If something fails, traffic switches back to blue. It needs double the capacity during the switch, and databases must work with both versions. Shared data and in-flight sessions need planning.
SIMPLE EXPLANATION (HINGLISH):
Build the new version next to the old, test it, then switch traffic, and switch back if needed.
REAL-LIFE ANALOGY:
It is two stages, with the audience moved from one to the other in a moment.
FORMULA / RULE:
Deploy to idle → test → switch → keep old for rollback.
EXAMPLE 1:
Switching a load balancer from the blue pool to the green pool.
EXAMPLE 2:
Rolling back by pointing traffic to the old pool again.
EXAMPLE 3:
Testing green with internal traffic before the switch.
RELATED CONCEPTS:
rolling, canary, rollbacks, DNS and load balancers
FAMILY / GROUP:
blue, green, switch, cutover, idle
WHERE IT IS USED:
Critical services | Fast rollback needs | Cloud platforms
MINI CONVERSATION:
A: Can we roll back instantly if it fails? | B: Yes, with blue-green we just switch back.
COMMON MISTAKE:
✗ Blue-green solves database changes by itself → ✓ The database must be compatible with both versions during the switch
DON'T CONFUSE WITH:
Blue-green vs canary: blue-green switches all traffic, canary shifts a small share first.
AVOID / DON'T:
Do not delete the old environment right after the switch.
MEMORY TRICK:
Two stages, one switch, easy way back.
REAL LIFE: PROJECT / WORK:
Using blue-green so a payment service could be rolled back in seconds.
REAL LIFE: INTERVIEW / EXAM:
An interviewer may ask: What is the cost of blue-green?
REAL LIFE: DAILY LIFE:
It is like moving an audience between two stages.</t>
        </is>
      </c>
      <c r="C25" s="29" t="inlineStr">
        <is>
          <t>04_Deployment_Intermediate_CICD-024</t>
        </is>
      </c>
    </row>
    <row r="26" ht="409" customHeight="1">
      <c r="A26" s="29" t="inlineStr">
        <is>
          <t>Canary releases
Which strategy sends a small share of traffic to the new version first?</t>
        </is>
      </c>
      <c r="B26" s="29" t="inlineStr">
        <is>
          <t>DEFINITION (SIMPLE):
A canary release routes a small percentage of traffic to the new version, watches its health, and increases the share only if it behaves well.
HOW / WHY IT WORKS:
Typical steps are one, five, twenty-five and a hundred percent. Metrics such as errors and latency are compared between old and new. If they worsen, traffic returns to the old version. It needs good monitoring and traffic control, from a load balancer, mesh or flag system. It limits the number of users hurt by a bug.
SIMPLE EXPLANATION (HINGLISH):
Send a few users to the new version, watch the metrics, and grow or stop.
REAL-LIFE ANALOGY:
The canary is the small test group that tells you whether the mine is safe.
FORMULA / RULE:
Small share → measure → grow or roll back.
EXAMPLE 1:
Five percent of requests routed to version two.
EXAMPLE 2:
Automatic rollback when the error rate rises.
EXAMPLE 3:
Canary only for internal users first.
RELATED CONCEPTS:
rolling, blue-green, feature flags, monitoring
FAMILY / GROUP:
canary, traffic split, percentage, metrics, promotion
WHERE IT IS USED:
Large services | Risky changes | Platforms with traffic control
MINI CONVERSATION:
A: How do we limit damage from a bad release? | B: Release to five percent first and watch.
COMMON MISTAKE:
✗ Canary releases need no monitoring → ✓ They depend on metrics to decide whether to continue
DON'T CONFUSE WITH:
Canary vs rolling: canary controls the traffic share by percent, rolling replaces instances in batches.
AVOID / DON'T:
Do not run a canary without clear success metrics.
MEMORY TRICK:
A few users first, then the rest.
REAL LIFE: PROJECT / WORK:
Releasing a new pricing service to five percent of traffic before full rollout.
REAL LIFE: INTERVIEW / EXAM:
An interviewer may ask: How would you release a risky change safely?
REAL LIFE: DAILY LIFE:
It is like testing with a small group first.</t>
        </is>
      </c>
      <c r="C26" s="29" t="inlineStr">
        <is>
          <t>04_Deployment_Advanced_CICD-025</t>
        </is>
      </c>
    </row>
    <row r="27" ht="409" customHeight="1">
      <c r="A27" s="29" t="inlineStr">
        <is>
          <t>Rollbacks
How do you quickly return to the last good version when a release fails?</t>
        </is>
      </c>
      <c r="B27" s="29" t="inlineStr">
        <is>
          <t>DEFINITION (SIMPLE):
A rollback restores the previous working version of an application after a bad release, usually by redeploying the earlier artifact.
HOW / WHY IT WORKS:
With immutable, versioned artifacts, rollback means deploying the old tag again. Blue-green offers an instant switch back, and canaries stop and revert. Database changes complicate it, since data written by the new version may not fit the old one. Use backward-compatible changes in steps. Decide beforehand who may trigger a rollback and how.
SIMPLE EXPLANATION (HINGLISH):
Keep the previous artifact, deploy it again, and design database changes so going back is safe.
REAL-LIFE ANALOGY:
A rollback is the undo button that works only if you saved the previous version.
FORMULA / RULE:
Versioned artifact + compatible data = easy rollback.
EXAMPLE 1:
Redeploying image tag 1.4.2 after 1.4.3 failed.
EXAMPLE 2:
Switching traffic back to the blue environment.
EXAMPLE 3:
A migration that only adds a column, which is safe for the old version.
RELATED CONCEPTS:
blue-green, build artifacts, database migrations, release tagging
FAMILY / GROUP:
rollback, revert, previous version, undo, roll forward
WHERE IT IS USED:
Incidents | Release planning | Runbooks
MINI CONVERSATION:
A: Version 1.4.3 broke checkout. | B: Redeploy 1.4.2 now and investigate after.
COMMON MISTAKE:
✗ A rollback is always possible after any release → ✓ Data and schema changes can make going back unsafe
DON'T CONFUSE WITH:
Rollback vs roll forward: rollback returns to the old version, roll forward ships a quick fix.
AVOID / DON'T:
Do not delete old artifacts that you may need to restore.
MEMORY TRICK:
Keep the old version one command away.
REAL LIFE: PROJECT / WORK:
Rolling back a failed release in two minutes by redeploying the previous image tag.
REAL LIFE: INTERVIEW / EXAM:
An interviewer may ask: How do you make rollbacks safe with database changes?
REAL LIFE: DAILY LIFE:
It is like an undo button that needs a saved copy.</t>
        </is>
      </c>
      <c r="C27" s="29" t="inlineStr">
        <is>
          <t>04_Deployment_Intermediate_CICD-026</t>
        </is>
      </c>
    </row>
    <row r="28" ht="409" customHeight="1">
      <c r="A28" s="29" t="inlineStr">
        <is>
          <t>Feature flags
Which switches let you turn features on or off without deploying new code?</t>
        </is>
      </c>
      <c r="B28" s="29" t="inlineStr">
        <is>
          <t>DEFINITION (SIMPLE):
A feature flag is a runtime switch that enables or disables a feature, possibly for chosen users, without deploying new code.
HOW / WHY IT WORKS:
Code for a new feature is merged and deployed hidden behind a flag. The flag is then enabled for staff, a small group, or everyone. If problems appear, turning the flag off is faster than a rollback. Flags can be stored in config files or in a flag service. Old flags should be cleaned up, since each adds complexity and testing paths.
SIMPLE EXPLANATION (HINGLISH):
Ship the code turned off, enable it gradually, and switch it off instantly if needed.
REAL-LIFE ANALOGY:
It is a light switch wired in before the room opens.
FORMULA / RULE:
Deploy hidden, release by flag, remove when done.
EXAMPLE 1:
A new checkout page visible to ten percent of users.
EXAMPLE 2:
A kill switch disabling a failing integration.
EXAMPLE 3:
A flag enabled for internal staff only.
RELATED CONCEPTS:
canary releases, rollbacks, trunk-based development, release tagging
FAMILY / GROUP:
flag, toggle, kill switch, rollout, targeting
WHERE IT IS USED:
Gradual releases | Experiments | Emergency switches
MINI CONVERSATION:
A: The new search is broken. | B: Turn off its flag while we fix it.
COMMON MISTAKE:
✗ Feature flags are free of cost → ✓ Each flag adds code paths and must be cleaned up
DON'T CONFUSE WITH:
Deploy vs release: deploy puts code on servers, release makes the feature available.
AVOID / DON'T:
Do not leave stale flags in the code for years.
MEMORY TRICK:
Deploy dark, release by switch.
REAL LIFE: PROJECT / WORK:
Hiding a new report behind a flag and enabling it for one customer first.
REAL LIFE: INTERVIEW / EXAM:
An interviewer may ask: What is the difference between deploying and releasing?
REAL LIFE: DAILY LIFE:
It is like a switch wired before opening.</t>
        </is>
      </c>
      <c r="C28" s="29" t="inlineStr">
        <is>
          <t>04_Deployment_Intermediate_CICD-027</t>
        </is>
      </c>
    </row>
    <row r="29" ht="409" customHeight="1">
      <c r="A29" s="29" t="inlineStr">
        <is>
          <t>Database migrations in pipelines
How do you change a database schema safely as part of a release?</t>
        </is>
      </c>
      <c r="B29" s="29" t="inlineStr">
        <is>
          <t>DEFINITION (SIMPLE):
A database migration is a versioned script that changes the schema, and pipelines apply migrations in order before or during a release.
HOW / WHY IT WORKS:
Tools such as Alembic, Flyway or Prisma Migrate keep a table that records which migrations ran. The safest pattern is expand and contract. First add a new column, deploy code that writes both, move data, switch reads and only later remove the old column. Destructive changes need backups. Long locks can block production, so large changes need care.
SIMPLE EXPLANATION (HINGLISH):
Use versioned migrations, make each step compatible with both code versions, and back up before destructive changes.
REAL-LIFE ANALOGY:
Migrations are numbered steps on a staircase that the database climbs in order.
FORMULA / RULE:
Expand, migrate data, switch, then contract.
EXAMPLE 1:
Adding a nullable column before the code uses it.
EXAMPLE 2:
Backfilling data in batches.
EXAMPLE 3:
Dropping an old column two releases later.
RELATED CONCEPTS:
rollbacks, blue-green, backups, canary releases
FAMILY / GROUP:
migration, schema, expand and contract, backfill, lock
WHERE IT IS USED:
Every data-backed app | Releases | Upgrades
MINI CONVERSATION:
A: The new code needs a renamed column. | B: Add the new one first, then remove the old later.
COMMON MISTAKE:
✗ Renaming a column in one step is safe → ✓ A rename breaks the old version still running, so do it in steps
DON'T CONFUSE WITH:
Expand vs contract: expand adds, contract removes what is no longer used.
AVOID / DON'T:
Do not drop a column in the same release that stops using it.
MEMORY TRICK:
Add first, switch next, remove last.
REAL LIFE: PROJECT / WORK:
Splitting a column rename into three releases to avoid downtime.
REAL LIFE: INTERVIEW / EXAM:
An interviewer may ask: How do you change a database schema without downtime?
REAL LIFE: DAILY LIFE:
It is like climbing a numbered staircase.</t>
        </is>
      </c>
      <c r="C29" s="29" t="inlineStr">
        <is>
          <t>04_Deployment_Advanced_CICD-028</t>
        </is>
      </c>
    </row>
    <row r="30" ht="409" customHeight="1">
      <c r="A30" s="29" t="inlineStr">
        <is>
          <t>GitOps
Which approach uses a Git repository as the source of truth for what runs in production?</t>
        </is>
      </c>
      <c r="B30" s="29" t="inlineStr">
        <is>
          <t>DEFINITION (SIMPLE):
GitOps keeps the desired state of infrastructure and applications in Git, and an automated agent applies it and corrects any drift.
HOW / WHY IT WORKS:
To change production you open a pull request that edits the manifests. After the merge, a tool such as Argo CD or Flux notices the change and applies it to the cluster. If someone changes the cluster by hand, the agent can detect and revert the drift. It gives an audit trail, easy rollback by reverting a commit, and fewer credentials outside the cluster.
SIMPLE EXPLANATION (HINGLISH):
Git states what should run, and an agent makes reality match it.
REAL-LIFE ANALOGY:
It is a ship whose cargo is checked against the manifest and corrected automatically.
FORMULA / RULE:
Git = desired state. Agent = reconcile.
EXAMPLE 1:
A merged pull request changing an image tag in a manifest.
EXAMPLE 2:
An agent reverting a manual edit.
EXAMPLE 3:
Rolling back by reverting a commit.
RELATED CONCEPTS:
infrastructure as code, Kubernetes, rollbacks, environments
FAMILY / GROUP:
GitOps, reconcile, drift, manifest, agent
WHERE IT IS USED:
Kubernetes | Platform teams | Audited environments
MINI CONVERSATION:
A: Someone changed production by hand. | B: The GitOps agent will revert it to match Git.
COMMON MISTAKE:
✗ GitOps means running kubectl from your laptop → ✓ Changes are made in Git, and the agent applies them
DON'T CONFUSE WITH:
Push vs pull deployment: push sends changes from the pipeline, pull has an agent fetch them from Git.
AVOID / DON'T:
Do not make manual edits to a GitOps-managed cluster.
MEMORY TRICK:
Commit it, merge it, the agent applies it.
REAL LIFE: PROJECT / WORK:
Managing cluster settings through pull requests so every change had an author.
REAL LIFE: INTERVIEW / EXAM:
An interviewer may ask: What is GitOps?
REAL LIFE: DAILY LIFE:
It is like checking cargo against the manifest.</t>
        </is>
      </c>
      <c r="C30" s="29" t="inlineStr">
        <is>
          <t>04_Deployment_Advanced_CICD-029</t>
        </is>
      </c>
    </row>
    <row r="31" ht="409" customHeight="1">
      <c r="A31" s="29" t="inlineStr">
        <is>
          <t>Infrastructure as code in pipelines
How does a pipeline plan and apply infrastructure changes safely?</t>
        </is>
      </c>
      <c r="B31" s="29" t="inlineStr">
        <is>
          <t>DEFINITION (SIMPLE):
Running infrastructure as code in a pipeline means validating and planning on pull requests, then applying approved changes after merge.
HOW / WHY IT WORKS:
On a pull request the pipeline runs format and validate checks and a plan, posting the result for reviewers. After merge and approval the apply stage runs. State is stored remotely with locking so two runs do not collide. Credentials come from short-lived tokens. Separate environments use separate state and variables.
SIMPLE EXPLANATION (HINGLISH):
Plan on the pull request, review it, apply after merge, and lock the state.
REAL-LIFE ANALOGY:
The plan is a preview of the renovation before builders start.
FORMULA / RULE:
Validate → plan → review → apply.
EXAMPLE 1:
A plan comment listing two resources to change.
EXAMPLE 2:
A manual approval before apply in production.
EXAMPLE 3:
Remote state with locking.
RELATED CONCEPTS:
infrastructure as code, environments, OIDC, approvals
FAMILY / GROUP:
plan, apply, state, lock, validate
WHERE IT IS USED:
Cloud teams | Platform engineering | Audited changes
MINI CONVERSATION:
A: What will this change do to production? | B: Read the plan posted on the pull request.
COMMON MISTAKE:
✗ Applying infrastructure changes from laptops is fine → ✓ A pipeline gives review, history and controlled credentials
DON'T CONFUSE WITH:
Plan vs apply: plan previews, apply makes the change.
AVOID / DON'T:
Do not run apply without reading the plan.
MEMORY TRICK:
Plan on the PR, apply after merge.
REAL LIFE: PROJECT / WORK:
Posting Terraform plans on pull requests so reviewers saw every resource change.
REAL LIFE: INTERVIEW / EXAM:
An interviewer may ask: How do you control infrastructure changes in CI?
REAL LIFE: DAILY LIFE:
It is like previewing a renovation.</t>
        </is>
      </c>
      <c r="C31" s="29" t="inlineStr">
        <is>
          <t>04_Deployment_Intermediate_CICD-030</t>
        </is>
      </c>
    </row>
    <row r="32" ht="409" customHeight="1">
      <c r="A32" s="29" t="inlineStr">
        <is>
          <t>Release tagging and versioning
How do you name and mark each release so it can be found and repeated?</t>
        </is>
      </c>
      <c r="B32" s="29" t="inlineStr">
        <is>
          <t>DEFINITION (SIMPLE):
Release tagging marks a specific commit with a version label, often following semantic versioning of major, minor and patch numbers.
HOW / WHY IT WORKS:
In semantic versioning, a major change breaks compatibility, a minor change adds features, and a patch fixes bugs. A pushed tag can trigger the release pipeline. Images and packages carry the same version. Changelogs summarise what changed. Avoid reusing or moving a tag, because it breaks traceability.
SIMPLE EXPLANATION (HINGLISH):
Tag the commit with a version, build artifacts with the same version, and never move the tag.
REAL-LIFE ANALOGY:
A release tag is a sticker with the version on a sealed box.
FORMULA / RULE:
MAJOR.MINOR.PATCH, one tag per release.
EXAMPLE 1:
v1.4.2 tagging a commit.
EXAMPLE 2:
An image tagged 1.4.2 and the commit hash.
EXAMPLE 3:
A tag push starting the release workflow.
RELATED CONCEPTS:
build artifacts, triggers, rollbacks, changelogs
FAMILY / GROUP:
tag, semantic versioning, major, minor, patch
WHERE IT IS USED:
Releases | Packages | Rollbacks
MINI CONVERSATION:
A: Which version is live? | B: Tag v1.4.2, the commit is in the release notes.
COMMON MISTAKE:
✗ Moving a tag to a new commit is harmless → ✓ It breaks traceability, because the same tag then means different code
DON'T CONFUSE WITH:
Major vs patch: major may break users, patch only fixes bugs.
AVOID / DON'T:
Do not reuse a version number.
MEMORY TRICK:
Major breaks, minor adds, patch fixes.
REAL LIFE: PROJECT / WORK:
Triggering the release pipeline from version tags so every release was traceable.
REAL LIFE: INTERVIEW / EXAM:
An interviewer may ask: What does semantic versioning mean?
REAL LIFE: DAILY LIFE:
It is like a sticker with the version on a box.</t>
        </is>
      </c>
      <c r="C32" s="29" t="inlineStr">
        <is>
          <t>04_Deployment_Beginner_CICD-031</t>
        </is>
      </c>
    </row>
    <row r="33" ht="409" customHeight="1">
      <c r="A33" s="29" t="inlineStr">
        <is>
          <t>OIDC to the cloud
How can a workflow sign in to a cloud account without any stored key?
permissions:
  id-token: write
  contents: read
steps:
  - uses: aws-actions/configure-aws-credentials@v4
    with:
      role-to-assume: arn:aws:iam::123456789012:role/deploy
      aws-region: ap-south-1</t>
        </is>
      </c>
      <c r="B33" s="29" t="inlineStr">
        <is>
          <t>MEANING (SHORT):
With OpenID Connect, the workflow requests a signed identity token from GitHub, and the cloud exchanges it for temporary credentials for a role it trusts.
CODE:
permissions:
  id-token: write
  contents: read
steps:
  - uses: aws-actions/configure-aws-credentials@v4
    with:
      role-to-assume: arn:aws:iam::123456789012:role/deploy
      aws-region: ap-south-1
OUTPUT:
The job receives temporary credentials for the deploy role, and no long-lived key is stored anywhere.
EXPLANATION:
The cloud role has a trust policy that names GitHub as the identity provider and limits which repository, branch or environment may assume it. The token contains claims about the repository and ref. The workflow needs the id-token write permission. Credentials are short-lived, by default about an hour with the AWS action, so a leak is much less harmful. Azure and GCP offer similar federation.
SIMPLE EXPLANATION (HINGLISH):
Trust GitHub in the cloud, limit the role by repository, and let the workflow request temporary access.
REAL-LIFE ANALOGY:
It is like showing a signed visitor badge instead of carrying a permanent key.
SYNTAX PATTERN:
permissions: id-token: write | role-to-assume: &lt;role&gt;
ANATOMY:
id-token = lets the job request a token | trust policy = who may assume | role = what they may do
EXAMPLE 1:
sub: repo:acme/api:ref:refs/heads/main
EXAMPLE 2:
role-to-assume: arn:aws:iam::123456789012:role/deploy
EXAMPLE 3:
audience: sts.amazonaws.com
VARIATION:
azure/login with client-id and tenant-id   // the same idea on Azure
USED WITH:
IAM roles, permissions, environments
RELATED CONCEPTS:
workflow permissions, secrets in workflows, temporary credentials, least privilege tokens
ALTERNATIVES:
Stored access keys
WHERE IT IS USED:
Cloud deployments | Container pushes | Infrastructure pipelines
MINI CONVERSATION:
A: Where is the AWS key stored for the pipeline? | B: Nowhere, it uses OIDC and a role.
COMMON MISTAKE:
✗ OIDC removes the need to limit the role → ✓ The trust policy must still restrict which repository and branch can use it
COMMONLY CONFUSED WITH:
OIDC vs stored secret: OIDC gives temporary access, a secret is a long-lived value.
AVOID / DON'T:
Do not trust every repository in the organisation with a powerful role.
WRONG CODE:
permissions:
  contents: read   # no id-token, so OIDC fails
RIGHT CODE:
permissions:
  id-token: write
  contents: read
MEMORY TRICK:
Badge at the door, no key in pocket.
REAL LIFE: PROJECT / WORK:
Replacing a stored deployment key with OIDC and a role limited to the main branch.
REAL LIFE: INTERVIEW / EXAM:
An interviewer may ask: How do you avoid storing cloud credentials in CI?
REAL LIFE: DAILY LIFE:
It is like a signed visitor badge instead of a permanent key.</t>
        </is>
      </c>
      <c r="C33" s="29" t="inlineStr">
        <is>
          <t>05_Security_and_Scale_Advanced_CICD-032</t>
        </is>
      </c>
    </row>
    <row r="34" ht="409" customHeight="1">
      <c r="A34" s="29" t="inlineStr">
        <is>
          <t>Pinning actions
How do you stop a third-party action from changing under you?
- uses: actions/checkout@b4ffde65f46336ab88eb53be808477a3936bae11   # v4.1.1
- uses: some-org/deploy-action@5e1c2a8b9d0f3a4b6c7d8e9f0a1b2c3d4e5f6a7b</t>
        </is>
      </c>
      <c r="B34" s="29" t="inlineStr">
        <is>
          <t>MEANING (SHORT):
Pinning means referencing an action by a full commit SHA rather than a tag or branch, so its code cannot change without your knowledge.
CODE:
- uses: actions/checkout@b4ffde65f46336ab88eb53be808477a3936bae11   # v4.1.1
- uses: some-org/deploy-action@5e1c2a8b9d0f3a4b6c7d8e9f0a1b2c3d4e5f6a7b
OUTPUT:
The workflow always runs the exact reviewed code, and a version comment shows the human-readable tag.
EXPLANATION:
Tags such as v1 can be moved by the action author, so a compromised maintainer account can change what your pipeline runs. A full commit hash is immutable. Bots such as Dependabot can open pull requests to update pinned hashes. Actions from the official organisation carry lower risk but pinning is still wise for critical pipelines. Review what an action does before use.
SIMPLE EXPLANATION (HINGLISH):
Use full commit hashes for third-party actions, and update them through reviewed pull requests.
REAL-LIFE ANALOGY:
Pinning is writing the exact serial number instead of the product name.
SYNTAX PATTERN:
uses: owner/action@&lt;full-commit-sha&gt;
ANATOMY:
owner/action = which action | @sha = exact version | comment = human label
EXAMPLE 1:
uses: actions/setup-node@60edb5dd545a775178f52524783378180af0d1f8   # v4.0.2
EXAMPLE 2:
Dependabot updating github-actions weekly
EXAMPLE 3:
uses: ./.github/actions/local-step
VARIATION:
uses: owner/action@v1   // convenient but movable
USED WITH:
Dependabot, code review, permissions
RELATED CONCEPTS:
workflow permissions, secret scanning, reusable workflows, supply chain
ALTERNATIVES:
Vendoring or forking the action
WHERE IT IS USED:
Security hardening | Regulated pipelines | Shared workflows
MINI CONVERSATION:
A: An action we use was compromised. | B: Pinned hashes would have protected us from the new code.
COMMON MISTAKE:
✗ A version tag such as v4 can never change → ✓ Tags can be moved, and only a commit hash is immutable
COMMONLY CONFUSED WITH:
Tag vs commit hash: a tag is a movable label, a hash identifies fixed code.
AVOID / DON'T:
Do not use branch names such as main for third-party actions.
WRONG CODE:
uses: some-org/deploy-action@main
RIGHT CODE:
uses: some-org/deploy-action@5e1c2a8b9d0f3a4b6c7d8e9f0a1b2c3d4e5f6a7b
MEMORY TRICK:
Pin the hash, not the nickname.
REAL LIFE: PROJECT / WORK:
Pinning all third-party actions after a supply chain scare, with weekly update pull requests.
REAL LIFE: INTERVIEW / EXAM:
An interviewer may ask: How do you defend against a compromised GitHub Action?
REAL LIFE: DAILY LIFE:
It is like writing the exact serial number.</t>
        </is>
      </c>
      <c r="C34" s="29" t="inlineStr">
        <is>
          <t>05_Security_and_Scale_Advanced_CICD-033</t>
        </is>
      </c>
    </row>
    <row r="35" ht="409" customHeight="1">
      <c r="A35" s="29" t="inlineStr">
        <is>
          <t>Least privilege tokens
How do you give automation tokens only the access they need?</t>
        </is>
      </c>
      <c r="B35" s="29" t="inlineStr">
        <is>
          <t>DEFINITION (SIMPLE):
Least privilege tokens are credentials limited to the specific repositories, permissions and lifetime needed for one automation task.
HOW / WHY IT WORKS:
Fine-grained tokens and GitHub App tokens can be restricted to chosen repositories and actions. The built-in GITHUB_TOKEN is created per run and expires. Personal access tokens tied to a person break when that person leaves and often grant too much. Bots should use their own identity. Set expiry dates and review tokens regularly.
SIMPLE EXPLANATION (HINGLISH):
Give each automation its own narrow, short-lived token instead of a broad personal one.
REAL-LIFE ANALOGY:
It is a key that opens one door, not the whole building.
FORMULA / RULE:
One task, one token, narrow scope, short life.
EXAMPLE 1:
A fine-grained token that can read one repository.
EXAMPLE 2:
A GitHub App installed on two repositories only.
EXAMPLE 3:
A token set to expire in thirty days.
RELATED CONCEPTS:
workflow permissions, OIDC to the cloud, secrets in workflows, access reviews
FAMILY / GROUP:
scope, token, expiry, app, fine-grained
WHERE IT IS USED:
Automation | Integrations | Security reviews
MINI CONVERSATION:
A: The bot uses my personal token. | B: Replace it with an app token limited to one repository.
COMMON MISTAKE:
✗ A personal access token is a fine shared key for automation → ✓ It carries your full access and breaks when you leave
DON'T CONFUSE WITH:
Personal token vs app token: a personal token acts as you, an app token acts as the app with set scopes.
AVOID / DON'T:
Do not share one broad token across many pipelines.
MEMORY TRICK:
One task, one token, small scope.
REAL LIFE: PROJECT / WORK:
Replacing a shared admin token with a scoped app token for a release bot.
REAL LIFE: INTERVIEW / EXAM:
An interviewer may ask: How do you manage tokens used by automation?
REAL LIFE: DAILY LIFE:
It is like a key for one door only.</t>
        </is>
      </c>
      <c r="C35" s="29" t="inlineStr">
        <is>
          <t>05_Security_and_Scale_Intermediate_CICD-034</t>
        </is>
      </c>
    </row>
    <row r="36" ht="409" customHeight="1">
      <c r="A36" s="29" t="inlineStr">
        <is>
          <t>Secret scanning
Which feature detects credentials accidentally committed to a repository?</t>
        </is>
      </c>
      <c r="B36" s="29" t="inlineStr">
        <is>
          <t>DEFINITION (SIMPLE):
Secret scanning searches code and history for known credential patterns, and push protection blocks a push that contains one.
HOW / WHY IT WORKS:
Providers register patterns for their own tokens and are notified when one is found, and some revoke it. Scanning also covers history, so old commits can reveal secrets. If a secret is found, revoke and rotate it first, then clean the history. Local tools can scan before commit. Custom patterns can cover internal key formats.
SIMPLE EXPLANATION (HINGLISH):
Turn on scanning and push protection, and rotate any key that appears.
REAL-LIFE ANALOGY:
It is a metal detector at the exit that beeps before a key leaves.
FORMULA / RULE:
Detect → block → revoke → rotate → clean.
EXAMPLE 1:
A push blocked because it contained a cloud key.
EXAMPLE 2:
A scan alert on a token in an old commit.
EXAMPLE 3:
A custom pattern for an internal API key.
RELATED CONCEPTS:
secrets in workflows, pre-commit hooks, access keys, history cleanup
FAMILY / GROUP:
scanning, push protection, pattern, revoke, rotate
WHERE IT IS USED:
Repositories | Organisations | Audits
MINI CONVERSATION:
A: I pushed a key by mistake. | B: Revoke it first, then remove it from the history.
COMMON MISTAKE:
✗ Deleting the file in a new commit removes the leaked secret → ✓ The secret remains in history and must be revoked
DON'T CONFUSE WITH:
Scanning vs push protection: scanning finds existing secrets, push protection blocks new ones.
AVOID / DON'T:
Do not only delete the commit and assume the key is safe.
MEMORY TRICK:
Revoke the key first, clean history second.
REAL LIFE: PROJECT / WORK:
Enabling push protection that stopped three accidental key commits in a month.
REAL LIFE: INTERVIEW / EXAM:
An interviewer may ask: What do you do after a secret is committed?
REAL LIFE: DAILY LIFE:
It is like a metal detector at the exit.</t>
        </is>
      </c>
      <c r="C36" s="29" t="inlineStr">
        <is>
          <t>05_Security_and_Scale_Intermediate_CICD-035</t>
        </is>
      </c>
    </row>
    <row r="37" ht="409" customHeight="1">
      <c r="A37" s="29" t="inlineStr">
        <is>
          <t>Self-hosted runners
When and how should you run pipeline jobs on your own machines?</t>
        </is>
      </c>
      <c r="B37" s="29" t="inlineStr">
        <is>
          <t>DEFINITION (SIMPLE):
A self-hosted runner is a machine you manage that runs the GitHub runner agent and picks up jobs from your repositories.
HOW / WHY IT WORKS:
They reach private systems, use special hardware such as GPUs, and can avoid hosted minute charges. You must patch them, isolate them and limit their credentials. Persistent runners keep state between jobs, which can leak data or cause odd failures. Ephemeral runners, often created on demand in containers or virtual machines, are safer. Never allow untrusted pull requests to run on them.
SIMPLE EXPLANATION (HINGLISH):
Use self-hosted runners for private access or special hardware, keep them clean and isolated.
REAL-LIFE ANALOGY:
It is your own employee, who must be kept safe and up to date.
FORMULA / RULE:
Private access + control, in exchange for patching and security work.
EXAMPLE 1:
A runner inside a company network reaching a private database.
EXAMPLE 2:
A GPU runner for model tests.
EXAMPLE 3:
Autoscaled ephemeral runners created per job.
RELATED CONCEPTS:
runners, security, least privilege, autoscaling
FAMILY / GROUP:
self-hosted, ephemeral, label, agent, isolation
WHERE IT IS USED:
Private networks | Special hardware | Cost control
MINI CONVERSATION:
A: Public pull requests are running on our own runner. | B: That is risky, so restrict it to trusted workflows.
COMMON MISTAKE:
✗ Self-hosted runners are always cheaper and easier → ✓ You pay in maintenance and security effort
DON'T CONFUSE WITH:
Ephemeral vs persistent runner: ephemeral lasts one job, persistent keeps state.
AVOID / DON'T:
Do not run untrusted fork code on your own runners.
MEMORY TRICK:
Own runners need own care.
REAL LIFE: PROJECT / WORK:
Using a self-hosted runner to test against a customer's private test database.
REAL LIFE: INTERVIEW / EXAM:
An interviewer may ask: What are the risks of self-hosted runners?
REAL LIFE: DAILY LIFE:
It is like an employee who needs care and safety.</t>
        </is>
      </c>
      <c r="C37" s="29" t="inlineStr">
        <is>
          <t>05_Security_and_Scale_Advanced_CICD-036</t>
        </is>
      </c>
    </row>
    <row r="38" ht="409" customHeight="1">
      <c r="A38" s="29" t="inlineStr">
        <is>
          <t>Jenkins vs GitHub Actions
How does the older Jenkins server compare with GitHub Actions?</t>
        </is>
      </c>
      <c r="B38" s="29" t="inlineStr">
        <is>
          <t>DEFINITION (SIMPLE):
Jenkins is a self-hosted automation server configured through Jenkinsfiles and plugins, while GitHub Actions is a hosted service defined with YAML workflows next to the code.
HOW / WHY IT WORKS:
Jenkins offers deep customisation and a huge plugin ecosystem, but you maintain the server, plugins and agents. Actions removes server upkeep and integrates with pull requests, but is tied to GitHub. A Jenkinsfile defines stages and steps, similar to jobs and steps. Many customers still run Jenkins, so you will meet both.
SIMPLE EXPLANATION (HINGLISH):
Same ideas, different packaging. Jenkins is self-managed and flexible, Actions is hosted and simple.
REAL-LIFE ANALOGY:
Jenkins is a workshop you own, and Actions is one rented inside the GitHub building.
FORMULA / RULE:
Jenkins = host and maintain. Actions = hosted and integrated.
EXAMPLE 1:
A Jenkinsfile with stages for build and test.
EXAMPLE 2:
A workflow YAML doing the same on pull requests.
EXAMPLE 3:
A customer using Jenkins for older projects and Actions for new ones.
RELATED CONCEPTS:
GitLab CI, Azure Pipelines, workflow file, runners
FAMILY / GROUP:
Jenkinsfile, plugin, agent, stage, workflow
WHERE IT IS USED:
Legacy systems | Migrations | Customer discovery
MINI CONVERSATION:
A: The customer runs Jenkins. | B: The concepts match, so we map stages to jobs.
COMMON MISTAKE:
✗ Jenkins is obsolete and nobody uses it → ✓ It is still widely used, especially in older enterprise setups
DON'T CONFUSE WITH:
Jenkinsfile vs workflow: a Jenkinsfile uses stages and agents, a workflow uses jobs and runners.
AVOID / DON'T:
Do not recommend a rewrite without a reason.
MEMORY TRICK:
You host Jenkins, but you rent Actions.
REAL LIFE: PROJECT / WORK:
Mapping a customer's Jenkins stages onto Actions jobs before a migration.
REAL LIFE: INTERVIEW / EXAM:
An interviewer may ask: How is Jenkins different from GitHub Actions?
REAL LIFE: DAILY LIFE:
It is like owning a workshop versus renting one.</t>
        </is>
      </c>
      <c r="C38" s="29" t="inlineStr">
        <is>
          <t>06_Mapping_Beginner_CICD-037</t>
        </is>
      </c>
    </row>
    <row r="39" ht="409" customHeight="1">
      <c r="A39" s="29" t="inlineStr">
        <is>
          <t>GitLab CI vs GitHub Actions
How do GitLab CI and GitHub Actions compare in structure and wording?</t>
        </is>
      </c>
      <c r="B39" s="29" t="inlineStr">
        <is>
          <t>DEFINITION (SIMPLE):
GitLab CI defines pipelines in a .gitlab-ci.yml file with stages and jobs, while GitHub Actions uses workflow files with jobs and steps.
HOW / WHY IT WORKS:
In GitLab, jobs belong to stages that run in order, and runners execute them. In Actions, jobs depend on each other with needs. GitLab uses cache and artifacts keywords, similar to Actions caching and artifacts. GitLab has built-in container registry and environments. Actions has a large marketplace of reusable actions.
SIMPLE EXPLANATION (HINGLISH):
Both are YAML pipelines with jobs and runners, and the main differences are naming and ecosystem.
REAL-LIFE ANALOGY:
They are two languages describing the same factory line.
FORMULA / RULE:
GitLab stage and job ≈ Actions job order and job.
EXAMPLE 1:
A .gitlab-ci.yml with build and test stages.
EXAMPLE 2:
An Actions workflow with needs between jobs.
EXAMPLE 3:
Translating a GitLab cache block into an Actions cache step.
RELATED CONCEPTS:
Jenkins, Azure Pipelines, workflow file, runners
FAMILY / GROUP:
.gitlab-ci.yml, stage, job, runner, variable
WHERE IT IS USED:
Customer migrations | Multi-tool teams | Interviews
MINI CONVERSATION:
A: Our pipeline is in GitLab. | B: The ideas map directly to Actions jobs and runners.
COMMON MISTAKE:
✗ The two tools cannot be compared because they work differently → ✓ They share the same concepts and differ mostly in syntax
DON'T CONFUSE WITH:
GitLab stages vs Actions needs: stages group order, needs links specific jobs.
AVOID / DON'T:
Do not translate line by line without checking behaviour.
MEMORY TRICK:
The same concepts wear different keywords here.
REAL LIFE: PROJECT / WORK:
Porting a GitLab pipeline to Actions by mapping stages to chained jobs.
REAL LIFE: INTERVIEW / EXAM:
An interviewer may ask: What is the equivalent of a GitLab stage in Actions?
REAL LIFE: DAILY LIFE:
It is like two languages for the same line.</t>
        </is>
      </c>
      <c r="C39" s="29" t="inlineStr">
        <is>
          <t>06_Mapping_Beginner_CICD-038</t>
        </is>
      </c>
    </row>
    <row r="40" ht="409" customHeight="1">
      <c r="A40" s="29" t="inlineStr">
        <is>
          <t>Azure Pipelines vs GitHub Actions
How do Azure Pipelines and GitHub Actions compare?</t>
        </is>
      </c>
      <c r="B40" s="29" t="inlineStr">
        <is>
          <t>DEFINITION (SIMPLE):
Azure Pipelines defines builds and releases in azure-pipelines.yml with stages, jobs and tasks, while Actions uses workflows with jobs and steps.
HOW / WHY IT WORKS:
Pipelines supports stages, jobs, steps and tasks, with pools of agents that run them. Variable groups and service connections hold settings and cloud access. Both tools support YAML, templates and approvals through environments. Pipelines is common in organisations that already use Azure DevOps boards and repositories.
SIMPLE EXPLANATION (HINGLISH):
Almost the same ideas with different names, such as agent pool for runner.
REAL-LIFE ANALOGY:
They are siblings from the same family with different house rules.
FORMULA / RULE:
Agent pool ≈ runner. Task ≈ action. Service connection ≈ OIDC role.
EXAMPLE 1:
An azure-pipelines.yml with a build stage.
EXAMPLE 2:
A variable group holding settings.
EXAMPLE 3:
A service connection to deploy to Azure.
RELATED CONCEPTS:
Jenkins, GitLab CI, environments, OIDC
FAMILY / GROUP:
agent pool, task, service connection, variable group, stage
WHERE IT IS USED:
Azure customers | Enterprises | Migrations
MINI CONVERSATION:
A: Our code is in Azure DevOps. | B: Then Azure Pipelines is the natural choice.
COMMON MISTAKE:
✗ Azure Pipelines can only deploy to Azure → ✓ It can build and deploy to many targets
DON'T CONFUSE WITH:
Task vs action: Azure Pipelines uses tasks, GitHub uses actions.
AVOID / DON'T:
Do not assume the customer wants GitHub just because you do.
MEMORY TRICK:
Agent pools are runners in Azure words.
REAL LIFE: PROJECT / WORK:
Reading a customer's Azure pipeline and planning an equivalent workflow.
REAL LIFE: INTERVIEW / EXAM:
An interviewer may ask: What is the Azure Pipelines equivalent of a runner?
REAL LIFE: DAILY LIFE:
It is like siblings with different house rules.</t>
        </is>
      </c>
      <c r="C40" s="29" t="inlineStr">
        <is>
          <t>06_Mapping_Beginner_CICD-039</t>
        </is>
      </c>
    </row>
    <row r="41" ht="409" customHeight="1">
      <c r="A41" s="29" t="inlineStr">
        <is>
          <t>Choosing a CI/CD tool
Which questions decide the CI/CD tool for a customer?</t>
        </is>
      </c>
      <c r="B41" s="29" t="inlineStr">
        <is>
          <t>DEFINITION (SIMPLE):
Choosing a CI/CD tool means weighing where the code lives, security and compliance needs, private network access, cost and team skills.
HOW / WHY IT WORKS:
Ask where the repository is hosted, whether jobs must reach private systems, and who maintains the servers. Check compliance needs, such as audit logs and approvals. Consider cost in minutes and in staff time. Migrating pipelines has its own cost, so avoid it without a clear gain. Prefer standard, portable steps such as scripts and containers.
SIMPLE EXPLANATION (HINGLISH):
Start from where the code lives and what the customer must keep private, then compare cost and skills.
REAL-LIFE ANALOGY:
It is choosing a vehicle for the road, not for the brochure.
FORMULA / RULE:
Code location + security + network + cost + skills.
EXAMPLE 1:
A GitHub repository with Actions as the natural choice.
EXAMPLE 2:
A bank needing self-hosted runners in a private network.
EXAMPLE 3:
A team keeping Jenkins because migration is costly.
RELATED CONCEPTS:
Jenkins, GitLab CI, Azure Pipelines, self-hosted runners
FAMILY / GROUP:
requirements, hosting, compliance, portability, cost
WHERE IT IS USED:
Proposals | Migrations | Platform decisions
MINI CONVERSATION:
A: Which CI tool should we use? | B: The one next to the code, unless security rules say otherwise.
COMMON MISTAKE:
✗ The newest CI tool is always the best choice → ✓ The best tool fits the customer's code, rules and skills
DON'T CONFUSE WITH:
Hosted vs self-hosted: hosted is simpler, self-hosted gives control and private access.
AVOID / DON'T:
Do not migrate pipelines without a clear benefit.
MEMORY TRICK:
Fit the customer, not the fashion.
REAL LIFE: PROJECT / WORK:
Recommending Actions for a GitHub customer while keeping private test runners.
REAL LIFE: INTERVIEW / EXAM:
An interviewer may ask: How would you choose a CI tool?
REAL LIFE: DAILY LIFE:
It is like choosing a vehicle for the road.</t>
        </is>
      </c>
      <c r="C41" s="29" t="inlineStr">
        <is>
          <t>06_Mapping_Intermediate_CICD-040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1"/>
  <sheetViews>
    <sheetView workbookViewId="0">
      <pane ySplit="1" topLeftCell="A2" activePane="bottomLeft" state="frozen"/>
      <selection pane="bottomLeft" activeCell="A1" sqref="A1"/>
    </sheetView>
  </sheetViews>
  <sheetFormatPr baseColWidth="8" defaultRowHeight="15"/>
  <cols>
    <col width="65" customWidth="1" min="1" max="1"/>
    <col width="70" customWidth="1" min="2" max="2"/>
    <col width="30" customWidth="1" min="3" max="3"/>
  </cols>
  <sheetData>
    <row r="1">
      <c r="A1" s="28" t="inlineStr">
        <is>
          <t>Front</t>
        </is>
      </c>
      <c r="B1" s="28" t="inlineStr">
        <is>
          <t>Back</t>
        </is>
      </c>
      <c r="C1" s="28" t="inlineStr">
        <is>
          <t>Tags</t>
        </is>
      </c>
    </row>
    <row r="2" ht="108" customHeight="1">
      <c r="A2" s="29" t="inlineStr">
        <is>
          <t>MCQ: What is the main difference between delivery and deployment?
A) There is no difference B) A person approves the release in delivery C) Deployment has no code D) Delivery has no tests
FILL: Merging and testing code often is called continuous ____
APPLY: Every passing change must go live with no clicks. Which practice is this?</t>
        </is>
      </c>
      <c r="B2" s="29" t="inlineStr">
        <is>
          <t>MCQ answer: B  Deployment ships automatically, while delivery waits for approval.
Fill answer: integration
Apply: Continuous deployment</t>
        </is>
      </c>
      <c r="C2" s="29" t="inlineStr">
        <is>
          <t>01_Ideas_Beginner_CICD-001_quiz</t>
        </is>
      </c>
    </row>
    <row r="3" ht="121.5" customHeight="1">
      <c r="A3" s="29" t="inlineStr">
        <is>
          <t>MCQ: What happens when an early stage fails?
A) The code deploys B) They all run anyway C) Later stages do not run D) The repo is deleted
FILL: Where the pipeline is defined as code in the repo is a ____ file
APPLY: Linting takes ten seconds and integration tests take ten minutes. Which goes first?</t>
        </is>
      </c>
      <c r="B3" s="29" t="inlineStr">
        <is>
          <t>MCQ answer: C  Stages depend on the success of the one before.
Fill answer: workflow
Apply: Linting</t>
        </is>
      </c>
      <c r="C3" s="29" t="inlineStr">
        <is>
          <t>01_Ideas_Beginner_CICD-002_quiz</t>
        </is>
      </c>
    </row>
    <row r="4" ht="94.5" customHeight="1">
      <c r="A4" s="29" t="inlineStr">
        <is>
          <t>MCQ: Which trigger suits a nightly job?
A) A star B) A push C) A comment D) A schedule
FILL: A trigger that starts only for chosen branches uses a branch ____
APPLY: You want deployments only for version tags. Which trigger?</t>
        </is>
      </c>
      <c r="B4" s="29" t="inlineStr">
        <is>
          <t>MCQ answer: D  Scheduled triggers run at set times.
Fill answer: filter
Apply: A tag push</t>
        </is>
      </c>
      <c r="C4" s="29" t="inlineStr">
        <is>
          <t>01_Ideas_Beginner_CICD-003_quiz</t>
        </is>
      </c>
    </row>
    <row r="5" ht="121.5" customHeight="1">
      <c r="A5" s="29" t="inlineStr">
        <is>
          <t>MCQ: Why promote the same artifact between environments?
A) What was tested is exactly what ships B) It saves disk space only C) It avoids logging D) It removes tests
FILL: An artifact that is never changed after creation is called ____
APPLY: Staging works but production fails after a rebuild. What should you change?</t>
        </is>
      </c>
      <c r="B5" s="29" t="inlineStr">
        <is>
          <t>MCQ answer: A  A rebuilt artifact may differ from the tested one.
Fill answer: immutable
Apply: Promote the same artifact</t>
        </is>
      </c>
      <c r="C5" s="29" t="inlineStr">
        <is>
          <t>01_Ideas_Beginner_CICD-004_quiz</t>
        </is>
      </c>
    </row>
    <row r="6" ht="108" customHeight="1">
      <c r="A6" s="29" t="inlineStr">
        <is>
          <t>MCQ: What should differ between environments?
A) Configuration such as addresses and keys B) The code version C) The tests D) The language
FILL: Moving a build from staging to production is called ____
APPLY: You need to catch config bugs before release. What do you add?</t>
        </is>
      </c>
      <c r="B6" s="29" t="inlineStr">
        <is>
          <t>MCQ answer: A  The same artifact runs with environment-specific settings.
Fill answer: promotion
Apply: A staging environment</t>
        </is>
      </c>
      <c r="C6" s="29" t="inlineStr">
        <is>
          <t>01_Ideas_Intermediate_CICD-005_quiz</t>
        </is>
      </c>
    </row>
    <row r="7" ht="121.5" customHeight="1">
      <c r="A7" s="29" t="inlineStr">
        <is>
          <t>MCQ: Which metric measures time from commit to production?
A) Change failure rate B) Deployment frequency C) Lead time for changes D) Failed deployment recovery time
FILL: The share of releases that cause problems is the change ____ rate
APPLY: You want to know how quickly you recover from incidents. Which metric?</t>
        </is>
      </c>
      <c r="B7" s="29" t="inlineStr">
        <is>
          <t>MCQ answer: C  Lead time covers the span from commit to release.
Fill answer: failure
Apply: Failed deployment recovery time</t>
        </is>
      </c>
      <c r="C7" s="29" t="inlineStr">
        <is>
          <t>01_Ideas_Advanced_CICD-006_quiz</t>
        </is>
      </c>
    </row>
    <row r="8" ht="108" customHeight="1">
      <c r="A8" s="29" t="inlineStr">
        <is>
          <t>MCQ: Which folder holds workflow files?
A) .actions B) .github/workflows C) .github/workflow D) workflows
FILL: The key that lists the events that start a workflow is ____
HINDI TO TASK: Write a trigger that runs on pull requests.
PRACTICE QUESTION: What file extensions can a workflow use?</t>
        </is>
      </c>
      <c r="B8" s="29" t="inlineStr">
        <is>
          <t>MCQ answer: B  GitHub only reads workflows from .github/workflows.
Fill answer: on
Task answer:
on:
  pull_request:
Practice answer:
.yml or .yaml</t>
        </is>
      </c>
      <c r="C8" s="29" t="inlineStr">
        <is>
          <t>02_GitHub_Actions_Beginner_CICD-007_quiz</t>
        </is>
      </c>
    </row>
    <row r="9" ht="108" customHeight="1">
      <c r="A9" s="29" t="inlineStr">
        <is>
          <t>MCQ: How do you make a job wait for another job?
A) after B) wait C) depends D) needs
FILL: Jobs run in ____ by default unless chained
HINDI TO TASK: Make the deploy job wait for the test job.
PRACTICE QUESTION: Do two jobs share a file system?</t>
        </is>
      </c>
      <c r="B9" s="29" t="inlineStr">
        <is>
          <t>MCQ answer: D  The needs key declares job dependencies.
Fill answer: parallel
Task answer:
deploy:
  needs: test
Practice answer:
No, each job has its own runner.</t>
        </is>
      </c>
      <c r="C9" s="29" t="inlineStr">
        <is>
          <t>02_GitHub_Actions_Beginner_CICD-008_quiz</t>
        </is>
      </c>
    </row>
    <row r="10" ht="108" customHeight="1">
      <c r="A10" s="29" t="inlineStr">
        <is>
          <t>MCQ: What starts fresh for every hosted job?
A) The branch B) The repository C) The secrets D) The runner machine
FILL: The key that picks the machine for a job is ____
HINDI TO TASK: Run a job on a hosted Windows machine.
PRACTICE QUESTION: Why do self-hosted runners need extra care?</t>
        </is>
      </c>
      <c r="B10" s="29" t="inlineStr">
        <is>
          <t>MCQ answer: D  Hosted runners are new virtual machines per job.
Fill answer: runs-on
Task answer:
runs-on: windows-latest
Practice answer:
You must secure and update them, and untrusted code could run on them.</t>
        </is>
      </c>
      <c r="C10" s="29" t="inlineStr">
        <is>
          <t>02_GitHub_Actions_Beginner_CICD-009_quiz</t>
        </is>
      </c>
    </row>
    <row r="11" ht="108" customHeight="1">
      <c r="A11" s="29" t="inlineStr">
        <is>
          <t>MCQ: Two operating systems and three versions give how many jobs?
A) 3 B) 6 C) 5 D) 2
FILL: The key that removes a combination from the grid is ____
HINDI TO TASK: Test on Node 20 and 22.
PRACTICE QUESTION: What does fail-fast do?</t>
        </is>
      </c>
      <c r="B11" s="29" t="inlineStr">
        <is>
          <t>MCQ answer: B  Two times three combinations are created.
Fill answer: exclude
Task answer:
strategy:
  matrix:
    node: [20, 22]
Practice answer:
It cancels other matrix jobs when one fails.</t>
        </is>
      </c>
      <c r="C11" s="29" t="inlineStr">
        <is>
          <t>02_GitHub_Actions_Intermediate_CICD-010_quiz</t>
        </is>
      </c>
    </row>
    <row r="12" ht="162" customHeight="1">
      <c r="A12" s="29" t="inlineStr">
        <is>
          <t>MCQ: Why include a lockfile hash in the key?
A) It deletes old runs B) It encrypts the cache C) The cache refreshes when dependencies change D) It speeds the network
FILL: A fallback prefix for a partial cache match is set with ____-keys
HINDI TO TASK: Cache the pip folder using the requirements file as key.
PRACTICE QUESTION: Why can feature branches use the main branch cache?</t>
        </is>
      </c>
      <c r="B12" s="29" t="inlineStr">
        <is>
          <t>MCQ answer: C  A new hash makes a new key and a fresh cache.
Fill answer: restore
Task answer:
- uses: actions/cache@v4
  with:
    path: ~/.cache/pip
    key: pip-${{ hashFiles('requirements.txt') }}
Practice answer:
Caches from the default branch are readable by other branches.</t>
        </is>
      </c>
      <c r="C12" s="29" t="inlineStr">
        <is>
          <t>02_GitHub_Actions_Intermediate_CICD-011_quiz</t>
        </is>
      </c>
    </row>
    <row r="13" ht="121.5" customHeight="1">
      <c r="A13" s="29" t="inlineStr">
        <is>
          <t>MCQ: Which condition uploads a report even when tests fail?
A) always() B) never() C) success() D) once()
FILL: How long a file is stored is set by ____-days
HINDI TO TASK: Upload the reports folder under the name reports.
PRACTICE QUESTION: Why set retention-days?</t>
        </is>
      </c>
      <c r="B13" s="29" t="inlineStr">
        <is>
          <t>MCQ answer: A  always() runs the step regardless of earlier failures.
Fill answer: retention
Task answer:
- uses: actions/upload-artifact@v4
  with:
    name: reports
    path: reports/
Practice answer:
To save storage by deleting old artifacts.</t>
        </is>
      </c>
      <c r="C13" s="29" t="inlineStr">
        <is>
          <t>02_GitHub_Actions_Intermediate_CICD-012_quiz</t>
        </is>
      </c>
    </row>
    <row r="14" ht="148.5" customHeight="1">
      <c r="A14" s="29" t="inlineStr">
        <is>
          <t>MCQ: How do you read a secret named TOKEN in a workflow?
A) The secrets context written with double braces B) A plain text file C) The repository README D) A bare dollar variable only
FILL: Secret values in logs are replaced with ____
HINDI TO TASK: Pass the secret API_TOKEN to a step as an environment variable.
PRACTICE QUESTION: Are secrets passed to workflows from forks by default?</t>
        </is>
      </c>
      <c r="B14" s="29" t="inlineStr">
        <is>
          <t>MCQ answer: A  The secrets context exposes stored secrets to steps.
Fill answer: ***
Task answer:
env:
  API_TOKEN: ${{ secrets.API_TOKEN }}
Practice answer:
No, they are withheld for safety.</t>
        </is>
      </c>
      <c r="C14" s="29" t="inlineStr">
        <is>
          <t>02_GitHub_Actions_Intermediate_CICD-013_quiz</t>
        </is>
      </c>
    </row>
    <row r="15" ht="121.5" customHeight="1">
      <c r="A15" s="29" t="inlineStr">
        <is>
          <t>MCQ: Where are required reviewers configured?
A) In the Dockerfile B) In the README C) In the environment settings D) In package.json
FILL: A named deployment target in GitHub is called an ____
HINDI TO TASK: Make a job deploy to the production environment.
PRACTICE QUESTION: What does a required reviewer do?</t>
        </is>
      </c>
      <c r="B15" s="29" t="inlineStr">
        <is>
          <t>MCQ answer: C  Environment protection rules are managed in repository settings.
Fill answer: environment
Task answer:
environment: production
Practice answer:
They must approve before the job runs.</t>
        </is>
      </c>
      <c r="C15" s="29" t="inlineStr">
        <is>
          <t>02_GitHub_Actions_Advanced_CICD-014_quiz</t>
        </is>
      </c>
    </row>
    <row r="16" ht="135" customHeight="1">
      <c r="A16" s="29" t="inlineStr">
        <is>
          <t>MCQ: Which trigger makes a workflow callable?
A) schedule B) release C) push D) workflow_call
FILL: A callable workflow declares its parameters as ____
HINDI TO TASK: Call the shared workflow test.yml at version v1 from the acme/shared repo.
PRACTICE QUESTION: What is the difference between a reusable workflow and a composite action?</t>
        </is>
      </c>
      <c r="B16" s="29" t="inlineStr">
        <is>
          <t>MCQ answer: D  workflow_call lets other workflows invoke it.
Fill answer: inputs
Task answer:
jobs:
  ci:
    uses: acme/shared/.github/workflows/test.yml@v1
Practice answer:
A reusable workflow shares whole jobs, a composite action shares steps.</t>
        </is>
      </c>
      <c r="C16" s="29" t="inlineStr">
        <is>
          <t>02_GitHub_Actions_Advanced_CICD-015_quiz</t>
        </is>
      </c>
    </row>
    <row r="17" ht="121.5" customHeight="1">
      <c r="A17" s="29" t="inlineStr">
        <is>
          <t>MCQ: What happens to scopes you do not list once permissions is set?
A) They become read B) They become none C) They stay write D) They are ignored
FILL: Cloud sign-in through OIDC needs the scope ____ write
HINDI TO TASK: Make a workflow read-only for repository contents.
PRACTICE QUESTION: Why set permissions explicitly?</t>
        </is>
      </c>
      <c r="B17" s="29" t="inlineStr">
        <is>
          <t>MCQ answer: B  Unlisted scopes are set to no access.
Fill answer: id-token
Task answer:
permissions:
  contents: read
Practice answer:
Defaults may be broad, and least privilege limits damage from a bad step.</t>
        </is>
      </c>
      <c r="C17" s="29" t="inlineStr">
        <is>
          <t>02_GitHub_Actions_Advanced_CICD-016_quiz</t>
        </is>
      </c>
    </row>
    <row r="18" ht="94.5" customHeight="1">
      <c r="A18" s="29" t="inlineStr">
        <is>
          <t>MCQ: Which tests are usually the fastest?
A) Load tests B) Manual tests C) Unit tests D) Integration tests
FILL: A shape with many small tests at the base is the test ____
APPLY: You must test code against a real database in CI. Which test type?</t>
        </is>
      </c>
      <c r="B18" s="29" t="inlineStr">
        <is>
          <t>MCQ answer: C  Unit tests avoid real dependencies.
Fill answer: pyramid
Apply: An integration test</t>
        </is>
      </c>
      <c r="C18" s="29" t="inlineStr">
        <is>
          <t>03_Quality_Gates_Beginner_CICD-017_quiz</t>
        </is>
      </c>
    </row>
    <row r="19" ht="94.5" customHeight="1">
      <c r="A19" s="29" t="inlineStr">
        <is>
          <t>MCQ: Which tool changes only code layout?
A) A formatter B) A scanner C) A compiler D) A linter
FILL: Running a formatter without changing files is called check ____
APPLY: Reviews waste time on style. What do you add?</t>
        </is>
      </c>
      <c r="B19" s="29" t="inlineStr">
        <is>
          <t>MCQ answer: A  Formatters rewrite style without changing behaviour.
Fill answer: mode
Apply: A formatter check</t>
        </is>
      </c>
      <c r="C19" s="29" t="inlineStr">
        <is>
          <t>03_Quality_Gates_Beginner_CICD-018_quiz</t>
        </is>
      </c>
    </row>
    <row r="20" ht="81" customHeight="1">
      <c r="A20" s="29" t="inlineStr">
        <is>
          <t>MCQ: Which scan finds known vulnerable packages?
A) Caching B) Dependency scanning C) Formatting D) Tagging
FILL: Too many false alarms cause alert ____
APPLY: You need to catch a pushed API key. Which scan?</t>
        </is>
      </c>
      <c r="B20" s="29" t="inlineStr">
        <is>
          <t>MCQ answer: B  It compares packages to vulnerability databases.
Fill answer: fatigue
Apply: Secret scanning</t>
        </is>
      </c>
      <c r="C20" s="29" t="inlineStr">
        <is>
          <t>03_Quality_Gates_Intermediate_CICD-019_quiz</t>
        </is>
      </c>
    </row>
    <row r="21" ht="108" customHeight="1">
      <c r="A21" s="29" t="inlineStr">
        <is>
          <t>MCQ: What does coverage measure?
A) How many bugs exist B) How big the repo is C) How fast tests are D) How much code the tests run
FILL: A minimum coverage value that fails the build is a ____
APPLY: A team chases one hundred percent with empty tests. What is wrong?</t>
        </is>
      </c>
      <c r="B21" s="29" t="inlineStr">
        <is>
          <t>MCQ answer: D  It counts executed code in the tests.
Fill answer: threshold
Apply: The tests do not check anything</t>
        </is>
      </c>
      <c r="C21" s="29" t="inlineStr">
        <is>
          <t>03_Quality_Gates_Intermediate_CICD-020_quiz</t>
        </is>
      </c>
    </row>
    <row r="22" ht="108" customHeight="1">
      <c r="A22" s="29" t="inlineStr">
        <is>
          <t>MCQ: What does a required check do?
A) Deletes the branch B) Adds a tag C) Speeds up tests D) Blocks merging until it passes
FILL: Rules that guard the main branch are called branch ____
APPLY: Broken code was pushed straight to main. What should you enable?</t>
        </is>
      </c>
      <c r="B22" s="29" t="inlineStr">
        <is>
          <t>MCQ answer: D  A required check must succeed before the merge.
Fill answer: protection
Apply: Branch protection</t>
        </is>
      </c>
      <c r="C22" s="29" t="inlineStr">
        <is>
          <t>03_Quality_Gates_Intermediate_CICD-021_quiz</t>
        </is>
      </c>
    </row>
    <row r="23" ht="94.5" customHeight="1">
      <c r="A23" s="29" t="inlineStr">
        <is>
          <t>MCQ: Which is a common cause of flakiness?
A) Fixed sleeps and shared state B) Isolated data C) Clear assertions D) Small tests
FILL: Results that change without code changes are called ____
APPLY: A test fails near midnight only. What is a likely cause?</t>
        </is>
      </c>
      <c r="B23" s="29" t="inlineStr">
        <is>
          <t>MCQ answer: A  Timing and shared state change results between runs.
Fill answer: flaky
Apply: It depends on the clock</t>
        </is>
      </c>
      <c r="C23" s="29" t="inlineStr">
        <is>
          <t>03_Quality_Gates_Intermediate_CICD-022_quiz</t>
        </is>
      </c>
    </row>
    <row r="24" ht="121.5" customHeight="1">
      <c r="A24" s="29" t="inlineStr">
        <is>
          <t>MCQ: What is the main risk of rolling updates?
A) No servers are updated B) Two versions run at once C) The load balancer is removed D) Tests are skipped
FILL: A check that decides whether to continue a rollout is a ____ check
APPLY: You need zero downtime without paying for a second full environment. Which strategy?</t>
        </is>
      </c>
      <c r="B24" s="29" t="inlineStr">
        <is>
          <t>MCQ answer: B  During the rollout both versions serve traffic.
Fill answer: health
Apply: A rolling deployment</t>
        </is>
      </c>
      <c r="C24" s="29" t="inlineStr">
        <is>
          <t>04_Deployment_Intermediate_CICD-023_quiz</t>
        </is>
      </c>
    </row>
    <row r="25" ht="94.5" customHeight="1">
      <c r="A25" s="29" t="inlineStr">
        <is>
          <t>MCQ: What is the main benefit of blue-green?
A) Lower cost B) No need for tests C) Instant rollback by switching back D) No load balancer
FILL: Moving all traffic to the new version is called the ____
APPLY: You need an instant way back. Which strategy?</t>
        </is>
      </c>
      <c r="B25" s="29" t="inlineStr">
        <is>
          <t>MCQ answer: C  The old environment stays ready.
Fill answer: cutover
Apply: Blue-green</t>
        </is>
      </c>
      <c r="C25" s="29" t="inlineStr">
        <is>
          <t>04_Deployment_Intermediate_CICD-024_quiz</t>
        </is>
      </c>
    </row>
    <row r="26" ht="108" customHeight="1">
      <c r="A26" s="29" t="inlineStr">
        <is>
          <t>MCQ: What decides whether a canary continues?
A) The time of day B) The branch name C) The commit message D) Metrics such as error rate
FILL: The small test group that receives the new version first is named after a bird, the ____
APPLY: A risky change should reach few users first. Which strategy?</t>
        </is>
      </c>
      <c r="B26" s="29" t="inlineStr">
        <is>
          <t>MCQ answer: D  Health metrics show whether the new version is safe.
Fill answer: canary
Apply: A canary release</t>
        </is>
      </c>
      <c r="C26" s="29" t="inlineStr">
        <is>
          <t>04_Deployment_Advanced_CICD-025_quiz</t>
        </is>
      </c>
    </row>
    <row r="27" ht="94.5" customHeight="1">
      <c r="A27" s="29" t="inlineStr">
        <is>
          <t>MCQ: What makes rollback easy?
A) Rebuilding from the branch B) Deleting old images C) Versioned, immutable artifacts D) Editing the server by hand
FILL: Shipping a quick fix instead of reverting is rolling ____
APPLY: A release broke checkout. What is the fastest safe action?</t>
        </is>
      </c>
      <c r="B27" s="29" t="inlineStr">
        <is>
          <t>MCQ answer: C  The old version can simply be deployed again.
Fill answer: forward
Apply: Redeploy the previous version</t>
        </is>
      </c>
      <c r="C27" s="29" t="inlineStr">
        <is>
          <t>04_Deployment_Intermediate_CICD-026_quiz</t>
        </is>
      </c>
    </row>
    <row r="28" ht="108" customHeight="1">
      <c r="A28" s="29" t="inlineStr">
        <is>
          <t>MCQ: What does a feature flag separate?
A) Tests from code B) Deploying code from releasing a feature C) Dev from prod D) Users from admins
FILL: A flag that quickly disables a failing feature is a kill ____
APPLY: A new feature is risky. How can you ship code but hide the feature?</t>
        </is>
      </c>
      <c r="B28" s="29" t="inlineStr">
        <is>
          <t>MCQ answer: B  Code can be live while the feature stays hidden.
Fill answer: switch
Apply: Use a feature flag</t>
        </is>
      </c>
      <c r="C28" s="29" t="inlineStr">
        <is>
          <t>04_Deployment_Intermediate_CICD-027_quiz</t>
        </is>
      </c>
    </row>
    <row r="29" ht="94.5" customHeight="1">
      <c r="A29" s="29" t="inlineStr">
        <is>
          <t>MCQ: What should you do first when renaming a column safely?
A) Add the new column B) Stop the app C) Drop the old one D) Delete data
FILL: Filling a new column with old data is called a ____
APPLY: You must rename a column with no downtime. What pattern?</t>
        </is>
      </c>
      <c r="B29" s="29" t="inlineStr">
        <is>
          <t>MCQ answer: A  Expanding keeps the old code working.
Fill answer: backfill
Apply: Expand and contract</t>
        </is>
      </c>
      <c r="C29" s="29" t="inlineStr">
        <is>
          <t>04_Deployment_Advanced_CICD-028_quiz</t>
        </is>
      </c>
    </row>
    <row r="30" ht="108" customHeight="1">
      <c r="A30" s="29" t="inlineStr">
        <is>
          <t>MCQ: What is the source of truth in GitOps?
A) A server console B) A Git repository C) A spreadsheet D) A chat message
FILL: When live state differs from Git it is called ____
APPLY: You want every production change reviewed and recorded. Which approach?</t>
        </is>
      </c>
      <c r="B30" s="29" t="inlineStr">
        <is>
          <t>MCQ answer: B  Git holds the desired state.
Fill answer: drift
Apply: GitOps</t>
        </is>
      </c>
      <c r="C30" s="29" t="inlineStr">
        <is>
          <t>04_Deployment_Advanced_CICD-029_quiz</t>
        </is>
      </c>
    </row>
    <row r="31" ht="94.5" customHeight="1">
      <c r="A31" s="29" t="inlineStr">
        <is>
          <t>MCQ: When should apply run?
A) On every typo B) Never C) After merge and approval D) Before review
FILL: A lock on state stops two runs from ____
APPLY: A reviewer wants to see what will change. What do you post?</t>
        </is>
      </c>
      <c r="B31" s="29" t="inlineStr">
        <is>
          <t>MCQ answer: C  Reviewed changes are applied from the main branch.
Fill answer: colliding
Apply: The plan</t>
        </is>
      </c>
      <c r="C31" s="29" t="inlineStr">
        <is>
          <t>04_Deployment_Intermediate_CICD-030_quiz</t>
        </is>
      </c>
    </row>
    <row r="32" ht="94.5" customHeight="1">
      <c r="A32" s="29" t="inlineStr">
        <is>
          <t>MCQ: Which part of a version changes for a bug fix?
A) Patch B) Minor C) None D) Major
FILL: A version of the form 1.4.2 is called ____ versioning
APPLY: A release adds a backward-compatible feature. Which number increases?</t>
        </is>
      </c>
      <c r="B32" s="29" t="inlineStr">
        <is>
          <t>MCQ answer: A  Patch increments cover backward-compatible fixes.
Fill answer: semantic
Apply: Minor</t>
        </is>
      </c>
      <c r="C32" s="29" t="inlineStr">
        <is>
          <t>04_Deployment_Beginner_CICD-031_quiz</t>
        </is>
      </c>
    </row>
    <row r="33" ht="121.5" customHeight="1">
      <c r="A33" s="29" t="inlineStr">
        <is>
          <t>MCQ: Which permission does a job need to request an OIDC token?
A) contents: write B) actions: none C) packages: read D) id-token: write
FILL: The cloud checks a ____ policy to see who may assume the role
HINDI TO TASK: Allow a job to request an OIDC token.
PRACTICE QUESTION: Why are OIDC credentials safer than stored keys?</t>
        </is>
      </c>
      <c r="B33" s="29" t="inlineStr">
        <is>
          <t>MCQ answer: D  The id-token write scope allows token requests.
Fill answer: trust
Task answer:
permissions:
  id-token: write
Practice answer:
They are temporary and no long-lived secret exists.</t>
        </is>
      </c>
      <c r="C33" s="29" t="inlineStr">
        <is>
          <t>05_Security_and_Scale_Advanced_CICD-032_quiz</t>
        </is>
      </c>
    </row>
    <row r="34" ht="121.5" customHeight="1">
      <c r="A34" s="29" t="inlineStr">
        <is>
          <t>MCQ: Which reference is immutable?
A) The word latest B) A full commit SHA C) A branch name D) A tag name
FILL: A bot that proposes pinned updates is called ____
HINDI TO TASK: Pin an action to a commit hash instead of a tag.
PRACTICE QUESTION: Why can a tag be unsafe?</t>
        </is>
      </c>
      <c r="B34" s="29" t="inlineStr">
        <is>
          <t>MCQ answer: B  A hash identifies exact content.
Fill answer: Dependabot
Task answer:
uses: some-org/deploy-action@5e1c2a8b9d0f3a4b6c7d8e9f0a1b2c3d4e5f6a7b
Practice answer:
The author can move it to different code.</t>
        </is>
      </c>
      <c r="C34" s="29" t="inlineStr">
        <is>
          <t>05_Security_and_Scale_Advanced_CICD-033_quiz</t>
        </is>
      </c>
    </row>
    <row r="35" ht="108" customHeight="1">
      <c r="A35" s="29" t="inlineStr">
        <is>
          <t>MCQ: What limits the damage if a token leaks?
A) A big repository B) Many users C) Narrow scope and short life D) A long name
FILL: A token that stops working after a date has an ____
APPLY: A bot needs to read one repository. What token do you give it?</t>
        </is>
      </c>
      <c r="B35" s="29" t="inlineStr">
        <is>
          <t>MCQ answer: C  A limited token can do little and soon expires.
Fill answer: expiry
Apply: A narrow fine-grained token</t>
        </is>
      </c>
      <c r="C35" s="29" t="inlineStr">
        <is>
          <t>05_Security_and_Scale_Intermediate_CICD-034_quiz</t>
        </is>
      </c>
    </row>
    <row r="36" ht="94.5" customHeight="1">
      <c r="A36" s="29" t="inlineStr">
        <is>
          <t>MCQ: What is the first action after a secret is leaked?
A) Revoke it B) Delete the file only C) Rename the repository D) Wait
FILL: A feature that blocks pushes containing secrets is push ____
APPLY: A key appears in an old commit. What first?</t>
        </is>
      </c>
      <c r="B36" s="29" t="inlineStr">
        <is>
          <t>MCQ answer: A  Copies may exist, so the secret must be invalidated.
Fill answer: protection
Apply: Revoke and rotate it</t>
        </is>
      </c>
      <c r="C36" s="29" t="inlineStr">
        <is>
          <t>05_Security_and_Scale_Intermediate_CICD-035_quiz</t>
        </is>
      </c>
    </row>
    <row r="37" ht="81" customHeight="1">
      <c r="A37" s="29" t="inlineStr">
        <is>
          <t>MCQ: Which runner type is safer against leftover data?
A) Shared forever B) Unpatched C) Persistent D) Ephemeral
FILL: A runner that is destroyed after one job is called ____
APPLY: A job must reach a private database. What runner fits?</t>
        </is>
      </c>
      <c r="B37" s="29" t="inlineStr">
        <is>
          <t>MCQ answer: D  A fresh machine per job leaves nothing behind.
Fill answer: ephemeral
Apply: A self-hosted runner</t>
        </is>
      </c>
      <c r="C37" s="29" t="inlineStr">
        <is>
          <t>05_Security_and_Scale_Advanced_CICD-036_quiz</t>
        </is>
      </c>
    </row>
    <row r="38" ht="94.5" customHeight="1">
      <c r="A38" s="29" t="inlineStr">
        <is>
          <t>MCQ: Which tool needs you to maintain the server?
A) GitHub-hosted Actions B) Both are hosted C) Jenkins D) Neither
FILL: The file that defines a Jenkins pipeline is a ____
APPLY: A customer wants less server upkeep for CI. What might you suggest?</t>
        </is>
      </c>
      <c r="B38" s="29" t="inlineStr">
        <is>
          <t>MCQ answer: C  Jenkins is self-hosted by default.
Fill answer: Jenkinsfile
Apply: A hosted service such as GitHub Actions</t>
        </is>
      </c>
      <c r="C38" s="29" t="inlineStr">
        <is>
          <t>06_Mapping_Beginner_CICD-037_quiz</t>
        </is>
      </c>
    </row>
    <row r="39" ht="94.5" customHeight="1">
      <c r="A39" s="29" t="inlineStr">
        <is>
          <t>MCQ: Which GitLab file defines the pipeline?
A) Makefile B) workflow.json C) Jenkinsfile D) .gitlab-ci.yml
FILL: GitLab groups jobs that run in order into ____
APPLY: You must move a GitLab pipeline to Actions. What do you map first?</t>
        </is>
      </c>
      <c r="B39" s="29" t="inlineStr">
        <is>
          <t>MCQ answer: D  GitLab reads pipeline definitions from .gitlab-ci.yml.
Fill answer: stages
Apply: Stages and jobs to chained jobs</t>
        </is>
      </c>
      <c r="C39" s="29" t="inlineStr">
        <is>
          <t>06_Mapping_Beginner_CICD-038_quiz</t>
        </is>
      </c>
    </row>
    <row r="40" ht="108" customHeight="1">
      <c r="A40" s="29" t="inlineStr">
        <is>
          <t>MCQ: What does Azure Pipelines call machines that run jobs?
A) Runners only B) Agents in pools C) Nodes only D) Workers only
FILL: In Azure Pipelines a saved link for deploying to a cloud is a service ____
APPLY: A customer keeps code in Azure DevOps. Which tool fits naturally?</t>
        </is>
      </c>
      <c r="B40" s="29" t="inlineStr">
        <is>
          <t>MCQ answer: B  Jobs run on agents grouped into pools.
Fill answer: connection
Apply: Azure Pipelines</t>
        </is>
      </c>
      <c r="C40" s="29" t="inlineStr">
        <is>
          <t>06_Mapping_Beginner_CICD-039_quiz</t>
        </is>
      </c>
    </row>
    <row r="41" ht="108" customHeight="1">
      <c r="A41" s="29" t="inlineStr">
        <is>
          <t>MCQ: What should usually decide the tool?
A) Where the code lives and the customer's needs B) Personal taste C) Random choice D) The logo
FILL: Steps written as scripts are more ____ between tools
APPLY: A customer's code is on GitHub and jobs need no private access. What tool?</t>
        </is>
      </c>
      <c r="B41" s="29" t="inlineStr">
        <is>
          <t>MCQ answer: A  Context decides, since tools share the same ideas.
Fill answer: portable
Apply: GitHub Actions</t>
        </is>
      </c>
      <c r="C41" s="29" t="inlineStr">
        <is>
          <t>06_Mapping_Intermediate_CICD-040_quiz</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90" customWidth="1" min="1" max="1"/>
    <col width="10" customWidth="1" min="2" max="2"/>
  </cols>
  <sheetData>
    <row r="1">
      <c r="A1" s="21" t="inlineStr">
        <is>
          <t>Cards by type</t>
        </is>
      </c>
    </row>
    <row r="2">
      <c r="A2" t="inlineStr">
        <is>
          <t>Topic (56-pt)</t>
        </is>
      </c>
      <c r="B2" t="n">
        <v>28</v>
      </c>
    </row>
    <row r="3">
      <c r="A3" t="inlineStr">
        <is>
          <t>Code concept (56-pt)</t>
        </is>
      </c>
      <c r="B3" t="n">
        <v>12</v>
      </c>
    </row>
    <row r="5">
      <c r="A5" s="21" t="inlineStr">
        <is>
          <t>Cards by topic</t>
        </is>
      </c>
    </row>
    <row r="6">
      <c r="A6" t="inlineStr">
        <is>
          <t>02 GitHub Actions</t>
        </is>
      </c>
      <c r="B6" t="n">
        <v>10</v>
      </c>
    </row>
    <row r="7">
      <c r="A7" t="inlineStr">
        <is>
          <t>04 Deployment</t>
        </is>
      </c>
      <c r="B7" t="n">
        <v>9</v>
      </c>
    </row>
    <row r="8">
      <c r="A8" t="inlineStr">
        <is>
          <t>01 Ideas</t>
        </is>
      </c>
      <c r="B8" t="n">
        <v>6</v>
      </c>
    </row>
    <row r="9">
      <c r="A9" t="inlineStr">
        <is>
          <t>03 Quality Gates</t>
        </is>
      </c>
      <c r="B9" t="n">
        <v>6</v>
      </c>
    </row>
    <row r="10">
      <c r="A10" t="inlineStr">
        <is>
          <t>05 Security and Scale</t>
        </is>
      </c>
      <c r="B10" t="n">
        <v>5</v>
      </c>
    </row>
    <row r="11">
      <c r="A11" t="inlineStr">
        <is>
          <t>06 Mapping</t>
        </is>
      </c>
      <c r="B11" t="n">
        <v>4</v>
      </c>
    </row>
    <row r="13">
      <c r="A13" s="21" t="inlineStr">
        <is>
          <t>Cards by level</t>
        </is>
      </c>
    </row>
    <row r="14">
      <c r="A14" t="inlineStr">
        <is>
          <t>Intermediate</t>
        </is>
      </c>
      <c r="B14" t="n">
        <v>17</v>
      </c>
    </row>
    <row r="15">
      <c r="A15" t="inlineStr">
        <is>
          <t>Beginner</t>
        </is>
      </c>
      <c r="B15" t="n">
        <v>13</v>
      </c>
    </row>
    <row r="16">
      <c r="A16" t="inlineStr">
        <is>
          <t>Advanced</t>
        </is>
      </c>
      <c r="B16" t="n">
        <v>10</v>
      </c>
    </row>
    <row r="18">
      <c r="A18" s="21" t="inlineStr">
        <is>
          <t>Cards by source</t>
        </is>
      </c>
    </row>
    <row r="19">
      <c r="A19" t="inlineStr">
        <is>
          <t>Claude knowledge</t>
        </is>
      </c>
      <c r="B19" t="n">
        <v>40</v>
      </c>
    </row>
    <row r="21">
      <c r="A21" s="21" t="inlineStr">
        <is>
          <t>Error check</t>
        </is>
      </c>
    </row>
    <row r="22">
      <c r="A22" t="inlineStr">
        <is>
          <t>0 errors, 0 warnings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2026-10-07T12:21:00Z</dcterms:created>
  <dcterms:modified xmlns:dcterms="http://purl.org/dc/terms/" xmlns:xsi="http://www.w3.org/2001/XMLSchema-instance" xsi:type="dcterms:W3CDTF">2026-10-07T12:21:00Z</dcterms:modified>
</cp:coreProperties>
</file>