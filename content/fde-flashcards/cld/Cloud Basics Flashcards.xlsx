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opic (56-pt) cards" sheetId="2" state="visible" r:id="rId2"/>
    <sheet xmlns:r="http://schemas.openxmlformats.org/officeDocument/2006/relationships" name="Topic card view" sheetId="3" state="visible" r:id="rId3"/>
    <sheet xmlns:r="http://schemas.openxmlformats.org/officeDocument/2006/relationships" name="Anki Import" sheetId="4" state="visible" r:id="rId4"/>
    <sheet xmlns:r="http://schemas.openxmlformats.org/officeDocument/2006/relationships" name="Anki Quiz" sheetId="5" state="visible" r:id="rId5"/>
    <sheet xmlns:r="http://schemas.openxmlformats.org/officeDocument/2006/relationships" name="Summary" sheetId="6" state="visible" r:id="rId6"/>
  </sheets>
  <definedNames>
    <definedName name="_xlnm._FilterDatabase" localSheetId="1" hidden="1">'Topic (56-pt) cards'!$A$2:$BB$52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sz val="11"/>
    </font>
    <font>
      <b val="1"/>
      <sz val="11"/>
    </font>
    <font>
      <b val="1"/>
      <color rgb="00FFFFFF"/>
    </font>
    <font>
      <b val="1"/>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0" borderId="0" pivotButton="0" quotePrefix="0" xfId="0"/>
    <xf numFmtId="0" fontId="5" fillId="0" borderId="0" pivotButton="0" quotePrefix="0" xfId="0"/>
    <xf numFmtId="0" fontId="7" fillId="15" borderId="1" pivotButton="0" quotePrefix="0" xfId="0"/>
    <xf numFmtId="0" fontId="8" fillId="16" borderId="0" applyAlignment="1" pivotButton="0" quotePrefix="0" xfId="0">
      <alignment horizontal="center"/>
    </xf>
    <xf numFmtId="0" fontId="9" fillId="17" borderId="1" applyAlignment="1" pivotButton="0" quotePrefix="0" xfId="0">
      <alignment vertical="top" wrapText="1"/>
    </xf>
    <xf numFmtId="0" fontId="8" fillId="18" borderId="0" applyAlignment="1" pivotButton="0" quotePrefix="0" xfId="0">
      <alignment horizontal="center"/>
    </xf>
    <xf numFmtId="0" fontId="8"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Cloud Basics – Beginner to Advanced Flashcards</t>
        </is>
      </c>
    </row>
    <row r="2">
      <c r="A2" s="2" t="inlineStr">
        <is>
          <t>Subject: Cloud computing (AWS first, Azure and GCP mapped)   ·   Learner: Self learner, English   ·   Cards: 50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5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08" customHeight="1">
      <c r="A3" s="17" t="inlineStr">
        <is>
          <t>CLD-001</t>
        </is>
      </c>
      <c r="B3" s="17" t="inlineStr">
        <is>
          <t>01 Basics</t>
        </is>
      </c>
      <c r="C3" s="17" t="inlineStr">
        <is>
          <t>Beginner</t>
        </is>
      </c>
      <c r="D3" s="17" t="n">
        <v>1</v>
      </c>
      <c r="E3" s="17" t="inlineStr">
        <is>
          <t>Claude knowledge</t>
        </is>
      </c>
      <c r="F3" s="18" t="inlineStr">
        <is>
          <t>IaaS, PaaS and SaaS</t>
        </is>
      </c>
      <c r="G3" s="18" t="inlineStr">
        <is>
          <t>Which three service models differ in how much of the stack you manage yourself?</t>
        </is>
      </c>
      <c r="H3" s="18" t="inlineStr">
        <is>
          <t>Core concept</t>
        </is>
      </c>
      <c r="I3" s="18" t="inlineStr">
        <is>
          <t>Very high</t>
        </is>
      </c>
      <c r="J3" s="18" t="n">
        <v>5</v>
      </c>
      <c r="K3" s="18" t="inlineStr">
        <is>
          <t>Companies wanted to rent computing instead of buying it, and providers offered it at different levels of finished product, from raw servers to complete applications.</t>
        </is>
      </c>
      <c r="L3" s="18" t="inlineStr">
        <is>
          <t>Ask who patches the operating system. That one question tells you which model you are in.</t>
        </is>
      </c>
      <c r="M3" s="18" t="inlineStr">
        <is>
          <t>IaaS is renting an empty kitchen, PaaS is renting a kitchen with a chef's tools set up, and SaaS is ordering the finished meal.</t>
        </is>
      </c>
      <c r="N3" s="18" t="inlineStr">
        <is>
          <t>A layered stack where the shaded part you manage shrinks from IaaS to SaaS.</t>
        </is>
      </c>
      <c r="O3" s="18" t="inlineStr">
        <is>
          <t>The relief of handing the boring maintenance to someone else.</t>
        </is>
      </c>
      <c r="P3" s="18" t="inlineStr">
        <is>
          <t>IaaS rents virtual infrastructure such as servers and networks, PaaS rents a platform for running your code without managing servers, and SaaS delivers a finished application over the internet.</t>
        </is>
      </c>
      <c r="Q3" s="17" t="n"/>
      <c r="R3" s="18" t="inlineStr">
        <is>
          <t>With IaaS, such as AWS EC2, you manage the operating system and everything above it. With PaaS, such as Elastic Beanstalk, App Service or App Engine, you deploy code and the provider runs the servers. With SaaS, such as Gmail or Salesforce, you only use the product. The more the provider manages, the less control and the less work you have.</t>
        </is>
      </c>
      <c r="S3" s="18" t="inlineStr">
        <is>
          <t>IaaS gives you servers, PaaS gives you a place to run code, SaaS gives you the finished app. Each step hands more work to the provider.</t>
        </is>
      </c>
      <c r="T3" s="18" t="inlineStr">
        <is>
          <t>IaaS is an empty rented kitchen, PaaS is a kitchen with tools ready, and SaaS is a meal delivered to your table.</t>
        </is>
      </c>
      <c r="U3" s="18" t="inlineStr">
        <is>
          <t>More provider management = less control for you, and less work for you.</t>
        </is>
      </c>
      <c r="V3" s="18" t="inlineStr">
        <is>
          <t>Launching an EC2 virtual machine and installing your own web server on it.</t>
        </is>
      </c>
      <c r="W3" s="18" t="inlineStr">
        <is>
          <t>Deploying a Python app to a platform service that handles servers for you.</t>
        </is>
      </c>
      <c r="X3" s="18" t="inlineStr">
        <is>
          <t>Using a hosted email service through a web browser.</t>
        </is>
      </c>
      <c r="Y3" s="18" t="inlineStr">
        <is>
          <t>cloud vs on-premises, shared responsibility, virtual machines</t>
        </is>
      </c>
      <c r="Z3" s="18" t="inlineStr">
        <is>
          <t>infrastructure, platform, software, service, managed</t>
        </is>
      </c>
      <c r="AA3" s="18" t="inlineStr">
        <is>
          <t>Choosing hosting | Planning budgets | Customer architecture talks</t>
        </is>
      </c>
      <c r="AB3" s="18" t="inlineStr">
        <is>
          <t>A: Do we patch the operating system ourselves? | B: Only if we pick IaaS. A platform service patches it for us.</t>
        </is>
      </c>
      <c r="AC3" s="18" t="inlineStr">
        <is>
          <t>✗ SaaS and PaaS are the same because both are managed → ✓ PaaS runs your code, while SaaS is a finished product you simply use</t>
        </is>
      </c>
      <c r="AD3" s="18" t="inlineStr">
        <is>
          <t>IaaS vs PaaS: with IaaS you manage the operating system, with PaaS you only manage your code and data.</t>
        </is>
      </c>
      <c r="AE3" s="18" t="inlineStr">
        <is>
          <t>Do not choose IaaS only for control if nobody on the team wants to patch servers.</t>
        </is>
      </c>
      <c r="AF3" s="18" t="inlineStr">
        <is>
          <t>Infrastructure, platform, software, each hands over more.</t>
        </is>
      </c>
      <c r="AG3" s="18" t="inlineStr">
        <is>
          <t>Moving a customer script from a rented server to a managed platform to avoid patching work.</t>
        </is>
      </c>
      <c r="AH3" s="18" t="inlineStr">
        <is>
          <t>An interviewer may ask: What is the difference between IaaS, PaaS and SaaS?</t>
        </is>
      </c>
      <c r="AI3" s="18" t="inlineStr">
        <is>
          <t>It is like cooking in a rented kitchen versus ordering delivery.</t>
        </is>
      </c>
      <c r="AJ3" s="18" t="inlineStr">
        <is>
          <t>Which model leaves you managing the operating system?</t>
        </is>
      </c>
      <c r="AK3" s="18" t="inlineStr">
        <is>
          <t>A) SaaS B) None of them C) IaaS D) PaaS</t>
        </is>
      </c>
      <c r="AL3" s="18" t="inlineStr">
        <is>
          <t>C</t>
        </is>
      </c>
      <c r="AM3" s="18" t="inlineStr">
        <is>
          <t>IaaS gives you virtual hardware, so everything above it is yours.</t>
        </is>
      </c>
      <c r="AN3" s="18" t="inlineStr">
        <is>
          <t>With ____ you only use the finished product through a browser → SaaS</t>
        </is>
      </c>
      <c r="AO3" s="18" t="inlineStr">
        <is>
          <t>A team wants to run code without managing any servers. Which model fits? → PaaS</t>
        </is>
      </c>
      <c r="AP3" s="18" t="inlineStr">
        <is>
          <t>Explain the three service models in three lines.</t>
        </is>
      </c>
      <c r="AQ3" s="18" t="inlineStr">
        <is>
          <t>Name one product you use that is SaaS and one service that is IaaS.</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121.5" customHeight="1">
      <c r="A4" s="17" t="inlineStr">
        <is>
          <t>CLD-002</t>
        </is>
      </c>
      <c r="B4" s="17" t="inlineStr">
        <is>
          <t>01 Basics</t>
        </is>
      </c>
      <c r="C4" s="17" t="inlineStr">
        <is>
          <t>Beginner</t>
        </is>
      </c>
      <c r="D4" s="17" t="n">
        <v>2</v>
      </c>
      <c r="E4" s="17" t="inlineStr">
        <is>
          <t>Claude knowledge</t>
        </is>
      </c>
      <c r="F4" s="18" t="inlineStr">
        <is>
          <t>Regions and availability zones</t>
        </is>
      </c>
      <c r="G4" s="18" t="inlineStr">
        <is>
          <t>Which two ideas describe where in the world your cloud resources physically run, and how they survive a failure?</t>
        </is>
      </c>
      <c r="H4" s="18" t="inlineStr">
        <is>
          <t>Core concept</t>
        </is>
      </c>
      <c r="I4" s="18" t="inlineStr">
        <is>
          <t>Very high</t>
        </is>
      </c>
      <c r="J4" s="18" t="n">
        <v>5</v>
      </c>
      <c r="K4" s="18" t="inlineStr">
        <is>
          <t>One data centre can fail or be far from users, so providers built groups of separate data centres in many parts of the world.</t>
        </is>
      </c>
      <c r="L4" s="18" t="inlineStr">
        <is>
          <t>Spread important services over at least two availability zones in one region.</t>
        </is>
      </c>
      <c r="M4" s="18" t="inlineStr">
        <is>
          <t>A region is a city, and availability zones are separate buildings in that city with their own power.</t>
        </is>
      </c>
      <c r="N4" s="18" t="inlineStr">
        <is>
          <t>A map with a region circle and three separate buildings inside it.</t>
        </is>
      </c>
      <c r="O4" s="18" t="inlineStr">
        <is>
          <t>The comfort of knowing one building failing will not stop your app.</t>
        </is>
      </c>
      <c r="P4" s="18" t="inlineStr">
        <is>
          <t>A region is a geographic area containing several availability zones, and an availability zone is one or more isolated data centres with independent power and networking.</t>
        </is>
      </c>
      <c r="Q4" s="17" t="n"/>
      <c r="R4" s="18" t="inlineStr">
        <is>
          <t>Resources are created in a chosen region, such as ap-south-1 in Mumbai. Zones inside a region are connected with fast links, so you can run copies of a service in several zones. Data does not leave a region unless you move it. Azure calls them regions and availability zones, and GCP calls them regions and zones. Not every service exists in every region.</t>
        </is>
      </c>
      <c r="S4" s="18" t="inlineStr">
        <is>
          <t>Pick a region close to your users and rules, and spread copies across zones inside it for resilience.</t>
        </is>
      </c>
      <c r="T4" s="18" t="inlineStr">
        <is>
          <t>A region is a city, and zones are separate buildings with their own power supply.</t>
        </is>
      </c>
      <c r="U4" s="18" t="inlineStr">
        <is>
          <t>Region = location. Zone = isolated data centre inside it.</t>
        </is>
      </c>
      <c r="V4" s="18" t="inlineStr">
        <is>
          <t>Running a web server in two zones of Mumbai so one can fail safely.</t>
        </is>
      </c>
      <c r="W4" s="18" t="inlineStr">
        <is>
          <t>Storing customer data only in a region that meets local law.</t>
        </is>
      </c>
      <c r="X4" s="18" t="inlineStr">
        <is>
          <t>Choosing a nearby region to reduce latency for users.</t>
        </is>
      </c>
      <c r="Y4" s="18" t="inlineStr">
        <is>
          <t>disaster recovery, latency, data residency, load balancers</t>
        </is>
      </c>
      <c r="Z4" s="18" t="inlineStr">
        <is>
          <t>region, zone, data centre, latency, resilience</t>
        </is>
      </c>
      <c r="AA4" s="18" t="inlineStr">
        <is>
          <t>Architecture design | Compliance | Cost and speed decisions</t>
        </is>
      </c>
      <c r="AB4" s="18" t="inlineStr">
        <is>
          <t>A: If one data centre burns down, are we down? | B: Not if we run in two zones.</t>
        </is>
      </c>
      <c r="AC4" s="18" t="inlineStr">
        <is>
          <t>✗ Data automatically copies to every region → ✓ Data stays in the chosen region unless you set up replication</t>
        </is>
      </c>
      <c r="AD4" s="18" t="inlineStr">
        <is>
          <t>Region vs zone: a region is a whole area, a zone is one isolated location inside it.</t>
        </is>
      </c>
      <c r="AE4" s="18" t="inlineStr">
        <is>
          <t>Do not put every copy of a critical service in a single zone.</t>
        </is>
      </c>
      <c r="AF4" s="18" t="inlineStr">
        <is>
          <t>Regions are cities, zones are buildings inside.</t>
        </is>
      </c>
      <c r="AG4" s="18" t="inlineStr">
        <is>
          <t>Placing a customer database in a regional location to meet their data residency rule.</t>
        </is>
      </c>
      <c r="AH4" s="18" t="inlineStr">
        <is>
          <t>An interviewer may ask: How do you make an application survive a data centre failure?</t>
        </is>
      </c>
      <c r="AI4" s="18" t="inlineStr">
        <is>
          <t>It is like keeping backups in separate buildings of one city.</t>
        </is>
      </c>
      <c r="AJ4" s="18" t="inlineStr">
        <is>
          <t>What is an availability zone?</t>
        </is>
      </c>
      <c r="AK4" s="18" t="inlineStr">
        <is>
          <t>A) An isolated data centre inside a region B) A billing plan C) A country's border D) A type of server</t>
        </is>
      </c>
      <c r="AL4" s="18" t="inlineStr">
        <is>
          <t>A</t>
        </is>
      </c>
      <c r="AM4" s="18" t="inlineStr">
        <is>
          <t>Zones have independent power and networking inside one region.</t>
        </is>
      </c>
      <c r="AN4" s="18" t="inlineStr">
        <is>
          <t>Data stays in one region unless you configure ____ → replication</t>
        </is>
      </c>
      <c r="AO4" s="18" t="inlineStr">
        <is>
          <t>You want a service to survive one building failing. What do you spread across? → Availability zones</t>
        </is>
      </c>
      <c r="AP4" s="18" t="inlineStr">
        <is>
          <t>Explain regions and zones to a customer in three lines.</t>
        </is>
      </c>
      <c r="AQ4" s="18" t="inlineStr">
        <is>
          <t>Find the region closest to you and note two services it offers.</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CLD-003</t>
        </is>
      </c>
      <c r="B5" s="17" t="inlineStr">
        <is>
          <t>01 Basics</t>
        </is>
      </c>
      <c r="C5" s="17" t="inlineStr">
        <is>
          <t>Beginner</t>
        </is>
      </c>
      <c r="D5" s="17" t="n">
        <v>3</v>
      </c>
      <c r="E5" s="17" t="inlineStr">
        <is>
          <t>Claude knowledge</t>
        </is>
      </c>
      <c r="F5" s="18" t="inlineStr">
        <is>
          <t>Shared responsibility model</t>
        </is>
      </c>
      <c r="G5" s="18" t="inlineStr">
        <is>
          <t>Which model says what the provider secures and what you must secure?</t>
        </is>
      </c>
      <c r="H5" s="18" t="inlineStr">
        <is>
          <t>Core concept</t>
        </is>
      </c>
      <c r="I5" s="18" t="inlineStr">
        <is>
          <t>Very high</t>
        </is>
      </c>
      <c r="J5" s="18" t="n">
        <v>5</v>
      </c>
      <c r="K5" s="18" t="inlineStr">
        <is>
          <t>Customers kept assuming the cloud was secured entirely by the provider, so providers published a clear split of duties.</t>
        </is>
      </c>
      <c r="L5" s="18" t="inlineStr">
        <is>
          <t>The provider secures the cloud itself, and you secure what you put in it.</t>
        </is>
      </c>
      <c r="M5" s="18" t="inlineStr">
        <is>
          <t>The landlord secures the building, and you lock your own apartment door.</t>
        </is>
      </c>
      <c r="N5" s="18" t="inlineStr">
        <is>
          <t>A line dividing provider duties at the bottom from customer duties at the top.</t>
        </is>
      </c>
      <c r="O5" s="18" t="inlineStr">
        <is>
          <t>The sobering clarity of knowing which part is yours.</t>
        </is>
      </c>
      <c r="P5" s="18" t="inlineStr">
        <is>
          <t>The shared responsibility model divides security duties, so the provider secures the underlying infrastructure and the customer secures their data, access and configuration.</t>
        </is>
      </c>
      <c r="Q5" s="17" t="n"/>
      <c r="R5" s="18" t="inlineStr">
        <is>
          <t>The provider handles buildings, hardware and the virtualisation layer. You handle identity and access, data, encryption choices, network rules and, with IaaS, the operating system. Many cloud breaches come from customer misconfiguration, such as a public storage bucket or an exposed key. The line moves up as you use more managed services.</t>
        </is>
      </c>
      <c r="S5" s="18" t="inlineStr">
        <is>
          <t>The provider protects the cloud, and you protect what you place in it and how you configure it.</t>
        </is>
      </c>
      <c r="T5" s="18" t="inlineStr">
        <is>
          <t>The landlord secures the building, and you lock your own door.</t>
        </is>
      </c>
      <c r="U5" s="18" t="inlineStr">
        <is>
          <t>Provider = security of the cloud. Customer = security in the cloud.</t>
        </is>
      </c>
      <c r="V5" s="18" t="inlineStr">
        <is>
          <t>A provider securing the data centre while you set the storage permissions.</t>
        </is>
      </c>
      <c r="W5" s="18" t="inlineStr">
        <is>
          <t>A leaked access key causing a breach, which is the customer's duty.</t>
        </is>
      </c>
      <c r="X5" s="18" t="inlineStr">
        <is>
          <t>A managed database where the provider patches the engine but you control who can connect.</t>
        </is>
      </c>
      <c r="Y5" s="18" t="inlineStr">
        <is>
          <t>IAM, least privilege, encryption, secrets</t>
        </is>
      </c>
      <c r="Z5" s="18" t="inlineStr">
        <is>
          <t>responsibility, security, configuration, compliance, provider</t>
        </is>
      </c>
      <c r="AA5" s="18" t="inlineStr">
        <is>
          <t>Security reviews | Customer questions | Audits</t>
        </is>
      </c>
      <c r="AB5" s="18" t="inlineStr">
        <is>
          <t>A: Is our data safe because we are on AWS? | B: Only if we set permissions and encryption correctly.</t>
        </is>
      </c>
      <c r="AC5" s="18" t="inlineStr">
        <is>
          <t>✗ The cloud provider secures everything, including my settings → ✓ You remain responsible for access, data and configuration</t>
        </is>
      </c>
      <c r="AD5" s="18" t="inlineStr">
        <is>
          <t>Security of the cloud vs security in the cloud: the first is the provider's job, the second is yours.</t>
        </is>
      </c>
      <c r="AE5" s="18" t="inlineStr">
        <is>
          <t>Do not assume a default setting is safe without checking it.</t>
        </is>
      </c>
      <c r="AF5" s="18" t="inlineStr">
        <is>
          <t>Provider secures the cloud, you secure contents.</t>
        </is>
      </c>
      <c r="AG5" s="18" t="inlineStr">
        <is>
          <t>Fixing a public bucket found in a review, which was a customer-side mistake.</t>
        </is>
      </c>
      <c r="AH5" s="18" t="inlineStr">
        <is>
          <t>An interviewer may ask: Who is responsible when a storage bucket is left public?</t>
        </is>
      </c>
      <c r="AI5" s="18" t="inlineStr">
        <is>
          <t>It is like the landlord securing the building while you lock your door.</t>
        </is>
      </c>
      <c r="AJ5" s="18" t="inlineStr">
        <is>
          <t>Who is responsible for who can access your stored data?</t>
        </is>
      </c>
      <c r="AK5" s="18" t="inlineStr">
        <is>
          <t>A) The internet B) The provider only C) No one D) The customer</t>
        </is>
      </c>
      <c r="AL5" s="18" t="inlineStr">
        <is>
          <t>D</t>
        </is>
      </c>
      <c r="AM5" s="18" t="inlineStr">
        <is>
          <t>Access configuration is on the customer's side of the line.</t>
        </is>
      </c>
      <c r="AN5" s="18" t="inlineStr">
        <is>
          <t>The provider secures the cloud, and you secure what is ____ it → in</t>
        </is>
      </c>
      <c r="AO5" s="18" t="inlineStr">
        <is>
          <t>A public bucket leaks data. Whose duty was it to prevent it? → The customer's</t>
        </is>
      </c>
      <c r="AP5" s="18" t="inlineStr">
        <is>
          <t>Explain the shared responsibility model in three lines.</t>
        </is>
      </c>
      <c r="AQ5" s="18" t="inlineStr">
        <is>
          <t>List three things you must secure even on a managed database.</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CLD-004</t>
        </is>
      </c>
      <c r="B6" s="17" t="inlineStr">
        <is>
          <t>01 Basics</t>
        </is>
      </c>
      <c r="C6" s="17" t="inlineStr">
        <is>
          <t>Beginner</t>
        </is>
      </c>
      <c r="D6" s="17" t="n">
        <v>4</v>
      </c>
      <c r="E6" s="17" t="inlineStr">
        <is>
          <t>Claude knowledge</t>
        </is>
      </c>
      <c r="F6" s="18" t="inlineStr">
        <is>
          <t>Pay-as-you-go pricing</t>
        </is>
      </c>
      <c r="G6" s="18" t="inlineStr">
        <is>
          <t>Which pricing idea means you pay for what you use rather than buying equipment upfront?</t>
        </is>
      </c>
      <c r="H6" s="18" t="inlineStr">
        <is>
          <t>Core concept</t>
        </is>
      </c>
      <c r="I6" s="18" t="inlineStr">
        <is>
          <t>High</t>
        </is>
      </c>
      <c r="J6" s="18" t="n">
        <v>4</v>
      </c>
      <c r="K6" s="18" t="inlineStr">
        <is>
          <t>Buying servers meant a large upfront cost and unused capacity, so clouds introduced metered billing by the hour or second.</t>
        </is>
      </c>
      <c r="L6" s="18" t="inlineStr">
        <is>
          <t>Turn off or delete what you are not using, because idle resources keep billing.</t>
        </is>
      </c>
      <c r="M6" s="18" t="inlineStr">
        <is>
          <t>Pay-as-you-go is a taxi meter, and buying servers is buying a car.</t>
        </is>
      </c>
      <c r="N6" s="18" t="inlineStr">
        <is>
          <t>A meter ticking next to a running server icon.</t>
        </is>
      </c>
      <c r="O6" s="18" t="inlineStr">
        <is>
          <t>The freedom of paying only for what you need.</t>
        </is>
      </c>
      <c r="P6" s="18" t="inlineStr">
        <is>
          <t>Pay-as-you-go pricing charges for the resources and time you actually use, with options to commit for a lower price.</t>
        </is>
      </c>
      <c r="Q6" s="17" t="n"/>
      <c r="R6" s="18" t="inlineStr">
        <is>
          <t>Compute is often billed per second, storage per gigabyte per month, and data leaving the cloud per gigabyte. Savings plans or reserved capacity give a discount for committing. Spot capacity is cheaper but can be taken back. Free tiers have limits and expire. Forgotten resources are the most common surprise on a bill.</t>
        </is>
      </c>
      <c r="S6" s="18" t="inlineStr">
        <is>
          <t>You are billed for usage, so stop what you do not need and set budget alerts.</t>
        </is>
      </c>
      <c r="T6" s="18" t="inlineStr">
        <is>
          <t>It is like a taxi meter instead of buying a car.</t>
        </is>
      </c>
      <c r="U6" s="18" t="inlineStr">
        <is>
          <t>Cost = quantity used × price per unit × time.</t>
        </is>
      </c>
      <c r="V6" s="18" t="inlineStr">
        <is>
          <t>A test server that costs money only while it is switched on.</t>
        </is>
      </c>
      <c r="W6" s="18" t="inlineStr">
        <is>
          <t>A stored backup billed per gigabyte per month.</t>
        </is>
      </c>
      <c r="X6" s="18" t="inlineStr">
        <is>
          <t>A discount for committing to steady usage for a year.</t>
        </is>
      </c>
      <c r="Y6" s="18" t="inlineStr">
        <is>
          <t>cost alerts, tagging, spot instances, cleanup</t>
        </is>
      </c>
      <c r="Z6" s="18" t="inlineStr">
        <is>
          <t>metered, billing, reserved, spot, commitment</t>
        </is>
      </c>
      <c r="AA6" s="18" t="inlineStr">
        <is>
          <t>Budget planning | Cost reviews | Customer estimates</t>
        </is>
      </c>
      <c r="AB6" s="18" t="inlineStr">
        <is>
          <t>A: Why is the bill high? | B: A forgotten test server ran all month.</t>
        </is>
      </c>
      <c r="AC6" s="18" t="inlineStr">
        <is>
          <t>✗ If I stop using a service it stops costing money → ✓ Resources keep billing until you stop or delete them</t>
        </is>
      </c>
      <c r="AD6" s="18" t="inlineStr">
        <is>
          <t>On-demand vs reserved: on-demand has no commitment, reserved is cheaper for steady use.</t>
        </is>
      </c>
      <c r="AE6" s="18" t="inlineStr">
        <is>
          <t>Do not leave test resources running after a demo.</t>
        </is>
      </c>
      <c r="AF6" s="18" t="inlineStr">
        <is>
          <t>Idle resources still ring the meter.</t>
        </is>
      </c>
      <c r="AG6" s="18" t="inlineStr">
        <is>
          <t>Deleting forgotten test resources after a bill alert and saving the monthly budget.</t>
        </is>
      </c>
      <c r="AH6" s="18" t="inlineStr">
        <is>
          <t>An interviewer may ask: How do you control cloud cost?</t>
        </is>
      </c>
      <c r="AI6" s="18" t="inlineStr">
        <is>
          <t>It is like a taxi meter that runs until you get out.</t>
        </is>
      </c>
      <c r="AJ6" s="18" t="inlineStr">
        <is>
          <t>Which is most likely to cause a surprise bill?</t>
        </is>
      </c>
      <c r="AK6" s="18" t="inlineStr">
        <is>
          <t>A) A tag B) A forgotten running resource C) A budget alert D) A free tier limit</t>
        </is>
      </c>
      <c r="AL6" s="18" t="inlineStr">
        <is>
          <t>B</t>
        </is>
      </c>
      <c r="AM6" s="18" t="inlineStr">
        <is>
          <t>Unused resources keep accumulating charges.</t>
        </is>
      </c>
      <c r="AN6" s="18" t="inlineStr">
        <is>
          <t>Capacity that can be taken back at short notice is called ____ capacity → spot</t>
        </is>
      </c>
      <c r="AO6" s="18" t="inlineStr">
        <is>
          <t>A demo ended, but the server is still running. What should you do? → Stop or delete it</t>
        </is>
      </c>
      <c r="AP6" s="18" t="inlineStr">
        <is>
          <t>Explain pay-as-you-go in two lines.</t>
        </is>
      </c>
      <c r="AQ6" s="18" t="inlineStr">
        <is>
          <t>Write three habits that stop surprise cloud bills.</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CLD-005</t>
        </is>
      </c>
      <c r="B7" s="17" t="inlineStr">
        <is>
          <t>01 Basics</t>
        </is>
      </c>
      <c r="C7" s="17" t="inlineStr">
        <is>
          <t>Beginner</t>
        </is>
      </c>
      <c r="D7" s="17" t="n">
        <v>5</v>
      </c>
      <c r="E7" s="17" t="inlineStr">
        <is>
          <t>Claude knowledge</t>
        </is>
      </c>
      <c r="F7" s="18" t="inlineStr">
        <is>
          <t>Cloud vs on-premises</t>
        </is>
      </c>
      <c r="G7" s="18" t="inlineStr">
        <is>
          <t>Which two ways of running servers differ in who owns and maintains the hardware?</t>
        </is>
      </c>
      <c r="H7" s="18" t="inlineStr">
        <is>
          <t>Core concept</t>
        </is>
      </c>
      <c r="I7" s="18" t="inlineStr">
        <is>
          <t>High</t>
        </is>
      </c>
      <c r="J7" s="18" t="n">
        <v>4</v>
      </c>
      <c r="K7" s="18" t="inlineStr">
        <is>
          <t>Organisations once had to own every server, and the cloud offered a rented alternative with different trade-offs.</t>
        </is>
      </c>
      <c r="L7" s="18" t="inlineStr">
        <is>
          <t>Compare on cost over several years, control and rules, not just on price today.</t>
        </is>
      </c>
      <c r="M7" s="18" t="inlineStr">
        <is>
          <t>On-premises is owning a house, and the cloud is renting a flat with services included.</t>
        </is>
      </c>
      <c r="N7" s="18" t="inlineStr">
        <is>
          <t>A server room on one side and a cloud icon on the other.</t>
        </is>
      </c>
      <c r="O7" s="18" t="inlineStr">
        <is>
          <t>The weight lifted when you stop maintaining hardware.</t>
        </is>
      </c>
      <c r="P7" s="18" t="inlineStr">
        <is>
          <t>On-premises means running servers you own in your own location, while cloud means renting computing resources from a provider over the internet.</t>
        </is>
      </c>
      <c r="Q7" s="17" t="n"/>
      <c r="R7" s="18" t="inlineStr">
        <is>
          <t>On-premises gives full control and can suit strict rules or steady heavy workloads, but needs upfront cost and staff. Cloud gives fast setup, easy scaling and no hardware to maintain, but ongoing fees and dependence on a provider. Hybrid setups mix both. Many customers keep sensitive systems on-premises and connect them to the cloud.</t>
        </is>
      </c>
      <c r="S7" s="18" t="inlineStr">
        <is>
          <t>Cloud rents capacity on demand, on-premises owns it. Many companies use both.</t>
        </is>
      </c>
      <c r="T7" s="18" t="inlineStr">
        <is>
          <t>On-premises is owning a house, cloud is renting a flat with services included.</t>
        </is>
      </c>
      <c r="U7" s="18" t="inlineStr">
        <is>
          <t>Own = control and upfront cost. Rent = speed and ongoing cost.</t>
        </is>
      </c>
      <c r="V7" s="18" t="inlineStr">
        <is>
          <t>A hospital keeping patient records on its own servers.</t>
        </is>
      </c>
      <c r="W7" s="18" t="inlineStr">
        <is>
          <t>A start-up renting servers for a new product launch.</t>
        </is>
      </c>
      <c r="X7" s="18" t="inlineStr">
        <is>
          <t>A bank linking its own data centre to a cloud analytics service.</t>
        </is>
      </c>
      <c r="Y7" s="18" t="inlineStr">
        <is>
          <t>hybrid cloud, regions, compliance, shared responsibility</t>
        </is>
      </c>
      <c r="Z7" s="18" t="inlineStr">
        <is>
          <t>on-premises, hybrid, colocation, capacity, ownership</t>
        </is>
      </c>
      <c r="AA7" s="18" t="inlineStr">
        <is>
          <t>Customer discovery | Migration planning | Architecture reviews</t>
        </is>
      </c>
      <c r="AB7" s="18" t="inlineStr">
        <is>
          <t>A: Why can we not move everything to the cloud? | B: Some data must stay in our own data centre by rule.</t>
        </is>
      </c>
      <c r="AC7" s="18" t="inlineStr">
        <is>
          <t>✗ The cloud is always cheaper than on-premises → ✓ It depends on usage, because steady heavy loads can cost less on owned hardware</t>
        </is>
      </c>
      <c r="AD7" s="18" t="inlineStr">
        <is>
          <t>Cloud vs on-premises: cloud is flexible and rented, on-premises is owned and controlled.</t>
        </is>
      </c>
      <c r="AE7" s="18" t="inlineStr">
        <is>
          <t>Do not recommend a move without checking rules and total cost.</t>
        </is>
      </c>
      <c r="AF7" s="18" t="inlineStr">
        <is>
          <t>Own the house, or rent the flat.</t>
        </is>
      </c>
      <c r="AG7" s="18" t="inlineStr">
        <is>
          <t>Designing a link between a customer's own servers and a cloud analytics service.</t>
        </is>
      </c>
      <c r="AH7" s="18" t="inlineStr">
        <is>
          <t>An interviewer may ask: When would a customer stay on-premises?</t>
        </is>
      </c>
      <c r="AI7" s="18" t="inlineStr">
        <is>
          <t>It is like owning a house versus renting a furnished flat.</t>
        </is>
      </c>
      <c r="AJ7" s="18" t="inlineStr">
        <is>
          <t>What is a hybrid setup?</t>
        </is>
      </c>
      <c r="AK7" s="18" t="inlineStr">
        <is>
          <t>A) A mix of on-premises and cloud B) Only cloud C) Only on-premises D) Two clouds only</t>
        </is>
      </c>
      <c r="AL7" s="18" t="inlineStr">
        <is>
          <t>A</t>
        </is>
      </c>
      <c r="AM7" s="18" t="inlineStr">
        <is>
          <t>Hybrid combines your own systems with cloud resources.</t>
        </is>
      </c>
      <c r="AN7" s="18" t="inlineStr">
        <is>
          <t>Servers you own in your own building are called on-____ → premises</t>
        </is>
      </c>
      <c r="AO7" s="18" t="inlineStr">
        <is>
          <t>A customer must keep data in its own building but wants cloud analytics. What setup? → Hybrid</t>
        </is>
      </c>
      <c r="AP7" s="18" t="inlineStr">
        <is>
          <t>Explain cloud versus on-premises in three lines.</t>
        </is>
      </c>
      <c r="AQ7" s="18" t="inlineStr">
        <is>
          <t>List two reasons a customer might keep a system on-premises.</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108" customHeight="1">
      <c r="A8" s="17" t="inlineStr">
        <is>
          <t>CLD-006</t>
        </is>
      </c>
      <c r="B8" s="17" t="inlineStr">
        <is>
          <t>01 Basics</t>
        </is>
      </c>
      <c r="C8" s="17" t="inlineStr">
        <is>
          <t>Intermediate</t>
        </is>
      </c>
      <c r="D8" s="17" t="n">
        <v>6</v>
      </c>
      <c r="E8" s="17" t="inlineStr">
        <is>
          <t>Claude knowledge</t>
        </is>
      </c>
      <c r="F8" s="18" t="inlineStr">
        <is>
          <t>Well-architected ideas</t>
        </is>
      </c>
      <c r="G8" s="18" t="inlineStr">
        <is>
          <t>Which set of design principles guides building cloud systems that are reliable, secure and efficient?</t>
        </is>
      </c>
      <c r="H8" s="18" t="inlineStr">
        <is>
          <t>Core concept</t>
        </is>
      </c>
      <c r="I8" s="18" t="inlineStr">
        <is>
          <t>Medium</t>
        </is>
      </c>
      <c r="J8" s="18" t="n">
        <v>4</v>
      </c>
      <c r="K8" s="18" t="inlineStr">
        <is>
          <t>Teams kept repeating the same design mistakes, so providers published checklists of good practice organised into pillars.</t>
        </is>
      </c>
      <c r="L8" s="18" t="inlineStr">
        <is>
          <t>Use the pillars as a review checklist before launching anything for a customer.</t>
        </is>
      </c>
      <c r="M8" s="18" t="inlineStr">
        <is>
          <t>The pillars are the supports under a roof, and removing one makes the building lean.</t>
        </is>
      </c>
      <c r="N8" s="18" t="inlineStr">
        <is>
          <t>Six pillars holding up a roof labelled workload.</t>
        </is>
      </c>
      <c r="O8" s="18" t="inlineStr">
        <is>
          <t>The confidence of a design that was checked against a list.</t>
        </is>
      </c>
      <c r="P8" s="18" t="inlineStr">
        <is>
          <t>Well-architected frameworks are published sets of best-practice pillars, such as operational excellence, security, reliability, performance, cost and sustainability, used to review cloud designs.</t>
        </is>
      </c>
      <c r="Q8" s="17" t="n"/>
      <c r="R8" s="18" t="inlineStr">
        <is>
          <t>AWS lists six pillars, and Azure and Google Cloud publish similar frameworks. Each pillar has questions, such as whether backups are tested or access is least privilege. A review finds risks before they become incidents. You do not need perfection in every pillar, but you should make each trade-off on purpose.</t>
        </is>
      </c>
      <c r="S8" s="18" t="inlineStr">
        <is>
          <t>Check the design against reliability, security, cost, performance, operations and sustainability before shipping.</t>
        </is>
      </c>
      <c r="T8" s="18" t="inlineStr">
        <is>
          <t>The pillars are supports under a roof. Remove one and the building leans.</t>
        </is>
      </c>
      <c r="U8" s="18" t="inlineStr">
        <is>
          <t>Review each pillar and decide the trade-off on purpose.</t>
        </is>
      </c>
      <c r="V8" s="18" t="inlineStr">
        <is>
          <t>Asking whether a database has tested backups, under reliability.</t>
        </is>
      </c>
      <c r="W8" s="18" t="inlineStr">
        <is>
          <t>Checking that nothing has more access than it needs, under security.</t>
        </is>
      </c>
      <c r="X8" s="18" t="inlineStr">
        <is>
          <t>Reviewing monthly spend against budget, under cost.</t>
        </is>
      </c>
      <c r="Y8" s="18" t="inlineStr">
        <is>
          <t>least privilege, disaster recovery, cost alerts, monitoring</t>
        </is>
      </c>
      <c r="Z8" s="18" t="inlineStr">
        <is>
          <t>pillar, framework, review, trade-off, best practice</t>
        </is>
      </c>
      <c r="AA8" s="18" t="inlineStr">
        <is>
          <t>Design reviews | Launch checks | Customer audits</t>
        </is>
      </c>
      <c r="AB8" s="18" t="inlineStr">
        <is>
          <t>A: Is this design ready to ship? | B: Let us review it against the pillars first.</t>
        </is>
      </c>
      <c r="AC8" s="18" t="inlineStr">
        <is>
          <t>✗ A well-architected design never fails → ✓ It reduces risk, but failures still happen and must be planned for</t>
        </is>
      </c>
      <c r="AD8" s="18" t="inlineStr">
        <is>
          <t>Pillars vs rules: pillars guide trade-offs, they are not strict laws.</t>
        </is>
      </c>
      <c r="AE8" s="18" t="inlineStr">
        <is>
          <t>Do not skip security or cost review just to launch faster.</t>
        </is>
      </c>
      <c r="AF8" s="18" t="inlineStr">
        <is>
          <t>Review every pillar, then choose trade-offs knowingly.</t>
        </is>
      </c>
      <c r="AG8" s="18" t="inlineStr">
        <is>
          <t>Reviewing a customer pipeline against the pillars and finding missing alerts.</t>
        </is>
      </c>
      <c r="AH8" s="18" t="inlineStr">
        <is>
          <t>An interviewer may ask: What does a well-architected review check?</t>
        </is>
      </c>
      <c r="AI8" s="18" t="inlineStr">
        <is>
          <t>It is like a checklist for supports under a roof.</t>
        </is>
      </c>
      <c r="AJ8" s="18" t="inlineStr">
        <is>
          <t>Which is one of the pillars?</t>
        </is>
      </c>
      <c r="AK8" s="18" t="inlineStr">
        <is>
          <t>A) Fashion B) Typing speed C) Reliability D) Colour</t>
        </is>
      </c>
      <c r="AL8" s="18" t="inlineStr">
        <is>
          <t>C</t>
        </is>
      </c>
      <c r="AM8" s="18" t="inlineStr">
        <is>
          <t>Reliability, security, cost, performance, operations and sustainability are pillars.</t>
        </is>
      </c>
      <c r="AN8" s="18" t="inlineStr">
        <is>
          <t>A published checklist of design best practice is called a well-____ framework → architected</t>
        </is>
      </c>
      <c r="AO8" s="18" t="inlineStr">
        <is>
          <t>You are about to launch. What do you review the design against? → The framework pillars</t>
        </is>
      </c>
      <c r="AP8" s="18" t="inlineStr">
        <is>
          <t>Explain the well-architected idea in three lines.</t>
        </is>
      </c>
      <c r="AQ8" s="18" t="inlineStr">
        <is>
          <t>Pick two pillars and write one question for each.</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CLD-007</t>
        </is>
      </c>
      <c r="B9" s="17" t="inlineStr">
        <is>
          <t>02 Identity and Access</t>
        </is>
      </c>
      <c r="C9" s="17" t="inlineStr">
        <is>
          <t>Beginner</t>
        </is>
      </c>
      <c r="D9" s="17" t="n">
        <v>7</v>
      </c>
      <c r="E9" s="17" t="inlineStr">
        <is>
          <t>Claude knowledge</t>
        </is>
      </c>
      <c r="F9" s="18" t="inlineStr">
        <is>
          <t>IAM users, groups and roles</t>
        </is>
      </c>
      <c r="G9" s="18" t="inlineStr">
        <is>
          <t>Which three identity objects decide who or what may act in your cloud account?</t>
        </is>
      </c>
      <c r="H9" s="18" t="inlineStr">
        <is>
          <t>Core concept</t>
        </is>
      </c>
      <c r="I9" s="18" t="inlineStr">
        <is>
          <t>Very high</t>
        </is>
      </c>
      <c r="J9" s="18" t="n">
        <v>5</v>
      </c>
      <c r="K9" s="18" t="inlineStr">
        <is>
          <t>A cloud account holds powerful controls, so providers created identity objects to give each person and service only the access they need.</t>
        </is>
      </c>
      <c r="L9" s="18" t="inlineStr">
        <is>
          <t>Give people access through groups, and give services access through roles.</t>
        </is>
      </c>
      <c r="M9" s="18" t="inlineStr">
        <is>
          <t>Users are named staff badges, groups are departments, and roles are hats anyone authorised can wear for a while.</t>
        </is>
      </c>
      <c r="N9" s="18" t="inlineStr">
        <is>
          <t>Badges grouped into departments, with a hat passed to a service.</t>
        </is>
      </c>
      <c r="O9" s="18" t="inlineStr">
        <is>
          <t>The calm of knowing each person has only their own keys.</t>
        </is>
      </c>
      <c r="P9" s="18" t="inlineStr">
        <is>
          <t>An IAM user is a long-term identity for a person or tool, a group is a set of users sharing permissions, and a role is a temporary identity that a trusted user or service can assume.</t>
        </is>
      </c>
      <c r="Q9" s="17" t="n"/>
      <c r="R9" s="18" t="inlineStr">
        <is>
          <t>Permissions are attached to groups and roles through policies. A role has no password or long-term key. It gives short-lived credentials to whoever assumes it, such as a server or a function. The root account should be locked away and used rarely. Azure uses users, groups and managed identities, and GCP uses accounts and service accounts.</t>
        </is>
      </c>
      <c r="S9" s="18" t="inlineStr">
        <is>
          <t>Users are people, groups share permissions, roles are temporary identities for services and trusted people.</t>
        </is>
      </c>
      <c r="T9" s="18" t="inlineStr">
        <is>
          <t>Users are staff badges, groups are departments, and roles are hats that authorised people wear for a while.</t>
        </is>
      </c>
      <c r="U9" s="18" t="inlineStr">
        <is>
          <t>People get groups. Services get roles. Root stays locked.</t>
        </is>
      </c>
      <c r="V9" s="18" t="inlineStr">
        <is>
          <t>A developer added to a read-only group for logs.</t>
        </is>
      </c>
      <c r="W9" s="18" t="inlineStr">
        <is>
          <t>A server using a role to read from storage with no stored key.</t>
        </is>
      </c>
      <c r="X9" s="18" t="inlineStr">
        <is>
          <t>A support engineer assuming an admin role for one hour.</t>
        </is>
      </c>
      <c r="Y9" s="18" t="inlineStr">
        <is>
          <t>policies, least privilege, MFA, temporary credentials</t>
        </is>
      </c>
      <c r="Z9" s="18" t="inlineStr">
        <is>
          <t>user, group, role, policy, principal</t>
        </is>
      </c>
      <c r="AA9" s="18" t="inlineStr">
        <is>
          <t>Account setup | Security reviews | Application access</t>
        </is>
      </c>
      <c r="AB9" s="18" t="inlineStr">
        <is>
          <t>A: Where does the app keep its cloud key? | B: It does not, it uses a role.</t>
        </is>
      </c>
      <c r="AC9" s="18" t="inlineStr">
        <is>
          <t>✗ Everyone should use the root account for convenience → ✓ The root account is for rare tasks only and should be protected</t>
        </is>
      </c>
      <c r="AD9" s="18" t="inlineStr">
        <is>
          <t>User vs role: a user is a long-term identity, a role is assumed temporarily.</t>
        </is>
      </c>
      <c r="AE9" s="18" t="inlineStr">
        <is>
          <t>Do not use the root account for daily work.</t>
        </is>
      </c>
      <c r="AF9" s="18" t="inlineStr">
        <is>
          <t>People use groups, services use roles.</t>
        </is>
      </c>
      <c r="AG9" s="18" t="inlineStr">
        <is>
          <t>Replacing a stored access key in a script with a role attached to the server.</t>
        </is>
      </c>
      <c r="AH9" s="18" t="inlineStr">
        <is>
          <t>An interviewer may ask: When do you use a role instead of a user?</t>
        </is>
      </c>
      <c r="AI9" s="18" t="inlineStr">
        <is>
          <t>It is like staff badges, departments and temporary hats.</t>
        </is>
      </c>
      <c r="AJ9" s="18" t="inlineStr">
        <is>
          <t>What gives an application short-lived credentials without a stored key?</t>
        </is>
      </c>
      <c r="AK9" s="18" t="inlineStr">
        <is>
          <t>A) The root account B) A role C) A password D) A shared file</t>
        </is>
      </c>
      <c r="AL9" s="18" t="inlineStr">
        <is>
          <t>B</t>
        </is>
      </c>
      <c r="AM9" s="18" t="inlineStr">
        <is>
          <t>Roles hand out temporary credentials to trusted identities.</t>
        </is>
      </c>
      <c r="AN9" s="18" t="inlineStr">
        <is>
          <t>A set of users sharing the same permissions is a ____ → group</t>
        </is>
      </c>
      <c r="AO9" s="18" t="inlineStr">
        <is>
          <t>A server needs to read storage without a stored key. What identity? → A role</t>
        </is>
      </c>
      <c r="AP9" s="18" t="inlineStr">
        <is>
          <t>Explain users, groups and roles in three lines.</t>
        </is>
      </c>
      <c r="AQ9" s="18" t="inlineStr">
        <is>
          <t>Design which groups a small team of four would need.</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CLD-008</t>
        </is>
      </c>
      <c r="B10" s="17" t="inlineStr">
        <is>
          <t>02 Identity and Access</t>
        </is>
      </c>
      <c r="C10" s="17" t="inlineStr">
        <is>
          <t>Intermediate</t>
        </is>
      </c>
      <c r="D10" s="17" t="n">
        <v>8</v>
      </c>
      <c r="E10" s="17" t="inlineStr">
        <is>
          <t>Claude knowledge</t>
        </is>
      </c>
      <c r="F10" s="18" t="inlineStr">
        <is>
          <t>IAM policies</t>
        </is>
      </c>
      <c r="G10" s="18" t="inlineStr">
        <is>
          <t>Which JSON documents state what an identity is allowed or denied to do?</t>
        </is>
      </c>
      <c r="H10" s="18" t="inlineStr">
        <is>
          <t>Core concept</t>
        </is>
      </c>
      <c r="I10" s="18" t="inlineStr">
        <is>
          <t>Very high</t>
        </is>
      </c>
      <c r="J10" s="18" t="n">
        <v>5</v>
      </c>
      <c r="K10" s="18" t="inlineStr">
        <is>
          <t>Access had to be precise and reviewable, so permissions were written as structured documents rather than clicked into place.</t>
        </is>
      </c>
      <c r="L10" s="18" t="inlineStr">
        <is>
          <t>Start with no access and add only the actions and resources a task needs.</t>
        </is>
      </c>
      <c r="M10" s="18" t="inlineStr">
        <is>
          <t>A policy is a signed permission slip naming the person, the action and the place.</t>
        </is>
      </c>
      <c r="N10" s="18" t="inlineStr">
        <is>
          <t>A JSON document with Effect, Action and Resource lines.</t>
        </is>
      </c>
      <c r="O10" s="18" t="inlineStr">
        <is>
          <t>The precision of saying exactly what is allowed.</t>
        </is>
      </c>
      <c r="P10" s="18" t="inlineStr">
        <is>
          <t>An IAM policy is a document of statements, each with an effect, actions and resources, that is attached to an identity to allow or deny access.</t>
        </is>
      </c>
      <c r="Q10" s="17" t="n"/>
      <c r="R10" s="18" t="inlineStr">
        <is>
          <t>By default everything is denied. A statement with Effect Allow grants the listed actions on the listed resources. An explicit Deny always wins over an Allow. Policies can be attached to users, groups or roles, and some resources have their own policies. Conditions can narrow access, for example by IP address or by time.</t>
        </is>
      </c>
      <c r="S10" s="18" t="inlineStr">
        <is>
          <t>Policies list what is allowed. Default is deny, and an explicit deny always wins.</t>
        </is>
      </c>
      <c r="T10" s="18" t="inlineStr">
        <is>
          <t>A policy is a signed permission slip naming who may do what and where.</t>
        </is>
      </c>
      <c r="U10" s="18" t="inlineStr">
        <is>
          <t>Default deny. Allow adds access. Explicit deny wins.</t>
        </is>
      </c>
      <c r="V10" s="18" t="inlineStr">
        <is>
          <t>A policy allowing s3:GetObject on one bucket only.</t>
        </is>
      </c>
      <c r="W10" s="18" t="inlineStr">
        <is>
          <t>A policy denying deletion of anything in production.</t>
        </is>
      </c>
      <c r="X10" s="18" t="inlineStr">
        <is>
          <t>A policy that works only from the office network range.</t>
        </is>
      </c>
      <c r="Y10" s="18" t="inlineStr">
        <is>
          <t>least privilege, roles, S3 bucket policies, MFA</t>
        </is>
      </c>
      <c r="Z10" s="18" t="inlineStr">
        <is>
          <t>policy, statement, effect, action, resource</t>
        </is>
      </c>
      <c r="AA10" s="18" t="inlineStr">
        <is>
          <t>Access control | Audits | Application setup</t>
        </is>
      </c>
      <c r="AB10" s="18" t="inlineStr">
        <is>
          <t>A: I have Allow, but it still fails. | B: Another statement may deny it, and deny wins.</t>
        </is>
      </c>
      <c r="AC10" s="18" t="inlineStr">
        <is>
          <t>✗ An Allow in one policy overrides a Deny elsewhere → ✓ An explicit Deny always wins</t>
        </is>
      </c>
      <c r="AD10" s="18" t="inlineStr">
        <is>
          <t>Allow vs explicit deny: allow grants access, an explicit deny blocks it even if allowed elsewhere.</t>
        </is>
      </c>
      <c r="AE10" s="18" t="inlineStr">
        <is>
          <t>Do not use a wildcard for all actions on all resources.</t>
        </is>
      </c>
      <c r="AF10" s="18" t="inlineStr">
        <is>
          <t>Default is no, deny always beats allow.</t>
        </is>
      </c>
      <c r="AG10" s="18" t="inlineStr">
        <is>
          <t>Narrowing a wildcard policy to one bucket and two actions after a review.</t>
        </is>
      </c>
      <c r="AH10" s="18" t="inlineStr">
        <is>
          <t>An interviewer may ask: What happens if one policy allows and another denies?</t>
        </is>
      </c>
      <c r="AI10" s="18" t="inlineStr">
        <is>
          <t>It is like a permission slip that names the person and the place.</t>
        </is>
      </c>
      <c r="AJ10" s="18" t="inlineStr">
        <is>
          <t>What is the default access when no policy allows an action?</t>
        </is>
      </c>
      <c r="AK10" s="18" t="inlineStr">
        <is>
          <t>A) Admin B) Read only C) Allowed D) Denied</t>
        </is>
      </c>
      <c r="AL10" s="18" t="inlineStr">
        <is>
          <t>D</t>
        </is>
      </c>
      <c r="AM10" s="18" t="inlineStr">
        <is>
          <t>Access is denied unless something explicitly allows it.</t>
        </is>
      </c>
      <c r="AN10" s="18" t="inlineStr">
        <is>
          <t>Each policy statement has an effect, actions and ____ → resources</t>
        </is>
      </c>
      <c r="AO10" s="18" t="inlineStr">
        <is>
          <t>Two policies disagree, one allows and one denies. What happens? → Access is denied</t>
        </is>
      </c>
      <c r="AP10" s="18" t="inlineStr">
        <is>
          <t>Explain the parts of a policy statement.</t>
        </is>
      </c>
      <c r="AQ10" s="18" t="inlineStr">
        <is>
          <t>Write in words a policy that lets a user read one bucket only.</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CLD-009</t>
        </is>
      </c>
      <c r="B11" s="17" t="inlineStr">
        <is>
          <t>02 Identity and Access</t>
        </is>
      </c>
      <c r="C11" s="17" t="inlineStr">
        <is>
          <t>Intermediate</t>
        </is>
      </c>
      <c r="D11" s="17" t="n">
        <v>9</v>
      </c>
      <c r="E11" s="17" t="inlineStr">
        <is>
          <t>Claude knowledge</t>
        </is>
      </c>
      <c r="F11" s="18" t="inlineStr">
        <is>
          <t>Least privilege</t>
        </is>
      </c>
      <c r="G11" s="18" t="inlineStr">
        <is>
          <t>Which principle says to give only the minimum access needed to do a job?</t>
        </is>
      </c>
      <c r="H11" s="18" t="inlineStr">
        <is>
          <t>Core concept</t>
        </is>
      </c>
      <c r="I11" s="18" t="inlineStr">
        <is>
          <t>Very high</t>
        </is>
      </c>
      <c r="J11" s="18" t="n">
        <v>5</v>
      </c>
      <c r="K11" s="18" t="inlineStr">
        <is>
          <t>Over-powerful accounts turned small mistakes into disasters, so security teams adopted the rule of granting as little as possible.</t>
        </is>
      </c>
      <c r="L11" s="18" t="inlineStr">
        <is>
          <t>Start narrow and widen only when a real task fails, not the other way round.</t>
        </is>
      </c>
      <c r="M11" s="18" t="inlineStr">
        <is>
          <t>Least privilege is handing a visitor one room key instead of the master key.</t>
        </is>
      </c>
      <c r="N11" s="18" t="inlineStr">
        <is>
          <t>A person holding one key labelled with a single door.</t>
        </is>
      </c>
      <c r="O11" s="18" t="inlineStr">
        <is>
          <t>The ease of knowing a mistake cannot reach far.</t>
        </is>
      </c>
      <c r="P11" s="18" t="inlineStr">
        <is>
          <t>Least privilege means granting each identity only the permissions it needs for its task, for only as long as it needs them.</t>
        </is>
      </c>
      <c r="Q11" s="17" t="n"/>
      <c r="R11" s="18" t="inlineStr">
        <is>
          <t>It limits the damage from a stolen key or a mistake. Practise it by using specific actions and resources instead of wildcards, by using roles with short sessions, and by reviewing unused permissions. Access analysers and last-used reports show what can be removed. It is a main idea in every security framework.</t>
        </is>
      </c>
      <c r="S11" s="18" t="inlineStr">
        <is>
          <t>Give the smallest permission that works, review it often, and remove what is not used.</t>
        </is>
      </c>
      <c r="T11" s="18" t="inlineStr">
        <is>
          <t>It is like giving a visitor one room key instead of the master key.</t>
        </is>
      </c>
      <c r="U11" s="18" t="inlineStr">
        <is>
          <t>Needed actions + needed resources + needed time, and nothing more.</t>
        </is>
      </c>
      <c r="V11" s="18" t="inlineStr">
        <is>
          <t>A reporting job that can only read one table.</t>
        </is>
      </c>
      <c r="W11" s="18" t="inlineStr">
        <is>
          <t>A deploy role limited to one service.</t>
        </is>
      </c>
      <c r="X11" s="18" t="inlineStr">
        <is>
          <t>A contractor given access for two weeks only.</t>
        </is>
      </c>
      <c r="Y11" s="18" t="inlineStr">
        <is>
          <t>IAM policies, roles, temporary credentials, audits</t>
        </is>
      </c>
      <c r="Z11" s="18" t="inlineStr">
        <is>
          <t>privilege, minimum, scope, wildcard, review</t>
        </is>
      </c>
      <c r="AA11" s="18" t="inlineStr">
        <is>
          <t>Security design | Access reviews | Compliance</t>
        </is>
      </c>
      <c r="AB11" s="18" t="inlineStr">
        <is>
          <t>A: Can we just give admin to make it work? | B: No, let us find the exact permission it needs.</t>
        </is>
      </c>
      <c r="AC11" s="18" t="inlineStr">
        <is>
          <t>✗ Giving broad admin access saves time and does no harm → ✓ It makes any leak or mistake far more damaging</t>
        </is>
      </c>
      <c r="AD11" s="18" t="inlineStr">
        <is>
          <t>Least privilege vs convenience: broad access is faster today but riskier tomorrow.</t>
        </is>
      </c>
      <c r="AE11" s="18" t="inlineStr">
        <is>
          <t>Do not leave temporary broad access in place after testing.</t>
        </is>
      </c>
      <c r="AF11" s="18" t="inlineStr">
        <is>
          <t>One key for one door only.</t>
        </is>
      </c>
      <c r="AG11" s="18" t="inlineStr">
        <is>
          <t>Replacing an admin policy on a pipeline with a role scoped to one deployment.</t>
        </is>
      </c>
      <c r="AH11" s="18" t="inlineStr">
        <is>
          <t>An interviewer may ask: How do you apply least privilege in practice?</t>
        </is>
      </c>
      <c r="AI11" s="18" t="inlineStr">
        <is>
          <t>It is like giving a visitor a single room key.</t>
        </is>
      </c>
      <c r="AJ11" s="18" t="inlineStr">
        <is>
          <t>Which practice supports least privilege?</t>
        </is>
      </c>
      <c r="AK11" s="18" t="inlineStr">
        <is>
          <t>A) Never reviewing access B) Specific actions and resources C) Sharing one admin login D) Wildcards everywhere</t>
        </is>
      </c>
      <c r="AL11" s="18" t="inlineStr">
        <is>
          <t>B</t>
        </is>
      </c>
      <c r="AM11" s="18" t="inlineStr">
        <is>
          <t>Narrow permissions limit the damage of a mistake.</t>
        </is>
      </c>
      <c r="AN11" s="18" t="inlineStr">
        <is>
          <t>Least privilege grants the ____ access needed → minimum</t>
        </is>
      </c>
      <c r="AO11" s="18" t="inlineStr">
        <is>
          <t>A job only reads one table. How much access does it get? → Read on that table only</t>
        </is>
      </c>
      <c r="AP11" s="18" t="inlineStr">
        <is>
          <t>Explain least privilege in two lines.</t>
        </is>
      </c>
      <c r="AQ11" s="18" t="inlineStr">
        <is>
          <t>Review one script you wrote and list the minimum permissions it needs.</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94.5" customHeight="1">
      <c r="A12" s="17" t="inlineStr">
        <is>
          <t>CLD-010</t>
        </is>
      </c>
      <c r="B12" s="17" t="inlineStr">
        <is>
          <t>02 Identity and Access</t>
        </is>
      </c>
      <c r="C12" s="17" t="inlineStr">
        <is>
          <t>Beginner</t>
        </is>
      </c>
      <c r="D12" s="17" t="n">
        <v>10</v>
      </c>
      <c r="E12" s="17" t="inlineStr">
        <is>
          <t>Claude knowledge</t>
        </is>
      </c>
      <c r="F12" s="18" t="inlineStr">
        <is>
          <t>MFA</t>
        </is>
      </c>
      <c r="G12" s="18" t="inlineStr">
        <is>
          <t>Which extra login step protects an account even if the password is stolen?</t>
        </is>
      </c>
      <c r="H12" s="18" t="inlineStr">
        <is>
          <t>Core concept</t>
        </is>
      </c>
      <c r="I12" s="18" t="inlineStr">
        <is>
          <t>Very high</t>
        </is>
      </c>
      <c r="J12" s="18" t="n">
        <v>5</v>
      </c>
      <c r="K12" s="18" t="inlineStr">
        <is>
          <t>Passwords leak and get guessed, so a second proof that only the real owner has was added to logins.</t>
        </is>
      </c>
      <c r="L12" s="18" t="inlineStr">
        <is>
          <t>Turn on MFA first for the root account and every admin.</t>
        </is>
      </c>
      <c r="M12" s="18" t="inlineStr">
        <is>
          <t>MFA is a second lock on the door that needs a key from your pocket.</t>
        </is>
      </c>
      <c r="N12" s="18" t="inlineStr">
        <is>
          <t>A password box followed by a six-digit code.</t>
        </is>
      </c>
      <c r="O12" s="18" t="inlineStr">
        <is>
          <t>The security of a stolen password being useless.</t>
        </is>
      </c>
      <c r="P12" s="18" t="inlineStr">
        <is>
          <t>Multi-factor authentication requires two or more proofs of identity, such as a password plus a code from an app or a hardware key.</t>
        </is>
      </c>
      <c r="Q12" s="17" t="n"/>
      <c r="R12" s="18" t="inlineStr">
        <is>
          <t>The factors are something you know, something you have and something you are. Hardware keys and authenticator apps are stronger than text-message codes. Cloud providers can require MFA for the console and for sensitive actions. Always store recovery options safely, since losing the device can lock you out.</t>
        </is>
      </c>
      <c r="S12" s="18" t="inlineStr">
        <is>
          <t>Use a password and a second proof. Prefer an authenticator app or hardware key over text messages.</t>
        </is>
      </c>
      <c r="T12" s="18" t="inlineStr">
        <is>
          <t>It is like a second lock that needs a key from your pocket.</t>
        </is>
      </c>
      <c r="U12" s="18" t="inlineStr">
        <is>
          <t>Know + have + are. Two or more of these is MFA.</t>
        </is>
      </c>
      <c r="V12" s="18" t="inlineStr">
        <is>
          <t>An authenticator app code needed after the password.</t>
        </is>
      </c>
      <c r="W12" s="18" t="inlineStr">
        <is>
          <t>A hardware key tapped to approve an admin login.</t>
        </is>
      </c>
      <c r="X12" s="18" t="inlineStr">
        <is>
          <t>MFA required before deleting a production database.</t>
        </is>
      </c>
      <c r="Y12" s="18" t="inlineStr">
        <is>
          <t>IAM users, root account, access keys, SSO</t>
        </is>
      </c>
      <c r="Z12" s="18" t="inlineStr">
        <is>
          <t>factor, authenticator, hardware key, one-time code, recovery</t>
        </is>
      </c>
      <c r="AA12" s="18" t="inlineStr">
        <is>
          <t>Account security | Admin access | Compliance</t>
        </is>
      </c>
      <c r="AB12" s="18" t="inlineStr">
        <is>
          <t>A: Someone guessed the password. | B: MFA would have stopped the login.</t>
        </is>
      </c>
      <c r="AC12" s="18" t="inlineStr">
        <is>
          <t>✗ A long password makes MFA unnecessary → ✓ Passwords can still be phished or leaked, and MFA adds a second barrier</t>
        </is>
      </c>
      <c r="AD12" s="18" t="inlineStr">
        <is>
          <t>Text message vs hardware key: a hardware key resists phishing better.</t>
        </is>
      </c>
      <c r="AE12" s="18" t="inlineStr">
        <is>
          <t>Do not skip MFA on the root account.</t>
        </is>
      </c>
      <c r="AF12" s="18" t="inlineStr">
        <is>
          <t>A second lock needs a second key.</t>
        </is>
      </c>
      <c r="AG12" s="18" t="inlineStr">
        <is>
          <t>Enforcing MFA for all admin roles after a phishing attempt.</t>
        </is>
      </c>
      <c r="AH12" s="18" t="inlineStr">
        <is>
          <t>An interviewer may ask: Why is MFA important for cloud accounts?</t>
        </is>
      </c>
      <c r="AI12" s="18" t="inlineStr">
        <is>
          <t>It is like a second lock that needs a key from your pocket.</t>
        </is>
      </c>
      <c r="AJ12" s="18" t="inlineStr">
        <is>
          <t>Which account should always have MFA turned on?</t>
        </is>
      </c>
      <c r="AK12" s="18" t="inlineStr">
        <is>
          <t>A) Only test accounts B) No account C) Only read-only users D) The root account</t>
        </is>
      </c>
      <c r="AL12" s="18" t="inlineStr">
        <is>
          <t>D</t>
        </is>
      </c>
      <c r="AM12" s="18" t="inlineStr">
        <is>
          <t>The root account has unlimited power.</t>
        </is>
      </c>
      <c r="AN12" s="18" t="inlineStr">
        <is>
          <t>A password plus a code is an example of ____ authentication → multi-factor</t>
        </is>
      </c>
      <c r="AO12" s="18" t="inlineStr">
        <is>
          <t>A password leaked. What would still block the login? → A second factor</t>
        </is>
      </c>
      <c r="AP12" s="18" t="inlineStr">
        <is>
          <t>Explain why MFA matters in three lines.</t>
        </is>
      </c>
      <c r="AQ12" s="18" t="inlineStr">
        <is>
          <t>List the safest and weakest second factors you know.</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row r="13" ht="94.5" customHeight="1">
      <c r="A13" s="17" t="inlineStr">
        <is>
          <t>CLD-011</t>
        </is>
      </c>
      <c r="B13" s="17" t="inlineStr">
        <is>
          <t>02 Identity and Access</t>
        </is>
      </c>
      <c r="C13" s="17" t="inlineStr">
        <is>
          <t>Intermediate</t>
        </is>
      </c>
      <c r="D13" s="17" t="n">
        <v>11</v>
      </c>
      <c r="E13" s="17" t="inlineStr">
        <is>
          <t>Claude knowledge</t>
        </is>
      </c>
      <c r="F13" s="18" t="inlineStr">
        <is>
          <t>Access keys</t>
        </is>
      </c>
      <c r="G13" s="18" t="inlineStr">
        <is>
          <t>Which long-lived credentials let a script or tool call the cloud API, and why are they risky?</t>
        </is>
      </c>
      <c r="H13" s="18" t="inlineStr">
        <is>
          <t>Core concept</t>
        </is>
      </c>
      <c r="I13" s="18" t="inlineStr">
        <is>
          <t>High</t>
        </is>
      </c>
      <c r="J13" s="18" t="n">
        <v>5</v>
      </c>
      <c r="K13" s="18" t="inlineStr">
        <is>
          <t>Programs cannot type passwords, so providers issue key pairs that sign API requests.</t>
        </is>
      </c>
      <c r="L13" s="18" t="inlineStr">
        <is>
          <t>Prefer roles and temporary credentials, and rotate or delete any key you must keep.</t>
        </is>
      </c>
      <c r="M13" s="18" t="inlineStr">
        <is>
          <t>An access key is a spare house key. Lose it and anyone can walk in.</t>
        </is>
      </c>
      <c r="N13" s="18" t="inlineStr">
        <is>
          <t>A key id and a secret on a sticky note taped to a monitor.</t>
        </is>
      </c>
      <c r="O13" s="18" t="inlineStr">
        <is>
          <t>The dread of finding a key in a public repository.</t>
        </is>
      </c>
      <c r="P13" s="18" t="inlineStr">
        <is>
          <t>An access key is a pair of an identifier and a secret that signs programmatic requests to the cloud, and it stays valid until rotated or deleted.</t>
        </is>
      </c>
      <c r="Q13" s="17" t="n"/>
      <c r="R13" s="18" t="inlineStr">
        <is>
          <t>The secret is shown only once at creation. Keys in code, chat or public repositories get stolen and abused within minutes by bots. Store them in a secrets manager, never in Git, and rotate them on a schedule. Better still, avoid them by using roles. Unused keys should be deactivated and then deleted.</t>
        </is>
      </c>
      <c r="S13" s="18" t="inlineStr">
        <is>
          <t>Keys are long-lived passwords for programs. Avoid them, protect them, rotate them, and delete the unused ones.</t>
        </is>
      </c>
      <c r="T13" s="18" t="inlineStr">
        <is>
          <t>An access key is a spare house key. If it is lost, anyone can walk in.</t>
        </is>
      </c>
      <c r="U13" s="18" t="inlineStr">
        <is>
          <t>Prefer role over key. If a key is unavoidable, rotate and restrict it.</t>
        </is>
      </c>
      <c r="V13" s="18" t="inlineStr">
        <is>
          <t>A key committed to GitHub and used by bots to mine coins.</t>
        </is>
      </c>
      <c r="W13" s="18" t="inlineStr">
        <is>
          <t>A script using a role instead of any key.</t>
        </is>
      </c>
      <c r="X13" s="18" t="inlineStr">
        <is>
          <t>A quarterly job that rotates keys and deletes unused ones.</t>
        </is>
      </c>
      <c r="Y13" s="18" t="inlineStr">
        <is>
          <t>temporary credentials, secrets, IAM roles, secret scanning</t>
        </is>
      </c>
      <c r="Z13" s="18" t="inlineStr">
        <is>
          <t>key, secret, rotation, credential, leak</t>
        </is>
      </c>
      <c r="AA13" s="18" t="inlineStr">
        <is>
          <t>Automation | Local tools | Security reviews</t>
        </is>
      </c>
      <c r="AB13" s="18" t="inlineStr">
        <is>
          <t>A: I pushed my key by mistake. | B: Deactivate it right now and create a new one.</t>
        </is>
      </c>
      <c r="AC13" s="18" t="inlineStr">
        <is>
          <t>✗ Deleting a commit removes a leaked key from the world → ✓ The key must be revoked, because copies may exist</t>
        </is>
      </c>
      <c r="AD13" s="18" t="inlineStr">
        <is>
          <t>Access key vs role credentials: keys are long-lived, role credentials expire.</t>
        </is>
      </c>
      <c r="AE13" s="18" t="inlineStr">
        <is>
          <t>Do not commit keys to Git, even in a private repository.</t>
        </is>
      </c>
      <c r="AF13" s="18" t="inlineStr">
        <is>
          <t>Leaked key means revoke first, then clean up.</t>
        </is>
      </c>
      <c r="AG13" s="18" t="inlineStr">
        <is>
          <t>Revoking a key leaked in a repository and moving the script to a role.</t>
        </is>
      </c>
      <c r="AH13" s="18" t="inlineStr">
        <is>
          <t>An interviewer may ask: What do you do if an access key leaks?</t>
        </is>
      </c>
      <c r="AI13" s="18" t="inlineStr">
        <is>
          <t>It is like losing a spare house key.</t>
        </is>
      </c>
      <c r="AJ13" s="18" t="inlineStr">
        <is>
          <t>What is the first action when a key leaks?</t>
        </is>
      </c>
      <c r="AK13" s="18" t="inlineStr">
        <is>
          <t>A) Delete the commit only B) Ignore it C) Deactivate the key D) Email the team only</t>
        </is>
      </c>
      <c r="AL13" s="18" t="inlineStr">
        <is>
          <t>C</t>
        </is>
      </c>
      <c r="AM13" s="18" t="inlineStr">
        <is>
          <t>Revoking stops abuse immediately, since copies may exist.</t>
        </is>
      </c>
      <c r="AN13" s="18" t="inlineStr">
        <is>
          <t>A key should be changed on a schedule, which is called key ____ → rotation</t>
        </is>
      </c>
      <c r="AO13" s="18" t="inlineStr">
        <is>
          <t>You find a key in a repository. What do you do first? → Revoke it</t>
        </is>
      </c>
      <c r="AP13" s="18" t="inlineStr">
        <is>
          <t>Explain why access keys are risky in three lines.</t>
        </is>
      </c>
      <c r="AQ13" s="18" t="inlineStr">
        <is>
          <t>List three places where keys should never be stored.</t>
        </is>
      </c>
      <c r="AR13" s="17">
        <f>IF(J13="","",REPT("★",J13)&amp;REPT("☆",5-J13)&amp;" ("&amp;J13&amp;"/5)")</f>
        <v/>
      </c>
      <c r="AS13" s="17">
        <f>IF(Q13="","","Meaning: "&amp;Q13&amp;"  =  ______   (Answer: "&amp;F13&amp;")")</f>
        <v/>
      </c>
      <c r="AT13" s="17" t="inlineStr">
        <is>
          <t>New</t>
        </is>
      </c>
      <c r="AU13" s="17" t="n"/>
      <c r="AV13" s="17" t="n"/>
      <c r="AW13" s="17" t="n"/>
      <c r="AX13" s="17" t="n"/>
      <c r="AY13" s="17" t="n"/>
      <c r="AZ13" s="17" t="n"/>
      <c r="BA13" s="17" t="n"/>
      <c r="BB13" s="17" t="n"/>
    </row>
    <row r="14" ht="121.5" customHeight="1">
      <c r="A14" s="17" t="inlineStr">
        <is>
          <t>CLD-012</t>
        </is>
      </c>
      <c r="B14" s="17" t="inlineStr">
        <is>
          <t>02 Identity and Access</t>
        </is>
      </c>
      <c r="C14" s="17" t="inlineStr">
        <is>
          <t>Intermediate</t>
        </is>
      </c>
      <c r="D14" s="17" t="n">
        <v>12</v>
      </c>
      <c r="E14" s="17" t="inlineStr">
        <is>
          <t>Claude knowledge</t>
        </is>
      </c>
      <c r="F14" s="18" t="inlineStr">
        <is>
          <t>Temporary credentials</t>
        </is>
      </c>
      <c r="G14" s="18" t="inlineStr">
        <is>
          <t>Which short-lived credentials replace permanent keys and expire on their own?</t>
        </is>
      </c>
      <c r="H14" s="18" t="inlineStr">
        <is>
          <t>Core concept</t>
        </is>
      </c>
      <c r="I14" s="18" t="inlineStr">
        <is>
          <t>High</t>
        </is>
      </c>
      <c r="J14" s="18" t="n">
        <v>4</v>
      </c>
      <c r="K14" s="18" t="inlineStr">
        <is>
          <t>Permanent keys kept leaking, so providers created credentials that expire after minutes or hours.</t>
        </is>
      </c>
      <c r="L14" s="18" t="inlineStr">
        <is>
          <t>Use roles, single sign-on or workload identity so no permanent key exists at all.</t>
        </is>
      </c>
      <c r="M14" s="18" t="inlineStr">
        <is>
          <t>Temporary credentials are a hotel key card that stops working at checkout.</t>
        </is>
      </c>
      <c r="N14" s="18" t="inlineStr">
        <is>
          <t>A key card with an expiry time.</t>
        </is>
      </c>
      <c r="O14" s="18" t="inlineStr">
        <is>
          <t>The comfort of leaked credentials that are already dead.</t>
        </is>
      </c>
      <c r="P14" s="18" t="inlineStr">
        <is>
          <t>Temporary credentials are short-lived access tokens, issued when an identity assumes a role, that expire automatically.</t>
        </is>
      </c>
      <c r="Q14" s="17" t="n"/>
      <c r="R14" s="18" t="inlineStr">
        <is>
          <t>An identity asks the security token service to assume a role and receives a key, a secret and a session token valid for a limited time. The same idea appears as managed identities in Azure and workload identity in GCP. CI systems can use OpenID Connect to get these tokens without any stored secret. A leaked token is far less dangerous because it soon expires.</t>
        </is>
      </c>
      <c r="S14" s="18" t="inlineStr">
        <is>
          <t>Ask for a role, receive credentials that expire, and keep no permanent key.</t>
        </is>
      </c>
      <c r="T14" s="18" t="inlineStr">
        <is>
          <t>It is like a hotel key card that stops working at checkout.</t>
        </is>
      </c>
      <c r="U14" s="18" t="inlineStr">
        <is>
          <t>Assume role → receive short-lived credentials → they expire.</t>
        </is>
      </c>
      <c r="V14" s="18" t="inlineStr">
        <is>
          <t>A server role giving credentials that refresh automatically.</t>
        </is>
      </c>
      <c r="W14" s="18" t="inlineStr">
        <is>
          <t>A pipeline using OIDC to deploy with no stored key.</t>
        </is>
      </c>
      <c r="X14" s="18" t="inlineStr">
        <is>
          <t>An engineer assuming an admin role for one hour.</t>
        </is>
      </c>
      <c r="Y14" s="18" t="inlineStr">
        <is>
          <t>roles, access keys, SSO, OIDC in CI</t>
        </is>
      </c>
      <c r="Z14" s="18" t="inlineStr">
        <is>
          <t>token, session, expiry, assume role, federation</t>
        </is>
      </c>
      <c r="AA14" s="18" t="inlineStr">
        <is>
          <t>CI pipelines | Servers | Admin access</t>
        </is>
      </c>
      <c r="AB14" s="18" t="inlineStr">
        <is>
          <t>A: Do we store a key for the pipeline? | B: No, it assumes a role through OIDC.</t>
        </is>
      </c>
      <c r="AC14" s="18" t="inlineStr">
        <is>
          <t>✗ Temporary credentials are less secure because they are not permanent → ✓ They are safer, since they expire if stolen</t>
        </is>
      </c>
      <c r="AD14" s="18" t="inlineStr">
        <is>
          <t>Temporary vs permanent credentials: temporary ones expire by themselves.</t>
        </is>
      </c>
      <c r="AE14" s="18" t="inlineStr">
        <is>
          <t>Do not extend session lifetimes far beyond the need.</t>
        </is>
      </c>
      <c r="AF14" s="18" t="inlineStr">
        <is>
          <t>Short life means short damage.</t>
        </is>
      </c>
      <c r="AG14" s="18" t="inlineStr">
        <is>
          <t>Moving a deployment pipeline to temporary credentials and deleting its stored key.</t>
        </is>
      </c>
      <c r="AH14" s="18" t="inlineStr">
        <is>
          <t>An interviewer may ask: Why prefer temporary credentials?</t>
        </is>
      </c>
      <c r="AI14" s="18" t="inlineStr">
        <is>
          <t>It is like a hotel key card that expires at checkout.</t>
        </is>
      </c>
      <c r="AJ14" s="18" t="inlineStr">
        <is>
          <t>What is the main benefit of temporary credentials?</t>
        </is>
      </c>
      <c r="AK14" s="18" t="inlineStr">
        <is>
          <t>A) A leaked token expires soon B) They cost nothing C) They skip MFA D) They never need a role</t>
        </is>
      </c>
      <c r="AL14" s="18" t="inlineStr">
        <is>
          <t>A</t>
        </is>
      </c>
      <c r="AM14" s="18" t="inlineStr">
        <is>
          <t>Expiry limits how long a stolen credential works.</t>
        </is>
      </c>
      <c r="AN14" s="18" t="inlineStr">
        <is>
          <t>A role gives credentials that ____ automatically → expire</t>
        </is>
      </c>
      <c r="AO14" s="18" t="inlineStr">
        <is>
          <t>A pipeline needs cloud access. How can it avoid stored keys? → Use a role through OIDC</t>
        </is>
      </c>
      <c r="AP14" s="18" t="inlineStr">
        <is>
          <t>Explain temporary credentials in three lines.</t>
        </is>
      </c>
      <c r="AQ14" s="18" t="inlineStr">
        <is>
          <t>Write the steps for a pipeline to get temporary credentials.</t>
        </is>
      </c>
      <c r="AR14" s="17">
        <f>IF(J14="","",REPT("★",J14)&amp;REPT("☆",5-J14)&amp;" ("&amp;J14&amp;"/5)")</f>
        <v/>
      </c>
      <c r="AS14" s="17">
        <f>IF(Q14="","","Meaning: "&amp;Q14&amp;"  =  ______   (Answer: "&amp;F14&amp;")")</f>
        <v/>
      </c>
      <c r="AT14" s="17" t="inlineStr">
        <is>
          <t>New</t>
        </is>
      </c>
      <c r="AU14" s="17" t="n"/>
      <c r="AV14" s="17" t="n"/>
      <c r="AW14" s="17" t="n"/>
      <c r="AX14" s="17" t="n"/>
      <c r="AY14" s="17" t="n"/>
      <c r="AZ14" s="17" t="n"/>
      <c r="BA14" s="17" t="n"/>
      <c r="BB14" s="17" t="n"/>
    </row>
    <row r="15" ht="94.5" customHeight="1">
      <c r="A15" s="17" t="inlineStr">
        <is>
          <t>CLD-013</t>
        </is>
      </c>
      <c r="B15" s="17" t="inlineStr">
        <is>
          <t>03 Compute</t>
        </is>
      </c>
      <c r="C15" s="17" t="inlineStr">
        <is>
          <t>Beginner</t>
        </is>
      </c>
      <c r="D15" s="17" t="n">
        <v>13</v>
      </c>
      <c r="E15" s="17" t="inlineStr">
        <is>
          <t>Claude knowledge</t>
        </is>
      </c>
      <c r="F15" s="18" t="inlineStr">
        <is>
          <t>Virtual machines (EC2)</t>
        </is>
      </c>
      <c r="G15" s="18" t="inlineStr">
        <is>
          <t>Which service rents you a virtual computer in the cloud?</t>
        </is>
      </c>
      <c r="H15" s="18" t="inlineStr">
        <is>
          <t>Core concept</t>
        </is>
      </c>
      <c r="I15" s="18" t="inlineStr">
        <is>
          <t>Very high</t>
        </is>
      </c>
      <c r="J15" s="18" t="n">
        <v>5</v>
      </c>
      <c r="K15" s="18" t="inlineStr">
        <is>
          <t>Teams wanted a server in minutes instead of weeks, so providers offered virtual machines created on demand.</t>
        </is>
      </c>
      <c r="L15" s="18" t="inlineStr">
        <is>
          <t>Use a role on the instance and turn it off when it is not needed.</t>
        </is>
      </c>
      <c r="M15" s="18" t="inlineStr">
        <is>
          <t>An EC2 instance is a computer rented by the hour and delivered by courier in a minute.</t>
        </is>
      </c>
      <c r="N15" s="18" t="inlineStr">
        <is>
          <t>A server icon with CPU, memory and a disk attached.</t>
        </is>
      </c>
      <c r="O15" s="18" t="inlineStr">
        <is>
          <t>The thrill of a new server ready in under a minute.</t>
        </is>
      </c>
      <c r="P15" s="18" t="inlineStr">
        <is>
          <t>A virtual machine in the cloud, such as AWS EC2, is a rented virtual computer with chosen CPU, memory, storage and operating system.</t>
        </is>
      </c>
      <c r="Q15" s="17" t="n"/>
      <c r="R15" s="18" t="inlineStr">
        <is>
          <t>You pick an image, an instance type and a network, then launch it. You manage the operating system, software and patches. It can be stopped, resized or terminated. Stopped instances stop compute charges, but attached disks still cost. Azure calls it a virtual machine, and GCP calls it Compute Engine.</t>
        </is>
      </c>
      <c r="S15" s="18" t="inlineStr">
        <is>
          <t>EC2 is a rented computer. You choose its size and software, and pay while it runs.</t>
        </is>
      </c>
      <c r="T15" s="18" t="inlineStr">
        <is>
          <t>It is like a computer rented by the hour and delivered in a minute.</t>
        </is>
      </c>
      <c r="U15" s="18" t="inlineStr">
        <is>
          <t>Image + instance type + network = a running virtual machine.</t>
        </is>
      </c>
      <c r="V15" s="18" t="inlineStr">
        <is>
          <t>Launching a Linux server to host a small API.</t>
        </is>
      </c>
      <c r="W15" s="18" t="inlineStr">
        <is>
          <t>Resizing an instance when the workload grows.</t>
        </is>
      </c>
      <c r="X15" s="18" t="inlineStr">
        <is>
          <t>Stopping a test server overnight to save money.</t>
        </is>
      </c>
      <c r="Y15" s="18" t="inlineStr">
        <is>
          <t>images, instance types, key pairs, auto scaling</t>
        </is>
      </c>
      <c r="Z15" s="18" t="inlineStr">
        <is>
          <t>instance, virtual machine, compute, launch, terminate</t>
        </is>
      </c>
      <c r="AA15" s="18" t="inlineStr">
        <is>
          <t>Hosting | Batch jobs | Legacy apps</t>
        </is>
      </c>
      <c r="AB15" s="18" t="inlineStr">
        <is>
          <t>A: Can we try the app on a fresh server? | B: Launch an instance and test there.</t>
        </is>
      </c>
      <c r="AC15" s="18" t="inlineStr">
        <is>
          <t>✗ Stopping an instance removes all charges → ✓ Disks and addresses attached to it may still cost money</t>
        </is>
      </c>
      <c r="AD15" s="18" t="inlineStr">
        <is>
          <t>Stop vs terminate: stop pauses the instance, terminate deletes it.</t>
        </is>
      </c>
      <c r="AE15" s="18" t="inlineStr">
        <is>
          <t>Do not leave test instances running with open access.</t>
        </is>
      </c>
      <c r="AF15" s="18" t="inlineStr">
        <is>
          <t>Stop pauses it, terminate removes it.</t>
        </is>
      </c>
      <c r="AG15" s="18" t="inlineStr">
        <is>
          <t>Launching a small instance to host a customer demo for a week.</t>
        </is>
      </c>
      <c r="AH15" s="18" t="inlineStr">
        <is>
          <t>An interviewer may ask: What is the difference between stopping and terminating?</t>
        </is>
      </c>
      <c r="AI15" s="18" t="inlineStr">
        <is>
          <t>It is like renting a computer by the hour.</t>
        </is>
      </c>
      <c r="AJ15" s="18" t="inlineStr">
        <is>
          <t>What does terminating an instance do?</t>
        </is>
      </c>
      <c r="AK15" s="18" t="inlineStr">
        <is>
          <t>A) Resizes it B) Copies it C) Pauses it D) Deletes it</t>
        </is>
      </c>
      <c r="AL15" s="18" t="inlineStr">
        <is>
          <t>D</t>
        </is>
      </c>
      <c r="AM15" s="18" t="inlineStr">
        <is>
          <t>Terminate permanently removes the instance.</t>
        </is>
      </c>
      <c r="AN15" s="18" t="inlineStr">
        <is>
          <t>Azure calls the same idea a virtual ____ → machine</t>
        </is>
      </c>
      <c r="AO15" s="18" t="inlineStr">
        <is>
          <t>You no longer need a test server at all. Stop or terminate? → Terminate</t>
        </is>
      </c>
      <c r="AP15" s="18" t="inlineStr">
        <is>
          <t>Explain what a cloud virtual machine is in three lines.</t>
        </is>
      </c>
      <c r="AQ15" s="18" t="inlineStr">
        <is>
          <t>List the choices needed to launch a virtual machine.</t>
        </is>
      </c>
      <c r="AR15" s="17">
        <f>IF(J15="","",REPT("★",J15)&amp;REPT("☆",5-J15)&amp;" ("&amp;J15&amp;"/5)")</f>
        <v/>
      </c>
      <c r="AS15" s="17">
        <f>IF(Q15="","","Meaning: "&amp;Q15&amp;"  =  ______   (Answer: "&amp;F15&amp;")")</f>
        <v/>
      </c>
      <c r="AT15" s="17" t="inlineStr">
        <is>
          <t>New</t>
        </is>
      </c>
      <c r="AU15" s="17" t="n"/>
      <c r="AV15" s="17" t="n"/>
      <c r="AW15" s="17" t="n"/>
      <c r="AX15" s="17" t="n"/>
      <c r="AY15" s="17" t="n"/>
      <c r="AZ15" s="17" t="n"/>
      <c r="BA15" s="17" t="n"/>
      <c r="BB15" s="17" t="n"/>
    </row>
    <row r="16" ht="94.5" customHeight="1">
      <c r="A16" s="17" t="inlineStr">
        <is>
          <t>CLD-014</t>
        </is>
      </c>
      <c r="B16" s="17" t="inlineStr">
        <is>
          <t>03 Compute</t>
        </is>
      </c>
      <c r="C16" s="17" t="inlineStr">
        <is>
          <t>Beginner</t>
        </is>
      </c>
      <c r="D16" s="17" t="n">
        <v>14</v>
      </c>
      <c r="E16" s="17" t="inlineStr">
        <is>
          <t>Claude knowledge</t>
        </is>
      </c>
      <c r="F16" s="18" t="inlineStr">
        <is>
          <t>Machine images</t>
        </is>
      </c>
      <c r="G16" s="18" t="inlineStr">
        <is>
          <t>Which stored template is used to start new virtual machines with the same software?</t>
        </is>
      </c>
      <c r="H16" s="18" t="inlineStr">
        <is>
          <t>Core concept</t>
        </is>
      </c>
      <c r="I16" s="18" t="inlineStr">
        <is>
          <t>High</t>
        </is>
      </c>
      <c r="J16" s="18" t="n">
        <v>4</v>
      </c>
      <c r="K16" s="18" t="inlineStr">
        <is>
          <t>Installing software by hand on every server was slow and uneven, so a ready-made template was introduced.</t>
        </is>
      </c>
      <c r="L16" s="18" t="inlineStr">
        <is>
          <t>Prefer images that you build in an automated way over servers you configure by hand.</t>
        </is>
      </c>
      <c r="M16" s="18" t="inlineStr">
        <is>
          <t>An image is a cookie cutter that makes identical machines.</t>
        </is>
      </c>
      <c r="N16" s="18" t="inlineStr">
        <is>
          <t>One template on the left producing several identical servers on the right.</t>
        </is>
      </c>
      <c r="O16" s="18" t="inlineStr">
        <is>
          <t>The satisfaction of ten identical servers in minutes.</t>
        </is>
      </c>
      <c r="P16" s="18" t="inlineStr">
        <is>
          <t>A machine image, such as an AWS AMI, is a saved template of an operating system and software used to launch new instances.</t>
        </is>
      </c>
      <c r="Q16" s="17" t="n"/>
      <c r="R16" s="18" t="inlineStr">
        <is>
          <t>Public images give common operating systems. You can create your own from a configured server, so new instances start already set up. Images are stored by region and must be copied to be used elsewhere. They should be updated regularly with security patches. Azure and GCP also use images.</t>
        </is>
      </c>
      <c r="S16" s="18" t="inlineStr">
        <is>
          <t>An image is a ready template for servers. Build one and launch many.</t>
        </is>
      </c>
      <c r="T16" s="18" t="inlineStr">
        <is>
          <t>It is a cookie cutter that makes identical machines.</t>
        </is>
      </c>
      <c r="U16" s="18" t="inlineStr">
        <is>
          <t>One image → many identical instances.</t>
        </is>
      </c>
      <c r="V16" s="18" t="inlineStr">
        <is>
          <t>Launching a server from an Ubuntu image.</t>
        </is>
      </c>
      <c r="W16" s="18" t="inlineStr">
        <is>
          <t>Baking your own image with the app preinstalled.</t>
        </is>
      </c>
      <c r="X16" s="18" t="inlineStr">
        <is>
          <t>Copying an image to another region.</t>
        </is>
      </c>
      <c r="Y16" s="18" t="inlineStr">
        <is>
          <t>virtual machines, auto scaling, infrastructure as code</t>
        </is>
      </c>
      <c r="Z16" s="18" t="inlineStr">
        <is>
          <t>image, template, AMI, snapshot, bake</t>
        </is>
      </c>
      <c r="AA16" s="18" t="inlineStr">
        <is>
          <t>Scaling | Disaster recovery | Standard setups</t>
        </is>
      </c>
      <c r="AB16" s="18" t="inlineStr">
        <is>
          <t>A: New servers take an hour to set up. | B: Bake an image so they start ready.</t>
        </is>
      </c>
      <c r="AC16" s="18" t="inlineStr">
        <is>
          <t>✗ An image is a running server → ✓ It is only a template used to create servers</t>
        </is>
      </c>
      <c r="AD16" s="18" t="inlineStr">
        <is>
          <t>Image vs instance: an image is a template, an instance is a running machine.</t>
        </is>
      </c>
      <c r="AE16" s="18" t="inlineStr">
        <is>
          <t>Do not use an old image without applying security updates.</t>
        </is>
      </c>
      <c r="AF16" s="18" t="inlineStr">
        <is>
          <t>Image is the template, instance is the copy.</t>
        </is>
      </c>
      <c r="AG16" s="18" t="inlineStr">
        <is>
          <t>Creating a standard image so every new server started with the agent installed.</t>
        </is>
      </c>
      <c r="AH16" s="18" t="inlineStr">
        <is>
          <t>An interviewer may ask: Why create your own machine image?</t>
        </is>
      </c>
      <c r="AI16" s="18" t="inlineStr">
        <is>
          <t>It is like a cookie cutter for identical machines.</t>
        </is>
      </c>
      <c r="AJ16" s="18" t="inlineStr">
        <is>
          <t>What is an image used for?</t>
        </is>
      </c>
      <c r="AK16" s="18" t="inlineStr">
        <is>
          <t>A) Launching identical instances B) Billing C) Logging in D) Monitoring</t>
        </is>
      </c>
      <c r="AL16" s="18" t="inlineStr">
        <is>
          <t>A</t>
        </is>
      </c>
      <c r="AM16" s="18" t="inlineStr">
        <is>
          <t>Images are templates for new servers.</t>
        </is>
      </c>
      <c r="AN16" s="18" t="inlineStr">
        <is>
          <t>A running server created from an image is an ____ → instance</t>
        </is>
      </c>
      <c r="AO16" s="18" t="inlineStr">
        <is>
          <t>You need ten identical servers quickly. What do you use? → A machine image</t>
        </is>
      </c>
      <c r="AP16" s="18" t="inlineStr">
        <is>
          <t>Explain what a machine image is in two lines.</t>
        </is>
      </c>
      <c r="AQ16" s="18" t="inlineStr">
        <is>
          <t>Write the steps to create a custom image from a configured server.</t>
        </is>
      </c>
      <c r="AR16" s="17">
        <f>IF(J16="","",REPT("★",J16)&amp;REPT("☆",5-J16)&amp;" ("&amp;J16&amp;"/5)")</f>
        <v/>
      </c>
      <c r="AS16" s="17">
        <f>IF(Q16="","","Meaning: "&amp;Q16&amp;"  =  ______   (Answer: "&amp;F16&amp;")")</f>
        <v/>
      </c>
      <c r="AT16" s="17" t="inlineStr">
        <is>
          <t>New</t>
        </is>
      </c>
      <c r="AU16" s="17" t="n"/>
      <c r="AV16" s="17" t="n"/>
      <c r="AW16" s="17" t="n"/>
      <c r="AX16" s="17" t="n"/>
      <c r="AY16" s="17" t="n"/>
      <c r="AZ16" s="17" t="n"/>
      <c r="BA16" s="17" t="n"/>
      <c r="BB16" s="17" t="n"/>
    </row>
    <row r="17" ht="108" customHeight="1">
      <c r="A17" s="17" t="inlineStr">
        <is>
          <t>CLD-015</t>
        </is>
      </c>
      <c r="B17" s="17" t="inlineStr">
        <is>
          <t>03 Compute</t>
        </is>
      </c>
      <c r="C17" s="17" t="inlineStr">
        <is>
          <t>Beginner</t>
        </is>
      </c>
      <c r="D17" s="17" t="n">
        <v>15</v>
      </c>
      <c r="E17" s="17" t="inlineStr">
        <is>
          <t>Claude knowledge</t>
        </is>
      </c>
      <c r="F17" s="18" t="inlineStr">
        <is>
          <t>Instance types</t>
        </is>
      </c>
      <c r="G17" s="18" t="inlineStr">
        <is>
          <t>Which choice sets how much CPU, memory and network a virtual machine gets?</t>
        </is>
      </c>
      <c r="H17" s="18" t="inlineStr">
        <is>
          <t>Core concept</t>
        </is>
      </c>
      <c r="I17" s="18" t="inlineStr">
        <is>
          <t>High</t>
        </is>
      </c>
      <c r="J17" s="18" t="n">
        <v>4</v>
      </c>
      <c r="K17" s="18" t="inlineStr">
        <is>
          <t>Workloads need different mixes of power, so providers sell families of machine sizes instead of one standard server.</t>
        </is>
      </c>
      <c r="L17" s="18" t="inlineStr">
        <is>
          <t>Start small, measure real usage, and then resize to fit.</t>
        </is>
      </c>
      <c r="M17" s="18" t="inlineStr">
        <is>
          <t>Instance types are clothing sizes, and each family is a different style.</t>
        </is>
      </c>
      <c r="N17" s="18" t="inlineStr">
        <is>
          <t>A size chart with small, medium and large boxes.</t>
        </is>
      </c>
      <c r="O17" s="18" t="inlineStr">
        <is>
          <t>The satisfaction of a size that fits the load.</t>
        </is>
      </c>
      <c r="P17" s="18" t="inlineStr">
        <is>
          <t>An instance type is a named size and family of virtual machine that defines its CPU, memory, storage and network capacity.</t>
        </is>
      </c>
      <c r="Q17" s="17" t="n"/>
      <c r="R17" s="18" t="inlineStr">
        <is>
          <t>Names such as t3.micro or m5.large show a family and a size. General purpose families balance CPU and memory, compute optimised ones favour CPU, memory optimised ones favour RAM, and some have GPUs. Burstable types give a baseline with short bursts. Choosing too large wastes money, and too small causes slowness. Monitoring shows when to resize.</t>
        </is>
      </c>
      <c r="S17" s="18" t="inlineStr">
        <is>
          <t>Pick the family for the type of work and the size for the amount of work, then adjust with data.</t>
        </is>
      </c>
      <c r="T17" s="18" t="inlineStr">
        <is>
          <t>Instance types are clothing sizes, with each family a different style.</t>
        </is>
      </c>
      <c r="U17" s="18" t="inlineStr">
        <is>
          <t>Family = kind of workload. Size = amount of capacity.</t>
        </is>
      </c>
      <c r="V17" s="18" t="inlineStr">
        <is>
          <t>A small burstable type for a light test service.</t>
        </is>
      </c>
      <c r="W17" s="18" t="inlineStr">
        <is>
          <t>A memory optimised type for a large in-memory cache.</t>
        </is>
      </c>
      <c r="X17" s="18" t="inlineStr">
        <is>
          <t>A GPU type for training a model.</t>
        </is>
      </c>
      <c r="Y17" s="18" t="inlineStr">
        <is>
          <t>virtual machines, auto scaling, monitoring, cost alerts</t>
        </is>
      </c>
      <c r="Z17" s="18" t="inlineStr">
        <is>
          <t>family, size, vCPU, memory, burstable</t>
        </is>
      </c>
      <c r="AA17" s="18" t="inlineStr">
        <is>
          <t>Capacity planning | Cost control | Performance tuning</t>
        </is>
      </c>
      <c r="AB17" s="18" t="inlineStr">
        <is>
          <t>A: The server is slow. | B: Check CPU and memory, then choose a larger type if needed.</t>
        </is>
      </c>
      <c r="AC17" s="18" t="inlineStr">
        <is>
          <t>✗ A bigger instance always solves performance problems → ✓ The bottleneck may be elsewhere, such as a database or code</t>
        </is>
      </c>
      <c r="AD17" s="18" t="inlineStr">
        <is>
          <t>Compute optimised vs memory optimised: one favours CPU, the other favours RAM.</t>
        </is>
      </c>
      <c r="AE17" s="18" t="inlineStr">
        <is>
          <t>Do not pick a very large type without measuring.</t>
        </is>
      </c>
      <c r="AF17" s="18" t="inlineStr">
        <is>
          <t>Measure first, then size the machine.</t>
        </is>
      </c>
      <c r="AG17" s="18" t="inlineStr">
        <is>
          <t>Cutting cost by moving an idle service to a smaller instance type.</t>
        </is>
      </c>
      <c r="AH17" s="18" t="inlineStr">
        <is>
          <t>An interviewer may ask: How do you choose an instance type?</t>
        </is>
      </c>
      <c r="AI17" s="18" t="inlineStr">
        <is>
          <t>It is like picking a clothing size that fits.</t>
        </is>
      </c>
      <c r="AJ17" s="18" t="inlineStr">
        <is>
          <t>Which type suits a large in-memory cache?</t>
        </is>
      </c>
      <c r="AK17" s="18" t="inlineStr">
        <is>
          <t>A) Burstable only B) GPU C) Memory optimised D) Compute optimised</t>
        </is>
      </c>
      <c r="AL17" s="18" t="inlineStr">
        <is>
          <t>C</t>
        </is>
      </c>
      <c r="AM17" s="18" t="inlineStr">
        <is>
          <t>A cache needs a lot of RAM.</t>
        </is>
      </c>
      <c r="AN17" s="18" t="inlineStr">
        <is>
          <t>A type that gives a baseline with short bursts is called ____ → burstable</t>
        </is>
      </c>
      <c r="AO17" s="18" t="inlineStr">
        <is>
          <t>A job needs a lot of CPU and little RAM. Which family fits? → Compute optimised</t>
        </is>
      </c>
      <c r="AP17" s="18" t="inlineStr">
        <is>
          <t>Explain how to choose an instance type in three lines.</t>
        </is>
      </c>
      <c r="AQ17" s="18" t="inlineStr">
        <is>
          <t>Write which metrics you would watch before resizing.</t>
        </is>
      </c>
      <c r="AR17" s="17">
        <f>IF(J17="","",REPT("★",J17)&amp;REPT("☆",5-J17)&amp;" ("&amp;J17&amp;"/5)")</f>
        <v/>
      </c>
      <c r="AS17" s="17">
        <f>IF(Q17="","","Meaning: "&amp;Q17&amp;"  =  ______   (Answer: "&amp;F17&amp;")")</f>
        <v/>
      </c>
      <c r="AT17" s="17" t="inlineStr">
        <is>
          <t>New</t>
        </is>
      </c>
      <c r="AU17" s="17" t="n"/>
      <c r="AV17" s="17" t="n"/>
      <c r="AW17" s="17" t="n"/>
      <c r="AX17" s="17" t="n"/>
      <c r="AY17" s="17" t="n"/>
      <c r="AZ17" s="17" t="n"/>
      <c r="BA17" s="17" t="n"/>
      <c r="BB17" s="17" t="n"/>
    </row>
    <row r="18" ht="108" customHeight="1">
      <c r="A18" s="17" t="inlineStr">
        <is>
          <t>CLD-016</t>
        </is>
      </c>
      <c r="B18" s="17" t="inlineStr">
        <is>
          <t>03 Compute</t>
        </is>
      </c>
      <c r="C18" s="17" t="inlineStr">
        <is>
          <t>Beginner</t>
        </is>
      </c>
      <c r="D18" s="17" t="n">
        <v>16</v>
      </c>
      <c r="E18" s="17" t="inlineStr">
        <is>
          <t>Claude knowledge</t>
        </is>
      </c>
      <c r="F18" s="18" t="inlineStr">
        <is>
          <t>Key pairs and SSH access</t>
        </is>
      </c>
      <c r="G18" s="18" t="inlineStr">
        <is>
          <t>Which pair of files lets you log in to a Linux virtual machine safely?</t>
        </is>
      </c>
      <c r="H18" s="18" t="inlineStr">
        <is>
          <t>Core concept</t>
        </is>
      </c>
      <c r="I18" s="18" t="inlineStr">
        <is>
          <t>High</t>
        </is>
      </c>
      <c r="J18" s="18" t="n">
        <v>4</v>
      </c>
      <c r="K18" s="18" t="inlineStr">
        <is>
          <t>Passwords on public servers get guessed, so providers use a public and private key pair for remote login.</t>
        </is>
      </c>
      <c r="L18" s="18" t="inlineStr">
        <is>
          <t>Protect the private key file and never share it.</t>
        </is>
      </c>
      <c r="M18" s="18" t="inlineStr">
        <is>
          <t>The server holds a lock, and only your private key opens it.</t>
        </is>
      </c>
      <c r="N18" s="18" t="inlineStr">
        <is>
          <t>A lock icon on the server and a key on your laptop.</t>
        </is>
      </c>
      <c r="O18" s="18" t="inlineStr">
        <is>
          <t>The trust of a lock only you can open.</t>
        </is>
      </c>
      <c r="P18" s="18" t="inlineStr">
        <is>
          <t>A key pair is a public key stored on the server and a private key you keep, which together let you authenticate over SSH without a password.</t>
        </is>
      </c>
      <c r="Q18" s="17" t="n"/>
      <c r="R18" s="18" t="inlineStr">
        <is>
          <t>When you launch the instance you choose a key pair. The public half is placed on the server. You connect with the private half, usually a file ending in .pem, with permissions set so only you can read it. If the private key is lost, you cannot log in with it again. Many teams now prefer session managers that need no open SSH port.</t>
        </is>
      </c>
      <c r="S18" s="18" t="inlineStr">
        <is>
          <t>Keep the private key secret, give the server the public key, and connect with ssh.</t>
        </is>
      </c>
      <c r="T18" s="18" t="inlineStr">
        <is>
          <t>The server holds a lock, and only your private key opens it.</t>
        </is>
      </c>
      <c r="U18" s="18" t="inlineStr">
        <is>
          <t>Public key on server + private key with you = login.</t>
        </is>
      </c>
      <c r="V18" s="18" t="inlineStr">
        <is>
          <t>ssh -i mykey.pem ec2-user@server-address</t>
        </is>
      </c>
      <c r="W18" s="18" t="inlineStr">
        <is>
          <t>Setting chmod 400 on the key file.</t>
        </is>
      </c>
      <c r="X18" s="18" t="inlineStr">
        <is>
          <t>Using a session manager so no port 22 is open.</t>
        </is>
      </c>
      <c r="Y18" s="18" t="inlineStr">
        <is>
          <t>security groups, virtual machines, bastion hosts, SSH tunnels</t>
        </is>
      </c>
      <c r="Z18" s="18" t="inlineStr">
        <is>
          <t>key pair, public key, private key, SSH, pem</t>
        </is>
      </c>
      <c r="AA18" s="18" t="inlineStr">
        <is>
          <t>Server access | Troubleshooting | Automation</t>
        </is>
      </c>
      <c r="AB18" s="18" t="inlineStr">
        <is>
          <t>A: SSH says permissions are too open. | B: Run chmod 400 on the key file.</t>
        </is>
      </c>
      <c r="AC18" s="18" t="inlineStr">
        <is>
          <t>✗ The public key must be kept secret → ✓ The public key may be shared, and only the private key is secret</t>
        </is>
      </c>
      <c r="AD18" s="18" t="inlineStr">
        <is>
          <t>Public vs private key: the public key is placed on the server, the private key stays with you.</t>
        </is>
      </c>
      <c r="AE18" s="18" t="inlineStr">
        <is>
          <t>Do not email or commit a private key.</t>
        </is>
      </c>
      <c r="AF18" s="18" t="inlineStr">
        <is>
          <t>Public key locks, private key opens.</t>
        </is>
      </c>
      <c r="AG18" s="18" t="inlineStr">
        <is>
          <t>Replacing shared key files with a session manager to remove open SSH ports.</t>
        </is>
      </c>
      <c r="AH18" s="18" t="inlineStr">
        <is>
          <t>An interviewer may ask: How does SSH key authentication work?</t>
        </is>
      </c>
      <c r="AI18" s="18" t="inlineStr">
        <is>
          <t>It is like a lock that only your key opens.</t>
        </is>
      </c>
      <c r="AJ18" s="18" t="inlineStr">
        <is>
          <t>Which key must be kept secret?</t>
        </is>
      </c>
      <c r="AK18" s="18" t="inlineStr">
        <is>
          <t>A) Both are public B) The private key C) Neither D) The public key</t>
        </is>
      </c>
      <c r="AL18" s="18" t="inlineStr">
        <is>
          <t>B</t>
        </is>
      </c>
      <c r="AM18" s="18" t="inlineStr">
        <is>
          <t>Anyone with the private key can log in.</t>
        </is>
      </c>
      <c r="AN18" s="18" t="inlineStr">
        <is>
          <t>Restrict the key file with the command ____ 400 → chmod</t>
        </is>
      </c>
      <c r="AO18" s="18" t="inlineStr">
        <is>
          <t>SSH says your key file permissions are too open. What command fixes it? → chmod 400</t>
        </is>
      </c>
      <c r="AP18" s="18" t="inlineStr">
        <is>
          <t>Explain key pairs in three lines.</t>
        </is>
      </c>
      <c r="AQ18" s="18" t="inlineStr">
        <is>
          <t>Write the command that logs in with a key file.</t>
        </is>
      </c>
      <c r="AR18" s="17">
        <f>IF(J18="","",REPT("★",J18)&amp;REPT("☆",5-J18)&amp;" ("&amp;J18&amp;"/5)")</f>
        <v/>
      </c>
      <c r="AS18" s="17">
        <f>IF(Q18="","","Meaning: "&amp;Q18&amp;"  =  ______   (Answer: "&amp;F18&amp;")")</f>
        <v/>
      </c>
      <c r="AT18" s="17" t="inlineStr">
        <is>
          <t>New</t>
        </is>
      </c>
      <c r="AU18" s="17" t="n"/>
      <c r="AV18" s="17" t="n"/>
      <c r="AW18" s="17" t="n"/>
      <c r="AX18" s="17" t="n"/>
      <c r="AY18" s="17" t="n"/>
      <c r="AZ18" s="17" t="n"/>
      <c r="BA18" s="17" t="n"/>
      <c r="BB18" s="17" t="n"/>
    </row>
    <row r="19" ht="108" customHeight="1">
      <c r="A19" s="17" t="inlineStr">
        <is>
          <t>CLD-017</t>
        </is>
      </c>
      <c r="B19" s="17" t="inlineStr">
        <is>
          <t>03 Compute</t>
        </is>
      </c>
      <c r="C19" s="17" t="inlineStr">
        <is>
          <t>Intermediate</t>
        </is>
      </c>
      <c r="D19" s="17" t="n">
        <v>17</v>
      </c>
      <c r="E19" s="17" t="inlineStr">
        <is>
          <t>Claude knowledge</t>
        </is>
      </c>
      <c r="F19" s="18" t="inlineStr">
        <is>
          <t>Auto scaling</t>
        </is>
      </c>
      <c r="G19" s="18" t="inlineStr">
        <is>
          <t>Which feature adds or removes servers automatically as demand changes?</t>
        </is>
      </c>
      <c r="H19" s="18" t="inlineStr">
        <is>
          <t>Core concept</t>
        </is>
      </c>
      <c r="I19" s="18" t="inlineStr">
        <is>
          <t>High</t>
        </is>
      </c>
      <c r="J19" s="18" t="n">
        <v>4</v>
      </c>
      <c r="K19" s="18" t="inlineStr">
        <is>
          <t>Traffic rises and falls, so fixed server counts either waste money or fail under load, and clouds added automatic scaling.</t>
        </is>
      </c>
      <c r="L19" s="18" t="inlineStr">
        <is>
          <t>Scale on a metric that reflects real load, and always set minimum and maximum limits.</t>
        </is>
      </c>
      <c r="M19" s="18" t="inlineStr">
        <is>
          <t>Auto scaling is a restaurant that opens more tables when the crowd arrives.</t>
        </is>
      </c>
      <c r="N19" s="18" t="inlineStr">
        <is>
          <t>A line of servers growing and shrinking with a traffic graph.</t>
        </is>
      </c>
      <c r="O19" s="18" t="inlineStr">
        <is>
          <t>The calm of a site that survives a traffic spike.</t>
        </is>
      </c>
      <c r="P19" s="18" t="inlineStr">
        <is>
          <t>Auto scaling automatically changes the number of running instances based on rules or metrics, within minimum and maximum limits.</t>
        </is>
      </c>
      <c r="Q19" s="17" t="n"/>
      <c r="R19" s="18" t="inlineStr">
        <is>
          <t>A group launches copies from a template, and a load balancer spreads traffic across them. Policies can follow a target such as 50 percent CPU, or a schedule. Scaling out adds servers and scaling in removes them. A cool-down avoids flapping. Stateless apps scale easily, since any server can handle any request.</t>
        </is>
      </c>
      <c r="S19" s="18" t="inlineStr">
        <is>
          <t>Set a minimum, a maximum and a target metric, and the cloud adds or removes servers for you.</t>
        </is>
      </c>
      <c r="T19" s="18" t="inlineStr">
        <is>
          <t>It is like a restaurant that opens more tables when the crowd arrives.</t>
        </is>
      </c>
      <c r="U19" s="18" t="inlineStr">
        <is>
          <t>Metric above target → scale out. Metric below target → scale in.</t>
        </is>
      </c>
      <c r="V19" s="18" t="inlineStr">
        <is>
          <t>Adding servers when CPU passes 60 percent.</t>
        </is>
      </c>
      <c r="W19" s="18" t="inlineStr">
        <is>
          <t>Scaling out before office hours on a schedule.</t>
        </is>
      </c>
      <c r="X19" s="18" t="inlineStr">
        <is>
          <t>Scaling in at night to save cost.</t>
        </is>
      </c>
      <c r="Y19" s="18" t="inlineStr">
        <is>
          <t>load balancers, instance types, machine images, monitoring</t>
        </is>
      </c>
      <c r="Z19" s="18" t="inlineStr">
        <is>
          <t>scale out, scale in, group, policy, cool-down</t>
        </is>
      </c>
      <c r="AA19" s="18" t="inlineStr">
        <is>
          <t>Web apps | APIs | Batch workers</t>
        </is>
      </c>
      <c r="AB19" s="18" t="inlineStr">
        <is>
          <t>A: Traffic doubles every afternoon. | B: Use auto scaling with a schedule and a CPU target.</t>
        </is>
      </c>
      <c r="AC19" s="18" t="inlineStr">
        <is>
          <t>✗ Auto scaling fixes any slow application → ✓ It only helps if the bottleneck is server capacity and the app can run in parallel</t>
        </is>
      </c>
      <c r="AD19" s="18" t="inlineStr">
        <is>
          <t>Scale out vs scale up: out adds more servers, up makes one server bigger.</t>
        </is>
      </c>
      <c r="AE19" s="18" t="inlineStr">
        <is>
          <t>Do not scale without a maximum limit.</t>
        </is>
      </c>
      <c r="AF19" s="18" t="inlineStr">
        <is>
          <t>Out adds more, up makes bigger.</t>
        </is>
      </c>
      <c r="AG19" s="18" t="inlineStr">
        <is>
          <t>Adding a CPU target policy so the API handled the evening peak without manual work.</t>
        </is>
      </c>
      <c r="AH19" s="18" t="inlineStr">
        <is>
          <t>An interviewer may ask: What is the difference between scaling out and scaling up?</t>
        </is>
      </c>
      <c r="AI19" s="18" t="inlineStr">
        <is>
          <t>It is like a restaurant opening more tables for a crowd.</t>
        </is>
      </c>
      <c r="AJ19" s="18" t="inlineStr">
        <is>
          <t>What does scaling out mean?</t>
        </is>
      </c>
      <c r="AK19" s="18" t="inlineStr">
        <is>
          <t>A) Deleting servers B) Making one server bigger C) Moving regions D) Adding more servers</t>
        </is>
      </c>
      <c r="AL19" s="18" t="inlineStr">
        <is>
          <t>D</t>
        </is>
      </c>
      <c r="AM19" s="18" t="inlineStr">
        <is>
          <t>Scaling out increases the number of instances.</t>
        </is>
      </c>
      <c r="AN19" s="18" t="inlineStr">
        <is>
          <t>Always set a minimum and a ____ number of instances → maximum</t>
        </is>
      </c>
      <c r="AO19" s="18" t="inlineStr">
        <is>
          <t>Traffic peaks every evening. What feature adds servers automatically? → Auto scaling</t>
        </is>
      </c>
      <c r="AP19" s="18" t="inlineStr">
        <is>
          <t>Explain auto scaling in three lines.</t>
        </is>
      </c>
      <c r="AQ19" s="18" t="inlineStr">
        <is>
          <t>Choose a metric and target for scaling a web API.</t>
        </is>
      </c>
      <c r="AR19" s="17">
        <f>IF(J19="","",REPT("★",J19)&amp;REPT("☆",5-J19)&amp;" ("&amp;J19&amp;"/5)")</f>
        <v/>
      </c>
      <c r="AS19" s="17">
        <f>IF(Q19="","","Meaning: "&amp;Q19&amp;"  =  ______   (Answer: "&amp;F19&amp;")")</f>
        <v/>
      </c>
      <c r="AT19" s="17" t="inlineStr">
        <is>
          <t>New</t>
        </is>
      </c>
      <c r="AU19" s="17" t="n"/>
      <c r="AV19" s="17" t="n"/>
      <c r="AW19" s="17" t="n"/>
      <c r="AX19" s="17" t="n"/>
      <c r="AY19" s="17" t="n"/>
      <c r="AZ19" s="17" t="n"/>
      <c r="BA19" s="17" t="n"/>
      <c r="BB19" s="17" t="n"/>
    </row>
    <row r="20" ht="121.5" customHeight="1">
      <c r="A20" s="17" t="inlineStr">
        <is>
          <t>CLD-018</t>
        </is>
      </c>
      <c r="B20" s="17" t="inlineStr">
        <is>
          <t>03 Compute</t>
        </is>
      </c>
      <c r="C20" s="17" t="inlineStr">
        <is>
          <t>Intermediate</t>
        </is>
      </c>
      <c r="D20" s="17" t="n">
        <v>18</v>
      </c>
      <c r="E20" s="17" t="inlineStr">
        <is>
          <t>Claude knowledge</t>
        </is>
      </c>
      <c r="F20" s="18" t="inlineStr">
        <is>
          <t>Serverless functions (Lambda)</t>
        </is>
      </c>
      <c r="G20" s="18" t="inlineStr">
        <is>
          <t>Which service runs your code on demand without you managing any server?</t>
        </is>
      </c>
      <c r="H20" s="18" t="inlineStr">
        <is>
          <t>Core concept</t>
        </is>
      </c>
      <c r="I20" s="18" t="inlineStr">
        <is>
          <t>Very high</t>
        </is>
      </c>
      <c r="J20" s="18" t="n">
        <v>5</v>
      </c>
      <c r="K20" s="18" t="inlineStr">
        <is>
          <t>Running a server for small, occasional jobs wasted effort and money, so providers offered code that runs only when triggered.</t>
        </is>
      </c>
      <c r="L20" s="18" t="inlineStr">
        <is>
          <t>Keep functions short and stateless, and set a sensible timeout and memory size.</t>
        </is>
      </c>
      <c r="M20" s="18" t="inlineStr">
        <is>
          <t>A function is a taxi called only when needed, with no car to own.</t>
        </is>
      </c>
      <c r="N20" s="18" t="inlineStr">
        <is>
          <t>An event arrow triggering a small function box.</t>
        </is>
      </c>
      <c r="O20" s="18" t="inlineStr">
        <is>
          <t>The ease of deploying code with no server to patch.</t>
        </is>
      </c>
      <c r="P20" s="18" t="inlineStr">
        <is>
          <t>A serverless function, such as AWS Lambda, runs your code in response to events, scales automatically, and bills only for the time it runs.</t>
        </is>
      </c>
      <c r="Q20" s="17" t="n"/>
      <c r="R20" s="18" t="inlineStr">
        <is>
          <t>You upload code and choose a trigger such as an HTTP request, a file upload or a schedule. The provider runs it in a short-lived environment. There are limits on run time and memory, and a first call may be slower, which is called a cold start. State must be kept elsewhere, such as in a database. Azure uses Functions, and GCP uses Cloud Functions or Cloud Run functions.</t>
        </is>
      </c>
      <c r="S20" s="18" t="inlineStr">
        <is>
          <t>Upload code, pick a trigger, and pay only while it runs. Keep it short and stateless.</t>
        </is>
      </c>
      <c r="T20" s="18" t="inlineStr">
        <is>
          <t>It is like a taxi called only when needed, with no car to own.</t>
        </is>
      </c>
      <c r="U20" s="18" t="inlineStr">
        <is>
          <t>Event → function runs → result, billed per run.</t>
        </is>
      </c>
      <c r="V20" s="18" t="inlineStr">
        <is>
          <t>A function that resizes an image after upload.</t>
        </is>
      </c>
      <c r="W20" s="18" t="inlineStr">
        <is>
          <t>A function that runs every night to clean old files.</t>
        </is>
      </c>
      <c r="X20" s="18" t="inlineStr">
        <is>
          <t>An API endpoint backed by one function.</t>
        </is>
      </c>
      <c r="Y20" s="18" t="inlineStr">
        <is>
          <t>containers, queues, API gateways, cold start</t>
        </is>
      </c>
      <c r="Z20" s="18" t="inlineStr">
        <is>
          <t>function, trigger, event, cold start, serverless</t>
        </is>
      </c>
      <c r="AA20" s="18" t="inlineStr">
        <is>
          <t>Event processing | Small APIs | Scheduled jobs</t>
        </is>
      </c>
      <c r="AB20" s="18" t="inlineStr">
        <is>
          <t>A: We run a server just for one nightly job. | B: Use a scheduled function instead.</t>
        </is>
      </c>
      <c r="AC20" s="18" t="inlineStr">
        <is>
          <t>✗ Serverless means there are no servers → ✓ Servers exist, but the provider manages them for you</t>
        </is>
      </c>
      <c r="AD20" s="18" t="inlineStr">
        <is>
          <t>Function vs virtual machine: a function runs on demand, a virtual machine runs until stopped.</t>
        </is>
      </c>
      <c r="AE20" s="18" t="inlineStr">
        <is>
          <t>Do not use a function for a long job that exceeds its time limit.</t>
        </is>
      </c>
      <c r="AF20" s="18" t="inlineStr">
        <is>
          <t>Serverless still has servers, just not yours.</t>
        </is>
      </c>
      <c r="AG20" s="18" t="inlineStr">
        <is>
          <t>Replacing a nightly cron server with a scheduled function that cleaned old files.</t>
        </is>
      </c>
      <c r="AH20" s="18" t="inlineStr">
        <is>
          <t>An interviewer may ask: What is a cold start?</t>
        </is>
      </c>
      <c r="AI20" s="18" t="inlineStr">
        <is>
          <t>It is like calling a taxi only when you need one.</t>
        </is>
      </c>
      <c r="AJ20" s="18" t="inlineStr">
        <is>
          <t>What is a cold start?</t>
        </is>
      </c>
      <c r="AK20" s="18" t="inlineStr">
        <is>
          <t>A) A billing plan B) A broken function C) A slower first run while the environment starts D) A type of storage</t>
        </is>
      </c>
      <c r="AL20" s="18" t="inlineStr">
        <is>
          <t>C</t>
        </is>
      </c>
      <c r="AM20" s="18" t="inlineStr">
        <is>
          <t>The first invocation may wait for the environment to prepare.</t>
        </is>
      </c>
      <c r="AN20" s="18" t="inlineStr">
        <is>
          <t>Functions are started by an event called a ____ → trigger</t>
        </is>
      </c>
      <c r="AO20" s="18" t="inlineStr">
        <is>
          <t>A small job runs once a night. What fits best? → A scheduled function</t>
        </is>
      </c>
      <c r="AP20" s="18" t="inlineStr">
        <is>
          <t>Explain serverless functions in three lines.</t>
        </is>
      </c>
      <c r="AQ20" s="18" t="inlineStr">
        <is>
          <t>List two jobs that suit functions and one that does not.</t>
        </is>
      </c>
      <c r="AR20" s="17">
        <f>IF(J20="","",REPT("★",J20)&amp;REPT("☆",5-J20)&amp;" ("&amp;J20&amp;"/5)")</f>
        <v/>
      </c>
      <c r="AS20" s="17">
        <f>IF(Q20="","","Meaning: "&amp;Q20&amp;"  =  ______   (Answer: "&amp;F20&amp;")")</f>
        <v/>
      </c>
      <c r="AT20" s="17" t="inlineStr">
        <is>
          <t>New</t>
        </is>
      </c>
      <c r="AU20" s="17" t="n"/>
      <c r="AV20" s="17" t="n"/>
      <c r="AW20" s="17" t="n"/>
      <c r="AX20" s="17" t="n"/>
      <c r="AY20" s="17" t="n"/>
      <c r="AZ20" s="17" t="n"/>
      <c r="BA20" s="17" t="n"/>
      <c r="BB20" s="17" t="n"/>
    </row>
    <row r="21" ht="121.5" customHeight="1">
      <c r="A21" s="17" t="inlineStr">
        <is>
          <t>CLD-019</t>
        </is>
      </c>
      <c r="B21" s="17" t="inlineStr">
        <is>
          <t>03 Compute</t>
        </is>
      </c>
      <c r="C21" s="17" t="inlineStr">
        <is>
          <t>Intermediate</t>
        </is>
      </c>
      <c r="D21" s="17" t="n">
        <v>19</v>
      </c>
      <c r="E21" s="17" t="inlineStr">
        <is>
          <t>Claude knowledge</t>
        </is>
      </c>
      <c r="F21" s="18" t="inlineStr">
        <is>
          <t>Container services (ECS and Fargate)</t>
        </is>
      </c>
      <c r="G21" s="18" t="inlineStr">
        <is>
          <t>Which services run your Docker containers without you building the cluster by hand?</t>
        </is>
      </c>
      <c r="H21" s="18" t="inlineStr">
        <is>
          <t>Core concept</t>
        </is>
      </c>
      <c r="I21" s="18" t="inlineStr">
        <is>
          <t>High</t>
        </is>
      </c>
      <c r="J21" s="18" t="n">
        <v>4</v>
      </c>
      <c r="K21" s="18" t="inlineStr">
        <is>
          <t>Teams packaged apps in containers and needed somewhere to run them at scale, so providers built managed container platforms.</t>
        </is>
      </c>
      <c r="L21" s="18" t="inlineStr">
        <is>
          <t>Choose the serverless container option unless you need control over the machines.</t>
        </is>
      </c>
      <c r="M21" s="18" t="inlineStr">
        <is>
          <t>ECS is a shipping port that organises containers, and Fargate is the crane crew you do not hire.</t>
        </is>
      </c>
      <c r="N21" s="18" t="inlineStr">
        <is>
          <t>Containers placed onto a managed platform with no visible servers.</t>
        </is>
      </c>
      <c r="O21" s="18" t="inlineStr">
        <is>
          <t>The relief of running containers with no cluster upkeep.</t>
        </is>
      </c>
      <c r="P21" s="18" t="inlineStr">
        <is>
          <t>Managed container services such as AWS ECS run containers from your images, and the Fargate option runs them without you managing the underlying servers.</t>
        </is>
      </c>
      <c r="Q21" s="17" t="n"/>
      <c r="R21" s="18" t="inlineStr">
        <is>
          <t>You describe a task with an image, CPU, memory and ports, and the service runs and restarts it. A service keeps a desired number of copies and connects to a load balancer. With the server-based option you manage the machines, and with Fargate you do not. Azure has Container Apps, and GCP has Cloud Run. Kubernetes services such as EKS cover larger needs.</t>
        </is>
      </c>
      <c r="S21" s="18" t="inlineStr">
        <is>
          <t>Give the service your container image and sizes, and it runs and restarts it for you.</t>
        </is>
      </c>
      <c r="T21" s="18" t="inlineStr">
        <is>
          <t>ECS is a port that organises containers, and Fargate is a crane crew you do not hire.</t>
        </is>
      </c>
      <c r="U21" s="18" t="inlineStr">
        <is>
          <t>Image + CPU and memory + count = a running containerised service.</t>
        </is>
      </c>
      <c r="V21" s="18" t="inlineStr">
        <is>
          <t>Running an API image as a service with two copies.</t>
        </is>
      </c>
      <c r="W21" s="18" t="inlineStr">
        <is>
          <t>A scheduled container task for a nightly job.</t>
        </is>
      </c>
      <c r="X21" s="18" t="inlineStr">
        <is>
          <t>Pulling the image from a private registry.</t>
        </is>
      </c>
      <c r="Y21" s="18" t="inlineStr">
        <is>
          <t>Docker, Kubernetes, load balancers, registries</t>
        </is>
      </c>
      <c r="Z21" s="18" t="inlineStr">
        <is>
          <t>task, service, cluster, Fargate, container</t>
        </is>
      </c>
      <c r="AA21" s="18" t="inlineStr">
        <is>
          <t>Web services | Batch jobs | Microservices</t>
        </is>
      </c>
      <c r="AB21" s="18" t="inlineStr">
        <is>
          <t>A: Do we manage servers for the containers? | B: Not with Fargate, the provider does it.</t>
        </is>
      </c>
      <c r="AC21" s="18" t="inlineStr">
        <is>
          <t>✗ Container services require you to manage Kubernetes → ✓ Services such as ECS and Cloud Run run containers without it</t>
        </is>
      </c>
      <c r="AD21" s="18" t="inlineStr">
        <is>
          <t>Fargate vs server-based: Fargate hides the machines, the other option leaves them to you.</t>
        </is>
      </c>
      <c r="AE21" s="18" t="inlineStr">
        <is>
          <t>Do not run containers without health checks and logging.</t>
        </is>
      </c>
      <c r="AF21" s="18" t="inlineStr">
        <is>
          <t>Fargate means no machines to manage.</t>
        </is>
      </c>
      <c r="AG21" s="18" t="inlineStr">
        <is>
          <t>Moving a container API to a managed service so patching the hosts was no longer needed.</t>
        </is>
      </c>
      <c r="AH21" s="18" t="inlineStr">
        <is>
          <t>An interviewer may ask: When would you choose containers over functions?</t>
        </is>
      </c>
      <c r="AI21" s="18" t="inlineStr">
        <is>
          <t>It is like a port crew that handles the containers for you.</t>
        </is>
      </c>
      <c r="AJ21" s="18" t="inlineStr">
        <is>
          <t>What does Fargate remove from your work?</t>
        </is>
      </c>
      <c r="AK21" s="18" t="inlineStr">
        <is>
          <t>A) Managing the servers B) Writing the image C) Tagging D) Paying</t>
        </is>
      </c>
      <c r="AL21" s="18" t="inlineStr">
        <is>
          <t>A</t>
        </is>
      </c>
      <c r="AM21" s="18" t="inlineStr">
        <is>
          <t>Fargate runs containers on infrastructure the provider manages.</t>
        </is>
      </c>
      <c r="AN21" s="18" t="inlineStr">
        <is>
          <t>A task is described by an image, CPU and ____ → memory</t>
        </is>
      </c>
      <c r="AO21" s="18" t="inlineStr">
        <is>
          <t>You want to run a container API without managing servers. What option? → Fargate</t>
        </is>
      </c>
      <c r="AP21" s="18" t="inlineStr">
        <is>
          <t>Explain managed container services in three lines.</t>
        </is>
      </c>
      <c r="AQ21" s="18" t="inlineStr">
        <is>
          <t>Write what a task definition needs to contain.</t>
        </is>
      </c>
      <c r="AR21" s="17">
        <f>IF(J21="","",REPT("★",J21)&amp;REPT("☆",5-J21)&amp;" ("&amp;J21&amp;"/5)")</f>
        <v/>
      </c>
      <c r="AS21" s="17">
        <f>IF(Q21="","","Meaning: "&amp;Q21&amp;"  =  ______   (Answer: "&amp;F21&amp;")")</f>
        <v/>
      </c>
      <c r="AT21" s="17" t="inlineStr">
        <is>
          <t>New</t>
        </is>
      </c>
      <c r="AU21" s="17" t="n"/>
      <c r="AV21" s="17" t="n"/>
      <c r="AW21" s="17" t="n"/>
      <c r="AX21" s="17" t="n"/>
      <c r="AY21" s="17" t="n"/>
      <c r="AZ21" s="17" t="n"/>
      <c r="BA21" s="17" t="n"/>
      <c r="BB21" s="17" t="n"/>
    </row>
    <row r="22" ht="108" customHeight="1">
      <c r="A22" s="17" t="inlineStr">
        <is>
          <t>CLD-020</t>
        </is>
      </c>
      <c r="B22" s="17" t="inlineStr">
        <is>
          <t>04 Storage</t>
        </is>
      </c>
      <c r="C22" s="17" t="inlineStr">
        <is>
          <t>Beginner</t>
        </is>
      </c>
      <c r="D22" s="17" t="n">
        <v>20</v>
      </c>
      <c r="E22" s="17" t="inlineStr">
        <is>
          <t>Claude knowledge</t>
        </is>
      </c>
      <c r="F22" s="18" t="inlineStr">
        <is>
          <t>Object storage (S3)</t>
        </is>
      </c>
      <c r="G22" s="18" t="inlineStr">
        <is>
          <t>Which kind of storage holds files as objects in buckets and is reached over an API?</t>
        </is>
      </c>
      <c r="H22" s="18" t="inlineStr">
        <is>
          <t>Core concept</t>
        </is>
      </c>
      <c r="I22" s="18" t="inlineStr">
        <is>
          <t>Very high</t>
        </is>
      </c>
      <c r="J22" s="18" t="n">
        <v>5</v>
      </c>
      <c r="K22" s="18" t="inlineStr">
        <is>
          <t>Applications needed cheap, huge and durable storage for files, so providers built storage that scales without disks to manage.</t>
        </is>
      </c>
      <c r="L22" s="18" t="inlineStr">
        <is>
          <t>Treat object storage as the default place for files, backups and data lake data.</t>
        </is>
      </c>
      <c r="M22" s="18" t="inlineStr">
        <is>
          <t>S3 is an endless warehouse with labelled boxes and no shelves to organise.</t>
        </is>
      </c>
      <c r="N22" s="18" t="inlineStr">
        <is>
          <t>Buckets holding objects with keys and metadata.</t>
        </is>
      </c>
      <c r="O22" s="18" t="inlineStr">
        <is>
          <t>The ease of never running out of space.</t>
        </is>
      </c>
      <c r="P22" s="18" t="inlineStr">
        <is>
          <t>Object storage, such as AWS S3, stores data as objects, each with a key and metadata, inside buckets, and is accessed through an HTTP API.</t>
        </is>
      </c>
      <c r="Q22" s="17" t="n"/>
      <c r="R22" s="18" t="inlineStr">
        <is>
          <t>Objects are written and read whole, not edited in place. Folders are only name prefixes. It offers very high durability and nearly unlimited size, and a single object can be many gigabytes. It is good for backups, media, logs and data lakes, but not for a database file system. Azure calls it Blob Storage, and GCP calls it Cloud Storage.</t>
        </is>
      </c>
      <c r="S22" s="18" t="inlineStr">
        <is>
          <t>Put files as objects in buckets and fetch them by key over HTTP.</t>
        </is>
      </c>
      <c r="T22" s="18" t="inlineStr">
        <is>
          <t>It is an endless warehouse with labelled boxes.</t>
        </is>
      </c>
      <c r="U22" s="18" t="inlineStr">
        <is>
          <t>Bucket + key = one object.</t>
        </is>
      </c>
      <c r="V22" s="18" t="inlineStr">
        <is>
          <t>Storing nightly backups in a bucket.</t>
        </is>
      </c>
      <c r="W22" s="18" t="inlineStr">
        <is>
          <t>Serving images for a website.</t>
        </is>
      </c>
      <c r="X22" s="18" t="inlineStr">
        <is>
          <t>Keeping raw data files for later analysis.</t>
        </is>
      </c>
      <c r="Y22" s="18" t="inlineStr">
        <is>
          <t>bucket policies, storage classes, presigned URLs, data lakes</t>
        </is>
      </c>
      <c r="Z22" s="18" t="inlineStr">
        <is>
          <t>bucket, object, key, prefix, durability</t>
        </is>
      </c>
      <c r="AA22" s="18" t="inlineStr">
        <is>
          <t>Backups | Media | Data lakes</t>
        </is>
      </c>
      <c r="AB22" s="18" t="inlineStr">
        <is>
          <t>A: Where should uploads go? | B: Into an object storage bucket, not the server disk.</t>
        </is>
      </c>
      <c r="AC22" s="18" t="inlineStr">
        <is>
          <t>✗ Object storage works like a normal file system → ✓ Objects are written whole, and folders are only name prefixes</t>
        </is>
      </c>
      <c r="AD22" s="18" t="inlineStr">
        <is>
          <t>Object vs block storage: objects are whole files over an API, blocks are raw disks for servers.</t>
        </is>
      </c>
      <c r="AE22" s="18" t="inlineStr">
        <is>
          <t>Do not store a database on object storage.</t>
        </is>
      </c>
      <c r="AF22" s="18" t="inlineStr">
        <is>
          <t>Bucket plus key finds the object.</t>
        </is>
      </c>
      <c r="AG22" s="18" t="inlineStr">
        <is>
          <t>Moving user uploads from a server disk to a bucket so servers became stateless.</t>
        </is>
      </c>
      <c r="AH22" s="18" t="inlineStr">
        <is>
          <t>An interviewer may ask: When would you use object storage?</t>
        </is>
      </c>
      <c r="AI22" s="18" t="inlineStr">
        <is>
          <t>It is like an endless warehouse with labelled boxes.</t>
        </is>
      </c>
      <c r="AJ22" s="18" t="inlineStr">
        <is>
          <t>What identifies an object inside a bucket?</t>
        </is>
      </c>
      <c r="AK22" s="18" t="inlineStr">
        <is>
          <t>A) Its tag only B) Its key C) Its server D) Its colour</t>
        </is>
      </c>
      <c r="AL22" s="18" t="inlineStr">
        <is>
          <t>B</t>
        </is>
      </c>
      <c r="AM22" s="18" t="inlineStr">
        <is>
          <t>The key is the object's name within the bucket.</t>
        </is>
      </c>
      <c r="AN22" s="18" t="inlineStr">
        <is>
          <t>Folders in object storage are really name ____ → prefixes</t>
        </is>
      </c>
      <c r="AO22" s="18" t="inlineStr">
        <is>
          <t>You need cheap, durable storage for backups. What fits? → Object storage</t>
        </is>
      </c>
      <c r="AP22" s="18" t="inlineStr">
        <is>
          <t>Explain object storage in three lines.</t>
        </is>
      </c>
      <c r="AQ22" s="18" t="inlineStr">
        <is>
          <t>List three file types you would store in a bucket.</t>
        </is>
      </c>
      <c r="AR22" s="17">
        <f>IF(J22="","",REPT("★",J22)&amp;REPT("☆",5-J22)&amp;" ("&amp;J22&amp;"/5)")</f>
        <v/>
      </c>
      <c r="AS22" s="17">
        <f>IF(Q22="","","Meaning: "&amp;Q22&amp;"  =  ______   (Answer: "&amp;F22&amp;")")</f>
        <v/>
      </c>
      <c r="AT22" s="17" t="inlineStr">
        <is>
          <t>New</t>
        </is>
      </c>
      <c r="AU22" s="17" t="n"/>
      <c r="AV22" s="17" t="n"/>
      <c r="AW22" s="17" t="n"/>
      <c r="AX22" s="17" t="n"/>
      <c r="AY22" s="17" t="n"/>
      <c r="AZ22" s="17" t="n"/>
      <c r="BA22" s="17" t="n"/>
      <c r="BB22" s="17" t="n"/>
    </row>
    <row r="23" ht="94.5" customHeight="1">
      <c r="A23" s="17" t="inlineStr">
        <is>
          <t>CLD-021</t>
        </is>
      </c>
      <c r="B23" s="17" t="inlineStr">
        <is>
          <t>04 Storage</t>
        </is>
      </c>
      <c r="C23" s="17" t="inlineStr">
        <is>
          <t>Intermediate</t>
        </is>
      </c>
      <c r="D23" s="17" t="n">
        <v>21</v>
      </c>
      <c r="E23" s="17" t="inlineStr">
        <is>
          <t>Claude knowledge</t>
        </is>
      </c>
      <c r="F23" s="18" t="inlineStr">
        <is>
          <t>Buckets and policies</t>
        </is>
      </c>
      <c r="G23" s="18" t="inlineStr">
        <is>
          <t>How do you decide who can read or write the objects in a bucket?</t>
        </is>
      </c>
      <c r="H23" s="18" t="inlineStr">
        <is>
          <t>Core concept</t>
        </is>
      </c>
      <c r="I23" s="18" t="inlineStr">
        <is>
          <t>Very high</t>
        </is>
      </c>
      <c r="J23" s="18" t="n">
        <v>5</v>
      </c>
      <c r="K23" s="18" t="inlineStr">
        <is>
          <t>Public buckets caused many data leaks, so access controls were added and made private by default.</t>
        </is>
      </c>
      <c r="L23" s="18" t="inlineStr">
        <is>
          <t>Keep buckets private and turn on the account-wide block on public access.</t>
        </is>
      </c>
      <c r="M23" s="18" t="inlineStr">
        <is>
          <t>A bucket policy is the sign on the warehouse door saying who may enter.</t>
        </is>
      </c>
      <c r="N23" s="18" t="inlineStr">
        <is>
          <t>A bucket with a padlock and a policy note.</t>
        </is>
      </c>
      <c r="O23" s="18" t="inlineStr">
        <is>
          <t>The worry removed when a bucket is confirmed private.</t>
        </is>
      </c>
      <c r="P23" s="18" t="inlineStr">
        <is>
          <t>A bucket policy is a resource-based document attached to a bucket that allows or denies actions on it, working together with IAM policies and public access settings.</t>
        </is>
      </c>
      <c r="Q23" s="17" t="n"/>
      <c r="R23" s="18" t="inlineStr">
        <is>
          <t>New buckets are private. Access is allowed only if the identity policy or the bucket policy permits it, and no deny applies. The block public access setting overrides policies that would expose data. Encryption at rest should be on. Versioning keeps older copies, and logging records who accessed what.</t>
        </is>
      </c>
      <c r="S23" s="18" t="inlineStr">
        <is>
          <t>Keep buckets private, grant access through policies, and use block public access as a safety net.</t>
        </is>
      </c>
      <c r="T23" s="18" t="inlineStr">
        <is>
          <t>A bucket policy is the sign on a warehouse door saying who may enter.</t>
        </is>
      </c>
      <c r="U23" s="18" t="inlineStr">
        <is>
          <t>Private by default + explicit allow + block public access on.</t>
        </is>
      </c>
      <c r="V23" s="18" t="inlineStr">
        <is>
          <t>A policy allowing one role to read a single prefix.</t>
        </is>
      </c>
      <c r="W23" s="18" t="inlineStr">
        <is>
          <t>Block public access stopping an accidental public policy.</t>
        </is>
      </c>
      <c r="X23" s="18" t="inlineStr">
        <is>
          <t>Versioning restoring a deleted object.</t>
        </is>
      </c>
      <c r="Y23" s="18" t="inlineStr">
        <is>
          <t>IAM policies, least privilege, presigned URLs, encryption</t>
        </is>
      </c>
      <c r="Z23" s="18" t="inlineStr">
        <is>
          <t>policy, public access, encryption, versioning, ACL</t>
        </is>
      </c>
      <c r="AA23" s="18" t="inlineStr">
        <is>
          <t>Data security | Audits | Static hosting</t>
        </is>
      </c>
      <c r="AB23" s="18" t="inlineStr">
        <is>
          <t>A: Why can anyone download this file? | B: The bucket policy allowed public reads.</t>
        </is>
      </c>
      <c r="AC23" s="18" t="inlineStr">
        <is>
          <t>✗ A bucket is safe because nobody knows its name → ✓ Names can be found, so only access settings protect it</t>
        </is>
      </c>
      <c r="AD23" s="18" t="inlineStr">
        <is>
          <t>Bucket policy vs IAM policy: one is attached to the bucket, the other to the identity.</t>
        </is>
      </c>
      <c r="AE23" s="18" t="inlineStr">
        <is>
          <t>Do not make a bucket public for convenience.</t>
        </is>
      </c>
      <c r="AF23" s="18" t="inlineStr">
        <is>
          <t>Private first, then allow by name.</t>
        </is>
      </c>
      <c r="AG23" s="18" t="inlineStr">
        <is>
          <t>Turning on block public access after finding a public bucket in an audit.</t>
        </is>
      </c>
      <c r="AH23" s="18" t="inlineStr">
        <is>
          <t>An interviewer may ask: How do you secure a storage bucket?</t>
        </is>
      </c>
      <c r="AI23" s="18" t="inlineStr">
        <is>
          <t>It is like a sign on a warehouse door.</t>
        </is>
      </c>
      <c r="AJ23" s="18" t="inlineStr">
        <is>
          <t>What does block public access do?</t>
        </is>
      </c>
      <c r="AK23" s="18" t="inlineStr">
        <is>
          <t>A) Prevents public exposure even if a policy allows it B) Makes files faster C) Encrypts the files D) Deletes the bucket</t>
        </is>
      </c>
      <c r="AL23" s="18" t="inlineStr">
        <is>
          <t>A</t>
        </is>
      </c>
      <c r="AM23" s="18" t="inlineStr">
        <is>
          <t>It overrides settings that would make data public.</t>
        </is>
      </c>
      <c r="AN23" s="18" t="inlineStr">
        <is>
          <t>Keeping older copies of an object is done with ____ → versioning</t>
        </is>
      </c>
      <c r="AO23" s="18" t="inlineStr">
        <is>
          <t>A bucket is found public by mistake. What is the first safe step? → Turn on block public access</t>
        </is>
      </c>
      <c r="AP23" s="18" t="inlineStr">
        <is>
          <t>Explain how to secure a bucket in three lines.</t>
        </is>
      </c>
      <c r="AQ23" s="18" t="inlineStr">
        <is>
          <t>List four settings to check on a new bucket.</t>
        </is>
      </c>
      <c r="AR23" s="17">
        <f>IF(J23="","",REPT("★",J23)&amp;REPT("☆",5-J23)&amp;" ("&amp;J23&amp;"/5)")</f>
        <v/>
      </c>
      <c r="AS23" s="17">
        <f>IF(Q23="","","Meaning: "&amp;Q23&amp;"  =  ______   (Answer: "&amp;F23&amp;")")</f>
        <v/>
      </c>
      <c r="AT23" s="17" t="inlineStr">
        <is>
          <t>New</t>
        </is>
      </c>
      <c r="AU23" s="17" t="n"/>
      <c r="AV23" s="17" t="n"/>
      <c r="AW23" s="17" t="n"/>
      <c r="AX23" s="17" t="n"/>
      <c r="AY23" s="17" t="n"/>
      <c r="AZ23" s="17" t="n"/>
      <c r="BA23" s="17" t="n"/>
      <c r="BB23" s="17" t="n"/>
    </row>
    <row r="24" ht="108" customHeight="1">
      <c r="A24" s="17" t="inlineStr">
        <is>
          <t>CLD-022</t>
        </is>
      </c>
      <c r="B24" s="17" t="inlineStr">
        <is>
          <t>04 Storage</t>
        </is>
      </c>
      <c r="C24" s="17" t="inlineStr">
        <is>
          <t>Intermediate</t>
        </is>
      </c>
      <c r="D24" s="17" t="n">
        <v>22</v>
      </c>
      <c r="E24" s="17" t="inlineStr">
        <is>
          <t>Claude knowledge</t>
        </is>
      </c>
      <c r="F24" s="18" t="inlineStr">
        <is>
          <t>Storage classes</t>
        </is>
      </c>
      <c r="G24" s="18" t="inlineStr">
        <is>
          <t>Which setting trades access speed for cheaper storage of rarely used data?</t>
        </is>
      </c>
      <c r="H24" s="18" t="inlineStr">
        <is>
          <t>Core concept</t>
        </is>
      </c>
      <c r="I24" s="18" t="inlineStr">
        <is>
          <t>Medium</t>
        </is>
      </c>
      <c r="J24" s="18" t="n">
        <v>3</v>
      </c>
      <c r="K24" s="18" t="inlineStr">
        <is>
          <t>Data you rarely read does not need premium speed, so providers sell cheaper tiers with retrieval fees or delays.</t>
        </is>
      </c>
      <c r="L24" s="18" t="inlineStr">
        <is>
          <t>Use lifecycle rules to move old data to cheaper classes automatically.</t>
        </is>
      </c>
      <c r="M24" s="18" t="inlineStr">
        <is>
          <t>Storage classes are hot, warm and cold shelves in a warehouse.</t>
        </is>
      </c>
      <c r="N24" s="18" t="inlineStr">
        <is>
          <t>Three shelves labelled hot, cool and archive with falling prices.</t>
        </is>
      </c>
      <c r="O24" s="18" t="inlineStr">
        <is>
          <t>The pleasure of a smaller bill for old data.</t>
        </is>
      </c>
      <c r="P24" s="18" t="inlineStr">
        <is>
          <t>Storage classes are tiers of object storage with different price, access speed and retrieval conditions, from frequent access to deep archive.</t>
        </is>
      </c>
      <c r="Q24" s="17" t="n"/>
      <c r="R24" s="18" t="inlineStr">
        <is>
          <t>Standard suits frequently used data. Infrequent access tiers cost less to store but charge to read. Archive tiers are the cheapest but may take minutes to hours to retrieve. Lifecycle rules move or delete objects by age. Intelligent tiering can move data automatically. Azure uses hot, cool and archive tiers.</t>
        </is>
      </c>
      <c r="S24" s="18" t="inlineStr">
        <is>
          <t>Keep hot data in standard, move old data to cheaper tiers with lifecycle rules.</t>
        </is>
      </c>
      <c r="T24" s="18" t="inlineStr">
        <is>
          <t>It is like hot, warm and cold shelves in a warehouse.</t>
        </is>
      </c>
      <c r="U24" s="18" t="inlineStr">
        <is>
          <t>Cheaper to store means slower or costlier to read.</t>
        </is>
      </c>
      <c r="V24" s="18" t="inlineStr">
        <is>
          <t>Logs older than 30 days moved to infrequent access.</t>
        </is>
      </c>
      <c r="W24" s="18" t="inlineStr">
        <is>
          <t>Compliance records archived for seven years.</t>
        </is>
      </c>
      <c r="X24" s="18" t="inlineStr">
        <is>
          <t>A rule deleting temporary files after a week.</t>
        </is>
      </c>
      <c r="Y24" s="18" t="inlineStr">
        <is>
          <t>object storage, cost alerts, backups, lifecycle rules</t>
        </is>
      </c>
      <c r="Z24" s="18" t="inlineStr">
        <is>
          <t>tier, archive, lifecycle, retrieval, standard</t>
        </is>
      </c>
      <c r="AA24" s="18" t="inlineStr">
        <is>
          <t>Cost control | Compliance | Backups</t>
        </is>
      </c>
      <c r="AB24" s="18" t="inlineStr">
        <is>
          <t>A: Storage costs keep growing. | B: Add a lifecycle rule to move old data to cheaper tiers.</t>
        </is>
      </c>
      <c r="AC24" s="18" t="inlineStr">
        <is>
          <t>✗ Archive tiers are instantly available → ✓ Retrieval may take minutes to hours and may cost extra</t>
        </is>
      </c>
      <c r="AD24" s="18" t="inlineStr">
        <is>
          <t>Standard vs archive: standard is fast and pricier to store, archive is cheap but slow to read.</t>
        </is>
      </c>
      <c r="AE24" s="18" t="inlineStr">
        <is>
          <t>Do not archive data you need to read often.</t>
        </is>
      </c>
      <c r="AF24" s="18" t="inlineStr">
        <is>
          <t>Cheap to keep means costly or slow to fetch.</t>
        </is>
      </c>
      <c r="AG24" s="18" t="inlineStr">
        <is>
          <t>Adding a lifecycle rule that moved old logs to a cheaper tier and cut storage cost.</t>
        </is>
      </c>
      <c r="AH24" s="18" t="inlineStr">
        <is>
          <t>An interviewer may ask: How do you reduce storage cost over time?</t>
        </is>
      </c>
      <c r="AI24" s="18" t="inlineStr">
        <is>
          <t>It is like moving old boxes to the cold shelf.</t>
        </is>
      </c>
      <c r="AJ24" s="18" t="inlineStr">
        <is>
          <t>What do lifecycle rules do?</t>
        </is>
      </c>
      <c r="AK24" s="18" t="inlineStr">
        <is>
          <t>A) Encrypt buckets B) Move or delete objects by age C) Block ports D) Create users</t>
        </is>
      </c>
      <c r="AL24" s="18" t="inlineStr">
        <is>
          <t>B</t>
        </is>
      </c>
      <c r="AM24" s="18" t="inlineStr">
        <is>
          <t>They automate transitions and expiry.</t>
        </is>
      </c>
      <c r="AN24" s="18" t="inlineStr">
        <is>
          <t>The cheapest tier for rarely read data is called ____ → archive</t>
        </is>
      </c>
      <c r="AO24" s="18" t="inlineStr">
        <is>
          <t>Logs older than 30 days are rarely read. What should you set up? → A lifecycle rule</t>
        </is>
      </c>
      <c r="AP24" s="18" t="inlineStr">
        <is>
          <t>Explain storage classes in three lines.</t>
        </is>
      </c>
      <c r="AQ24" s="18" t="inlineStr">
        <is>
          <t>Write a lifecycle plan for logs over one year.</t>
        </is>
      </c>
      <c r="AR24" s="17">
        <f>IF(J24="","",REPT("★",J24)&amp;REPT("☆",5-J24)&amp;" ("&amp;J24&amp;"/5)")</f>
        <v/>
      </c>
      <c r="AS24" s="17">
        <f>IF(Q24="","","Meaning: "&amp;Q24&amp;"  =  ______   (Answer: "&amp;F24&amp;")")</f>
        <v/>
      </c>
      <c r="AT24" s="17" t="inlineStr">
        <is>
          <t>New</t>
        </is>
      </c>
      <c r="AU24" s="17" t="n"/>
      <c r="AV24" s="17" t="n"/>
      <c r="AW24" s="17" t="n"/>
      <c r="AX24" s="17" t="n"/>
      <c r="AY24" s="17" t="n"/>
      <c r="AZ24" s="17" t="n"/>
      <c r="BA24" s="17" t="n"/>
      <c r="BB24" s="17" t="n"/>
    </row>
    <row r="25" ht="108" customHeight="1">
      <c r="A25" s="17" t="inlineStr">
        <is>
          <t>CLD-023</t>
        </is>
      </c>
      <c r="B25" s="17" t="inlineStr">
        <is>
          <t>04 Storage</t>
        </is>
      </c>
      <c r="C25" s="17" t="inlineStr">
        <is>
          <t>Intermediate</t>
        </is>
      </c>
      <c r="D25" s="17" t="n">
        <v>23</v>
      </c>
      <c r="E25" s="17" t="inlineStr">
        <is>
          <t>Claude knowledge</t>
        </is>
      </c>
      <c r="F25" s="18" t="inlineStr">
        <is>
          <t>Presigned URLs</t>
        </is>
      </c>
      <c r="G25" s="18" t="inlineStr">
        <is>
          <t>Which link gives temporary access to one private object without making it public?</t>
        </is>
      </c>
      <c r="H25" s="18" t="inlineStr">
        <is>
          <t>Core concept</t>
        </is>
      </c>
      <c r="I25" s="18" t="inlineStr">
        <is>
          <t>Medium</t>
        </is>
      </c>
      <c r="J25" s="18" t="n">
        <v>4</v>
      </c>
      <c r="K25" s="18" t="inlineStr">
        <is>
          <t>Users needed to upload or download a private file without receiving credentials, so time-limited signed links were created.</t>
        </is>
      </c>
      <c r="L25" s="18" t="inlineStr">
        <is>
          <t>Keep the expiry short and limit the link to one object and one action.</t>
        </is>
      </c>
      <c r="M25" s="18" t="inlineStr">
        <is>
          <t>A presigned URL is a visitor pass that works for one door until noon.</t>
        </is>
      </c>
      <c r="N25" s="18" t="inlineStr">
        <is>
          <t>A long link with a signature and an expiry time.</t>
        </is>
      </c>
      <c r="O25" s="18" t="inlineStr">
        <is>
          <t>The ease of sharing a private file safely.</t>
        </is>
      </c>
      <c r="P25" s="18" t="inlineStr">
        <is>
          <t>A presigned URL is a link signed with your credentials that grants temporary permission to read or write one specific object.</t>
        </is>
      </c>
      <c r="Q25" s="17" t="n"/>
      <c r="R25" s="18" t="inlineStr">
        <is>
          <t>Your server creates the link and gives it to the user. Anyone with the link can use it until it expires, so treat it like a password. It carries the permissions of the identity that signed it. It is common for browser uploads that go straight to storage instead of through your server. Azure uses shared access signatures, and GCP uses signed URLs.</t>
        </is>
      </c>
      <c r="S25" s="18" t="inlineStr">
        <is>
          <t>Make a signed link that expires soon, and give it to the person who needs one object.</t>
        </is>
      </c>
      <c r="T25" s="18" t="inlineStr">
        <is>
          <t>It is like a visitor pass that works for one door until noon.</t>
        </is>
      </c>
      <c r="U25" s="18" t="inlineStr">
        <is>
          <t>One object + one action + short expiry.</t>
        </is>
      </c>
      <c r="V25" s="18" t="inlineStr">
        <is>
          <t>A link letting a user download a private invoice for ten minutes.</t>
        </is>
      </c>
      <c r="W25" s="18" t="inlineStr">
        <is>
          <t>A browser uploading a photo directly to a bucket.</t>
        </is>
      </c>
      <c r="X25" s="18" t="inlineStr">
        <is>
          <t>A report shared with a customer for one day.</t>
        </is>
      </c>
      <c r="Y25" s="18" t="inlineStr">
        <is>
          <t>object storage, IAM, bucket policies, temporary credentials</t>
        </is>
      </c>
      <c r="Z25" s="18" t="inlineStr">
        <is>
          <t>signed URL, expiry, signature, upload, download</t>
        </is>
      </c>
      <c r="AA25" s="18" t="inlineStr">
        <is>
          <t>File uploads | Private downloads | Sharing reports</t>
        </is>
      </c>
      <c r="AB25" s="18" t="inlineStr">
        <is>
          <t>A: Should we make the invoices bucket public? | B: No, generate presigned links instead.</t>
        </is>
      </c>
      <c r="AC25" s="18" t="inlineStr">
        <is>
          <t>✗ A presigned URL is safe to share forever → ✓ It works for anyone holding it until it expires</t>
        </is>
      </c>
      <c r="AD25" s="18" t="inlineStr">
        <is>
          <t>Presigned URL vs public object: a presigned link expires and is limited, a public object is open to all.</t>
        </is>
      </c>
      <c r="AE25" s="18" t="inlineStr">
        <is>
          <t>Do not create links with very long expiry times.</t>
        </is>
      </c>
      <c r="AF25" s="18" t="inlineStr">
        <is>
          <t>Signed, short, single, and then it dies.</t>
        </is>
      </c>
      <c r="AG25" s="18" t="inlineStr">
        <is>
          <t>Letting customers upload files straight to a bucket with a five-minute presigned link.</t>
        </is>
      </c>
      <c r="AH25" s="18" t="inlineStr">
        <is>
          <t>An interviewer may ask: How do you share a private file safely?</t>
        </is>
      </c>
      <c r="AI25" s="18" t="inlineStr">
        <is>
          <t>It is like a visitor pass for one door until noon.</t>
        </is>
      </c>
      <c r="AJ25" s="18" t="inlineStr">
        <is>
          <t>Who can use a presigned URL?</t>
        </is>
      </c>
      <c r="AK25" s="18" t="inlineStr">
        <is>
          <t>A) Nobody B) Only admins C) Only the creator D) Anyone holding it, until it expires</t>
        </is>
      </c>
      <c r="AL25" s="18" t="inlineStr">
        <is>
          <t>D</t>
        </is>
      </c>
      <c r="AM25" s="18" t="inlineStr">
        <is>
          <t>The signature carries the permission.</t>
        </is>
      </c>
      <c r="AN25" s="18" t="inlineStr">
        <is>
          <t>A presigned link works only until its ____ → expiry</t>
        </is>
      </c>
      <c r="AO25" s="18" t="inlineStr">
        <is>
          <t>A customer must download one private file. What do you give them? → A presigned URL</t>
        </is>
      </c>
      <c r="AP25" s="18" t="inlineStr">
        <is>
          <t>Explain presigned URLs in three lines.</t>
        </is>
      </c>
      <c r="AQ25" s="18" t="inlineStr">
        <is>
          <t>Decide a sensible expiry for an invoice download link.</t>
        </is>
      </c>
      <c r="AR25" s="17">
        <f>IF(J25="","",REPT("★",J25)&amp;REPT("☆",5-J25)&amp;" ("&amp;J25&amp;"/5)")</f>
        <v/>
      </c>
      <c r="AS25" s="17">
        <f>IF(Q25="","","Meaning: "&amp;Q25&amp;"  =  ______   (Answer: "&amp;F25&amp;")")</f>
        <v/>
      </c>
      <c r="AT25" s="17" t="inlineStr">
        <is>
          <t>New</t>
        </is>
      </c>
      <c r="AU25" s="17" t="n"/>
      <c r="AV25" s="17" t="n"/>
      <c r="AW25" s="17" t="n"/>
      <c r="AX25" s="17" t="n"/>
      <c r="AY25" s="17" t="n"/>
      <c r="AZ25" s="17" t="n"/>
      <c r="BA25" s="17" t="n"/>
      <c r="BB25" s="17" t="n"/>
    </row>
    <row r="26" ht="121.5" customHeight="1">
      <c r="A26" s="17" t="inlineStr">
        <is>
          <t>CLD-024</t>
        </is>
      </c>
      <c r="B26" s="17" t="inlineStr">
        <is>
          <t>04 Storage</t>
        </is>
      </c>
      <c r="C26" s="17" t="inlineStr">
        <is>
          <t>Intermediate</t>
        </is>
      </c>
      <c r="D26" s="17" t="n">
        <v>24</v>
      </c>
      <c r="E26" s="17" t="inlineStr">
        <is>
          <t>Claude knowledge</t>
        </is>
      </c>
      <c r="F26" s="18" t="inlineStr">
        <is>
          <t>Block storage</t>
        </is>
      </c>
      <c r="G26" s="18" t="inlineStr">
        <is>
          <t>Which storage acts like a raw disk attached to one virtual machine?</t>
        </is>
      </c>
      <c r="H26" s="18" t="inlineStr">
        <is>
          <t>Core concept</t>
        </is>
      </c>
      <c r="I26" s="18" t="inlineStr">
        <is>
          <t>Medium</t>
        </is>
      </c>
      <c r="J26" s="18" t="n">
        <v>4</v>
      </c>
      <c r="K26" s="18" t="inlineStr">
        <is>
          <t>Servers and databases need fast disks they can format and use directly, so clouds offer network disks that attach to instances.</t>
        </is>
      </c>
      <c r="L26" s="18" t="inlineStr">
        <is>
          <t>Take regular snapshots of important volumes.</t>
        </is>
      </c>
      <c r="M26" s="18" t="inlineStr">
        <is>
          <t>Block storage is a hard drive you plug into one computer.</t>
        </is>
      </c>
      <c r="N26" s="18" t="inlineStr">
        <is>
          <t>A disk icon attached to one server.</t>
        </is>
      </c>
      <c r="O26" s="18" t="inlineStr">
        <is>
          <t>The comfort of a disk that outlives the server.</t>
        </is>
      </c>
      <c r="P26" s="18" t="inlineStr">
        <is>
          <t>Block storage, such as AWS EBS, provides raw network-attached disk volumes that attach to a virtual machine and are formatted with a file system.</t>
        </is>
      </c>
      <c r="Q26" s="17" t="n"/>
      <c r="R26" s="18" t="inlineStr">
        <is>
          <t>A volume lives independently of an instance, so data survives a stop. It is usually attached to one instance in one zone. Types differ in speed and price, from general purpose to high input and output. Snapshots save a copy to object storage, which can restore the volume or copy it to another zone. Azure calls it Managed Disks, and GCP calls it Persistent Disk.</t>
        </is>
      </c>
      <c r="S26" s="18" t="inlineStr">
        <is>
          <t>A block volume is a network disk for one server. Snapshot it to back it up.</t>
        </is>
      </c>
      <c r="T26" s="18" t="inlineStr">
        <is>
          <t>It is a hard drive you plug into one computer.</t>
        </is>
      </c>
      <c r="U26" s="18" t="inlineStr">
        <is>
          <t>One volume → one instance, in one zone, with snapshots for safety.</t>
        </is>
      </c>
      <c r="V26" s="18" t="inlineStr">
        <is>
          <t>A database server using a fast volume for its data.</t>
        </is>
      </c>
      <c r="W26" s="18" t="inlineStr">
        <is>
          <t>A snapshot used to rebuild a server.</t>
        </is>
      </c>
      <c r="X26" s="18" t="inlineStr">
        <is>
          <t>Resizing a volume as data grows.</t>
        </is>
      </c>
      <c r="Y26" s="18" t="inlineStr">
        <is>
          <t>virtual machines, snapshots, file storage, object storage</t>
        </is>
      </c>
      <c r="Z26" s="18" t="inlineStr">
        <is>
          <t>volume, snapshot, disk, attach, IOPS</t>
        </is>
      </c>
      <c r="AA26" s="18" t="inlineStr">
        <is>
          <t>Databases | Operating system disks | Servers</t>
        </is>
      </c>
      <c r="AB26" s="18" t="inlineStr">
        <is>
          <t>A: The server was rebuilt and the data is gone. | B: It should live on a separate volume with snapshots.</t>
        </is>
      </c>
      <c r="AC26" s="18" t="inlineStr">
        <is>
          <t>✗ Block volumes can be shared by many servers freely → ✓ A standard volume attaches to one instance in one zone</t>
        </is>
      </c>
      <c r="AD26" s="18" t="inlineStr">
        <is>
          <t>Block vs object storage: block is a disk for a server, object is files over an API.</t>
        </is>
      </c>
      <c r="AE26" s="18" t="inlineStr">
        <is>
          <t>Do not keep important data only on an instance's temporary disk.</t>
        </is>
      </c>
      <c r="AF26" s="18" t="inlineStr">
        <is>
          <t>Block is a drive, object is a bucket.</t>
        </is>
      </c>
      <c r="AG26" s="18" t="inlineStr">
        <is>
          <t>Taking nightly snapshots of the database volume to allow quick rebuilds.</t>
        </is>
      </c>
      <c r="AH26" s="18" t="inlineStr">
        <is>
          <t>An interviewer may ask: What is the difference between block and object storage?</t>
        </is>
      </c>
      <c r="AI26" s="18" t="inlineStr">
        <is>
          <t>It is like a hard drive plugged into one computer.</t>
        </is>
      </c>
      <c r="AJ26" s="18" t="inlineStr">
        <is>
          <t>What is a snapshot?</t>
        </is>
      </c>
      <c r="AK26" s="18" t="inlineStr">
        <is>
          <t>A) A user B) A new server C) A saved copy of a volume D) A network rule</t>
        </is>
      </c>
      <c r="AL26" s="18" t="inlineStr">
        <is>
          <t>C</t>
        </is>
      </c>
      <c r="AM26" s="18" t="inlineStr">
        <is>
          <t>Snapshots store a point-in-time copy of a volume.</t>
        </is>
      </c>
      <c r="AN26" s="18" t="inlineStr">
        <is>
          <t>A disk volume is usually tied to one availability ____ → zone</t>
        </is>
      </c>
      <c r="AO26" s="18" t="inlineStr">
        <is>
          <t>A database server needs a fast, attachable disk. Which storage? → Block storage</t>
        </is>
      </c>
      <c r="AP26" s="18" t="inlineStr">
        <is>
          <t>Explain block storage in three lines.</t>
        </is>
      </c>
      <c r="AQ26" s="18" t="inlineStr">
        <is>
          <t>Write how you would back up a data volume.</t>
        </is>
      </c>
      <c r="AR26" s="17">
        <f>IF(J26="","",REPT("★",J26)&amp;REPT("☆",5-J26)&amp;" ("&amp;J26&amp;"/5)")</f>
        <v/>
      </c>
      <c r="AS26" s="17">
        <f>IF(Q26="","","Meaning: "&amp;Q26&amp;"  =  ______   (Answer: "&amp;F26&amp;")")</f>
        <v/>
      </c>
      <c r="AT26" s="17" t="inlineStr">
        <is>
          <t>New</t>
        </is>
      </c>
      <c r="AU26" s="17" t="n"/>
      <c r="AV26" s="17" t="n"/>
      <c r="AW26" s="17" t="n"/>
      <c r="AX26" s="17" t="n"/>
      <c r="AY26" s="17" t="n"/>
      <c r="AZ26" s="17" t="n"/>
      <c r="BA26" s="17" t="n"/>
      <c r="BB26" s="17" t="n"/>
    </row>
    <row r="27" ht="94.5" customHeight="1">
      <c r="A27" s="17" t="inlineStr">
        <is>
          <t>CLD-025</t>
        </is>
      </c>
      <c r="B27" s="17" t="inlineStr">
        <is>
          <t>04 Storage</t>
        </is>
      </c>
      <c r="C27" s="17" t="inlineStr">
        <is>
          <t>Intermediate</t>
        </is>
      </c>
      <c r="D27" s="17" t="n">
        <v>25</v>
      </c>
      <c r="E27" s="17" t="inlineStr">
        <is>
          <t>Claude knowledge</t>
        </is>
      </c>
      <c r="F27" s="18" t="inlineStr">
        <is>
          <t>File storage</t>
        </is>
      </c>
      <c r="G27" s="18" t="inlineStr">
        <is>
          <t>Which storage offers a shared folder that many servers can open at once?</t>
        </is>
      </c>
      <c r="H27" s="18" t="inlineStr">
        <is>
          <t>Core concept</t>
        </is>
      </c>
      <c r="I27" s="18" t="inlineStr">
        <is>
          <t>Medium</t>
        </is>
      </c>
      <c r="J27" s="18" t="n">
        <v>3</v>
      </c>
      <c r="K27" s="18" t="inlineStr">
        <is>
          <t>Some applications expect a normal shared file system, so clouds offer managed network file shares.</t>
        </is>
      </c>
      <c r="L27" s="18" t="inlineStr">
        <is>
          <t>Use file storage only when many machines truly need the same folder, since object storage is cheaper.</t>
        </is>
      </c>
      <c r="M27" s="18" t="inlineStr">
        <is>
          <t>File storage is a shared network drive in the office.</t>
        </is>
      </c>
      <c r="N27" s="18" t="inlineStr">
        <is>
          <t>Several servers connected to one shared folder.</t>
        </is>
      </c>
      <c r="O27" s="18" t="inlineStr">
        <is>
          <t>The convenience of one folder for the whole team.</t>
        </is>
      </c>
      <c r="P27" s="18" t="inlineStr">
        <is>
          <t>File storage, such as AWS EFS or FSx, provides a managed shared file system that multiple instances can mount at the same time over the network.</t>
        </is>
      </c>
      <c r="Q27" s="17" t="n"/>
      <c r="R27" s="18" t="inlineStr">
        <is>
          <t>It supports normal file operations, folders and permissions, using standard protocols such as NFS or SMB. It grows automatically and spans zones, which suits shared content. It costs more than object storage and is slower than a local disk. Azure Files and GCP Filestore are the equivalents.</t>
        </is>
      </c>
      <c r="S27" s="18" t="inlineStr">
        <is>
          <t>Use it when several servers need the same files as a normal folder.</t>
        </is>
      </c>
      <c r="T27" s="18" t="inlineStr">
        <is>
          <t>It is a shared network drive in the office.</t>
        </is>
      </c>
      <c r="U27" s="18" t="inlineStr">
        <is>
          <t>Many servers + one shared folder = file storage.</t>
        </is>
      </c>
      <c r="V27" s="18" t="inlineStr">
        <is>
          <t>Several web servers sharing uploaded media.</t>
        </is>
      </c>
      <c r="W27" s="18" t="inlineStr">
        <is>
          <t>A shared home folder for a team of researchers.</t>
        </is>
      </c>
      <c r="X27" s="18" t="inlineStr">
        <is>
          <t>A legacy app that requires a shared mount.</t>
        </is>
      </c>
      <c r="Y27" s="18" t="inlineStr">
        <is>
          <t>block storage, object storage, virtual machines, NFS</t>
        </is>
      </c>
      <c r="Z27" s="18" t="inlineStr">
        <is>
          <t>file system, share, mount, NFS, SMB</t>
        </is>
      </c>
      <c r="AA27" s="18" t="inlineStr">
        <is>
          <t>Shared content | Legacy applications | Team folders</t>
        </is>
      </c>
      <c r="AB27" s="18" t="inlineStr">
        <is>
          <t>A: Three servers must see the same folder. | B: Use managed file storage.</t>
        </is>
      </c>
      <c r="AC27" s="18" t="inlineStr">
        <is>
          <t>✗ File storage is the best choice for all files → ✓ Object storage is usually cheaper and more scalable</t>
        </is>
      </c>
      <c r="AD27" s="18" t="inlineStr">
        <is>
          <t>File vs block storage: file is shared by many servers, block is attached to one.</t>
        </is>
      </c>
      <c r="AE27" s="18" t="inlineStr">
        <is>
          <t>Do not use shared file storage for data that fits object storage.</t>
        </is>
      </c>
      <c r="AF27" s="18" t="inlineStr">
        <is>
          <t>Shared drive means file storage.</t>
        </is>
      </c>
      <c r="AG27" s="18" t="inlineStr">
        <is>
          <t>Sharing uploaded images between three web servers using a managed file share.</t>
        </is>
      </c>
      <c r="AH27" s="18" t="inlineStr">
        <is>
          <t>An interviewer may ask: When would you choose file storage?</t>
        </is>
      </c>
      <c r="AI27" s="18" t="inlineStr">
        <is>
          <t>It is like a shared drive in the office.</t>
        </is>
      </c>
      <c r="AJ27" s="18" t="inlineStr">
        <is>
          <t>Which storage lets many servers mount the same folder?</t>
        </is>
      </c>
      <c r="AK27" s="18" t="inlineStr">
        <is>
          <t>A) A snapshot B) Archive tier C) Block storage D) File storage</t>
        </is>
      </c>
      <c r="AL27" s="18" t="inlineStr">
        <is>
          <t>D</t>
        </is>
      </c>
      <c r="AM27" s="18" t="inlineStr">
        <is>
          <t>File storage is a shared network file system.</t>
        </is>
      </c>
      <c r="AN27" s="18" t="inlineStr">
        <is>
          <t>A common protocol for Linux file shares is ____ → NFS</t>
        </is>
      </c>
      <c r="AO27" s="18" t="inlineStr">
        <is>
          <t>Several servers need one shared folder. What do you pick? → File storage</t>
        </is>
      </c>
      <c r="AP27" s="18" t="inlineStr">
        <is>
          <t>Explain when to use file storage in three lines.</t>
        </is>
      </c>
      <c r="AQ27" s="18" t="inlineStr">
        <is>
          <t>Compare file and object storage for a media site in two lines.</t>
        </is>
      </c>
      <c r="AR27" s="17">
        <f>IF(J27="","",REPT("★",J27)&amp;REPT("☆",5-J27)&amp;" ("&amp;J27&amp;"/5)")</f>
        <v/>
      </c>
      <c r="AS27" s="17">
        <f>IF(Q27="","","Meaning: "&amp;Q27&amp;"  =  ______   (Answer: "&amp;F27&amp;")")</f>
        <v/>
      </c>
      <c r="AT27" s="17" t="inlineStr">
        <is>
          <t>New</t>
        </is>
      </c>
      <c r="AU27" s="17" t="n"/>
      <c r="AV27" s="17" t="n"/>
      <c r="AW27" s="17" t="n"/>
      <c r="AX27" s="17" t="n"/>
      <c r="AY27" s="17" t="n"/>
      <c r="AZ27" s="17" t="n"/>
      <c r="BA27" s="17" t="n"/>
      <c r="BB27" s="17" t="n"/>
    </row>
    <row r="28" ht="108" customHeight="1">
      <c r="A28" s="17" t="inlineStr">
        <is>
          <t>CLD-026</t>
        </is>
      </c>
      <c r="B28" s="17" t="inlineStr">
        <is>
          <t>05 Cloud Networking</t>
        </is>
      </c>
      <c r="C28" s="17" t="inlineStr">
        <is>
          <t>Beginner</t>
        </is>
      </c>
      <c r="D28" s="17" t="n">
        <v>26</v>
      </c>
      <c r="E28" s="17" t="inlineStr">
        <is>
          <t>Claude knowledge</t>
        </is>
      </c>
      <c r="F28" s="18" t="inlineStr">
        <is>
          <t>VPC</t>
        </is>
      </c>
      <c r="G28" s="18" t="inlineStr">
        <is>
          <t>Which virtual network is your own private section of the cloud?</t>
        </is>
      </c>
      <c r="H28" s="18" t="inlineStr">
        <is>
          <t>Core concept</t>
        </is>
      </c>
      <c r="I28" s="18" t="inlineStr">
        <is>
          <t>Very high</t>
        </is>
      </c>
      <c r="J28" s="18" t="n">
        <v>5</v>
      </c>
      <c r="K28" s="18" t="inlineStr">
        <is>
          <t>Resources from many customers share the same data centres, so each customer needs an isolated network of their own.</t>
        </is>
      </c>
      <c r="L28" s="18" t="inlineStr">
        <is>
          <t>Plan the address range early, because changing it later is painful.</t>
        </is>
      </c>
      <c r="M28" s="18" t="inlineStr">
        <is>
          <t>A VPC is your own fenced plot of land inside a huge city.</t>
        </is>
      </c>
      <c r="N28" s="18" t="inlineStr">
        <is>
          <t>A rectangle labelled VPC holding subnets and servers.</t>
        </is>
      </c>
      <c r="O28" s="18" t="inlineStr">
        <is>
          <t>The comfort of a private space you control.</t>
        </is>
      </c>
      <c r="P28" s="18" t="inlineStr">
        <is>
          <t>A virtual private cloud is a logically isolated network in the cloud, with its own IP range, subnets, routing and security rules.</t>
        </is>
      </c>
      <c r="Q28" s="17" t="n"/>
      <c r="R28" s="18" t="inlineStr">
        <is>
          <t>You choose a private address range in CIDR form, such as 10.0.0.0/16. Inside it you create subnets, route tables, gateways and firewalls. Nothing outside can reach your resources unless you allow it. Different VPCs can be linked by peering or transit services. Azure calls it a virtual network, and GCP also uses VPC.</t>
        </is>
      </c>
      <c r="S28" s="18" t="inlineStr">
        <is>
          <t>A VPC is your private network in the cloud. You design its addresses and rules.</t>
        </is>
      </c>
      <c r="T28" s="18" t="inlineStr">
        <is>
          <t>It is your own fenced plot of land in a huge city.</t>
        </is>
      </c>
      <c r="U28" s="18" t="inlineStr">
        <is>
          <t>VPC = address range + subnets + routes + rules.</t>
        </is>
      </c>
      <c r="V28" s="18" t="inlineStr">
        <is>
          <t>A VPC with public subnets for web servers and private ones for databases.</t>
        </is>
      </c>
      <c r="W28" s="18" t="inlineStr">
        <is>
          <t>Separate VPCs for production and testing.</t>
        </is>
      </c>
      <c r="X28" s="18" t="inlineStr">
        <is>
          <t>Peering two VPCs so they can talk privately.</t>
        </is>
      </c>
      <c r="Y28" s="18" t="inlineStr">
        <is>
          <t>subnets, route tables, security groups, gateways</t>
        </is>
      </c>
      <c r="Z28" s="18" t="inlineStr">
        <is>
          <t>VPC, CIDR, subnet, peering, isolation</t>
        </is>
      </c>
      <c r="AA28" s="18" t="inlineStr">
        <is>
          <t>Network design | Security | Hybrid connections</t>
        </is>
      </c>
      <c r="AB28" s="18" t="inlineStr">
        <is>
          <t>A: Can other customers see our servers? | B: No, they are inside our own VPC.</t>
        </is>
      </c>
      <c r="AC28" s="18" t="inlineStr">
        <is>
          <t>✗ Resources in a VPC are automatically reachable from the internet → ✓ They are private unless you add a gateway and rules</t>
        </is>
      </c>
      <c r="AD28" s="18" t="inlineStr">
        <is>
          <t>VPC vs subnet: a VPC is the whole network, a subnet is a slice of it.</t>
        </is>
      </c>
      <c r="AE28" s="18" t="inlineStr">
        <is>
          <t>Do not use overlapping address ranges between networks you may connect.</t>
        </is>
      </c>
      <c r="AF28" s="18" t="inlineStr">
        <is>
          <t>VPC is your private fenced plot.</t>
        </is>
      </c>
      <c r="AG28" s="18" t="inlineStr">
        <is>
          <t>Designing separate address ranges so a customer network could connect without clashes.</t>
        </is>
      </c>
      <c r="AH28" s="18" t="inlineStr">
        <is>
          <t>An interviewer may ask: What is a VPC?</t>
        </is>
      </c>
      <c r="AI28" s="18" t="inlineStr">
        <is>
          <t>It is like a fenced plot inside a big city.</t>
        </is>
      </c>
      <c r="AJ28" s="18" t="inlineStr">
        <is>
          <t>What defines a VPC's address space?</t>
        </is>
      </c>
      <c r="AK28" s="18" t="inlineStr">
        <is>
          <t>A) A region name B) A CIDR range C) A password D) A bucket</t>
        </is>
      </c>
      <c r="AL28" s="18" t="inlineStr">
        <is>
          <t>B</t>
        </is>
      </c>
      <c r="AM28" s="18" t="inlineStr">
        <is>
          <t>A CIDR block sets the private addresses available.</t>
        </is>
      </c>
      <c r="AN28" s="18" t="inlineStr">
        <is>
          <t>A VPC address range is written in ____ notation → CIDR</t>
        </is>
      </c>
      <c r="AO28" s="18" t="inlineStr">
        <is>
          <t>You need an isolated private network in the cloud. What do you create? → A VPC</t>
        </is>
      </c>
      <c r="AP28" s="18" t="inlineStr">
        <is>
          <t>Explain a VPC in three lines.</t>
        </is>
      </c>
      <c r="AQ28" s="18" t="inlineStr">
        <is>
          <t>Choose an address range for a VPC and say why.</t>
        </is>
      </c>
      <c r="AR28" s="17">
        <f>IF(J28="","",REPT("★",J28)&amp;REPT("☆",5-J28)&amp;" ("&amp;J28&amp;"/5)")</f>
        <v/>
      </c>
      <c r="AS28" s="17">
        <f>IF(Q28="","","Meaning: "&amp;Q28&amp;"  =  ______   (Answer: "&amp;F28&amp;")")</f>
        <v/>
      </c>
      <c r="AT28" s="17" t="inlineStr">
        <is>
          <t>New</t>
        </is>
      </c>
      <c r="AU28" s="17" t="n"/>
      <c r="AV28" s="17" t="n"/>
      <c r="AW28" s="17" t="n"/>
      <c r="AX28" s="17" t="n"/>
      <c r="AY28" s="17" t="n"/>
      <c r="AZ28" s="17" t="n"/>
      <c r="BA28" s="17" t="n"/>
      <c r="BB28" s="17" t="n"/>
    </row>
    <row r="29" ht="108" customHeight="1">
      <c r="A29" s="17" t="inlineStr">
        <is>
          <t>CLD-027</t>
        </is>
      </c>
      <c r="B29" s="17" t="inlineStr">
        <is>
          <t>05 Cloud Networking</t>
        </is>
      </c>
      <c r="C29" s="17" t="inlineStr">
        <is>
          <t>Beginner</t>
        </is>
      </c>
      <c r="D29" s="17" t="n">
        <v>27</v>
      </c>
      <c r="E29" s="17" t="inlineStr">
        <is>
          <t>Claude knowledge</t>
        </is>
      </c>
      <c r="F29" s="18" t="inlineStr">
        <is>
          <t>Subnets</t>
        </is>
      </c>
      <c r="G29" s="18" t="inlineStr">
        <is>
          <t>Which slices of a VPC separate public-facing and private resources?</t>
        </is>
      </c>
      <c r="H29" s="18" t="inlineStr">
        <is>
          <t>Core concept</t>
        </is>
      </c>
      <c r="I29" s="18" t="inlineStr">
        <is>
          <t>Very high</t>
        </is>
      </c>
      <c r="J29" s="18" t="n">
        <v>5</v>
      </c>
      <c r="K29" s="18" t="inlineStr">
        <is>
          <t>Not everything should be reachable, so a network is cut into smaller parts with different rules.</t>
        </is>
      </c>
      <c r="L29" s="18" t="inlineStr">
        <is>
          <t>Put databases in private subnets and only entry points in public ones.</t>
        </is>
      </c>
      <c r="M29" s="18" t="inlineStr">
        <is>
          <t>Subnets are rooms in your house, with a front hall open to visitors and a bedroom kept private.</t>
        </is>
      </c>
      <c r="N29" s="18" t="inlineStr">
        <is>
          <t>A VPC split into a public and a private block in each zone.</t>
        </is>
      </c>
      <c r="O29" s="18" t="inlineStr">
        <is>
          <t>The tidy calm of clear boundaries.</t>
        </is>
      </c>
      <c r="P29" s="18" t="inlineStr">
        <is>
          <t>A subnet is a range of IP addresses inside a VPC, located in one availability zone, and is public or private depending on its routing.</t>
        </is>
      </c>
      <c r="Q29" s="17" t="n"/>
      <c r="R29" s="18" t="inlineStr">
        <is>
          <t>A subnet is public if its route table sends internet traffic to an internet gateway. A private subnet has no direct route in from the internet. Each subnet sits in one zone, so teams create matching subnets in several zones. Smaller ranges such as /24 are common. Some addresses in each subnet are reserved by the provider.</t>
        </is>
      </c>
      <c r="S29" s="18" t="inlineStr">
        <is>
          <t>Split a VPC into public and private subnets, in more than one zone.</t>
        </is>
      </c>
      <c r="T29" s="18" t="inlineStr">
        <is>
          <t>Subnets are rooms in a house, with a front hall for visitors and a private bedroom.</t>
        </is>
      </c>
      <c r="U29" s="18" t="inlineStr">
        <is>
          <t>Public subnet = route to internet gateway. Private subnet = no direct route.</t>
        </is>
      </c>
      <c r="V29" s="18" t="inlineStr">
        <is>
          <t>A public subnet holding a load balancer.</t>
        </is>
      </c>
      <c r="W29" s="18" t="inlineStr">
        <is>
          <t>A private subnet holding application servers.</t>
        </is>
      </c>
      <c r="X29" s="18" t="inlineStr">
        <is>
          <t>A database subnet with no internet route.</t>
        </is>
      </c>
      <c r="Y29" s="18" t="inlineStr">
        <is>
          <t>VPC, route tables, internet gateway, NAT gateway</t>
        </is>
      </c>
      <c r="Z29" s="18" t="inlineStr">
        <is>
          <t>subnet, public, private, CIDR, zone</t>
        </is>
      </c>
      <c r="AA29" s="18" t="inlineStr">
        <is>
          <t>Network layout | Security design | High availability</t>
        </is>
      </c>
      <c r="AB29" s="18" t="inlineStr">
        <is>
          <t>A: Why is the database not reachable from outside? | B: It is in a private subnet with no route out.</t>
        </is>
      </c>
      <c r="AC29" s="18" t="inlineStr">
        <is>
          <t>✗ A subnet is public just because it is named public → ✓ It is public only if its route table points to an internet gateway</t>
        </is>
      </c>
      <c r="AD29" s="18" t="inlineStr">
        <is>
          <t>Public vs private subnet: the difference is the route to the internet gateway.</t>
        </is>
      </c>
      <c r="AE29" s="18" t="inlineStr">
        <is>
          <t>Do not place databases in public subnets.</t>
        </is>
      </c>
      <c r="AF29" s="18" t="inlineStr">
        <is>
          <t>Route to the gateway makes it public.</t>
        </is>
      </c>
      <c r="AG29" s="18" t="inlineStr">
        <is>
          <t>Moving a database from a public to a private subnet after a security review.</t>
        </is>
      </c>
      <c r="AH29" s="18" t="inlineStr">
        <is>
          <t>An interviewer may ask: What makes a subnet public?</t>
        </is>
      </c>
      <c r="AI29" s="18" t="inlineStr">
        <is>
          <t>It is like a front hall versus a private bedroom.</t>
        </is>
      </c>
      <c r="AJ29" s="18" t="inlineStr">
        <is>
          <t>What makes a subnet public?</t>
        </is>
      </c>
      <c r="AK29" s="18" t="inlineStr">
        <is>
          <t>A) Its name B) A tag C) A route to an internet gateway D) A larger range</t>
        </is>
      </c>
      <c r="AL29" s="18" t="inlineStr">
        <is>
          <t>C</t>
        </is>
      </c>
      <c r="AM29" s="18" t="inlineStr">
        <is>
          <t>The route table decides whether it reaches the internet directly.</t>
        </is>
      </c>
      <c r="AN29" s="18" t="inlineStr">
        <is>
          <t>Each subnet lives in a single availability ____ → zone</t>
        </is>
      </c>
      <c r="AO29" s="18" t="inlineStr">
        <is>
          <t>Where should a database live? → In a private subnet</t>
        </is>
      </c>
      <c r="AP29" s="18" t="inlineStr">
        <is>
          <t>Explain public and private subnets in three lines.</t>
        </is>
      </c>
      <c r="AQ29" s="18" t="inlineStr">
        <is>
          <t>Sketch a layout with two zones and four subnets.</t>
        </is>
      </c>
      <c r="AR29" s="17">
        <f>IF(J29="","",REPT("★",J29)&amp;REPT("☆",5-J29)&amp;" ("&amp;J29&amp;"/5)")</f>
        <v/>
      </c>
      <c r="AS29" s="17">
        <f>IF(Q29="","","Meaning: "&amp;Q29&amp;"  =  ______   (Answer: "&amp;F29&amp;")")</f>
        <v/>
      </c>
      <c r="AT29" s="17" t="inlineStr">
        <is>
          <t>New</t>
        </is>
      </c>
      <c r="AU29" s="17" t="n"/>
      <c r="AV29" s="17" t="n"/>
      <c r="AW29" s="17" t="n"/>
      <c r="AX29" s="17" t="n"/>
      <c r="AY29" s="17" t="n"/>
      <c r="AZ29" s="17" t="n"/>
      <c r="BA29" s="17" t="n"/>
      <c r="BB29" s="17" t="n"/>
    </row>
    <row r="30" ht="94.5" customHeight="1">
      <c r="A30" s="17" t="inlineStr">
        <is>
          <t>CLD-028</t>
        </is>
      </c>
      <c r="B30" s="17" t="inlineStr">
        <is>
          <t>05 Cloud Networking</t>
        </is>
      </c>
      <c r="C30" s="17" t="inlineStr">
        <is>
          <t>Intermediate</t>
        </is>
      </c>
      <c r="D30" s="17" t="n">
        <v>28</v>
      </c>
      <c r="E30" s="17" t="inlineStr">
        <is>
          <t>Claude knowledge</t>
        </is>
      </c>
      <c r="F30" s="18" t="inlineStr">
        <is>
          <t>Route tables</t>
        </is>
      </c>
      <c r="G30" s="18" t="inlineStr">
        <is>
          <t>Which rules tell network traffic where to go next?</t>
        </is>
      </c>
      <c r="H30" s="18" t="inlineStr">
        <is>
          <t>Core concept</t>
        </is>
      </c>
      <c r="I30" s="18" t="inlineStr">
        <is>
          <t>High</t>
        </is>
      </c>
      <c r="J30" s="18" t="n">
        <v>4</v>
      </c>
      <c r="K30" s="18" t="inlineStr">
        <is>
          <t>A network needs directions for packets, so each subnet is tied to a table that maps destination ranges to next stops.</t>
        </is>
      </c>
      <c r="L30" s="18" t="inlineStr">
        <is>
          <t>When traffic does not flow, check the route table before anything else.</t>
        </is>
      </c>
      <c r="M30" s="18" t="inlineStr">
        <is>
          <t>A route table is a road sign listing which way to go for each destination.</t>
        </is>
      </c>
      <c r="N30" s="18" t="inlineStr">
        <is>
          <t>A table of destination ranges and targets.</t>
        </is>
      </c>
      <c r="O30" s="18" t="inlineStr">
        <is>
          <t>The relief of spotting a missing route.</t>
        </is>
      </c>
      <c r="P30" s="18" t="inlineStr">
        <is>
          <t>A route table is a set of rules that maps destination address ranges to targets such as a local network, an internet gateway or a NAT gateway.</t>
        </is>
      </c>
      <c r="Q30" s="17" t="n"/>
      <c r="R30" s="18" t="inlineStr">
        <is>
          <t>The local route allows traffic inside the VPC. A route of 0.0.0.0/0 to an internet gateway sends all other traffic to the internet. A route of 0.0.0.0/0 to a NAT gateway sends it out for private subnets. The most specific matching route wins. Each subnet is associated with one route table.</t>
        </is>
      </c>
      <c r="S30" s="18" t="inlineStr">
        <is>
          <t>Routes say where each destination goes. The most specific route wins.</t>
        </is>
      </c>
      <c r="T30" s="18" t="inlineStr">
        <is>
          <t>It is like a road sign listing which way to go for each destination.</t>
        </is>
      </c>
      <c r="U30" s="18" t="inlineStr">
        <is>
          <t>Destination range → target. Most specific match wins.</t>
        </is>
      </c>
      <c r="V30" s="18" t="inlineStr">
        <is>
          <t>0.0.0.0/0 pointing to an internet gateway for a public subnet.</t>
        </is>
      </c>
      <c r="W30" s="18" t="inlineStr">
        <is>
          <t>0.0.0.0/0 pointing to a NAT gateway for a private subnet.</t>
        </is>
      </c>
      <c r="X30" s="18" t="inlineStr">
        <is>
          <t>A route to a peered VPC range.</t>
        </is>
      </c>
      <c r="Y30" s="18" t="inlineStr">
        <is>
          <t>subnets, internet gateway, NAT gateway, peering</t>
        </is>
      </c>
      <c r="Z30" s="18" t="inlineStr">
        <is>
          <t>route, target, destination, local, default route</t>
        </is>
      </c>
      <c r="AA30" s="18" t="inlineStr">
        <is>
          <t>Troubleshooting | Network design | Hybrid links</t>
        </is>
      </c>
      <c r="AB30" s="18" t="inlineStr">
        <is>
          <t>A: The server cannot reach the internet. | B: Check whether its route table has a default route.</t>
        </is>
      </c>
      <c r="AC30" s="18" t="inlineStr">
        <is>
          <t>✗ Security groups control where traffic is routed → ✓ Route tables decide the path, and security groups decide what is allowed</t>
        </is>
      </c>
      <c r="AD30" s="18" t="inlineStr">
        <is>
          <t>Route table vs security group: one directs traffic, the other filters it.</t>
        </is>
      </c>
      <c r="AE30" s="18" t="inlineStr">
        <is>
          <t>Do not add 0.0.0.0/0 routes without understanding where they lead.</t>
        </is>
      </c>
      <c r="AF30" s="18" t="inlineStr">
        <is>
          <t>Routes choose the road, firewalls choose who passes.</t>
        </is>
      </c>
      <c r="AG30" s="18" t="inlineStr">
        <is>
          <t>Fixing a private subnet by adding a default route to a NAT gateway.</t>
        </is>
      </c>
      <c r="AH30" s="18" t="inlineStr">
        <is>
          <t>An interviewer may ask: A server cannot reach the internet. What do you check?</t>
        </is>
      </c>
      <c r="AI30" s="18" t="inlineStr">
        <is>
          <t>It is like road signs showing which way to go.</t>
        </is>
      </c>
      <c r="AJ30" s="18" t="inlineStr">
        <is>
          <t>What does 0.0.0.0/0 mean in a route?</t>
        </is>
      </c>
      <c r="AK30" s="18" t="inlineStr">
        <is>
          <t>A) All other destinations B) Only the local network C) One address D) Nothing</t>
        </is>
      </c>
      <c r="AL30" s="18" t="inlineStr">
        <is>
          <t>A</t>
        </is>
      </c>
      <c r="AM30" s="18" t="inlineStr">
        <is>
          <t>It is the default route that matches every address.</t>
        </is>
      </c>
      <c r="AN30" s="18" t="inlineStr">
        <is>
          <t>The route for all other destinations is the ____ route → default</t>
        </is>
      </c>
      <c r="AO30" s="18" t="inlineStr">
        <is>
          <t>A private subnet needs outbound internet. Which route target? → A NAT gateway</t>
        </is>
      </c>
      <c r="AP30" s="18" t="inlineStr">
        <is>
          <t>Explain route tables in three lines.</t>
        </is>
      </c>
      <c r="AQ30" s="18" t="inlineStr">
        <is>
          <t>Write the routes a public subnet needs.</t>
        </is>
      </c>
      <c r="AR30" s="17">
        <f>IF(J30="","",REPT("★",J30)&amp;REPT("☆",5-J30)&amp;" ("&amp;J30&amp;"/5)")</f>
        <v/>
      </c>
      <c r="AS30" s="17">
        <f>IF(Q30="","","Meaning: "&amp;Q30&amp;"  =  ______   (Answer: "&amp;F30&amp;")")</f>
        <v/>
      </c>
      <c r="AT30" s="17" t="inlineStr">
        <is>
          <t>New</t>
        </is>
      </c>
      <c r="AU30" s="17" t="n"/>
      <c r="AV30" s="17" t="n"/>
      <c r="AW30" s="17" t="n"/>
      <c r="AX30" s="17" t="n"/>
      <c r="AY30" s="17" t="n"/>
      <c r="AZ30" s="17" t="n"/>
      <c r="BA30" s="17" t="n"/>
      <c r="BB30" s="17" t="n"/>
    </row>
    <row r="31" ht="108" customHeight="1">
      <c r="A31" s="17" t="inlineStr">
        <is>
          <t>CLD-029</t>
        </is>
      </c>
      <c r="B31" s="17" t="inlineStr">
        <is>
          <t>05 Cloud Networking</t>
        </is>
      </c>
      <c r="C31" s="17" t="inlineStr">
        <is>
          <t>Intermediate</t>
        </is>
      </c>
      <c r="D31" s="17" t="n">
        <v>29</v>
      </c>
      <c r="E31" s="17" t="inlineStr">
        <is>
          <t>Claude knowledge</t>
        </is>
      </c>
      <c r="F31" s="18" t="inlineStr">
        <is>
          <t>Internet and NAT gateways</t>
        </is>
      </c>
      <c r="G31" s="18" t="inlineStr">
        <is>
          <t>Which two gateways connect a VPC to the internet, and how do they differ?</t>
        </is>
      </c>
      <c r="H31" s="18" t="inlineStr">
        <is>
          <t>Core concept</t>
        </is>
      </c>
      <c r="I31" s="18" t="inlineStr">
        <is>
          <t>High</t>
        </is>
      </c>
      <c r="J31" s="18" t="n">
        <v>5</v>
      </c>
      <c r="K31" s="18" t="inlineStr">
        <is>
          <t>Some servers must be reachable from the internet and others must only reach out, so two kinds of gateway exist.</t>
        </is>
      </c>
      <c r="L31" s="18" t="inlineStr">
        <is>
          <t>Put the NAT gateway in a public subnet, and point private routes at it.</t>
        </is>
      </c>
      <c r="M31" s="18" t="inlineStr">
        <is>
          <t>An internet gateway is a front door, and a NAT gateway is a one-way exit for people inside.</t>
        </is>
      </c>
      <c r="N31" s="18" t="inlineStr">
        <is>
          <t>Arrows showing two-way traffic through one gateway and outbound-only through the other.</t>
        </is>
      </c>
      <c r="O31" s="18" t="inlineStr">
        <is>
          <t>The clarity of a clean path in and out.</t>
        </is>
      </c>
      <c r="P31" s="18" t="inlineStr">
        <is>
          <t>An internet gateway allows two-way traffic between public subnets and the internet, and a NAT gateway lets private resources start outbound connections while blocking inbound ones.</t>
        </is>
      </c>
      <c r="Q31" s="17" t="n"/>
      <c r="R31" s="18" t="inlineStr">
        <is>
          <t>Public resources need a public address and a route to the internet gateway. Private resources, such as servers needing updates, use a NAT gateway placed in a public subnet. NAT hides their private addresses and allows only replies back in. NAT gateways are billed hourly and per gigabyte, so they are a cost to watch.</t>
        </is>
      </c>
      <c r="S31" s="18" t="inlineStr">
        <is>
          <t>Internet gateway = in and out. NAT gateway = out only, for private subnets.</t>
        </is>
      </c>
      <c r="T31" s="18" t="inlineStr">
        <is>
          <t>An internet gateway is a front door, and a NAT gateway is a one-way exit.</t>
        </is>
      </c>
      <c r="U31" s="18" t="inlineStr">
        <is>
          <t>Public subnet → internet gateway. Private subnet → NAT gateway → internet gateway.</t>
        </is>
      </c>
      <c r="V31" s="18" t="inlineStr">
        <is>
          <t>A web server reached through an internet gateway.</t>
        </is>
      </c>
      <c r="W31" s="18" t="inlineStr">
        <is>
          <t>A private server downloading updates through NAT.</t>
        </is>
      </c>
      <c r="X31" s="18" t="inlineStr">
        <is>
          <t>A database that has no path to the internet at all.</t>
        </is>
      </c>
      <c r="Y31" s="18" t="inlineStr">
        <is>
          <t>route tables, subnets, security groups, VPC endpoints</t>
        </is>
      </c>
      <c r="Z31" s="18" t="inlineStr">
        <is>
          <t>gateway, NAT, outbound, inbound, public IP</t>
        </is>
      </c>
      <c r="AA31" s="18" t="inlineStr">
        <is>
          <t>Network design | Updates | Cost review</t>
        </is>
      </c>
      <c r="AB31" s="18" t="inlineStr">
        <is>
          <t>A: The private server cannot download updates. | B: Add a NAT gateway and a route to it.</t>
        </is>
      </c>
      <c r="AC31" s="18" t="inlineStr">
        <is>
          <t>✗ A NAT gateway lets the internet connect in to private servers → ✓ It allows only outbound connections and their replies</t>
        </is>
      </c>
      <c r="AD31" s="18" t="inlineStr">
        <is>
          <t>Internet vs NAT gateway: one allows two-way traffic, the other outbound only.</t>
        </is>
      </c>
      <c r="AE31" s="18" t="inlineStr">
        <is>
          <t>Do not forget that NAT gateways have an hourly cost.</t>
        </is>
      </c>
      <c r="AF31" s="18" t="inlineStr">
        <is>
          <t>NAT lets you out but not them in.</t>
        </is>
      </c>
      <c r="AG31" s="18" t="inlineStr">
        <is>
          <t>Adding NAT so private workers could fetch packages without a public address.</t>
        </is>
      </c>
      <c r="AH31" s="18" t="inlineStr">
        <is>
          <t>An interviewer may ask: How do private servers reach the internet?</t>
        </is>
      </c>
      <c r="AI31" s="18" t="inlineStr">
        <is>
          <t>It is like a front door versus a one-way exit.</t>
        </is>
      </c>
      <c r="AJ31" s="18" t="inlineStr">
        <is>
          <t>Which gateway allows only outbound connections for private subnets?</t>
        </is>
      </c>
      <c r="AK31" s="18" t="inlineStr">
        <is>
          <t>A) Load balancer B) Internet gateway C) NAT gateway D) Route table</t>
        </is>
      </c>
      <c r="AL31" s="18" t="inlineStr">
        <is>
          <t>C</t>
        </is>
      </c>
      <c r="AM31" s="18" t="inlineStr">
        <is>
          <t>NAT allows outbound traffic and the replies to it.</t>
        </is>
      </c>
      <c r="AN31" s="18" t="inlineStr">
        <is>
          <t>A NAT gateway is placed in a ____ subnet → public</t>
        </is>
      </c>
      <c r="AO31" s="18" t="inlineStr">
        <is>
          <t>Private servers need to download updates. What do you add? → A NAT gateway</t>
        </is>
      </c>
      <c r="AP31" s="18" t="inlineStr">
        <is>
          <t>Explain the two gateway types in three lines.</t>
        </is>
      </c>
      <c r="AQ31" s="18" t="inlineStr">
        <is>
          <t>List the pieces needed for a private server to reach the internet.</t>
        </is>
      </c>
      <c r="AR31" s="17">
        <f>IF(J31="","",REPT("★",J31)&amp;REPT("☆",5-J31)&amp;" ("&amp;J31&amp;"/5)")</f>
        <v/>
      </c>
      <c r="AS31" s="17">
        <f>IF(Q31="","","Meaning: "&amp;Q31&amp;"  =  ______   (Answer: "&amp;F31&amp;")")</f>
        <v/>
      </c>
      <c r="AT31" s="17" t="inlineStr">
        <is>
          <t>New</t>
        </is>
      </c>
      <c r="AU31" s="17" t="n"/>
      <c r="AV31" s="17" t="n"/>
      <c r="AW31" s="17" t="n"/>
      <c r="AX31" s="17" t="n"/>
      <c r="AY31" s="17" t="n"/>
      <c r="AZ31" s="17" t="n"/>
      <c r="BA31" s="17" t="n"/>
      <c r="BB31" s="17" t="n"/>
    </row>
    <row r="32" ht="121.5" customHeight="1">
      <c r="A32" s="17" t="inlineStr">
        <is>
          <t>CLD-030</t>
        </is>
      </c>
      <c r="B32" s="17" t="inlineStr">
        <is>
          <t>05 Cloud Networking</t>
        </is>
      </c>
      <c r="C32" s="17" t="inlineStr">
        <is>
          <t>Intermediate</t>
        </is>
      </c>
      <c r="D32" s="17" t="n">
        <v>30</v>
      </c>
      <c r="E32" s="17" t="inlineStr">
        <is>
          <t>Claude knowledge</t>
        </is>
      </c>
      <c r="F32" s="18" t="inlineStr">
        <is>
          <t>Security groups and network ACLs</t>
        </is>
      </c>
      <c r="G32" s="18" t="inlineStr">
        <is>
          <t>Which two firewalls filter traffic at the instance and subnet levels?</t>
        </is>
      </c>
      <c r="H32" s="18" t="inlineStr">
        <is>
          <t>Core concept</t>
        </is>
      </c>
      <c r="I32" s="18" t="inlineStr">
        <is>
          <t>Very high</t>
        </is>
      </c>
      <c r="J32" s="18" t="n">
        <v>5</v>
      </c>
      <c r="K32" s="18" t="inlineStr">
        <is>
          <t>Routing alone does not decide what is allowed, so virtual firewalls were added at different levels.</t>
        </is>
      </c>
      <c r="L32" s="18" t="inlineStr">
        <is>
          <t>Use security groups as your main tool, and reference other groups instead of IP ranges.</t>
        </is>
      </c>
      <c r="M32" s="18" t="inlineStr">
        <is>
          <t>A security group is a bouncer at each room, and a network ACL is the gate at the building.</t>
        </is>
      </c>
      <c r="N32" s="18" t="inlineStr">
        <is>
          <t>A subnet boundary with a gate, and a bouncer at each server.</t>
        </is>
      </c>
      <c r="O32" s="18" t="inlineStr">
        <is>
          <t>The ease of opening exactly one port.</t>
        </is>
      </c>
      <c r="P32" s="18" t="inlineStr">
        <is>
          <t>A security group is a stateful firewall attached to an instance, and a network ACL is a stateless firewall attached to a subnet.</t>
        </is>
      </c>
      <c r="Q32" s="17" t="n"/>
      <c r="R32" s="18" t="inlineStr">
        <is>
          <t>Security groups allow rules only, and everything not allowed is denied. Because they are stateful, return traffic is allowed automatically. Network ACLs have numbered allow and deny rules, and since they are stateless you must allow return traffic yourself. Security groups can refer to other groups, such as allowing the web group to reach the database group. Azure uses network security groups.</t>
        </is>
      </c>
      <c r="S32" s="18" t="inlineStr">
        <is>
          <t>Security groups guard each server and remember connections. ACLs guard whole subnets and do not.</t>
        </is>
      </c>
      <c r="T32" s="18" t="inlineStr">
        <is>
          <t>A security group is a bouncer at each room, and an ACL is the gate at the building.</t>
        </is>
      </c>
      <c r="U32" s="18" t="inlineStr">
        <is>
          <t>Security group = stateful, allow only. ACL = stateless, allow and deny.</t>
        </is>
      </c>
      <c r="V32" s="18" t="inlineStr">
        <is>
          <t>A rule allowing port 443 from anywhere to the web group.</t>
        </is>
      </c>
      <c r="W32" s="18" t="inlineStr">
        <is>
          <t>A rule allowing database port 5432 only from the app group.</t>
        </is>
      </c>
      <c r="X32" s="18" t="inlineStr">
        <is>
          <t>An ACL rule blocking one hostile address range.</t>
        </is>
      </c>
      <c r="Y32" s="18" t="inlineStr">
        <is>
          <t>VPC, subnets, bastion hosts, least privilege</t>
        </is>
      </c>
      <c r="Z32" s="18" t="inlineStr">
        <is>
          <t>stateful, stateless, rule, port, inbound</t>
        </is>
      </c>
      <c r="AA32" s="18" t="inlineStr">
        <is>
          <t>Server protection | Troubleshooting | Audits</t>
        </is>
      </c>
      <c r="AB32" s="18" t="inlineStr">
        <is>
          <t>A: I cannot reach the app on port 8080. | B: Check whether the security group allows that port.</t>
        </is>
      </c>
      <c r="AC32" s="18" t="inlineStr">
        <is>
          <t>✗ Opening port 22 to the whole world is fine for convenience → ✓ It invites attacks, so restrict it or use a session manager</t>
        </is>
      </c>
      <c r="AD32" s="18" t="inlineStr">
        <is>
          <t>Security group vs ACL: stateful at the instance, stateless at the subnet.</t>
        </is>
      </c>
      <c r="AE32" s="18" t="inlineStr">
        <is>
          <t>Do not open sensitive ports to 0.0.0.0/0.</t>
        </is>
      </c>
      <c r="AF32" s="18" t="inlineStr">
        <is>
          <t>Groups remember connections, ACLs forget them.</t>
        </is>
      </c>
      <c r="AG32" s="18" t="inlineStr">
        <is>
          <t>Restricting the database port to the app security group instead of a wide range.</t>
        </is>
      </c>
      <c r="AH32" s="18" t="inlineStr">
        <is>
          <t>An interviewer may ask: What is the difference between a security group and a network ACL?</t>
        </is>
      </c>
      <c r="AI32" s="18" t="inlineStr">
        <is>
          <t>It is like a bouncer per room and a gate at the building.</t>
        </is>
      </c>
      <c r="AJ32" s="18" t="inlineStr">
        <is>
          <t>Which firewall is stateful?</t>
        </is>
      </c>
      <c r="AK32" s="18" t="inlineStr">
        <is>
          <t>A) Network ACL B) Internet gateway C) Route table D) Security group</t>
        </is>
      </c>
      <c r="AL32" s="18" t="inlineStr">
        <is>
          <t>D</t>
        </is>
      </c>
      <c r="AM32" s="18" t="inlineStr">
        <is>
          <t>Return traffic is allowed automatically for security groups.</t>
        </is>
      </c>
      <c r="AN32" s="18" t="inlineStr">
        <is>
          <t>A security group denies everything that is not ____ → allowed</t>
        </is>
      </c>
      <c r="AO32" s="18" t="inlineStr">
        <is>
          <t>Only the app servers should reach the database. How do you write the rule? → Allow the app security group</t>
        </is>
      </c>
      <c r="AP32" s="18" t="inlineStr">
        <is>
          <t>Explain security groups and ACLs in three lines.</t>
        </is>
      </c>
      <c r="AQ32" s="18" t="inlineStr">
        <is>
          <t>Write rules for a three-tier web app.</t>
        </is>
      </c>
      <c r="AR32" s="17">
        <f>IF(J32="","",REPT("★",J32)&amp;REPT("☆",5-J32)&amp;" ("&amp;J32&amp;"/5)")</f>
        <v/>
      </c>
      <c r="AS32" s="17">
        <f>IF(Q32="","","Meaning: "&amp;Q32&amp;"  =  ______   (Answer: "&amp;F32&amp;")")</f>
        <v/>
      </c>
      <c r="AT32" s="17" t="inlineStr">
        <is>
          <t>New</t>
        </is>
      </c>
      <c r="AU32" s="17" t="n"/>
      <c r="AV32" s="17" t="n"/>
      <c r="AW32" s="17" t="n"/>
      <c r="AX32" s="17" t="n"/>
      <c r="AY32" s="17" t="n"/>
      <c r="AZ32" s="17" t="n"/>
      <c r="BA32" s="17" t="n"/>
      <c r="BB32" s="17" t="n"/>
    </row>
    <row r="33" ht="94.5" customHeight="1">
      <c r="A33" s="17" t="inlineStr">
        <is>
          <t>CLD-031</t>
        </is>
      </c>
      <c r="B33" s="17" t="inlineStr">
        <is>
          <t>05 Cloud Networking</t>
        </is>
      </c>
      <c r="C33" s="17" t="inlineStr">
        <is>
          <t>Intermediate</t>
        </is>
      </c>
      <c r="D33" s="17" t="n">
        <v>31</v>
      </c>
      <c r="E33" s="17" t="inlineStr">
        <is>
          <t>Claude knowledge</t>
        </is>
      </c>
      <c r="F33" s="18" t="inlineStr">
        <is>
          <t>Load balancers</t>
        </is>
      </c>
      <c r="G33" s="18" t="inlineStr">
        <is>
          <t>Which service spreads incoming traffic across several servers?</t>
        </is>
      </c>
      <c r="H33" s="18" t="inlineStr">
        <is>
          <t>Core concept</t>
        </is>
      </c>
      <c r="I33" s="18" t="inlineStr">
        <is>
          <t>Very high</t>
        </is>
      </c>
      <c r="J33" s="18" t="n">
        <v>5</v>
      </c>
      <c r="K33" s="18" t="inlineStr">
        <is>
          <t>One server cannot handle all users or survive failure, so a front service shares requests across healthy copies.</t>
        </is>
      </c>
      <c r="L33" s="18" t="inlineStr">
        <is>
          <t>Always set a health check path so unhealthy servers are removed.</t>
        </is>
      </c>
      <c r="M33" s="18" t="inlineStr">
        <is>
          <t>A load balancer is a host who seats guests at free tables.</t>
        </is>
      </c>
      <c r="N33" s="18" t="inlineStr">
        <is>
          <t>One entry point fanning out to three servers.</t>
        </is>
      </c>
      <c r="O33" s="18" t="inlineStr">
        <is>
          <t>The comfort of traffic going only to healthy servers.</t>
        </is>
      </c>
      <c r="P33" s="18" t="inlineStr">
        <is>
          <t>A load balancer distributes incoming traffic across multiple targets and sends it only to those that pass health checks.</t>
        </is>
      </c>
      <c r="Q33" s="17" t="n"/>
      <c r="R33" s="18" t="inlineStr">
        <is>
          <t>Application load balancers work at layer 7 and can route by path or host name. Network load balancers work at layer 4 and are very fast. It terminates TLS if you attach a certificate. Together with auto scaling it keeps services available. Azure and GCP provide equivalent load balancers.</t>
        </is>
      </c>
      <c r="S33" s="18" t="inlineStr">
        <is>
          <t>Put a load balancer in front, register servers behind it, and set health checks.</t>
        </is>
      </c>
      <c r="T33" s="18" t="inlineStr">
        <is>
          <t>It is like a host seating guests at free tables.</t>
        </is>
      </c>
      <c r="U33" s="18" t="inlineStr">
        <is>
          <t>One address → many healthy targets.</t>
        </is>
      </c>
      <c r="V33" s="18" t="inlineStr">
        <is>
          <t>Routing /api to one group and /web to another.</t>
        </is>
      </c>
      <c r="W33" s="18" t="inlineStr">
        <is>
          <t>Removing a failed server from rotation automatically.</t>
        </is>
      </c>
      <c r="X33" s="18" t="inlineStr">
        <is>
          <t>Terminating HTTPS at the balancer.</t>
        </is>
      </c>
      <c r="Y33" s="18" t="inlineStr">
        <is>
          <t>auto scaling, health checks, DNS, TLS</t>
        </is>
      </c>
      <c r="Z33" s="18" t="inlineStr">
        <is>
          <t>balancer, target, health check, listener, layer 7</t>
        </is>
      </c>
      <c r="AA33" s="18" t="inlineStr">
        <is>
          <t>Web apps | APIs | High availability</t>
        </is>
      </c>
      <c r="AB33" s="18" t="inlineStr">
        <is>
          <t>A: One server died but users saw no error. | B: The load balancer stopped sending it traffic.</t>
        </is>
      </c>
      <c r="AC33" s="18" t="inlineStr">
        <is>
          <t>✗ A load balancer makes a single server faster → ✓ It spreads load over several servers and does not speed up one</t>
        </is>
      </c>
      <c r="AD33" s="18" t="inlineStr">
        <is>
          <t>Layer 7 vs layer 4: layer 7 understands HTTP paths, layer 4 only sees connections.</t>
        </is>
      </c>
      <c r="AE33" s="18" t="inlineStr">
        <is>
          <t>Do not skip health checks on targets.</t>
        </is>
      </c>
      <c r="AF33" s="18" t="inlineStr">
        <is>
          <t>One front door, many healthy rooms.</t>
        </is>
      </c>
      <c r="AG33" s="18" t="inlineStr">
        <is>
          <t>Putting a load balancer in front of two API servers to avoid downtime during deploys.</t>
        </is>
      </c>
      <c r="AH33" s="18" t="inlineStr">
        <is>
          <t>An interviewer may ask: How does a load balancer know a server is down?</t>
        </is>
      </c>
      <c r="AI33" s="18" t="inlineStr">
        <is>
          <t>It is like a host seating guests at free tables.</t>
        </is>
      </c>
      <c r="AJ33" s="18" t="inlineStr">
        <is>
          <t>Which load balancer can route by URL path?</t>
        </is>
      </c>
      <c r="AK33" s="18" t="inlineStr">
        <is>
          <t>A) Application load balancer B) Route table C) NAT D) Network load balancer</t>
        </is>
      </c>
      <c r="AL33" s="18" t="inlineStr">
        <is>
          <t>A</t>
        </is>
      </c>
      <c r="AM33" s="18" t="inlineStr">
        <is>
          <t>Layer 7 balancers understand HTTP details.</t>
        </is>
      </c>
      <c r="AN33" s="18" t="inlineStr">
        <is>
          <t>A balancer removes servers that fail their ____ check → health</t>
        </is>
      </c>
      <c r="AO33" s="18" t="inlineStr">
        <is>
          <t>You must route /api and /web to different servers. Which balancer? → An application load balancer</t>
        </is>
      </c>
      <c r="AP33" s="18" t="inlineStr">
        <is>
          <t>Explain load balancers in three lines.</t>
        </is>
      </c>
      <c r="AQ33" s="18" t="inlineStr">
        <is>
          <t>Choose a health check path for a web API.</t>
        </is>
      </c>
      <c r="AR33" s="17">
        <f>IF(J33="","",REPT("★",J33)&amp;REPT("☆",5-J33)&amp;" ("&amp;J33&amp;"/5)")</f>
        <v/>
      </c>
      <c r="AS33" s="17">
        <f>IF(Q33="","","Meaning: "&amp;Q33&amp;"  =  ______   (Answer: "&amp;F33&amp;")")</f>
        <v/>
      </c>
      <c r="AT33" s="17" t="inlineStr">
        <is>
          <t>New</t>
        </is>
      </c>
      <c r="AU33" s="17" t="n"/>
      <c r="AV33" s="17" t="n"/>
      <c r="AW33" s="17" t="n"/>
      <c r="AX33" s="17" t="n"/>
      <c r="AY33" s="17" t="n"/>
      <c r="AZ33" s="17" t="n"/>
      <c r="BA33" s="17" t="n"/>
      <c r="BB33" s="17" t="n"/>
    </row>
    <row r="34" ht="108" customHeight="1">
      <c r="A34" s="17" t="inlineStr">
        <is>
          <t>CLD-032</t>
        </is>
      </c>
      <c r="B34" s="17" t="inlineStr">
        <is>
          <t>05 Cloud Networking</t>
        </is>
      </c>
      <c r="C34" s="17" t="inlineStr">
        <is>
          <t>Intermediate</t>
        </is>
      </c>
      <c r="D34" s="17" t="n">
        <v>32</v>
      </c>
      <c r="E34" s="17" t="inlineStr">
        <is>
          <t>Claude knowledge</t>
        </is>
      </c>
      <c r="F34" s="18" t="inlineStr">
        <is>
          <t>DNS (Route 53)</t>
        </is>
      </c>
      <c r="G34" s="18" t="inlineStr">
        <is>
          <t>Which service turns names like example.com into addresses and can route traffic?</t>
        </is>
      </c>
      <c r="H34" s="18" t="inlineStr">
        <is>
          <t>Core concept</t>
        </is>
      </c>
      <c r="I34" s="18" t="inlineStr">
        <is>
          <t>High</t>
        </is>
      </c>
      <c r="J34" s="18" t="n">
        <v>4</v>
      </c>
      <c r="K34" s="18" t="inlineStr">
        <is>
          <t>People remember names, not numbers, so DNS maps names to addresses, and cloud DNS adds routing and health features.</t>
        </is>
      </c>
      <c r="L34" s="18" t="inlineStr">
        <is>
          <t>Use low TTL values before a migration and raise them afterwards.</t>
        </is>
      </c>
      <c r="M34" s="18" t="inlineStr">
        <is>
          <t>DNS is the phone book of the internet, and Route 53 is a smart operator.</t>
        </is>
      </c>
      <c r="N34" s="18" t="inlineStr">
        <is>
          <t>A name flowing through a lookup into an address.</t>
        </is>
      </c>
      <c r="O34" s="18" t="inlineStr">
        <is>
          <t>The satisfaction of a domain that finally points to the right place.</t>
        </is>
      </c>
      <c r="P34" s="18" t="inlineStr">
        <is>
          <t>Cloud DNS, such as AWS Route 53, hosts DNS records for your domains and can route traffic by weight, location or health.</t>
        </is>
      </c>
      <c r="Q34" s="17" t="n"/>
      <c r="R34" s="18" t="inlineStr">
        <is>
          <t>Records include A for IPv4 addresses, AAAA for IPv6, CNAME for aliases, MX for mail and TXT for text. TTL says how long answers are cached. Alias records can point to cloud resources such as a load balancer. Routing policies allow failover between regions. DNS changes may take time to spread because of caches.</t>
        </is>
      </c>
      <c r="S34" s="18" t="inlineStr">
        <is>
          <t>Create records that map names to addresses, and choose how long answers are cached.</t>
        </is>
      </c>
      <c r="T34" s="18" t="inlineStr">
        <is>
          <t>It is the phone book of the internet with a smart operator.</t>
        </is>
      </c>
      <c r="U34" s="18" t="inlineStr">
        <is>
          <t>Name → record → address, cached for the TTL.</t>
        </is>
      </c>
      <c r="V34" s="18" t="inlineStr">
        <is>
          <t>An A record pointing a name to a server address.</t>
        </is>
      </c>
      <c r="W34" s="18" t="inlineStr">
        <is>
          <t>A CNAME pointing www to the main name.</t>
        </is>
      </c>
      <c r="X34" s="18" t="inlineStr">
        <is>
          <t>Failover routing to a backup region.</t>
        </is>
      </c>
      <c r="Y34" s="18" t="inlineStr">
        <is>
          <t>load balancers, CDN, networking basics, TLS certificates</t>
        </is>
      </c>
      <c r="Z34" s="18" t="inlineStr">
        <is>
          <t>record, TTL, zone, alias, resolver</t>
        </is>
      </c>
      <c r="AA34" s="18" t="inlineStr">
        <is>
          <t>Websites | Migrations | Failover</t>
        </is>
      </c>
      <c r="AB34" s="18" t="inlineStr">
        <is>
          <t>A: I changed the record but users still see the old site. | B: The old answer is cached until the TTL ends.</t>
        </is>
      </c>
      <c r="AC34" s="18" t="inlineStr">
        <is>
          <t>✗ DNS changes take effect everywhere instantly → ✓ Cached answers last until their TTL expires</t>
        </is>
      </c>
      <c r="AD34" s="18" t="inlineStr">
        <is>
          <t>A vs CNAME: A maps a name to an address, CNAME maps a name to another name.</t>
        </is>
      </c>
      <c r="AE34" s="18" t="inlineStr">
        <is>
          <t>Do not set a very high TTL just before a planned change.</t>
        </is>
      </c>
      <c r="AF34" s="18" t="inlineStr">
        <is>
          <t>Lower the TTL before you move.</t>
        </is>
      </c>
      <c r="AG34" s="18" t="inlineStr">
        <is>
          <t>Lowering the TTL a day before moving a site and then switching the record.</t>
        </is>
      </c>
      <c r="AH34" s="18" t="inlineStr">
        <is>
          <t>An interviewer may ask: Why do DNS changes take time to apply?</t>
        </is>
      </c>
      <c r="AI34" s="18" t="inlineStr">
        <is>
          <t>It is like a phone book with a smart operator.</t>
        </is>
      </c>
      <c r="AJ34" s="18" t="inlineStr">
        <is>
          <t>Which record type maps a name to an IPv4 address?</t>
        </is>
      </c>
      <c r="AK34" s="18" t="inlineStr">
        <is>
          <t>A) TXT B) A C) MX D) NS</t>
        </is>
      </c>
      <c r="AL34" s="18" t="inlineStr">
        <is>
          <t>B</t>
        </is>
      </c>
      <c r="AM34" s="18" t="inlineStr">
        <is>
          <t>An A record holds an IPv4 address.</t>
        </is>
      </c>
      <c r="AN34" s="18" t="inlineStr">
        <is>
          <t>The time an answer may be cached is called the ____ → TTL</t>
        </is>
      </c>
      <c r="AO34" s="18" t="inlineStr">
        <is>
          <t>You will move a site tomorrow. What should you lower today? → The TTL</t>
        </is>
      </c>
      <c r="AP34" s="18" t="inlineStr">
        <is>
          <t>Explain DNS records in three lines.</t>
        </is>
      </c>
      <c r="AQ34" s="18" t="inlineStr">
        <is>
          <t>List four record types and their jobs.</t>
        </is>
      </c>
      <c r="AR34" s="17">
        <f>IF(J34="","",REPT("★",J34)&amp;REPT("☆",5-J34)&amp;" ("&amp;J34&amp;"/5)")</f>
        <v/>
      </c>
      <c r="AS34" s="17">
        <f>IF(Q34="","","Meaning: "&amp;Q34&amp;"  =  ______   (Answer: "&amp;F34&amp;")")</f>
        <v/>
      </c>
      <c r="AT34" s="17" t="inlineStr">
        <is>
          <t>New</t>
        </is>
      </c>
      <c r="AU34" s="17" t="n"/>
      <c r="AV34" s="17" t="n"/>
      <c r="AW34" s="17" t="n"/>
      <c r="AX34" s="17" t="n"/>
      <c r="AY34" s="17" t="n"/>
      <c r="AZ34" s="17" t="n"/>
      <c r="BA34" s="17" t="n"/>
      <c r="BB34" s="17" t="n"/>
    </row>
    <row r="35" ht="108" customHeight="1">
      <c r="A35" s="17" t="inlineStr">
        <is>
          <t>CLD-033</t>
        </is>
      </c>
      <c r="B35" s="17" t="inlineStr">
        <is>
          <t>05 Cloud Networking</t>
        </is>
      </c>
      <c r="C35" s="17" t="inlineStr">
        <is>
          <t>Intermediate</t>
        </is>
      </c>
      <c r="D35" s="17" t="n">
        <v>33</v>
      </c>
      <c r="E35" s="17" t="inlineStr">
        <is>
          <t>Claude knowledge</t>
        </is>
      </c>
      <c r="F35" s="18" t="inlineStr">
        <is>
          <t>CDN</t>
        </is>
      </c>
      <c r="G35" s="18" t="inlineStr">
        <is>
          <t>Which service caches your content at locations near users to make delivery faster?</t>
        </is>
      </c>
      <c r="H35" s="18" t="inlineStr">
        <is>
          <t>Core concept</t>
        </is>
      </c>
      <c r="I35" s="18" t="inlineStr">
        <is>
          <t>Medium</t>
        </is>
      </c>
      <c r="J35" s="18" t="n">
        <v>4</v>
      </c>
      <c r="K35" s="18" t="inlineStr">
        <is>
          <t>Distance adds delay, so providers placed caches around the world that serve popular content close to users.</t>
        </is>
      </c>
      <c r="L35" s="18" t="inlineStr">
        <is>
          <t>Set proper cache headers so the network can keep content for the right time.</t>
        </is>
      </c>
      <c r="M35" s="18" t="inlineStr">
        <is>
          <t>A CDN is a chain of local shops stocking your product instead of one far warehouse.</t>
        </is>
      </c>
      <c r="N35" s="18" t="inlineStr">
        <is>
          <t>A world map with small cache points near users.</t>
        </is>
      </c>
      <c r="O35" s="18" t="inlineStr">
        <is>
          <t>The delight of a page loading fast anywhere.</t>
        </is>
      </c>
      <c r="P35" s="18" t="inlineStr">
        <is>
          <t>A content delivery network, such as CloudFront, caches copies of your content at edge locations and serves it from the one nearest the user.</t>
        </is>
      </c>
      <c r="Q35" s="17" t="n"/>
      <c r="R35" s="18" t="inlineStr">
        <is>
          <t>The first request goes to the origin, such as a bucket or server, and the result is cached at the edge. Later requests are served locally. It reduces load and cost at the origin and adds protection features. Cache invalidation removes old copies. It also terminates HTTPS close to the user. Azure Front Door and Cloud CDN are equivalents.</t>
        </is>
      </c>
      <c r="S35" s="18" t="inlineStr">
        <is>
          <t>Put a CDN in front of static content so users get it from a nearby cache.</t>
        </is>
      </c>
      <c r="T35" s="18" t="inlineStr">
        <is>
          <t>It is a chain of local shops stocking your product instead of one far warehouse.</t>
        </is>
      </c>
      <c r="U35" s="18" t="inlineStr">
        <is>
          <t>Edge cache hit = fast. Miss = fetch from origin once.</t>
        </is>
      </c>
      <c r="V35" s="18" t="inlineStr">
        <is>
          <t>Serving images and scripts from edge locations.</t>
        </is>
      </c>
      <c r="W35" s="18" t="inlineStr">
        <is>
          <t>Invalidating a cached file after an update.</t>
        </is>
      </c>
      <c r="X35" s="18" t="inlineStr">
        <is>
          <t>A private bucket served only through the CDN.</t>
        </is>
      </c>
      <c r="Y35" s="18" t="inlineStr">
        <is>
          <t>object storage, DNS, load balancers, TLS</t>
        </is>
      </c>
      <c r="Z35" s="18" t="inlineStr">
        <is>
          <t>edge, cache, origin, invalidation, latency</t>
        </is>
      </c>
      <c r="AA35" s="18" t="inlineStr">
        <is>
          <t>Websites | Media delivery | Downloads</t>
        </is>
      </c>
      <c r="AB35" s="18" t="inlineStr">
        <is>
          <t>A: Users far away see a slow site. | B: Put a CDN in front of the static files.</t>
        </is>
      </c>
      <c r="AC35" s="18" t="inlineStr">
        <is>
          <t>✗ A CDN only works for images and video → ✓ It can cache many kinds of content and also accelerate dynamic requests</t>
        </is>
      </c>
      <c r="AD35" s="18" t="inlineStr">
        <is>
          <t>Origin vs edge: the origin holds the source, edges hold cached copies.</t>
        </is>
      </c>
      <c r="AE35" s="18" t="inlineStr">
        <is>
          <t>Do not cache private or personalised responses publicly.</t>
        </is>
      </c>
      <c r="AF35" s="18" t="inlineStr">
        <is>
          <t>Edge serves copies, origin owns the source.</t>
        </is>
      </c>
      <c r="AG35" s="18" t="inlineStr">
        <is>
          <t>Putting a CDN in front of a static site to cut load times for overseas users.</t>
        </is>
      </c>
      <c r="AH35" s="18" t="inlineStr">
        <is>
          <t>An interviewer may ask: How does a CDN improve performance?</t>
        </is>
      </c>
      <c r="AI35" s="18" t="inlineStr">
        <is>
          <t>It is like local shops stocking your product.</t>
        </is>
      </c>
      <c r="AJ35" s="18" t="inlineStr">
        <is>
          <t>Where is cached content served from?</t>
        </is>
      </c>
      <c r="AK35" s="18" t="inlineStr">
        <is>
          <t>A) Your laptop B) A database C) An edge location near the user D) The origin only</t>
        </is>
      </c>
      <c r="AL35" s="18" t="inlineStr">
        <is>
          <t>C</t>
        </is>
      </c>
      <c r="AM35" s="18" t="inlineStr">
        <is>
          <t>Edge locations hold copies close to users.</t>
        </is>
      </c>
      <c r="AN35" s="18" t="inlineStr">
        <is>
          <t>Removing a cached file early is called cache ____ → invalidation</t>
        </is>
      </c>
      <c r="AO35" s="18" t="inlineStr">
        <is>
          <t>Users abroad see slow static files. What do you add? → A CDN</t>
        </is>
      </c>
      <c r="AP35" s="18" t="inlineStr">
        <is>
          <t>Explain a CDN in three lines.</t>
        </is>
      </c>
      <c r="AQ35" s="18" t="inlineStr">
        <is>
          <t>List three things that should not be cached publicly.</t>
        </is>
      </c>
      <c r="AR35" s="17">
        <f>IF(J35="","",REPT("★",J35)&amp;REPT("☆",5-J35)&amp;" ("&amp;J35&amp;"/5)")</f>
        <v/>
      </c>
      <c r="AS35" s="17">
        <f>IF(Q35="","","Meaning: "&amp;Q35&amp;"  =  ______   (Answer: "&amp;F35&amp;")")</f>
        <v/>
      </c>
      <c r="AT35" s="17" t="inlineStr">
        <is>
          <t>New</t>
        </is>
      </c>
      <c r="AU35" s="17" t="n"/>
      <c r="AV35" s="17" t="n"/>
      <c r="AW35" s="17" t="n"/>
      <c r="AX35" s="17" t="n"/>
      <c r="AY35" s="17" t="n"/>
      <c r="AZ35" s="17" t="n"/>
      <c r="BA35" s="17" t="n"/>
      <c r="BB35" s="17" t="n"/>
    </row>
    <row r="36" ht="108" customHeight="1">
      <c r="A36" s="17" t="inlineStr">
        <is>
          <t>CLD-034</t>
        </is>
      </c>
      <c r="B36" s="17" t="inlineStr">
        <is>
          <t>06 Data Services</t>
        </is>
      </c>
      <c r="C36" s="17" t="inlineStr">
        <is>
          <t>Beginner</t>
        </is>
      </c>
      <c r="D36" s="17" t="n">
        <v>34</v>
      </c>
      <c r="E36" s="17" t="inlineStr">
        <is>
          <t>Claude knowledge</t>
        </is>
      </c>
      <c r="F36" s="18" t="inlineStr">
        <is>
          <t>Managed relational databases</t>
        </is>
      </c>
      <c r="G36" s="18" t="inlineStr">
        <is>
          <t>Which service runs a SQL database for you, handling patches and backups?</t>
        </is>
      </c>
      <c r="H36" s="18" t="inlineStr">
        <is>
          <t>Core concept</t>
        </is>
      </c>
      <c r="I36" s="18" t="inlineStr">
        <is>
          <t>Very high</t>
        </is>
      </c>
      <c r="J36" s="18" t="n">
        <v>5</v>
      </c>
      <c r="K36" s="18" t="inlineStr">
        <is>
          <t>Running a database well takes constant care, so providers offered it as a managed service with the routine work built in.</t>
        </is>
      </c>
      <c r="L36" s="18" t="inlineStr">
        <is>
          <t>Turn on automated backups and multi-zone failover for production.</t>
        </is>
      </c>
      <c r="M36" s="18" t="inlineStr">
        <is>
          <t>A managed database is a hotel room that is cleaned and maintained for you.</t>
        </is>
      </c>
      <c r="N36" s="18" t="inlineStr">
        <is>
          <t>A database icon surrounded by patching, backup and failover badges.</t>
        </is>
      </c>
      <c r="O36" s="18" t="inlineStr">
        <is>
          <t>The relief of not patching the database engine yourself.</t>
        </is>
      </c>
      <c r="P36" s="18" t="inlineStr">
        <is>
          <t>A managed relational database, such as AWS RDS, runs engines like PostgreSQL or MySQL for you, with automated backups, patching, monitoring and optional failover.</t>
        </is>
      </c>
      <c r="Q36" s="17" t="n"/>
      <c r="R36" s="18" t="inlineStr">
        <is>
          <t>You choose an engine, size and storage, and the provider handles installation and routine maintenance. A standby copy in another zone can take over after a failure. Read replicas spread read load. You cannot log in to the host itself, but you control schema, users and settings. Azure has Azure Database services, and GCP has Cloud SQL.</t>
        </is>
      </c>
      <c r="S36" s="18" t="inlineStr">
        <is>
          <t>You get a ready SQL database, and the provider handles backups, patches and failover.</t>
        </is>
      </c>
      <c r="T36" s="18" t="inlineStr">
        <is>
          <t>It is a hotel room that is cleaned and maintained for you.</t>
        </is>
      </c>
      <c r="U36" s="18" t="inlineStr">
        <is>
          <t>Managed = engine you choose + operations the provider does.</t>
        </is>
      </c>
      <c r="V36" s="18" t="inlineStr">
        <is>
          <t>A PostgreSQL instance with daily backups.</t>
        </is>
      </c>
      <c r="W36" s="18" t="inlineStr">
        <is>
          <t>A standby in another zone for failover.</t>
        </is>
      </c>
      <c r="X36" s="18" t="inlineStr">
        <is>
          <t>A read replica serving reporting queries.</t>
        </is>
      </c>
      <c r="Y36" s="18" t="inlineStr">
        <is>
          <t>backups, read replicas, security groups, SQL</t>
        </is>
      </c>
      <c r="Z36" s="18" t="inlineStr">
        <is>
          <t>RDS, engine, replica, failover, backup</t>
        </is>
      </c>
      <c r="AA36" s="18" t="inlineStr">
        <is>
          <t>Application databases | Reporting | Customer systems</t>
        </is>
      </c>
      <c r="AB36" s="18" t="inlineStr">
        <is>
          <t>A: Who patches the database server? | B: The provider does, in a maintenance window.</t>
        </is>
      </c>
      <c r="AC36" s="18" t="inlineStr">
        <is>
          <t>✗ A managed database needs no thought about backups → ✓ You still choose retention, test restores and set access rules</t>
        </is>
      </c>
      <c r="AD36" s="18" t="inlineStr">
        <is>
          <t>Managed vs self-installed database: managed handles routine upkeep, self-installed leaves it to you.</t>
        </is>
      </c>
      <c r="AE36" s="18" t="inlineStr">
        <is>
          <t>Do not place the database in a public subnet.</t>
        </is>
      </c>
      <c r="AF36" s="18" t="inlineStr">
        <is>
          <t>Managed means upkeep is theirs, design is yours.</t>
        </is>
      </c>
      <c r="AG36" s="18" t="inlineStr">
        <is>
          <t>Moving a self-run database to a managed service and gaining automatic backups.</t>
        </is>
      </c>
      <c r="AH36" s="18" t="inlineStr">
        <is>
          <t>An interviewer may ask: Why choose a managed database?</t>
        </is>
      </c>
      <c r="AI36" s="18" t="inlineStr">
        <is>
          <t>It is like a hotel room that is maintained for you.</t>
        </is>
      </c>
      <c r="AJ36" s="18" t="inlineStr">
        <is>
          <t>What does a managed database handle for you?</t>
        </is>
      </c>
      <c r="AK36" s="18" t="inlineStr">
        <is>
          <t>A) Patching and backups B) Your queries C) Your schema design D) Your tags</t>
        </is>
      </c>
      <c r="AL36" s="18" t="inlineStr">
        <is>
          <t>A</t>
        </is>
      </c>
      <c r="AM36" s="18" t="inlineStr">
        <is>
          <t>Routine operations are done by the provider.</t>
        </is>
      </c>
      <c r="AN36" s="18" t="inlineStr">
        <is>
          <t>A copy that serves read queries is a read ____ → replica</t>
        </is>
      </c>
      <c r="AO36" s="18" t="inlineStr">
        <is>
          <t>You want a SQL database with less upkeep. What do you use? → A managed relational database</t>
        </is>
      </c>
      <c r="AP36" s="18" t="inlineStr">
        <is>
          <t>Explain managed databases in three lines.</t>
        </is>
      </c>
      <c r="AQ36" s="18" t="inlineStr">
        <is>
          <t>List three settings to check before going live.</t>
        </is>
      </c>
      <c r="AR36" s="17">
        <f>IF(J36="","",REPT("★",J36)&amp;REPT("☆",5-J36)&amp;" ("&amp;J36&amp;"/5)")</f>
        <v/>
      </c>
      <c r="AS36" s="17">
        <f>IF(Q36="","","Meaning: "&amp;Q36&amp;"  =  ______   (Answer: "&amp;F36&amp;")")</f>
        <v/>
      </c>
      <c r="AT36" s="17" t="inlineStr">
        <is>
          <t>New</t>
        </is>
      </c>
      <c r="AU36" s="17" t="n"/>
      <c r="AV36" s="17" t="n"/>
      <c r="AW36" s="17" t="n"/>
      <c r="AX36" s="17" t="n"/>
      <c r="AY36" s="17" t="n"/>
      <c r="AZ36" s="17" t="n"/>
      <c r="BA36" s="17" t="n"/>
      <c r="BB36" s="17" t="n"/>
    </row>
    <row r="37" ht="108" customHeight="1">
      <c r="A37" s="17" t="inlineStr">
        <is>
          <t>CLD-035</t>
        </is>
      </c>
      <c r="B37" s="17" t="inlineStr">
        <is>
          <t>06 Data Services</t>
        </is>
      </c>
      <c r="C37" s="17" t="inlineStr">
        <is>
          <t>Intermediate</t>
        </is>
      </c>
      <c r="D37" s="17" t="n">
        <v>35</v>
      </c>
      <c r="E37" s="17" t="inlineStr">
        <is>
          <t>Claude knowledge</t>
        </is>
      </c>
      <c r="F37" s="18" t="inlineStr">
        <is>
          <t>NoSQL databases</t>
        </is>
      </c>
      <c r="G37" s="18" t="inlineStr">
        <is>
          <t>Which databases store flexible data such as key-value or documents at huge scale?</t>
        </is>
      </c>
      <c r="H37" s="18" t="inlineStr">
        <is>
          <t>Core concept</t>
        </is>
      </c>
      <c r="I37" s="18" t="inlineStr">
        <is>
          <t>High</t>
        </is>
      </c>
      <c r="J37" s="18" t="n">
        <v>4</v>
      </c>
      <c r="K37" s="18" t="inlineStr">
        <is>
          <t>Some applications needed very high speed and flexible shapes of data, so databases without fixed tables were built.</t>
        </is>
      </c>
      <c r="L37" s="18" t="inlineStr">
        <is>
          <t>Design the tables around the questions you will ask, since joins are limited.</t>
        </is>
      </c>
      <c r="M37" s="18" t="inlineStr">
        <is>
          <t>A NoSQL table is a filing cabinet where each folder can hold different papers.</t>
        </is>
      </c>
      <c r="N37" s="18" t="inlineStr">
        <is>
          <t>Documents with different fields stored side by side.</t>
        </is>
      </c>
      <c r="O37" s="18" t="inlineStr">
        <is>
          <t>The freedom of changing a data shape without a migration.</t>
        </is>
      </c>
      <c r="P37" s="18" t="inlineStr">
        <is>
          <t>NoSQL databases, such as DynamoDB, Cosmos DB or Firestore, store data as key-value pairs, documents or other flexible shapes, and scale horizontally.</t>
        </is>
      </c>
      <c r="Q37" s="17" t="n"/>
      <c r="R37" s="18" t="inlineStr">
        <is>
          <t>Access is usually by key, which gives predictable speed even at massive scale. Schemas are flexible, but you must plan access patterns up front. Joins and complex queries are limited. They suit sessions, carts, IoT data and profiles. Relational databases remain better for complex relationships and reporting.</t>
        </is>
      </c>
      <c r="S37" s="18" t="inlineStr">
        <is>
          <t>NoSQL stores flexible data fast by key. Plan how you will read it before you design it.</t>
        </is>
      </c>
      <c r="T37" s="18" t="inlineStr">
        <is>
          <t>It is a filing cabinet where each folder can hold different papers.</t>
        </is>
      </c>
      <c r="U37" s="18" t="inlineStr">
        <is>
          <t>Key lookups are fast. Complex joins are not the strength.</t>
        </is>
      </c>
      <c r="V37" s="18" t="inlineStr">
        <is>
          <t>A shopping cart stored under a user key.</t>
        </is>
      </c>
      <c r="W37" s="18" t="inlineStr">
        <is>
          <t>Sensor readings saved at a high rate.</t>
        </is>
      </c>
      <c r="X37" s="18" t="inlineStr">
        <is>
          <t>User profiles with different optional fields.</t>
        </is>
      </c>
      <c r="Y37" s="18" t="inlineStr">
        <is>
          <t>relational databases, caching, backups, queues</t>
        </is>
      </c>
      <c r="Z37" s="18" t="inlineStr">
        <is>
          <t>key-value, document, partition key, scale, schema-less</t>
        </is>
      </c>
      <c r="AA37" s="18" t="inlineStr">
        <is>
          <t>High traffic apps | IoT | Profiles</t>
        </is>
      </c>
      <c r="AB37" s="18" t="inlineStr">
        <is>
          <t>A: We need millions of simple lookups a second. | B: A key-value NoSQL table fits.</t>
        </is>
      </c>
      <c r="AC37" s="18" t="inlineStr">
        <is>
          <t>✗ NoSQL is always faster than SQL → ✓ It is fast for the access patterns it was designed for, and weaker for complex queries</t>
        </is>
      </c>
      <c r="AD37" s="18" t="inlineStr">
        <is>
          <t>SQL vs NoSQL: SQL fits relations and joins, NoSQL fits key lookups at scale.</t>
        </is>
      </c>
      <c r="AE37" s="18" t="inlineStr">
        <is>
          <t>Do not pick NoSQL only because it sounds modern.</t>
        </is>
      </c>
      <c r="AF37" s="18" t="inlineStr">
        <is>
          <t>NoSQL is great by key, weak at joins.</t>
        </is>
      </c>
      <c r="AG37" s="18" t="inlineStr">
        <is>
          <t>Storing session data in a key-value table to handle sudden traffic bursts.</t>
        </is>
      </c>
      <c r="AH37" s="18" t="inlineStr">
        <is>
          <t>An interviewer may ask: When would you choose NoSQL over SQL?</t>
        </is>
      </c>
      <c r="AI37" s="18" t="inlineStr">
        <is>
          <t>It is like folders that each hold different papers.</t>
        </is>
      </c>
      <c r="AJ37" s="18" t="inlineStr">
        <is>
          <t>What is NoSQL usually best at?</t>
        </is>
      </c>
      <c r="AK37" s="18" t="inlineStr">
        <is>
          <t>A) Printing B) Fast access by key at scale C) Complex joins D) Spreadsheet maths</t>
        </is>
      </c>
      <c r="AL37" s="18" t="inlineStr">
        <is>
          <t>B</t>
        </is>
      </c>
      <c r="AM37" s="18" t="inlineStr">
        <is>
          <t>Key lookups scale predictably.</t>
        </is>
      </c>
      <c r="AN37" s="18" t="inlineStr">
        <is>
          <t>A NoSQL table is usually read by its ____ key → partition</t>
        </is>
      </c>
      <c r="AO37" s="18" t="inlineStr">
        <is>
          <t>A cart must be fetched by user id millions of times. Which fits? → A key-value NoSQL table</t>
        </is>
      </c>
      <c r="AP37" s="18" t="inlineStr">
        <is>
          <t>Explain NoSQL in three lines.</t>
        </is>
      </c>
      <c r="AQ37" s="18" t="inlineStr">
        <is>
          <t>Give two cases for SQL and two for NoSQL.</t>
        </is>
      </c>
      <c r="AR37" s="17">
        <f>IF(J37="","",REPT("★",J37)&amp;REPT("☆",5-J37)&amp;" ("&amp;J37&amp;"/5)")</f>
        <v/>
      </c>
      <c r="AS37" s="17">
        <f>IF(Q37="","","Meaning: "&amp;Q37&amp;"  =  ______   (Answer: "&amp;F37&amp;")")</f>
        <v/>
      </c>
      <c r="AT37" s="17" t="inlineStr">
        <is>
          <t>New</t>
        </is>
      </c>
      <c r="AU37" s="17" t="n"/>
      <c r="AV37" s="17" t="n"/>
      <c r="AW37" s="17" t="n"/>
      <c r="AX37" s="17" t="n"/>
      <c r="AY37" s="17" t="n"/>
      <c r="AZ37" s="17" t="n"/>
      <c r="BA37" s="17" t="n"/>
      <c r="BB37" s="17" t="n"/>
    </row>
    <row r="38" ht="94.5" customHeight="1">
      <c r="A38" s="17" t="inlineStr">
        <is>
          <t>CLD-036</t>
        </is>
      </c>
      <c r="B38" s="17" t="inlineStr">
        <is>
          <t>06 Data Services</t>
        </is>
      </c>
      <c r="C38" s="17" t="inlineStr">
        <is>
          <t>Intermediate</t>
        </is>
      </c>
      <c r="D38" s="17" t="n">
        <v>36</v>
      </c>
      <c r="E38" s="17" t="inlineStr">
        <is>
          <t>Claude knowledge</t>
        </is>
      </c>
      <c r="F38" s="18" t="inlineStr">
        <is>
          <t>Caching</t>
        </is>
      </c>
      <c r="G38" s="18" t="inlineStr">
        <is>
          <t>Which service keeps frequently used data in fast memory to reduce load and delay?</t>
        </is>
      </c>
      <c r="H38" s="18" t="inlineStr">
        <is>
          <t>Core concept</t>
        </is>
      </c>
      <c r="I38" s="18" t="inlineStr">
        <is>
          <t>High</t>
        </is>
      </c>
      <c r="J38" s="18" t="n">
        <v>4</v>
      </c>
      <c r="K38" s="18" t="inlineStr">
        <is>
          <t>Reading from a database for the same answer again and again is slow, so a quick memory store was placed in front.</t>
        </is>
      </c>
      <c r="L38" s="18" t="inlineStr">
        <is>
          <t>Always set an expiry on cached values and decide how stale data may be.</t>
        </is>
      </c>
      <c r="M38" s="18" t="inlineStr">
        <is>
          <t>A cache is a sticky note of answers you use daily, kept right on your desk.</t>
        </is>
      </c>
      <c r="N38" s="18" t="inlineStr">
        <is>
          <t>An app asking a cache first and the database only on a miss.</t>
        </is>
      </c>
      <c r="O38" s="18" t="inlineStr">
        <is>
          <t>The speed of an answer returned in a millisecond.</t>
        </is>
      </c>
      <c r="P38" s="18" t="inlineStr">
        <is>
          <t>A cache, such as Redis or Memcached in a managed service, keeps data in memory so repeated reads are served much faster than from a database.</t>
        </is>
      </c>
      <c r="Q38" s="17" t="n"/>
      <c r="R38" s="18" t="inlineStr">
        <is>
          <t>The app checks the cache first. On a hit it returns at once, and on a miss it reads the database and stores the result. Entries expire after a time to live. The hard part is invalidation, which means keeping cache and source in agreement. Managed options include ElastiCache and Memorystore.</t>
        </is>
      </c>
      <c r="S38" s="18" t="inlineStr">
        <is>
          <t>Check the cache before the database, store the answer, and let it expire.</t>
        </is>
      </c>
      <c r="T38" s="18" t="inlineStr">
        <is>
          <t>It is a sticky note of daily answers kept on your desk.</t>
        </is>
      </c>
      <c r="U38" s="18" t="inlineStr">
        <is>
          <t>Hit = fast. Miss = read source and store.</t>
        </is>
      </c>
      <c r="V38" s="18" t="inlineStr">
        <is>
          <t>Caching the result of an expensive query for five minutes.</t>
        </is>
      </c>
      <c r="W38" s="18" t="inlineStr">
        <is>
          <t>Storing user sessions in memory.</t>
        </is>
      </c>
      <c r="X38" s="18" t="inlineStr">
        <is>
          <t>Counting requests per user for rate limiting.</t>
        </is>
      </c>
      <c r="Y38" s="18" t="inlineStr">
        <is>
          <t>databases, CDN, TTL, performance</t>
        </is>
      </c>
      <c r="Z38" s="18" t="inlineStr">
        <is>
          <t>cache, hit, miss, TTL, Redis</t>
        </is>
      </c>
      <c r="AA38" s="18" t="inlineStr">
        <is>
          <t>Sessions | Hot data | Rate limits</t>
        </is>
      </c>
      <c r="AB38" s="18" t="inlineStr">
        <is>
          <t>A: The same query runs ten thousand times a minute. | B: Cache the result for a short time.</t>
        </is>
      </c>
      <c r="AC38" s="18" t="inlineStr">
        <is>
          <t>✗ A cache always holds the latest data → ✓ It can be stale until the entry expires or is refreshed</t>
        </is>
      </c>
      <c r="AD38" s="18" t="inlineStr">
        <is>
          <t>Cache vs database: a cache is fast and temporary, a database is the durable source.</t>
        </is>
      </c>
      <c r="AE38" s="18" t="inlineStr">
        <is>
          <t>Do not store the only copy of important data in a cache.</t>
        </is>
      </c>
      <c r="AF38" s="18" t="inlineStr">
        <is>
          <t>Check the cache first, always set expiry.</t>
        </is>
      </c>
      <c r="AG38" s="18" t="inlineStr">
        <is>
          <t>Adding a cache for a slow report and cutting its load time sharply.</t>
        </is>
      </c>
      <c r="AH38" s="18" t="inlineStr">
        <is>
          <t>An interviewer may ask: What is a cache miss?</t>
        </is>
      </c>
      <c r="AI38" s="18" t="inlineStr">
        <is>
          <t>It is like a sticky note of answers on your desk.</t>
        </is>
      </c>
      <c r="AJ38" s="18" t="inlineStr">
        <is>
          <t>What happens on a cache miss?</t>
        </is>
      </c>
      <c r="AK38" s="18" t="inlineStr">
        <is>
          <t>A) The cache deletes the database B) Nothing C) The server stops D) The app reads the source and stores the result</t>
        </is>
      </c>
      <c r="AL38" s="18" t="inlineStr">
        <is>
          <t>D</t>
        </is>
      </c>
      <c r="AM38" s="18" t="inlineStr">
        <is>
          <t>A miss falls back to the source of truth.</t>
        </is>
      </c>
      <c r="AN38" s="18" t="inlineStr">
        <is>
          <t>How long a cached entry lives is its time to ____ → live</t>
        </is>
      </c>
      <c r="AO38" s="18" t="inlineStr">
        <is>
          <t>A report query is slow and repeated. What do you add? → A cache</t>
        </is>
      </c>
      <c r="AP38" s="18" t="inlineStr">
        <is>
          <t>Explain caching in three lines.</t>
        </is>
      </c>
      <c r="AQ38" s="18" t="inlineStr">
        <is>
          <t>List two things that should not be cached.</t>
        </is>
      </c>
      <c r="AR38" s="17">
        <f>IF(J38="","",REPT("★",J38)&amp;REPT("☆",5-J38)&amp;" ("&amp;J38&amp;"/5)")</f>
        <v/>
      </c>
      <c r="AS38" s="17">
        <f>IF(Q38="","","Meaning: "&amp;Q38&amp;"  =  ______   (Answer: "&amp;F38&amp;")")</f>
        <v/>
      </c>
      <c r="AT38" s="17" t="inlineStr">
        <is>
          <t>New</t>
        </is>
      </c>
      <c r="AU38" s="17" t="n"/>
      <c r="AV38" s="17" t="n"/>
      <c r="AW38" s="17" t="n"/>
      <c r="AX38" s="17" t="n"/>
      <c r="AY38" s="17" t="n"/>
      <c r="AZ38" s="17" t="n"/>
      <c r="BA38" s="17" t="n"/>
      <c r="BB38" s="17" t="n"/>
    </row>
    <row r="39" ht="121.5" customHeight="1">
      <c r="A39" s="17" t="inlineStr">
        <is>
          <t>CLD-037</t>
        </is>
      </c>
      <c r="B39" s="17" t="inlineStr">
        <is>
          <t>06 Data Services</t>
        </is>
      </c>
      <c r="C39" s="17" t="inlineStr">
        <is>
          <t>Intermediate</t>
        </is>
      </c>
      <c r="D39" s="17" t="n">
        <v>37</v>
      </c>
      <c r="E39" s="17" t="inlineStr">
        <is>
          <t>Claude knowledge</t>
        </is>
      </c>
      <c r="F39" s="18" t="inlineStr">
        <is>
          <t>Backups and snapshots</t>
        </is>
      </c>
      <c r="G39" s="18" t="inlineStr">
        <is>
          <t>Which practice protects data from loss by keeping restorable copies?</t>
        </is>
      </c>
      <c r="H39" s="18" t="inlineStr">
        <is>
          <t>Core concept</t>
        </is>
      </c>
      <c r="I39" s="18" t="inlineStr">
        <is>
          <t>Very high</t>
        </is>
      </c>
      <c r="J39" s="18" t="n">
        <v>5</v>
      </c>
      <c r="K39" s="18" t="inlineStr">
        <is>
          <t>Disks fail and mistakes happen, so copies of data must exist elsewhere and be proven restorable.</t>
        </is>
      </c>
      <c r="L39" s="18" t="inlineStr">
        <is>
          <t>A backup you have never restored is only a hope, so test restores regularly.</t>
        </is>
      </c>
      <c r="M39" s="18" t="inlineStr">
        <is>
          <t>Backups are spare keys kept in another house, tried once a year to see that they work.</t>
        </is>
      </c>
      <c r="N39" s="18" t="inlineStr">
        <is>
          <t>A database with arrows to copies in another region.</t>
        </is>
      </c>
      <c r="O39" s="18" t="inlineStr">
        <is>
          <t>The calm of a tested restore.</t>
        </is>
      </c>
      <c r="P39" s="18" t="inlineStr">
        <is>
          <t>A backup or snapshot is a point-in-time copy of data that can be restored after failure, deletion or corruption.</t>
        </is>
      </c>
      <c r="Q39" s="17" t="n"/>
      <c r="R39" s="18" t="inlineStr">
        <is>
          <t>Automated backups run on a schedule, and point-in-time recovery restores to a chosen moment. Snapshots can be copied to another region to survive a regional failure. Retention sets how long copies are kept. Two measures matter, recovery point objective for how much data you can lose and recovery time objective for how long you can be down. Backups need encryption and access control.</t>
        </is>
      </c>
      <c r="S39" s="18" t="inlineStr">
        <is>
          <t>Schedule copies, keep them elsewhere, protect them, and test restoring.</t>
        </is>
      </c>
      <c r="T39" s="18" t="inlineStr">
        <is>
          <t>Backups are spare keys kept in another house and tried once a year.</t>
        </is>
      </c>
      <c r="U39" s="18" t="inlineStr">
        <is>
          <t>RPO = data you can lose. RTO = time you can be down.</t>
        </is>
      </c>
      <c r="V39" s="18" t="inlineStr">
        <is>
          <t>Nightly automated database backups.</t>
        </is>
      </c>
      <c r="W39" s="18" t="inlineStr">
        <is>
          <t>A snapshot copied to a second region.</t>
        </is>
      </c>
      <c r="X39" s="18" t="inlineStr">
        <is>
          <t>Restoring to ten minutes before a bad delete.</t>
        </is>
      </c>
      <c r="Y39" s="18" t="inlineStr">
        <is>
          <t>block storage, managed databases, disaster recovery, lifecycle rules</t>
        </is>
      </c>
      <c r="Z39" s="18" t="inlineStr">
        <is>
          <t>snapshot, retention, restore, RPO, RTO</t>
        </is>
      </c>
      <c r="AA39" s="18" t="inlineStr">
        <is>
          <t>Databases | Servers | Compliance</t>
        </is>
      </c>
      <c r="AB39" s="18" t="inlineStr">
        <is>
          <t>A: Someone deleted the table. | B: Restore to a point before it from the backup.</t>
        </is>
      </c>
      <c r="AC39" s="18" t="inlineStr">
        <is>
          <t>✗ Replication is the same as a backup → ✓ Replication copies mistakes too, while a backup keeps earlier states</t>
        </is>
      </c>
      <c r="AD39" s="18" t="inlineStr">
        <is>
          <t>Replica vs backup: a replica mirrors current data, a backup preserves a past state.</t>
        </is>
      </c>
      <c r="AE39" s="18" t="inlineStr">
        <is>
          <t>Do not leave backups unencrypted or never tested.</t>
        </is>
      </c>
      <c r="AF39" s="18" t="inlineStr">
        <is>
          <t>An untested backup is only a hope.</t>
        </is>
      </c>
      <c r="AG39" s="18" t="inlineStr">
        <is>
          <t>Running a restore test every quarter and finding a missing permission before an incident.</t>
        </is>
      </c>
      <c r="AH39" s="18" t="inlineStr">
        <is>
          <t>An interviewer may ask: What are RPO and RTO?</t>
        </is>
      </c>
      <c r="AI39" s="18" t="inlineStr">
        <is>
          <t>It is like a spare key stored in another house.</t>
        </is>
      </c>
      <c r="AJ39" s="18" t="inlineStr">
        <is>
          <t>Which measure says how much data you can afford to lose?</t>
        </is>
      </c>
      <c r="AK39" s="18" t="inlineStr">
        <is>
          <t>A) RTO B) CIDR C) TTL D) RPO</t>
        </is>
      </c>
      <c r="AL39" s="18" t="inlineStr">
        <is>
          <t>D</t>
        </is>
      </c>
      <c r="AM39" s="18" t="inlineStr">
        <is>
          <t>The recovery point objective is the tolerated data loss.</t>
        </is>
      </c>
      <c r="AN39" s="18" t="inlineStr">
        <is>
          <t>Restoring to an exact moment is called point-in-time ____ → recovery</t>
        </is>
      </c>
      <c r="AO39" s="18" t="inlineStr">
        <is>
          <t>A table was deleted by mistake. What do you use? → A backup restore</t>
        </is>
      </c>
      <c r="AP39" s="18" t="inlineStr">
        <is>
          <t>Explain RPO and RTO in three lines.</t>
        </is>
      </c>
      <c r="AQ39" s="18" t="inlineStr">
        <is>
          <t>Write a backup plan for a small production database.</t>
        </is>
      </c>
      <c r="AR39" s="17">
        <f>IF(J39="","",REPT("★",J39)&amp;REPT("☆",5-J39)&amp;" ("&amp;J39&amp;"/5)")</f>
        <v/>
      </c>
      <c r="AS39" s="17">
        <f>IF(Q39="","","Meaning: "&amp;Q39&amp;"  =  ______   (Answer: "&amp;F39&amp;")")</f>
        <v/>
      </c>
      <c r="AT39" s="17" t="inlineStr">
        <is>
          <t>New</t>
        </is>
      </c>
      <c r="AU39" s="17" t="n"/>
      <c r="AV39" s="17" t="n"/>
      <c r="AW39" s="17" t="n"/>
      <c r="AX39" s="17" t="n"/>
      <c r="AY39" s="17" t="n"/>
      <c r="AZ39" s="17" t="n"/>
      <c r="BA39" s="17" t="n"/>
      <c r="BB39" s="17" t="n"/>
    </row>
    <row r="40" ht="135" customHeight="1">
      <c r="A40" s="17" t="inlineStr">
        <is>
          <t>CLD-038</t>
        </is>
      </c>
      <c r="B40" s="17" t="inlineStr">
        <is>
          <t>06 Data Services</t>
        </is>
      </c>
      <c r="C40" s="17" t="inlineStr">
        <is>
          <t>Intermediate</t>
        </is>
      </c>
      <c r="D40" s="17" t="n">
        <v>38</v>
      </c>
      <c r="E40" s="17" t="inlineStr">
        <is>
          <t>Claude knowledge</t>
        </is>
      </c>
      <c r="F40" s="18" t="inlineStr">
        <is>
          <t>Queues and topics (SQS and SNS)</t>
        </is>
      </c>
      <c r="G40" s="18" t="inlineStr">
        <is>
          <t>Which services pass messages between parts of a system without them waiting on each other?</t>
        </is>
      </c>
      <c r="H40" s="18" t="inlineStr">
        <is>
          <t>Core concept</t>
        </is>
      </c>
      <c r="I40" s="18" t="inlineStr">
        <is>
          <t>High</t>
        </is>
      </c>
      <c r="J40" s="18" t="n">
        <v>4</v>
      </c>
      <c r="K40" s="18" t="inlineStr">
        <is>
          <t>Tightly linked services fail together, so messages were placed in the middle to decouple senders from receivers.</t>
        </is>
      </c>
      <c r="L40" s="18" t="inlineStr">
        <is>
          <t>Make message handling idempotent, because messages can be delivered more than once.</t>
        </is>
      </c>
      <c r="M40" s="18" t="inlineStr">
        <is>
          <t>A queue is a ticket line at a counter, and a topic is a loudspeaker announcing to all listeners.</t>
        </is>
      </c>
      <c r="N40" s="18" t="inlineStr">
        <is>
          <t>Producers sending messages into a queue read later by workers.</t>
        </is>
      </c>
      <c r="O40" s="18" t="inlineStr">
        <is>
          <t>The ease of a system that absorbs sudden bursts.</t>
        </is>
      </c>
      <c r="P40" s="18" t="inlineStr">
        <is>
          <t>A queue stores messages until a consumer processes them, and a topic publishes each message to all of its subscribers, as with AWS SQS and SNS.</t>
        </is>
      </c>
      <c r="Q40" s="17" t="n"/>
      <c r="R40" s="18" t="inlineStr">
        <is>
          <t>With a queue, one worker takes each message, which suits background jobs and smoothing traffic spikes. With a topic, many subscribers such as queues, functions or emails receive a copy. If you configure a dead-letter queue, messages that keep failing are moved there after a set number of tries. Standard queues may deliver a message more than once. Azure Service Bus and GCP Pub/Sub play similar roles.</t>
        </is>
      </c>
      <c r="S40" s="18" t="inlineStr">
        <is>
          <t>Queues hand each job to one worker, topics broadcast to many listeners.</t>
        </is>
      </c>
      <c r="T40" s="18" t="inlineStr">
        <is>
          <t>A queue is a ticket line at a counter, and a topic is a loudspeaker for all listeners.</t>
        </is>
      </c>
      <c r="U40" s="18" t="inlineStr">
        <is>
          <t>Queue = one consumer per message. Topic = many subscribers per message.</t>
        </is>
      </c>
      <c r="V40" s="18" t="inlineStr">
        <is>
          <t>Uploads queued for image processing.</t>
        </is>
      </c>
      <c r="W40" s="18" t="inlineStr">
        <is>
          <t>An order event published to billing and shipping.</t>
        </is>
      </c>
      <c r="X40" s="18" t="inlineStr">
        <is>
          <t>A dead-letter queue collecting failures.</t>
        </is>
      </c>
      <c r="Y40" s="18" t="inlineStr">
        <is>
          <t>serverless functions, idempotency, ETL pipelines, Kafka</t>
        </is>
      </c>
      <c r="Z40" s="18" t="inlineStr">
        <is>
          <t>queue, topic, publish, subscribe, dead-letter</t>
        </is>
      </c>
      <c r="AA40" s="18" t="inlineStr">
        <is>
          <t>Background jobs | Events | Decoupled systems</t>
        </is>
      </c>
      <c r="AB40" s="18" t="inlineStr">
        <is>
          <t>A: The API times out during traffic spikes. | B: Put jobs in a queue and let workers catch up.</t>
        </is>
      </c>
      <c r="AC40" s="18" t="inlineStr">
        <is>
          <t>✗ Every message is delivered exactly once → ✓ Standard queues may deliver duplicates, so handlers must tolerate repeats</t>
        </is>
      </c>
      <c r="AD40" s="18" t="inlineStr">
        <is>
          <t>Queue vs topic: a queue gives each message to one consumer, a topic gives it to all.</t>
        </is>
      </c>
      <c r="AE40" s="18" t="inlineStr">
        <is>
          <t>Do not assume message order or single delivery unless the service promises it.</t>
        </is>
      </c>
      <c r="AF40" s="18" t="inlineStr">
        <is>
          <t>Queue is one worker, topic is many ears.</t>
        </is>
      </c>
      <c r="AG40" s="18" t="inlineStr">
        <is>
          <t>Moving slow image processing behind a queue so the API stayed fast.</t>
        </is>
      </c>
      <c r="AH40" s="18" t="inlineStr">
        <is>
          <t>An interviewer may ask: When would you use a queue?</t>
        </is>
      </c>
      <c r="AI40" s="18" t="inlineStr">
        <is>
          <t>It is like a ticket line at a counter.</t>
        </is>
      </c>
      <c r="AJ40" s="18" t="inlineStr">
        <is>
          <t>Where do repeatedly failing messages go?</t>
        </is>
      </c>
      <c r="AK40" s="18" t="inlineStr">
        <is>
          <t>A) A route table B) A dead-letter queue C) The load balancer D) A bucket</t>
        </is>
      </c>
      <c r="AL40" s="18" t="inlineStr">
        <is>
          <t>B</t>
        </is>
      </c>
      <c r="AM40" s="18" t="inlineStr">
        <is>
          <t>A dead-letter queue holds messages that could not be processed.</t>
        </is>
      </c>
      <c r="AN40" s="18" t="inlineStr">
        <is>
          <t>A handler that is safe to repeat is called ____ → idempotent</t>
        </is>
      </c>
      <c r="AO40" s="18" t="inlineStr">
        <is>
          <t>A burst of jobs overwhelms the workers. What helps absorb it? → A queue</t>
        </is>
      </c>
      <c r="AP40" s="18" t="inlineStr">
        <is>
          <t>Explain queues and topics in three lines.</t>
        </is>
      </c>
      <c r="AQ40" s="18" t="inlineStr">
        <is>
          <t>Design a flow where an upload triggers two actions.</t>
        </is>
      </c>
      <c r="AR40" s="17">
        <f>IF(J40="","",REPT("★",J40)&amp;REPT("☆",5-J40)&amp;" ("&amp;J40&amp;"/5)")</f>
        <v/>
      </c>
      <c r="AS40" s="17">
        <f>IF(Q40="","","Meaning: "&amp;Q40&amp;"  =  ______   (Answer: "&amp;F40&amp;")")</f>
        <v/>
      </c>
      <c r="AT40" s="17" t="inlineStr">
        <is>
          <t>New</t>
        </is>
      </c>
      <c r="AU40" s="17" t="n"/>
      <c r="AV40" s="17" t="n"/>
      <c r="AW40" s="17" t="n"/>
      <c r="AX40" s="17" t="n"/>
      <c r="AY40" s="17" t="n"/>
      <c r="AZ40" s="17" t="n"/>
      <c r="BA40" s="17" t="n"/>
      <c r="BB40" s="17" t="n"/>
    </row>
    <row r="41" ht="108" customHeight="1">
      <c r="A41" s="17" t="inlineStr">
        <is>
          <t>CLD-039</t>
        </is>
      </c>
      <c r="B41" s="17" t="inlineStr">
        <is>
          <t>07 Operations</t>
        </is>
      </c>
      <c r="C41" s="17" t="inlineStr">
        <is>
          <t>Beginner</t>
        </is>
      </c>
      <c r="D41" s="17" t="n">
        <v>39</v>
      </c>
      <c r="E41" s="17" t="inlineStr">
        <is>
          <t>Claude knowledge</t>
        </is>
      </c>
      <c r="F41" s="18" t="inlineStr">
        <is>
          <t>Monitoring (CloudWatch)</t>
        </is>
      </c>
      <c r="G41" s="18" t="inlineStr">
        <is>
          <t>Which service collects metrics and alarms so you know how your resources are doing?</t>
        </is>
      </c>
      <c r="H41" s="18" t="inlineStr">
        <is>
          <t>Core concept</t>
        </is>
      </c>
      <c r="I41" s="18" t="inlineStr">
        <is>
          <t>Very high</t>
        </is>
      </c>
      <c r="J41" s="18" t="n">
        <v>5</v>
      </c>
      <c r="K41" s="18" t="inlineStr">
        <is>
          <t>You cannot fix what you cannot see, so clouds record numbers about every resource and let you alert on them.</t>
        </is>
      </c>
      <c r="L41" s="18" t="inlineStr">
        <is>
          <t>Alarm on symptoms users feel, such as errors and latency, as well as on CPU.</t>
        </is>
      </c>
      <c r="M41" s="18" t="inlineStr">
        <is>
          <t>Monitoring is the dashboard of a car, with warning lights for trouble.</t>
        </is>
      </c>
      <c r="N41" s="18" t="inlineStr">
        <is>
          <t>A graph with a threshold line and an alarm bell.</t>
        </is>
      </c>
      <c r="O41" s="18" t="inlineStr">
        <is>
          <t>The reassurance of being told before users complain.</t>
        </is>
      </c>
      <c r="P41" s="18" t="inlineStr">
        <is>
          <t>Cloud monitoring, such as AWS CloudWatch, collects metrics, logs and events from resources and triggers alarms and actions when thresholds are crossed.</t>
        </is>
      </c>
      <c r="Q41" s="17" t="n"/>
      <c r="R41" s="18" t="inlineStr">
        <is>
          <t>Services publish metrics such as CPU, requests and errors automatically. You can add custom metrics from your own code. Alarms watch a metric and notify people or run automatic actions. Dashboards bring graphs together. Memory use often needs an agent to be reported. Azure Monitor and Google Cloud Monitoring are equivalents.</t>
        </is>
      </c>
      <c r="S41" s="18" t="inlineStr">
        <is>
          <t>Watch metrics on a dashboard and set alarms that notify the right people.</t>
        </is>
      </c>
      <c r="T41" s="18" t="inlineStr">
        <is>
          <t>It is the dashboard of a car with warning lights.</t>
        </is>
      </c>
      <c r="U41" s="18" t="inlineStr">
        <is>
          <t>Metric + threshold + action = alarm.</t>
        </is>
      </c>
      <c r="V41" s="18" t="inlineStr">
        <is>
          <t>An alarm when error rate passes 5 percent.</t>
        </is>
      </c>
      <c r="W41" s="18" t="inlineStr">
        <is>
          <t>A dashboard showing requests and latency.</t>
        </is>
      </c>
      <c r="X41" s="18" t="inlineStr">
        <is>
          <t>An alarm that triggers scaling out.</t>
        </is>
      </c>
      <c r="Y41" s="18" t="inlineStr">
        <is>
          <t>logging, auto scaling, health checks, alerts</t>
        </is>
      </c>
      <c r="Z41" s="18" t="inlineStr">
        <is>
          <t>metric, alarm, dashboard, threshold, agent</t>
        </is>
      </c>
      <c r="AA41" s="18" t="inlineStr">
        <is>
          <t>Operations | Incident response | Capacity planning</t>
        </is>
      </c>
      <c r="AB41" s="18" t="inlineStr">
        <is>
          <t>A: How did we find out the API was failing? | B: An error-rate alarm sent a message.</t>
        </is>
      </c>
      <c r="AC41" s="18" t="inlineStr">
        <is>
          <t>✗ Monitoring only needs CPU graphs → ✓ User-facing symptoms such as errors and latency matter more</t>
        </is>
      </c>
      <c r="AD41" s="18" t="inlineStr">
        <is>
          <t>Metrics vs logs: metrics are numbers over time, logs are detailed event records.</t>
        </is>
      </c>
      <c r="AE41" s="18" t="inlineStr">
        <is>
          <t>Do not create alarms that nobody reads or acts on.</t>
        </is>
      </c>
      <c r="AF41" s="18" t="inlineStr">
        <is>
          <t>Alarm on what users actually feel.</t>
        </is>
      </c>
      <c r="AG41" s="18" t="inlineStr">
        <is>
          <t>Adding error-rate alarms so outages were caught before customers reported them.</t>
        </is>
      </c>
      <c r="AH41" s="18" t="inlineStr">
        <is>
          <t>An interviewer may ask: What would you monitor on a web service?</t>
        </is>
      </c>
      <c r="AI41" s="18" t="inlineStr">
        <is>
          <t>It is like the dashboard lights in a car.</t>
        </is>
      </c>
      <c r="AJ41" s="18" t="inlineStr">
        <is>
          <t>What triggers an alarm?</t>
        </is>
      </c>
      <c r="AK41" s="18" t="inlineStr">
        <is>
          <t>A) A tag change B) A region change C) A metric crossing a threshold D) A new user</t>
        </is>
      </c>
      <c r="AL41" s="18" t="inlineStr">
        <is>
          <t>C</t>
        </is>
      </c>
      <c r="AM41" s="18" t="inlineStr">
        <is>
          <t>Alarms watch a metric against a condition.</t>
        </is>
      </c>
      <c r="AN41" s="18" t="inlineStr">
        <is>
          <t>A graph screen that gathers key metrics is a ____ → dashboard</t>
        </is>
      </c>
      <c r="AO41" s="18" t="inlineStr">
        <is>
          <t>You want to be told when errors rise. What do you create? → An alarm</t>
        </is>
      </c>
      <c r="AP41" s="18" t="inlineStr">
        <is>
          <t>Explain cloud monitoring in three lines.</t>
        </is>
      </c>
      <c r="AQ41" s="18" t="inlineStr">
        <is>
          <t>List three metrics and thresholds for a web API.</t>
        </is>
      </c>
      <c r="AR41" s="17">
        <f>IF(J41="","",REPT("★",J41)&amp;REPT("☆",5-J41)&amp;" ("&amp;J41&amp;"/5)")</f>
        <v/>
      </c>
      <c r="AS41" s="17">
        <f>IF(Q41="","","Meaning: "&amp;Q41&amp;"  =  ______   (Answer: "&amp;F41&amp;")")</f>
        <v/>
      </c>
      <c r="AT41" s="17" t="inlineStr">
        <is>
          <t>New</t>
        </is>
      </c>
      <c r="AU41" s="17" t="n"/>
      <c r="AV41" s="17" t="n"/>
      <c r="AW41" s="17" t="n"/>
      <c r="AX41" s="17" t="n"/>
      <c r="AY41" s="17" t="n"/>
      <c r="AZ41" s="17" t="n"/>
      <c r="BA41" s="17" t="n"/>
      <c r="BB41" s="17" t="n"/>
    </row>
    <row r="42" ht="108" customHeight="1">
      <c r="A42" s="17" t="inlineStr">
        <is>
          <t>CLD-040</t>
        </is>
      </c>
      <c r="B42" s="17" t="inlineStr">
        <is>
          <t>07 Operations</t>
        </is>
      </c>
      <c r="C42" s="17" t="inlineStr">
        <is>
          <t>Intermediate</t>
        </is>
      </c>
      <c r="D42" s="17" t="n">
        <v>40</v>
      </c>
      <c r="E42" s="17" t="inlineStr">
        <is>
          <t>Claude knowledge</t>
        </is>
      </c>
      <c r="F42" s="18" t="inlineStr">
        <is>
          <t>Cloud logging</t>
        </is>
      </c>
      <c r="G42" s="18" t="inlineStr">
        <is>
          <t>How do you collect and search logs from many cloud resources in one place?</t>
        </is>
      </c>
      <c r="H42" s="18" t="inlineStr">
        <is>
          <t>Core concept</t>
        </is>
      </c>
      <c r="I42" s="18" t="inlineStr">
        <is>
          <t>High</t>
        </is>
      </c>
      <c r="J42" s="18" t="n">
        <v>4</v>
      </c>
      <c r="K42" s="18" t="inlineStr">
        <is>
          <t>Logs scattered over many servers are useless in an incident, so services ship them to one searchable place.</t>
        </is>
      </c>
      <c r="L42" s="18" t="inlineStr">
        <is>
          <t>Log in a structured format and never write secrets into logs.</t>
        </is>
      </c>
      <c r="M42" s="18" t="inlineStr">
        <is>
          <t>Central logging is a single library where every machine files its diary.</t>
        </is>
      </c>
      <c r="N42" s="18" t="inlineStr">
        <is>
          <t>Many sources flowing into one search box.</t>
        </is>
      </c>
      <c r="O42" s="18" t="inlineStr">
        <is>
          <t>The speed of finding one error among millions of lines.</t>
        </is>
      </c>
      <c r="P42" s="18" t="inlineStr">
        <is>
          <t>Cloud logging collects log records from applications and services into a central store where they can be searched, kept for a chosen time and used for alerts.</t>
        </is>
      </c>
      <c r="Q42" s="17" t="n"/>
      <c r="R42" s="18" t="inlineStr">
        <is>
          <t>Services and agents send logs to a log service, grouped by source. You search with queries and can turn patterns into metrics and alarms. Retention controls cost and compliance. Audit logs, such as CloudTrail, record who did what in the account and are vital for security. Logs may contain personal data, so access must be limited.</t>
        </is>
      </c>
      <c r="S42" s="18" t="inlineStr">
        <is>
          <t>Send every log to one place, keep it for a set time, and search it during incidents.</t>
        </is>
      </c>
      <c r="T42" s="18" t="inlineStr">
        <is>
          <t>It is a library where every machine files its diary.</t>
        </is>
      </c>
      <c r="U42" s="18" t="inlineStr">
        <is>
          <t>Collect → store → search → alert.</t>
        </is>
      </c>
      <c r="V42" s="18" t="inlineStr">
        <is>
          <t>Searching for all errors in the last hour.</t>
        </is>
      </c>
      <c r="W42" s="18" t="inlineStr">
        <is>
          <t>An audit log showing who deleted a bucket.</t>
        </is>
      </c>
      <c r="X42" s="18" t="inlineStr">
        <is>
          <t>A metric built from a log pattern.</t>
        </is>
      </c>
      <c r="Y42" s="18" t="inlineStr">
        <is>
          <t>monitoring, audit trail, retention, observability</t>
        </is>
      </c>
      <c r="Z42" s="18" t="inlineStr">
        <is>
          <t>log group, retention, query, audit trail, structured</t>
        </is>
      </c>
      <c r="AA42" s="18" t="inlineStr">
        <is>
          <t>Debugging | Security | Compliance</t>
        </is>
      </c>
      <c r="AB42" s="18" t="inlineStr">
        <is>
          <t>A: Who changed the security group? | B: The audit log shows the user and time.</t>
        </is>
      </c>
      <c r="AC42" s="18" t="inlineStr">
        <is>
          <t>✗ More logs always make debugging easier → ✓ Noisy or unstructured logs hide the useful lines and cost money</t>
        </is>
      </c>
      <c r="AD42" s="18" t="inlineStr">
        <is>
          <t>Application log vs audit log: one records app behaviour, the other records account actions.</t>
        </is>
      </c>
      <c r="AE42" s="18" t="inlineStr">
        <is>
          <t>Do not log passwords, tokens or personal data.</t>
        </is>
      </c>
      <c r="AF42" s="18" t="inlineStr">
        <is>
          <t>One library, structured diaries, no secrets.</t>
        </is>
      </c>
      <c r="AG42" s="18" t="inlineStr">
        <is>
          <t>Using the audit log to find who changed a firewall rule before an outage.</t>
        </is>
      </c>
      <c r="AH42" s="18" t="inlineStr">
        <is>
          <t>An interviewer may ask: How do you find out who changed a cloud setting?</t>
        </is>
      </c>
      <c r="AI42" s="18" t="inlineStr">
        <is>
          <t>It is like a library where every machine files its diary.</t>
        </is>
      </c>
      <c r="AJ42" s="18" t="inlineStr">
        <is>
          <t>Which log shows who performed an action in the account?</t>
        </is>
      </c>
      <c r="AK42" s="18" t="inlineStr">
        <is>
          <t>A) The audit log B) A disk log C) A DNS record D) A web server log</t>
        </is>
      </c>
      <c r="AL42" s="18" t="inlineStr">
        <is>
          <t>A</t>
        </is>
      </c>
      <c r="AM42" s="18" t="inlineStr">
        <is>
          <t>Audit logs record account activity.</t>
        </is>
      </c>
      <c r="AN42" s="18" t="inlineStr">
        <is>
          <t>How long logs are kept is the ____ setting → retention</t>
        </is>
      </c>
      <c r="AO42" s="18" t="inlineStr">
        <is>
          <t>You must find who deleted a bucket. Where do you look? → The audit log</t>
        </is>
      </c>
      <c r="AP42" s="18" t="inlineStr">
        <is>
          <t>Explain central logging in three lines.</t>
        </is>
      </c>
      <c r="AQ42" s="18" t="inlineStr">
        <is>
          <t>Write what a good log line should contain.</t>
        </is>
      </c>
      <c r="AR42" s="17">
        <f>IF(J42="","",REPT("★",J42)&amp;REPT("☆",5-J42)&amp;" ("&amp;J42&amp;"/5)")</f>
        <v/>
      </c>
      <c r="AS42" s="17">
        <f>IF(Q42="","","Meaning: "&amp;Q42&amp;"  =  ______   (Answer: "&amp;F42&amp;")")</f>
        <v/>
      </c>
      <c r="AT42" s="17" t="inlineStr">
        <is>
          <t>New</t>
        </is>
      </c>
      <c r="AU42" s="17" t="n"/>
      <c r="AV42" s="17" t="n"/>
      <c r="AW42" s="17" t="n"/>
      <c r="AX42" s="17" t="n"/>
      <c r="AY42" s="17" t="n"/>
      <c r="AZ42" s="17" t="n"/>
      <c r="BA42" s="17" t="n"/>
      <c r="BB42" s="17" t="n"/>
    </row>
    <row r="43" ht="121.5" customHeight="1">
      <c r="A43" s="17" t="inlineStr">
        <is>
          <t>CLD-041</t>
        </is>
      </c>
      <c r="B43" s="17" t="inlineStr">
        <is>
          <t>07 Operations</t>
        </is>
      </c>
      <c r="C43" s="17" t="inlineStr">
        <is>
          <t>Intermediate</t>
        </is>
      </c>
      <c r="D43" s="17" t="n">
        <v>41</v>
      </c>
      <c r="E43" s="17" t="inlineStr">
        <is>
          <t>Claude knowledge</t>
        </is>
      </c>
      <c r="F43" s="18" t="inlineStr">
        <is>
          <t>Infrastructure as code</t>
        </is>
      </c>
      <c r="G43" s="18" t="inlineStr">
        <is>
          <t>Which practice defines cloud resources in files so they can be reviewed and repeated?</t>
        </is>
      </c>
      <c r="H43" s="18" t="inlineStr">
        <is>
          <t>Core concept</t>
        </is>
      </c>
      <c r="I43" s="18" t="inlineStr">
        <is>
          <t>Very high</t>
        </is>
      </c>
      <c r="J43" s="18" t="n">
        <v>5</v>
      </c>
      <c r="K43" s="18" t="inlineStr">
        <is>
          <t>Clicking through consoles gave inconsistent environments, so resources were described in code that tools apply automatically.</t>
        </is>
      </c>
      <c r="L43" s="18" t="inlineStr">
        <is>
          <t>Keep the code in Git, review changes like any other code, and avoid manual console edits.</t>
        </is>
      </c>
      <c r="M43" s="18" t="inlineStr">
        <is>
          <t>Infrastructure as code is a recipe card instead of cooking from memory.</t>
        </is>
      </c>
      <c r="N43" s="18" t="inlineStr">
        <is>
          <t>A file of resource definitions producing a diagram of servers.</t>
        </is>
      </c>
      <c r="O43" s="18" t="inlineStr">
        <is>
          <t>The confidence of rebuilding an environment from scratch.</t>
        </is>
      </c>
      <c r="P43" s="18" t="inlineStr">
        <is>
          <t>Infrastructure as code describes cloud resources in files, using tools such as CloudFormation or Terraform, and applies them to create, change or remove the resources.</t>
        </is>
      </c>
      <c r="Q43" s="17" t="n"/>
      <c r="R43" s="18" t="inlineStr">
        <is>
          <t>You write the desired state, and the tool plans the changes. A plan shows what will be created, changed or destroyed before anything happens. State files record what exists, and must be stored safely and shared. The same code can build dev, test and production. Drift happens when someone changes resources by hand. Terraform works across clouds, and CloudFormation is AWS only.</t>
        </is>
      </c>
      <c r="S43" s="18" t="inlineStr">
        <is>
          <t>Write the desired setup in code, review the plan, apply it, and keep it in Git.</t>
        </is>
      </c>
      <c r="T43" s="18" t="inlineStr">
        <is>
          <t>It is a recipe card instead of cooking from memory.</t>
        </is>
      </c>
      <c r="U43" s="18" t="inlineStr">
        <is>
          <t>Code → plan → apply → state.</t>
        </is>
      </c>
      <c r="V43" s="18" t="inlineStr">
        <is>
          <t>A Terraform file creating a bucket and a role.</t>
        </is>
      </c>
      <c r="W43" s="18" t="inlineStr">
        <is>
          <t>The same code deployed to test and production.</t>
        </is>
      </c>
      <c r="X43" s="18" t="inlineStr">
        <is>
          <t>A plan showing one resource will be replaced.</t>
        </is>
      </c>
      <c r="Y43" s="18" t="inlineStr">
        <is>
          <t>version control, CI/CD, tagging, drift</t>
        </is>
      </c>
      <c r="Z43" s="18" t="inlineStr">
        <is>
          <t>Terraform, CloudFormation, plan, state, drift</t>
        </is>
      </c>
      <c r="AA43" s="18" t="inlineStr">
        <is>
          <t>Environments | Repeatable setups | Reviews</t>
        </is>
      </c>
      <c r="AB43" s="18" t="inlineStr">
        <is>
          <t>A: Someone edited the firewall by hand. | B: That is drift, so apply the code to restore it.</t>
        </is>
      </c>
      <c r="AC43" s="18" t="inlineStr">
        <is>
          <t>✗ A console change is faster, so it is fine to skip the code → ✓ Manual changes drift and cannot be repeated or reviewed</t>
        </is>
      </c>
      <c r="AD43" s="18" t="inlineStr">
        <is>
          <t>Terraform vs CloudFormation: Terraform works across clouds, CloudFormation is AWS only.</t>
        </is>
      </c>
      <c r="AE43" s="18" t="inlineStr">
        <is>
          <t>Do not store state files or secrets in a public repository.</t>
        </is>
      </c>
      <c r="AF43" s="18" t="inlineStr">
        <is>
          <t>Code, plan, apply, never click ad hoc.</t>
        </is>
      </c>
      <c r="AG43" s="18" t="inlineStr">
        <is>
          <t>Rebuilding a customer test environment from code in minutes after a failure.</t>
        </is>
      </c>
      <c r="AH43" s="18" t="inlineStr">
        <is>
          <t>An interviewer may ask: What is configuration drift?</t>
        </is>
      </c>
      <c r="AI43" s="18" t="inlineStr">
        <is>
          <t>It is like cooking from a recipe card.</t>
        </is>
      </c>
      <c r="AJ43" s="18" t="inlineStr">
        <is>
          <t>What does a plan show?</t>
        </is>
      </c>
      <c r="AK43" s="18" t="inlineStr">
        <is>
          <t>A) Logs B) Billing C) What will change before it is applied D) Users</t>
        </is>
      </c>
      <c r="AL43" s="18" t="inlineStr">
        <is>
          <t>C</t>
        </is>
      </c>
      <c r="AM43" s="18" t="inlineStr">
        <is>
          <t>A plan previews creates, updates and deletions.</t>
        </is>
      </c>
      <c r="AN43" s="18" t="inlineStr">
        <is>
          <t>Changes made by hand outside the code cause ____ → drift</t>
        </is>
      </c>
      <c r="AO43" s="18" t="inlineStr">
        <is>
          <t>You must create the same setup in test and production. What do you use? → Infrastructure as code</t>
        </is>
      </c>
      <c r="AP43" s="18" t="inlineStr">
        <is>
          <t>Explain infrastructure as code in three lines.</t>
        </is>
      </c>
      <c r="AQ43" s="18" t="inlineStr">
        <is>
          <t>List the steps from writing code to a deployed resource.</t>
        </is>
      </c>
      <c r="AR43" s="17">
        <f>IF(J43="","",REPT("★",J43)&amp;REPT("☆",5-J43)&amp;" ("&amp;J43&amp;"/5)")</f>
        <v/>
      </c>
      <c r="AS43" s="17">
        <f>IF(Q43="","","Meaning: "&amp;Q43&amp;"  =  ______   (Answer: "&amp;F43&amp;")")</f>
        <v/>
      </c>
      <c r="AT43" s="17" t="inlineStr">
        <is>
          <t>New</t>
        </is>
      </c>
      <c r="AU43" s="17" t="n"/>
      <c r="AV43" s="17" t="n"/>
      <c r="AW43" s="17" t="n"/>
      <c r="AX43" s="17" t="n"/>
      <c r="AY43" s="17" t="n"/>
      <c r="AZ43" s="17" t="n"/>
      <c r="BA43" s="17" t="n"/>
      <c r="BB43" s="17" t="n"/>
    </row>
    <row r="44" ht="108" customHeight="1">
      <c r="A44" s="17" t="inlineStr">
        <is>
          <t>CLD-042</t>
        </is>
      </c>
      <c r="B44" s="17" t="inlineStr">
        <is>
          <t>07 Operations</t>
        </is>
      </c>
      <c r="C44" s="17" t="inlineStr">
        <is>
          <t>Beginner</t>
        </is>
      </c>
      <c r="D44" s="17" t="n">
        <v>42</v>
      </c>
      <c r="E44" s="17" t="inlineStr">
        <is>
          <t>Claude knowledge</t>
        </is>
      </c>
      <c r="F44" s="18" t="inlineStr">
        <is>
          <t>Tagging</t>
        </is>
      </c>
      <c r="G44" s="18" t="inlineStr">
        <is>
          <t>Which labels help you find, group and charge for cloud resources?</t>
        </is>
      </c>
      <c r="H44" s="18" t="inlineStr">
        <is>
          <t>Core concept</t>
        </is>
      </c>
      <c r="I44" s="18" t="inlineStr">
        <is>
          <t>High</t>
        </is>
      </c>
      <c r="J44" s="18" t="n">
        <v>4</v>
      </c>
      <c r="K44" s="18" t="inlineStr">
        <is>
          <t>Accounts fill with resources nobody remembers, so key-value labels were added to show owners, purpose and cost centre.</t>
        </is>
      </c>
      <c r="L44" s="18" t="inlineStr">
        <is>
          <t>Agree a small set of required tags and enforce them in code.</t>
        </is>
      </c>
      <c r="M44" s="18" t="inlineStr">
        <is>
          <t>Tags are name stickers on every box in a warehouse.</t>
        </is>
      </c>
      <c r="N44" s="18" t="inlineStr">
        <is>
          <t>Resources with coloured labels such as owner and environment.</t>
        </is>
      </c>
      <c r="O44" s="18" t="inlineStr">
        <is>
          <t>The ease of knowing who owns a mystery server.</t>
        </is>
      </c>
      <c r="P44" s="18" t="inlineStr">
        <is>
          <t>Tags are key-value labels attached to cloud resources, used to identify owners, environments and cost centres and to filter and report on them.</t>
        </is>
      </c>
      <c r="Q44" s="17" t="n"/>
      <c r="R44" s="18" t="inlineStr">
        <is>
          <t>Typical tags are owner, environment, project and cost centre. Cost reports can be split by tag, so each team sees its own spend. Policies can require tags or automate actions on them. Tags are not secret, so they must not hold sensitive values. Consistent naming matters, since Environment and environment are different keys.</t>
        </is>
      </c>
      <c r="S44" s="18" t="inlineStr">
        <is>
          <t>Label everything with owner and environment, and use the labels for cost and cleanup.</t>
        </is>
      </c>
      <c r="T44" s="18" t="inlineStr">
        <is>
          <t>Tags are name stickers on every box in a warehouse.</t>
        </is>
      </c>
      <c r="U44" s="18" t="inlineStr">
        <is>
          <t>Owner + environment + project on every resource.</t>
        </is>
      </c>
      <c r="V44" s="18" t="inlineStr">
        <is>
          <t>A tag Owner=data-team on a bucket.</t>
        </is>
      </c>
      <c r="W44" s="18" t="inlineStr">
        <is>
          <t>A cost report grouped by project tag.</t>
        </is>
      </c>
      <c r="X44" s="18" t="inlineStr">
        <is>
          <t>A cleanup job deleting resources tagged temporary.</t>
        </is>
      </c>
      <c r="Y44" s="18" t="inlineStr">
        <is>
          <t>cost alerts, cleanup, infrastructure as code, governance</t>
        </is>
      </c>
      <c r="Z44" s="18" t="inlineStr">
        <is>
          <t>tag, label, key, value, cost allocation</t>
        </is>
      </c>
      <c r="AA44" s="18" t="inlineStr">
        <is>
          <t>Cost reports | Ownership | Cleanup</t>
        </is>
      </c>
      <c r="AB44" s="18" t="inlineStr">
        <is>
          <t>A: Who owns this server and who pays for it? | B: Check its Owner tag.</t>
        </is>
      </c>
      <c r="AC44" s="18" t="inlineStr">
        <is>
          <t>✗ Tags are a safe place to put secrets → ✓ Tags are visible to many people and must hold only non-sensitive labels</t>
        </is>
      </c>
      <c r="AD44" s="18" t="inlineStr">
        <is>
          <t>Tag vs name: a name identifies one resource, tags describe groups of them.</t>
        </is>
      </c>
      <c r="AE44" s="18" t="inlineStr">
        <is>
          <t>Do not use inconsistent tag keys across teams.</t>
        </is>
      </c>
      <c r="AF44" s="18" t="inlineStr">
        <is>
          <t>Tag every box with an owner.</t>
        </is>
      </c>
      <c r="AG44" s="18" t="inlineStr">
        <is>
          <t>Adding required tags so the monthly bill could be split by customer project.</t>
        </is>
      </c>
      <c r="AH44" s="18" t="inlineStr">
        <is>
          <t>An interviewer may ask: How do you track cost per team?</t>
        </is>
      </c>
      <c r="AI44" s="18" t="inlineStr">
        <is>
          <t>It is like name stickers on every box.</t>
        </is>
      </c>
      <c r="AJ44" s="18" t="inlineStr">
        <is>
          <t>What are tags made of?</t>
        </is>
      </c>
      <c r="AK44" s="18" t="inlineStr">
        <is>
          <t>A) Passwords B) Key-value pairs C) Routes D) Images</t>
        </is>
      </c>
      <c r="AL44" s="18" t="inlineStr">
        <is>
          <t>B</t>
        </is>
      </c>
      <c r="AM44" s="18" t="inlineStr">
        <is>
          <t>Each tag has a key and a value.</t>
        </is>
      </c>
      <c r="AN44" s="18" t="inlineStr">
        <is>
          <t>A common tag that names who is responsible is ____ → Owner</t>
        </is>
      </c>
      <c r="AO44" s="18" t="inlineStr">
        <is>
          <t>You need the bill split by project. What do you use? → Tags</t>
        </is>
      </c>
      <c r="AP44" s="18" t="inlineStr">
        <is>
          <t>Explain tagging in three lines.</t>
        </is>
      </c>
      <c r="AQ44" s="18" t="inlineStr">
        <is>
          <t>Define five required tags for your account.</t>
        </is>
      </c>
      <c r="AR44" s="17">
        <f>IF(J44="","",REPT("★",J44)&amp;REPT("☆",5-J44)&amp;" ("&amp;J44&amp;"/5)")</f>
        <v/>
      </c>
      <c r="AS44" s="17">
        <f>IF(Q44="","","Meaning: "&amp;Q44&amp;"  =  ______   (Answer: "&amp;F44&amp;")")</f>
        <v/>
      </c>
      <c r="AT44" s="17" t="inlineStr">
        <is>
          <t>New</t>
        </is>
      </c>
      <c r="AU44" s="17" t="n"/>
      <c r="AV44" s="17" t="n"/>
      <c r="AW44" s="17" t="n"/>
      <c r="AX44" s="17" t="n"/>
      <c r="AY44" s="17" t="n"/>
      <c r="AZ44" s="17" t="n"/>
      <c r="BA44" s="17" t="n"/>
      <c r="BB44" s="17" t="n"/>
    </row>
    <row r="45" ht="108" customHeight="1">
      <c r="A45" s="17" t="inlineStr">
        <is>
          <t>CLD-043</t>
        </is>
      </c>
      <c r="B45" s="17" t="inlineStr">
        <is>
          <t>07 Operations</t>
        </is>
      </c>
      <c r="C45" s="17" t="inlineStr">
        <is>
          <t>Beginner</t>
        </is>
      </c>
      <c r="D45" s="17" t="n">
        <v>43</v>
      </c>
      <c r="E45" s="17" t="inlineStr">
        <is>
          <t>Claude knowledge</t>
        </is>
      </c>
      <c r="F45" s="18" t="inlineStr">
        <is>
          <t>Budgets and cost alerts</t>
        </is>
      </c>
      <c r="G45" s="18" t="inlineStr">
        <is>
          <t>Which settings warn you before the bill grows beyond what you planned?</t>
        </is>
      </c>
      <c r="H45" s="18" t="inlineStr">
        <is>
          <t>Core concept</t>
        </is>
      </c>
      <c r="I45" s="18" t="inlineStr">
        <is>
          <t>Very high</t>
        </is>
      </c>
      <c r="J45" s="18" t="n">
        <v>5</v>
      </c>
      <c r="K45" s="18" t="inlineStr">
        <is>
          <t>Surprise bills hurt new users, so providers added budgets that send warnings as spending approaches a limit.</t>
        </is>
      </c>
      <c r="L45" s="18" t="inlineStr">
        <is>
          <t>Set a budget alert on day one of any new account.</t>
        </is>
      </c>
      <c r="M45" s="18" t="inlineStr">
        <is>
          <t>A budget alert is a smoke detector for money.</t>
        </is>
      </c>
      <c r="N45" s="18" t="inlineStr">
        <is>
          <t>A bar of spending approaching a dashed budget line.</t>
        </is>
      </c>
      <c r="O45" s="18" t="inlineStr">
        <is>
          <t>The relief of an early warning instead of a shock.</t>
        </is>
      </c>
      <c r="P45" s="18" t="inlineStr">
        <is>
          <t>Budgets and cost alerts track spending against a limit you set and send notifications when actual or forecast cost crosses chosen thresholds.</t>
        </is>
      </c>
      <c r="Q45" s="17" t="n"/>
      <c r="R45" s="18" t="inlineStr">
        <is>
          <t>You create a budget for the account or for tags, and set alerts at levels such as 50, 80 and 100 percent. Forecast alerts warn before the money is spent. Anomaly detection flags unusual jumps. Alerts only notify, so they do not stop resources unless you add an automatic action. Cost explorer tools show where the money goes.</t>
        </is>
      </c>
      <c r="S45" s="18" t="inlineStr">
        <is>
          <t>Set a monthly budget with alerts, and check the cost report regularly.</t>
        </is>
      </c>
      <c r="T45" s="18" t="inlineStr">
        <is>
          <t>It is a smoke detector for money.</t>
        </is>
      </c>
      <c r="U45" s="18" t="inlineStr">
        <is>
          <t>Budget + thresholds + notification = early warning.</t>
        </is>
      </c>
      <c r="V45" s="18" t="inlineStr">
        <is>
          <t>An email at 80 percent of a monthly budget.</t>
        </is>
      </c>
      <c r="W45" s="18" t="inlineStr">
        <is>
          <t>A forecast alert predicting overspend.</t>
        </is>
      </c>
      <c r="X45" s="18" t="inlineStr">
        <is>
          <t>A report showing storage as the largest cost.</t>
        </is>
      </c>
      <c r="Y45" s="18" t="inlineStr">
        <is>
          <t>pay-as-you-go, tagging, cleanup, spot instances</t>
        </is>
      </c>
      <c r="Z45" s="18" t="inlineStr">
        <is>
          <t>budget, forecast, anomaly, threshold, cost explorer</t>
        </is>
      </c>
      <c r="AA45" s="18" t="inlineStr">
        <is>
          <t>New accounts | Finance reviews | Experiments</t>
        </is>
      </c>
      <c r="AB45" s="18" t="inlineStr">
        <is>
          <t>A: The bill doubled. | B: A forgotten service was running, and the alert came too late because none was set.</t>
        </is>
      </c>
      <c r="AC45" s="18" t="inlineStr">
        <is>
          <t>✗ A budget alert stops spending automatically → ✓ It only notifies unless you add an action</t>
        </is>
      </c>
      <c r="AD45" s="18" t="inlineStr">
        <is>
          <t>Actual vs forecast alert: actual fires after spending, forecast fires before.</t>
        </is>
      </c>
      <c r="AE45" s="18" t="inlineStr">
        <is>
          <t>Do not run experiments in an account with no alerts.</t>
        </is>
      </c>
      <c r="AF45" s="18" t="inlineStr">
        <is>
          <t>Set the alert before the first launch.</t>
        </is>
      </c>
      <c r="AG45" s="18" t="inlineStr">
        <is>
          <t>Creating budgets with alerts for a customer proof of concept account.</t>
        </is>
      </c>
      <c r="AH45" s="18" t="inlineStr">
        <is>
          <t>An interviewer may ask: How do you prevent surprise cloud bills?</t>
        </is>
      </c>
      <c r="AI45" s="18" t="inlineStr">
        <is>
          <t>It is like a smoke detector for money.</t>
        </is>
      </c>
      <c r="AJ45" s="18" t="inlineStr">
        <is>
          <t>Does a basic budget alert stop resources?</t>
        </is>
      </c>
      <c r="AK45" s="18" t="inlineStr">
        <is>
          <t>A) No, it only notifies B) It deletes them C) Only on weekends D) Yes, always</t>
        </is>
      </c>
      <c r="AL45" s="18" t="inlineStr">
        <is>
          <t>A</t>
        </is>
      </c>
      <c r="AM45" s="18" t="inlineStr">
        <is>
          <t>Stopping needs an extra automated action.</t>
        </is>
      </c>
      <c r="AN45" s="18" t="inlineStr">
        <is>
          <t>An alert that predicts overspend is a ____ alert → forecast</t>
        </is>
      </c>
      <c r="AO45" s="18" t="inlineStr">
        <is>
          <t>You are starting a new account. What do you set first? → A budget alert</t>
        </is>
      </c>
      <c r="AP45" s="18" t="inlineStr">
        <is>
          <t>Explain cost alerts in three lines.</t>
        </is>
      </c>
      <c r="AQ45" s="18" t="inlineStr">
        <is>
          <t>Choose three alert thresholds for a monthly budget.</t>
        </is>
      </c>
      <c r="AR45" s="17">
        <f>IF(J45="","",REPT("★",J45)&amp;REPT("☆",5-J45)&amp;" ("&amp;J45&amp;"/5)")</f>
        <v/>
      </c>
      <c r="AS45" s="17">
        <f>IF(Q45="","","Meaning: "&amp;Q45&amp;"  =  ______   (Answer: "&amp;F45&amp;")")</f>
        <v/>
      </c>
      <c r="AT45" s="17" t="inlineStr">
        <is>
          <t>New</t>
        </is>
      </c>
      <c r="AU45" s="17" t="n"/>
      <c r="AV45" s="17" t="n"/>
      <c r="AW45" s="17" t="n"/>
      <c r="AX45" s="17" t="n"/>
      <c r="AY45" s="17" t="n"/>
      <c r="AZ45" s="17" t="n"/>
      <c r="BA45" s="17" t="n"/>
      <c r="BB45" s="17" t="n"/>
    </row>
    <row r="46" ht="108" customHeight="1">
      <c r="A46" s="17" t="inlineStr">
        <is>
          <t>CLD-044</t>
        </is>
      </c>
      <c r="B46" s="17" t="inlineStr">
        <is>
          <t>07 Operations</t>
        </is>
      </c>
      <c r="C46" s="17" t="inlineStr">
        <is>
          <t>Intermediate</t>
        </is>
      </c>
      <c r="D46" s="17" t="n">
        <v>44</v>
      </c>
      <c r="E46" s="17" t="inlineStr">
        <is>
          <t>Claude knowledge</t>
        </is>
      </c>
      <c r="F46" s="18" t="inlineStr">
        <is>
          <t>Secrets and KMS</t>
        </is>
      </c>
      <c r="G46" s="18" t="inlineStr">
        <is>
          <t>Which services store secrets and manage encryption keys for you?</t>
        </is>
      </c>
      <c r="H46" s="18" t="inlineStr">
        <is>
          <t>Core concept</t>
        </is>
      </c>
      <c r="I46" s="18" t="inlineStr">
        <is>
          <t>Very high</t>
        </is>
      </c>
      <c r="J46" s="18" t="n">
        <v>5</v>
      </c>
      <c r="K46" s="18" t="inlineStr">
        <is>
          <t>Secrets placed in code or config files leak easily, so clouds provide vaults and key services with access control and audit trails.</t>
        </is>
      </c>
      <c r="L46" s="18" t="inlineStr">
        <is>
          <t>Fetch secrets at run time from a secrets manager, and encrypt data with managed keys.</t>
        </is>
      </c>
      <c r="M46" s="18" t="inlineStr">
        <is>
          <t>A secrets manager is a bank vault with a logbook of every visit.</t>
        </is>
      </c>
      <c r="N46" s="18" t="inlineStr">
        <is>
          <t>An app asking a vault for a password at start-up.</t>
        </is>
      </c>
      <c r="O46" s="18" t="inlineStr">
        <is>
          <t>The peace of no passwords in the code.</t>
        </is>
      </c>
      <c r="P46" s="18" t="inlineStr">
        <is>
          <t>A secrets manager stores and rotates credentials with access control, and a key management service creates and controls encryption keys used to protect data.</t>
        </is>
      </c>
      <c r="Q46" s="17" t="n"/>
      <c r="R46" s="18" t="inlineStr">
        <is>
          <t>Applications read secrets through their role at run time, so nothing is stored in code. Rotation can be automated for supported databases. A key service holds keys that never leave it, and services use them to encrypt data at rest. Access to keys is controlled by policy and logged. Azure Key Vault and Google Secret Manager are equivalents.</t>
        </is>
      </c>
      <c r="S46" s="18" t="inlineStr">
        <is>
          <t>Keep secrets in a vault, give apps a role to read them, and encrypt data with managed keys.</t>
        </is>
      </c>
      <c r="T46" s="18" t="inlineStr">
        <is>
          <t>It is a bank vault with a logbook of every visit.</t>
        </is>
      </c>
      <c r="U46" s="18" t="inlineStr">
        <is>
          <t>Secret in vault + role to read + audit log.</t>
        </is>
      </c>
      <c r="V46" s="18" t="inlineStr">
        <is>
          <t>An app reading a database password from a secrets manager.</t>
        </is>
      </c>
      <c r="W46" s="18" t="inlineStr">
        <is>
          <t>A bucket encrypted with a managed key.</t>
        </is>
      </c>
      <c r="X46" s="18" t="inlineStr">
        <is>
          <t>Automatic password rotation every thirty days.</t>
        </is>
      </c>
      <c r="Y46" s="18" t="inlineStr">
        <is>
          <t>access keys, IAM roles, encryption, shared responsibility</t>
        </is>
      </c>
      <c r="Z46" s="18" t="inlineStr">
        <is>
          <t>vault, KMS, rotation, encryption at rest, envelope</t>
        </is>
      </c>
      <c r="AA46" s="18" t="inlineStr">
        <is>
          <t>Applications | Databases | Compliance</t>
        </is>
      </c>
      <c r="AB46" s="18" t="inlineStr">
        <is>
          <t>A: Where is the database password stored? | B: In the secrets manager, read through a role.</t>
        </is>
      </c>
      <c r="AC46" s="18" t="inlineStr">
        <is>
          <t>✗ Environment variables in a repository are a fine place for secrets → ✓ Secrets belong in a vault, not in files that others can read</t>
        </is>
      </c>
      <c r="AD46" s="18" t="inlineStr">
        <is>
          <t>Secrets manager vs KMS: one stores credentials, the other manages encryption keys.</t>
        </is>
      </c>
      <c r="AE46" s="18" t="inlineStr">
        <is>
          <t>Do not hard-code credentials in source code.</t>
        </is>
      </c>
      <c r="AF46" s="18" t="inlineStr">
        <is>
          <t>Vault the secret, role reads, log records.</t>
        </is>
      </c>
      <c r="AG46" s="18" t="inlineStr">
        <is>
          <t>Moving database passwords from config files to a secrets manager with rotation.</t>
        </is>
      </c>
      <c r="AH46" s="18" t="inlineStr">
        <is>
          <t>An interviewer may ask: How do you handle secrets in the cloud?</t>
        </is>
      </c>
      <c r="AI46" s="18" t="inlineStr">
        <is>
          <t>It is like a bank vault with a visitors' book.</t>
        </is>
      </c>
      <c r="AJ46" s="18" t="inlineStr">
        <is>
          <t>Where should an app get its database password at run time?</t>
        </is>
      </c>
      <c r="AK46" s="18" t="inlineStr">
        <is>
          <t>A) A public file B) The source code C) An email D) A secrets manager</t>
        </is>
      </c>
      <c r="AL46" s="18" t="inlineStr">
        <is>
          <t>D</t>
        </is>
      </c>
      <c r="AM46" s="18" t="inlineStr">
        <is>
          <t>A vault controls and logs who reads the secret.</t>
        </is>
      </c>
      <c r="AN46" s="18" t="inlineStr">
        <is>
          <t>Changing a secret on a schedule is called ____ → rotation</t>
        </is>
      </c>
      <c r="AO46" s="18" t="inlineStr">
        <is>
          <t>A password sits in a config file in Git. What should you do? → Move it to a secrets manager</t>
        </is>
      </c>
      <c r="AP46" s="18" t="inlineStr">
        <is>
          <t>Explain secrets management in three lines.</t>
        </is>
      </c>
      <c r="AQ46" s="18" t="inlineStr">
        <is>
          <t>List what an app needs in order to read a secret safely.</t>
        </is>
      </c>
      <c r="AR46" s="17">
        <f>IF(J46="","",REPT("★",J46)&amp;REPT("☆",5-J46)&amp;" ("&amp;J46&amp;"/5)")</f>
        <v/>
      </c>
      <c r="AS46" s="17">
        <f>IF(Q46="","","Meaning: "&amp;Q46&amp;"  =  ______   (Answer: "&amp;F46&amp;")")</f>
        <v/>
      </c>
      <c r="AT46" s="17" t="inlineStr">
        <is>
          <t>New</t>
        </is>
      </c>
      <c r="AU46" s="17" t="n"/>
      <c r="AV46" s="17" t="n"/>
      <c r="AW46" s="17" t="n"/>
      <c r="AX46" s="17" t="n"/>
      <c r="AY46" s="17" t="n"/>
      <c r="AZ46" s="17" t="n"/>
      <c r="BA46" s="17" t="n"/>
      <c r="BB46" s="17" t="n"/>
    </row>
    <row r="47" ht="121.5" customHeight="1">
      <c r="A47" s="17" t="inlineStr">
        <is>
          <t>CLD-045</t>
        </is>
      </c>
      <c r="B47" s="17" t="inlineStr">
        <is>
          <t>07 Operations</t>
        </is>
      </c>
      <c r="C47" s="17" t="inlineStr">
        <is>
          <t>Advanced</t>
        </is>
      </c>
      <c r="D47" s="17" t="n">
        <v>45</v>
      </c>
      <c r="E47" s="17" t="inlineStr">
        <is>
          <t>Claude knowledge</t>
        </is>
      </c>
      <c r="F47" s="18" t="inlineStr">
        <is>
          <t>Disaster recovery and multi-region</t>
        </is>
      </c>
      <c r="G47" s="18" t="inlineStr">
        <is>
          <t>Which plans let a service continue or recover after a whole region fails?</t>
        </is>
      </c>
      <c r="H47" s="18" t="inlineStr">
        <is>
          <t>Core concept</t>
        </is>
      </c>
      <c r="I47" s="18" t="inlineStr">
        <is>
          <t>Medium</t>
        </is>
      </c>
      <c r="J47" s="18" t="n">
        <v>4</v>
      </c>
      <c r="K47" s="18" t="inlineStr">
        <is>
          <t>Rare large failures still happen, so teams plan how to restore service when a whole region is unavailable.</t>
        </is>
      </c>
      <c r="L47" s="18" t="inlineStr">
        <is>
          <t>Choose the cheapest strategy that meets your agreed recovery time and data loss limits.</t>
        </is>
      </c>
      <c r="M47" s="18" t="inlineStr">
        <is>
          <t>Disaster recovery is a fire drill that is practised before the fire.</t>
        </is>
      </c>
      <c r="N47" s="18" t="inlineStr">
        <is>
          <t>Two regions with data copying from the active one to the standby.</t>
        </is>
      </c>
      <c r="O47" s="18" t="inlineStr">
        <is>
          <t>The confidence of a plan that was rehearsed.</t>
        </is>
      </c>
      <c r="P47" s="18" t="inlineStr">
        <is>
          <t>Disaster recovery is a set of plans and setups that restore a service after a major failure, ranging from backup and restore to active-active across regions.</t>
        </is>
      </c>
      <c r="Q47" s="17" t="n"/>
      <c r="R47" s="18" t="inlineStr">
        <is>
          <t>The main strategies, from cheapest to fastest, are backup and restore, pilot light, warm standby and multi-site active-active. Each trades cost against recovery time and data loss. Data must be replicated or backed up to the second region. Failover can be controlled through DNS. Regular drills prove it works. Many systems only need zone-level resilience rather than region-level.</t>
        </is>
      </c>
      <c r="S47" s="18" t="inlineStr">
        <is>
          <t>Decide how much downtime and data loss you can accept, then pick the matching strategy and rehearse it.</t>
        </is>
      </c>
      <c r="T47" s="18" t="inlineStr">
        <is>
          <t>It is a fire drill practised before the fire.</t>
        </is>
      </c>
      <c r="U47" s="18" t="inlineStr">
        <is>
          <t>Faster recovery costs more. Match it to RPO and RTO.</t>
        </is>
      </c>
      <c r="V47" s="18" t="inlineStr">
        <is>
          <t>Nightly backups copied to another region.</t>
        </is>
      </c>
      <c r="W47" s="18" t="inlineStr">
        <is>
          <t>A small standby copy of the database running in a second region.</t>
        </is>
      </c>
      <c r="X47" s="18" t="inlineStr">
        <is>
          <t>Traffic switched by DNS to the standby region.</t>
        </is>
      </c>
      <c r="Y47" s="18" t="inlineStr">
        <is>
          <t>backups, regions, DNS, RPO and RTO</t>
        </is>
      </c>
      <c r="Z47" s="18" t="inlineStr">
        <is>
          <t>failover, standby, active-active, pilot light, drill</t>
        </is>
      </c>
      <c r="AA47" s="18" t="inlineStr">
        <is>
          <t>Critical systems | Compliance | Risk planning</t>
        </is>
      </c>
      <c r="AB47" s="18" t="inlineStr">
        <is>
          <t>A: What if the whole region goes down? | B: We fail over to the standby region within an hour.</t>
        </is>
      </c>
      <c r="AC47" s="18" t="inlineStr">
        <is>
          <t>✗ Multi-zone setups protect against a full region outage → ✓ Zones are inside one region, so you need another region for that</t>
        </is>
      </c>
      <c r="AD47" s="18" t="inlineStr">
        <is>
          <t>Multi-zone vs multi-region: zones survive a building failure, regions survive a wider outage.</t>
        </is>
      </c>
      <c r="AE47" s="18" t="inlineStr">
        <is>
          <t>Do not claim a recovery time that you have never tested.</t>
        </is>
      </c>
      <c r="AF47" s="18" t="inlineStr">
        <is>
          <t>Faster recovery always costs more money.</t>
        </is>
      </c>
      <c r="AG47" s="18" t="inlineStr">
        <is>
          <t>Running a twice-a-year failover drill that exposed a missing permission.</t>
        </is>
      </c>
      <c r="AH47" s="18" t="inlineStr">
        <is>
          <t>An interviewer may ask: How would you design disaster recovery for a database?</t>
        </is>
      </c>
      <c r="AI47" s="18" t="inlineStr">
        <is>
          <t>It is like practising a fire drill.</t>
        </is>
      </c>
      <c r="AJ47" s="18" t="inlineStr">
        <is>
          <t>Which strategy usually has the slowest recovery but lowest cost?</t>
        </is>
      </c>
      <c r="AK47" s="18" t="inlineStr">
        <is>
          <t>A) Two data centres B) Backup and restore C) Active-active D) Warm standby</t>
        </is>
      </c>
      <c r="AL47" s="18" t="inlineStr">
        <is>
          <t>B</t>
        </is>
      </c>
      <c r="AM47" s="18" t="inlineStr">
        <is>
          <t>Everything must be rebuilt after the failure.</t>
        </is>
      </c>
      <c r="AN47" s="18" t="inlineStr">
        <is>
          <t>Moving traffic to the backup site is called ____ → failover</t>
        </is>
      </c>
      <c r="AO47" s="18" t="inlineStr">
        <is>
          <t>A customer allows four hours of downtime on a tight budget. Which strategy? → Backup and restore</t>
        </is>
      </c>
      <c r="AP47" s="18" t="inlineStr">
        <is>
          <t>Explain disaster recovery options in three lines.</t>
        </is>
      </c>
      <c r="AQ47" s="18" t="inlineStr">
        <is>
          <t>Pick a strategy for a customer needing a one-hour recovery.</t>
        </is>
      </c>
      <c r="AR47" s="17">
        <f>IF(J47="","",REPT("★",J47)&amp;REPT("☆",5-J47)&amp;" ("&amp;J47&amp;"/5)")</f>
        <v/>
      </c>
      <c r="AS47" s="17">
        <f>IF(Q47="","","Meaning: "&amp;Q47&amp;"  =  ______   (Answer: "&amp;F47&amp;")")</f>
        <v/>
      </c>
      <c r="AT47" s="17" t="inlineStr">
        <is>
          <t>New</t>
        </is>
      </c>
      <c r="AU47" s="17" t="n"/>
      <c r="AV47" s="17" t="n"/>
      <c r="AW47" s="17" t="n"/>
      <c r="AX47" s="17" t="n"/>
      <c r="AY47" s="17" t="n"/>
      <c r="AZ47" s="17" t="n"/>
      <c r="BA47" s="17" t="n"/>
      <c r="BB47" s="17" t="n"/>
    </row>
    <row r="48" ht="108" customHeight="1">
      <c r="A48" s="17" t="inlineStr">
        <is>
          <t>CLD-046</t>
        </is>
      </c>
      <c r="B48" s="17" t="inlineStr">
        <is>
          <t>07 Operations</t>
        </is>
      </c>
      <c r="C48" s="17" t="inlineStr">
        <is>
          <t>Intermediate</t>
        </is>
      </c>
      <c r="D48" s="17" t="n">
        <v>46</v>
      </c>
      <c r="E48" s="17" t="inlineStr">
        <is>
          <t>Claude knowledge</t>
        </is>
      </c>
      <c r="F48" s="18" t="inlineStr">
        <is>
          <t>Cloud CLI and SDKs</t>
        </is>
      </c>
      <c r="G48" s="18" t="inlineStr">
        <is>
          <t>Which tools let you control the cloud from a terminal or from code?</t>
        </is>
      </c>
      <c r="H48" s="18" t="inlineStr">
        <is>
          <t>Core concept</t>
        </is>
      </c>
      <c r="I48" s="18" t="inlineStr">
        <is>
          <t>Very high</t>
        </is>
      </c>
      <c r="J48" s="18" t="n">
        <v>4</v>
      </c>
      <c r="K48" s="18" t="inlineStr">
        <is>
          <t>Clicking in a console does not scale, so command-line tools and libraries expose the same actions for scripts and programs.</t>
        </is>
      </c>
      <c r="L48" s="18" t="inlineStr">
        <is>
          <t>Use named profiles and check which account you are in before running any command.</t>
        </is>
      </c>
      <c r="M48" s="18" t="inlineStr">
        <is>
          <t>The console is the shop window, and the CLI is the staff door to the same stock.</t>
        </is>
      </c>
      <c r="N48" s="18" t="inlineStr">
        <is>
          <t>A terminal command creating a resource that appears in the console.</t>
        </is>
      </c>
      <c r="O48" s="18" t="inlineStr">
        <is>
          <t>The power of one command doing ten clicks.</t>
        </is>
      </c>
      <c r="P48" s="18" t="inlineStr">
        <is>
          <t>A cloud CLI, such as the AWS CLI, and SDKs such as boto3 let you call the cloud's APIs from a terminal or from your own programs.</t>
        </is>
      </c>
      <c r="Q48" s="17" t="n"/>
      <c r="R48" s="18" t="inlineStr">
        <is>
          <t>The CLI is configured with credentials or a profile and a default region. Commands follow a pattern of service, action and options. Output can be filtered with query options and formatted as JSON. SDKs offer the same actions in languages such as Python or JavaScript. Always confirm the active identity with a whoami command before changes.</t>
        </is>
      </c>
      <c r="S48" s="18" t="inlineStr">
        <is>
          <t>Use the CLI for quick tasks and scripts, and SDKs inside programs. Check who you are first.</t>
        </is>
      </c>
      <c r="T48" s="18" t="inlineStr">
        <is>
          <t>The console is the shop window, and the CLI is the staff door to the same stock.</t>
        </is>
      </c>
      <c r="U48" s="18" t="inlineStr">
        <is>
          <t>Service + action + options, with the right profile and region.</t>
        </is>
      </c>
      <c r="V48" s="18" t="inlineStr">
        <is>
          <t>aws s3 ls to list buckets.</t>
        </is>
      </c>
      <c r="W48" s="18" t="inlineStr">
        <is>
          <t>aws sts get-caller-identity to see who you are.</t>
        </is>
      </c>
      <c r="X48" s="18" t="inlineStr">
        <is>
          <t>A Python script using boto3 to upload a file.</t>
        </is>
      </c>
      <c r="Y48" s="18" t="inlineStr">
        <is>
          <t>IAM, access keys, temporary credentials, infrastructure as code</t>
        </is>
      </c>
      <c r="Z48" s="18" t="inlineStr">
        <is>
          <t>CLI, SDK, profile, region, API</t>
        </is>
      </c>
      <c r="AA48" s="18" t="inlineStr">
        <is>
          <t>Automation | Scripts | Daily operations</t>
        </is>
      </c>
      <c r="AB48" s="18" t="inlineStr">
        <is>
          <t>A: Which account is this command running in? | B: Run get-caller-identity to confirm.</t>
        </is>
      </c>
      <c r="AC48" s="18" t="inlineStr">
        <is>
          <t>✗ The CLI has different powers from the console → ✓ Both call the same APIs under the same permissions</t>
        </is>
      </c>
      <c r="AD48" s="18" t="inlineStr">
        <is>
          <t>CLI vs SDK: the CLI is for terminals and scripts, the SDK is for use inside code.</t>
        </is>
      </c>
      <c r="AE48" s="18" t="inlineStr">
        <is>
          <t>Do not run destructive commands without checking the active profile.</t>
        </is>
      </c>
      <c r="AF48" s="18" t="inlineStr">
        <is>
          <t>Check who you are before you act.</t>
        </is>
      </c>
      <c r="AG48" s="18" t="inlineStr">
        <is>
          <t>Scripting a bucket audit with the CLI across all of a customer's regions.</t>
        </is>
      </c>
      <c r="AH48" s="18" t="inlineStr">
        <is>
          <t>An interviewer may ask: How do you confirm which account you are using?</t>
        </is>
      </c>
      <c r="AI48" s="18" t="inlineStr">
        <is>
          <t>It is like using the staff door to the same stock.</t>
        </is>
      </c>
      <c r="AJ48" s="18" t="inlineStr">
        <is>
          <t>Which command shows the identity in use?</t>
        </is>
      </c>
      <c r="AK48" s="18" t="inlineStr">
        <is>
          <t>A) aws logs tail B) aws ec2 stop C) aws s3 mb D) aws sts get-caller-identity</t>
        </is>
      </c>
      <c r="AL48" s="18" t="inlineStr">
        <is>
          <t>D</t>
        </is>
      </c>
      <c r="AM48" s="18" t="inlineStr">
        <is>
          <t>It prints the account and identity of the current credentials.</t>
        </is>
      </c>
      <c r="AN48" s="18" t="inlineStr">
        <is>
          <t>A named set of credentials and region settings is a ____ → profile</t>
        </is>
      </c>
      <c r="AO48" s="18" t="inlineStr">
        <is>
          <t>You are about to delete a resource. What do you check first? → The active account and profile</t>
        </is>
      </c>
      <c r="AP48" s="18" t="inlineStr">
        <is>
          <t>Explain the CLI and SDK in three lines.</t>
        </is>
      </c>
      <c r="AQ48" s="18" t="inlineStr">
        <is>
          <t>Write three CLI commands you would use on day one.</t>
        </is>
      </c>
      <c r="AR48" s="17">
        <f>IF(J48="","",REPT("★",J48)&amp;REPT("☆",5-J48)&amp;" ("&amp;J48&amp;"/5)")</f>
        <v/>
      </c>
      <c r="AS48" s="17">
        <f>IF(Q48="","","Meaning: "&amp;Q48&amp;"  =  ______   (Answer: "&amp;F48&amp;")")</f>
        <v/>
      </c>
      <c r="AT48" s="17" t="inlineStr">
        <is>
          <t>New</t>
        </is>
      </c>
      <c r="AU48" s="17" t="n"/>
      <c r="AV48" s="17" t="n"/>
      <c r="AW48" s="17" t="n"/>
      <c r="AX48" s="17" t="n"/>
      <c r="AY48" s="17" t="n"/>
      <c r="AZ48" s="17" t="n"/>
      <c r="BA48" s="17" t="n"/>
      <c r="BB48" s="17" t="n"/>
    </row>
    <row r="49" ht="121.5" customHeight="1">
      <c r="A49" s="17" t="inlineStr">
        <is>
          <t>CLD-047</t>
        </is>
      </c>
      <c r="B49" s="17" t="inlineStr">
        <is>
          <t>08 Choosing and Mapping</t>
        </is>
      </c>
      <c r="C49" s="17" t="inlineStr">
        <is>
          <t>Intermediate</t>
        </is>
      </c>
      <c r="D49" s="17" t="n">
        <v>47</v>
      </c>
      <c r="E49" s="17" t="inlineStr">
        <is>
          <t>Claude knowledge</t>
        </is>
      </c>
      <c r="F49" s="18" t="inlineStr">
        <is>
          <t>AWS, Azure and GCP service map</t>
        </is>
      </c>
      <c r="G49" s="18" t="inlineStr">
        <is>
          <t>Which names in Azure and Google Cloud match the main AWS services?</t>
        </is>
      </c>
      <c r="H49" s="18" t="inlineStr">
        <is>
          <t>Reference</t>
        </is>
      </c>
      <c r="I49" s="18" t="inlineStr">
        <is>
          <t>High</t>
        </is>
      </c>
      <c r="J49" s="18" t="n">
        <v>4</v>
      </c>
      <c r="K49" s="18" t="inlineStr">
        <is>
          <t>Customers use different clouds, so engineers need to translate the same idea between vendors quickly.</t>
        </is>
      </c>
      <c r="L49" s="18" t="inlineStr">
        <is>
          <t>Learn the idea first, then the vendor name, since the ideas repeat across clouds.</t>
        </is>
      </c>
      <c r="M49" s="18" t="inlineStr">
        <is>
          <t>It is a phrasebook for the same conversation in three languages.</t>
        </is>
      </c>
      <c r="N49" s="18" t="inlineStr">
        <is>
          <t>A three-column table of matching services from three vendors.</t>
        </is>
      </c>
      <c r="O49" s="18" t="inlineStr">
        <is>
          <t>The confidence of understanding any cloud's console.</t>
        </is>
      </c>
      <c r="P49" s="18" t="inlineStr">
        <is>
          <t>A service map pairs equivalent cloud services across vendors, such as EC2, Azure Virtual Machines and Compute Engine, which all provide virtual machines.</t>
        </is>
      </c>
      <c r="Q49" s="17" t="n"/>
      <c r="R49" s="18" t="inlineStr">
        <is>
          <t>Compute is EC2, Azure Virtual Machines and Compute Engine. Object storage is S3, Blob Storage and Cloud Storage. Functions are Lambda, Azure Functions and Cloud Functions. Managed SQL is RDS, Azure SQL and Cloud SQL. Identity is IAM, Entra ID with role assignments, and Cloud IAM. Equivalents are close but not identical, so check details before promising a feature.</t>
        </is>
      </c>
      <c r="S49" s="18" t="inlineStr">
        <is>
          <t>The ideas are the same everywhere, and only the names and small details change.</t>
        </is>
      </c>
      <c r="T49" s="18" t="inlineStr">
        <is>
          <t>It is a phrasebook for the same conversation in three languages.</t>
        </is>
      </c>
      <c r="U49" s="18" t="inlineStr">
        <is>
          <t>Same idea, different name, check the details.</t>
        </is>
      </c>
      <c r="V49" s="18" t="inlineStr">
        <is>
          <t>S3, Blob Storage and Cloud Storage all store objects.</t>
        </is>
      </c>
      <c r="W49" s="18" t="inlineStr">
        <is>
          <t>Lambda, Azure Functions and Cloud Functions all run code on events.</t>
        </is>
      </c>
      <c r="X49" s="18" t="inlineStr">
        <is>
          <t>AWS VPC, Azure Virtual Network and Google VPC are the network equivalents.</t>
        </is>
      </c>
      <c r="Y49" s="18" t="inlineStr">
        <is>
          <t>object storage, serverless functions, VPC, IAM</t>
        </is>
      </c>
      <c r="Z49" s="18" t="inlineStr">
        <is>
          <t>equivalent, vendor, mapping, service, portability</t>
        </is>
      </c>
      <c r="AA49" s="18" t="inlineStr">
        <is>
          <t>Customer meetings | Migrations | Multi-cloud work</t>
        </is>
      </c>
      <c r="AB49" s="18" t="inlineStr">
        <is>
          <t>A: The customer uses Azure, what is the S3 equivalent? | B: Blob Storage.</t>
        </is>
      </c>
      <c r="AC49" s="18" t="inlineStr">
        <is>
          <t>✗ Equivalent services behave exactly the same → ✓ They are similar, but limits, features and prices differ</t>
        </is>
      </c>
      <c r="AD49" s="18" t="inlineStr">
        <is>
          <t>AWS vs Azure naming: the ideas match, but the names and some behaviours differ.</t>
        </is>
      </c>
      <c r="AE49" s="18" t="inlineStr">
        <is>
          <t>Do not promise an exact feature match without reading the documentation.</t>
        </is>
      </c>
      <c r="AF49" s="18" t="inlineStr">
        <is>
          <t>Learn the idea, then translate the name.</t>
        </is>
      </c>
      <c r="AG49" s="18" t="inlineStr">
        <is>
          <t>Translating an AWS design into Azure names for a customer on another vendor.</t>
        </is>
      </c>
      <c r="AH49" s="18" t="inlineStr">
        <is>
          <t>An interviewer may ask: What is the Azure equivalent of S3?</t>
        </is>
      </c>
      <c r="AI49" s="18" t="inlineStr">
        <is>
          <t>It is like a phrasebook for three languages.</t>
        </is>
      </c>
      <c r="AJ49" s="18" t="inlineStr">
        <is>
          <t>Which service is Azure's equivalent of S3?</t>
        </is>
      </c>
      <c r="AK49" s="18" t="inlineStr">
        <is>
          <t>A) Blob Storage B) Functions C) Key Vault D) Virtual Machines</t>
        </is>
      </c>
      <c r="AL49" s="18" t="inlineStr">
        <is>
          <t>A</t>
        </is>
      </c>
      <c r="AM49" s="18" t="inlineStr">
        <is>
          <t>Blob Storage is Azure's object storage.</t>
        </is>
      </c>
      <c r="AN49" s="18" t="inlineStr">
        <is>
          <t>Google's bucket service for files is named Cloud ____ → Storage</t>
        </is>
      </c>
      <c r="AO49" s="18" t="inlineStr">
        <is>
          <t>A customer uses GCP and asks for the Lambda equivalent. What do you say? → Cloud Functions</t>
        </is>
      </c>
      <c r="AP49" s="18" t="inlineStr">
        <is>
          <t>Explain how to translate between clouds in three lines.</t>
        </is>
      </c>
      <c r="AQ49" s="18" t="inlineStr">
        <is>
          <t>Make a table of five AWS services with their Azure and GCP names.</t>
        </is>
      </c>
      <c r="AR49" s="17">
        <f>IF(J49="","",REPT("★",J49)&amp;REPT("☆",5-J49)&amp;" ("&amp;J49&amp;"/5)")</f>
        <v/>
      </c>
      <c r="AS49" s="17">
        <f>IF(Q49="","","Meaning: "&amp;Q49&amp;"  =  ______   (Answer: "&amp;F49&amp;")")</f>
        <v/>
      </c>
      <c r="AT49" s="17" t="inlineStr">
        <is>
          <t>New</t>
        </is>
      </c>
      <c r="AU49" s="17" t="n"/>
      <c r="AV49" s="17" t="n"/>
      <c r="AW49" s="17" t="n"/>
      <c r="AX49" s="17" t="n"/>
      <c r="AY49" s="17" t="n"/>
      <c r="AZ49" s="17" t="n"/>
      <c r="BA49" s="17" t="n"/>
      <c r="BB49" s="17" t="n"/>
    </row>
    <row r="50" ht="121.5" customHeight="1">
      <c r="A50" s="17" t="inlineStr">
        <is>
          <t>CLD-048</t>
        </is>
      </c>
      <c r="B50" s="17" t="inlineStr">
        <is>
          <t>08 Choosing and Mapping</t>
        </is>
      </c>
      <c r="C50" s="17" t="inlineStr">
        <is>
          <t>Intermediate</t>
        </is>
      </c>
      <c r="D50" s="17" t="n">
        <v>48</v>
      </c>
      <c r="E50" s="17" t="inlineStr">
        <is>
          <t>Claude knowledge</t>
        </is>
      </c>
      <c r="F50" s="18" t="inlineStr">
        <is>
          <t>Choosing a cloud</t>
        </is>
      </c>
      <c r="G50" s="18" t="inlineStr">
        <is>
          <t>Which questions help decide between AWS, Azure and Google Cloud for a customer?</t>
        </is>
      </c>
      <c r="H50" s="18" t="inlineStr">
        <is>
          <t>Reference</t>
        </is>
      </c>
      <c r="I50" s="18" t="inlineStr">
        <is>
          <t>Medium</t>
        </is>
      </c>
      <c r="J50" s="18" t="n">
        <v>4</v>
      </c>
      <c r="K50" s="18" t="inlineStr">
        <is>
          <t>No cloud is best for everyone, so the decision should follow the customer's needs, skills and existing contracts.</t>
        </is>
      </c>
      <c r="L50" s="18" t="inlineStr">
        <is>
          <t>Use what the customer already runs unless there is a strong reason to change.</t>
        </is>
      </c>
      <c r="M50" s="18" t="inlineStr">
        <is>
          <t>Choosing a cloud is like choosing a car by the roads you drive on, not the advertisement.</t>
        </is>
      </c>
      <c r="N50" s="18" t="inlineStr">
        <is>
          <t>A decision list with skills, services, rules and cost.</t>
        </is>
      </c>
      <c r="O50" s="18" t="inlineStr">
        <is>
          <t>The clarity of a decision that rests on facts.</t>
        </is>
      </c>
      <c r="P50" s="18" t="inlineStr">
        <is>
          <t>Choosing a cloud means comparing vendors on the customer's existing systems, skills, required services, data rules, regions and total cost.</t>
        </is>
      </c>
      <c r="Q50" s="17" t="n"/>
      <c r="R50" s="18" t="inlineStr">
        <is>
          <t>Ask what the customer already uses, such as Microsoft licences or Google Workspace. Check which required services and regions exist and whether data rules are met. Consider team skills, support and cost over time. Avoid deep lock-in by using open standards where reasonable, but do not over-engineer for portability. Many customers use more than one cloud.</t>
        </is>
      </c>
      <c r="S50" s="18" t="inlineStr">
        <is>
          <t>Start from the customer's reality, then compare services, rules, skills and cost.</t>
        </is>
      </c>
      <c r="T50" s="18" t="inlineStr">
        <is>
          <t>It is like choosing a car by the roads you drive on.</t>
        </is>
      </c>
      <c r="U50" s="18" t="inlineStr">
        <is>
          <t>Needs + skills + rules + cost decide, not brand.</t>
        </is>
      </c>
      <c r="V50" s="18" t="inlineStr">
        <is>
          <t>A Microsoft-heavy company choosing Azure.</t>
        </is>
      </c>
      <c r="W50" s="18" t="inlineStr">
        <is>
          <t>A data analytics team choosing a cloud for its warehouse service.</t>
        </is>
      </c>
      <c r="X50" s="18" t="inlineStr">
        <is>
          <t>A customer needing a region that only one vendor offers.</t>
        </is>
      </c>
      <c r="Y50" s="18" t="inlineStr">
        <is>
          <t>service map, regions, cloud vs on-premises, cost</t>
        </is>
      </c>
      <c r="Z50" s="18" t="inlineStr">
        <is>
          <t>vendor, lock-in, portability, multi-cloud, requirements</t>
        </is>
      </c>
      <c r="AA50" s="18" t="inlineStr">
        <is>
          <t>Proposals | Architecture talks | Migrations</t>
        </is>
      </c>
      <c r="AB50" s="18" t="inlineStr">
        <is>
          <t>A: Which cloud should we recommend? | B: Start from what they already run and what they must keep in-country.</t>
        </is>
      </c>
      <c r="AC50" s="18" t="inlineStr">
        <is>
          <t>✗ One vendor is simply the best for everyone → ✓ The right choice depends on needs, skills, rules and existing systems</t>
        </is>
      </c>
      <c r="AD50" s="18" t="inlineStr">
        <is>
          <t>Lock-in vs portability: lock-in eases use of unique features, portability eases moving later.</t>
        </is>
      </c>
      <c r="AE50" s="18" t="inlineStr">
        <is>
          <t>Do not choose a vendor only because you know it best.</t>
        </is>
      </c>
      <c r="AF50" s="18" t="inlineStr">
        <is>
          <t>Fit the customer, not the brand.</t>
        </is>
      </c>
      <c r="AG50" s="18" t="inlineStr">
        <is>
          <t>Recommending the cloud a customer already used, to reuse their team's skills.</t>
        </is>
      </c>
      <c r="AH50" s="18" t="inlineStr">
        <is>
          <t>An interviewer may ask: How would you advise a customer on choosing a cloud?</t>
        </is>
      </c>
      <c r="AI50" s="18" t="inlineStr">
        <is>
          <t>It is like choosing a car by the roads you drive.</t>
        </is>
      </c>
      <c r="AJ50" s="18" t="inlineStr">
        <is>
          <t>What should drive the choice of cloud?</t>
        </is>
      </c>
      <c r="AK50" s="18" t="inlineStr">
        <is>
          <t>A) Personal preference B) Random choice C) The customer's needs and context D) The newest logo</t>
        </is>
      </c>
      <c r="AL50" s="18" t="inlineStr">
        <is>
          <t>C</t>
        </is>
      </c>
      <c r="AM50" s="18" t="inlineStr">
        <is>
          <t>Needs, skills, rules and cost decide.</t>
        </is>
      </c>
      <c r="AN50" s="18" t="inlineStr">
        <is>
          <t>Using more than one vendor is called ____-cloud → multi</t>
        </is>
      </c>
      <c r="AO50" s="18" t="inlineStr">
        <is>
          <t>A company is built on Microsoft tools. Which cloud is a natural start? → Azure</t>
        </is>
      </c>
      <c r="AP50" s="18" t="inlineStr">
        <is>
          <t>Explain how to choose a cloud in three lines.</t>
        </is>
      </c>
      <c r="AQ50" s="18" t="inlineStr">
        <is>
          <t>Write five questions to ask a customer before recommending a cloud.</t>
        </is>
      </c>
      <c r="AR50" s="17">
        <f>IF(J50="","",REPT("★",J50)&amp;REPT("☆",5-J50)&amp;" ("&amp;J50&amp;"/5)")</f>
        <v/>
      </c>
      <c r="AS50" s="17">
        <f>IF(Q50="","","Meaning: "&amp;Q50&amp;"  =  ______   (Answer: "&amp;F50&amp;")")</f>
        <v/>
      </c>
      <c r="AT50" s="17" t="inlineStr">
        <is>
          <t>New</t>
        </is>
      </c>
      <c r="AU50" s="17" t="n"/>
      <c r="AV50" s="17" t="n"/>
      <c r="AW50" s="17" t="n"/>
      <c r="AX50" s="17" t="n"/>
      <c r="AY50" s="17" t="n"/>
      <c r="AZ50" s="17" t="n"/>
      <c r="BA50" s="17" t="n"/>
      <c r="BB50" s="17" t="n"/>
    </row>
    <row r="51" ht="108" customHeight="1">
      <c r="A51" s="17" t="inlineStr">
        <is>
          <t>CLD-049</t>
        </is>
      </c>
      <c r="B51" s="17" t="inlineStr">
        <is>
          <t>08 Choosing and Mapping</t>
        </is>
      </c>
      <c r="C51" s="17" t="inlineStr">
        <is>
          <t>Beginner</t>
        </is>
      </c>
      <c r="D51" s="17" t="n">
        <v>49</v>
      </c>
      <c r="E51" s="17" t="inlineStr">
        <is>
          <t>Claude knowledge</t>
        </is>
      </c>
      <c r="F51" s="18" t="inlineStr">
        <is>
          <t>Cleaning up resources</t>
        </is>
      </c>
      <c r="G51" s="18" t="inlineStr">
        <is>
          <t>Which habit stops forgotten cloud resources from billing you and creating risk?</t>
        </is>
      </c>
      <c r="H51" s="18" t="inlineStr">
        <is>
          <t>Practice</t>
        </is>
      </c>
      <c r="I51" s="18" t="inlineStr">
        <is>
          <t>Very high</t>
        </is>
      </c>
      <c r="J51" s="18" t="n">
        <v>5</v>
      </c>
      <c r="K51" s="18" t="inlineStr">
        <is>
          <t>Experiments leave behind servers, disks and addresses that keep costing money, so cleanup became a routine step.</t>
        </is>
      </c>
      <c r="L51" s="18" t="inlineStr">
        <is>
          <t>Tag temporary resources and delete them with a script when the work ends.</t>
        </is>
      </c>
      <c r="M51" s="18" t="inlineStr">
        <is>
          <t>Cleanup is turning off the lights and locking up after a workshop.</t>
        </is>
      </c>
      <c r="N51" s="18" t="inlineStr">
        <is>
          <t>A checklist of items being crossed off as they are deleted.</t>
        </is>
      </c>
      <c r="O51" s="18" t="inlineStr">
        <is>
          <t>The tidy satisfaction of a clean account.</t>
        </is>
      </c>
      <c r="P51" s="18" t="inlineStr">
        <is>
          <t>Cleaning up means deleting or stopping resources you no longer need, including the less obvious ones such as disks, snapshots, addresses and load balancers.</t>
        </is>
      </c>
      <c r="Q51" s="17" t="n"/>
      <c r="R51" s="18" t="inlineStr">
        <is>
          <t>Stopping a server does not stop disk or address charges. Orphaned items stay behind when the main resource is deleted. Infrastructure as code can destroy a whole environment in one step. Tags help find temporary items. Review the billing report and the resource list in every region, since resources in unused regions are easy to forget.</t>
        </is>
      </c>
      <c r="S51" s="18" t="inlineStr">
        <is>
          <t>Tag temporary things, destroy them with code, and check every region and the bill.</t>
        </is>
      </c>
      <c r="T51" s="18" t="inlineStr">
        <is>
          <t>It is like turning off the lights and locking up after a workshop.</t>
        </is>
      </c>
      <c r="U51" s="18" t="inlineStr">
        <is>
          <t>Create with a tag, destroy with the same code.</t>
        </is>
      </c>
      <c r="V51" s="18" t="inlineStr">
        <is>
          <t>Deleting an unattached disk left after a server was removed.</t>
        </is>
      </c>
      <c r="W51" s="18" t="inlineStr">
        <is>
          <t>Running a destroy command on a test environment.</t>
        </is>
      </c>
      <c r="X51" s="18" t="inlineStr">
        <is>
          <t>Finding a forgotten server in another region on the bill.</t>
        </is>
      </c>
      <c r="Y51" s="18" t="inlineStr">
        <is>
          <t>tagging, cost alerts, infrastructure as code, pay-as-you-go</t>
        </is>
      </c>
      <c r="Z51" s="18" t="inlineStr">
        <is>
          <t>cleanup, orphan, destroy, idle, forgotten</t>
        </is>
      </c>
      <c r="AA51" s="18" t="inlineStr">
        <is>
          <t>Demos | Training | Cost control</t>
        </is>
      </c>
      <c r="AB51" s="18" t="inlineStr">
        <is>
          <t>A: The demo is over. | B: Destroy the stack and check the bill for leftovers.</t>
        </is>
      </c>
      <c r="AC51" s="18" t="inlineStr">
        <is>
          <t>✗ Stopping a server removes every cost → ✓ Disks, addresses and snapshots may keep billing</t>
        </is>
      </c>
      <c r="AD51" s="18" t="inlineStr">
        <is>
          <t>Stop vs delete: stopping pauses compute, deleting removes the resource and its cost.</t>
        </is>
      </c>
      <c r="AE51" s="18" t="inlineStr">
        <is>
          <t>Do not leave test resources with open access running.</t>
        </is>
      </c>
      <c r="AF51" s="18" t="inlineStr">
        <is>
          <t>Tag it, track it, tear it down.</t>
        </is>
      </c>
      <c r="AG51" s="18" t="inlineStr">
        <is>
          <t>Destroying a customer demo environment with code and finding no leftover charges.</t>
        </is>
      </c>
      <c r="AH51" s="18" t="inlineStr">
        <is>
          <t>An interviewer may ask: What do you check after finishing a proof of concept?</t>
        </is>
      </c>
      <c r="AI51" s="18" t="inlineStr">
        <is>
          <t>It is like locking up after a workshop.</t>
        </is>
      </c>
      <c r="AJ51" s="18" t="inlineStr">
        <is>
          <t>Which item may still cost money after you stop a server?</t>
        </is>
      </c>
      <c r="AK51" s="18" t="inlineStr">
        <is>
          <t>A) Its attached disk B) Its colour C) Its tag D) Its name</t>
        </is>
      </c>
      <c r="AL51" s="18" t="inlineStr">
        <is>
          <t>A</t>
        </is>
      </c>
      <c r="AM51" s="18" t="inlineStr">
        <is>
          <t>Stopped servers still keep their storage volumes.</t>
        </is>
      </c>
      <c r="AN51" s="18" t="inlineStr">
        <is>
          <t>Items left behind with no owner are called ____ resources → orphaned</t>
        </is>
      </c>
      <c r="AO51" s="18" t="inlineStr">
        <is>
          <t>A demo ended. What is the safest way to remove everything? → Destroy it with the infrastructure code</t>
        </is>
      </c>
      <c r="AP51" s="18" t="inlineStr">
        <is>
          <t>Explain cloud cleanup in three lines.</t>
        </is>
      </c>
      <c r="AQ51" s="18" t="inlineStr">
        <is>
          <t>Write a cleanup checklist for a demo account.</t>
        </is>
      </c>
      <c r="AR51" s="17">
        <f>IF(J51="","",REPT("★",J51)&amp;REPT("☆",5-J51)&amp;" ("&amp;J51&amp;"/5)")</f>
        <v/>
      </c>
      <c r="AS51" s="17">
        <f>IF(Q51="","","Meaning: "&amp;Q51&amp;"  =  ______   (Answer: "&amp;F51&amp;")")</f>
        <v/>
      </c>
      <c r="AT51" s="17" t="inlineStr">
        <is>
          <t>New</t>
        </is>
      </c>
      <c r="AU51" s="17" t="n"/>
      <c r="AV51" s="17" t="n"/>
      <c r="AW51" s="17" t="n"/>
      <c r="AX51" s="17" t="n"/>
      <c r="AY51" s="17" t="n"/>
      <c r="AZ51" s="17" t="n"/>
      <c r="BA51" s="17" t="n"/>
      <c r="BB51" s="17" t="n"/>
    </row>
    <row r="52" ht="121.5" customHeight="1">
      <c r="A52" s="17" t="inlineStr">
        <is>
          <t>CLD-050</t>
        </is>
      </c>
      <c r="B52" s="17" t="inlineStr">
        <is>
          <t>08 Choosing and Mapping</t>
        </is>
      </c>
      <c r="C52" s="17" t="inlineStr">
        <is>
          <t>Intermediate</t>
        </is>
      </c>
      <c r="D52" s="17" t="n">
        <v>50</v>
      </c>
      <c r="E52" s="17" t="inlineStr">
        <is>
          <t>Claude knowledge</t>
        </is>
      </c>
      <c r="F52" s="18" t="inlineStr">
        <is>
          <t>Choosing between functions, containers and virtual machines</t>
        </is>
      </c>
      <c r="G52" s="18" t="inlineStr">
        <is>
          <t>Which questions decide whether to run code on a function, a container service or a virtual machine?</t>
        </is>
      </c>
      <c r="H52" s="18" t="inlineStr">
        <is>
          <t>Reference</t>
        </is>
      </c>
      <c r="I52" s="18" t="inlineStr">
        <is>
          <t>High</t>
        </is>
      </c>
      <c r="J52" s="18" t="n">
        <v>4</v>
      </c>
      <c r="K52" s="18" t="inlineStr">
        <is>
          <t>Cloud offers several ways to run code, so teams need a simple method to pick the right one for each job.</t>
        </is>
      </c>
      <c r="L52" s="18" t="inlineStr">
        <is>
          <t>Start with the most managed option that fits, and move down only when you need more control.</t>
        </is>
      </c>
      <c r="M52" s="18" t="inlineStr">
        <is>
          <t>It is choosing between a taxi, a rented car and owning a car.</t>
        </is>
      </c>
      <c r="N52" s="18" t="inlineStr">
        <is>
          <t>A ladder from functions to containers to virtual machines, with control growing downward.</t>
        </is>
      </c>
      <c r="O52" s="18" t="inlineStr">
        <is>
          <t>The ease of a clear rule of thumb.</t>
        </is>
      </c>
      <c r="P52" s="18" t="inlineStr">
        <is>
          <t>Functions suit short event-driven tasks, container services suit long-running packaged apps, and virtual machines suit workloads that need full control of the operating system.</t>
        </is>
      </c>
      <c r="Q52" s="17" t="n"/>
      <c r="R52" s="18" t="inlineStr">
        <is>
          <t>Functions have time limits and stateless design but need no servers. Containers give portability and steady services with moderate effort. Virtual machines give maximum control but need patching and sizing. Consider run time, traffic pattern, state, skills and cost. Spiky, short jobs favour functions, steady services favour containers, and legacy or special software favours virtual machines.</t>
        </is>
      </c>
      <c r="S52" s="18" t="inlineStr">
        <is>
          <t>Use the most managed option that fits the job, and move toward more control only when needed.</t>
        </is>
      </c>
      <c r="T52" s="18" t="inlineStr">
        <is>
          <t>It is choosing between a taxi, a rented car and owning a car.</t>
        </is>
      </c>
      <c r="U52" s="18" t="inlineStr">
        <is>
          <t>More control means more work. Pick the least you need.</t>
        </is>
      </c>
      <c r="V52" s="18" t="inlineStr">
        <is>
          <t>A nightly cleanup as a function.</t>
        </is>
      </c>
      <c r="W52" s="18" t="inlineStr">
        <is>
          <t>A web API as a container service.</t>
        </is>
      </c>
      <c r="X52" s="18" t="inlineStr">
        <is>
          <t>Licensed legacy software on a virtual machine.</t>
        </is>
      </c>
      <c r="Y52" s="18" t="inlineStr">
        <is>
          <t>serverless functions, container services, virtual machines, cost</t>
        </is>
      </c>
      <c r="Z52" s="18" t="inlineStr">
        <is>
          <t>function, container, virtual machine, control, managed</t>
        </is>
      </c>
      <c r="AA52" s="18" t="inlineStr">
        <is>
          <t>Architecture decisions | Customer designs | Migrations</t>
        </is>
      </c>
      <c r="AB52" s="18" t="inlineStr">
        <is>
          <t>A: Should we use a server for this small task? | B: A function is simpler if it finishes quickly.</t>
        </is>
      </c>
      <c r="AC52" s="18" t="inlineStr">
        <is>
          <t>✗ Virtual machines are always the safest default → ✓ A more managed option often costs less effort and fits better</t>
        </is>
      </c>
      <c r="AD52" s="18" t="inlineStr">
        <is>
          <t>Function vs container: a function is short and event-driven, a container service runs steadily.</t>
        </is>
      </c>
      <c r="AE52" s="18" t="inlineStr">
        <is>
          <t>Do not use functions for jobs that run longer than their limit.</t>
        </is>
      </c>
      <c r="AF52" s="18" t="inlineStr">
        <is>
          <t>Least control that works wins.</t>
        </is>
      </c>
      <c r="AG52" s="18" t="inlineStr">
        <is>
          <t>Choosing containers for a steady API and functions for its nightly cleanup jobs.</t>
        </is>
      </c>
      <c r="AH52" s="18" t="inlineStr">
        <is>
          <t>An interviewer may ask: How do you decide between functions and containers?</t>
        </is>
      </c>
      <c r="AI52" s="18" t="inlineStr">
        <is>
          <t>It is like choosing between a taxi and a rented car.</t>
        </is>
      </c>
      <c r="AJ52" s="18" t="inlineStr">
        <is>
          <t>Which suits a long-running web service with steady traffic?</t>
        </is>
      </c>
      <c r="AK52" s="18" t="inlineStr">
        <is>
          <t>A) A bucket B) A function with a short limit C) A container service D) A queue</t>
        </is>
      </c>
      <c r="AL52" s="18" t="inlineStr">
        <is>
          <t>C</t>
        </is>
      </c>
      <c r="AM52" s="18" t="inlineStr">
        <is>
          <t>Containers run steadily without function time limits.</t>
        </is>
      </c>
      <c r="AN52" s="18" t="inlineStr">
        <is>
          <t>Functions are best for short, ____ tasks → event-driven</t>
        </is>
      </c>
      <c r="AO52" s="18" t="inlineStr">
        <is>
          <t>Legacy licensed software needs full OS control. Which option? → A virtual machine</t>
        </is>
      </c>
      <c r="AP52" s="18" t="inlineStr">
        <is>
          <t>Explain how to choose a compute option in three lines.</t>
        </is>
      </c>
      <c r="AQ52" s="18" t="inlineStr">
        <is>
          <t>Choose a compute option for three jobs and explain why.</t>
        </is>
      </c>
      <c r="AR52" s="17">
        <f>IF(J52="","",REPT("★",J52)&amp;REPT("☆",5-J52)&amp;" ("&amp;J52&amp;"/5)")</f>
        <v/>
      </c>
      <c r="AS52" s="17">
        <f>IF(Q52="","","Meaning: "&amp;Q52&amp;"  =  ______   (Answer: "&amp;F52&amp;")")</f>
        <v/>
      </c>
      <c r="AT52" s="17" t="inlineStr">
        <is>
          <t>New</t>
        </is>
      </c>
      <c r="AU52" s="17" t="n"/>
      <c r="AV52" s="17" t="n"/>
      <c r="AW52" s="17" t="n"/>
      <c r="AX52" s="17" t="n"/>
      <c r="AY52" s="17" t="n"/>
      <c r="AZ52" s="17" t="n"/>
      <c r="BA52" s="17" t="n"/>
      <c r="BB52" s="17" t="n"/>
    </row>
  </sheetData>
  <autoFilter ref="A2:BB52"/>
  <mergeCells count="6">
    <mergeCell ref="F1:O1"/>
    <mergeCell ref="AT1:BB1"/>
    <mergeCell ref="AR1:AS1"/>
    <mergeCell ref="A1:E1"/>
    <mergeCell ref="AJ1:AQ1"/>
    <mergeCell ref="P1:AI1"/>
  </mergeCells>
  <dataValidations count="2">
    <dataValidation sqref="AT3:AT52" showDropDown="0" showInputMessage="0" showErrorMessage="0" allowBlank="1" type="list">
      <formula1>"New,Learning,Known"</formula1>
    </dataValidation>
    <dataValidation sqref="BA3:BA52"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19" t="inlineStr">
        <is>
          <t>Topic (56-pt) · card view</t>
        </is>
      </c>
    </row>
    <row r="2">
      <c r="A2" s="20" t="inlineStr">
        <is>
          <t>Card ID chuno ▸</t>
        </is>
      </c>
      <c r="B2" s="21" t="inlineStr">
        <is>
          <t>CLD-001</t>
        </is>
      </c>
    </row>
    <row r="4">
      <c r="A4" s="22" t="inlineStr">
        <is>
          <t>FRONT · Recognition (pehchano)</t>
        </is>
      </c>
    </row>
    <row r="5" ht="30" customHeight="1">
      <c r="A5" s="23" t="inlineStr">
        <is>
          <t>ID</t>
        </is>
      </c>
      <c r="B5" s="17">
        <f>INDEX('Topic (56-pt) cards'!$A$3:$BB$52,MATCH($B$2,'Topic (56-pt) cards'!$A$3:$A$52,0),MATCH("ID",'Topic (56-pt) cards'!$A$2:$BB$2,0))&amp;""</f>
        <v/>
      </c>
    </row>
    <row r="6" ht="30" customHeight="1">
      <c r="A6" s="23" t="inlineStr">
        <is>
          <t>Topic</t>
        </is>
      </c>
      <c r="B6" s="17">
        <f>INDEX('Topic (56-pt) cards'!$A$3:$BB$52,MATCH($B$2,'Topic (56-pt) cards'!$A$3:$A$52,0),MATCH("Topic",'Topic (56-pt) cards'!$A$2:$BB$2,0))&amp;""</f>
        <v/>
      </c>
    </row>
    <row r="7" ht="30" customHeight="1">
      <c r="A7" s="23" t="inlineStr">
        <is>
          <t>Level</t>
        </is>
      </c>
      <c r="B7" s="17">
        <f>INDEX('Topic (56-pt) cards'!$A$3:$BB$52,MATCH($B$2,'Topic (56-pt) cards'!$A$3:$A$52,0),MATCH("Level",'Topic (56-pt) cards'!$A$2:$BB$2,0))&amp;""</f>
        <v/>
      </c>
    </row>
    <row r="8" ht="30" customHeight="1">
      <c r="A8" s="23" t="inlineStr">
        <is>
          <t>Term / topic</t>
        </is>
      </c>
      <c r="B8" s="17">
        <f>INDEX('Topic (56-pt) cards'!$A$3:$BB$52,MATCH($B$2,'Topic (56-pt) cards'!$A$3:$A$52,0),MATCH("Term / topic",'Topic (56-pt) cards'!$A$2:$BB$2,0))&amp;""</f>
        <v/>
      </c>
    </row>
    <row r="9" ht="30" customHeight="1">
      <c r="A9" s="23" t="inlineStr">
        <is>
          <t>Recall cue</t>
        </is>
      </c>
      <c r="B9" s="17">
        <f>INDEX('Topic (56-pt) cards'!$A$3:$BB$52,MATCH($B$2,'Topic (56-pt) cards'!$A$3:$A$52,0),MATCH("Recall cue",'Topic (56-pt) cards'!$A$2:$BB$2,0))&amp;""</f>
        <v/>
      </c>
    </row>
    <row r="10" ht="30" customHeight="1">
      <c r="A10" s="23" t="inlineStr">
        <is>
          <t>Category</t>
        </is>
      </c>
      <c r="B10" s="17">
        <f>INDEX('Topic (56-pt) cards'!$A$3:$BB$52,MATCH($B$2,'Topic (56-pt) cards'!$A$3:$A$52,0),MATCH("Category",'Topic (56-pt) cards'!$A$2:$BB$2,0))&amp;""</f>
        <v/>
      </c>
    </row>
    <row r="11" ht="30" customHeight="1">
      <c r="A11" s="23" t="inlineStr">
        <is>
          <t>How often used</t>
        </is>
      </c>
      <c r="B11" s="17">
        <f>INDEX('Topic (56-pt) cards'!$A$3:$BB$52,MATCH($B$2,'Topic (56-pt) cards'!$A$3:$A$52,0),MATCH("How often used",'Topic (56-pt) cards'!$A$2:$BB$2,0))&amp;""</f>
        <v/>
      </c>
    </row>
    <row r="12" ht="30" customHeight="1">
      <c r="A12" s="23" t="inlineStr">
        <is>
          <t>Importance (1-5)</t>
        </is>
      </c>
      <c r="B12" s="17">
        <f>INDEX('Topic (56-pt) cards'!$A$3:$BB$52,MATCH($B$2,'Topic (56-pt) cards'!$A$3:$A$52,0),MATCH("Importance (1-5)",'Topic (56-pt) cards'!$A$2:$BB$2,0))&amp;""</f>
        <v/>
      </c>
    </row>
    <row r="13" ht="30" customHeight="1">
      <c r="A13" s="23" t="inlineStr">
        <is>
          <t>Origin / why it exists</t>
        </is>
      </c>
      <c r="B13" s="17">
        <f>INDEX('Topic (56-pt) cards'!$A$3:$BB$52,MATCH($B$2,'Topic (56-pt) cards'!$A$3:$A$52,0),MATCH("Origin / why it exists",'Topic (56-pt) cards'!$A$2:$BB$2,0))&amp;""</f>
        <v/>
      </c>
    </row>
    <row r="14" ht="30" customHeight="1">
      <c r="A14" s="23" t="inlineStr">
        <is>
          <t>Pro tip</t>
        </is>
      </c>
      <c r="B14" s="17">
        <f>INDEX('Topic (56-pt) cards'!$A$3:$BB$52,MATCH($B$2,'Topic (56-pt) cards'!$A$3:$A$52,0),MATCH("Pro tip",'Topic (56-pt) cards'!$A$2:$BB$2,0))&amp;""</f>
        <v/>
      </c>
    </row>
    <row r="15" ht="30" customHeight="1">
      <c r="A15" s="23" t="inlineStr">
        <is>
          <t>Memory story</t>
        </is>
      </c>
      <c r="B15" s="17">
        <f>INDEX('Topic (56-pt) cards'!$A$3:$BB$52,MATCH($B$2,'Topic (56-pt) cards'!$A$3:$A$52,0),MATCH("Memory story",'Topic (56-pt) cards'!$A$2:$BB$2,0))&amp;""</f>
        <v/>
      </c>
    </row>
    <row r="16" ht="30" customHeight="1">
      <c r="A16" s="23" t="inlineStr">
        <is>
          <t>Picture it</t>
        </is>
      </c>
      <c r="B16" s="17">
        <f>INDEX('Topic (56-pt) cards'!$A$3:$BB$52,MATCH($B$2,'Topic (56-pt) cards'!$A$3:$A$52,0),MATCH("Picture it",'Topic (56-pt) cards'!$A$2:$BB$2,0))&amp;""</f>
        <v/>
      </c>
    </row>
    <row r="17" ht="30" customHeight="1">
      <c r="A17" s="23" t="inlineStr">
        <is>
          <t>Emotion hook</t>
        </is>
      </c>
      <c r="B17" s="17">
        <f>INDEX('Topic (56-pt) cards'!$A$3:$BB$52,MATCH($B$2,'Topic (56-pt) cards'!$A$3:$A$52,0),MATCH("Emotion hook",'Topic (56-pt) cards'!$A$2:$BB$2,0))&amp;""</f>
        <v/>
      </c>
    </row>
    <row r="18" ht="30" customHeight="1">
      <c r="A18" s="23" t="inlineStr">
        <is>
          <t>Importance ★</t>
        </is>
      </c>
      <c r="B18" s="17">
        <f>INDEX('Topic (56-pt) cards'!$A$3:$BB$52,MATCH($B$2,'Topic (56-pt) cards'!$A$3:$A$52,0),MATCH("Importance ★",'Topic (56-pt) cards'!$A$2:$BB$2,0))&amp;""</f>
        <v/>
      </c>
    </row>
    <row r="19">
      <c r="A19" s="24" t="inlineStr">
        <is>
          <t>BACK · Understanding (samjho)</t>
        </is>
      </c>
    </row>
    <row r="20" ht="30" customHeight="1">
      <c r="A20" s="23" t="inlineStr">
        <is>
          <t>Definition (simple)</t>
        </is>
      </c>
      <c r="B20" s="17">
        <f>INDEX('Topic (56-pt) cards'!$A$3:$BB$52,MATCH($B$2,'Topic (56-pt) cards'!$A$3:$A$52,0),MATCH("Definition (simple)",'Topic (56-pt) cards'!$A$2:$BB$2,0))&amp;""</f>
        <v/>
      </c>
    </row>
    <row r="21" ht="30" customHeight="1">
      <c r="A21" s="23" t="inlineStr">
        <is>
          <t>Meaning in learner's language</t>
        </is>
      </c>
      <c r="B21" s="17">
        <f>INDEX('Topic (56-pt) cards'!$A$3:$BB$52,MATCH($B$2,'Topic (56-pt) cards'!$A$3:$A$52,0),MATCH("Meaning in learner's language",'Topic (56-pt) cards'!$A$2:$BB$2,0))&amp;""</f>
        <v/>
      </c>
    </row>
    <row r="22" ht="54" customHeight="1">
      <c r="A22" s="23" t="inlineStr">
        <is>
          <t>How / why it works</t>
        </is>
      </c>
      <c r="B22" s="17">
        <f>INDEX('Topic (56-pt) cards'!$A$3:$BB$52,MATCH($B$2,'Topic (56-pt) cards'!$A$3:$A$52,0),MATCH("How / why it works",'Topic (56-pt) cards'!$A$2:$BB$2,0))&amp;""</f>
        <v/>
      </c>
    </row>
    <row r="23" ht="30" customHeight="1">
      <c r="A23" s="23" t="inlineStr">
        <is>
          <t>Simple explanation (Hinglish)</t>
        </is>
      </c>
      <c r="B23" s="17">
        <f>INDEX('Topic (56-pt) cards'!$A$3:$BB$52,MATCH($B$2,'Topic (56-pt) cards'!$A$3:$A$52,0),MATCH("Simple explanation (Hinglish)",'Topic (56-pt) cards'!$A$2:$BB$2,0))&amp;""</f>
        <v/>
      </c>
    </row>
    <row r="24" ht="30" customHeight="1">
      <c r="A24" s="23" t="inlineStr">
        <is>
          <t>Real-life analogy</t>
        </is>
      </c>
      <c r="B24" s="17">
        <f>INDEX('Topic (56-pt) cards'!$A$3:$BB$52,MATCH($B$2,'Topic (56-pt) cards'!$A$3:$A$52,0),MATCH("Real-life analogy",'Topic (56-pt) cards'!$A$2:$BB$2,0))&amp;""</f>
        <v/>
      </c>
    </row>
    <row r="25" ht="30" customHeight="1">
      <c r="A25" s="23" t="inlineStr">
        <is>
          <t>Formula / rule</t>
        </is>
      </c>
      <c r="B25" s="17">
        <f>INDEX('Topic (56-pt) cards'!$A$3:$BB$52,MATCH($B$2,'Topic (56-pt) cards'!$A$3:$A$52,0),MATCH("Formula / rule",'Topic (56-pt) cards'!$A$2:$BB$2,0))&amp;""</f>
        <v/>
      </c>
    </row>
    <row r="26" ht="30" customHeight="1">
      <c r="A26" s="23" t="inlineStr">
        <is>
          <t>Example 1</t>
        </is>
      </c>
      <c r="B26" s="17">
        <f>INDEX('Topic (56-pt) cards'!$A$3:$BB$52,MATCH($B$2,'Topic (56-pt) cards'!$A$3:$A$52,0),MATCH("Example 1",'Topic (56-pt) cards'!$A$2:$BB$2,0))&amp;""</f>
        <v/>
      </c>
    </row>
    <row r="27" ht="30" customHeight="1">
      <c r="A27" s="23" t="inlineStr">
        <is>
          <t>Example 2</t>
        </is>
      </c>
      <c r="B27" s="17">
        <f>INDEX('Topic (56-pt) cards'!$A$3:$BB$52,MATCH($B$2,'Topic (56-pt) cards'!$A$3:$A$52,0),MATCH("Example 2",'Topic (56-pt) cards'!$A$2:$BB$2,0))&amp;""</f>
        <v/>
      </c>
    </row>
    <row r="28" ht="30" customHeight="1">
      <c r="A28" s="23" t="inlineStr">
        <is>
          <t>Example 3</t>
        </is>
      </c>
      <c r="B28" s="17">
        <f>INDEX('Topic (56-pt) cards'!$A$3:$BB$52,MATCH($B$2,'Topic (56-pt) cards'!$A$3:$A$52,0),MATCH("Example 3",'Topic (56-pt) cards'!$A$2:$BB$2,0))&amp;""</f>
        <v/>
      </c>
    </row>
    <row r="29" ht="30" customHeight="1">
      <c r="A29" s="23" t="inlineStr">
        <is>
          <t>Related concepts</t>
        </is>
      </c>
      <c r="B29" s="17">
        <f>INDEX('Topic (56-pt) cards'!$A$3:$BB$52,MATCH($B$2,'Topic (56-pt) cards'!$A$3:$A$52,0),MATCH("Related concepts",'Topic (56-pt) cards'!$A$2:$BB$2,0))&amp;""</f>
        <v/>
      </c>
    </row>
    <row r="30" ht="30" customHeight="1">
      <c r="A30" s="23" t="inlineStr">
        <is>
          <t>Family / group</t>
        </is>
      </c>
      <c r="B30" s="17">
        <f>INDEX('Topic (56-pt) cards'!$A$3:$BB$52,MATCH($B$2,'Topic (56-pt) cards'!$A$3:$A$52,0),MATCH("Family / group",'Topic (56-pt) cards'!$A$2:$BB$2,0))&amp;""</f>
        <v/>
      </c>
    </row>
    <row r="31" ht="30" customHeight="1">
      <c r="A31" s="23" t="inlineStr">
        <is>
          <t>Where it is used</t>
        </is>
      </c>
      <c r="B31" s="17">
        <f>INDEX('Topic (56-pt) cards'!$A$3:$BB$52,MATCH($B$2,'Topic (56-pt) cards'!$A$3:$A$52,0),MATCH("Where it is used",'Topic (56-pt) cards'!$A$2:$BB$2,0))&amp;""</f>
        <v/>
      </c>
    </row>
    <row r="32" ht="30" customHeight="1">
      <c r="A32" s="23" t="inlineStr">
        <is>
          <t>Mini conversation</t>
        </is>
      </c>
      <c r="B32" s="17">
        <f>INDEX('Topic (56-pt) cards'!$A$3:$BB$52,MATCH($B$2,'Topic (56-pt) cards'!$A$3:$A$52,0),MATCH("Mini conversation",'Topic (56-pt) cards'!$A$2:$BB$2,0))&amp;""</f>
        <v/>
      </c>
    </row>
    <row r="33" ht="30" customHeight="1">
      <c r="A33" s="23" t="inlineStr">
        <is>
          <t>Common mistake</t>
        </is>
      </c>
      <c r="B33" s="17">
        <f>INDEX('Topic (56-pt) cards'!$A$3:$BB$52,MATCH($B$2,'Topic (56-pt) cards'!$A$3:$A$52,0),MATCH("Common mistake",'Topic (56-pt) cards'!$A$2:$BB$2,0))&amp;""</f>
        <v/>
      </c>
    </row>
    <row r="34" ht="30" customHeight="1">
      <c r="A34" s="23" t="inlineStr">
        <is>
          <t>Don't confuse with</t>
        </is>
      </c>
      <c r="B34" s="17">
        <f>INDEX('Topic (56-pt) cards'!$A$3:$BB$52,MATCH($B$2,'Topic (56-pt) cards'!$A$3:$A$52,0),MATCH("Don't confuse with",'Topic (56-pt) cards'!$A$2:$BB$2,0))&amp;""</f>
        <v/>
      </c>
    </row>
    <row r="35" ht="30" customHeight="1">
      <c r="A35" s="23" t="inlineStr">
        <is>
          <t>Avoid / don't</t>
        </is>
      </c>
      <c r="B35" s="17">
        <f>INDEX('Topic (56-pt) cards'!$A$3:$BB$52,MATCH($B$2,'Topic (56-pt) cards'!$A$3:$A$52,0),MATCH("Avoid / don't",'Topic (56-pt) cards'!$A$2:$BB$2,0))&amp;""</f>
        <v/>
      </c>
    </row>
    <row r="36" ht="30" customHeight="1">
      <c r="A36" s="23" t="inlineStr">
        <is>
          <t>Memory trick</t>
        </is>
      </c>
      <c r="B36" s="17">
        <f>INDEX('Topic (56-pt) cards'!$A$3:$BB$52,MATCH($B$2,'Topic (56-pt) cards'!$A$3:$A$52,0),MATCH("Memory trick",'Topic (56-pt) cards'!$A$2:$BB$2,0))&amp;""</f>
        <v/>
      </c>
    </row>
    <row r="37" ht="30" customHeight="1">
      <c r="A37" s="23" t="inlineStr">
        <is>
          <t>Real life: project / work</t>
        </is>
      </c>
      <c r="B37" s="17">
        <f>INDEX('Topic (56-pt) cards'!$A$3:$BB$52,MATCH($B$2,'Topic (56-pt) cards'!$A$3:$A$52,0),MATCH("Real life: project / work",'Topic (56-pt) cards'!$A$2:$BB$2,0))&amp;""</f>
        <v/>
      </c>
    </row>
    <row r="38" ht="30" customHeight="1">
      <c r="A38" s="23" t="inlineStr">
        <is>
          <t>Real life: interview / exam</t>
        </is>
      </c>
      <c r="B38" s="17">
        <f>INDEX('Topic (56-pt) cards'!$A$3:$BB$52,MATCH($B$2,'Topic (56-pt) cards'!$A$3:$A$52,0),MATCH("Real life: interview / exam",'Topic (56-pt) cards'!$A$2:$BB$2,0))&amp;""</f>
        <v/>
      </c>
    </row>
    <row r="39" ht="30" customHeight="1">
      <c r="A39" s="23" t="inlineStr">
        <is>
          <t>Real life: daily life</t>
        </is>
      </c>
      <c r="B39" s="17">
        <f>INDEX('Topic (56-pt) cards'!$A$3:$BB$52,MATCH($B$2,'Topic (56-pt) cards'!$A$3:$A$52,0),MATCH("Real life: daily life",'Topic (56-pt) cards'!$A$2:$BB$2,0))&amp;""</f>
        <v/>
      </c>
    </row>
    <row r="40">
      <c r="A40" s="25" t="inlineStr">
        <is>
          <t>PRACTICE · Khud karo</t>
        </is>
      </c>
    </row>
    <row r="41" ht="30" customHeight="1">
      <c r="A41" s="23" t="inlineStr">
        <is>
          <t>MCQ question</t>
        </is>
      </c>
      <c r="B41" s="17">
        <f>INDEX('Topic (56-pt) cards'!$A$3:$BB$52,MATCH($B$2,'Topic (56-pt) cards'!$A$3:$A$52,0),MATCH("MCQ question",'Topic (56-pt) cards'!$A$2:$BB$2,0))&amp;""</f>
        <v/>
      </c>
    </row>
    <row r="42" ht="30" customHeight="1">
      <c r="A42" s="23" t="inlineStr">
        <is>
          <t>MCQ options</t>
        </is>
      </c>
      <c r="B42" s="17">
        <f>INDEX('Topic (56-pt) cards'!$A$3:$BB$52,MATCH($B$2,'Topic (56-pt) cards'!$A$3:$A$52,0),MATCH("MCQ options",'Topic (56-pt) cards'!$A$2:$BB$2,0))&amp;""</f>
        <v/>
      </c>
    </row>
    <row r="43" ht="30" customHeight="1">
      <c r="A43" s="23" t="inlineStr">
        <is>
          <t>MCQ answer</t>
        </is>
      </c>
      <c r="B43" s="17">
        <f>INDEX('Topic (56-pt) cards'!$A$3:$BB$52,MATCH($B$2,'Topic (56-pt) cards'!$A$3:$A$52,0),MATCH("MCQ answer",'Topic (56-pt) cards'!$A$2:$BB$2,0))&amp;""</f>
        <v/>
      </c>
    </row>
    <row r="44" ht="30" customHeight="1">
      <c r="A44" s="23" t="inlineStr">
        <is>
          <t>Why that answer</t>
        </is>
      </c>
      <c r="B44" s="17">
        <f>INDEX('Topic (56-pt) cards'!$A$3:$BB$52,MATCH($B$2,'Topic (56-pt) cards'!$A$3:$A$52,0),MATCH("Why that answer",'Topic (56-pt) cards'!$A$2:$BB$2,0))&amp;""</f>
        <v/>
      </c>
    </row>
    <row r="45" ht="30" customHeight="1">
      <c r="A45" s="23" t="inlineStr">
        <is>
          <t>Fill the blank</t>
        </is>
      </c>
      <c r="B45" s="17">
        <f>INDEX('Topic (56-pt) cards'!$A$3:$BB$52,MATCH($B$2,'Topic (56-pt) cards'!$A$3:$A$52,0),MATCH("Fill the blank",'Topic (56-pt) cards'!$A$2:$BB$2,0))&amp;""</f>
        <v/>
      </c>
    </row>
    <row r="46" ht="30" customHeight="1">
      <c r="A46" s="23" t="inlineStr">
        <is>
          <t>Apply it</t>
        </is>
      </c>
      <c r="B46" s="17">
        <f>INDEX('Topic (56-pt) cards'!$A$3:$BB$52,MATCH($B$2,'Topic (56-pt) cards'!$A$3:$A$52,0),MATCH("Apply it",'Topic (56-pt) cards'!$A$2:$BB$2,0))&amp;""</f>
        <v/>
      </c>
    </row>
    <row r="47" ht="30" customHeight="1">
      <c r="A47" s="23" t="inlineStr">
        <is>
          <t>Explain it yourself</t>
        </is>
      </c>
      <c r="B47" s="17">
        <f>INDEX('Topic (56-pt) cards'!$A$3:$BB$52,MATCH($B$2,'Topic (56-pt) cards'!$A$3:$A$52,0),MATCH("Explain it yourself",'Topic (56-pt) cards'!$A$2:$BB$2,0))&amp;""</f>
        <v/>
      </c>
    </row>
    <row r="48" ht="30" customHeight="1">
      <c r="A48" s="23" t="inlineStr">
        <is>
          <t>Write your own</t>
        </is>
      </c>
      <c r="B48" s="17">
        <f>INDEX('Topic (56-pt) cards'!$A$3:$BB$52,MATCH($B$2,'Topic (56-pt) cards'!$A$3:$A$52,0),MATCH("Write your own",'Topic (56-pt) cards'!$A$2:$BB$2,0))&amp;""</f>
        <v/>
      </c>
    </row>
    <row r="49" ht="30" customHeight="1">
      <c r="A49" s="23" t="inlineStr">
        <is>
          <t>Quick recall (reverse)</t>
        </is>
      </c>
      <c r="B49" s="17">
        <f>INDEX('Topic (56-pt) cards'!$A$3:$BB$52,MATCH($B$2,'Topic (56-pt) cards'!$A$3:$A$52,0),MATCH("Quick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cards'!$A$3:$A$52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6" t="inlineStr">
        <is>
          <t>Front</t>
        </is>
      </c>
      <c r="B1" s="26" t="inlineStr">
        <is>
          <t>Back</t>
        </is>
      </c>
      <c r="C1" s="26" t="inlineStr">
        <is>
          <t>Tags</t>
        </is>
      </c>
    </row>
    <row r="2" ht="409" customHeight="1">
      <c r="A2" s="27" t="inlineStr">
        <is>
          <t>IaaS, PaaS and SaaS
Which three service models differ in how much of the stack you manage yourself?</t>
        </is>
      </c>
      <c r="B2" s="27" t="inlineStr">
        <is>
          <t>DEFINITION (SIMPLE):
IaaS rents virtual infrastructure such as servers and networks, PaaS rents a platform for running your code without managing servers, and SaaS delivers a finished application over the internet.
HOW / WHY IT WORKS:
With IaaS, such as AWS EC2, you manage the operating system and everything above it. With PaaS, such as Elastic Beanstalk, App Service or App Engine, you deploy code and the provider runs the servers. With SaaS, such as Gmail or Salesforce, you only use the product. The more the provider manages, the less control and the less work you have.
SIMPLE EXPLANATION (HINGLISH):
IaaS gives you servers, PaaS gives you a place to run code, SaaS gives you the finished app. Each step hands more work to the provider.
REAL-LIFE ANALOGY:
IaaS is an empty rented kitchen, PaaS is a kitchen with tools ready, and SaaS is a meal delivered to your table.
FORMULA / RULE:
More provider management = less control for you, and less work for you.
EXAMPLE 1:
Launching an EC2 virtual machine and installing your own web server on it.
EXAMPLE 2:
Deploying a Python app to a platform service that handles servers for you.
EXAMPLE 3:
Using a hosted email service through a web browser.
RELATED CONCEPTS:
cloud vs on-premises, shared responsibility, virtual machines
FAMILY / GROUP:
infrastructure, platform, software, service, managed
WHERE IT IS USED:
Choosing hosting | Planning budgets | Customer architecture talks
MINI CONVERSATION:
A: Do we patch the operating system ourselves? | B: Only if we pick IaaS. A platform service patches it for us.
COMMON MISTAKE:
✗ SaaS and PaaS are the same because both are managed → ✓ PaaS runs your code, while SaaS is a finished product you simply use
DON'T CONFUSE WITH:
IaaS vs PaaS: with IaaS you manage the operating system, with PaaS you only manage your code and data.
AVOID / DON'T:
Do not choose IaaS only for control if nobody on the team wants to patch servers.
MEMORY TRICK:
Infrastructure, platform, software, each hands over more.
REAL LIFE: PROJECT / WORK:
Moving a customer script from a rented server to a managed platform to avoid patching work.
REAL LIFE: INTERVIEW / EXAM:
An interviewer may ask: What is the difference between IaaS, PaaS and SaaS?
REAL LIFE: DAILY LIFE:
It is like cooking in a rented kitchen versus ordering delivery.</t>
        </is>
      </c>
      <c r="C2" s="27" t="inlineStr">
        <is>
          <t>01_Basics_Beginner_CLD-001</t>
        </is>
      </c>
    </row>
    <row r="3" ht="409" customHeight="1">
      <c r="A3" s="27" t="inlineStr">
        <is>
          <t>Regions and availability zones
Which two ideas describe where in the world your cloud resources physically run, and how they survive a failure?</t>
        </is>
      </c>
      <c r="B3" s="27" t="inlineStr">
        <is>
          <t>DEFINITION (SIMPLE):
A region is a geographic area containing several availability zones, and an availability zone is one or more isolated data centres with independent power and networking.
HOW / WHY IT WORKS:
Resources are created in a chosen region, such as ap-south-1 in Mumbai. Zones inside a region are connected with fast links, so you can run copies of a service in several zones. Data does not leave a region unless you move it. Azure calls them regions and availability zones, and GCP calls them regions and zones. Not every service exists in every region.
SIMPLE EXPLANATION (HINGLISH):
Pick a region close to your users and rules, and spread copies across zones inside it for resilience.
REAL-LIFE ANALOGY:
A region is a city, and zones are separate buildings with their own power supply.
FORMULA / RULE:
Region = location. Zone = isolated data centre inside it.
EXAMPLE 1:
Running a web server in two zones of Mumbai so one can fail safely.
EXAMPLE 2:
Storing customer data only in a region that meets local law.
EXAMPLE 3:
Choosing a nearby region to reduce latency for users.
RELATED CONCEPTS:
disaster recovery, latency, data residency, load balancers
FAMILY / GROUP:
region, zone, data centre, latency, resilience
WHERE IT IS USED:
Architecture design | Compliance | Cost and speed decisions
MINI CONVERSATION:
A: If one data centre burns down, are we down? | B: Not if we run in two zones.
COMMON MISTAKE:
✗ Data automatically copies to every region → ✓ Data stays in the chosen region unless you set up replication
DON'T CONFUSE WITH:
Region vs zone: a region is a whole area, a zone is one isolated location inside it.
AVOID / DON'T:
Do not put every copy of a critical service in a single zone.
MEMORY TRICK:
Regions are cities, zones are buildings inside.
REAL LIFE: PROJECT / WORK:
Placing a customer database in a regional location to meet their data residency rule.
REAL LIFE: INTERVIEW / EXAM:
An interviewer may ask: How do you make an application survive a data centre failure?
REAL LIFE: DAILY LIFE:
It is like keeping backups in separate buildings of one city.</t>
        </is>
      </c>
      <c r="C3" s="27" t="inlineStr">
        <is>
          <t>01_Basics_Beginner_CLD-002</t>
        </is>
      </c>
    </row>
    <row r="4" ht="409" customHeight="1">
      <c r="A4" s="27" t="inlineStr">
        <is>
          <t>Shared responsibility model
Which model says what the provider secures and what you must secure?</t>
        </is>
      </c>
      <c r="B4" s="27" t="inlineStr">
        <is>
          <t>DEFINITION (SIMPLE):
The shared responsibility model divides security duties, so the provider secures the underlying infrastructure and the customer secures their data, access and configuration.
HOW / WHY IT WORKS:
The provider handles buildings, hardware and the virtualisation layer. You handle identity and access, data, encryption choices, network rules and, with IaaS, the operating system. Many cloud breaches come from customer misconfiguration, such as a public storage bucket or an exposed key. The line moves up as you use more managed services.
SIMPLE EXPLANATION (HINGLISH):
The provider protects the cloud, and you protect what you place in it and how you configure it.
REAL-LIFE ANALOGY:
The landlord secures the building, and you lock your own door.
FORMULA / RULE:
Provider = security of the cloud. Customer = security in the cloud.
EXAMPLE 1:
A provider securing the data centre while you set the storage permissions.
EXAMPLE 2:
A leaked access key causing a breach, which is the customer's duty.
EXAMPLE 3:
A managed database where the provider patches the engine but you control who can connect.
RELATED CONCEPTS:
IAM, least privilege, encryption, secrets
FAMILY / GROUP:
responsibility, security, configuration, compliance, provider
WHERE IT IS USED:
Security reviews | Customer questions | Audits
MINI CONVERSATION:
A: Is our data safe because we are on AWS? | B: Only if we set permissions and encryption correctly.
COMMON MISTAKE:
✗ The cloud provider secures everything, including my settings → ✓ You remain responsible for access, data and configuration
DON'T CONFUSE WITH:
Security of the cloud vs security in the cloud: the first is the provider's job, the second is yours.
AVOID / DON'T:
Do not assume a default setting is safe without checking it.
MEMORY TRICK:
Provider secures the cloud, you secure contents.
REAL LIFE: PROJECT / WORK:
Fixing a public bucket found in a review, which was a customer-side mistake.
REAL LIFE: INTERVIEW / EXAM:
An interviewer may ask: Who is responsible when a storage bucket is left public?
REAL LIFE: DAILY LIFE:
It is like the landlord securing the building while you lock your door.</t>
        </is>
      </c>
      <c r="C4" s="27" t="inlineStr">
        <is>
          <t>01_Basics_Beginner_CLD-003</t>
        </is>
      </c>
    </row>
    <row r="5" ht="409" customHeight="1">
      <c r="A5" s="27" t="inlineStr">
        <is>
          <t>Pay-as-you-go pricing
Which pricing idea means you pay for what you use rather than buying equipment upfront?</t>
        </is>
      </c>
      <c r="B5" s="27" t="inlineStr">
        <is>
          <t>DEFINITION (SIMPLE):
Pay-as-you-go pricing charges for the resources and time you actually use, with options to commit for a lower price.
HOW / WHY IT WORKS:
Compute is often billed per second, storage per gigabyte per month, and data leaving the cloud per gigabyte. Savings plans or reserved capacity give a discount for committing. Spot capacity is cheaper but can be taken back. Free tiers have limits and expire. Forgotten resources are the most common surprise on a bill.
SIMPLE EXPLANATION (HINGLISH):
You are billed for usage, so stop what you do not need and set budget alerts.
REAL-LIFE ANALOGY:
It is like a taxi meter instead of buying a car.
FORMULA / RULE:
Cost = quantity used × price per unit × time.
EXAMPLE 1:
A test server that costs money only while it is switched on.
EXAMPLE 2:
A stored backup billed per gigabyte per month.
EXAMPLE 3:
A discount for committing to steady usage for a year.
RELATED CONCEPTS:
cost alerts, tagging, spot instances, cleanup
FAMILY / GROUP:
metered, billing, reserved, spot, commitment
WHERE IT IS USED:
Budget planning | Cost reviews | Customer estimates
MINI CONVERSATION:
A: Why is the bill high? | B: A forgotten test server ran all month.
COMMON MISTAKE:
✗ If I stop using a service it stops costing money → ✓ Resources keep billing until you stop or delete them
DON'T CONFUSE WITH:
On-demand vs reserved: on-demand has no commitment, reserved is cheaper for steady use.
AVOID / DON'T:
Do not leave test resources running after a demo.
MEMORY TRICK:
Idle resources still ring the meter.
REAL LIFE: PROJECT / WORK:
Deleting forgotten test resources after a bill alert and saving the monthly budget.
REAL LIFE: INTERVIEW / EXAM:
An interviewer may ask: How do you control cloud cost?
REAL LIFE: DAILY LIFE:
It is like a taxi meter that runs until you get out.</t>
        </is>
      </c>
      <c r="C5" s="27" t="inlineStr">
        <is>
          <t>01_Basics_Beginner_CLD-004</t>
        </is>
      </c>
    </row>
    <row r="6" ht="409" customHeight="1">
      <c r="A6" s="27" t="inlineStr">
        <is>
          <t>Cloud vs on-premises
Which two ways of running servers differ in who owns and maintains the hardware?</t>
        </is>
      </c>
      <c r="B6" s="27" t="inlineStr">
        <is>
          <t>DEFINITION (SIMPLE):
On-premises means running servers you own in your own location, while cloud means renting computing resources from a provider over the internet.
HOW / WHY IT WORKS:
On-premises gives full control and can suit strict rules or steady heavy workloads, but needs upfront cost and staff. Cloud gives fast setup, easy scaling and no hardware to maintain, but ongoing fees and dependence on a provider. Hybrid setups mix both. Many customers keep sensitive systems on-premises and connect them to the cloud.
SIMPLE EXPLANATION (HINGLISH):
Cloud rents capacity on demand, on-premises owns it. Many companies use both.
REAL-LIFE ANALOGY:
On-premises is owning a house, cloud is renting a flat with services included.
FORMULA / RULE:
Own = control and upfront cost. Rent = speed and ongoing cost.
EXAMPLE 1:
A hospital keeping patient records on its own servers.
EXAMPLE 2:
A start-up renting servers for a new product launch.
EXAMPLE 3:
A bank linking its own data centre to a cloud analytics service.
RELATED CONCEPTS:
hybrid cloud, regions, compliance, shared responsibility
FAMILY / GROUP:
on-premises, hybrid, colocation, capacity, ownership
WHERE IT IS USED:
Customer discovery | Migration planning | Architecture reviews
MINI CONVERSATION:
A: Why can we not move everything to the cloud? | B: Some data must stay in our own data centre by rule.
COMMON MISTAKE:
✗ The cloud is always cheaper than on-premises → ✓ It depends on usage, because steady heavy loads can cost less on owned hardware
DON'T CONFUSE WITH:
Cloud vs on-premises: cloud is flexible and rented, on-premises is owned and controlled.
AVOID / DON'T:
Do not recommend a move without checking rules and total cost.
MEMORY TRICK:
Own the house, or rent the flat.
REAL LIFE: PROJECT / WORK:
Designing a link between a customer's own servers and a cloud analytics service.
REAL LIFE: INTERVIEW / EXAM:
An interviewer may ask: When would a customer stay on-premises?
REAL LIFE: DAILY LIFE:
It is like owning a house versus renting a furnished flat.</t>
        </is>
      </c>
      <c r="C6" s="27" t="inlineStr">
        <is>
          <t>01_Basics_Beginner_CLD-005</t>
        </is>
      </c>
    </row>
    <row r="7" ht="409" customHeight="1">
      <c r="A7" s="27" t="inlineStr">
        <is>
          <t>Well-architected ideas
Which set of design principles guides building cloud systems that are reliable, secure and efficient?</t>
        </is>
      </c>
      <c r="B7" s="27" t="inlineStr">
        <is>
          <t>DEFINITION (SIMPLE):
Well-architected frameworks are published sets of best-practice pillars, such as operational excellence, security, reliability, performance, cost and sustainability, used to review cloud designs.
HOW / WHY IT WORKS:
AWS lists six pillars, and Azure and Google Cloud publish similar frameworks. Each pillar has questions, such as whether backups are tested or access is least privilege. A review finds risks before they become incidents. You do not need perfection in every pillar, but you should make each trade-off on purpose.
SIMPLE EXPLANATION (HINGLISH):
Check the design against reliability, security, cost, performance, operations and sustainability before shipping.
REAL-LIFE ANALOGY:
The pillars are supports under a roof. Remove one and the building leans.
FORMULA / RULE:
Review each pillar and decide the trade-off on purpose.
EXAMPLE 1:
Asking whether a database has tested backups, under reliability.
EXAMPLE 2:
Checking that nothing has more access than it needs, under security.
EXAMPLE 3:
Reviewing monthly spend against budget, under cost.
RELATED CONCEPTS:
least privilege, disaster recovery, cost alerts, monitoring
FAMILY / GROUP:
pillar, framework, review, trade-off, best practice
WHERE IT IS USED:
Design reviews | Launch checks | Customer audits
MINI CONVERSATION:
A: Is this design ready to ship? | B: Let us review it against the pillars first.
COMMON MISTAKE:
✗ A well-architected design never fails → ✓ It reduces risk, but failures still happen and must be planned for
DON'T CONFUSE WITH:
Pillars vs rules: pillars guide trade-offs, they are not strict laws.
AVOID / DON'T:
Do not skip security or cost review just to launch faster.
MEMORY TRICK:
Review every pillar, then choose trade-offs knowingly.
REAL LIFE: PROJECT / WORK:
Reviewing a customer pipeline against the pillars and finding missing alerts.
REAL LIFE: INTERVIEW / EXAM:
An interviewer may ask: What does a well-architected review check?
REAL LIFE: DAILY LIFE:
It is like a checklist for supports under a roof.</t>
        </is>
      </c>
      <c r="C7" s="27" t="inlineStr">
        <is>
          <t>01_Basics_Intermediate_CLD-006</t>
        </is>
      </c>
    </row>
    <row r="8" ht="409" customHeight="1">
      <c r="A8" s="27" t="inlineStr">
        <is>
          <t>IAM users, groups and roles
Which three identity objects decide who or what may act in your cloud account?</t>
        </is>
      </c>
      <c r="B8" s="27" t="inlineStr">
        <is>
          <t>DEFINITION (SIMPLE):
An IAM user is a long-term identity for a person or tool, a group is a set of users sharing permissions, and a role is a temporary identity that a trusted user or service can assume.
HOW / WHY IT WORKS:
Permissions are attached to groups and roles through policies. A role has no password or long-term key. It gives short-lived credentials to whoever assumes it, such as a server or a function. The root account should be locked away and used rarely. Azure uses users, groups and managed identities, and GCP uses accounts and service accounts.
SIMPLE EXPLANATION (HINGLISH):
Users are people, groups share permissions, roles are temporary identities for services and trusted people.
REAL-LIFE ANALOGY:
Users are staff badges, groups are departments, and roles are hats that authorised people wear for a while.
FORMULA / RULE:
People get groups. Services get roles. Root stays locked.
EXAMPLE 1:
A developer added to a read-only group for logs.
EXAMPLE 2:
A server using a role to read from storage with no stored key.
EXAMPLE 3:
A support engineer assuming an admin role for one hour.
RELATED CONCEPTS:
policies, least privilege, MFA, temporary credentials
FAMILY / GROUP:
user, group, role, policy, principal
WHERE IT IS USED:
Account setup | Security reviews | Application access
MINI CONVERSATION:
A: Where does the app keep its cloud key? | B: It does not, it uses a role.
COMMON MISTAKE:
✗ Everyone should use the root account for convenience → ✓ The root account is for rare tasks only and should be protected
DON'T CONFUSE WITH:
User vs role: a user is a long-term identity, a role is assumed temporarily.
AVOID / DON'T:
Do not use the root account for daily work.
MEMORY TRICK:
People use groups, services use roles.
REAL LIFE: PROJECT / WORK:
Replacing a stored access key in a script with a role attached to the server.
REAL LIFE: INTERVIEW / EXAM:
An interviewer may ask: When do you use a role instead of a user?
REAL LIFE: DAILY LIFE:
It is like staff badges, departments and temporary hats.</t>
        </is>
      </c>
      <c r="C8" s="27" t="inlineStr">
        <is>
          <t>02_Identity_and_Access_Beginner_CLD-007</t>
        </is>
      </c>
    </row>
    <row r="9" ht="409" customHeight="1">
      <c r="A9" s="27" t="inlineStr">
        <is>
          <t>IAM policies
Which JSON documents state what an identity is allowed or denied to do?</t>
        </is>
      </c>
      <c r="B9" s="27" t="inlineStr">
        <is>
          <t>DEFINITION (SIMPLE):
An IAM policy is a document of statements, each with an effect, actions and resources, that is attached to an identity to allow or deny access.
HOW / WHY IT WORKS:
By default everything is denied. A statement with Effect Allow grants the listed actions on the listed resources. An explicit Deny always wins over an Allow. Policies can be attached to users, groups or roles, and some resources have their own policies. Conditions can narrow access, for example by IP address or by time.
SIMPLE EXPLANATION (HINGLISH):
Policies list what is allowed. Default is deny, and an explicit deny always wins.
REAL-LIFE ANALOGY:
A policy is a signed permission slip naming who may do what and where.
FORMULA / RULE:
Default deny. Allow adds access. Explicit deny wins.
EXAMPLE 1:
A policy allowing s3:GetObject on one bucket only.
EXAMPLE 2:
A policy denying deletion of anything in production.
EXAMPLE 3:
A policy that works only from the office network range.
RELATED CONCEPTS:
least privilege, roles, S3 bucket policies, MFA
FAMILY / GROUP:
policy, statement, effect, action, resource
WHERE IT IS USED:
Access control | Audits | Application setup
MINI CONVERSATION:
A: I have Allow, but it still fails. | B: Another statement may deny it, and deny wins.
COMMON MISTAKE:
✗ An Allow in one policy overrides a Deny elsewhere → ✓ An explicit Deny always wins
DON'T CONFUSE WITH:
Allow vs explicit deny: allow grants access, an explicit deny blocks it even if allowed elsewhere.
AVOID / DON'T:
Do not use a wildcard for all actions on all resources.
MEMORY TRICK:
Default is no, deny always beats allow.
REAL LIFE: PROJECT / WORK:
Narrowing a wildcard policy to one bucket and two actions after a review.
REAL LIFE: INTERVIEW / EXAM:
An interviewer may ask: What happens if one policy allows and another denies?
REAL LIFE: DAILY LIFE:
It is like a permission slip that names the person and the place.</t>
        </is>
      </c>
      <c r="C9" s="27" t="inlineStr">
        <is>
          <t>02_Identity_and_Access_Intermediate_CLD-008</t>
        </is>
      </c>
    </row>
    <row r="10" ht="409" customHeight="1">
      <c r="A10" s="27" t="inlineStr">
        <is>
          <t>Least privilege
Which principle says to give only the minimum access needed to do a job?</t>
        </is>
      </c>
      <c r="B10" s="27" t="inlineStr">
        <is>
          <t>DEFINITION (SIMPLE):
Least privilege means granting each identity only the permissions it needs for its task, for only as long as it needs them.
HOW / WHY IT WORKS:
It limits the damage from a stolen key or a mistake. Practise it by using specific actions and resources instead of wildcards, by using roles with short sessions, and by reviewing unused permissions. Access analysers and last-used reports show what can be removed. It is a main idea in every security framework.
SIMPLE EXPLANATION (HINGLISH):
Give the smallest permission that works, review it often, and remove what is not used.
REAL-LIFE ANALOGY:
It is like giving a visitor one room key instead of the master key.
FORMULA / RULE:
Needed actions + needed resources + needed time, and nothing more.
EXAMPLE 1:
A reporting job that can only read one table.
EXAMPLE 2:
A deploy role limited to one service.
EXAMPLE 3:
A contractor given access for two weeks only.
RELATED CONCEPTS:
IAM policies, roles, temporary credentials, audits
FAMILY / GROUP:
privilege, minimum, scope, wildcard, review
WHERE IT IS USED:
Security design | Access reviews | Compliance
MINI CONVERSATION:
A: Can we just give admin to make it work? | B: No, let us find the exact permission it needs.
COMMON MISTAKE:
✗ Giving broad admin access saves time and does no harm → ✓ It makes any leak or mistake far more damaging
DON'T CONFUSE WITH:
Least privilege vs convenience: broad access is faster today but riskier tomorrow.
AVOID / DON'T:
Do not leave temporary broad access in place after testing.
MEMORY TRICK:
One key for one door only.
REAL LIFE: PROJECT / WORK:
Replacing an admin policy on a pipeline with a role scoped to one deployment.
REAL LIFE: INTERVIEW / EXAM:
An interviewer may ask: How do you apply least privilege in practice?
REAL LIFE: DAILY LIFE:
It is like giving a visitor a single room key.</t>
        </is>
      </c>
      <c r="C10" s="27" t="inlineStr">
        <is>
          <t>02_Identity_and_Access_Intermediate_CLD-009</t>
        </is>
      </c>
    </row>
    <row r="11" ht="409" customHeight="1">
      <c r="A11" s="27" t="inlineStr">
        <is>
          <t>MFA
Which extra login step protects an account even if the password is stolen?</t>
        </is>
      </c>
      <c r="B11" s="27" t="inlineStr">
        <is>
          <t>DEFINITION (SIMPLE):
Multi-factor authentication requires two or more proofs of identity, such as a password plus a code from an app or a hardware key.
HOW / WHY IT WORKS:
The factors are something you know, something you have and something you are. Hardware keys and authenticator apps are stronger than text-message codes. Cloud providers can require MFA for the console and for sensitive actions. Always store recovery options safely, since losing the device can lock you out.
SIMPLE EXPLANATION (HINGLISH):
Use a password and a second proof. Prefer an authenticator app or hardware key over text messages.
REAL-LIFE ANALOGY:
It is like a second lock that needs a key from your pocket.
FORMULA / RULE:
Know + have + are. Two or more of these is MFA.
EXAMPLE 1:
An authenticator app code needed after the password.
EXAMPLE 2:
A hardware key tapped to approve an admin login.
EXAMPLE 3:
MFA required before deleting a production database.
RELATED CONCEPTS:
IAM users, root account, access keys, SSO
FAMILY / GROUP:
factor, authenticator, hardware key, one-time code, recovery
WHERE IT IS USED:
Account security | Admin access | Compliance
MINI CONVERSATION:
A: Someone guessed the password. | B: MFA would have stopped the login.
COMMON MISTAKE:
✗ A long password makes MFA unnecessary → ✓ Passwords can still be phished or leaked, and MFA adds a second barrier
DON'T CONFUSE WITH:
Text message vs hardware key: a hardware key resists phishing better.
AVOID / DON'T:
Do not skip MFA on the root account.
MEMORY TRICK:
A second lock needs a second key.
REAL LIFE: PROJECT / WORK:
Enforcing MFA for all admin roles after a phishing attempt.
REAL LIFE: INTERVIEW / EXAM:
An interviewer may ask: Why is MFA important for cloud accounts?
REAL LIFE: DAILY LIFE:
It is like a second lock that needs a key from your pocket.</t>
        </is>
      </c>
      <c r="C11" s="27" t="inlineStr">
        <is>
          <t>02_Identity_and_Access_Beginner_CLD-010</t>
        </is>
      </c>
    </row>
    <row r="12" ht="409" customHeight="1">
      <c r="A12" s="27" t="inlineStr">
        <is>
          <t>Access keys
Which long-lived credentials let a script or tool call the cloud API, and why are they risky?</t>
        </is>
      </c>
      <c r="B12" s="27" t="inlineStr">
        <is>
          <t>DEFINITION (SIMPLE):
An access key is a pair of an identifier and a secret that signs programmatic requests to the cloud, and it stays valid until rotated or deleted.
HOW / WHY IT WORKS:
The secret is shown only once at creation. Keys in code, chat or public repositories get stolen and abused within minutes by bots. Store them in a secrets manager, never in Git, and rotate them on a schedule. Better still, avoid them by using roles. Unused keys should be deactivated and then deleted.
SIMPLE EXPLANATION (HINGLISH):
Keys are long-lived passwords for programs. Avoid them, protect them, rotate them, and delete the unused ones.
REAL-LIFE ANALOGY:
An access key is a spare house key. If it is lost, anyone can walk in.
FORMULA / RULE:
Prefer role over key. If a key is unavoidable, rotate and restrict it.
EXAMPLE 1:
A key committed to GitHub and used by bots to mine coins.
EXAMPLE 2:
A script using a role instead of any key.
EXAMPLE 3:
A quarterly job that rotates keys and deletes unused ones.
RELATED CONCEPTS:
temporary credentials, secrets, IAM roles, secret scanning
FAMILY / GROUP:
key, secret, rotation, credential, leak
WHERE IT IS USED:
Automation | Local tools | Security reviews
MINI CONVERSATION:
A: I pushed my key by mistake. | B: Deactivate it right now and create a new one.
COMMON MISTAKE:
✗ Deleting a commit removes a leaked key from the world → ✓ The key must be revoked, because copies may exist
DON'T CONFUSE WITH:
Access key vs role credentials: keys are long-lived, role credentials expire.
AVOID / DON'T:
Do not commit keys to Git, even in a private repository.
MEMORY TRICK:
Leaked key means revoke first, then clean up.
REAL LIFE: PROJECT / WORK:
Revoking a key leaked in a repository and moving the script to a role.
REAL LIFE: INTERVIEW / EXAM:
An interviewer may ask: What do you do if an access key leaks?
REAL LIFE: DAILY LIFE:
It is like losing a spare house key.</t>
        </is>
      </c>
      <c r="C12" s="27" t="inlineStr">
        <is>
          <t>02_Identity_and_Access_Intermediate_CLD-011</t>
        </is>
      </c>
    </row>
    <row r="13" ht="409" customHeight="1">
      <c r="A13" s="27" t="inlineStr">
        <is>
          <t>Temporary credentials
Which short-lived credentials replace permanent keys and expire on their own?</t>
        </is>
      </c>
      <c r="B13" s="27" t="inlineStr">
        <is>
          <t>DEFINITION (SIMPLE):
Temporary credentials are short-lived access tokens, issued when an identity assumes a role, that expire automatically.
HOW / WHY IT WORKS:
An identity asks the security token service to assume a role and receives a key, a secret and a session token valid for a limited time. The same idea appears as managed identities in Azure and workload identity in GCP. CI systems can use OpenID Connect to get these tokens without any stored secret. A leaked token is far less dangerous because it soon expires.
SIMPLE EXPLANATION (HINGLISH):
Ask for a role, receive credentials that expire, and keep no permanent key.
REAL-LIFE ANALOGY:
It is like a hotel key card that stops working at checkout.
FORMULA / RULE:
Assume role → receive short-lived credentials → they expire.
EXAMPLE 1:
A server role giving credentials that refresh automatically.
EXAMPLE 2:
A pipeline using OIDC to deploy with no stored key.
EXAMPLE 3:
An engineer assuming an admin role for one hour.
RELATED CONCEPTS:
roles, access keys, SSO, OIDC in CI
FAMILY / GROUP:
token, session, expiry, assume role, federation
WHERE IT IS USED:
CI pipelines | Servers | Admin access
MINI CONVERSATION:
A: Do we store a key for the pipeline? | B: No, it assumes a role through OIDC.
COMMON MISTAKE:
✗ Temporary credentials are less secure because they are not permanent → ✓ They are safer, since they expire if stolen
DON'T CONFUSE WITH:
Temporary vs permanent credentials: temporary ones expire by themselves.
AVOID / DON'T:
Do not extend session lifetimes far beyond the need.
MEMORY TRICK:
Short life means short damage.
REAL LIFE: PROJECT / WORK:
Moving a deployment pipeline to temporary credentials and deleting its stored key.
REAL LIFE: INTERVIEW / EXAM:
An interviewer may ask: Why prefer temporary credentials?
REAL LIFE: DAILY LIFE:
It is like a hotel key card that expires at checkout.</t>
        </is>
      </c>
      <c r="C13" s="27" t="inlineStr">
        <is>
          <t>02_Identity_and_Access_Intermediate_CLD-012</t>
        </is>
      </c>
    </row>
    <row r="14" ht="409" customHeight="1">
      <c r="A14" s="27" t="inlineStr">
        <is>
          <t>Virtual machines (EC2)
Which service rents you a virtual computer in the cloud?</t>
        </is>
      </c>
      <c r="B14" s="27" t="inlineStr">
        <is>
          <t>DEFINITION (SIMPLE):
A virtual machine in the cloud, such as AWS EC2, is a rented virtual computer with chosen CPU, memory, storage and operating system.
HOW / WHY IT WORKS:
You pick an image, an instance type and a network, then launch it. You manage the operating system, software and patches. It can be stopped, resized or terminated. Stopped instances stop compute charges, but attached disks still cost. Azure calls it a virtual machine, and GCP calls it Compute Engine.
SIMPLE EXPLANATION (HINGLISH):
EC2 is a rented computer. You choose its size and software, and pay while it runs.
REAL-LIFE ANALOGY:
It is like a computer rented by the hour and delivered in a minute.
FORMULA / RULE:
Image + instance type + network = a running virtual machine.
EXAMPLE 1:
Launching a Linux server to host a small API.
EXAMPLE 2:
Resizing an instance when the workload grows.
EXAMPLE 3:
Stopping a test server overnight to save money.
RELATED CONCEPTS:
images, instance types, key pairs, auto scaling
FAMILY / GROUP:
instance, virtual machine, compute, launch, terminate
WHERE IT IS USED:
Hosting | Batch jobs | Legacy apps
MINI CONVERSATION:
A: Can we try the app on a fresh server? | B: Launch an instance and test there.
COMMON MISTAKE:
✗ Stopping an instance removes all charges → ✓ Disks and addresses attached to it may still cost money
DON'T CONFUSE WITH:
Stop vs terminate: stop pauses the instance, terminate deletes it.
AVOID / DON'T:
Do not leave test instances running with open access.
MEMORY TRICK:
Stop pauses it, terminate removes it.
REAL LIFE: PROJECT / WORK:
Launching a small instance to host a customer demo for a week.
REAL LIFE: INTERVIEW / EXAM:
An interviewer may ask: What is the difference between stopping and terminating?
REAL LIFE: DAILY LIFE:
It is like renting a computer by the hour.</t>
        </is>
      </c>
      <c r="C14" s="27" t="inlineStr">
        <is>
          <t>03_Compute_Beginner_CLD-013</t>
        </is>
      </c>
    </row>
    <row r="15" ht="409" customHeight="1">
      <c r="A15" s="27" t="inlineStr">
        <is>
          <t>Machine images
Which stored template is used to start new virtual machines with the same software?</t>
        </is>
      </c>
      <c r="B15" s="27" t="inlineStr">
        <is>
          <t>DEFINITION (SIMPLE):
A machine image, such as an AWS AMI, is a saved template of an operating system and software used to launch new instances.
HOW / WHY IT WORKS:
Public images give common operating systems. You can create your own from a configured server, so new instances start already set up. Images are stored by region and must be copied to be used elsewhere. They should be updated regularly with security patches. Azure and GCP also use images.
SIMPLE EXPLANATION (HINGLISH):
An image is a ready template for servers. Build one and launch many.
REAL-LIFE ANALOGY:
It is a cookie cutter that makes identical machines.
FORMULA / RULE:
One image → many identical instances.
EXAMPLE 1:
Launching a server from an Ubuntu image.
EXAMPLE 2:
Baking your own image with the app preinstalled.
EXAMPLE 3:
Copying an image to another region.
RELATED CONCEPTS:
virtual machines, auto scaling, infrastructure as code
FAMILY / GROUP:
image, template, AMI, snapshot, bake
WHERE IT IS USED:
Scaling | Disaster recovery | Standard setups
MINI CONVERSATION:
A: New servers take an hour to set up. | B: Bake an image so they start ready.
COMMON MISTAKE:
✗ An image is a running server → ✓ It is only a template used to create servers
DON'T CONFUSE WITH:
Image vs instance: an image is a template, an instance is a running machine.
AVOID / DON'T:
Do not use an old image without applying security updates.
MEMORY TRICK:
Image is the template, instance is the copy.
REAL LIFE: PROJECT / WORK:
Creating a standard image so every new server started with the agent installed.
REAL LIFE: INTERVIEW / EXAM:
An interviewer may ask: Why create your own machine image?
REAL LIFE: DAILY LIFE:
It is like a cookie cutter for identical machines.</t>
        </is>
      </c>
      <c r="C15" s="27" t="inlineStr">
        <is>
          <t>03_Compute_Beginner_CLD-014</t>
        </is>
      </c>
    </row>
    <row r="16" ht="409" customHeight="1">
      <c r="A16" s="27" t="inlineStr">
        <is>
          <t>Instance types
Which choice sets how much CPU, memory and network a virtual machine gets?</t>
        </is>
      </c>
      <c r="B16" s="27" t="inlineStr">
        <is>
          <t>DEFINITION (SIMPLE):
An instance type is a named size and family of virtual machine that defines its CPU, memory, storage and network capacity.
HOW / WHY IT WORKS:
Names such as t3.micro or m5.large show a family and a size. General purpose families balance CPU and memory, compute optimised ones favour CPU, memory optimised ones favour RAM, and some have GPUs. Burstable types give a baseline with short bursts. Choosing too large wastes money, and too small causes slowness. Monitoring shows when to resize.
SIMPLE EXPLANATION (HINGLISH):
Pick the family for the type of work and the size for the amount of work, then adjust with data.
REAL-LIFE ANALOGY:
Instance types are clothing sizes, with each family a different style.
FORMULA / RULE:
Family = kind of workload. Size = amount of capacity.
EXAMPLE 1:
A small burstable type for a light test service.
EXAMPLE 2:
A memory optimised type for a large in-memory cache.
EXAMPLE 3:
A GPU type for training a model.
RELATED CONCEPTS:
virtual machines, auto scaling, monitoring, cost alerts
FAMILY / GROUP:
family, size, vCPU, memory, burstable
WHERE IT IS USED:
Capacity planning | Cost control | Performance tuning
MINI CONVERSATION:
A: The server is slow. | B: Check CPU and memory, then choose a larger type if needed.
COMMON MISTAKE:
✗ A bigger instance always solves performance problems → ✓ The bottleneck may be elsewhere, such as a database or code
DON'T CONFUSE WITH:
Compute optimised vs memory optimised: one favours CPU, the other favours RAM.
AVOID / DON'T:
Do not pick a very large type without measuring.
MEMORY TRICK:
Measure first, then size the machine.
REAL LIFE: PROJECT / WORK:
Cutting cost by moving an idle service to a smaller instance type.
REAL LIFE: INTERVIEW / EXAM:
An interviewer may ask: How do you choose an instance type?
REAL LIFE: DAILY LIFE:
It is like picking a clothing size that fits.</t>
        </is>
      </c>
      <c r="C16" s="27" t="inlineStr">
        <is>
          <t>03_Compute_Beginner_CLD-015</t>
        </is>
      </c>
    </row>
    <row r="17" ht="409" customHeight="1">
      <c r="A17" s="27" t="inlineStr">
        <is>
          <t>Key pairs and SSH access
Which pair of files lets you log in to a Linux virtual machine safely?</t>
        </is>
      </c>
      <c r="B17" s="27" t="inlineStr">
        <is>
          <t>DEFINITION (SIMPLE):
A key pair is a public key stored on the server and a private key you keep, which together let you authenticate over SSH without a password.
HOW / WHY IT WORKS:
When you launch the instance you choose a key pair. The public half is placed on the server. You connect with the private half, usually a file ending in .pem, with permissions set so only you can read it. If the private key is lost, you cannot log in with it again. Many teams now prefer session managers that need no open SSH port.
SIMPLE EXPLANATION (HINGLISH):
Keep the private key secret, give the server the public key, and connect with ssh.
REAL-LIFE ANALOGY:
The server holds a lock, and only your private key opens it.
FORMULA / RULE:
Public key on server + private key with you = login.
EXAMPLE 1:
ssh -i mykey.pem ec2-user@server-address
EXAMPLE 2:
Setting chmod 400 on the key file.
EXAMPLE 3:
Using a session manager so no port 22 is open.
RELATED CONCEPTS:
security groups, virtual machines, bastion hosts, SSH tunnels
FAMILY / GROUP:
key pair, public key, private key, SSH, pem
WHERE IT IS USED:
Server access | Troubleshooting | Automation
MINI CONVERSATION:
A: SSH says permissions are too open. | B: Run chmod 400 on the key file.
COMMON MISTAKE:
✗ The public key must be kept secret → ✓ The public key may be shared, and only the private key is secret
DON'T CONFUSE WITH:
Public vs private key: the public key is placed on the server, the private key stays with you.
AVOID / DON'T:
Do not email or commit a private key.
MEMORY TRICK:
Public key locks, private key opens.
REAL LIFE: PROJECT / WORK:
Replacing shared key files with a session manager to remove open SSH ports.
REAL LIFE: INTERVIEW / EXAM:
An interviewer may ask: How does SSH key authentication work?
REAL LIFE: DAILY LIFE:
It is like a lock that only your key opens.</t>
        </is>
      </c>
      <c r="C17" s="27" t="inlineStr">
        <is>
          <t>03_Compute_Beginner_CLD-016</t>
        </is>
      </c>
    </row>
    <row r="18" ht="409" customHeight="1">
      <c r="A18" s="27" t="inlineStr">
        <is>
          <t>Auto scaling
Which feature adds or removes servers automatically as demand changes?</t>
        </is>
      </c>
      <c r="B18" s="27" t="inlineStr">
        <is>
          <t>DEFINITION (SIMPLE):
Auto scaling automatically changes the number of running instances based on rules or metrics, within minimum and maximum limits.
HOW / WHY IT WORKS:
A group launches copies from a template, and a load balancer spreads traffic across them. Policies can follow a target such as 50 percent CPU, or a schedule. Scaling out adds servers and scaling in removes them. A cool-down avoids flapping. Stateless apps scale easily, since any server can handle any request.
SIMPLE EXPLANATION (HINGLISH):
Set a minimum, a maximum and a target metric, and the cloud adds or removes servers for you.
REAL-LIFE ANALOGY:
It is like a restaurant that opens more tables when the crowd arrives.
FORMULA / RULE:
Metric above target → scale out. Metric below target → scale in.
EXAMPLE 1:
Adding servers when CPU passes 60 percent.
EXAMPLE 2:
Scaling out before office hours on a schedule.
EXAMPLE 3:
Scaling in at night to save cost.
RELATED CONCEPTS:
load balancers, instance types, machine images, monitoring
FAMILY / GROUP:
scale out, scale in, group, policy, cool-down
WHERE IT IS USED:
Web apps | APIs | Batch workers
MINI CONVERSATION:
A: Traffic doubles every afternoon. | B: Use auto scaling with a schedule and a CPU target.
COMMON MISTAKE:
✗ Auto scaling fixes any slow application → ✓ It only helps if the bottleneck is server capacity and the app can run in parallel
DON'T CONFUSE WITH:
Scale out vs scale up: out adds more servers, up makes one server bigger.
AVOID / DON'T:
Do not scale without a maximum limit.
MEMORY TRICK:
Out adds more, up makes bigger.
REAL LIFE: PROJECT / WORK:
Adding a CPU target policy so the API handled the evening peak without manual work.
REAL LIFE: INTERVIEW / EXAM:
An interviewer may ask: What is the difference between scaling out and scaling up?
REAL LIFE: DAILY LIFE:
It is like a restaurant opening more tables for a crowd.</t>
        </is>
      </c>
      <c r="C18" s="27" t="inlineStr">
        <is>
          <t>03_Compute_Intermediate_CLD-017</t>
        </is>
      </c>
    </row>
    <row r="19" ht="409" customHeight="1">
      <c r="A19" s="27" t="inlineStr">
        <is>
          <t>Serverless functions (Lambda)
Which service runs your code on demand without you managing any server?</t>
        </is>
      </c>
      <c r="B19" s="27" t="inlineStr">
        <is>
          <t>DEFINITION (SIMPLE):
A serverless function, such as AWS Lambda, runs your code in response to events, scales automatically, and bills only for the time it runs.
HOW / WHY IT WORKS:
You upload code and choose a trigger such as an HTTP request, a file upload or a schedule. The provider runs it in a short-lived environment. There are limits on run time and memory, and a first call may be slower, which is called a cold start. State must be kept elsewhere, such as in a database. Azure uses Functions, and GCP uses Cloud Functions or Cloud Run functions.
SIMPLE EXPLANATION (HINGLISH):
Upload code, pick a trigger, and pay only while it runs. Keep it short and stateless.
REAL-LIFE ANALOGY:
It is like a taxi called only when needed, with no car to own.
FORMULA / RULE:
Event → function runs → result, billed per run.
EXAMPLE 1:
A function that resizes an image after upload.
EXAMPLE 2:
A function that runs every night to clean old files.
EXAMPLE 3:
An API endpoint backed by one function.
RELATED CONCEPTS:
containers, queues, API gateways, cold start
FAMILY / GROUP:
function, trigger, event, cold start, serverless
WHERE IT IS USED:
Event processing | Small APIs | Scheduled jobs
MINI CONVERSATION:
A: We run a server just for one nightly job. | B: Use a scheduled function instead.
COMMON MISTAKE:
✗ Serverless means there are no servers → ✓ Servers exist, but the provider manages them for you
DON'T CONFUSE WITH:
Function vs virtual machine: a function runs on demand, a virtual machine runs until stopped.
AVOID / DON'T:
Do not use a function for a long job that exceeds its time limit.
MEMORY TRICK:
Serverless still has servers, just not yours.
REAL LIFE: PROJECT / WORK:
Replacing a nightly cron server with a scheduled function that cleaned old files.
REAL LIFE: INTERVIEW / EXAM:
An interviewer may ask: What is a cold start?
REAL LIFE: DAILY LIFE:
It is like calling a taxi only when you need one.</t>
        </is>
      </c>
      <c r="C19" s="27" t="inlineStr">
        <is>
          <t>03_Compute_Intermediate_CLD-018</t>
        </is>
      </c>
    </row>
    <row r="20" ht="409" customHeight="1">
      <c r="A20" s="27" t="inlineStr">
        <is>
          <t>Container services (ECS and Fargate)
Which services run your Docker containers without you building the cluster by hand?</t>
        </is>
      </c>
      <c r="B20" s="27" t="inlineStr">
        <is>
          <t>DEFINITION (SIMPLE):
Managed container services such as AWS ECS run containers from your images, and the Fargate option runs them without you managing the underlying servers.
HOW / WHY IT WORKS:
You describe a task with an image, CPU, memory and ports, and the service runs and restarts it. A service keeps a desired number of copies and connects to a load balancer. With the server-based option you manage the machines, and with Fargate you do not. Azure has Container Apps, and GCP has Cloud Run. Kubernetes services such as EKS cover larger needs.
SIMPLE EXPLANATION (HINGLISH):
Give the service your container image and sizes, and it runs and restarts it for you.
REAL-LIFE ANALOGY:
ECS is a port that organises containers, and Fargate is a crane crew you do not hire.
FORMULA / RULE:
Image + CPU and memory + count = a running containerised service.
EXAMPLE 1:
Running an API image as a service with two copies.
EXAMPLE 2:
A scheduled container task for a nightly job.
EXAMPLE 3:
Pulling the image from a private registry.
RELATED CONCEPTS:
Docker, Kubernetes, load balancers, registries
FAMILY / GROUP:
task, service, cluster, Fargate, container
WHERE IT IS USED:
Web services | Batch jobs | Microservices
MINI CONVERSATION:
A: Do we manage servers for the containers? | B: Not with Fargate, the provider does it.
COMMON MISTAKE:
✗ Container services require you to manage Kubernetes → ✓ Services such as ECS and Cloud Run run containers without it
DON'T CONFUSE WITH:
Fargate vs server-based: Fargate hides the machines, the other option leaves them to you.
AVOID / DON'T:
Do not run containers without health checks and logging.
MEMORY TRICK:
Fargate means no machines to manage.
REAL LIFE: PROJECT / WORK:
Moving a container API to a managed service so patching the hosts was no longer needed.
REAL LIFE: INTERVIEW / EXAM:
An interviewer may ask: When would you choose containers over functions?
REAL LIFE: DAILY LIFE:
It is like a port crew that handles the containers for you.</t>
        </is>
      </c>
      <c r="C20" s="27" t="inlineStr">
        <is>
          <t>03_Compute_Intermediate_CLD-019</t>
        </is>
      </c>
    </row>
    <row r="21" ht="409" customHeight="1">
      <c r="A21" s="27" t="inlineStr">
        <is>
          <t>Object storage (S3)
Which kind of storage holds files as objects in buckets and is reached over an API?</t>
        </is>
      </c>
      <c r="B21" s="27" t="inlineStr">
        <is>
          <t>DEFINITION (SIMPLE):
Object storage, such as AWS S3, stores data as objects, each with a key and metadata, inside buckets, and is accessed through an HTTP API.
HOW / WHY IT WORKS:
Objects are written and read whole, not edited in place. Folders are only name prefixes. It offers very high durability and nearly unlimited size, and a single object can be many gigabytes. It is good for backups, media, logs and data lakes, but not for a database file system. Azure calls it Blob Storage, and GCP calls it Cloud Storage.
SIMPLE EXPLANATION (HINGLISH):
Put files as objects in buckets and fetch them by key over HTTP.
REAL-LIFE ANALOGY:
It is an endless warehouse with labelled boxes.
FORMULA / RULE:
Bucket + key = one object.
EXAMPLE 1:
Storing nightly backups in a bucket.
EXAMPLE 2:
Serving images for a website.
EXAMPLE 3:
Keeping raw data files for later analysis.
RELATED CONCEPTS:
bucket policies, storage classes, presigned URLs, data lakes
FAMILY / GROUP:
bucket, object, key, prefix, durability
WHERE IT IS USED:
Backups | Media | Data lakes
MINI CONVERSATION:
A: Where should uploads go? | B: Into an object storage bucket, not the server disk.
COMMON MISTAKE:
✗ Object storage works like a normal file system → ✓ Objects are written whole, and folders are only name prefixes
DON'T CONFUSE WITH:
Object vs block storage: objects are whole files over an API, blocks are raw disks for servers.
AVOID / DON'T:
Do not store a database on object storage.
MEMORY TRICK:
Bucket plus key finds the object.
REAL LIFE: PROJECT / WORK:
Moving user uploads from a server disk to a bucket so servers became stateless.
REAL LIFE: INTERVIEW / EXAM:
An interviewer may ask: When would you use object storage?
REAL LIFE: DAILY LIFE:
It is like an endless warehouse with labelled boxes.</t>
        </is>
      </c>
      <c r="C21" s="27" t="inlineStr">
        <is>
          <t>04_Storage_Beginner_CLD-020</t>
        </is>
      </c>
    </row>
    <row r="22" ht="409" customHeight="1">
      <c r="A22" s="27" t="inlineStr">
        <is>
          <t>Buckets and policies
How do you decide who can read or write the objects in a bucket?</t>
        </is>
      </c>
      <c r="B22" s="27" t="inlineStr">
        <is>
          <t>DEFINITION (SIMPLE):
A bucket policy is a resource-based document attached to a bucket that allows or denies actions on it, working together with IAM policies and public access settings.
HOW / WHY IT WORKS:
New buckets are private. Access is allowed only if the identity policy or the bucket policy permits it, and no deny applies. The block public access setting overrides policies that would expose data. Encryption at rest should be on. Versioning keeps older copies, and logging records who accessed what.
SIMPLE EXPLANATION (HINGLISH):
Keep buckets private, grant access through policies, and use block public access as a safety net.
REAL-LIFE ANALOGY:
A bucket policy is the sign on a warehouse door saying who may enter.
FORMULA / RULE:
Private by default + explicit allow + block public access on.
EXAMPLE 1:
A policy allowing one role to read a single prefix.
EXAMPLE 2:
Block public access stopping an accidental public policy.
EXAMPLE 3:
Versioning restoring a deleted object.
RELATED CONCEPTS:
IAM policies, least privilege, presigned URLs, encryption
FAMILY / GROUP:
policy, public access, encryption, versioning, ACL
WHERE IT IS USED:
Data security | Audits | Static hosting
MINI CONVERSATION:
A: Why can anyone download this file? | B: The bucket policy allowed public reads.
COMMON MISTAKE:
✗ A bucket is safe because nobody knows its name → ✓ Names can be found, so only access settings protect it
DON'T CONFUSE WITH:
Bucket policy vs IAM policy: one is attached to the bucket, the other to the identity.
AVOID / DON'T:
Do not make a bucket public for convenience.
MEMORY TRICK:
Private first, then allow by name.
REAL LIFE: PROJECT / WORK:
Turning on block public access after finding a public bucket in an audit.
REAL LIFE: INTERVIEW / EXAM:
An interviewer may ask: How do you secure a storage bucket?
REAL LIFE: DAILY LIFE:
It is like a sign on a warehouse door.</t>
        </is>
      </c>
      <c r="C22" s="27" t="inlineStr">
        <is>
          <t>04_Storage_Intermediate_CLD-021</t>
        </is>
      </c>
    </row>
    <row r="23" ht="409" customHeight="1">
      <c r="A23" s="27" t="inlineStr">
        <is>
          <t>Storage classes
Which setting trades access speed for cheaper storage of rarely used data?</t>
        </is>
      </c>
      <c r="B23" s="27" t="inlineStr">
        <is>
          <t>DEFINITION (SIMPLE):
Storage classes are tiers of object storage with different price, access speed and retrieval conditions, from frequent access to deep archive.
HOW / WHY IT WORKS:
Standard suits frequently used data. Infrequent access tiers cost less to store but charge to read. Archive tiers are the cheapest but may take minutes to hours to retrieve. Lifecycle rules move or delete objects by age. Intelligent tiering can move data automatically. Azure uses hot, cool and archive tiers.
SIMPLE EXPLANATION (HINGLISH):
Keep hot data in standard, move old data to cheaper tiers with lifecycle rules.
REAL-LIFE ANALOGY:
It is like hot, warm and cold shelves in a warehouse.
FORMULA / RULE:
Cheaper to store means slower or costlier to read.
EXAMPLE 1:
Logs older than 30 days moved to infrequent access.
EXAMPLE 2:
Compliance records archived for seven years.
EXAMPLE 3:
A rule deleting temporary files after a week.
RELATED CONCEPTS:
object storage, cost alerts, backups, lifecycle rules
FAMILY / GROUP:
tier, archive, lifecycle, retrieval, standard
WHERE IT IS USED:
Cost control | Compliance | Backups
MINI CONVERSATION:
A: Storage costs keep growing. | B: Add a lifecycle rule to move old data to cheaper tiers.
COMMON MISTAKE:
✗ Archive tiers are instantly available → ✓ Retrieval may take minutes to hours and may cost extra
DON'T CONFUSE WITH:
Standard vs archive: standard is fast and pricier to store, archive is cheap but slow to read.
AVOID / DON'T:
Do not archive data you need to read often.
MEMORY TRICK:
Cheap to keep means costly or slow to fetch.
REAL LIFE: PROJECT / WORK:
Adding a lifecycle rule that moved old logs to a cheaper tier and cut storage cost.
REAL LIFE: INTERVIEW / EXAM:
An interviewer may ask: How do you reduce storage cost over time?
REAL LIFE: DAILY LIFE:
It is like moving old boxes to the cold shelf.</t>
        </is>
      </c>
      <c r="C23" s="27" t="inlineStr">
        <is>
          <t>04_Storage_Intermediate_CLD-022</t>
        </is>
      </c>
    </row>
    <row r="24" ht="409" customHeight="1">
      <c r="A24" s="27" t="inlineStr">
        <is>
          <t>Presigned URLs
Which link gives temporary access to one private object without making it public?</t>
        </is>
      </c>
      <c r="B24" s="27" t="inlineStr">
        <is>
          <t>DEFINITION (SIMPLE):
A presigned URL is a link signed with your credentials that grants temporary permission to read or write one specific object.
HOW / WHY IT WORKS:
Your server creates the link and gives it to the user. Anyone with the link can use it until it expires, so treat it like a password. It carries the permissions of the identity that signed it. It is common for browser uploads that go straight to storage instead of through your server. Azure uses shared access signatures, and GCP uses signed URLs.
SIMPLE EXPLANATION (HINGLISH):
Make a signed link that expires soon, and give it to the person who needs one object.
REAL-LIFE ANALOGY:
It is like a visitor pass that works for one door until noon.
FORMULA / RULE:
One object + one action + short expiry.
EXAMPLE 1:
A link letting a user download a private invoice for ten minutes.
EXAMPLE 2:
A browser uploading a photo directly to a bucket.
EXAMPLE 3:
A report shared with a customer for one day.
RELATED CONCEPTS:
object storage, IAM, bucket policies, temporary credentials
FAMILY / GROUP:
signed URL, expiry, signature, upload, download
WHERE IT IS USED:
File uploads | Private downloads | Sharing reports
MINI CONVERSATION:
A: Should we make the invoices bucket public? | B: No, generate presigned links instead.
COMMON MISTAKE:
✗ A presigned URL is safe to share forever → ✓ It works for anyone holding it until it expires
DON'T CONFUSE WITH:
Presigned URL vs public object: a presigned link expires and is limited, a public object is open to all.
AVOID / DON'T:
Do not create links with very long expiry times.
MEMORY TRICK:
Signed, short, single, and then it dies.
REAL LIFE: PROJECT / WORK:
Letting customers upload files straight to a bucket with a five-minute presigned link.
REAL LIFE: INTERVIEW / EXAM:
An interviewer may ask: How do you share a private file safely?
REAL LIFE: DAILY LIFE:
It is like a visitor pass for one door until noon.</t>
        </is>
      </c>
      <c r="C24" s="27" t="inlineStr">
        <is>
          <t>04_Storage_Intermediate_CLD-023</t>
        </is>
      </c>
    </row>
    <row r="25" ht="409" customHeight="1">
      <c r="A25" s="27" t="inlineStr">
        <is>
          <t>Block storage
Which storage acts like a raw disk attached to one virtual machine?</t>
        </is>
      </c>
      <c r="B25" s="27" t="inlineStr">
        <is>
          <t>DEFINITION (SIMPLE):
Block storage, such as AWS EBS, provides raw network-attached disk volumes that attach to a virtual machine and are formatted with a file system.
HOW / WHY IT WORKS:
A volume lives independently of an instance, so data survives a stop. It is usually attached to one instance in one zone. Types differ in speed and price, from general purpose to high input and output. Snapshots save a copy to object storage, which can restore the volume or copy it to another zone. Azure calls it Managed Disks, and GCP calls it Persistent Disk.
SIMPLE EXPLANATION (HINGLISH):
A block volume is a network disk for one server. Snapshot it to back it up.
REAL-LIFE ANALOGY:
It is a hard drive you plug into one computer.
FORMULA / RULE:
One volume → one instance, in one zone, with snapshots for safety.
EXAMPLE 1:
A database server using a fast volume for its data.
EXAMPLE 2:
A snapshot used to rebuild a server.
EXAMPLE 3:
Resizing a volume as data grows.
RELATED CONCEPTS:
virtual machines, snapshots, file storage, object storage
FAMILY / GROUP:
volume, snapshot, disk, attach, IOPS
WHERE IT IS USED:
Databases | Operating system disks | Servers
MINI CONVERSATION:
A: The server was rebuilt and the data is gone. | B: It should live on a separate volume with snapshots.
COMMON MISTAKE:
✗ Block volumes can be shared by many servers freely → ✓ A standard volume attaches to one instance in one zone
DON'T CONFUSE WITH:
Block vs object storage: block is a disk for a server, object is files over an API.
AVOID / DON'T:
Do not keep important data only on an instance's temporary disk.
MEMORY TRICK:
Block is a drive, object is a bucket.
REAL LIFE: PROJECT / WORK:
Taking nightly snapshots of the database volume to allow quick rebuilds.
REAL LIFE: INTERVIEW / EXAM:
An interviewer may ask: What is the difference between block and object storage?
REAL LIFE: DAILY LIFE:
It is like a hard drive plugged into one computer.</t>
        </is>
      </c>
      <c r="C25" s="27" t="inlineStr">
        <is>
          <t>04_Storage_Intermediate_CLD-024</t>
        </is>
      </c>
    </row>
    <row r="26" ht="409" customHeight="1">
      <c r="A26" s="27" t="inlineStr">
        <is>
          <t>File storage
Which storage offers a shared folder that many servers can open at once?</t>
        </is>
      </c>
      <c r="B26" s="27" t="inlineStr">
        <is>
          <t>DEFINITION (SIMPLE):
File storage, such as AWS EFS or FSx, provides a managed shared file system that multiple instances can mount at the same time over the network.
HOW / WHY IT WORKS:
It supports normal file operations, folders and permissions, using standard protocols such as NFS or SMB. It grows automatically and spans zones, which suits shared content. It costs more than object storage and is slower than a local disk. Azure Files and GCP Filestore are the equivalents.
SIMPLE EXPLANATION (HINGLISH):
Use it when several servers need the same files as a normal folder.
REAL-LIFE ANALOGY:
It is a shared network drive in the office.
FORMULA / RULE:
Many servers + one shared folder = file storage.
EXAMPLE 1:
Several web servers sharing uploaded media.
EXAMPLE 2:
A shared home folder for a team of researchers.
EXAMPLE 3:
A legacy app that requires a shared mount.
RELATED CONCEPTS:
block storage, object storage, virtual machines, NFS
FAMILY / GROUP:
file system, share, mount, NFS, SMB
WHERE IT IS USED:
Shared content | Legacy applications | Team folders
MINI CONVERSATION:
A: Three servers must see the same folder. | B: Use managed file storage.
COMMON MISTAKE:
✗ File storage is the best choice for all files → ✓ Object storage is usually cheaper and more scalable
DON'T CONFUSE WITH:
File vs block storage: file is shared by many servers, block is attached to one.
AVOID / DON'T:
Do not use shared file storage for data that fits object storage.
MEMORY TRICK:
Shared drive means file storage.
REAL LIFE: PROJECT / WORK:
Sharing uploaded images between three web servers using a managed file share.
REAL LIFE: INTERVIEW / EXAM:
An interviewer may ask: When would you choose file storage?
REAL LIFE: DAILY LIFE:
It is like a shared drive in the office.</t>
        </is>
      </c>
      <c r="C26" s="27" t="inlineStr">
        <is>
          <t>04_Storage_Intermediate_CLD-025</t>
        </is>
      </c>
    </row>
    <row r="27" ht="409" customHeight="1">
      <c r="A27" s="27" t="inlineStr">
        <is>
          <t>VPC
Which virtual network is your own private section of the cloud?</t>
        </is>
      </c>
      <c r="B27" s="27" t="inlineStr">
        <is>
          <t>DEFINITION (SIMPLE):
A virtual private cloud is a logically isolated network in the cloud, with its own IP range, subnets, routing and security rules.
HOW / WHY IT WORKS:
You choose a private address range in CIDR form, such as 10.0.0.0/16. Inside it you create subnets, route tables, gateways and firewalls. Nothing outside can reach your resources unless you allow it. Different VPCs can be linked by peering or transit services. Azure calls it a virtual network, and GCP also uses VPC.
SIMPLE EXPLANATION (HINGLISH):
A VPC is your private network in the cloud. You design its addresses and rules.
REAL-LIFE ANALOGY:
It is your own fenced plot of land in a huge city.
FORMULA / RULE:
VPC = address range + subnets + routes + rules.
EXAMPLE 1:
A VPC with public subnets for web servers and private ones for databases.
EXAMPLE 2:
Separate VPCs for production and testing.
EXAMPLE 3:
Peering two VPCs so they can talk privately.
RELATED CONCEPTS:
subnets, route tables, security groups, gateways
FAMILY / GROUP:
VPC, CIDR, subnet, peering, isolation
WHERE IT IS USED:
Network design | Security | Hybrid connections
MINI CONVERSATION:
A: Can other customers see our servers? | B: No, they are inside our own VPC.
COMMON MISTAKE:
✗ Resources in a VPC are automatically reachable from the internet → ✓ They are private unless you add a gateway and rules
DON'T CONFUSE WITH:
VPC vs subnet: a VPC is the whole network, a subnet is a slice of it.
AVOID / DON'T:
Do not use overlapping address ranges between networks you may connect.
MEMORY TRICK:
VPC is your private fenced plot.
REAL LIFE: PROJECT / WORK:
Designing separate address ranges so a customer network could connect without clashes.
REAL LIFE: INTERVIEW / EXAM:
An interviewer may ask: What is a VPC?
REAL LIFE: DAILY LIFE:
It is like a fenced plot inside a big city.</t>
        </is>
      </c>
      <c r="C27" s="27" t="inlineStr">
        <is>
          <t>05_Cloud_Networking_Beginner_CLD-026</t>
        </is>
      </c>
    </row>
    <row r="28" ht="409" customHeight="1">
      <c r="A28" s="27" t="inlineStr">
        <is>
          <t>Subnets
Which slices of a VPC separate public-facing and private resources?</t>
        </is>
      </c>
      <c r="B28" s="27" t="inlineStr">
        <is>
          <t>DEFINITION (SIMPLE):
A subnet is a range of IP addresses inside a VPC, located in one availability zone, and is public or private depending on its routing.
HOW / WHY IT WORKS:
A subnet is public if its route table sends internet traffic to an internet gateway. A private subnet has no direct route in from the internet. Each subnet sits in one zone, so teams create matching subnets in several zones. Smaller ranges such as /24 are common. Some addresses in each subnet are reserved by the provider.
SIMPLE EXPLANATION (HINGLISH):
Split a VPC into public and private subnets, in more than one zone.
REAL-LIFE ANALOGY:
Subnets are rooms in a house, with a front hall for visitors and a private bedroom.
FORMULA / RULE:
Public subnet = route to internet gateway. Private subnet = no direct route.
EXAMPLE 1:
A public subnet holding a load balancer.
EXAMPLE 2:
A private subnet holding application servers.
EXAMPLE 3:
A database subnet with no internet route.
RELATED CONCEPTS:
VPC, route tables, internet gateway, NAT gateway
FAMILY / GROUP:
subnet, public, private, CIDR, zone
WHERE IT IS USED:
Network layout | Security design | High availability
MINI CONVERSATION:
A: Why is the database not reachable from outside? | B: It is in a private subnet with no route out.
COMMON MISTAKE:
✗ A subnet is public just because it is named public → ✓ It is public only if its route table points to an internet gateway
DON'T CONFUSE WITH:
Public vs private subnet: the difference is the route to the internet gateway.
AVOID / DON'T:
Do not place databases in public subnets.
MEMORY TRICK:
Route to the gateway makes it public.
REAL LIFE: PROJECT / WORK:
Moving a database from a public to a private subnet after a security review.
REAL LIFE: INTERVIEW / EXAM:
An interviewer may ask: What makes a subnet public?
REAL LIFE: DAILY LIFE:
It is like a front hall versus a private bedroom.</t>
        </is>
      </c>
      <c r="C28" s="27" t="inlineStr">
        <is>
          <t>05_Cloud_Networking_Beginner_CLD-027</t>
        </is>
      </c>
    </row>
    <row r="29" ht="409" customHeight="1">
      <c r="A29" s="27" t="inlineStr">
        <is>
          <t>Route tables
Which rules tell network traffic where to go next?</t>
        </is>
      </c>
      <c r="B29" s="27" t="inlineStr">
        <is>
          <t>DEFINITION (SIMPLE):
A route table is a set of rules that maps destination address ranges to targets such as a local network, an internet gateway or a NAT gateway.
HOW / WHY IT WORKS:
The local route allows traffic inside the VPC. A route of 0.0.0.0/0 to an internet gateway sends all other traffic to the internet. A route of 0.0.0.0/0 to a NAT gateway sends it out for private subnets. The most specific matching route wins. Each subnet is associated with one route table.
SIMPLE EXPLANATION (HINGLISH):
Routes say where each destination goes. The most specific route wins.
REAL-LIFE ANALOGY:
It is like a road sign listing which way to go for each destination.
FORMULA / RULE:
Destination range → target. Most specific match wins.
EXAMPLE 1:
0.0.0.0/0 pointing to an internet gateway for a public subnet.
EXAMPLE 2:
0.0.0.0/0 pointing to a NAT gateway for a private subnet.
EXAMPLE 3:
A route to a peered VPC range.
RELATED CONCEPTS:
subnets, internet gateway, NAT gateway, peering
FAMILY / GROUP:
route, target, destination, local, default route
WHERE IT IS USED:
Troubleshooting | Network design | Hybrid links
MINI CONVERSATION:
A: The server cannot reach the internet. | B: Check whether its route table has a default route.
COMMON MISTAKE:
✗ Security groups control where traffic is routed → ✓ Route tables decide the path, and security groups decide what is allowed
DON'T CONFUSE WITH:
Route table vs security group: one directs traffic, the other filters it.
AVOID / DON'T:
Do not add 0.0.0.0/0 routes without understanding where they lead.
MEMORY TRICK:
Routes choose the road, firewalls choose who passes.
REAL LIFE: PROJECT / WORK:
Fixing a private subnet by adding a default route to a NAT gateway.
REAL LIFE: INTERVIEW / EXAM:
An interviewer may ask: A server cannot reach the internet. What do you check?
REAL LIFE: DAILY LIFE:
It is like road signs showing which way to go.</t>
        </is>
      </c>
      <c r="C29" s="27" t="inlineStr">
        <is>
          <t>05_Cloud_Networking_Intermediate_CLD-028</t>
        </is>
      </c>
    </row>
    <row r="30" ht="409" customHeight="1">
      <c r="A30" s="27" t="inlineStr">
        <is>
          <t>Internet and NAT gateways
Which two gateways connect a VPC to the internet, and how do they differ?</t>
        </is>
      </c>
      <c r="B30" s="27" t="inlineStr">
        <is>
          <t>DEFINITION (SIMPLE):
An internet gateway allows two-way traffic between public subnets and the internet, and a NAT gateway lets private resources start outbound connections while blocking inbound ones.
HOW / WHY IT WORKS:
Public resources need a public address and a route to the internet gateway. Private resources, such as servers needing updates, use a NAT gateway placed in a public subnet. NAT hides their private addresses and allows only replies back in. NAT gateways are billed hourly and per gigabyte, so they are a cost to watch.
SIMPLE EXPLANATION (HINGLISH):
Internet gateway = in and out. NAT gateway = out only, for private subnets.
REAL-LIFE ANALOGY:
An internet gateway is a front door, and a NAT gateway is a one-way exit.
FORMULA / RULE:
Public subnet → internet gateway. Private subnet → NAT gateway → internet gateway.
EXAMPLE 1:
A web server reached through an internet gateway.
EXAMPLE 2:
A private server downloading updates through NAT.
EXAMPLE 3:
A database that has no path to the internet at all.
RELATED CONCEPTS:
route tables, subnets, security groups, VPC endpoints
FAMILY / GROUP:
gateway, NAT, outbound, inbound, public IP
WHERE IT IS USED:
Network design | Updates | Cost review
MINI CONVERSATION:
A: The private server cannot download updates. | B: Add a NAT gateway and a route to it.
COMMON MISTAKE:
✗ A NAT gateway lets the internet connect in to private servers → ✓ It allows only outbound connections and their replies
DON'T CONFUSE WITH:
Internet vs NAT gateway: one allows two-way traffic, the other outbound only.
AVOID / DON'T:
Do not forget that NAT gateways have an hourly cost.
MEMORY TRICK:
NAT lets you out but not them in.
REAL LIFE: PROJECT / WORK:
Adding NAT so private workers could fetch packages without a public address.
REAL LIFE: INTERVIEW / EXAM:
An interviewer may ask: How do private servers reach the internet?
REAL LIFE: DAILY LIFE:
It is like a front door versus a one-way exit.</t>
        </is>
      </c>
      <c r="C30" s="27" t="inlineStr">
        <is>
          <t>05_Cloud_Networking_Intermediate_CLD-029</t>
        </is>
      </c>
    </row>
    <row r="31" ht="409" customHeight="1">
      <c r="A31" s="27" t="inlineStr">
        <is>
          <t>Security groups and network ACLs
Which two firewalls filter traffic at the instance and subnet levels?</t>
        </is>
      </c>
      <c r="B31" s="27" t="inlineStr">
        <is>
          <t>DEFINITION (SIMPLE):
A security group is a stateful firewall attached to an instance, and a network ACL is a stateless firewall attached to a subnet.
HOW / WHY IT WORKS:
Security groups allow rules only, and everything not allowed is denied. Because they are stateful, return traffic is allowed automatically. Network ACLs have numbered allow and deny rules, and since they are stateless you must allow return traffic yourself. Security groups can refer to other groups, such as allowing the web group to reach the database group. Azure uses network security groups.
SIMPLE EXPLANATION (HINGLISH):
Security groups guard each server and remember connections. ACLs guard whole subnets and do not.
REAL-LIFE ANALOGY:
A security group is a bouncer at each room, and an ACL is the gate at the building.
FORMULA / RULE:
Security group = stateful, allow only. ACL = stateless, allow and deny.
EXAMPLE 1:
A rule allowing port 443 from anywhere to the web group.
EXAMPLE 2:
A rule allowing database port 5432 only from the app group.
EXAMPLE 3:
An ACL rule blocking one hostile address range.
RELATED CONCEPTS:
VPC, subnets, bastion hosts, least privilege
FAMILY / GROUP:
stateful, stateless, rule, port, inbound
WHERE IT IS USED:
Server protection | Troubleshooting | Audits
MINI CONVERSATION:
A: I cannot reach the app on port 8080. | B: Check whether the security group allows that port.
COMMON MISTAKE:
✗ Opening port 22 to the whole world is fine for convenience → ✓ It invites attacks, so restrict it or use a session manager
DON'T CONFUSE WITH:
Security group vs ACL: stateful at the instance, stateless at the subnet.
AVOID / DON'T:
Do not open sensitive ports to 0.0.0.0/0.
MEMORY TRICK:
Groups remember connections, ACLs forget them.
REAL LIFE: PROJECT / WORK:
Restricting the database port to the app security group instead of a wide range.
REAL LIFE: INTERVIEW / EXAM:
An interviewer may ask: What is the difference between a security group and a network ACL?
REAL LIFE: DAILY LIFE:
It is like a bouncer per room and a gate at the building.</t>
        </is>
      </c>
      <c r="C31" s="27" t="inlineStr">
        <is>
          <t>05_Cloud_Networking_Intermediate_CLD-030</t>
        </is>
      </c>
    </row>
    <row r="32" ht="409" customHeight="1">
      <c r="A32" s="27" t="inlineStr">
        <is>
          <t>Load balancers
Which service spreads incoming traffic across several servers?</t>
        </is>
      </c>
      <c r="B32" s="27" t="inlineStr">
        <is>
          <t>DEFINITION (SIMPLE):
A load balancer distributes incoming traffic across multiple targets and sends it only to those that pass health checks.
HOW / WHY IT WORKS:
Application load balancers work at layer 7 and can route by path or host name. Network load balancers work at layer 4 and are very fast. It terminates TLS if you attach a certificate. Together with auto scaling it keeps services available. Azure and GCP provide equivalent load balancers.
SIMPLE EXPLANATION (HINGLISH):
Put a load balancer in front, register servers behind it, and set health checks.
REAL-LIFE ANALOGY:
It is like a host seating guests at free tables.
FORMULA / RULE:
One address → many healthy targets.
EXAMPLE 1:
Routing /api to one group and /web to another.
EXAMPLE 2:
Removing a failed server from rotation automatically.
EXAMPLE 3:
Terminating HTTPS at the balancer.
RELATED CONCEPTS:
auto scaling, health checks, DNS, TLS
FAMILY / GROUP:
balancer, target, health check, listener, layer 7
WHERE IT IS USED:
Web apps | APIs | High availability
MINI CONVERSATION:
A: One server died but users saw no error. | B: The load balancer stopped sending it traffic.
COMMON MISTAKE:
✗ A load balancer makes a single server faster → ✓ It spreads load over several servers and does not speed up one
DON'T CONFUSE WITH:
Layer 7 vs layer 4: layer 7 understands HTTP paths, layer 4 only sees connections.
AVOID / DON'T:
Do not skip health checks on targets.
MEMORY TRICK:
One front door, many healthy rooms.
REAL LIFE: PROJECT / WORK:
Putting a load balancer in front of two API servers to avoid downtime during deploys.
REAL LIFE: INTERVIEW / EXAM:
An interviewer may ask: How does a load balancer know a server is down?
REAL LIFE: DAILY LIFE:
It is like a host seating guests at free tables.</t>
        </is>
      </c>
      <c r="C32" s="27" t="inlineStr">
        <is>
          <t>05_Cloud_Networking_Intermediate_CLD-031</t>
        </is>
      </c>
    </row>
    <row r="33" ht="409" customHeight="1">
      <c r="A33" s="27" t="inlineStr">
        <is>
          <t>DNS (Route 53)
Which service turns names like example.com into addresses and can route traffic?</t>
        </is>
      </c>
      <c r="B33" s="27" t="inlineStr">
        <is>
          <t>DEFINITION (SIMPLE):
Cloud DNS, such as AWS Route 53, hosts DNS records for your domains and can route traffic by weight, location or health.
HOW / WHY IT WORKS:
Records include A for IPv4 addresses, AAAA for IPv6, CNAME for aliases, MX for mail and TXT for text. TTL says how long answers are cached. Alias records can point to cloud resources such as a load balancer. Routing policies allow failover between regions. DNS changes may take time to spread because of caches.
SIMPLE EXPLANATION (HINGLISH):
Create records that map names to addresses, and choose how long answers are cached.
REAL-LIFE ANALOGY:
It is the phone book of the internet with a smart operator.
FORMULA / RULE:
Name → record → address, cached for the TTL.
EXAMPLE 1:
An A record pointing a name to a server address.
EXAMPLE 2:
A CNAME pointing www to the main name.
EXAMPLE 3:
Failover routing to a backup region.
RELATED CONCEPTS:
load balancers, CDN, networking basics, TLS certificates
FAMILY / GROUP:
record, TTL, zone, alias, resolver
WHERE IT IS USED:
Websites | Migrations | Failover
MINI CONVERSATION:
A: I changed the record but users still see the old site. | B: The old answer is cached until the TTL ends.
COMMON MISTAKE:
✗ DNS changes take effect everywhere instantly → ✓ Cached answers last until their TTL expires
DON'T CONFUSE WITH:
A vs CNAME: A maps a name to an address, CNAME maps a name to another name.
AVOID / DON'T:
Do not set a very high TTL just before a planned change.
MEMORY TRICK:
Lower the TTL before you move.
REAL LIFE: PROJECT / WORK:
Lowering the TTL a day before moving a site and then switching the record.
REAL LIFE: INTERVIEW / EXAM:
An interviewer may ask: Why do DNS changes take time to apply?
REAL LIFE: DAILY LIFE:
It is like a phone book with a smart operator.</t>
        </is>
      </c>
      <c r="C33" s="27" t="inlineStr">
        <is>
          <t>05_Cloud_Networking_Intermediate_CLD-032</t>
        </is>
      </c>
    </row>
    <row r="34" ht="409" customHeight="1">
      <c r="A34" s="27" t="inlineStr">
        <is>
          <t>CDN
Which service caches your content at locations near users to make delivery faster?</t>
        </is>
      </c>
      <c r="B34" s="27" t="inlineStr">
        <is>
          <t>DEFINITION (SIMPLE):
A content delivery network, such as CloudFront, caches copies of your content at edge locations and serves it from the one nearest the user.
HOW / WHY IT WORKS:
The first request goes to the origin, such as a bucket or server, and the result is cached at the edge. Later requests are served locally. It reduces load and cost at the origin and adds protection features. Cache invalidation removes old copies. It also terminates HTTPS close to the user. Azure Front Door and Cloud CDN are equivalents.
SIMPLE EXPLANATION (HINGLISH):
Put a CDN in front of static content so users get it from a nearby cache.
REAL-LIFE ANALOGY:
It is a chain of local shops stocking your product instead of one far warehouse.
FORMULA / RULE:
Edge cache hit = fast. Miss = fetch from origin once.
EXAMPLE 1:
Serving images and scripts from edge locations.
EXAMPLE 2:
Invalidating a cached file after an update.
EXAMPLE 3:
A private bucket served only through the CDN.
RELATED CONCEPTS:
object storage, DNS, load balancers, TLS
FAMILY / GROUP:
edge, cache, origin, invalidation, latency
WHERE IT IS USED:
Websites | Media delivery | Downloads
MINI CONVERSATION:
A: Users far away see a slow site. | B: Put a CDN in front of the static files.
COMMON MISTAKE:
✗ A CDN only works for images and video → ✓ It can cache many kinds of content and also accelerate dynamic requests
DON'T CONFUSE WITH:
Origin vs edge: the origin holds the source, edges hold cached copies.
AVOID / DON'T:
Do not cache private or personalised responses publicly.
MEMORY TRICK:
Edge serves copies, origin owns the source.
REAL LIFE: PROJECT / WORK:
Putting a CDN in front of a static site to cut load times for overseas users.
REAL LIFE: INTERVIEW / EXAM:
An interviewer may ask: How does a CDN improve performance?
REAL LIFE: DAILY LIFE:
It is like local shops stocking your product.</t>
        </is>
      </c>
      <c r="C34" s="27" t="inlineStr">
        <is>
          <t>05_Cloud_Networking_Intermediate_CLD-033</t>
        </is>
      </c>
    </row>
    <row r="35" ht="409" customHeight="1">
      <c r="A35" s="27" t="inlineStr">
        <is>
          <t>Managed relational databases
Which service runs a SQL database for you, handling patches and backups?</t>
        </is>
      </c>
      <c r="B35" s="27" t="inlineStr">
        <is>
          <t>DEFINITION (SIMPLE):
A managed relational database, such as AWS RDS, runs engines like PostgreSQL or MySQL for you, with automated backups, patching, monitoring and optional failover.
HOW / WHY IT WORKS:
You choose an engine, size and storage, and the provider handles installation and routine maintenance. A standby copy in another zone can take over after a failure. Read replicas spread read load. You cannot log in to the host itself, but you control schema, users and settings. Azure has Azure Database services, and GCP has Cloud SQL.
SIMPLE EXPLANATION (HINGLISH):
You get a ready SQL database, and the provider handles backups, patches and failover.
REAL-LIFE ANALOGY:
It is a hotel room that is cleaned and maintained for you.
FORMULA / RULE:
Managed = engine you choose + operations the provider does.
EXAMPLE 1:
A PostgreSQL instance with daily backups.
EXAMPLE 2:
A standby in another zone for failover.
EXAMPLE 3:
A read replica serving reporting queries.
RELATED CONCEPTS:
backups, read replicas, security groups, SQL
FAMILY / GROUP:
RDS, engine, replica, failover, backup
WHERE IT IS USED:
Application databases | Reporting | Customer systems
MINI CONVERSATION:
A: Who patches the database server? | B: The provider does, in a maintenance window.
COMMON MISTAKE:
✗ A managed database needs no thought about backups → ✓ You still choose retention, test restores and set access rules
DON'T CONFUSE WITH:
Managed vs self-installed database: managed handles routine upkeep, self-installed leaves it to you.
AVOID / DON'T:
Do not place the database in a public subnet.
MEMORY TRICK:
Managed means upkeep is theirs, design is yours.
REAL LIFE: PROJECT / WORK:
Moving a self-run database to a managed service and gaining automatic backups.
REAL LIFE: INTERVIEW / EXAM:
An interviewer may ask: Why choose a managed database?
REAL LIFE: DAILY LIFE:
It is like a hotel room that is maintained for you.</t>
        </is>
      </c>
      <c r="C35" s="27" t="inlineStr">
        <is>
          <t>06_Data_Services_Beginner_CLD-034</t>
        </is>
      </c>
    </row>
    <row r="36" ht="409" customHeight="1">
      <c r="A36" s="27" t="inlineStr">
        <is>
          <t>NoSQL databases
Which databases store flexible data such as key-value or documents at huge scale?</t>
        </is>
      </c>
      <c r="B36" s="27" t="inlineStr">
        <is>
          <t>DEFINITION (SIMPLE):
NoSQL databases, such as DynamoDB, Cosmos DB or Firestore, store data as key-value pairs, documents or other flexible shapes, and scale horizontally.
HOW / WHY IT WORKS:
Access is usually by key, which gives predictable speed even at massive scale. Schemas are flexible, but you must plan access patterns up front. Joins and complex queries are limited. They suit sessions, carts, IoT data and profiles. Relational databases remain better for complex relationships and reporting.
SIMPLE EXPLANATION (HINGLISH):
NoSQL stores flexible data fast by key. Plan how you will read it before you design it.
REAL-LIFE ANALOGY:
It is a filing cabinet where each folder can hold different papers.
FORMULA / RULE:
Key lookups are fast. Complex joins are not the strength.
EXAMPLE 1:
A shopping cart stored under a user key.
EXAMPLE 2:
Sensor readings saved at a high rate.
EXAMPLE 3:
User profiles with different optional fields.
RELATED CONCEPTS:
relational databases, caching, backups, queues
FAMILY / GROUP:
key-value, document, partition key, scale, schema-less
WHERE IT IS USED:
High traffic apps | IoT | Profiles
MINI CONVERSATION:
A: We need millions of simple lookups a second. | B: A key-value NoSQL table fits.
COMMON MISTAKE:
✗ NoSQL is always faster than SQL → ✓ It is fast for the access patterns it was designed for, and weaker for complex queries
DON'T CONFUSE WITH:
SQL vs NoSQL: SQL fits relations and joins, NoSQL fits key lookups at scale.
AVOID / DON'T:
Do not pick NoSQL only because it sounds modern.
MEMORY TRICK:
NoSQL is great by key, weak at joins.
REAL LIFE: PROJECT / WORK:
Storing session data in a key-value table to handle sudden traffic bursts.
REAL LIFE: INTERVIEW / EXAM:
An interviewer may ask: When would you choose NoSQL over SQL?
REAL LIFE: DAILY LIFE:
It is like folders that each hold different papers.</t>
        </is>
      </c>
      <c r="C36" s="27" t="inlineStr">
        <is>
          <t>06_Data_Services_Intermediate_CLD-035</t>
        </is>
      </c>
    </row>
    <row r="37" ht="409" customHeight="1">
      <c r="A37" s="27" t="inlineStr">
        <is>
          <t>Caching
Which service keeps frequently used data in fast memory to reduce load and delay?</t>
        </is>
      </c>
      <c r="B37" s="27" t="inlineStr">
        <is>
          <t>DEFINITION (SIMPLE):
A cache, such as Redis or Memcached in a managed service, keeps data in memory so repeated reads are served much faster than from a database.
HOW / WHY IT WORKS:
The app checks the cache first. On a hit it returns at once, and on a miss it reads the database and stores the result. Entries expire after a time to live. The hard part is invalidation, which means keeping cache and source in agreement. Managed options include ElastiCache and Memorystore.
SIMPLE EXPLANATION (HINGLISH):
Check the cache before the database, store the answer, and let it expire.
REAL-LIFE ANALOGY:
It is a sticky note of daily answers kept on your desk.
FORMULA / RULE:
Hit = fast. Miss = read source and store.
EXAMPLE 1:
Caching the result of an expensive query for five minutes.
EXAMPLE 2:
Storing user sessions in memory.
EXAMPLE 3:
Counting requests per user for rate limiting.
RELATED CONCEPTS:
databases, CDN, TTL, performance
FAMILY / GROUP:
cache, hit, miss, TTL, Redis
WHERE IT IS USED:
Sessions | Hot data | Rate limits
MINI CONVERSATION:
A: The same query runs ten thousand times a minute. | B: Cache the result for a short time.
COMMON MISTAKE:
✗ A cache always holds the latest data → ✓ It can be stale until the entry expires or is refreshed
DON'T CONFUSE WITH:
Cache vs database: a cache is fast and temporary, a database is the durable source.
AVOID / DON'T:
Do not store the only copy of important data in a cache.
MEMORY TRICK:
Check the cache first, always set expiry.
REAL LIFE: PROJECT / WORK:
Adding a cache for a slow report and cutting its load time sharply.
REAL LIFE: INTERVIEW / EXAM:
An interviewer may ask: What is a cache miss?
REAL LIFE: DAILY LIFE:
It is like a sticky note of answers on your desk.</t>
        </is>
      </c>
      <c r="C37" s="27" t="inlineStr">
        <is>
          <t>06_Data_Services_Intermediate_CLD-036</t>
        </is>
      </c>
    </row>
    <row r="38" ht="409" customHeight="1">
      <c r="A38" s="27" t="inlineStr">
        <is>
          <t>Backups and snapshots
Which practice protects data from loss by keeping restorable copies?</t>
        </is>
      </c>
      <c r="B38" s="27" t="inlineStr">
        <is>
          <t>DEFINITION (SIMPLE):
A backup or snapshot is a point-in-time copy of data that can be restored after failure, deletion or corruption.
HOW / WHY IT WORKS:
Automated backups run on a schedule, and point-in-time recovery restores to a chosen moment. Snapshots can be copied to another region to survive a regional failure. Retention sets how long copies are kept. Two measures matter, recovery point objective for how much data you can lose and recovery time objective for how long you can be down. Backups need encryption and access control.
SIMPLE EXPLANATION (HINGLISH):
Schedule copies, keep them elsewhere, protect them, and test restoring.
REAL-LIFE ANALOGY:
Backups are spare keys kept in another house and tried once a year.
FORMULA / RULE:
RPO = data you can lose. RTO = time you can be down.
EXAMPLE 1:
Nightly automated database backups.
EXAMPLE 2:
A snapshot copied to a second region.
EXAMPLE 3:
Restoring to ten minutes before a bad delete.
RELATED CONCEPTS:
block storage, managed databases, disaster recovery, lifecycle rules
FAMILY / GROUP:
snapshot, retention, restore, RPO, RTO
WHERE IT IS USED:
Databases | Servers | Compliance
MINI CONVERSATION:
A: Someone deleted the table. | B: Restore to a point before it from the backup.
COMMON MISTAKE:
✗ Replication is the same as a backup → ✓ Replication copies mistakes too, while a backup keeps earlier states
DON'T CONFUSE WITH:
Replica vs backup: a replica mirrors current data, a backup preserves a past state.
AVOID / DON'T:
Do not leave backups unencrypted or never tested.
MEMORY TRICK:
An untested backup is only a hope.
REAL LIFE: PROJECT / WORK:
Running a restore test every quarter and finding a missing permission before an incident.
REAL LIFE: INTERVIEW / EXAM:
An interviewer may ask: What are RPO and RTO?
REAL LIFE: DAILY LIFE:
It is like a spare key stored in another house.</t>
        </is>
      </c>
      <c r="C38" s="27" t="inlineStr">
        <is>
          <t>06_Data_Services_Intermediate_CLD-037</t>
        </is>
      </c>
    </row>
    <row r="39" ht="409" customHeight="1">
      <c r="A39" s="27" t="inlineStr">
        <is>
          <t>Queues and topics (SQS and SNS)
Which services pass messages between parts of a system without them waiting on each other?</t>
        </is>
      </c>
      <c r="B39" s="27" t="inlineStr">
        <is>
          <t>DEFINITION (SIMPLE):
A queue stores messages until a consumer processes them, and a topic publishes each message to all of its subscribers, as with AWS SQS and SNS.
HOW / WHY IT WORKS:
With a queue, one worker takes each message, which suits background jobs and smoothing traffic spikes. With a topic, many subscribers such as queues, functions or emails receive a copy. If you configure a dead-letter queue, messages that keep failing are moved there after a set number of tries. Standard queues may deliver a message more than once. Azure Service Bus and GCP Pub/Sub play similar roles.
SIMPLE EXPLANATION (HINGLISH):
Queues hand each job to one worker, topics broadcast to many listeners.
REAL-LIFE ANALOGY:
A queue is a ticket line at a counter, and a topic is a loudspeaker for all listeners.
FORMULA / RULE:
Queue = one consumer per message. Topic = many subscribers per message.
EXAMPLE 1:
Uploads queued for image processing.
EXAMPLE 2:
An order event published to billing and shipping.
EXAMPLE 3:
A dead-letter queue collecting failures.
RELATED CONCEPTS:
serverless functions, idempotency, ETL pipelines, Kafka
FAMILY / GROUP:
queue, topic, publish, subscribe, dead-letter
WHERE IT IS USED:
Background jobs | Events | Decoupled systems
MINI CONVERSATION:
A: The API times out during traffic spikes. | B: Put jobs in a queue and let workers catch up.
COMMON MISTAKE:
✗ Every message is delivered exactly once → ✓ Standard queues may deliver duplicates, so handlers must tolerate repeats
DON'T CONFUSE WITH:
Queue vs topic: a queue gives each message to one consumer, a topic gives it to all.
AVOID / DON'T:
Do not assume message order or single delivery unless the service promises it.
MEMORY TRICK:
Queue is one worker, topic is many ears.
REAL LIFE: PROJECT / WORK:
Moving slow image processing behind a queue so the API stayed fast.
REAL LIFE: INTERVIEW / EXAM:
An interviewer may ask: When would you use a queue?
REAL LIFE: DAILY LIFE:
It is like a ticket line at a counter.</t>
        </is>
      </c>
      <c r="C39" s="27" t="inlineStr">
        <is>
          <t>06_Data_Services_Intermediate_CLD-038</t>
        </is>
      </c>
    </row>
    <row r="40" ht="409" customHeight="1">
      <c r="A40" s="27" t="inlineStr">
        <is>
          <t>Monitoring (CloudWatch)
Which service collects metrics and alarms so you know how your resources are doing?</t>
        </is>
      </c>
      <c r="B40" s="27" t="inlineStr">
        <is>
          <t>DEFINITION (SIMPLE):
Cloud monitoring, such as AWS CloudWatch, collects metrics, logs and events from resources and triggers alarms and actions when thresholds are crossed.
HOW / WHY IT WORKS:
Services publish metrics such as CPU, requests and errors automatically. You can add custom metrics from your own code. Alarms watch a metric and notify people or run automatic actions. Dashboards bring graphs together. Memory use often needs an agent to be reported. Azure Monitor and Google Cloud Monitoring are equivalents.
SIMPLE EXPLANATION (HINGLISH):
Watch metrics on a dashboard and set alarms that notify the right people.
REAL-LIFE ANALOGY:
It is the dashboard of a car with warning lights.
FORMULA / RULE:
Metric + threshold + action = alarm.
EXAMPLE 1:
An alarm when error rate passes 5 percent.
EXAMPLE 2:
A dashboard showing requests and latency.
EXAMPLE 3:
An alarm that triggers scaling out.
RELATED CONCEPTS:
logging, auto scaling, health checks, alerts
FAMILY / GROUP:
metric, alarm, dashboard, threshold, agent
WHERE IT IS USED:
Operations | Incident response | Capacity planning
MINI CONVERSATION:
A: How did we find out the API was failing? | B: An error-rate alarm sent a message.
COMMON MISTAKE:
✗ Monitoring only needs CPU graphs → ✓ User-facing symptoms such as errors and latency matter more
DON'T CONFUSE WITH:
Metrics vs logs: metrics are numbers over time, logs are detailed event records.
AVOID / DON'T:
Do not create alarms that nobody reads or acts on.
MEMORY TRICK:
Alarm on what users actually feel.
REAL LIFE: PROJECT / WORK:
Adding error-rate alarms so outages were caught before customers reported them.
REAL LIFE: INTERVIEW / EXAM:
An interviewer may ask: What would you monitor on a web service?
REAL LIFE: DAILY LIFE:
It is like the dashboard lights in a car.</t>
        </is>
      </c>
      <c r="C40" s="27" t="inlineStr">
        <is>
          <t>07_Operations_Beginner_CLD-039</t>
        </is>
      </c>
    </row>
    <row r="41" ht="409" customHeight="1">
      <c r="A41" s="27" t="inlineStr">
        <is>
          <t>Cloud logging
How do you collect and search logs from many cloud resources in one place?</t>
        </is>
      </c>
      <c r="B41" s="27" t="inlineStr">
        <is>
          <t>DEFINITION (SIMPLE):
Cloud logging collects log records from applications and services into a central store where they can be searched, kept for a chosen time and used for alerts.
HOW / WHY IT WORKS:
Services and agents send logs to a log service, grouped by source. You search with queries and can turn patterns into metrics and alarms. Retention controls cost and compliance. Audit logs, such as CloudTrail, record who did what in the account and are vital for security. Logs may contain personal data, so access must be limited.
SIMPLE EXPLANATION (HINGLISH):
Send every log to one place, keep it for a set time, and search it during incidents.
REAL-LIFE ANALOGY:
It is a library where every machine files its diary.
FORMULA / RULE:
Collect → store → search → alert.
EXAMPLE 1:
Searching for all errors in the last hour.
EXAMPLE 2:
An audit log showing who deleted a bucket.
EXAMPLE 3:
A metric built from a log pattern.
RELATED CONCEPTS:
monitoring, audit trail, retention, observability
FAMILY / GROUP:
log group, retention, query, audit trail, structured
WHERE IT IS USED:
Debugging | Security | Compliance
MINI CONVERSATION:
A: Who changed the security group? | B: The audit log shows the user and time.
COMMON MISTAKE:
✗ More logs always make debugging easier → ✓ Noisy or unstructured logs hide the useful lines and cost money
DON'T CONFUSE WITH:
Application log vs audit log: one records app behaviour, the other records account actions.
AVOID / DON'T:
Do not log passwords, tokens or personal data.
MEMORY TRICK:
One library, structured diaries, no secrets.
REAL LIFE: PROJECT / WORK:
Using the audit log to find who changed a firewall rule before an outage.
REAL LIFE: INTERVIEW / EXAM:
An interviewer may ask: How do you find out who changed a cloud setting?
REAL LIFE: DAILY LIFE:
It is like a library where every machine files its diary.</t>
        </is>
      </c>
      <c r="C41" s="27" t="inlineStr">
        <is>
          <t>07_Operations_Intermediate_CLD-040</t>
        </is>
      </c>
    </row>
    <row r="42" ht="409" customHeight="1">
      <c r="A42" s="27" t="inlineStr">
        <is>
          <t>Infrastructure as code
Which practice defines cloud resources in files so they can be reviewed and repeated?</t>
        </is>
      </c>
      <c r="B42" s="27" t="inlineStr">
        <is>
          <t>DEFINITION (SIMPLE):
Infrastructure as code describes cloud resources in files, using tools such as CloudFormation or Terraform, and applies them to create, change or remove the resources.
HOW / WHY IT WORKS:
You write the desired state, and the tool plans the changes. A plan shows what will be created, changed or destroyed before anything happens. State files record what exists, and must be stored safely and shared. The same code can build dev, test and production. Drift happens when someone changes resources by hand. Terraform works across clouds, and CloudFormation is AWS only.
SIMPLE EXPLANATION (HINGLISH):
Write the desired setup in code, review the plan, apply it, and keep it in Git.
REAL-LIFE ANALOGY:
It is a recipe card instead of cooking from memory.
FORMULA / RULE:
Code → plan → apply → state.
EXAMPLE 1:
A Terraform file creating a bucket and a role.
EXAMPLE 2:
The same code deployed to test and production.
EXAMPLE 3:
A plan showing one resource will be replaced.
RELATED CONCEPTS:
version control, CI/CD, tagging, drift
FAMILY / GROUP:
Terraform, CloudFormation, plan, state, drift
WHERE IT IS USED:
Environments | Repeatable setups | Reviews
MINI CONVERSATION:
A: Someone edited the firewall by hand. | B: That is drift, so apply the code to restore it.
COMMON MISTAKE:
✗ A console change is faster, so it is fine to skip the code → ✓ Manual changes drift and cannot be repeated or reviewed
DON'T CONFUSE WITH:
Terraform vs CloudFormation: Terraform works across clouds, CloudFormation is AWS only.
AVOID / DON'T:
Do not store state files or secrets in a public repository.
MEMORY TRICK:
Code, plan, apply, never click ad hoc.
REAL LIFE: PROJECT / WORK:
Rebuilding a customer test environment from code in minutes after a failure.
REAL LIFE: INTERVIEW / EXAM:
An interviewer may ask: What is configuration drift?
REAL LIFE: DAILY LIFE:
It is like cooking from a recipe card.</t>
        </is>
      </c>
      <c r="C42" s="27" t="inlineStr">
        <is>
          <t>07_Operations_Intermediate_CLD-041</t>
        </is>
      </c>
    </row>
    <row r="43" ht="409" customHeight="1">
      <c r="A43" s="27" t="inlineStr">
        <is>
          <t>Tagging
Which labels help you find, group and charge for cloud resources?</t>
        </is>
      </c>
      <c r="B43" s="27" t="inlineStr">
        <is>
          <t>DEFINITION (SIMPLE):
Tags are key-value labels attached to cloud resources, used to identify owners, environments and cost centres and to filter and report on them.
HOW / WHY IT WORKS:
Typical tags are owner, environment, project and cost centre. Cost reports can be split by tag, so each team sees its own spend. Policies can require tags or automate actions on them. Tags are not secret, so they must not hold sensitive values. Consistent naming matters, since Environment and environment are different keys.
SIMPLE EXPLANATION (HINGLISH):
Label everything with owner and environment, and use the labels for cost and cleanup.
REAL-LIFE ANALOGY:
Tags are name stickers on every box in a warehouse.
FORMULA / RULE:
Owner + environment + project on every resource.
EXAMPLE 1:
A tag Owner=data-team on a bucket.
EXAMPLE 2:
A cost report grouped by project tag.
EXAMPLE 3:
A cleanup job deleting resources tagged temporary.
RELATED CONCEPTS:
cost alerts, cleanup, infrastructure as code, governance
FAMILY / GROUP:
tag, label, key, value, cost allocation
WHERE IT IS USED:
Cost reports | Ownership | Cleanup
MINI CONVERSATION:
A: Who owns this server and who pays for it? | B: Check its Owner tag.
COMMON MISTAKE:
✗ Tags are a safe place to put secrets → ✓ Tags are visible to many people and must hold only non-sensitive labels
DON'T CONFUSE WITH:
Tag vs name: a name identifies one resource, tags describe groups of them.
AVOID / DON'T:
Do not use inconsistent tag keys across teams.
MEMORY TRICK:
Tag every box with an owner.
REAL LIFE: PROJECT / WORK:
Adding required tags so the monthly bill could be split by customer project.
REAL LIFE: INTERVIEW / EXAM:
An interviewer may ask: How do you track cost per team?
REAL LIFE: DAILY LIFE:
It is like name stickers on every box.</t>
        </is>
      </c>
      <c r="C43" s="27" t="inlineStr">
        <is>
          <t>07_Operations_Beginner_CLD-042</t>
        </is>
      </c>
    </row>
    <row r="44" ht="409" customHeight="1">
      <c r="A44" s="27" t="inlineStr">
        <is>
          <t>Budgets and cost alerts
Which settings warn you before the bill grows beyond what you planned?</t>
        </is>
      </c>
      <c r="B44" s="27" t="inlineStr">
        <is>
          <t>DEFINITION (SIMPLE):
Budgets and cost alerts track spending against a limit you set and send notifications when actual or forecast cost crosses chosen thresholds.
HOW / WHY IT WORKS:
You create a budget for the account or for tags, and set alerts at levels such as 50, 80 and 100 percent. Forecast alerts warn before the money is spent. Anomaly detection flags unusual jumps. Alerts only notify, so they do not stop resources unless you add an automatic action. Cost explorer tools show where the money goes.
SIMPLE EXPLANATION (HINGLISH):
Set a monthly budget with alerts, and check the cost report regularly.
REAL-LIFE ANALOGY:
It is a smoke detector for money.
FORMULA / RULE:
Budget + thresholds + notification = early warning.
EXAMPLE 1:
An email at 80 percent of a monthly budget.
EXAMPLE 2:
A forecast alert predicting overspend.
EXAMPLE 3:
A report showing storage as the largest cost.
RELATED CONCEPTS:
pay-as-you-go, tagging, cleanup, spot instances
FAMILY / GROUP:
budget, forecast, anomaly, threshold, cost explorer
WHERE IT IS USED:
New accounts | Finance reviews | Experiments
MINI CONVERSATION:
A: The bill doubled. | B: A forgotten service was running, and the alert came too late because none was set.
COMMON MISTAKE:
✗ A budget alert stops spending automatically → ✓ It only notifies unless you add an action
DON'T CONFUSE WITH:
Actual vs forecast alert: actual fires after spending, forecast fires before.
AVOID / DON'T:
Do not run experiments in an account with no alerts.
MEMORY TRICK:
Set the alert before the first launch.
REAL LIFE: PROJECT / WORK:
Creating budgets with alerts for a customer proof of concept account.
REAL LIFE: INTERVIEW / EXAM:
An interviewer may ask: How do you prevent surprise cloud bills?
REAL LIFE: DAILY LIFE:
It is like a smoke detector for money.</t>
        </is>
      </c>
      <c r="C44" s="27" t="inlineStr">
        <is>
          <t>07_Operations_Beginner_CLD-043</t>
        </is>
      </c>
    </row>
    <row r="45" ht="409" customHeight="1">
      <c r="A45" s="27" t="inlineStr">
        <is>
          <t>Secrets and KMS
Which services store secrets and manage encryption keys for you?</t>
        </is>
      </c>
      <c r="B45" s="27" t="inlineStr">
        <is>
          <t>DEFINITION (SIMPLE):
A secrets manager stores and rotates credentials with access control, and a key management service creates and controls encryption keys used to protect data.
HOW / WHY IT WORKS:
Applications read secrets through their role at run time, so nothing is stored in code. Rotation can be automated for supported databases. A key service holds keys that never leave it, and services use them to encrypt data at rest. Access to keys is controlled by policy and logged. Azure Key Vault and Google Secret Manager are equivalents.
SIMPLE EXPLANATION (HINGLISH):
Keep secrets in a vault, give apps a role to read them, and encrypt data with managed keys.
REAL-LIFE ANALOGY:
It is a bank vault with a logbook of every visit.
FORMULA / RULE:
Secret in vault + role to read + audit log.
EXAMPLE 1:
An app reading a database password from a secrets manager.
EXAMPLE 2:
A bucket encrypted with a managed key.
EXAMPLE 3:
Automatic password rotation every thirty days.
RELATED CONCEPTS:
access keys, IAM roles, encryption, shared responsibility
FAMILY / GROUP:
vault, KMS, rotation, encryption at rest, envelope
WHERE IT IS USED:
Applications | Databases | Compliance
MINI CONVERSATION:
A: Where is the database password stored? | B: In the secrets manager, read through a role.
COMMON MISTAKE:
✗ Environment variables in a repository are a fine place for secrets → ✓ Secrets belong in a vault, not in files that others can read
DON'T CONFUSE WITH:
Secrets manager vs KMS: one stores credentials, the other manages encryption keys.
AVOID / DON'T:
Do not hard-code credentials in source code.
MEMORY TRICK:
Vault the secret, role reads, log records.
REAL LIFE: PROJECT / WORK:
Moving database passwords from config files to a secrets manager with rotation.
REAL LIFE: INTERVIEW / EXAM:
An interviewer may ask: How do you handle secrets in the cloud?
REAL LIFE: DAILY LIFE:
It is like a bank vault with a visitors' book.</t>
        </is>
      </c>
      <c r="C45" s="27" t="inlineStr">
        <is>
          <t>07_Operations_Intermediate_CLD-044</t>
        </is>
      </c>
    </row>
    <row r="46" ht="409" customHeight="1">
      <c r="A46" s="27" t="inlineStr">
        <is>
          <t>Disaster recovery and multi-region
Which plans let a service continue or recover after a whole region fails?</t>
        </is>
      </c>
      <c r="B46" s="27" t="inlineStr">
        <is>
          <t>DEFINITION (SIMPLE):
Disaster recovery is a set of plans and setups that restore a service after a major failure, ranging from backup and restore to active-active across regions.
HOW / WHY IT WORKS:
The main strategies, from cheapest to fastest, are backup and restore, pilot light, warm standby and multi-site active-active. Each trades cost against recovery time and data loss. Data must be replicated or backed up to the second region. Failover can be controlled through DNS. Regular drills prove it works. Many systems only need zone-level resilience rather than region-level.
SIMPLE EXPLANATION (HINGLISH):
Decide how much downtime and data loss you can accept, then pick the matching strategy and rehearse it.
REAL-LIFE ANALOGY:
It is a fire drill practised before the fire.
FORMULA / RULE:
Faster recovery costs more. Match it to RPO and RTO.
EXAMPLE 1:
Nightly backups copied to another region.
EXAMPLE 2:
A small standby copy of the database running in a second region.
EXAMPLE 3:
Traffic switched by DNS to the standby region.
RELATED CONCEPTS:
backups, regions, DNS, RPO and RTO
FAMILY / GROUP:
failover, standby, active-active, pilot light, drill
WHERE IT IS USED:
Critical systems | Compliance | Risk planning
MINI CONVERSATION:
A: What if the whole region goes down? | B: We fail over to the standby region within an hour.
COMMON MISTAKE:
✗ Multi-zone setups protect against a full region outage → ✓ Zones are inside one region, so you need another region for that
DON'T CONFUSE WITH:
Multi-zone vs multi-region: zones survive a building failure, regions survive a wider outage.
AVOID / DON'T:
Do not claim a recovery time that you have never tested.
MEMORY TRICK:
Faster recovery always costs more money.
REAL LIFE: PROJECT / WORK:
Running a twice-a-year failover drill that exposed a missing permission.
REAL LIFE: INTERVIEW / EXAM:
An interviewer may ask: How would you design disaster recovery for a database?
REAL LIFE: DAILY LIFE:
It is like practising a fire drill.</t>
        </is>
      </c>
      <c r="C46" s="27" t="inlineStr">
        <is>
          <t>07_Operations_Advanced_CLD-045</t>
        </is>
      </c>
    </row>
    <row r="47" ht="409" customHeight="1">
      <c r="A47" s="27" t="inlineStr">
        <is>
          <t>Cloud CLI and SDKs
Which tools let you control the cloud from a terminal or from code?</t>
        </is>
      </c>
      <c r="B47" s="27" t="inlineStr">
        <is>
          <t>DEFINITION (SIMPLE):
A cloud CLI, such as the AWS CLI, and SDKs such as boto3 let you call the cloud's APIs from a terminal or from your own programs.
HOW / WHY IT WORKS:
The CLI is configured with credentials or a profile and a default region. Commands follow a pattern of service, action and options. Output can be filtered with query options and formatted as JSON. SDKs offer the same actions in languages such as Python or JavaScript. Always confirm the active identity with a whoami command before changes.
SIMPLE EXPLANATION (HINGLISH):
Use the CLI for quick tasks and scripts, and SDKs inside programs. Check who you are first.
REAL-LIFE ANALOGY:
The console is the shop window, and the CLI is the staff door to the same stock.
FORMULA / RULE:
Service + action + options, with the right profile and region.
EXAMPLE 1:
aws s3 ls to list buckets.
EXAMPLE 2:
aws sts get-caller-identity to see who you are.
EXAMPLE 3:
A Python script using boto3 to upload a file.
RELATED CONCEPTS:
IAM, access keys, temporary credentials, infrastructure as code
FAMILY / GROUP:
CLI, SDK, profile, region, API
WHERE IT IS USED:
Automation | Scripts | Daily operations
MINI CONVERSATION:
A: Which account is this command running in? | B: Run get-caller-identity to confirm.
COMMON MISTAKE:
✗ The CLI has different powers from the console → ✓ Both call the same APIs under the same permissions
DON'T CONFUSE WITH:
CLI vs SDK: the CLI is for terminals and scripts, the SDK is for use inside code.
AVOID / DON'T:
Do not run destructive commands without checking the active profile.
MEMORY TRICK:
Check who you are before you act.
REAL LIFE: PROJECT / WORK:
Scripting a bucket audit with the CLI across all of a customer's regions.
REAL LIFE: INTERVIEW / EXAM:
An interviewer may ask: How do you confirm which account you are using?
REAL LIFE: DAILY LIFE:
It is like using the staff door to the same stock.</t>
        </is>
      </c>
      <c r="C47" s="27" t="inlineStr">
        <is>
          <t>07_Operations_Intermediate_CLD-046</t>
        </is>
      </c>
    </row>
    <row r="48" ht="409" customHeight="1">
      <c r="A48" s="27" t="inlineStr">
        <is>
          <t>AWS, Azure and GCP service map
Which names in Azure and Google Cloud match the main AWS services?</t>
        </is>
      </c>
      <c r="B48" s="27" t="inlineStr">
        <is>
          <t>DEFINITION (SIMPLE):
A service map pairs equivalent cloud services across vendors, such as EC2, Azure Virtual Machines and Compute Engine, which all provide virtual machines.
HOW / WHY IT WORKS:
Compute is EC2, Azure Virtual Machines and Compute Engine. Object storage is S3, Blob Storage and Cloud Storage. Functions are Lambda, Azure Functions and Cloud Functions. Managed SQL is RDS, Azure SQL and Cloud SQL. Identity is IAM, Entra ID with role assignments, and Cloud IAM. Equivalents are close but not identical, so check details before promising a feature.
SIMPLE EXPLANATION (HINGLISH):
The ideas are the same everywhere, and only the names and small details change.
REAL-LIFE ANALOGY:
It is a phrasebook for the same conversation in three languages.
FORMULA / RULE:
Same idea, different name, check the details.
EXAMPLE 1:
S3, Blob Storage and Cloud Storage all store objects.
EXAMPLE 2:
Lambda, Azure Functions and Cloud Functions all run code on events.
EXAMPLE 3:
AWS VPC, Azure Virtual Network and Google VPC are the network equivalents.
RELATED CONCEPTS:
object storage, serverless functions, VPC, IAM
FAMILY / GROUP:
equivalent, vendor, mapping, service, portability
WHERE IT IS USED:
Customer meetings | Migrations | Multi-cloud work
MINI CONVERSATION:
A: The customer uses Azure, what is the S3 equivalent? | B: Blob Storage.
COMMON MISTAKE:
✗ Equivalent services behave exactly the same → ✓ They are similar, but limits, features and prices differ
DON'T CONFUSE WITH:
AWS vs Azure naming: the ideas match, but the names and some behaviours differ.
AVOID / DON'T:
Do not promise an exact feature match without reading the documentation.
MEMORY TRICK:
Learn the idea, then translate the name.
REAL LIFE: PROJECT / WORK:
Translating an AWS design into Azure names for a customer on another vendor.
REAL LIFE: INTERVIEW / EXAM:
An interviewer may ask: What is the Azure equivalent of S3?
REAL LIFE: DAILY LIFE:
It is like a phrasebook for three languages.</t>
        </is>
      </c>
      <c r="C48" s="27" t="inlineStr">
        <is>
          <t>08_Choosing_and_Mapping_Intermediate_CLD-047</t>
        </is>
      </c>
    </row>
    <row r="49" ht="409" customHeight="1">
      <c r="A49" s="27" t="inlineStr">
        <is>
          <t>Choosing a cloud
Which questions help decide between AWS, Azure and Google Cloud for a customer?</t>
        </is>
      </c>
      <c r="B49" s="27" t="inlineStr">
        <is>
          <t>DEFINITION (SIMPLE):
Choosing a cloud means comparing vendors on the customer's existing systems, skills, required services, data rules, regions and total cost.
HOW / WHY IT WORKS:
Ask what the customer already uses, such as Microsoft licences or Google Workspace. Check which required services and regions exist and whether data rules are met. Consider team skills, support and cost over time. Avoid deep lock-in by using open standards where reasonable, but do not over-engineer for portability. Many customers use more than one cloud.
SIMPLE EXPLANATION (HINGLISH):
Start from the customer's reality, then compare services, rules, skills and cost.
REAL-LIFE ANALOGY:
It is like choosing a car by the roads you drive on.
FORMULA / RULE:
Needs + skills + rules + cost decide, not brand.
EXAMPLE 1:
A Microsoft-heavy company choosing Azure.
EXAMPLE 2:
A data analytics team choosing a cloud for its warehouse service.
EXAMPLE 3:
A customer needing a region that only one vendor offers.
RELATED CONCEPTS:
service map, regions, cloud vs on-premises, cost
FAMILY / GROUP:
vendor, lock-in, portability, multi-cloud, requirements
WHERE IT IS USED:
Proposals | Architecture talks | Migrations
MINI CONVERSATION:
A: Which cloud should we recommend? | B: Start from what they already run and what they must keep in-country.
COMMON MISTAKE:
✗ One vendor is simply the best for everyone → ✓ The right choice depends on needs, skills, rules and existing systems
DON'T CONFUSE WITH:
Lock-in vs portability: lock-in eases use of unique features, portability eases moving later.
AVOID / DON'T:
Do not choose a vendor only because you know it best.
MEMORY TRICK:
Fit the customer, not the brand.
REAL LIFE: PROJECT / WORK:
Recommending the cloud a customer already used, to reuse their team's skills.
REAL LIFE: INTERVIEW / EXAM:
An interviewer may ask: How would you advise a customer on choosing a cloud?
REAL LIFE: DAILY LIFE:
It is like choosing a car by the roads you drive.</t>
        </is>
      </c>
      <c r="C49" s="27" t="inlineStr">
        <is>
          <t>08_Choosing_and_Mapping_Intermediate_CLD-048</t>
        </is>
      </c>
    </row>
    <row r="50" ht="409" customHeight="1">
      <c r="A50" s="27" t="inlineStr">
        <is>
          <t>Cleaning up resources
Which habit stops forgotten cloud resources from billing you and creating risk?</t>
        </is>
      </c>
      <c r="B50" s="27" t="inlineStr">
        <is>
          <t>DEFINITION (SIMPLE):
Cleaning up means deleting or stopping resources you no longer need, including the less obvious ones such as disks, snapshots, addresses and load balancers.
HOW / WHY IT WORKS:
Stopping a server does not stop disk or address charges. Orphaned items stay behind when the main resource is deleted. Infrastructure as code can destroy a whole environment in one step. Tags help find temporary items. Review the billing report and the resource list in every region, since resources in unused regions are easy to forget.
SIMPLE EXPLANATION (HINGLISH):
Tag temporary things, destroy them with code, and check every region and the bill.
REAL-LIFE ANALOGY:
It is like turning off the lights and locking up after a workshop.
FORMULA / RULE:
Create with a tag, destroy with the same code.
EXAMPLE 1:
Deleting an unattached disk left after a server was removed.
EXAMPLE 2:
Running a destroy command on a test environment.
EXAMPLE 3:
Finding a forgotten server in another region on the bill.
RELATED CONCEPTS:
tagging, cost alerts, infrastructure as code, pay-as-you-go
FAMILY / GROUP:
cleanup, orphan, destroy, idle, forgotten
WHERE IT IS USED:
Demos | Training | Cost control
MINI CONVERSATION:
A: The demo is over. | B: Destroy the stack and check the bill for leftovers.
COMMON MISTAKE:
✗ Stopping a server removes every cost → ✓ Disks, addresses and snapshots may keep billing
DON'T CONFUSE WITH:
Stop vs delete: stopping pauses compute, deleting removes the resource and its cost.
AVOID / DON'T:
Do not leave test resources with open access running.
MEMORY TRICK:
Tag it, track it, tear it down.
REAL LIFE: PROJECT / WORK:
Destroying a customer demo environment with code and finding no leftover charges.
REAL LIFE: INTERVIEW / EXAM:
An interviewer may ask: What do you check after finishing a proof of concept?
REAL LIFE: DAILY LIFE:
It is like locking up after a workshop.</t>
        </is>
      </c>
      <c r="C50" s="27" t="inlineStr">
        <is>
          <t>08_Choosing_and_Mapping_Beginner_CLD-049</t>
        </is>
      </c>
    </row>
    <row r="51" ht="409" customHeight="1">
      <c r="A51" s="27" t="inlineStr">
        <is>
          <t>Choosing between functions, containers and virtual machines
Which questions decide whether to run code on a function, a container service or a virtual machine?</t>
        </is>
      </c>
      <c r="B51" s="27" t="inlineStr">
        <is>
          <t>DEFINITION (SIMPLE):
Functions suit short event-driven tasks, container services suit long-running packaged apps, and virtual machines suit workloads that need full control of the operating system.
HOW / WHY IT WORKS:
Functions have time limits and stateless design but need no servers. Containers give portability and steady services with moderate effort. Virtual machines give maximum control but need patching and sizing. Consider run time, traffic pattern, state, skills and cost. Spiky, short jobs favour functions, steady services favour containers, and legacy or special software favours virtual machines.
SIMPLE EXPLANATION (HINGLISH):
Use the most managed option that fits the job, and move toward more control only when needed.
REAL-LIFE ANALOGY:
It is choosing between a taxi, a rented car and owning a car.
FORMULA / RULE:
More control means more work. Pick the least you need.
EXAMPLE 1:
A nightly cleanup as a function.
EXAMPLE 2:
A web API as a container service.
EXAMPLE 3:
Licensed legacy software on a virtual machine.
RELATED CONCEPTS:
serverless functions, container services, virtual machines, cost
FAMILY / GROUP:
function, container, virtual machine, control, managed
WHERE IT IS USED:
Architecture decisions | Customer designs | Migrations
MINI CONVERSATION:
A: Should we use a server for this small task? | B: A function is simpler if it finishes quickly.
COMMON MISTAKE:
✗ Virtual machines are always the safest default → ✓ A more managed option often costs less effort and fits better
DON'T CONFUSE WITH:
Function vs container: a function is short and event-driven, a container service runs steadily.
AVOID / DON'T:
Do not use functions for jobs that run longer than their limit.
MEMORY TRICK:
Least control that works wins.
REAL LIFE: PROJECT / WORK:
Choosing containers for a steady API and functions for its nightly cleanup jobs.
REAL LIFE: INTERVIEW / EXAM:
An interviewer may ask: How do you decide between functions and containers?
REAL LIFE: DAILY LIFE:
It is like choosing between a taxi and a rented car.</t>
        </is>
      </c>
      <c r="C51" s="27" t="inlineStr">
        <is>
          <t>08_Choosing_and_Mapping_Intermediate_CLD-050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6" t="inlineStr">
        <is>
          <t>Front</t>
        </is>
      </c>
      <c r="B1" s="26" t="inlineStr">
        <is>
          <t>Back</t>
        </is>
      </c>
      <c r="C1" s="26" t="inlineStr">
        <is>
          <t>Tags</t>
        </is>
      </c>
    </row>
    <row r="2" ht="94.5" customHeight="1">
      <c r="A2" s="27" t="inlineStr">
        <is>
          <t>MCQ: Which model leaves you managing the operating system?
A) SaaS B) None of them C) IaaS D) PaaS
FILL: With ____ you only use the finished product through a browser
APPLY: A team wants to run code without managing any servers. Which model fits?</t>
        </is>
      </c>
      <c r="B2" s="27" t="inlineStr">
        <is>
          <t>MCQ answer: C  IaaS gives you virtual hardware, so everything above it is yours.
Fill answer: SaaS
Apply: PaaS</t>
        </is>
      </c>
      <c r="C2" s="27" t="inlineStr">
        <is>
          <t>01_Basics_Beginner_CLD-001_quiz</t>
        </is>
      </c>
    </row>
    <row r="3" ht="108" customHeight="1">
      <c r="A3" s="27" t="inlineStr">
        <is>
          <t>MCQ: What is an availability zone?
A) An isolated data centre inside a region B) A billing plan C) A country's border D) A type of server
FILL: Data stays in one region unless you configure ____
APPLY: You want a service to survive one building failing. What do you spread across?</t>
        </is>
      </c>
      <c r="B3" s="27" t="inlineStr">
        <is>
          <t>MCQ answer: A  Zones have independent power and networking inside one region.
Fill answer: replication
Apply: Availability zones</t>
        </is>
      </c>
      <c r="C3" s="27" t="inlineStr">
        <is>
          <t>01_Basics_Beginner_CLD-002_quiz</t>
        </is>
      </c>
    </row>
    <row r="4" ht="81" customHeight="1">
      <c r="A4" s="27" t="inlineStr">
        <is>
          <t>MCQ: Who is responsible for who can access your stored data?
A) The internet B) The provider only C) No one D) The customer
FILL: The provider secures the cloud, and you secure what is ____ it
APPLY: A public bucket leaks data. Whose duty was it to prevent it?</t>
        </is>
      </c>
      <c r="B4" s="27" t="inlineStr">
        <is>
          <t>MCQ answer: D  Access configuration is on the customer's side of the line.
Fill answer: in
Apply: The customer's</t>
        </is>
      </c>
      <c r="C4" s="27" t="inlineStr">
        <is>
          <t>01_Basics_Beginner_CLD-003_quiz</t>
        </is>
      </c>
    </row>
    <row r="5" ht="121.5" customHeight="1">
      <c r="A5" s="27" t="inlineStr">
        <is>
          <t>MCQ: Which is most likely to cause a surprise bill?
A) A tag B) A forgotten running resource C) A budget alert D) A free tier limit
FILL: Capacity that can be taken back at short notice is called ____ capacity
APPLY: A demo ended, but the server is still running. What should you do?</t>
        </is>
      </c>
      <c r="B5" s="27" t="inlineStr">
        <is>
          <t>MCQ answer: B  Unused resources keep accumulating charges.
Fill answer: spot
Apply: Stop or delete it</t>
        </is>
      </c>
      <c r="C5" s="27" t="inlineStr">
        <is>
          <t>01_Basics_Beginner_CLD-004_quiz</t>
        </is>
      </c>
    </row>
    <row r="6" ht="108" customHeight="1">
      <c r="A6" s="27" t="inlineStr">
        <is>
          <t>MCQ: What is a hybrid setup?
A) A mix of on-premises and cloud B) Only cloud C) Only on-premises D) Two clouds only
FILL: Servers you own in your own building are called on-____
APPLY: A customer must keep data in its own building but wants cloud analytics. What setup?</t>
        </is>
      </c>
      <c r="B6" s="27" t="inlineStr">
        <is>
          <t>MCQ answer: A  Hybrid combines your own systems with cloud resources.
Fill answer: premises
Apply: Hybrid</t>
        </is>
      </c>
      <c r="C6" s="27" t="inlineStr">
        <is>
          <t>01_Basics_Beginner_CLD-005_quiz</t>
        </is>
      </c>
    </row>
    <row r="7" ht="108" customHeight="1">
      <c r="A7" s="27" t="inlineStr">
        <is>
          <t>MCQ: Which is one of the pillars?
A) Fashion B) Typing speed C) Reliability D) Colour
FILL: A published checklist of design best practice is called a well-____ framework
APPLY: You are about to launch. What do you review the design against?</t>
        </is>
      </c>
      <c r="B7" s="27" t="inlineStr">
        <is>
          <t>MCQ answer: C  Reliability, security, cost, performance, operations and sustainability are pillars.
Fill answer: architected
Apply: The framework pillars</t>
        </is>
      </c>
      <c r="C7" s="27" t="inlineStr">
        <is>
          <t>01_Basics_Intermediate_CLD-006_quiz</t>
        </is>
      </c>
    </row>
    <row r="8" ht="108" customHeight="1">
      <c r="A8" s="27" t="inlineStr">
        <is>
          <t>MCQ: What gives an application short-lived credentials without a stored key?
A) The root account B) A role C) A password D) A shared file
FILL: A set of users sharing the same permissions is a ____
APPLY: A server needs to read storage without a stored key. What identity?</t>
        </is>
      </c>
      <c r="B8" s="27" t="inlineStr">
        <is>
          <t>MCQ answer: B  Roles hand out temporary credentials to trusted identities.
Fill answer: group
Apply: A role</t>
        </is>
      </c>
      <c r="C8" s="27" t="inlineStr">
        <is>
          <t>02_Identity_and_Access_Beginner_CLD-007_quiz</t>
        </is>
      </c>
    </row>
    <row r="9" ht="94.5" customHeight="1">
      <c r="A9" s="27" t="inlineStr">
        <is>
          <t>MCQ: What is the default access when no policy allows an action?
A) Admin B) Read only C) Allowed D) Denied
FILL: Each policy statement has an effect, actions and ____
APPLY: Two policies disagree, one allows and one denies. What happens?</t>
        </is>
      </c>
      <c r="B9" s="27" t="inlineStr">
        <is>
          <t>MCQ answer: D  Access is denied unless something explicitly allows it.
Fill answer: resources
Apply: Access is denied</t>
        </is>
      </c>
      <c r="C9" s="27" t="inlineStr">
        <is>
          <t>02_Identity_and_Access_Intermediate_CLD-008_quiz</t>
        </is>
      </c>
    </row>
    <row r="10" ht="94.5" customHeight="1">
      <c r="A10" s="27" t="inlineStr">
        <is>
          <t>MCQ: Which practice supports least privilege?
A) Never reviewing access B) Specific actions and resources C) Sharing one admin login D) Wildcards everywhere
FILL: Least privilege grants the ____ access needed
APPLY: A job only reads one table. How much access does it get?</t>
        </is>
      </c>
      <c r="B10" s="27" t="inlineStr">
        <is>
          <t>MCQ answer: B  Narrow permissions limit the damage of a mistake.
Fill answer: minimum
Apply: Read on that table only</t>
        </is>
      </c>
      <c r="C10" s="27" t="inlineStr">
        <is>
          <t>02_Identity_and_Access_Intermediate_CLD-009_quiz</t>
        </is>
      </c>
    </row>
    <row r="11" ht="94.5" customHeight="1">
      <c r="A11" s="27" t="inlineStr">
        <is>
          <t>MCQ: Which account should always have MFA turned on?
A) Only test accounts B) No account C) Only read-only users D) The root account
FILL: A password plus a code is an example of ____ authentication
APPLY: A password leaked. What would still block the login?</t>
        </is>
      </c>
      <c r="B11" s="27" t="inlineStr">
        <is>
          <t>MCQ answer: D  The root account has unlimited power.
Fill answer: multi-factor
Apply: A second factor</t>
        </is>
      </c>
      <c r="C11" s="27" t="inlineStr">
        <is>
          <t>02_Identity_and_Access_Beginner_CLD-010_quiz</t>
        </is>
      </c>
    </row>
    <row r="12" ht="108" customHeight="1">
      <c r="A12" s="27" t="inlineStr">
        <is>
          <t>MCQ: What is the first action when a key leaks?
A) Delete the commit only B) Ignore it C) Deactivate the key D) Email the team only
FILL: A key should be changed on a schedule, which is called key ____
APPLY: You find a key in a repository. What do you do first?</t>
        </is>
      </c>
      <c r="B12" s="27" t="inlineStr">
        <is>
          <t>MCQ answer: C  Revoking stops abuse immediately, since copies may exist.
Fill answer: rotation
Apply: Revoke it</t>
        </is>
      </c>
      <c r="C12" s="27" t="inlineStr">
        <is>
          <t>02_Identity_and_Access_Intermediate_CLD-011_quiz</t>
        </is>
      </c>
    </row>
    <row r="13" ht="94.5" customHeight="1">
      <c r="A13" s="27" t="inlineStr">
        <is>
          <t>MCQ: What is the main benefit of temporary credentials?
A) A leaked token expires soon B) They cost nothing C) They skip MFA D) They never need a role
FILL: A role gives credentials that ____ automatically
APPLY: A pipeline needs cloud access. How can it avoid stored keys?</t>
        </is>
      </c>
      <c r="B13" s="27" t="inlineStr">
        <is>
          <t>MCQ answer: A  Expiry limits how long a stolen credential works.
Fill answer: expire
Apply: Use a role through OIDC</t>
        </is>
      </c>
      <c r="C13" s="27" t="inlineStr">
        <is>
          <t>02_Identity_and_Access_Intermediate_CLD-012_quiz</t>
        </is>
      </c>
    </row>
    <row r="14" ht="81" customHeight="1">
      <c r="A14" s="27" t="inlineStr">
        <is>
          <t>MCQ: What does terminating an instance do?
A) Resizes it B) Copies it C) Pauses it D) Deletes it
FILL: Azure calls the same idea a virtual ____
APPLY: You no longer need a test server at all. Stop or terminate?</t>
        </is>
      </c>
      <c r="B14" s="27" t="inlineStr">
        <is>
          <t>MCQ answer: D  Terminate permanently removes the instance.
Fill answer: machine
Apply: Terminate</t>
        </is>
      </c>
      <c r="C14" s="27" t="inlineStr">
        <is>
          <t>03_Compute_Beginner_CLD-013_quiz</t>
        </is>
      </c>
    </row>
    <row r="15" ht="94.5" customHeight="1">
      <c r="A15" s="27" t="inlineStr">
        <is>
          <t>MCQ: What is an image used for?
A) Launching identical instances B) Billing C) Logging in D) Monitoring
FILL: A running server created from an image is an ____
APPLY: You need ten identical servers quickly. What do you use?</t>
        </is>
      </c>
      <c r="B15" s="27" t="inlineStr">
        <is>
          <t>MCQ answer: A  Images are templates for new servers.
Fill answer: instance
Apply: A machine image</t>
        </is>
      </c>
      <c r="C15" s="27" t="inlineStr">
        <is>
          <t>03_Compute_Beginner_CLD-014_quiz</t>
        </is>
      </c>
    </row>
    <row r="16" ht="81" customHeight="1">
      <c r="A16" s="27" t="inlineStr">
        <is>
          <t>MCQ: Which type suits a large in-memory cache?
A) Burstable only B) GPU C) Memory optimised D) Compute optimised
FILL: A type that gives a baseline with short bursts is called ____
APPLY: A job needs a lot of CPU and little RAM. Which family fits?</t>
        </is>
      </c>
      <c r="B16" s="27" t="inlineStr">
        <is>
          <t>MCQ answer: C  A cache needs a lot of RAM.
Fill answer: burstable
Apply: Compute optimised</t>
        </is>
      </c>
      <c r="C16" s="27" t="inlineStr">
        <is>
          <t>03_Compute_Beginner_CLD-015_quiz</t>
        </is>
      </c>
    </row>
    <row r="17" ht="94.5" customHeight="1">
      <c r="A17" s="27" t="inlineStr">
        <is>
          <t>MCQ: Which key must be kept secret?
A) Both are public B) The private key C) Neither D) The public key
FILL: Restrict the key file with the command ____ 400
APPLY: SSH says your key file permissions are too open. What command fixes it?</t>
        </is>
      </c>
      <c r="B17" s="27" t="inlineStr">
        <is>
          <t>MCQ answer: B  Anyone with the private key can log in.
Fill answer: chmod
Apply: chmod 400</t>
        </is>
      </c>
      <c r="C17" s="27" t="inlineStr">
        <is>
          <t>03_Compute_Beginner_CLD-016_quiz</t>
        </is>
      </c>
    </row>
    <row r="18" ht="108" customHeight="1">
      <c r="A18" s="27" t="inlineStr">
        <is>
          <t>MCQ: What does scaling out mean?
A) Deleting servers B) Making one server bigger C) Moving regions D) Adding more servers
FILL: Always set a minimum and a ____ number of instances
APPLY: Traffic peaks every evening. What feature adds servers automatically?</t>
        </is>
      </c>
      <c r="B18" s="27" t="inlineStr">
        <is>
          <t>MCQ answer: D  Scaling out increases the number of instances.
Fill answer: maximum
Apply: Auto scaling</t>
        </is>
      </c>
      <c r="C18" s="27" t="inlineStr">
        <is>
          <t>03_Compute_Intermediate_CLD-017_quiz</t>
        </is>
      </c>
    </row>
    <row r="19" ht="94.5" customHeight="1">
      <c r="A19" s="27" t="inlineStr">
        <is>
          <t>MCQ: What is a cold start?
A) A billing plan B) A broken function C) A slower first run while the environment starts D) A type of storage
FILL: Functions are started by an event called a ____
APPLY: A small job runs once a night. What fits best?</t>
        </is>
      </c>
      <c r="B19" s="27" t="inlineStr">
        <is>
          <t>MCQ answer: C  The first invocation may wait for the environment to prepare.
Fill answer: trigger
Apply: A scheduled function</t>
        </is>
      </c>
      <c r="C19" s="27" t="inlineStr">
        <is>
          <t>03_Compute_Intermediate_CLD-018_quiz</t>
        </is>
      </c>
    </row>
    <row r="20" ht="94.5" customHeight="1">
      <c r="A20" s="27" t="inlineStr">
        <is>
          <t>MCQ: What does Fargate remove from your work?
A) Managing the servers B) Writing the image C) Tagging D) Paying
FILL: A task is described by an image, CPU and ____
APPLY: You want to run a container API without managing servers. What option?</t>
        </is>
      </c>
      <c r="B20" s="27" t="inlineStr">
        <is>
          <t>MCQ answer: A  Fargate runs containers on infrastructure the provider manages.
Fill answer: memory
Apply: Fargate</t>
        </is>
      </c>
      <c r="C20" s="27" t="inlineStr">
        <is>
          <t>03_Compute_Intermediate_CLD-019_quiz</t>
        </is>
      </c>
    </row>
    <row r="21" ht="81" customHeight="1">
      <c r="A21" s="27" t="inlineStr">
        <is>
          <t>MCQ: What identifies an object inside a bucket?
A) Its tag only B) Its key C) Its server D) Its colour
FILL: Folders in object storage are really name ____
APPLY: You need cheap, durable storage for backups. What fits?</t>
        </is>
      </c>
      <c r="B21" s="27" t="inlineStr">
        <is>
          <t>MCQ answer: B  The key is the object's name within the bucket.
Fill answer: prefixes
Apply: Object storage</t>
        </is>
      </c>
      <c r="C21" s="27" t="inlineStr">
        <is>
          <t>04_Storage_Beginner_CLD-020_quiz</t>
        </is>
      </c>
    </row>
    <row r="22" ht="108" customHeight="1">
      <c r="A22" s="27" t="inlineStr">
        <is>
          <t>MCQ: What does block public access do?
A) Prevents public exposure even if a policy allows it B) Makes files faster C) Encrypts the files D) Deletes the bucket
FILL: Keeping older copies of an object is done with ____
APPLY: A bucket is found public by mistake. What is the first safe step?</t>
        </is>
      </c>
      <c r="B22" s="27" t="inlineStr">
        <is>
          <t>MCQ answer: A  It overrides settings that would make data public.
Fill answer: versioning
Apply: Turn on block public access</t>
        </is>
      </c>
      <c r="C22" s="27" t="inlineStr">
        <is>
          <t>04_Storage_Intermediate_CLD-021_quiz</t>
        </is>
      </c>
    </row>
    <row r="23" ht="108" customHeight="1">
      <c r="A23" s="27" t="inlineStr">
        <is>
          <t>MCQ: What do lifecycle rules do?
A) Encrypt buckets B) Move or delete objects by age C) Block ports D) Create users
FILL: The cheapest tier for rarely read data is called ____
APPLY: Logs older than 30 days are rarely read. What should you set up?</t>
        </is>
      </c>
      <c r="B23" s="27" t="inlineStr">
        <is>
          <t>MCQ answer: B  They automate transitions and expiry.
Fill answer: archive
Apply: A lifecycle rule</t>
        </is>
      </c>
      <c r="C23" s="27" t="inlineStr">
        <is>
          <t>04_Storage_Intermediate_CLD-022_quiz</t>
        </is>
      </c>
    </row>
    <row r="24" ht="108" customHeight="1">
      <c r="A24" s="27" t="inlineStr">
        <is>
          <t>MCQ: Who can use a presigned URL?
A) Nobody B) Only admins C) Only the creator D) Anyone holding it, until it expires
FILL: A presigned link works only until its ____
APPLY: A customer must download one private file. What do you give them?</t>
        </is>
      </c>
      <c r="B24" s="27" t="inlineStr">
        <is>
          <t>MCQ answer: D  The signature carries the permission.
Fill answer: expiry
Apply: A presigned URL</t>
        </is>
      </c>
      <c r="C24" s="27" t="inlineStr">
        <is>
          <t>04_Storage_Intermediate_CLD-023_quiz</t>
        </is>
      </c>
    </row>
    <row r="25" ht="108" customHeight="1">
      <c r="A25" s="27" t="inlineStr">
        <is>
          <t>MCQ: What is a snapshot?
A) A user B) A new server C) A saved copy of a volume D) A network rule
FILL: A disk volume is usually tied to one availability ____
APPLY: A database server needs a fast, attachable disk. Which storage?</t>
        </is>
      </c>
      <c r="B25" s="27" t="inlineStr">
        <is>
          <t>MCQ answer: C  Snapshots store a point-in-time copy of a volume.
Fill answer: zone
Apply: Block storage</t>
        </is>
      </c>
      <c r="C25" s="27" t="inlineStr">
        <is>
          <t>04_Storage_Intermediate_CLD-024_quiz</t>
        </is>
      </c>
    </row>
    <row r="26" ht="81" customHeight="1">
      <c r="A26" s="27" t="inlineStr">
        <is>
          <t>MCQ: Which storage lets many servers mount the same folder?
A) A snapshot B) Archive tier C) Block storage D) File storage
FILL: A common protocol for Linux file shares is ____
APPLY: Several servers need one shared folder. What do you pick?</t>
        </is>
      </c>
      <c r="B26" s="27" t="inlineStr">
        <is>
          <t>MCQ answer: D  File storage is a shared network file system.
Fill answer: NFS
Apply: File storage</t>
        </is>
      </c>
      <c r="C26" s="27" t="inlineStr">
        <is>
          <t>04_Storage_Intermediate_CLD-025_quiz</t>
        </is>
      </c>
    </row>
    <row r="27" ht="94.5" customHeight="1">
      <c r="A27" s="27" t="inlineStr">
        <is>
          <t>MCQ: What defines a VPC's address space?
A) A region name B) A CIDR range C) A password D) A bucket
FILL: A VPC address range is written in ____ notation
APPLY: You need an isolated private network in the cloud. What do you create?</t>
        </is>
      </c>
      <c r="B27" s="27" t="inlineStr">
        <is>
          <t>MCQ answer: B  A CIDR block sets the private addresses available.
Fill answer: CIDR
Apply: A VPC</t>
        </is>
      </c>
      <c r="C27" s="27" t="inlineStr">
        <is>
          <t>05_Cloud_Networking_Beginner_CLD-026_quiz</t>
        </is>
      </c>
    </row>
    <row r="28" ht="94.5" customHeight="1">
      <c r="A28" s="27" t="inlineStr">
        <is>
          <t>MCQ: What makes a subnet public?
A) Its name B) A tag C) A route to an internet gateway D) A larger range
FILL: Each subnet lives in a single availability ____
APPLY: Where should a database live?</t>
        </is>
      </c>
      <c r="B28" s="27" t="inlineStr">
        <is>
          <t>MCQ answer: C  The route table decides whether it reaches the internet directly.
Fill answer: zone
Apply: In a private subnet</t>
        </is>
      </c>
      <c r="C28" s="27" t="inlineStr">
        <is>
          <t>05_Cloud_Networking_Beginner_CLD-027_quiz</t>
        </is>
      </c>
    </row>
    <row r="29" ht="94.5" customHeight="1">
      <c r="A29" s="27" t="inlineStr">
        <is>
          <t>MCQ: What does 0.0.0.0/0 mean in a route?
A) All other destinations B) Only the local network C) One address D) Nothing
FILL: The route for all other destinations is the ____ route
APPLY: A private subnet needs outbound internet. Which route target?</t>
        </is>
      </c>
      <c r="B29" s="27" t="inlineStr">
        <is>
          <t>MCQ answer: A  It is the default route that matches every address.
Fill answer: default
Apply: A NAT gateway</t>
        </is>
      </c>
      <c r="C29" s="27" t="inlineStr">
        <is>
          <t>05_Cloud_Networking_Intermediate_CLD-028_quiz</t>
        </is>
      </c>
    </row>
    <row r="30" ht="94.5" customHeight="1">
      <c r="A30" s="27" t="inlineStr">
        <is>
          <t>MCQ: Which gateway allows only outbound connections for private subnets?
A) Load balancer B) Internet gateway C) NAT gateway D) Route table
FILL: A NAT gateway is placed in a ____ subnet
APPLY: Private servers need to download updates. What do you add?</t>
        </is>
      </c>
      <c r="B30" s="27" t="inlineStr">
        <is>
          <t>MCQ answer: C  NAT allows outbound traffic and the replies to it.
Fill answer: public
Apply: A NAT gateway</t>
        </is>
      </c>
      <c r="C30" s="27" t="inlineStr">
        <is>
          <t>05_Cloud_Networking_Intermediate_CLD-029_quiz</t>
        </is>
      </c>
    </row>
    <row r="31" ht="94.5" customHeight="1">
      <c r="A31" s="27" t="inlineStr">
        <is>
          <t>MCQ: Which firewall is stateful?
A) Network ACL B) Internet gateway C) Route table D) Security group
FILL: A security group denies everything that is not ____
APPLY: Only the app servers should reach the database. How do you write the rule?</t>
        </is>
      </c>
      <c r="B31" s="27" t="inlineStr">
        <is>
          <t>MCQ answer: D  Return traffic is allowed automatically for security groups.
Fill answer: allowed
Apply: Allow the app security group</t>
        </is>
      </c>
      <c r="C31" s="27" t="inlineStr">
        <is>
          <t>05_Cloud_Networking_Intermediate_CLD-030_quiz</t>
        </is>
      </c>
    </row>
    <row r="32" ht="108" customHeight="1">
      <c r="A32" s="27" t="inlineStr">
        <is>
          <t>MCQ: Which load balancer can route by URL path?
A) Application load balancer B) Route table C) NAT D) Network load balancer
FILL: A balancer removes servers that fail their ____ check
APPLY: You must route /api and /web to different servers. Which balancer?</t>
        </is>
      </c>
      <c r="B32" s="27" t="inlineStr">
        <is>
          <t>MCQ answer: A  Layer 7 balancers understand HTTP details.
Fill answer: health
Apply: An application load balancer</t>
        </is>
      </c>
      <c r="C32" s="27" t="inlineStr">
        <is>
          <t>05_Cloud_Networking_Intermediate_CLD-031_quiz</t>
        </is>
      </c>
    </row>
    <row r="33" ht="81" customHeight="1">
      <c r="A33" s="27" t="inlineStr">
        <is>
          <t>MCQ: Which record type maps a name to an IPv4 address?
A) TXT B) A C) MX D) NS
FILL: The time an answer may be cached is called the ____
APPLY: You will move a site tomorrow. What should you lower today?</t>
        </is>
      </c>
      <c r="B33" s="27" t="inlineStr">
        <is>
          <t>MCQ answer: B  An A record holds an IPv4 address.
Fill answer: TTL
Apply: The TTL</t>
        </is>
      </c>
      <c r="C33" s="27" t="inlineStr">
        <is>
          <t>05_Cloud_Networking_Intermediate_CLD-032_quiz</t>
        </is>
      </c>
    </row>
    <row r="34" ht="94.5" customHeight="1">
      <c r="A34" s="27" t="inlineStr">
        <is>
          <t>MCQ: Where is cached content served from?
A) Your laptop B) A database C) An edge location near the user D) The origin only
FILL: Removing a cached file early is called cache ____
APPLY: Users abroad see slow static files. What do you add?</t>
        </is>
      </c>
      <c r="B34" s="27" t="inlineStr">
        <is>
          <t>MCQ answer: C  Edge locations hold copies close to users.
Fill answer: invalidation
Apply: A CDN</t>
        </is>
      </c>
      <c r="C34" s="27" t="inlineStr">
        <is>
          <t>05_Cloud_Networking_Intermediate_CLD-033_quiz</t>
        </is>
      </c>
    </row>
    <row r="35" ht="94.5" customHeight="1">
      <c r="A35" s="27" t="inlineStr">
        <is>
          <t>MCQ: What does a managed database handle for you?
A) Patching and backups B) Your queries C) Your schema design D) Your tags
FILL: A copy that serves read queries is a read ____
APPLY: You want a SQL database with less upkeep. What do you use?</t>
        </is>
      </c>
      <c r="B35" s="27" t="inlineStr">
        <is>
          <t>MCQ answer: A  Routine operations are done by the provider.
Fill answer: replica
Apply: A managed relational database</t>
        </is>
      </c>
      <c r="C35" s="27" t="inlineStr">
        <is>
          <t>06_Data_Services_Beginner_CLD-034_quiz</t>
        </is>
      </c>
    </row>
    <row r="36" ht="108" customHeight="1">
      <c r="A36" s="27" t="inlineStr">
        <is>
          <t>MCQ: What is NoSQL usually best at?
A) Printing B) Fast access by key at scale C) Complex joins D) Spreadsheet maths
FILL: A NoSQL table is usually read by its ____ key
APPLY: A cart must be fetched by user id millions of times. Which fits?</t>
        </is>
      </c>
      <c r="B36" s="27" t="inlineStr">
        <is>
          <t>MCQ answer: B  Key lookups scale predictably.
Fill answer: partition
Apply: A key-value NoSQL table</t>
        </is>
      </c>
      <c r="C36" s="27" t="inlineStr">
        <is>
          <t>06_Data_Services_Intermediate_CLD-035_quiz</t>
        </is>
      </c>
    </row>
    <row r="37" ht="94.5" customHeight="1">
      <c r="A37" s="27" t="inlineStr">
        <is>
          <t>MCQ: What happens on a cache miss?
A) The cache deletes the database B) Nothing C) The server stops D) The app reads the source and stores the result
FILL: How long a cached entry lives is its time to ____
APPLY: A report query is slow and repeated. What do you add?</t>
        </is>
      </c>
      <c r="B37" s="27" t="inlineStr">
        <is>
          <t>MCQ answer: D  A miss falls back to the source of truth.
Fill answer: live
Apply: A cache</t>
        </is>
      </c>
      <c r="C37" s="27" t="inlineStr">
        <is>
          <t>06_Data_Services_Intermediate_CLD-036_quiz</t>
        </is>
      </c>
    </row>
    <row r="38" ht="81" customHeight="1">
      <c r="A38" s="27" t="inlineStr">
        <is>
          <t>MCQ: Which measure says how much data you can afford to lose?
A) RTO B) CIDR C) TTL D) RPO
FILL: Restoring to an exact moment is called point-in-time ____
APPLY: A table was deleted by mistake. What do you use?</t>
        </is>
      </c>
      <c r="B38" s="27" t="inlineStr">
        <is>
          <t>MCQ answer: D  The recovery point objective is the tolerated data loss.
Fill answer: recovery
Apply: A backup restore</t>
        </is>
      </c>
      <c r="C38" s="27" t="inlineStr">
        <is>
          <t>06_Data_Services_Intermediate_CLD-037_quiz</t>
        </is>
      </c>
    </row>
    <row r="39" ht="94.5" customHeight="1">
      <c r="A39" s="27" t="inlineStr">
        <is>
          <t>MCQ: Where do repeatedly failing messages go?
A) A route table B) A dead-letter queue C) The load balancer D) A bucket
FILL: A handler that is safe to repeat is called ____
APPLY: A burst of jobs overwhelms the workers. What helps absorb it?</t>
        </is>
      </c>
      <c r="B39" s="27" t="inlineStr">
        <is>
          <t>MCQ answer: B  A dead-letter queue holds messages that could not be processed.
Fill answer: idempotent
Apply: A queue</t>
        </is>
      </c>
      <c r="C39" s="27" t="inlineStr">
        <is>
          <t>06_Data_Services_Intermediate_CLD-038_quiz</t>
        </is>
      </c>
    </row>
    <row r="40" ht="94.5" customHeight="1">
      <c r="A40" s="27" t="inlineStr">
        <is>
          <t>MCQ: What triggers an alarm?
A) A tag change B) A region change C) A metric crossing a threshold D) A new user
FILL: A graph screen that gathers key metrics is a ____
APPLY: You want to be told when errors rise. What do you create?</t>
        </is>
      </c>
      <c r="B40" s="27" t="inlineStr">
        <is>
          <t>MCQ answer: C  Alarms watch a metric against a condition.
Fill answer: dashboard
Apply: An alarm</t>
        </is>
      </c>
      <c r="C40" s="27" t="inlineStr">
        <is>
          <t>07_Operations_Beginner_CLD-039_quiz</t>
        </is>
      </c>
    </row>
    <row r="41" ht="81" customHeight="1">
      <c r="A41" s="27" t="inlineStr">
        <is>
          <t>MCQ: Which log shows who performed an action in the account?
A) The audit log B) A disk log C) A DNS record D) A web server log
FILL: How long logs are kept is the ____ setting
APPLY: You must find who deleted a bucket. Where do you look?</t>
        </is>
      </c>
      <c r="B41" s="27" t="inlineStr">
        <is>
          <t>MCQ answer: A  Audit logs record account activity.
Fill answer: retention
Apply: The audit log</t>
        </is>
      </c>
      <c r="C41" s="27" t="inlineStr">
        <is>
          <t>07_Operations_Intermediate_CLD-040_quiz</t>
        </is>
      </c>
    </row>
    <row r="42" ht="94.5" customHeight="1">
      <c r="A42" s="27" t="inlineStr">
        <is>
          <t>MCQ: What does a plan show?
A) Logs B) Billing C) What will change before it is applied D) Users
FILL: Changes made by hand outside the code cause ____
APPLY: You must create the same setup in test and production. What do you use?</t>
        </is>
      </c>
      <c r="B42" s="27" t="inlineStr">
        <is>
          <t>MCQ answer: C  A plan previews creates, updates and deletions.
Fill answer: drift
Apply: Infrastructure as code</t>
        </is>
      </c>
      <c r="C42" s="27" t="inlineStr">
        <is>
          <t>07_Operations_Intermediate_CLD-041_quiz</t>
        </is>
      </c>
    </row>
    <row r="43" ht="81" customHeight="1">
      <c r="A43" s="27" t="inlineStr">
        <is>
          <t>MCQ: What are tags made of?
A) Passwords B) Key-value pairs C) Routes D) Images
FILL: A common tag that names who is responsible is ____
APPLY: You need the bill split by project. What do you use?</t>
        </is>
      </c>
      <c r="B43" s="27" t="inlineStr">
        <is>
          <t>MCQ answer: B  Each tag has a key and a value.
Fill answer: Owner
Apply: Tags</t>
        </is>
      </c>
      <c r="C43" s="27" t="inlineStr">
        <is>
          <t>07_Operations_Beginner_CLD-042_quiz</t>
        </is>
      </c>
    </row>
    <row r="44" ht="94.5" customHeight="1">
      <c r="A44" s="27" t="inlineStr">
        <is>
          <t>MCQ: Does a basic budget alert stop resources?
A) No, it only notifies B) It deletes them C) Only on weekends D) Yes, always
FILL: An alert that predicts overspend is a ____ alert
APPLY: You are starting a new account. What do you set first?</t>
        </is>
      </c>
      <c r="B44" s="27" t="inlineStr">
        <is>
          <t>MCQ answer: A  Stopping needs an extra automated action.
Fill answer: forecast
Apply: A budget alert</t>
        </is>
      </c>
      <c r="C44" s="27" t="inlineStr">
        <is>
          <t>07_Operations_Beginner_CLD-043_quiz</t>
        </is>
      </c>
    </row>
    <row r="45" ht="81" customHeight="1">
      <c r="A45" s="27" t="inlineStr">
        <is>
          <t>MCQ: Where should an app get its database password at run time?
A) A public file B) The source code C) An email D) A secrets manager
FILL: Changing a secret on a schedule is called ____
APPLY: A password sits in a config file in Git. What should you do?</t>
        </is>
      </c>
      <c r="B45" s="27" t="inlineStr">
        <is>
          <t>MCQ answer: D  A vault controls and logs who reads the secret.
Fill answer: rotation
Apply: Move it to a secrets manager</t>
        </is>
      </c>
      <c r="C45" s="27" t="inlineStr">
        <is>
          <t>07_Operations_Intermediate_CLD-044_quiz</t>
        </is>
      </c>
    </row>
    <row r="46" ht="121.5" customHeight="1">
      <c r="A46" s="27" t="inlineStr">
        <is>
          <t>MCQ: Which strategy usually has the slowest recovery but lowest cost?
A) Two data centres B) Backup and restore C) Active-active D) Warm standby
FILL: Moving traffic to the backup site is called ____
APPLY: A customer allows four hours of downtime on a tight budget. Which strategy?</t>
        </is>
      </c>
      <c r="B46" s="27" t="inlineStr">
        <is>
          <t>MCQ answer: B  Everything must be rebuilt after the failure.
Fill answer: failover
Apply: Backup and restore</t>
        </is>
      </c>
      <c r="C46" s="27" t="inlineStr">
        <is>
          <t>07_Operations_Advanced_CLD-045_quiz</t>
        </is>
      </c>
    </row>
    <row r="47" ht="94.5" customHeight="1">
      <c r="A47" s="27" t="inlineStr">
        <is>
          <t>MCQ: Which command shows the identity in use?
A) aws logs tail B) aws ec2 stop C) aws s3 mb D) aws sts get-caller-identity
FILL: A named set of credentials and region settings is a ____
APPLY: You are about to delete a resource. What do you check first?</t>
        </is>
      </c>
      <c r="B47" s="27" t="inlineStr">
        <is>
          <t>MCQ answer: D  It prints the account and identity of the current credentials.
Fill answer: profile
Apply: The active account and profile</t>
        </is>
      </c>
      <c r="C47" s="27" t="inlineStr">
        <is>
          <t>07_Operations_Intermediate_CLD-046_quiz</t>
        </is>
      </c>
    </row>
    <row r="48" ht="94.5" customHeight="1">
      <c r="A48" s="27" t="inlineStr">
        <is>
          <t>MCQ: Which service is Azure's equivalent of S3?
A) Blob Storage B) Functions C) Key Vault D) Virtual Machines
FILL: Google's bucket service for files is named Cloud ____
APPLY: A customer uses GCP and asks for the Lambda equivalent. What do you say?</t>
        </is>
      </c>
      <c r="B48" s="27" t="inlineStr">
        <is>
          <t>MCQ answer: A  Blob Storage is Azure's object storage.
Fill answer: Storage
Apply: Cloud Functions</t>
        </is>
      </c>
      <c r="C48" s="27" t="inlineStr">
        <is>
          <t>08_Choosing_and_Mapping_Intermediate_CLD-047_quiz</t>
        </is>
      </c>
    </row>
    <row r="49" ht="108" customHeight="1">
      <c r="A49" s="27" t="inlineStr">
        <is>
          <t>MCQ: What should drive the choice of cloud?
A) Personal preference B) Random choice C) The customer's needs and context D) The newest logo
FILL: Using more than one vendor is called ____-cloud
APPLY: A company is built on Microsoft tools. Which cloud is a natural start?</t>
        </is>
      </c>
      <c r="B49" s="27" t="inlineStr">
        <is>
          <t>MCQ answer: C  Needs, skills, rules and cost decide.
Fill answer: multi
Apply: Azure</t>
        </is>
      </c>
      <c r="C49" s="27" t="inlineStr">
        <is>
          <t>08_Choosing_and_Mapping_Intermediate_CLD-048_quiz</t>
        </is>
      </c>
    </row>
    <row r="50" ht="81" customHeight="1">
      <c r="A50" s="27" t="inlineStr">
        <is>
          <t>MCQ: Which item may still cost money after you stop a server?
A) Its attached disk B) Its colour C) Its tag D) Its name
FILL: Items left behind with no owner are called ____ resources
APPLY: A demo ended. What is the safest way to remove everything?</t>
        </is>
      </c>
      <c r="B50" s="27" t="inlineStr">
        <is>
          <t>MCQ answer: A  Stopped servers still keep their storage volumes.
Fill answer: orphaned
Apply: Destroy it with the infrastructure code</t>
        </is>
      </c>
      <c r="C50" s="27" t="inlineStr">
        <is>
          <t>08_Choosing_and_Mapping_Beginner_CLD-049_quiz</t>
        </is>
      </c>
    </row>
    <row r="51" ht="94.5" customHeight="1">
      <c r="A51" s="27" t="inlineStr">
        <is>
          <t>MCQ: Which suits a long-running web service with steady traffic?
A) A bucket B) A function with a short limit C) A container service D) A queue
FILL: Functions are best for short, ____ tasks
APPLY: Legacy licensed software needs full OS control. Which option?</t>
        </is>
      </c>
      <c r="B51" s="27" t="inlineStr">
        <is>
          <t>MCQ answer: C  Containers run steadily without function time limits.
Fill answer: event-driven
Apply: A virtual machine</t>
        </is>
      </c>
      <c r="C51" s="27" t="inlineStr">
        <is>
          <t>08_Choosing_and_Mapping_Intermediate_CLD-050_quiz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90" customWidth="1" min="1" max="1"/>
    <col width="10" customWidth="1" min="2" max="2"/>
  </cols>
  <sheetData>
    <row r="1">
      <c r="A1" s="20" t="inlineStr">
        <is>
          <t>Cards by type</t>
        </is>
      </c>
    </row>
    <row r="2">
      <c r="A2" t="inlineStr">
        <is>
          <t>Topic (56-pt)</t>
        </is>
      </c>
      <c r="B2" t="n">
        <v>50</v>
      </c>
    </row>
    <row r="4">
      <c r="A4" s="20" t="inlineStr">
        <is>
          <t>Cards by topic</t>
        </is>
      </c>
    </row>
    <row r="5">
      <c r="A5" t="inlineStr">
        <is>
          <t>05 Cloud Networking</t>
        </is>
      </c>
      <c r="B5" t="n">
        <v>8</v>
      </c>
    </row>
    <row r="6">
      <c r="A6" t="inlineStr">
        <is>
          <t>07 Operations</t>
        </is>
      </c>
      <c r="B6" t="n">
        <v>8</v>
      </c>
    </row>
    <row r="7">
      <c r="A7" t="inlineStr">
        <is>
          <t>03 Compute</t>
        </is>
      </c>
      <c r="B7" t="n">
        <v>7</v>
      </c>
    </row>
    <row r="8">
      <c r="A8" t="inlineStr">
        <is>
          <t>01 Basics</t>
        </is>
      </c>
      <c r="B8" t="n">
        <v>6</v>
      </c>
    </row>
    <row r="9">
      <c r="A9" t="inlineStr">
        <is>
          <t>02 Identity and Access</t>
        </is>
      </c>
      <c r="B9" t="n">
        <v>6</v>
      </c>
    </row>
    <row r="10">
      <c r="A10" t="inlineStr">
        <is>
          <t>04 Storage</t>
        </is>
      </c>
      <c r="B10" t="n">
        <v>6</v>
      </c>
    </row>
    <row r="11">
      <c r="A11" t="inlineStr">
        <is>
          <t>06 Data Services</t>
        </is>
      </c>
      <c r="B11" t="n">
        <v>5</v>
      </c>
    </row>
    <row r="12">
      <c r="A12" t="inlineStr">
        <is>
          <t>08 Choosing and Mapping</t>
        </is>
      </c>
      <c r="B12" t="n">
        <v>4</v>
      </c>
    </row>
    <row r="14">
      <c r="A14" s="20" t="inlineStr">
        <is>
          <t>Cards by level</t>
        </is>
      </c>
    </row>
    <row r="15">
      <c r="A15" t="inlineStr">
        <is>
          <t>Intermediate</t>
        </is>
      </c>
      <c r="B15" t="n">
        <v>30</v>
      </c>
    </row>
    <row r="16">
      <c r="A16" t="inlineStr">
        <is>
          <t>Beginner</t>
        </is>
      </c>
      <c r="B16" t="n">
        <v>19</v>
      </c>
    </row>
    <row r="17">
      <c r="A17" t="inlineStr">
        <is>
          <t>Advanced</t>
        </is>
      </c>
      <c r="B17" t="n">
        <v>1</v>
      </c>
    </row>
    <row r="19">
      <c r="A19" s="20" t="inlineStr">
        <is>
          <t>Cards by source</t>
        </is>
      </c>
    </row>
    <row r="20">
      <c r="A20" t="inlineStr">
        <is>
          <t>Claude knowledge</t>
        </is>
      </c>
      <c r="B20" t="n">
        <v>50</v>
      </c>
    </row>
    <row r="22">
      <c r="A22" s="20" t="inlineStr">
        <is>
          <t>Error check</t>
        </is>
      </c>
    </row>
    <row r="23">
      <c r="A23"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2026-10-07T12:20:57Z</dcterms:created>
  <dcterms:modified xmlns:dcterms="http://purl.org/dc/terms/" xmlns:xsi="http://www.w3.org/2001/XMLSchema-instance" xsi:type="dcterms:W3CDTF">2026-10-07T12:20:58Z</dcterms:modified>
</cp:coreProperties>
</file>