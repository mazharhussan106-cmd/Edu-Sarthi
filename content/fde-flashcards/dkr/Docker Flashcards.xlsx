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cards'!$A$2:$BN$47</definedName>
    <definedName name="_xlnm._FilterDatabase" localSheetId="3" hidden="1">'Topic (56-pt) cards'!$A$2:$BB$7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Docker – Beginner to Advanced Flashcards</t>
        </is>
      </c>
    </row>
    <row r="2">
      <c r="A2" s="2" t="inlineStr">
        <is>
          <t>Subject: Docker   ·   Learner: Self learner, English   ·   Cards: 50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08" customHeight="1">
      <c r="A3" s="17" t="inlineStr">
        <is>
          <t>DKR-005</t>
        </is>
      </c>
      <c r="B3" s="17" t="inlineStr">
        <is>
          <t>01 Basics</t>
        </is>
      </c>
      <c r="C3" s="17" t="inlineStr">
        <is>
          <t>Beginner</t>
        </is>
      </c>
      <c r="D3" s="17" t="n">
        <v>5</v>
      </c>
      <c r="E3" s="17" t="inlineStr">
        <is>
          <t>Claude knowledge</t>
        </is>
      </c>
      <c r="F3" s="18" t="inlineStr">
        <is>
          <t>Image tags and digests</t>
        </is>
      </c>
      <c r="G3" s="18" t="inlineStr">
        <is>
          <t>Which two ways name a specific image version, one friendly and changeable, the other exact and fixed?</t>
        </is>
      </c>
      <c r="H3" s="17" t="n"/>
      <c r="I3" s="18" t="inlineStr">
        <is>
          <t>Concept</t>
        </is>
      </c>
      <c r="J3" s="18" t="inlineStr">
        <is>
          <t>Very high</t>
        </is>
      </c>
      <c r="K3" s="18" t="n">
        <v>5</v>
      </c>
      <c r="L3" s="18" t="inlineStr">
        <is>
          <t>People need readable version names, but names can be moved to new content, so images also have a content digest that never changes.</t>
        </is>
      </c>
      <c r="M3" s="18" t="inlineStr">
        <is>
          <t>Pin production images to a version tag or digest, and never rely on latest.</t>
        </is>
      </c>
      <c r="N3" s="17" t="n"/>
      <c r="O3" s="18" t="inlineStr">
        <is>
          <t>A tag is a name tag you can move between people, and a digest is a fingerprint that stays with one person.</t>
        </is>
      </c>
      <c r="P3" s="18" t="inlineStr">
        <is>
          <t>A tag pointing to an image today and to another tomorrow, and a digest fixed on one image.</t>
        </is>
      </c>
      <c r="Q3" s="18" t="inlineStr">
        <is>
          <t>The calm of knowing exactly which build is running.</t>
        </is>
      </c>
      <c r="R3" s="18" t="inlineStr">
        <is>
          <t>A tag is a movable label such as 1.27 or latest, and a digest is a fixed SHA-256 hash of the image content.</t>
        </is>
      </c>
      <c r="S3" s="17" t="n"/>
      <c r="T3" s="19" t="inlineStr">
        <is>
          <t>docker pull nginx:1.27
docker pull nginx:latest
docker pull nginx@sha256:3b9f...
docker images --digests</t>
        </is>
      </c>
      <c r="U3" s="19" t="inlineStr">
        <is>
          <t>The image of the 1.27 tag, the image that latest points to today, the image with exactly that content hash, and a list of local images with their digests.</t>
        </is>
      </c>
      <c r="V3" s="18" t="inlineStr">
        <is>
          <t>latest is only a default tag name, and it does not mean the newest build. A tag can be moved by the publisher to point to new content, so the same tag can give different images over time. A digest identifies content exactly, so pulling by digest always gives the same image. Many teams tag with a version and the commit id.</t>
        </is>
      </c>
      <c r="W3" s="18" t="inlineStr">
        <is>
          <t>Use tags to read versions and digests to be exact. If you need the same image every time, pin a specific tag or a digest.</t>
        </is>
      </c>
      <c r="X3" s="18" t="inlineStr">
        <is>
          <t>A tag is a name badge that can be moved, and a digest is a fingerprint.</t>
        </is>
      </c>
      <c r="Y3" s="19" t="inlineStr">
        <is>
          <t>image:tag  |  image@sha256:digest</t>
        </is>
      </c>
      <c r="Z3" s="18" t="inlineStr">
        <is>
          <t>image = repository name | :tag = movable label | @sha256 = fixed content hash</t>
        </is>
      </c>
      <c r="AA3" s="19" t="inlineStr">
        <is>
          <t>python:3.12-slim</t>
        </is>
      </c>
      <c r="AB3" s="19" t="inlineStr">
        <is>
          <t>myapp:1.4.2</t>
        </is>
      </c>
      <c r="AC3" s="19" t="inlineStr">
        <is>
          <t>myapp:git-3f2a9c1</t>
        </is>
      </c>
      <c r="AD3" s="19" t="inlineStr">
        <is>
          <t>docker tag myapp:1.4.2 myapp:stable   // add another tag to an image
docker inspect --format '{{.Id}}' myapp   // show the image id</t>
        </is>
      </c>
      <c r="AE3" s="18" t="inlineStr">
        <is>
          <t>docker pull, docker tag, CI/CD</t>
        </is>
      </c>
      <c r="AF3" s="18" t="inlineStr">
        <is>
          <t>registries, docker tag, CI/CD</t>
        </is>
      </c>
      <c r="AG3" s="18" t="inlineStr">
        <is>
          <t>Pinning by digest in deployment files</t>
        </is>
      </c>
      <c r="AH3" s="17" t="n"/>
      <c r="AI3" s="18" t="inlineStr">
        <is>
          <t>Production deployments | CI/CD | Reproducible builds</t>
        </is>
      </c>
      <c r="AJ3" s="18" t="inlineStr">
        <is>
          <t>A: Production suddenly behaves differently without a deployment. | B: The image used the latest tag, which may now point to a new build.</t>
        </is>
      </c>
      <c r="AK3" s="18" t="inlineStr">
        <is>
          <t>✗ The latest tag always means the newest version → ✓ latest is just a default tag name and may be old or moved at any time</t>
        </is>
      </c>
      <c r="AL3" s="18" t="inlineStr">
        <is>
          <t>Tag vs digest: a tag can move, a digest cannot.</t>
        </is>
      </c>
      <c r="AM3" s="18" t="inlineStr">
        <is>
          <t>Do not deploy production using the latest tag.</t>
        </is>
      </c>
      <c r="AN3" s="19" t="inlineStr">
        <is>
          <t>docker pull myapp   # in production</t>
        </is>
      </c>
      <c r="AO3" s="19" t="inlineStr">
        <is>
          <t>docker pull myapp:1.4.2</t>
        </is>
      </c>
      <c r="AP3" s="18" t="inlineStr">
        <is>
          <t>Tags move, digests do not.</t>
        </is>
      </c>
      <c r="AQ3" s="18" t="inlineStr">
        <is>
          <t>Pinning every production image to a version tag with the commit id.</t>
        </is>
      </c>
      <c r="AR3" s="18" t="inlineStr">
        <is>
          <t>An interviewer may ask: Why avoid the latest tag in production?</t>
        </is>
      </c>
      <c r="AS3" s="18" t="inlineStr">
        <is>
          <t>It is like a name badge that can be moved versus a fingerprint.</t>
        </is>
      </c>
      <c r="AT3" s="18" t="inlineStr">
        <is>
          <t>What does a digest identify?</t>
        </is>
      </c>
      <c r="AU3" s="18" t="inlineStr">
        <is>
          <t>A) The exact image content B) The newest version C) The container name D) The registry</t>
        </is>
      </c>
      <c r="AV3" s="18" t="inlineStr">
        <is>
          <t>A</t>
        </is>
      </c>
      <c r="AW3" s="18" t="inlineStr">
        <is>
          <t>A digest is a hash of the image content.</t>
        </is>
      </c>
      <c r="AX3" s="19" t="inlineStr">
        <is>
          <t>A tag such as latest is only a ____ name → default</t>
        </is>
      </c>
      <c r="AY3" s="18" t="inlineStr">
        <is>
          <t>Pull the python image with the 3.12-slim tag.</t>
        </is>
      </c>
      <c r="AZ3" s="19" t="inlineStr">
        <is>
          <t>docker pull python:3.12-slim</t>
        </is>
      </c>
      <c r="BA3" s="18" t="inlineStr">
        <is>
          <t>Write the tag you would use for release 2.0 built from commit abc123.</t>
        </is>
      </c>
      <c r="BB3" s="19" t="inlineStr">
        <is>
          <t>Which one never changes for a given image: a tag or a digest?</t>
        </is>
      </c>
      <c r="BC3" s="19" t="inlineStr">
        <is>
          <t>A digest</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21.5" customHeight="1">
      <c r="A4" s="17" t="inlineStr">
        <is>
          <t>DKR-006</t>
        </is>
      </c>
      <c r="B4" s="17" t="inlineStr">
        <is>
          <t>02 Dockerfile</t>
        </is>
      </c>
      <c r="C4" s="17" t="inlineStr">
        <is>
          <t>Beginner</t>
        </is>
      </c>
      <c r="D4" s="17" t="n">
        <v>6</v>
      </c>
      <c r="E4" s="17" t="inlineStr">
        <is>
          <t>Claude knowledge</t>
        </is>
      </c>
      <c r="F4" s="18" t="inlineStr">
        <is>
          <t>FROM (base image)</t>
        </is>
      </c>
      <c r="G4" s="18" t="inlineStr">
        <is>
          <t>Which Dockerfile instruction chooses the image that your image starts from?</t>
        </is>
      </c>
      <c r="H4" s="17" t="n"/>
      <c r="I4" s="18" t="inlineStr">
        <is>
          <t>Dockerfile instruction</t>
        </is>
      </c>
      <c r="J4" s="18" t="inlineStr">
        <is>
          <t>Very high</t>
        </is>
      </c>
      <c r="K4" s="18" t="n">
        <v>5</v>
      </c>
      <c r="L4" s="18" t="inlineStr">
        <is>
          <t>Every image is built on another, so a Dockerfile begins by naming the base that provides the operating system files and tools.</t>
        </is>
      </c>
      <c r="M4" s="18" t="inlineStr">
        <is>
          <t>Choose a small, official base image with a pinned version, such as a slim or alpine variant when suitable.</t>
        </is>
      </c>
      <c r="N4" s="17" t="n"/>
      <c r="O4" s="18" t="inlineStr">
        <is>
          <t>FROM picks the foundation on which the rest of the house is built.</t>
        </is>
      </c>
      <c r="P4" s="18" t="inlineStr">
        <is>
          <t>A stack of layers with the base at the bottom.</t>
        </is>
      </c>
      <c r="Q4" s="18" t="inlineStr">
        <is>
          <t>The satisfaction of choosing a lean, safe foundation.</t>
        </is>
      </c>
      <c r="R4" s="18" t="inlineStr">
        <is>
          <t>FROM sets the base image for the following build instructions. Every Dockerfile needs it, and it comes first apart from ARG, comments and parser directives.</t>
        </is>
      </c>
      <c r="S4" s="17" t="n"/>
      <c r="T4" s="19" t="inlineStr">
        <is>
          <t>FROM python:3.12-slim
WORKDIR /app
COPY . .</t>
        </is>
      </c>
      <c r="U4" s="19" t="inlineStr">
        <is>
          <t>The build starts from the slim Python 3.12 image, and later instructions add layers on top.</t>
        </is>
      </c>
      <c r="V4" s="18" t="inlineStr">
        <is>
          <t>The base image decides the size and the packages available. Official images are maintained and scanned. Alpine images are tiny but use a different C library, which can cause compatibility problems, and slim variants are a common middle path. FROM scratch starts from an empty image, which suits static binaries. A multi-stage build uses several FROM lines.</t>
        </is>
      </c>
      <c r="W4" s="18" t="inlineStr">
        <is>
          <t>Start every Dockerfile with FROM and a pinned base image. A smaller base means a smaller, safer image.</t>
        </is>
      </c>
      <c r="X4" s="18" t="inlineStr">
        <is>
          <t>It is like choosing the foundation on which the rest of the house is built.</t>
        </is>
      </c>
      <c r="Y4" s="19" t="inlineStr">
        <is>
          <t>FROM image[:tag] [AS name]</t>
        </is>
      </c>
      <c r="Z4" s="18" t="inlineStr">
        <is>
          <t>FROM = base image | :tag = version | AS = name for a build stage</t>
        </is>
      </c>
      <c r="AA4" s="19" t="inlineStr">
        <is>
          <t>FROM node:20-alpine</t>
        </is>
      </c>
      <c r="AB4" s="19" t="inlineStr">
        <is>
          <t>FROM ubuntu:24.04</t>
        </is>
      </c>
      <c r="AC4" s="19" t="inlineStr">
        <is>
          <t>FROM scratch</t>
        </is>
      </c>
      <c r="AD4" s="19" t="inlineStr">
        <is>
          <t>FROM --platform=linux/amd64 image   // choose a platform
FROM base AS build   // name a stage for multi-stage builds</t>
        </is>
      </c>
      <c r="AE4" s="18" t="inlineStr">
        <is>
          <t>multi-stage builds, tags, WORKDIR</t>
        </is>
      </c>
      <c r="AF4" s="18" t="inlineStr">
        <is>
          <t>image tags, multi-stage builds, security</t>
        </is>
      </c>
      <c r="AG4" s="18" t="inlineStr">
        <is>
          <t>Building from a distroless image for a minimal runtime</t>
        </is>
      </c>
      <c r="AH4" s="17" t="n"/>
      <c r="AI4" s="18" t="inlineStr">
        <is>
          <t>Every Dockerfile | Image size tuning | Security</t>
        </is>
      </c>
      <c r="AJ4" s="18" t="inlineStr">
        <is>
          <t>A: Our image is 1 GB for a small script. | B: Try a slim base image instead of the full one.</t>
        </is>
      </c>
      <c r="AK4" s="18" t="inlineStr">
        <is>
          <t>✗ The base image does not matter for the final size → ✓ The base image is the biggest part of many images, so choose it carefully</t>
        </is>
      </c>
      <c r="AL4" s="18" t="inlineStr">
        <is>
          <t>FROM vs COPY --from: FROM sets a base, COPY --from copies files from another stage.</t>
        </is>
      </c>
      <c r="AM4" s="18" t="inlineStr">
        <is>
          <t>Do not use an unpinned latest base image.</t>
        </is>
      </c>
      <c r="AN4" s="19" t="inlineStr">
        <is>
          <t>FROM python</t>
        </is>
      </c>
      <c r="AO4" s="19" t="inlineStr">
        <is>
          <t>FROM python:3.12-slim</t>
        </is>
      </c>
      <c r="AP4" s="18" t="inlineStr">
        <is>
          <t>FROM comes first, except for ARG and comments.</t>
        </is>
      </c>
      <c r="AQ4" s="18" t="inlineStr">
        <is>
          <t>Moving a service to a slim base to cut the image size and download time.</t>
        </is>
      </c>
      <c r="AR4" s="18" t="inlineStr">
        <is>
          <t>An interviewer may ask: How do you choose a base image?</t>
        </is>
      </c>
      <c r="AS4" s="18" t="inlineStr">
        <is>
          <t>It is like choosing the foundation of a house.</t>
        </is>
      </c>
      <c r="AT4" s="18" t="inlineStr">
        <is>
          <t>Which instruction sets the base image?</t>
        </is>
      </c>
      <c r="AU4" s="18" t="inlineStr">
        <is>
          <t>A) RUN B) COPY C) CMD D) FROM</t>
        </is>
      </c>
      <c r="AV4" s="18" t="inlineStr">
        <is>
          <t>D</t>
        </is>
      </c>
      <c r="AW4" s="18" t="inlineStr">
        <is>
          <t>FROM names the image to build on.</t>
        </is>
      </c>
      <c r="AX4" s="19" t="inlineStr">
        <is>
          <t>A Dockerfile normally begins with the instruction ____ → FROM</t>
        </is>
      </c>
      <c r="AY4" s="18" t="inlineStr">
        <is>
          <t>Start a Dockerfile from the node image version 20 with the alpine variant.</t>
        </is>
      </c>
      <c r="AZ4" s="19" t="inlineStr">
        <is>
          <t>FROM node:20-alpine</t>
        </is>
      </c>
      <c r="BA4" s="18" t="inlineStr">
        <is>
          <t>Compare the sizes of three base images for the same language.</t>
        </is>
      </c>
      <c r="BB4" s="19" t="inlineStr">
        <is>
          <t>What does FROM scratch mean?</t>
        </is>
      </c>
      <c r="BC4" s="19" t="inlineStr">
        <is>
          <t>Starting from an empty image with no base system.</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94.5" customHeight="1">
      <c r="A5" s="17" t="inlineStr">
        <is>
          <t>DKR-007</t>
        </is>
      </c>
      <c r="B5" s="17" t="inlineStr">
        <is>
          <t>02 Dockerfile</t>
        </is>
      </c>
      <c r="C5" s="17" t="inlineStr">
        <is>
          <t>Beginner</t>
        </is>
      </c>
      <c r="D5" s="17" t="n">
        <v>7</v>
      </c>
      <c r="E5" s="17" t="inlineStr">
        <is>
          <t>Claude knowledge</t>
        </is>
      </c>
      <c r="F5" s="18" t="inlineStr">
        <is>
          <t>RUN</t>
        </is>
      </c>
      <c r="G5" s="18" t="inlineStr">
        <is>
          <t>Which Dockerfile instruction executes a command while the image is being built and saves the result as a layer?</t>
        </is>
      </c>
      <c r="H5" s="17" t="n"/>
      <c r="I5" s="18" t="inlineStr">
        <is>
          <t>Dockerfile instruction</t>
        </is>
      </c>
      <c r="J5" s="18" t="inlineStr">
        <is>
          <t>Very high</t>
        </is>
      </c>
      <c r="K5" s="18" t="n">
        <v>5</v>
      </c>
      <c r="L5" s="18" t="inlineStr">
        <is>
          <t>Images need software installed and files prepared, so RUN executes commands at build time and keeps the changes in a layer.</t>
        </is>
      </c>
      <c r="M5" s="18" t="inlineStr">
        <is>
          <t>Chain related commands with &amp;&amp; in one RUN, and clean caches in the same line, to keep layers small.</t>
        </is>
      </c>
      <c r="N5" s="17" t="n"/>
      <c r="O5" s="18" t="inlineStr">
        <is>
          <t>RUN is a worker who does a job during construction and leaves the result in the walls.</t>
        </is>
      </c>
      <c r="P5" s="18" t="inlineStr">
        <is>
          <t>A command running and a new layer appearing in the stack.</t>
        </is>
      </c>
      <c r="Q5" s="18" t="inlineStr">
        <is>
          <t>The thrill of the first successful build.</t>
        </is>
      </c>
      <c r="R5" s="18" t="inlineStr">
        <is>
          <t>RUN runs a command during the build and commits its results as a new image layer.</t>
        </is>
      </c>
      <c r="S5" s="17" t="n"/>
      <c r="T5" s="19" t="inlineStr">
        <is>
          <t>RUN apt-get update &amp;&amp; apt-get install -y --no-install-recommends curl &amp;&amp; rm -rf /var/lib/apt/lists/*
RUN pip install --no-cache-dir -r requirements.txt</t>
        </is>
      </c>
      <c r="U5" s="19" t="inlineStr">
        <is>
          <t>curl is installed and the package lists are removed in one layer, and the Python packages are installed without a cache.</t>
        </is>
      </c>
      <c r="V5" s="18" t="inlineStr">
        <is>
          <t>Each RUN creates a layer, and files deleted in a later layer still exist in earlier ones, so cleaning must happen in the same RUN. RUN happens at build time, whereas CMD and ENTRYPOINT define what happens when the container starts. There is a shell form and an exec form with a JSON array.</t>
        </is>
      </c>
      <c r="W5" s="18" t="inlineStr">
        <is>
          <t>Use RUN to install things while building. Chain commands and clean up in the same line so the layer stays small.</t>
        </is>
      </c>
      <c r="X5" s="18" t="inlineStr">
        <is>
          <t>It is like a worker who does a job during construction and leaves the result in the walls.</t>
        </is>
      </c>
      <c r="Y5" s="19" t="inlineStr">
        <is>
          <t>RUN command  |  RUN ["executable", "arg"]</t>
        </is>
      </c>
      <c r="Z5" s="18" t="inlineStr">
        <is>
          <t>RUN = build-time command | &amp;&amp; = chain commands | rm in the same line = no leftover files</t>
        </is>
      </c>
      <c r="AA5" s="19" t="inlineStr">
        <is>
          <t>RUN npm ci</t>
        </is>
      </c>
      <c r="AB5" s="19" t="inlineStr">
        <is>
          <t>RUN mkdir -p /data</t>
        </is>
      </c>
      <c r="AC5" s="19" t="inlineStr">
        <is>
          <t>RUN useradd -m app</t>
        </is>
      </c>
      <c r="AD5" s="19" t="inlineStr">
        <is>
          <t>RUN --mount=type=cache,target=/root/.cache pip install -r requirements.txt   // BuildKit cache mount</t>
        </is>
      </c>
      <c r="AE5" s="18" t="inlineStr">
        <is>
          <t>apt, pip, npm, layers</t>
        </is>
      </c>
      <c r="AF5" s="18" t="inlineStr">
        <is>
          <t>layers and cache, CMD vs ENTRYPOINT, multi-stage builds</t>
        </is>
      </c>
      <c r="AG5" s="18" t="inlineStr">
        <is>
          <t>Pre-built base images with the tools included</t>
        </is>
      </c>
      <c r="AH5" s="17" t="n"/>
      <c r="AI5" s="18" t="inlineStr">
        <is>
          <t>Installing packages | Preparing folders | Building code</t>
        </is>
      </c>
      <c r="AJ5" s="18" t="inlineStr">
        <is>
          <t>A: Our image is huge even though we delete the downloads. | B: Delete them in the same RUN, or the earlier layer keeps them.</t>
        </is>
      </c>
      <c r="AK5" s="18" t="inlineStr">
        <is>
          <t>✗ Deleting files in a later RUN reduces the image size → ✓ Files stay in earlier layers, so clean up in the same RUN that created them</t>
        </is>
      </c>
      <c r="AL5" s="18" t="inlineStr">
        <is>
          <t>RUN vs CMD: RUN executes at build time, CMD runs when the container starts.</t>
        </is>
      </c>
      <c r="AM5" s="18" t="inlineStr">
        <is>
          <t>Do not run apt-get update in its own RUN line.</t>
        </is>
      </c>
      <c r="AN5" s="19" t="inlineStr">
        <is>
          <t>RUN apt-get update
RUN apt-get install -y curl</t>
        </is>
      </c>
      <c r="AO5" s="19" t="inlineStr">
        <is>
          <t>RUN apt-get update &amp;&amp; apt-get install -y curl &amp;&amp; rm -rf /var/lib/apt/lists/*</t>
        </is>
      </c>
      <c r="AP5" s="18" t="inlineStr">
        <is>
          <t>RUN is for build time.</t>
        </is>
      </c>
      <c r="AQ5" s="18" t="inlineStr">
        <is>
          <t>Installing a customer's required tools while building an image.</t>
        </is>
      </c>
      <c r="AR5" s="18" t="inlineStr">
        <is>
          <t>An interviewer may ask: What is the difference between RUN and CMD?</t>
        </is>
      </c>
      <c r="AS5" s="18" t="inlineStr">
        <is>
          <t>It is like a worker who leaves the result in the walls.</t>
        </is>
      </c>
      <c r="AT5" s="18" t="inlineStr">
        <is>
          <t>When does RUN execute?</t>
        </is>
      </c>
      <c r="AU5" s="18" t="inlineStr">
        <is>
          <t>A) When it stops B) During the image build C) When it is pushed D) When the container starts</t>
        </is>
      </c>
      <c r="AV5" s="18" t="inlineStr">
        <is>
          <t>B</t>
        </is>
      </c>
      <c r="AW5" s="18" t="inlineStr">
        <is>
          <t>RUN executes at build time.</t>
        </is>
      </c>
      <c r="AX5" s="19" t="inlineStr">
        <is>
          <t>Each RUN instruction creates a new image ____ → layer</t>
        </is>
      </c>
      <c r="AY5" s="18" t="inlineStr">
        <is>
          <t>Write a RUN line that installs the Python packages from requirements.txt without a cache.</t>
        </is>
      </c>
      <c r="AZ5" s="19" t="inlineStr">
        <is>
          <t>RUN pip install --no-cache-dir -r requirements.txt</t>
        </is>
      </c>
      <c r="BA5" s="18" t="inlineStr">
        <is>
          <t>Combine three RUN lines into one and compare image sizes.</t>
        </is>
      </c>
      <c r="BB5" s="19" t="inlineStr">
        <is>
          <t>Why should cleanup happen in the same RUN?</t>
        </is>
      </c>
      <c r="BC5" s="19" t="inlineStr">
        <is>
          <t>Because files deleted in a later layer still exist in the earlier layer.</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08" customHeight="1">
      <c r="A6" s="17" t="inlineStr">
        <is>
          <t>DKR-008</t>
        </is>
      </c>
      <c r="B6" s="17" t="inlineStr">
        <is>
          <t>02 Dockerfile</t>
        </is>
      </c>
      <c r="C6" s="17" t="inlineStr">
        <is>
          <t>Beginner</t>
        </is>
      </c>
      <c r="D6" s="17" t="n">
        <v>8</v>
      </c>
      <c r="E6" s="17" t="inlineStr">
        <is>
          <t>Claude knowledge</t>
        </is>
      </c>
      <c r="F6" s="18" t="inlineStr">
        <is>
          <t>COPY vs ADD</t>
        </is>
      </c>
      <c r="G6" s="18" t="inlineStr">
        <is>
          <t>Which two instructions put files from your machine into the image, and which one should you usually choose?</t>
        </is>
      </c>
      <c r="H6" s="17" t="n"/>
      <c r="I6" s="18" t="inlineStr">
        <is>
          <t>Dockerfile instruction</t>
        </is>
      </c>
      <c r="J6" s="18" t="inlineStr">
        <is>
          <t>Very high</t>
        </is>
      </c>
      <c r="K6" s="18" t="n">
        <v>5</v>
      </c>
      <c r="L6" s="18" t="inlineStr">
        <is>
          <t>Images need your code inside them, so Docker offers COPY for plain copying and ADD with extra features such as unpacking archives.</t>
        </is>
      </c>
      <c r="M6" s="18" t="inlineStr">
        <is>
          <t>Prefer COPY, and use ADD only when you need its archive extraction.</t>
        </is>
      </c>
      <c r="N6" s="17" t="n"/>
      <c r="O6" s="18" t="inlineStr">
        <is>
          <t>COPY is a plain photocopier, and ADD is a photocopier with surprising extras.</t>
        </is>
      </c>
      <c r="P6" s="18" t="inlineStr">
        <is>
          <t>Files from the build folder landing inside the image.</t>
        </is>
      </c>
      <c r="Q6" s="18" t="inlineStr">
        <is>
          <t>The calm of knowing your copy does exactly what you meant.</t>
        </is>
      </c>
      <c r="R6" s="18" t="inlineStr">
        <is>
          <t>COPY copies files from the build context into the image, and ADD does the same and can also extract local archives and fetch URLs.</t>
        </is>
      </c>
      <c r="S6" s="17" t="n"/>
      <c r="T6" s="19" t="inlineStr">
        <is>
          <t>COPY package.json package-lock.json ./
RUN npm ci
COPY . .
ADD release.tar.gz /opt/app/</t>
        </is>
      </c>
      <c r="U6" s="19" t="inlineStr">
        <is>
          <t>The dependency files are copied first, dependencies are installed, then the rest of the code is copied, and the archive is unpacked into /opt/app.</t>
        </is>
      </c>
      <c r="V6" s="18" t="inlineStr">
        <is>
          <t>Only files inside the build context can be copied. Copying the dependency list first lets Docker reuse the cached install layer when only your code changes. COPY --chown sets the owner, and COPY --from copies from another build stage. ADD with a URL is discouraged, because it does not verify the content, and curl in a RUN line is clearer.</t>
        </is>
      </c>
      <c r="W6" s="18" t="inlineStr">
        <is>
          <t>Use COPY for normal files. Copy dependency files first, then install, then copy the rest of the code, to make the best use of the cache.</t>
        </is>
      </c>
      <c r="X6" s="18" t="inlineStr">
        <is>
          <t>COPY is a plain photocopier, and ADD is one with surprising extras.</t>
        </is>
      </c>
      <c r="Y6" s="19" t="inlineStr">
        <is>
          <t>COPY [--chown=user:group] source dest</t>
        </is>
      </c>
      <c r="Z6" s="18" t="inlineStr">
        <is>
          <t>COPY = plain copy | ADD = copy plus extract | --from = copy from another stage | --chown = set owner</t>
        </is>
      </c>
      <c r="AA6" s="19" t="inlineStr">
        <is>
          <t>COPY app.py /app/app.py</t>
        </is>
      </c>
      <c r="AB6" s="19" t="inlineStr">
        <is>
          <t>COPY --chown=app:app . /app</t>
        </is>
      </c>
      <c r="AC6" s="19" t="inlineStr">
        <is>
          <t>COPY --from=build /out/app /usr/local/bin/app</t>
        </is>
      </c>
      <c r="AD6" s="19" t="inlineStr">
        <is>
          <t>COPY --chmod=755 script.sh /usr/local/bin/   // set permissions while copying</t>
        </is>
      </c>
      <c r="AE6" s="18" t="inlineStr">
        <is>
          <t>build context, .dockerignore, layers</t>
        </is>
      </c>
      <c r="AF6" s="18" t="inlineStr">
        <is>
          <t>layers and cache, .dockerignore, multi-stage builds</t>
        </is>
      </c>
      <c r="AG6" s="18" t="inlineStr">
        <is>
          <t>Bind mounts during development</t>
        </is>
      </c>
      <c r="AH6" s="17" t="n"/>
      <c r="AI6" s="18" t="inlineStr">
        <is>
          <t>Adding code | Adding config | Multi-stage builds</t>
        </is>
      </c>
      <c r="AJ6" s="18" t="inlineStr">
        <is>
          <t>A: Every build reinstalls all dependencies. | B: Copy the dependency file first so that layer stays cached.</t>
        </is>
      </c>
      <c r="AK6" s="18" t="inlineStr">
        <is>
          <t>✗ ADD is just a better COPY and should be the default → ✓ ADD has surprising extra behaviours, so COPY is the clearer default</t>
        </is>
      </c>
      <c r="AL6" s="18" t="inlineStr">
        <is>
          <t>COPY vs ADD: COPY only copies, ADD can also unpack archives and fetch URLs.</t>
        </is>
      </c>
      <c r="AM6" s="18" t="inlineStr">
        <is>
          <t>Do not copy secrets or .git into the image.</t>
        </is>
      </c>
      <c r="AN6" s="19" t="inlineStr">
        <is>
          <t>COPY ../shared /app/shared</t>
        </is>
      </c>
      <c r="AO6" s="19" t="inlineStr">
        <is>
          <t>COPY shared /app/shared</t>
        </is>
      </c>
      <c r="AP6" s="18" t="inlineStr">
        <is>
          <t>Reach for COPY first, ADD only when needed.</t>
        </is>
      </c>
      <c r="AQ6" s="18" t="inlineStr">
        <is>
          <t>Reordering COPY lines so dependency installs were cached between builds.</t>
        </is>
      </c>
      <c r="AR6" s="18" t="inlineStr">
        <is>
          <t>An interviewer may ask: What is the difference between COPY and ADD?</t>
        </is>
      </c>
      <c r="AS6" s="18" t="inlineStr">
        <is>
          <t>It is like a plain photocopier versus one with surprising extras.</t>
        </is>
      </c>
      <c r="AT6" s="18" t="inlineStr">
        <is>
          <t>Which instruction is the safer default for adding files?</t>
        </is>
      </c>
      <c r="AU6" s="18" t="inlineStr">
        <is>
          <t>A) ADD B) FROM C) COPY D) RUN</t>
        </is>
      </c>
      <c r="AV6" s="18" t="inlineStr">
        <is>
          <t>C</t>
        </is>
      </c>
      <c r="AW6" s="18" t="inlineStr">
        <is>
          <t>COPY has simple, predictable behaviour.</t>
        </is>
      </c>
      <c r="AX6" s="19" t="inlineStr">
        <is>
          <t>To pull files out of an earlier stage, COPY takes the flag --____=build → from</t>
        </is>
      </c>
      <c r="AY6" s="18" t="inlineStr">
        <is>
          <t>Copy requirements.txt into the /app folder of the image.</t>
        </is>
      </c>
      <c r="AZ6" s="19" t="inlineStr">
        <is>
          <t>COPY requirements.txt /app/</t>
        </is>
      </c>
      <c r="BA6" s="18" t="inlineStr">
        <is>
          <t>Write a COPY order that keeps dependency installs cached.</t>
        </is>
      </c>
      <c r="BB6" s="19" t="inlineStr">
        <is>
          <t>Which files can COPY use as sources?</t>
        </is>
      </c>
      <c r="BC6" s="19" t="inlineStr">
        <is>
          <t>Only files inside the build context.</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08" customHeight="1">
      <c r="A7" s="17" t="inlineStr">
        <is>
          <t>DKR-009</t>
        </is>
      </c>
      <c r="B7" s="17" t="inlineStr">
        <is>
          <t>02 Dockerfile</t>
        </is>
      </c>
      <c r="C7" s="17" t="inlineStr">
        <is>
          <t>Beginner</t>
        </is>
      </c>
      <c r="D7" s="17" t="n">
        <v>9</v>
      </c>
      <c r="E7" s="17" t="inlineStr">
        <is>
          <t>Claude knowledge</t>
        </is>
      </c>
      <c r="F7" s="18" t="inlineStr">
        <is>
          <t>WORKDIR</t>
        </is>
      </c>
      <c r="G7" s="18" t="inlineStr">
        <is>
          <t>Which instruction sets the folder in which later instructions and the container's main command run?</t>
        </is>
      </c>
      <c r="H7" s="17" t="n"/>
      <c r="I7" s="18" t="inlineStr">
        <is>
          <t>Dockerfile instruction</t>
        </is>
      </c>
      <c r="J7" s="18" t="inlineStr">
        <is>
          <t>Very high</t>
        </is>
      </c>
      <c r="K7" s="18" t="n">
        <v>4</v>
      </c>
      <c r="L7" s="18" t="inlineStr">
        <is>
          <t>Typing long absolute paths in every line is error-prone, so WORKDIR sets a working folder for the following instructions.</t>
        </is>
      </c>
      <c r="M7" s="18" t="inlineStr">
        <is>
          <t>Use WORKDIR instead of RUN cd, since cd does not persist between instructions.</t>
        </is>
      </c>
      <c r="N7" s="17" t="n"/>
      <c r="O7" s="18" t="inlineStr">
        <is>
          <t>WORKDIR moves the worker to the right desk before the next jobs begin.</t>
        </is>
      </c>
      <c r="P7" s="18" t="inlineStr">
        <is>
          <t>A path set once and used by all later lines.</t>
        </is>
      </c>
      <c r="Q7" s="18" t="inlineStr">
        <is>
          <t>The tidiness of short, clear lines.</t>
        </is>
      </c>
      <c r="R7" s="18" t="inlineStr">
        <is>
          <t>WORKDIR sets the working directory for RUN, CMD, ENTRYPOINT, COPY and ADD instructions that follow, and creates the folder if it is missing.</t>
        </is>
      </c>
      <c r="S7" s="17" t="n"/>
      <c r="T7" s="19" t="inlineStr">
        <is>
          <t>WORKDIR /app
COPY . .
RUN npm ci
CMD ["node", "server.js"]</t>
        </is>
      </c>
      <c r="U7" s="19" t="inlineStr">
        <is>
          <t>Files are copied into /app, dependencies are installed there, and the server starts from /app.</t>
        </is>
      </c>
      <c r="V7" s="18" t="inlineStr">
        <is>
          <t>A relative path in COPY refers to the folder set by WORKDIR. WORKDIR can appear several times, and relative paths build on the previous one. The folder is created automatically if it does not exist. RUN cd /app only affects that one RUN line, so it cannot be used to set the folder for later lines.</t>
        </is>
      </c>
      <c r="W7" s="18" t="inlineStr">
        <is>
          <t>Set WORKDIR once near the top and use short relative paths after that.</t>
        </is>
      </c>
      <c r="X7" s="18" t="inlineStr">
        <is>
          <t>It is like moving the worker to the right desk before the next jobs begin.</t>
        </is>
      </c>
      <c r="Y7" s="19" t="inlineStr">
        <is>
          <t>WORKDIR /path</t>
        </is>
      </c>
      <c r="Z7" s="18" t="inlineStr">
        <is>
          <t>WORKDIR = set the folder | the path is created if missing | later relative paths use it</t>
        </is>
      </c>
      <c r="AA7" s="19" t="inlineStr">
        <is>
          <t>WORKDIR /usr/src/app</t>
        </is>
      </c>
      <c r="AB7" s="19" t="inlineStr">
        <is>
          <t>WORKDIR /app/src</t>
        </is>
      </c>
      <c r="AC7" s="19" t="inlineStr">
        <is>
          <t>WORKDIR /home/app/project</t>
        </is>
      </c>
      <c r="AD7" s="19" t="inlineStr">
        <is>
          <t>docker run -w /other image   // override the folder at run time</t>
        </is>
      </c>
      <c r="AE7" s="18" t="inlineStr">
        <is>
          <t>COPY, RUN, CMD</t>
        </is>
      </c>
      <c r="AF7" s="18" t="inlineStr">
        <is>
          <t>COPY vs ADD, CMD vs ENTRYPOINT</t>
        </is>
      </c>
      <c r="AG7" s="18" t="inlineStr">
        <is>
          <t>Using absolute paths in every instruction</t>
        </is>
      </c>
      <c r="AH7" s="17" t="n"/>
      <c r="AI7" s="18" t="inlineStr">
        <is>
          <t>Every application image | Cleaner Dockerfiles | Running commands</t>
        </is>
      </c>
      <c r="AJ7" s="18" t="inlineStr">
        <is>
          <t>A: My script cannot find files after RUN cd. | B: cd only lasts for that line, so use WORKDIR.</t>
        </is>
      </c>
      <c r="AK7" s="18" t="inlineStr">
        <is>
          <t>✗ RUN cd /app changes the folder for the following instructions → ✓ Each RUN starts fresh, and only WORKDIR changes the folder for later lines</t>
        </is>
      </c>
      <c r="AL7" s="18" t="inlineStr">
        <is>
          <t>WORKDIR vs RUN cd: WORKDIR persists, cd does not.</t>
        </is>
      </c>
      <c r="AM7" s="18" t="inlineStr">
        <is>
          <t>Do not rely on RUN cd to set the folder.</t>
        </is>
      </c>
      <c r="AN7" s="19" t="inlineStr">
        <is>
          <t>RUN cd /app
COPY . .</t>
        </is>
      </c>
      <c r="AO7" s="19" t="inlineStr">
        <is>
          <t>WORKDIR /app
COPY . .</t>
        </is>
      </c>
      <c r="AP7" s="18" t="inlineStr">
        <is>
          <t>WORKDIR sets the desk for all later lines.</t>
        </is>
      </c>
      <c r="AQ7" s="18" t="inlineStr">
        <is>
          <t>Setting a clear application folder in all service images.</t>
        </is>
      </c>
      <c r="AR7" s="18" t="inlineStr">
        <is>
          <t>An interviewer may ask: Why use WORKDIR instead of cd?</t>
        </is>
      </c>
      <c r="AS7" s="18" t="inlineStr">
        <is>
          <t>It is like moving a worker to the right desk.</t>
        </is>
      </c>
      <c r="AT7" s="18" t="inlineStr">
        <is>
          <t>Why does RUN cd not affect later instructions?</t>
        </is>
      </c>
      <c r="AU7" s="18" t="inlineStr">
        <is>
          <t>A) cd is not installed B) It only works on Windows C) Docker blocks it D) Each RUN starts in a fresh shell</t>
        </is>
      </c>
      <c r="AV7" s="18" t="inlineStr">
        <is>
          <t>D</t>
        </is>
      </c>
      <c r="AW7" s="18" t="inlineStr">
        <is>
          <t>A directory change lasts only for that one instruction.</t>
        </is>
      </c>
      <c r="AX7" s="19" t="inlineStr">
        <is>
          <t>WORKDIR creates the folder if it does not ____ → exist</t>
        </is>
      </c>
      <c r="AY7" s="18" t="inlineStr">
        <is>
          <t>Set the working folder to /srv/app.</t>
        </is>
      </c>
      <c r="AZ7" s="19" t="inlineStr">
        <is>
          <t>WORKDIR /srv/app</t>
        </is>
      </c>
      <c r="BA7" s="18" t="inlineStr">
        <is>
          <t>Rewrite a Dockerfile that uses cd so that it uses WORKDIR.</t>
        </is>
      </c>
      <c r="BB7" s="19" t="inlineStr">
        <is>
          <t>What happens if the WORKDIR folder does not exist?</t>
        </is>
      </c>
      <c r="BC7" s="19" t="inlineStr">
        <is>
          <t>Docker creates it.</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08" customHeight="1">
      <c r="A8" s="17" t="inlineStr">
        <is>
          <t>DKR-010</t>
        </is>
      </c>
      <c r="B8" s="17" t="inlineStr">
        <is>
          <t>02 Dockerfile</t>
        </is>
      </c>
      <c r="C8" s="17" t="inlineStr">
        <is>
          <t>Intermediate</t>
        </is>
      </c>
      <c r="D8" s="17" t="n">
        <v>10</v>
      </c>
      <c r="E8" s="17" t="inlineStr">
        <is>
          <t>Claude knowledge</t>
        </is>
      </c>
      <c r="F8" s="18" t="inlineStr">
        <is>
          <t>CMD vs ENTRYPOINT</t>
        </is>
      </c>
      <c r="G8" s="18" t="inlineStr">
        <is>
          <t>Which two instructions define what the container runs at start, and which one is easily replaced by arguments to docker run?</t>
        </is>
      </c>
      <c r="H8" s="17" t="n"/>
      <c r="I8" s="18" t="inlineStr">
        <is>
          <t>Dockerfile instruction</t>
        </is>
      </c>
      <c r="J8" s="18" t="inlineStr">
        <is>
          <t>Very high</t>
        </is>
      </c>
      <c r="K8" s="18" t="n">
        <v>5</v>
      </c>
      <c r="L8" s="18" t="inlineStr">
        <is>
          <t>A container needs a default command, and sometimes a fixed program with changeable arguments, so Docker has CMD for defaults and ENTRYPOINT for the fixed part.</t>
        </is>
      </c>
      <c r="M8" s="18" t="inlineStr">
        <is>
          <t>Use the exec form with a JSON array so the program receives signals and shuts down cleanly.</t>
        </is>
      </c>
      <c r="N8" s="17" t="n"/>
      <c r="O8" s="18" t="inlineStr">
        <is>
          <t>ENTRYPOINT is the fixed engine of the machine, and CMD is the default setting that you can turn.</t>
        </is>
      </c>
      <c r="P8" s="18" t="inlineStr">
        <is>
          <t>A fixed program name followed by default arguments that can be replaced.</t>
        </is>
      </c>
      <c r="Q8" s="18" t="inlineStr">
        <is>
          <t>The clarity of knowing how a container starts.</t>
        </is>
      </c>
      <c r="R8" s="18" t="inlineStr">
        <is>
          <t>CMD sets the default command or arguments that docker run can replace, and ENTRYPOINT sets the program that always runs.</t>
        </is>
      </c>
      <c r="S8" s="17" t="n"/>
      <c r="T8" s="19" t="inlineStr">
        <is>
          <t>ENTRYPOINT ["python", "app.py"]
CMD ["--port", "8000"]
# docker run myapp --port 9000   replaces only CMD</t>
        </is>
      </c>
      <c r="U8" s="19" t="inlineStr">
        <is>
          <t>By default the container runs python app.py --port 8000, and with the extra argument it runs python app.py --port 9000.</t>
        </is>
      </c>
      <c r="V8" s="18" t="inlineStr">
        <is>
          <t>If both are given, CMD supplies default arguments to ENTRYPOINT. Only the last CMD in a Dockerfile counts. The exec form (JSON array) runs the program directly as process 1, which receives stop signals, while the shell form wraps it in a shell, which may not pass signals on. ENTRYPOINT can be overridden with --entrypoint.</t>
        </is>
      </c>
      <c r="W8" s="18" t="inlineStr">
        <is>
          <t>Use CMD for the normal start command. Use ENTRYPOINT when the image is a tool, and let arguments from docker run change its options.</t>
        </is>
      </c>
      <c r="X8" s="18" t="inlineStr">
        <is>
          <t>ENTRYPOINT is the fixed engine of the machine, and CMD is a default setting that you can turn.</t>
        </is>
      </c>
      <c r="Y8" s="19" t="inlineStr">
        <is>
          <t>ENTRYPOINT ["program"]  |  CMD ["arg1", "arg2"]</t>
        </is>
      </c>
      <c r="Z8" s="18" t="inlineStr">
        <is>
          <t>ENTRYPOINT = fixed program | CMD = default command or arguments | exec form = JSON array</t>
        </is>
      </c>
      <c r="AA8" s="19" t="inlineStr">
        <is>
          <t>CMD ["nginx", "-g", "daemon off;"]</t>
        </is>
      </c>
      <c r="AB8" s="19" t="inlineStr">
        <is>
          <t>ENTRYPOINT ["curl"]</t>
        </is>
      </c>
      <c r="AC8" s="19" t="inlineStr">
        <is>
          <t>CMD ["python", "app.py"]</t>
        </is>
      </c>
      <c r="AD8" s="19" t="inlineStr">
        <is>
          <t>docker run --entrypoint sh image   // replace the entrypoint for debugging
CMD python app.py   // shell form, avoid for services</t>
        </is>
      </c>
      <c r="AE8" s="18" t="inlineStr">
        <is>
          <t>docker run, signals, health checks</t>
        </is>
      </c>
      <c r="AF8" s="18" t="inlineStr">
        <is>
          <t>RUN, docker run, debugging containers</t>
        </is>
      </c>
      <c r="AG8" s="18" t="inlineStr">
        <is>
          <t>A small start script as the entrypoint</t>
        </is>
      </c>
      <c r="AH8" s="17" t="n"/>
      <c r="AI8" s="18" t="inlineStr">
        <is>
          <t>Every image | CLI tool images | Services</t>
        </is>
      </c>
      <c r="AJ8" s="18" t="inlineStr">
        <is>
          <t>A: My container ignores stop signals and takes ten seconds to stop. | B: Use the exec form so the program is the main process.</t>
        </is>
      </c>
      <c r="AK8" s="18" t="inlineStr">
        <is>
          <t>✗ CMD and RUN do the same job → ✓ RUN executes at build time and CMD defines what runs at container start</t>
        </is>
      </c>
      <c r="AL8" s="18" t="inlineStr">
        <is>
          <t>CMD vs ENTRYPOINT: CMD is replaceable by arguments, ENTRYPOINT is the fixed program.</t>
        </is>
      </c>
      <c r="AM8" s="18" t="inlineStr">
        <is>
          <t>Do not use the shell form for the main process of a service.</t>
        </is>
      </c>
      <c r="AN8" s="19" t="inlineStr">
        <is>
          <t>CMD python app.py</t>
        </is>
      </c>
      <c r="AO8" s="19" t="inlineStr">
        <is>
          <t>CMD ["python", "app.py"]</t>
        </is>
      </c>
      <c r="AP8" s="18" t="inlineStr">
        <is>
          <t>Entrypoint is fixed and CMD is the default.</t>
        </is>
      </c>
      <c r="AQ8" s="18" t="inlineStr">
        <is>
          <t>Making a tool image where users pass arguments after the image name.</t>
        </is>
      </c>
      <c r="AR8" s="18" t="inlineStr">
        <is>
          <t>An interviewer may ask: What is the difference between CMD and ENTRYPOINT?</t>
        </is>
      </c>
      <c r="AS8" s="18" t="inlineStr">
        <is>
          <t>It is like a fixed engine and a default setting you can turn.</t>
        </is>
      </c>
      <c r="AT8" s="18" t="inlineStr">
        <is>
          <t>Which one is replaced by arguments given to docker run?</t>
        </is>
      </c>
      <c r="AU8" s="18" t="inlineStr">
        <is>
          <t>A) CMD B) FROM C) WORKDIR D) ENTRYPOINT</t>
        </is>
      </c>
      <c r="AV8" s="18" t="inlineStr">
        <is>
          <t>A</t>
        </is>
      </c>
      <c r="AW8" s="18" t="inlineStr">
        <is>
          <t>Arguments after the image name replace CMD.</t>
        </is>
      </c>
      <c r="AX8" s="19" t="inlineStr">
        <is>
          <t>The ____ form of CMD uses a JSON array → exec</t>
        </is>
      </c>
      <c r="AY8" s="18" t="inlineStr">
        <is>
          <t>Write a CMD that runs node server.js in the exec form.</t>
        </is>
      </c>
      <c r="AZ8" s="19" t="inlineStr">
        <is>
          <t>CMD ["node", "server.js"]</t>
        </is>
      </c>
      <c r="BA8" s="18" t="inlineStr">
        <is>
          <t>Create an image whose entrypoint is a tool and whose CMD is a default option.</t>
        </is>
      </c>
      <c r="BB8" s="19" t="inlineStr">
        <is>
          <t>Why use the exec form for services?</t>
        </is>
      </c>
      <c r="BC8" s="19" t="inlineStr">
        <is>
          <t>So the program is the main process and receives stop signals.</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08" customHeight="1">
      <c r="A9" s="17" t="inlineStr">
        <is>
          <t>DKR-011</t>
        </is>
      </c>
      <c r="B9" s="17" t="inlineStr">
        <is>
          <t>02 Dockerfile</t>
        </is>
      </c>
      <c r="C9" s="17" t="inlineStr">
        <is>
          <t>Intermediate</t>
        </is>
      </c>
      <c r="D9" s="17" t="n">
        <v>11</v>
      </c>
      <c r="E9" s="17" t="inlineStr">
        <is>
          <t>Claude knowledge</t>
        </is>
      </c>
      <c r="F9" s="18" t="inlineStr">
        <is>
          <t>ENV and ARG</t>
        </is>
      </c>
      <c r="G9" s="18" t="inlineStr">
        <is>
          <t>Which two instructions set variables, one available while the container runs and one only while building?</t>
        </is>
      </c>
      <c r="H9" s="17" t="n"/>
      <c r="I9" s="18" t="inlineStr">
        <is>
          <t>Dockerfile instruction</t>
        </is>
      </c>
      <c r="J9" s="18" t="inlineStr">
        <is>
          <t>Very high</t>
        </is>
      </c>
      <c r="K9" s="18" t="n">
        <v>5</v>
      </c>
      <c r="L9" s="18" t="inlineStr">
        <is>
          <t>Images need settings such as versions and modes, so ARG supplies values at build time and ENV keeps values in the running container.</t>
        </is>
      </c>
      <c r="M9" s="18" t="inlineStr">
        <is>
          <t>Never put secrets in ENV or ARG, since both can be read from the image.</t>
        </is>
      </c>
      <c r="N9" s="17" t="n"/>
      <c r="O9" s="18" t="inlineStr">
        <is>
          <t>ARG is a note used only while building, and ENV is a note that stays on the finished product.</t>
        </is>
      </c>
      <c r="P9" s="18" t="inlineStr">
        <is>
          <t>A build argument disappearing after the build and an environment variable staying in the container.</t>
        </is>
      </c>
      <c r="Q9" s="18" t="inlineStr">
        <is>
          <t>The caution of knowing what is stored in the image.</t>
        </is>
      </c>
      <c r="R9" s="18" t="inlineStr">
        <is>
          <t>ARG defines a variable available only during the build, and ENV defines an environment variable that is also available when the container runs.</t>
        </is>
      </c>
      <c r="S9" s="17" t="n"/>
      <c r="T9" s="19" t="inlineStr">
        <is>
          <t>ARG APP_VERSION=1.0
ENV APP_ENV=production
ENV PORT=8000
RUN echo "Building $APP_VERSION"
# docker build --build-arg APP_VERSION=2.1 .</t>
        </is>
      </c>
      <c r="U9" s="19" t="inlineStr">
        <is>
          <t>The build uses version 2.1 when the argument is given, and the container starts with APP_ENV and PORT already set.</t>
        </is>
      </c>
      <c r="V9" s="18" t="inlineStr">
        <is>
          <t>ARG values are passed with --build-arg and are not present in the running container, but they can still appear in the image history. ENV values are stored in the image and can be overridden with docker run -e. Because both can be inspected, secrets should be supplied at run time or through build secrets, never baked in.</t>
        </is>
      </c>
      <c r="W9" s="18" t="inlineStr">
        <is>
          <t>Use ARG for build settings and ENV for run settings. Neither is a safe place for passwords.</t>
        </is>
      </c>
      <c r="X9" s="18" t="inlineStr">
        <is>
          <t>ARG is a note used only while building, and ENV is a note that stays on the finished product.</t>
        </is>
      </c>
      <c r="Y9" s="19" t="inlineStr">
        <is>
          <t>ARG NAME=default  |  ENV NAME=value</t>
        </is>
      </c>
      <c r="Z9" s="18" t="inlineStr">
        <is>
          <t>ARG = build time | ENV = build and run time | --build-arg = give an ARG value | -e = override ENV at run</t>
        </is>
      </c>
      <c r="AA9" s="19" t="inlineStr">
        <is>
          <t>ARG NODE_VERSION=20</t>
        </is>
      </c>
      <c r="AB9" s="19" t="inlineStr">
        <is>
          <t>ENV LOG_LEVEL=info</t>
        </is>
      </c>
      <c r="AC9" s="19" t="inlineStr">
        <is>
          <t>docker run -e LOG_LEVEL=debug myapp</t>
        </is>
      </c>
      <c r="AD9" s="19" t="inlineStr">
        <is>
          <t>ENV PATH="/opt/tools:$PATH"   // extend PATH
ARG before FROM   // choose the base image version</t>
        </is>
      </c>
      <c r="AE9" s="18" t="inlineStr">
        <is>
          <t>docker build, docker run, secrets</t>
        </is>
      </c>
      <c r="AF9" s="18" t="inlineStr">
        <is>
          <t>secrets, docker build, docker run options</t>
        </is>
      </c>
      <c r="AG9" s="18" t="inlineStr">
        <is>
          <t>Config files or environment files at run time</t>
        </is>
      </c>
      <c r="AH9" s="17" t="n"/>
      <c r="AI9" s="18" t="inlineStr">
        <is>
          <t>Build settings | Run settings | Version pinning</t>
        </is>
      </c>
      <c r="AJ9" s="18" t="inlineStr">
        <is>
          <t>A: I passed the database password as a build argument. | B: That can be read from the image history, so supply it at run time instead.</t>
        </is>
      </c>
      <c r="AK9" s="18" t="inlineStr">
        <is>
          <t>✗ ARG values are secret because they vanish after the build → ✓ ARG values can appear in the image history, so they are not safe for secrets</t>
        </is>
      </c>
      <c r="AL9" s="18" t="inlineStr">
        <is>
          <t>ARG vs ENV: ARG exists at build time, ENV also exists in the running container.</t>
        </is>
      </c>
      <c r="AM9" s="18" t="inlineStr">
        <is>
          <t>Do not bake passwords or tokens into an image.</t>
        </is>
      </c>
      <c r="AN9" s="19" t="inlineStr">
        <is>
          <t>ENV DB_PASSWORD=secret123</t>
        </is>
      </c>
      <c r="AO9" s="19" t="inlineStr">
        <is>
          <t>docker run -e DB_PASSWORD="$DB_PASSWORD" myapp</t>
        </is>
      </c>
      <c r="AP9" s="18" t="inlineStr">
        <is>
          <t>ARG is for the build, ENV is for the run.</t>
        </is>
      </c>
      <c r="AQ9" s="18" t="inlineStr">
        <is>
          <t>Passing a version at build time and a log level at run time.</t>
        </is>
      </c>
      <c r="AR9" s="18" t="inlineStr">
        <is>
          <t>An interviewer may ask: What is the difference between ARG and ENV?</t>
        </is>
      </c>
      <c r="AS9" s="18" t="inlineStr">
        <is>
          <t>It is like a build note and a note left on the product.</t>
        </is>
      </c>
      <c r="AT9" s="18" t="inlineStr">
        <is>
          <t>Which variable is available only during the build?</t>
        </is>
      </c>
      <c r="AU9" s="18" t="inlineStr">
        <is>
          <t>A) Both B) Neither C) ARG D) ENV</t>
        </is>
      </c>
      <c r="AV9" s="18" t="inlineStr">
        <is>
          <t>C</t>
        </is>
      </c>
      <c r="AW9" s="18" t="inlineStr">
        <is>
          <t>ARG values exist at build time only.</t>
        </is>
      </c>
      <c r="AX9" s="19" t="inlineStr">
        <is>
          <t>You give a value at build time with docker build --build-____ and a name=value pair → arg</t>
        </is>
      </c>
      <c r="AY9" s="18" t="inlineStr">
        <is>
          <t>Define an environment variable LOG_LEVEL with the value info.</t>
        </is>
      </c>
      <c r="AZ9" s="19" t="inlineStr">
        <is>
          <t>ENV LOG_LEVEL=info</t>
        </is>
      </c>
      <c r="BA9" s="18" t="inlineStr">
        <is>
          <t>Write which settings in your app belong in ARG and which in ENV.</t>
        </is>
      </c>
      <c r="BB9" s="19" t="inlineStr">
        <is>
          <t>Can ARG values be read after the build?</t>
        </is>
      </c>
      <c r="BC9" s="19" t="inlineStr">
        <is>
          <t>They can appear in the image history, so they are not safe for secrets.</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94.5" customHeight="1">
      <c r="A10" s="17" t="inlineStr">
        <is>
          <t>DKR-012</t>
        </is>
      </c>
      <c r="B10" s="17" t="inlineStr">
        <is>
          <t>02 Dockerfile</t>
        </is>
      </c>
      <c r="C10" s="17" t="inlineStr">
        <is>
          <t>Beginner</t>
        </is>
      </c>
      <c r="D10" s="17" t="n">
        <v>12</v>
      </c>
      <c r="E10" s="17" t="inlineStr">
        <is>
          <t>Claude knowledge</t>
        </is>
      </c>
      <c r="F10" s="18" t="inlineStr">
        <is>
          <t>EXPOSE</t>
        </is>
      </c>
      <c r="G10" s="18" t="inlineStr">
        <is>
          <t>Which instruction documents the port an app listens on, but does not actually open it to the outside?</t>
        </is>
      </c>
      <c r="H10" s="17" t="n"/>
      <c r="I10" s="18" t="inlineStr">
        <is>
          <t>Dockerfile instruction</t>
        </is>
      </c>
      <c r="J10" s="18" t="inlineStr">
        <is>
          <t>High</t>
        </is>
      </c>
      <c r="K10" s="18" t="n">
        <v>4</v>
      </c>
      <c r="L10" s="18" t="inlineStr">
        <is>
          <t>People reading an image need to know which port it uses, so EXPOSE records it, while publishing a port is a separate choice made at run time.</t>
        </is>
      </c>
      <c r="M10" s="18" t="inlineStr">
        <is>
          <t>Always publish ports with -p when you run the container, since EXPOSE alone does nothing for outside access.</t>
        </is>
      </c>
      <c r="N10" s="17" t="n"/>
      <c r="O10" s="18" t="inlineStr">
        <is>
          <t>EXPOSE is a sign on the door saying where the shop entrance is, and -p is what actually opens the door.</t>
        </is>
      </c>
      <c r="P10" s="18" t="inlineStr">
        <is>
          <t>A port label on an image, and a separate mapping at run time.</t>
        </is>
      </c>
      <c r="Q10" s="18" t="inlineStr">
        <is>
          <t>The relief of understanding why a port is not reachable.</t>
        </is>
      </c>
      <c r="R10" s="18" t="inlineStr">
        <is>
          <t>EXPOSE documents the port a container listens on, and -p publishes a port to the host.</t>
        </is>
      </c>
      <c r="S10" s="17" t="n"/>
      <c r="T10" s="19" t="inlineStr">
        <is>
          <t>EXPOSE 8000
# docker run -p 8080:8000 myapp
# docker run -P myapp</t>
        </is>
      </c>
      <c r="U10" s="19" t="inlineStr">
        <is>
          <t>The image records port 8000, then -p maps host port 8080 to container port 8000, and -P publishes exposed ports to random host ports.</t>
        </is>
      </c>
      <c r="V10" s="18" t="inlineStr">
        <is>
          <t>EXPOSE is only metadata. Without -p or -P, nothing from the host can reach the container's port, apart from other containers on the same network. The application must also listen on 0.0.0.0 inside the container, since listening only on 127.0.0.1 inside the container is not reachable from outside it.</t>
        </is>
      </c>
      <c r="W10" s="18" t="inlineStr">
        <is>
          <t>EXPOSE tells readers which port the app uses. To reach it from your machine, you must publish it with -p.</t>
        </is>
      </c>
      <c r="X10" s="18" t="inlineStr">
        <is>
          <t>EXPOSE is a sign saying where the entrance is, and -p opens the door.</t>
        </is>
      </c>
      <c r="Y10" s="19" t="inlineStr">
        <is>
          <t>EXPOSE port  |  docker run -p hostPort:containerPort</t>
        </is>
      </c>
      <c r="Z10" s="18" t="inlineStr">
        <is>
          <t>EXPOSE = documentation | -p = publish a port | -P = publish all exposed ports to random ports</t>
        </is>
      </c>
      <c r="AA10" s="19" t="inlineStr">
        <is>
          <t>EXPOSE 80</t>
        </is>
      </c>
      <c r="AB10" s="19" t="inlineStr">
        <is>
          <t>docker run -p 3000:3000 web</t>
        </is>
      </c>
      <c r="AC10" s="19" t="inlineStr">
        <is>
          <t>docker run -p 127.0.0.1:5432:5432 db</t>
        </is>
      </c>
      <c r="AD10" s="19" t="inlineStr">
        <is>
          <t>EXPOSE 8000/udp   // a UDP port
docker port container   // show published ports</t>
        </is>
      </c>
      <c r="AE10" s="18" t="inlineStr">
        <is>
          <t>docker run, port mapping, networks</t>
        </is>
      </c>
      <c r="AF10" s="18" t="inlineStr">
        <is>
          <t>port mapping, networks, docker run options</t>
        </is>
      </c>
      <c r="AG10" s="18" t="inlineStr">
        <is>
          <t>Compose ports setting</t>
        </is>
      </c>
      <c r="AH10" s="17" t="n"/>
      <c r="AI10" s="18" t="inlineStr">
        <is>
          <t>Web services | Databases | Debugging connectivity</t>
        </is>
      </c>
      <c r="AJ10" s="18" t="inlineStr">
        <is>
          <t>A: I exposed the port but cannot reach the app. | B: EXPOSE does not publish, so add -p when running.</t>
        </is>
      </c>
      <c r="AK10" s="18" t="inlineStr">
        <is>
          <t>✗ EXPOSE opens the port to the host → ✓ EXPOSE only documents the port, and -p publishes it</t>
        </is>
      </c>
      <c r="AL10" s="18" t="inlineStr">
        <is>
          <t>EXPOSE vs -p: EXPOSE documents, -p publishes.</t>
        </is>
      </c>
      <c r="AM10" s="18" t="inlineStr">
        <is>
          <t>Do not make the app listen only on 127.0.0.1 inside the container.</t>
        </is>
      </c>
      <c r="AN10" s="19" t="inlineStr">
        <is>
          <t>docker run myapp   # expecting port 8000 on the host</t>
        </is>
      </c>
      <c r="AO10" s="19" t="inlineStr">
        <is>
          <t>docker run -p 8000:8000 myapp</t>
        </is>
      </c>
      <c r="AP10" s="18" t="inlineStr">
        <is>
          <t>EXPOSE is a sign and -p is the door.</t>
        </is>
      </c>
      <c r="AQ10" s="18" t="inlineStr">
        <is>
          <t>Publishing a service port to localhost only for a database container.</t>
        </is>
      </c>
      <c r="AR10" s="18" t="inlineStr">
        <is>
          <t>An interviewer may ask: Does EXPOSE publish a port?</t>
        </is>
      </c>
      <c r="AS10" s="18" t="inlineStr">
        <is>
          <t>It is like a sign that tells where the entrance is.</t>
        </is>
      </c>
      <c r="AT10" s="18" t="inlineStr">
        <is>
          <t>What does -p 8080:80 do?</t>
        </is>
      </c>
      <c r="AU10" s="18" t="inlineStr">
        <is>
          <t>A) Maps 80 to 8080 on the container B) Maps host port 8080 to container port 80 C) Exposes UDP only D) Deletes a port</t>
        </is>
      </c>
      <c r="AV10" s="18" t="inlineStr">
        <is>
          <t>B</t>
        </is>
      </c>
      <c r="AW10" s="18" t="inlineStr">
        <is>
          <t>The host port comes first and the container port second.</t>
        </is>
      </c>
      <c r="AX10" s="19" t="inlineStr">
        <is>
          <t>EXPOSE only documents a port, and ____ publishes it → -p</t>
        </is>
      </c>
      <c r="AY10" s="18" t="inlineStr">
        <is>
          <t>Run the image web and map host port 8080 to container port 80.</t>
        </is>
      </c>
      <c r="AZ10" s="19" t="inlineStr">
        <is>
          <t>docker run -p 8080:80 web</t>
        </is>
      </c>
      <c r="BA10" s="18" t="inlineStr">
        <is>
          <t>Run a web container and open it in a browser through a published port.</t>
        </is>
      </c>
      <c r="BB10" s="19" t="inlineStr">
        <is>
          <t>Which address must an app listen on inside a container to be reachable from outside?</t>
        </is>
      </c>
      <c r="BC10" s="19" t="inlineStr">
        <is>
          <t>0.0.0.0</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08" customHeight="1">
      <c r="A11" s="17" t="inlineStr">
        <is>
          <t>DKR-014</t>
        </is>
      </c>
      <c r="B11" s="17" t="inlineStr">
        <is>
          <t>02 Dockerfile</t>
        </is>
      </c>
      <c r="C11" s="17" t="inlineStr">
        <is>
          <t>Beginner</t>
        </is>
      </c>
      <c r="D11" s="17" t="n">
        <v>14</v>
      </c>
      <c r="E11" s="17" t="inlineStr">
        <is>
          <t>Claude knowledge</t>
        </is>
      </c>
      <c r="F11" s="18" t="inlineStr">
        <is>
          <t>.dockerignore</t>
        </is>
      </c>
      <c r="G11" s="18" t="inlineStr">
        <is>
          <t>Which file lists things that must not be sent to the Docker build, such as node_modules, .git and secrets?</t>
        </is>
      </c>
      <c r="H11" s="17" t="n"/>
      <c r="I11" s="18" t="inlineStr">
        <is>
          <t>Configuration file</t>
        </is>
      </c>
      <c r="J11" s="18" t="inlineStr">
        <is>
          <t>Very high</t>
        </is>
      </c>
      <c r="K11" s="18" t="n">
        <v>4</v>
      </c>
      <c r="L11" s="18" t="inlineStr">
        <is>
          <t>When you build, the whole folder is sent to the daemon, so a file that lists what to leave out keeps builds fast and keeps secrets out of images.</t>
        </is>
      </c>
      <c r="M11" s="18" t="inlineStr">
        <is>
          <t>Add .git, node_modules, .env and build output to .dockerignore in every project.</t>
        </is>
      </c>
      <c r="N11" s="17" t="n"/>
      <c r="O11" s="18" t="inlineStr">
        <is>
          <t>.dockerignore is the packing list of things to leave at home before the trip.</t>
        </is>
      </c>
      <c r="P11" s="18" t="inlineStr">
        <is>
          <t>A folder with some items crossed out before being sent to the build.</t>
        </is>
      </c>
      <c r="Q11" s="18" t="inlineStr">
        <is>
          <t>The relief of a build context that is small and clean.</t>
        </is>
      </c>
      <c r="R11" s="18" t="inlineStr">
        <is>
          <t>.dockerignore lists files and folders excluded from the build context, so COPY and ADD cannot add them.</t>
        </is>
      </c>
      <c r="S11" s="17" t="n"/>
      <c r="T11" s="19" t="inlineStr">
        <is>
          <t>.git
**/node_modules
.env
**/*.log
dist/
Dockerfile
docker-compose.yml</t>
        </is>
      </c>
      <c r="U11" s="19" t="inlineStr">
        <is>
          <t>These files are not sent to the daemon, so they cannot be copied into the image and do not slow down the build.</t>
        </is>
      </c>
      <c r="V11" s="18" t="inlineStr">
        <is>
          <t>The build context is everything in the folder you pass to docker build. Large folders such as node_modules make the context slow to send, and files such as .env could end up in the image by a careless COPY . . line. Patterns work like .gitignore with a few differences. Excluding files also stops needless cache invalidation when they change.</t>
        </is>
      </c>
      <c r="W11" s="18" t="inlineStr">
        <is>
          <t>Put a .dockerignore next to the Dockerfile and list what to skip. Builds become faster and safer.</t>
        </is>
      </c>
      <c r="X11" s="18" t="inlineStr">
        <is>
          <t>It is like a packing list of things to leave at home before a trip.</t>
        </is>
      </c>
      <c r="Y11" s="19" t="inlineStr">
        <is>
          <t>one pattern per line, like .gitignore</t>
        </is>
      </c>
      <c r="Z11" s="18" t="inlineStr">
        <is>
          <t>.git = version control data | node_modules = dependencies | .env = secrets | *.log = log files</t>
        </is>
      </c>
      <c r="AA11" s="19" t="inlineStr">
        <is>
          <t>node_modules</t>
        </is>
      </c>
      <c r="AB11" s="19" t="inlineStr">
        <is>
          <t>**/*.pyc</t>
        </is>
      </c>
      <c r="AC11" s="19" t="inlineStr">
        <is>
          <t>!important.log</t>
        </is>
      </c>
      <c r="AD11" s="19" t="inlineStr">
        <is>
          <t># comment   // comment line
!pattern   // re-include a file</t>
        </is>
      </c>
      <c r="AE11" s="18" t="inlineStr">
        <is>
          <t>COPY, build context, secrets</t>
        </is>
      </c>
      <c r="AF11" s="18" t="inlineStr">
        <is>
          <t>COPY vs ADD, security, layers and cache</t>
        </is>
      </c>
      <c r="AG11" s="18" t="inlineStr">
        <is>
          <t>Building from a clean subfolder</t>
        </is>
      </c>
      <c r="AH11" s="17" t="n"/>
      <c r="AI11" s="18" t="inlineStr">
        <is>
          <t>Every project | CI builds | Keeping secrets out of images</t>
        </is>
      </c>
      <c r="AJ11" s="18" t="inlineStr">
        <is>
          <t>A: The build uploads a gigabyte of context. | B: Add node_modules and .git to .dockerignore.</t>
        </is>
      </c>
      <c r="AK11" s="18" t="inlineStr">
        <is>
          <t>✗ .dockerignore only affects docker run → ✓ It affects the build context, so COPY and ADD cannot see the ignored files</t>
        </is>
      </c>
      <c r="AL11" s="18" t="inlineStr">
        <is>
          <t>.dockerignore vs .gitignore: one limits the Docker build context, the other limits what Git tracks.</t>
        </is>
      </c>
      <c r="AM11" s="18" t="inlineStr">
        <is>
          <t>Do not leave .env files out of .dockerignore.</t>
        </is>
      </c>
      <c r="AN11" s="19" t="inlineStr">
        <is>
          <t>COPY . .   # with no .dockerignore, copying .env too</t>
        </is>
      </c>
      <c r="AO11" s="19" t="inlineStr">
        <is>
          <t>COPY . .   # with .env listed in .dockerignore</t>
        </is>
      </c>
      <c r="AP11" s="18" t="inlineStr">
        <is>
          <t>Ignore what the image must not see.</t>
        </is>
      </c>
      <c r="AQ11" s="18" t="inlineStr">
        <is>
          <t>Excluding the git folder and environment files from every service image.</t>
        </is>
      </c>
      <c r="AR11" s="18" t="inlineStr">
        <is>
          <t>An interviewer may ask: What is the build context?</t>
        </is>
      </c>
      <c r="AS11" s="18" t="inlineStr">
        <is>
          <t>It is like a packing list of things to leave at home.</t>
        </is>
      </c>
      <c r="AT11" s="18" t="inlineStr">
        <is>
          <t>What does .dockerignore control?</t>
        </is>
      </c>
      <c r="AU11" s="18" t="inlineStr">
        <is>
          <t>A) Which files enter the build context B) Which ports open C) Which users log in D) Which registry is used</t>
        </is>
      </c>
      <c r="AV11" s="18" t="inlineStr">
        <is>
          <t>A</t>
        </is>
      </c>
      <c r="AW11" s="18" t="inlineStr">
        <is>
          <t>It excludes files from what is sent to the build.</t>
        </is>
      </c>
      <c r="AX11" s="19" t="inlineStr">
        <is>
          <t>The folder you pass to docker build is called the build ____ → context</t>
        </is>
      </c>
      <c r="AY11" s="18" t="inlineStr">
        <is>
          <t>Write two .dockerignore lines to exclude node_modules and .env.</t>
        </is>
      </c>
      <c r="AZ11" s="19" t="inlineStr">
        <is>
          <t>node_modules
.env</t>
        </is>
      </c>
      <c r="BA11" s="18" t="inlineStr">
        <is>
          <t>Create a .dockerignore for a project and compare the context sizes.</t>
        </is>
      </c>
      <c r="BB11" s="19" t="inlineStr">
        <is>
          <t>Why exclude .env files from the build context?</t>
        </is>
      </c>
      <c r="BC11" s="19" t="inlineStr">
        <is>
          <t>So secrets cannot be copied into the image by accident.</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21.5" customHeight="1">
      <c r="A12" s="17" t="inlineStr">
        <is>
          <t>DKR-015</t>
        </is>
      </c>
      <c r="B12" s="17" t="inlineStr">
        <is>
          <t>02 Dockerfile</t>
        </is>
      </c>
      <c r="C12" s="17" t="inlineStr">
        <is>
          <t>Advanced</t>
        </is>
      </c>
      <c r="D12" s="17" t="n">
        <v>15</v>
      </c>
      <c r="E12" s="17" t="inlineStr">
        <is>
          <t>Claude knowledge</t>
        </is>
      </c>
      <c r="F12" s="18" t="inlineStr">
        <is>
          <t>Multi-stage builds</t>
        </is>
      </c>
      <c r="G12" s="18" t="inlineStr">
        <is>
          <t>How do you build with heavy tools in one stage and copy only the finished result into a small final image?</t>
        </is>
      </c>
      <c r="H12" s="17" t="n"/>
      <c r="I12" s="18" t="inlineStr">
        <is>
          <t>Dockerfile technique</t>
        </is>
      </c>
      <c r="J12" s="18" t="inlineStr">
        <is>
          <t>Very high</t>
        </is>
      </c>
      <c r="K12" s="18" t="n">
        <v>5</v>
      </c>
      <c r="L12" s="18" t="inlineStr">
        <is>
          <t>Compilers and build tools make images big and risky, so Docker lets you use several stages and keep only the final stage in the shipped image.</t>
        </is>
      </c>
      <c r="M12" s="18" t="inlineStr">
        <is>
          <t>Name your stages with AS, and copy only the artefacts you need with COPY --from.</t>
        </is>
      </c>
      <c r="N12" s="17" t="n"/>
      <c r="O12" s="18" t="inlineStr">
        <is>
          <t>A multi-stage build is a workshop where you build the product, and only the finished product goes into the shop box.</t>
        </is>
      </c>
      <c r="P12" s="18" t="inlineStr">
        <is>
          <t>A large build stage on the left and a small runtime stage on the right with an arrow carrying one file.</t>
        </is>
      </c>
      <c r="Q12" s="18" t="inlineStr">
        <is>
          <t>The satisfaction of a tiny, clean final image.</t>
        </is>
      </c>
      <c r="R12" s="18" t="inlineStr">
        <is>
          <t>A multi-stage Dockerfile has several FROM stages, and the final image contains only what is copied from earlier stages.</t>
        </is>
      </c>
      <c r="S12" s="17" t="n"/>
      <c r="T12" s="19" t="inlineStr">
        <is>
          <t>FROM node:20 AS build
WORKDIR /app
COPY package*.json ./
RUN npm ci
COPY . .
RUN npm run build
FROM nginx:1.27-alpine
COPY --from=build /app/dist /usr/share/nginx/html</t>
        </is>
      </c>
      <c r="U12" s="19" t="inlineStr">
        <is>
          <t>The final image is a small nginx image holding only the built site, without Node.js, source code or dependencies.</t>
        </is>
      </c>
      <c r="V12" s="18" t="inlineStr">
        <is>
          <t>Each FROM starts a new stage, and only the last stage becomes the image unless you choose another with --target. Files are moved between stages with COPY --from. This keeps compilers, test tools and source code out of the final image, which makes it smaller and reduces the attack surface. You can also stop at a stage for testing.</t>
        </is>
      </c>
      <c r="W12" s="18" t="inlineStr">
        <is>
          <t>Build in one stage, copy the result into a clean small stage, and ship that. The final image has none of the build tools.</t>
        </is>
      </c>
      <c r="X12" s="18" t="inlineStr">
        <is>
          <t>It is a workshop where the product is built, and only the finished product goes into the shop box.</t>
        </is>
      </c>
      <c r="Y12" s="19" t="inlineStr">
        <is>
          <t>FROM base AS name ... FROM runtime ... COPY --from=name src dest</t>
        </is>
      </c>
      <c r="Z12" s="18" t="inlineStr">
        <is>
          <t>AS = name a stage | COPY --from = take files from a stage | --target = build up to a stage</t>
        </is>
      </c>
      <c r="AA12" s="19" t="inlineStr">
        <is>
          <t>COPY --from=build /app/dist /usr/share/nginx/html</t>
        </is>
      </c>
      <c r="AB12" s="19" t="inlineStr">
        <is>
          <t>docker build --target build -t myapp:test .</t>
        </is>
      </c>
      <c r="AC12" s="19" t="inlineStr">
        <is>
          <t>FROM golang:1.22 AS builder ... FROM scratch</t>
        </is>
      </c>
      <c r="AD12" s="19" t="inlineStr">
        <is>
          <t>COPY --from=nginx:latest /etc/nginx/nginx.conf /tmp/   // copy from an external image
FROM base AS test   // a stage used only for tests</t>
        </is>
      </c>
      <c r="AE12" s="18" t="inlineStr">
        <is>
          <t>COPY --from, small base images, CI</t>
        </is>
      </c>
      <c r="AF12" s="18" t="inlineStr">
        <is>
          <t>FROM, layers and cache, security</t>
        </is>
      </c>
      <c r="AG12" s="18" t="inlineStr">
        <is>
          <t>Distroless runtime images</t>
        </is>
      </c>
      <c r="AH12" s="17" t="n"/>
      <c r="AI12" s="18" t="inlineStr">
        <is>
          <t>Compiled languages | Front-end builds | Slim production images</t>
        </is>
      </c>
      <c r="AJ12" s="18" t="inlineStr">
        <is>
          <t>A: Our image contains compilers and is huge. | B: Use a multi-stage build and copy only the built output.</t>
        </is>
      </c>
      <c r="AK12" s="18" t="inlineStr">
        <is>
          <t>✗ All stages end up in the final image → ✓ Only the last stage, or the one chosen with --target, becomes the image</t>
        </is>
      </c>
      <c r="AL12" s="18" t="inlineStr">
        <is>
          <t>Multi-stage vs one big image: multi-stage keeps build tools out of the final image.</t>
        </is>
      </c>
      <c r="AM12" s="18" t="inlineStr">
        <is>
          <t>Do not copy the whole build stage into the final one.</t>
        </is>
      </c>
      <c r="AN12" s="19" t="inlineStr">
        <is>
          <t>COPY --from=build /app /app</t>
        </is>
      </c>
      <c r="AO12" s="19" t="inlineStr">
        <is>
          <t>COPY --from=build /app/dist /usr/share/nginx/html</t>
        </is>
      </c>
      <c r="AP12" s="18" t="inlineStr">
        <is>
          <t>Build in one stage, ship from another.</t>
        </is>
      </c>
      <c r="AQ12" s="18" t="inlineStr">
        <is>
          <t>Shrinking a service image by compiling in one stage and running in another.</t>
        </is>
      </c>
      <c r="AR12" s="18" t="inlineStr">
        <is>
          <t>An interviewer may ask: Why use multi-stage builds?</t>
        </is>
      </c>
      <c r="AS12" s="18" t="inlineStr">
        <is>
          <t>It is like a workshop where only the finished product goes into the box.</t>
        </is>
      </c>
      <c r="AT12" s="18" t="inlineStr">
        <is>
          <t>Which part of a multi-stage Dockerfile becomes the final image?</t>
        </is>
      </c>
      <c r="AU12" s="18" t="inlineStr">
        <is>
          <t>A) The base image only B) The last stage C) Every stage D) The first stage</t>
        </is>
      </c>
      <c r="AV12" s="18" t="inlineStr">
        <is>
          <t>B</t>
        </is>
      </c>
      <c r="AW12" s="18" t="inlineStr">
        <is>
          <t>The final image is built from the last stage unless another target is chosen.</t>
        </is>
      </c>
      <c r="AX12" s="19" t="inlineStr">
        <is>
          <t>COPY --from copies files from an earlier ____ → stage</t>
        </is>
      </c>
      <c r="AY12" s="18" t="inlineStr">
        <is>
          <t>Copy the folder /app/dist from the build stage into /usr/share/nginx/html.</t>
        </is>
      </c>
      <c r="AZ12" s="19" t="inlineStr">
        <is>
          <t>COPY --from=build /app/dist /usr/share/nginx/html</t>
        </is>
      </c>
      <c r="BA12" s="18" t="inlineStr">
        <is>
          <t>Convert a single-stage Dockerfile into two stages and compare the sizes.</t>
        </is>
      </c>
      <c r="BB12" s="19" t="inlineStr">
        <is>
          <t>Which option builds only up to a named stage?</t>
        </is>
      </c>
      <c r="BC12" s="19" t="inlineStr">
        <is>
          <t>--target</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21.5" customHeight="1">
      <c r="A13" s="17" t="inlineStr">
        <is>
          <t>DKR-016</t>
        </is>
      </c>
      <c r="B13" s="17" t="inlineStr">
        <is>
          <t>02 Dockerfile</t>
        </is>
      </c>
      <c r="C13" s="17" t="inlineStr">
        <is>
          <t>Intermediate</t>
        </is>
      </c>
      <c r="D13" s="17" t="n">
        <v>16</v>
      </c>
      <c r="E13" s="17" t="inlineStr">
        <is>
          <t>Claude knowledge</t>
        </is>
      </c>
      <c r="F13" s="18" t="inlineStr">
        <is>
          <t>Running as a non-root user</t>
        </is>
      </c>
      <c r="G13" s="18" t="inlineStr">
        <is>
          <t>Which instruction makes the container's main process run as an ordinary user instead of root?</t>
        </is>
      </c>
      <c r="H13" s="17" t="n"/>
      <c r="I13" s="18" t="inlineStr">
        <is>
          <t>Dockerfile instruction</t>
        </is>
      </c>
      <c r="J13" s="18" t="inlineStr">
        <is>
          <t>High</t>
        </is>
      </c>
      <c r="K13" s="18" t="n">
        <v>5</v>
      </c>
      <c r="L13" s="18" t="inlineStr">
        <is>
          <t>By default containers run as root, which makes an escape or a bug more dangerous, so a good image creates an ordinary user and switches to it.</t>
        </is>
      </c>
      <c r="M13" s="18" t="inlineStr">
        <is>
          <t>Give the files the app needs to that user with COPY --chown, and switch with USER near the end.</t>
        </is>
      </c>
      <c r="N13" s="17" t="n"/>
      <c r="O13" s="18" t="inlineStr">
        <is>
          <t>Running as root is leaving the master key with every visitor, and USER hands them only a normal key.</t>
        </is>
      </c>
      <c r="P13" s="18" t="inlineStr">
        <is>
          <t>A process with a normal badge instead of an administrator badge.</t>
        </is>
      </c>
      <c r="Q13" s="18" t="inlineStr">
        <is>
          <t>The comfort of lowering the risk with two lines.</t>
        </is>
      </c>
      <c r="R13" s="18" t="inlineStr">
        <is>
          <t>USER sets the user for later instructions and for the running container, so the process does not run as root.</t>
        </is>
      </c>
      <c r="S13" s="17" t="n"/>
      <c r="T13" s="19" t="inlineStr">
        <is>
          <t>RUN groupadd -r app &amp;&amp; useradd -r -g app app
COPY --chown=app:app . /app
USER app
CMD ["python", "app.py"]</t>
        </is>
      </c>
      <c r="U13" s="19" t="inlineStr">
        <is>
          <t>The container's main process runs as the user app, without root privileges.</t>
        </is>
      </c>
      <c r="V13" s="18" t="inlineStr">
        <is>
          <t>Root inside a container is still powerful on the shared kernel, so limiting privileges reduces damage from a compromise. A non-root user cannot bind to ports below 1024 in many setups, so use a higher port. Files must be readable by that user. Some official images already provide a user, such as node. You can also set the user at run time with --user.</t>
        </is>
      </c>
      <c r="W13" s="18" t="inlineStr">
        <is>
          <t>Create a normal user, give it the files, and switch with USER before CMD. Use ports above 1024.</t>
        </is>
      </c>
      <c r="X13" s="18" t="inlineStr">
        <is>
          <t>Running as root is leaving the master key with every visitor, and USER hands over a normal key.</t>
        </is>
      </c>
      <c r="Y13" s="19" t="inlineStr">
        <is>
          <t>USER name[:group]</t>
        </is>
      </c>
      <c r="Z13" s="18" t="inlineStr">
        <is>
          <t>USER = switch user | useradd = create the user | --chown = give files to the user</t>
        </is>
      </c>
      <c r="AA13" s="19" t="inlineStr">
        <is>
          <t>USER node</t>
        </is>
      </c>
      <c r="AB13" s="19" t="inlineStr">
        <is>
          <t>USER 10001</t>
        </is>
      </c>
      <c r="AC13" s="19" t="inlineStr">
        <is>
          <t>docker run --user 1000:1000 image</t>
        </is>
      </c>
      <c r="AD13" s="19" t="inlineStr">
        <is>
          <t>USER 10001:10001   // numeric ids work well with orchestrators
readOnlyRootFilesystem in Kubernetes   // a further hardening step</t>
        </is>
      </c>
      <c r="AE13" s="18" t="inlineStr">
        <is>
          <t>COPY --chown, ports, security scanning</t>
        </is>
      </c>
      <c r="AF13" s="18" t="inlineStr">
        <is>
          <t>security, secrets, Kubernetes security</t>
        </is>
      </c>
      <c r="AG13" s="18" t="inlineStr">
        <is>
          <t>Rootless Docker for the whole daemon</t>
        </is>
      </c>
      <c r="AH13" s="17" t="n"/>
      <c r="AI13" s="18" t="inlineStr">
        <is>
          <t>Production images | Security reviews | Orchestrated clusters</t>
        </is>
      </c>
      <c r="AJ13" s="18" t="inlineStr">
        <is>
          <t>A: Our scanner complains that containers run as root. | B: Add a non-root user and switch to it with USER.</t>
        </is>
      </c>
      <c r="AK13" s="18" t="inlineStr">
        <is>
          <t>✗ Root inside a container is harmless because of isolation → ✓ Root in a container is still a risk, so run as a normal user</t>
        </is>
      </c>
      <c r="AL13" s="18" t="inlineStr">
        <is>
          <t>USER vs sudo: USER sets who the process runs as, sudo is for temporary elevation.</t>
        </is>
      </c>
      <c r="AM13" s="18" t="inlineStr">
        <is>
          <t>Do not leave application containers running as root.</t>
        </is>
      </c>
      <c r="AN13" s="19" t="inlineStr">
        <is>
          <t>CMD ["python", "app.py"]   # as root by default</t>
        </is>
      </c>
      <c r="AO13" s="19" t="inlineStr">
        <is>
          <t>USER app
CMD ["python", "app.py"]</t>
        </is>
      </c>
      <c r="AP13" s="18" t="inlineStr">
        <is>
          <t>Add a user, then switch to it.</t>
        </is>
      </c>
      <c r="AQ13" s="18" t="inlineStr">
        <is>
          <t>Making all service images run as a normal user to pass a security review.</t>
        </is>
      </c>
      <c r="AR13" s="18" t="inlineStr">
        <is>
          <t>An interviewer may ask: Why should containers not run as root?</t>
        </is>
      </c>
      <c r="AS13" s="18" t="inlineStr">
        <is>
          <t>It is like giving visitors a normal key instead of the master key.</t>
        </is>
      </c>
      <c r="AT13" s="18" t="inlineStr">
        <is>
          <t>Which instruction makes later steps run as an unprivileged account?</t>
        </is>
      </c>
      <c r="AU13" s="18" t="inlineStr">
        <is>
          <t>A) FROM B) EXPOSE C) RUN D) USER</t>
        </is>
      </c>
      <c r="AV13" s="18" t="inlineStr">
        <is>
          <t>D</t>
        </is>
      </c>
      <c r="AW13" s="18" t="inlineStr">
        <is>
          <t>USER sets the user that later instructions and the container run as.</t>
        </is>
      </c>
      <c r="AX13" s="19" t="inlineStr">
        <is>
          <t>By default a container's process runs as ____ → root</t>
        </is>
      </c>
      <c r="AY13" s="18" t="inlineStr">
        <is>
          <t>Switch to the user app before the start command.</t>
        </is>
      </c>
      <c r="AZ13" s="19" t="inlineStr">
        <is>
          <t>USER app</t>
        </is>
      </c>
      <c r="BA13" s="18" t="inlineStr">
        <is>
          <t>Add a non-root user to a Dockerfile and test that the app still works.</t>
        </is>
      </c>
      <c r="BB13" s="19" t="inlineStr">
        <is>
          <t>Which option sets the user at run time?</t>
        </is>
      </c>
      <c r="BC13" s="19" t="inlineStr">
        <is>
          <t>--user</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94.5" customHeight="1">
      <c r="A14" s="17" t="inlineStr">
        <is>
          <t>DKR-017</t>
        </is>
      </c>
      <c r="B14" s="17" t="inlineStr">
        <is>
          <t>03 Docker CLI</t>
        </is>
      </c>
      <c r="C14" s="17" t="inlineStr">
        <is>
          <t>Beginner</t>
        </is>
      </c>
      <c r="D14" s="17" t="n">
        <v>17</v>
      </c>
      <c r="E14" s="17" t="inlineStr">
        <is>
          <t>Claude knowledge</t>
        </is>
      </c>
      <c r="F14" s="18" t="inlineStr">
        <is>
          <t>docker run</t>
        </is>
      </c>
      <c r="G14" s="18" t="inlineStr">
        <is>
          <t>Which command creates a new container from an image and starts it?</t>
        </is>
      </c>
      <c r="H14" s="17" t="n"/>
      <c r="I14" s="18" t="inlineStr">
        <is>
          <t>CLI command</t>
        </is>
      </c>
      <c r="J14" s="18" t="inlineStr">
        <is>
          <t>Very high</t>
        </is>
      </c>
      <c r="K14" s="18" t="n">
        <v>5</v>
      </c>
      <c r="L14" s="18" t="inlineStr">
        <is>
          <t>An image does nothing until it is started, so one command was needed to create and start a container in a single step.</t>
        </is>
      </c>
      <c r="M14" s="18" t="inlineStr">
        <is>
          <t>Add --rm for throwaway containers so they clean themselves up when they stop.</t>
        </is>
      </c>
      <c r="N14" s="17" t="n"/>
      <c r="O14" s="18" t="inlineStr">
        <is>
          <t>Pressing run is pressing the power button on a sealed box you just unpacked.</t>
        </is>
      </c>
      <c r="P14" s="18" t="inlineStr">
        <is>
          <t>An image turning into a running container with a name and a port.</t>
        </is>
      </c>
      <c r="Q14" s="18" t="inlineStr">
        <is>
          <t>The thrill of seeing your first service answer in seconds.</t>
        </is>
      </c>
      <c r="R14" s="18" t="inlineStr">
        <is>
          <t>docker run creates a container from an image, starts it, and optionally attaches your terminal to it.</t>
        </is>
      </c>
      <c r="S14" s="17" t="n"/>
      <c r="T14" s="19" t="inlineStr">
        <is>
          <t>docker run -d --name web -p 8080:80 nginx:1.27</t>
        </is>
      </c>
      <c r="U14" s="19" t="inlineStr">
        <is>
          <t>A long container ID is printed, and nginx is now reachable at http://localhost:8080.</t>
        </is>
      </c>
      <c r="V14" s="18" t="inlineStr">
        <is>
          <t>-d runs the container in the background. --name gives a readable name instead of a random one. -p publishes a container port on the host. Everything after the image name is the command and its arguments. If the image is missing locally, Docker pulls it first.</t>
        </is>
      </c>
      <c r="W14" s="18" t="inlineStr">
        <is>
          <t>docker run = create + start. Use -d for background, --name for a label, -p for ports.</t>
        </is>
      </c>
      <c r="X14" s="18" t="inlineStr">
        <is>
          <t>It is like unpacking a boxed appliance and plugging it in at once.</t>
        </is>
      </c>
      <c r="Y14" s="19" t="inlineStr">
        <is>
          <t>docker run [options] image [command] [args]</t>
        </is>
      </c>
      <c r="Z14" s="18" t="inlineStr">
        <is>
          <t>-d = background | --name = label | -p host:container = publish port | --rm = remove on exit | -it = interactive terminal</t>
        </is>
      </c>
      <c r="AA14" s="19" t="inlineStr">
        <is>
          <t>docker run --rm hello-world</t>
        </is>
      </c>
      <c r="AB14" s="19" t="inlineStr">
        <is>
          <t>docker run -it --rm alpine sh</t>
        </is>
      </c>
      <c r="AC14" s="19" t="inlineStr">
        <is>
          <t>docker run -d -e POSTGRES_PASSWORD=secret postgres:16</t>
        </is>
      </c>
      <c r="AD14" s="19" t="inlineStr">
        <is>
          <t>docker run --restart unless-stopped -d myapp   // restart after crashes and reboots</t>
        </is>
      </c>
      <c r="AE14" s="18" t="inlineStr">
        <is>
          <t>docker ps, docker logs, docker stop</t>
        </is>
      </c>
      <c r="AF14" s="18" t="inlineStr">
        <is>
          <t>docker ps, docker exec, port mapping</t>
        </is>
      </c>
      <c r="AG14" s="18" t="inlineStr">
        <is>
          <t>docker compose up | docker create followed by docker start</t>
        </is>
      </c>
      <c r="AH14" s="17" t="n"/>
      <c r="AI14" s="18" t="inlineStr">
        <is>
          <t>Local testing | Quick tools | One-off jobs</t>
        </is>
      </c>
      <c r="AJ14" s="18" t="inlineStr">
        <is>
          <t>A: The page does not load. | B: You forgot -p, so no host port points at the container.</t>
        </is>
      </c>
      <c r="AK14" s="18" t="inlineStr">
        <is>
          <t>✗ Running docker run twice just restarts the same container → ✓ Each docker run creates a brand new container</t>
        </is>
      </c>
      <c r="AL14" s="18" t="inlineStr">
        <is>
          <t>docker run vs docker start: run creates a new container, start restarts an existing one.</t>
        </is>
      </c>
      <c r="AM14" s="18" t="inlineStr">
        <is>
          <t>Do not use unnamed, never-removed containers for everyday testing.</t>
        </is>
      </c>
      <c r="AN14" s="19" t="inlineStr">
        <is>
          <t>docker run nginx -d</t>
        </is>
      </c>
      <c r="AO14" s="19" t="inlineStr">
        <is>
          <t>docker run -d nginx</t>
        </is>
      </c>
      <c r="AP14" s="18" t="inlineStr">
        <is>
          <t>Options go before the image, command after.</t>
        </is>
      </c>
      <c r="AQ14" s="18" t="inlineStr">
        <is>
          <t>Starting a local Postgres container so the team could test migrations.</t>
        </is>
      </c>
      <c r="AR14" s="18" t="inlineStr">
        <is>
          <t>An interviewer may ask: What does docker run do step by step?</t>
        </is>
      </c>
      <c r="AS14" s="18" t="inlineStr">
        <is>
          <t>It is like unpacking an appliance and switching it on at once.</t>
        </is>
      </c>
      <c r="AT14" s="18" t="inlineStr">
        <is>
          <t>Where do the docker run options such as -d belong?</t>
        </is>
      </c>
      <c r="AU14" s="18" t="inlineStr">
        <is>
          <t>A) Before the image name B) In a separate file C) After the image name D) After the container ID</t>
        </is>
      </c>
      <c r="AV14" s="18" t="inlineStr">
        <is>
          <t>A</t>
        </is>
      </c>
      <c r="AW14" s="18" t="inlineStr">
        <is>
          <t>Anything after the image name is passed to the container as its command.</t>
        </is>
      </c>
      <c r="AX14" s="19" t="inlineStr">
        <is>
          <t>Use the flag ____ to remove the container automatically when it exits → --rm</t>
        </is>
      </c>
      <c r="AY14" s="18" t="inlineStr">
        <is>
          <t>Run nginx in the background on host port 8080.</t>
        </is>
      </c>
      <c r="AZ14" s="19" t="inlineStr">
        <is>
          <t>docker run -d -p 8080:80 nginx</t>
        </is>
      </c>
      <c r="BA14" s="18" t="inlineStr">
        <is>
          <t>Start a throwaway alpine shell that deletes itself on exit.</t>
        </is>
      </c>
      <c r="BB14" s="19" t="inlineStr">
        <is>
          <t>What does -p 8080:80 mean?</t>
        </is>
      </c>
      <c r="BC14" s="19" t="inlineStr">
        <is>
          <t>Host port 8080 forwards to container port 80.</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81" customHeight="1">
      <c r="A15" s="17" t="inlineStr">
        <is>
          <t>DKR-018</t>
        </is>
      </c>
      <c r="B15" s="17" t="inlineStr">
        <is>
          <t>03 Docker CLI</t>
        </is>
      </c>
      <c r="C15" s="17" t="inlineStr">
        <is>
          <t>Beginner</t>
        </is>
      </c>
      <c r="D15" s="17" t="n">
        <v>18</v>
      </c>
      <c r="E15" s="17" t="inlineStr">
        <is>
          <t>Claude knowledge</t>
        </is>
      </c>
      <c r="F15" s="18" t="inlineStr">
        <is>
          <t>docker ps</t>
        </is>
      </c>
      <c r="G15" s="18" t="inlineStr">
        <is>
          <t>Which command lists containers so you can see what is running or has stopped?</t>
        </is>
      </c>
      <c r="H15" s="17" t="n"/>
      <c r="I15" s="18" t="inlineStr">
        <is>
          <t>CLI command</t>
        </is>
      </c>
      <c r="J15" s="18" t="inlineStr">
        <is>
          <t>Very high</t>
        </is>
      </c>
      <c r="K15" s="18" t="n">
        <v>5</v>
      </c>
      <c r="L15" s="18" t="inlineStr">
        <is>
          <t>After starting several containers you need a quick list of them, so Docker gave a ps command, borrowed from Linux process listing.</t>
        </is>
      </c>
      <c r="M15" s="18" t="inlineStr">
        <is>
          <t>Use docker ps -a to also see stopped containers when something vanished.</t>
        </is>
      </c>
      <c r="N15" s="17" t="n"/>
      <c r="O15" s="18" t="inlineStr">
        <is>
          <t>ps is the attendance sheet that names every container in the room.</t>
        </is>
      </c>
      <c r="P15" s="18" t="inlineStr">
        <is>
          <t>A table of IDs, images, status and ports.</t>
        </is>
      </c>
      <c r="Q15" s="18" t="inlineStr">
        <is>
          <t>The relief of finding the missing container in the list.</t>
        </is>
      </c>
      <c r="R15" s="18" t="inlineStr">
        <is>
          <t>docker ps lists running containers, and with -a it also lists stopped ones.</t>
        </is>
      </c>
      <c r="S15" s="17" t="n"/>
      <c r="T15" s="19" t="inlineStr">
        <is>
          <t>docker ps -a --format "table {{.Names}}\t{{.Status}}\t{{.Ports}}"</t>
        </is>
      </c>
      <c r="U15" s="19" t="inlineStr">
        <is>
          <t>A table shows each container's name, status such as Up 3 minutes or Exited (1), and its ports.</t>
        </is>
      </c>
      <c r="V15" s="18" t="inlineStr">
        <is>
          <t>Without options only running containers appear. -a adds stopped containers, which is where a crashed container hides. -q prints only IDs, useful for scripting. --filter narrows the list, for example by status or name. --format controls columns using a Go template.</t>
        </is>
      </c>
      <c r="W15" s="18" t="inlineStr">
        <is>
          <t>docker ps shows running containers, docker ps -a shows all of them.</t>
        </is>
      </c>
      <c r="X15" s="18" t="inlineStr">
        <is>
          <t>It is like the attendance sheet in a classroom.</t>
        </is>
      </c>
      <c r="Y15" s="19" t="inlineStr">
        <is>
          <t>docker ps [-a] [-q] [--filter key=value] [--format template]</t>
        </is>
      </c>
      <c r="Z15" s="18" t="inlineStr">
        <is>
          <t>-a = include stopped | -q = IDs only | --filter = narrow | --format = custom columns</t>
        </is>
      </c>
      <c r="AA15" s="19" t="inlineStr">
        <is>
          <t>docker ps</t>
        </is>
      </c>
      <c r="AB15" s="19" t="inlineStr">
        <is>
          <t>docker ps --filter status=exited</t>
        </is>
      </c>
      <c r="AC15" s="19" t="inlineStr">
        <is>
          <t>docker ps -q</t>
        </is>
      </c>
      <c r="AD15" s="19" t="inlineStr">
        <is>
          <t>docker container ls -a   // the longer, equivalent form</t>
        </is>
      </c>
      <c r="AE15" s="18" t="inlineStr">
        <is>
          <t>docker logs, docker rm, docker stop</t>
        </is>
      </c>
      <c r="AF15" s="18" t="inlineStr">
        <is>
          <t>docker logs, docker stop and rm, docker run</t>
        </is>
      </c>
      <c r="AG15" s="18" t="inlineStr">
        <is>
          <t>docker compose ps | docker stats</t>
        </is>
      </c>
      <c r="AH15" s="17" t="n"/>
      <c r="AI15" s="18" t="inlineStr">
        <is>
          <t>Checking health | Finding crashed containers | Scripts</t>
        </is>
      </c>
      <c r="AJ15" s="18" t="inlineStr">
        <is>
          <t>A: My container disappeared. | B: Run docker ps -a, it probably exited.</t>
        </is>
      </c>
      <c r="AK15" s="18" t="inlineStr">
        <is>
          <t>✗ A container missing from docker ps was deleted → ✓ It may simply have stopped, so check with -a</t>
        </is>
      </c>
      <c r="AL15" s="18" t="inlineStr">
        <is>
          <t>docker ps vs docker images: ps lists containers, images lists templates.</t>
        </is>
      </c>
      <c r="AM15" s="18" t="inlineStr">
        <is>
          <t>Do not assume a container is gone before checking with -a.</t>
        </is>
      </c>
      <c r="AN15" s="19" t="inlineStr">
        <is>
          <t>docker ps --stopped</t>
        </is>
      </c>
      <c r="AO15" s="19" t="inlineStr">
        <is>
          <t>docker ps --filter status=exited</t>
        </is>
      </c>
      <c r="AP15" s="18" t="inlineStr">
        <is>
          <t>Add dash a to see all of them.</t>
        </is>
      </c>
      <c r="AQ15" s="18" t="inlineStr">
        <is>
          <t>Checking which containers crashed after a deploy by listing exited ones.</t>
        </is>
      </c>
      <c r="AR15" s="18" t="inlineStr">
        <is>
          <t>An interviewer may ask: How do you find a stopped container?</t>
        </is>
      </c>
      <c r="AS15" s="18" t="inlineStr">
        <is>
          <t>It is like checking the full attendance sheet, including absentees.</t>
        </is>
      </c>
      <c r="AT15" s="18" t="inlineStr">
        <is>
          <t>Which option also shows stopped containers?</t>
        </is>
      </c>
      <c r="AU15" s="18" t="inlineStr">
        <is>
          <t>A) -q B) -f C) -d D) -a</t>
        </is>
      </c>
      <c r="AV15" s="18" t="inlineStr">
        <is>
          <t>D</t>
        </is>
      </c>
      <c r="AW15" s="18" t="inlineStr">
        <is>
          <t>-a means all containers, not only running ones.</t>
        </is>
      </c>
      <c r="AX15" s="19" t="inlineStr">
        <is>
          <t>To list only container IDs you add the flag ____ → -q</t>
        </is>
      </c>
      <c r="AY15" s="18" t="inlineStr">
        <is>
          <t>Show all containers including stopped ones.</t>
        </is>
      </c>
      <c r="AZ15" s="19" t="inlineStr">
        <is>
          <t>docker ps -a</t>
        </is>
      </c>
      <c r="BA15" s="18" t="inlineStr">
        <is>
          <t>List only the IDs of exited containers.</t>
        </is>
      </c>
      <c r="BB15" s="19" t="inlineStr">
        <is>
          <t>What does docker ps -q print?</t>
        </is>
      </c>
      <c r="BC15" s="19" t="inlineStr">
        <is>
          <t>Only the container IDs, one per line.</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94.5" customHeight="1">
      <c r="A16" s="17" t="inlineStr">
        <is>
          <t>DKR-019</t>
        </is>
      </c>
      <c r="B16" s="17" t="inlineStr">
        <is>
          <t>03 Docker CLI</t>
        </is>
      </c>
      <c r="C16" s="17" t="inlineStr">
        <is>
          <t>Beginner</t>
        </is>
      </c>
      <c r="D16" s="17" t="n">
        <v>19</v>
      </c>
      <c r="E16" s="17" t="inlineStr">
        <is>
          <t>Claude knowledge</t>
        </is>
      </c>
      <c r="F16" s="18" t="inlineStr">
        <is>
          <t>docker logs</t>
        </is>
      </c>
      <c r="G16" s="18" t="inlineStr">
        <is>
          <t>Which command shows what a container has printed to its output?</t>
        </is>
      </c>
      <c r="H16" s="17" t="n"/>
      <c r="I16" s="18" t="inlineStr">
        <is>
          <t>CLI command</t>
        </is>
      </c>
      <c r="J16" s="18" t="inlineStr">
        <is>
          <t>Very high</t>
        </is>
      </c>
      <c r="K16" s="18" t="n">
        <v>5</v>
      </c>
      <c r="L16" s="18" t="inlineStr">
        <is>
          <t>Containers run in the background with no terminal, so Docker stores their output and lets you read it later with logs.</t>
        </is>
      </c>
      <c r="M16" s="18" t="inlineStr">
        <is>
          <t>Use -f to follow new lines and --tail to avoid flooding your screen.</t>
        </is>
      </c>
      <c r="N16" s="17" t="n"/>
      <c r="O16" s="18" t="inlineStr">
        <is>
          <t>Logs are the container's diary that you read when it misbehaves.</t>
        </is>
      </c>
      <c r="P16" s="18" t="inlineStr">
        <is>
          <t>Lines of text scrolling from a running service.</t>
        </is>
      </c>
      <c r="Q16" s="18" t="inlineStr">
        <is>
          <t>The satisfaction of spotting the real error line.</t>
        </is>
      </c>
      <c r="R16" s="18" t="inlineStr">
        <is>
          <t>docker logs prints the standard output and standard error that a container has written.</t>
        </is>
      </c>
      <c r="S16" s="17" t="n"/>
      <c r="T16" s="19" t="inlineStr">
        <is>
          <t>docker logs -f --tail 100 --since 10m web</t>
        </is>
      </c>
      <c r="U16" s="19" t="inlineStr">
        <is>
          <t>The last 100 lines are shown, then new lines keep appearing as the container writes them.</t>
        </is>
      </c>
      <c r="V16" s="18" t="inlineStr">
        <is>
          <t>Docker captures what the main process writes to stdout and stderr. A service that writes only to a file inside the container shows nothing here. --since limits by time, and -t adds timestamps. Logs live as long as the container, so removing it removes them unless a log driver ships them elsewhere.</t>
        </is>
      </c>
      <c r="W16" s="18" t="inlineStr">
        <is>
          <t>docker logs name shows output, -f follows it, --tail limits the lines.</t>
        </is>
      </c>
      <c r="X16" s="18" t="inlineStr">
        <is>
          <t>It is like reading a diary the container wrote while you were away.</t>
        </is>
      </c>
      <c r="Y16" s="19" t="inlineStr">
        <is>
          <t>docker logs [-f] [--tail N] [--since time] [-t] container</t>
        </is>
      </c>
      <c r="Z16" s="18" t="inlineStr">
        <is>
          <t>-f = follow | --tail N = last N lines | --since = recent only | -t = timestamps</t>
        </is>
      </c>
      <c r="AA16" s="19" t="inlineStr">
        <is>
          <t>docker logs web</t>
        </is>
      </c>
      <c r="AB16" s="19" t="inlineStr">
        <is>
          <t>docker logs --tail 50 web</t>
        </is>
      </c>
      <c r="AC16" s="19" t="inlineStr">
        <is>
          <t>docker logs -t --since 1h web</t>
        </is>
      </c>
      <c r="AD16" s="19" t="inlineStr">
        <is>
          <t>docker compose logs -f api   // follow one Compose service</t>
        </is>
      </c>
      <c r="AE16" s="18" t="inlineStr">
        <is>
          <t>docker ps, docker exec, log drivers</t>
        </is>
      </c>
      <c r="AF16" s="18" t="inlineStr">
        <is>
          <t>docker ps, docker exec, logging and monitoring</t>
        </is>
      </c>
      <c r="AG16" s="18" t="inlineStr">
        <is>
          <t>Central log tools | docker compose logs</t>
        </is>
      </c>
      <c r="AH16" s="17" t="n"/>
      <c r="AI16" s="18" t="inlineStr">
        <is>
          <t>Debugging | Checking startup | Incident response</t>
        </is>
      </c>
      <c r="AJ16" s="18" t="inlineStr">
        <is>
          <t>A: The container exits at once. | B: Check docker logs to read its last error.</t>
        </is>
      </c>
      <c r="AK16" s="18" t="inlineStr">
        <is>
          <t>✗ docker logs shows every file inside the container → ✓ It shows only what the main process sent to stdout and stderr</t>
        </is>
      </c>
      <c r="AL16" s="18" t="inlineStr">
        <is>
          <t>docker logs vs docker exec: logs reads past output, exec runs a new command.</t>
        </is>
      </c>
      <c r="AM16" s="18" t="inlineStr">
        <is>
          <t>Do not write application logs only to a file inside the container.</t>
        </is>
      </c>
      <c r="AN16" s="19" t="inlineStr">
        <is>
          <t>docker logs web --follow-all</t>
        </is>
      </c>
      <c r="AO16" s="19" t="inlineStr">
        <is>
          <t>docker logs -f web</t>
        </is>
      </c>
      <c r="AP16" s="18" t="inlineStr">
        <is>
          <t>Follow flag keeps the diary open.</t>
        </is>
      </c>
      <c r="AQ16" s="18" t="inlineStr">
        <is>
          <t>Reading startup logs to find a missing environment variable in staging.</t>
        </is>
      </c>
      <c r="AR16" s="18" t="inlineStr">
        <is>
          <t>An interviewer may ask: How do you debug a container that exits immediately?</t>
        </is>
      </c>
      <c r="AS16" s="18" t="inlineStr">
        <is>
          <t>It is like reading the diary of someone who left the room.</t>
        </is>
      </c>
      <c r="AT16" s="18" t="inlineStr">
        <is>
          <t>What does docker logs read from?</t>
        </is>
      </c>
      <c r="AU16" s="18" t="inlineStr">
        <is>
          <t>A) The host system journal only B) The standard output and error of the main process C) The image layers D) Every file in the container</t>
        </is>
      </c>
      <c r="AV16" s="18" t="inlineStr">
        <is>
          <t>B</t>
        </is>
      </c>
      <c r="AW16" s="18" t="inlineStr">
        <is>
          <t>Docker records the main process output streams.</t>
        </is>
      </c>
      <c r="AX16" s="19" t="inlineStr">
        <is>
          <t>The flag ____ keeps streaming new lines as they appear → -f</t>
        </is>
      </c>
      <c r="AY16" s="18" t="inlineStr">
        <is>
          <t>Show the last 20 lines of the container named api.</t>
        </is>
      </c>
      <c r="AZ16" s="19" t="inlineStr">
        <is>
          <t>docker logs --tail 20 api</t>
        </is>
      </c>
      <c r="BA16" s="18" t="inlineStr">
        <is>
          <t>Follow the logs of web with timestamps.</t>
        </is>
      </c>
      <c r="BB16" s="19" t="inlineStr">
        <is>
          <t>Why can docker logs be empty for a working service?</t>
        </is>
      </c>
      <c r="BC16" s="19" t="inlineStr">
        <is>
          <t>The service may write only to a file instead of stdout and stderr.</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94.5" customHeight="1">
      <c r="A17" s="17" t="inlineStr">
        <is>
          <t>DKR-020</t>
        </is>
      </c>
      <c r="B17" s="17" t="inlineStr">
        <is>
          <t>03 Docker CLI</t>
        </is>
      </c>
      <c r="C17" s="17" t="inlineStr">
        <is>
          <t>Beginner</t>
        </is>
      </c>
      <c r="D17" s="17" t="n">
        <v>20</v>
      </c>
      <c r="E17" s="17" t="inlineStr">
        <is>
          <t>Claude knowledge</t>
        </is>
      </c>
      <c r="F17" s="18" t="inlineStr">
        <is>
          <t>docker exec</t>
        </is>
      </c>
      <c r="G17" s="18" t="inlineStr">
        <is>
          <t>Which command runs an extra command inside a container that is already running?</t>
        </is>
      </c>
      <c r="H17" s="17" t="n"/>
      <c r="I17" s="18" t="inlineStr">
        <is>
          <t>CLI command</t>
        </is>
      </c>
      <c r="J17" s="18" t="inlineStr">
        <is>
          <t>Very high</t>
        </is>
      </c>
      <c r="K17" s="18" t="n">
        <v>5</v>
      </c>
      <c r="L17" s="18" t="inlineStr">
        <is>
          <t>When a live container misbehaves you want to look inside it, so Docker lets you start a second process in its environment.</t>
        </is>
      </c>
      <c r="M17" s="18" t="inlineStr">
        <is>
          <t>Use exec for inspecting, but fix the cause in the Dockerfile rather than patching a live container.</t>
        </is>
      </c>
      <c r="N17" s="17" t="n"/>
      <c r="O17" s="18" t="inlineStr">
        <is>
          <t>Exec is a side door into a room where the main process keeps working.</t>
        </is>
      </c>
      <c r="P17" s="18" t="inlineStr">
        <is>
          <t>A terminal opening inside a running container.</t>
        </is>
      </c>
      <c r="Q17" s="18" t="inlineStr">
        <is>
          <t>The calm of finally seeing the file system the app sees.</t>
        </is>
      </c>
      <c r="R17" s="18" t="inlineStr">
        <is>
          <t>docker exec runs a new command inside a running container, often an interactive shell.</t>
        </is>
      </c>
      <c r="S17" s="17" t="n"/>
      <c r="T17" s="19" t="inlineStr">
        <is>
          <t>docker exec -it web sh</t>
        </is>
      </c>
      <c r="U17" s="19" t="inlineStr">
        <is>
          <t>A shell prompt opens inside the container, and typing exit returns you to the host.</t>
        </is>
      </c>
      <c r="V17" s="18" t="inlineStr">
        <is>
          <t>exec needs a running container, and it starts an additional process without touching the main one. -i keeps input open and -t gives a terminal, so -it is needed for a shell. Slim images may have sh but not bash. Changes made inside are lost when the container is replaced.</t>
        </is>
      </c>
      <c r="W17" s="18" t="inlineStr">
        <is>
          <t>docker exec -it name sh opens a shell inside a running container.</t>
        </is>
      </c>
      <c r="X17" s="18" t="inlineStr">
        <is>
          <t>It is like walking through a side door into a room that stays busy.</t>
        </is>
      </c>
      <c r="Y17" s="19" t="inlineStr">
        <is>
          <t>docker exec [-it] [-u user] [-w dir] container command</t>
        </is>
      </c>
      <c r="Z17" s="18" t="inlineStr">
        <is>
          <t>-i = keep input open | -t = terminal | -u = run as user | -w = working folder</t>
        </is>
      </c>
      <c r="AA17" s="19" t="inlineStr">
        <is>
          <t>docker exec web ls /app</t>
        </is>
      </c>
      <c r="AB17" s="19" t="inlineStr">
        <is>
          <t>docker exec -u root -it web sh</t>
        </is>
      </c>
      <c r="AC17" s="19" t="inlineStr">
        <is>
          <t>docker exec db psql -U postgres -c "select 1"</t>
        </is>
      </c>
      <c r="AD17" s="19" t="inlineStr">
        <is>
          <t>docker exec -e DEBUG=1 web env   // pass a variable to this one command</t>
        </is>
      </c>
      <c r="AE17" s="18" t="inlineStr">
        <is>
          <t>docker ps, docker logs, docker cp</t>
        </is>
      </c>
      <c r="AF17" s="18" t="inlineStr">
        <is>
          <t>docker run, docker logs, debugging a failing container</t>
        </is>
      </c>
      <c r="AG17" s="18" t="inlineStr">
        <is>
          <t>docker run for a new container | docker compose exec</t>
        </is>
      </c>
      <c r="AH17" s="17" t="n"/>
      <c r="AI17" s="18" t="inlineStr">
        <is>
          <t>Debugging | Running migrations | Database access</t>
        </is>
      </c>
      <c r="AJ17" s="18" t="inlineStr">
        <is>
          <t>A: How do I check the config inside? | B: Open a shell with docker exec -it.</t>
        </is>
      </c>
      <c r="AK17" s="18" t="inlineStr">
        <is>
          <t>✗ docker exec starts a new container → ✓ It runs an extra process in the existing running container</t>
        </is>
      </c>
      <c r="AL17" s="18" t="inlineStr">
        <is>
          <t>docker exec vs docker run: exec uses a running container, run makes a new one.</t>
        </is>
      </c>
      <c r="AM17" s="18" t="inlineStr">
        <is>
          <t>Do not hot-fix production containers by hand through exec.</t>
        </is>
      </c>
      <c r="AN17" s="19" t="inlineStr">
        <is>
          <t>docker exec web sh</t>
        </is>
      </c>
      <c r="AO17" s="19" t="inlineStr">
        <is>
          <t>docker exec -it web sh</t>
        </is>
      </c>
      <c r="AP17" s="18" t="inlineStr">
        <is>
          <t>Interactive shell needs both i and t.</t>
        </is>
      </c>
      <c r="AQ17" s="18" t="inlineStr">
        <is>
          <t>Opening a shell in the API container to check mounted config files.</t>
        </is>
      </c>
      <c r="AR17" s="18" t="inlineStr">
        <is>
          <t>An interviewer may ask: How would you inspect a running container?</t>
        </is>
      </c>
      <c r="AS17" s="18" t="inlineStr">
        <is>
          <t>It is like entering through a side door without stopping the work.</t>
        </is>
      </c>
      <c r="AT17" s="18" t="inlineStr">
        <is>
          <t>Which flags give you an interactive shell with exec?</t>
        </is>
      </c>
      <c r="AU17" s="18" t="inlineStr">
        <is>
          <t>A) -rm B) -p C) -it D) -d</t>
        </is>
      </c>
      <c r="AV17" s="18" t="inlineStr">
        <is>
          <t>C</t>
        </is>
      </c>
      <c r="AW17" s="18" t="inlineStr">
        <is>
          <t>-i keeps input open and -t allocates a terminal.</t>
        </is>
      </c>
      <c r="AX17" s="19" t="inlineStr">
        <is>
          <t>docker exec only works on a ____ container → running</t>
        </is>
      </c>
      <c r="AY17" s="18" t="inlineStr">
        <is>
          <t>Open a shell in the running container called api.</t>
        </is>
      </c>
      <c r="AZ17" s="19" t="inlineStr">
        <is>
          <t>docker exec -it api sh</t>
        </is>
      </c>
      <c r="BA17" s="18" t="inlineStr">
        <is>
          <t>List the files in /app inside the web container without a shell.</t>
        </is>
      </c>
      <c r="BB17" s="19" t="inlineStr">
        <is>
          <t>Why might docker exec web bash fail on a small image?</t>
        </is>
      </c>
      <c r="BC17" s="19" t="inlineStr">
        <is>
          <t>Slim images often have sh but not bash.</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94.5" customHeight="1">
      <c r="A18" s="17" t="inlineStr">
        <is>
          <t>DKR-021</t>
        </is>
      </c>
      <c r="B18" s="17" t="inlineStr">
        <is>
          <t>03 Docker CLI</t>
        </is>
      </c>
      <c r="C18" s="17" t="inlineStr">
        <is>
          <t>Beginner</t>
        </is>
      </c>
      <c r="D18" s="17" t="n">
        <v>21</v>
      </c>
      <c r="E18" s="17" t="inlineStr">
        <is>
          <t>Claude knowledge</t>
        </is>
      </c>
      <c r="F18" s="18" t="inlineStr">
        <is>
          <t>docker stop and docker rm</t>
        </is>
      </c>
      <c r="G18" s="18" t="inlineStr">
        <is>
          <t>Which commands stop a container and then delete it?</t>
        </is>
      </c>
      <c r="H18" s="17" t="n"/>
      <c r="I18" s="18" t="inlineStr">
        <is>
          <t>CLI command</t>
        </is>
      </c>
      <c r="J18" s="18" t="inlineStr">
        <is>
          <t>Very high</t>
        </is>
      </c>
      <c r="K18" s="18" t="n">
        <v>4</v>
      </c>
      <c r="L18" s="18" t="inlineStr">
        <is>
          <t>Containers pile up as you test, so Docker separates stopping a process from deleting its leftover container.</t>
        </is>
      </c>
      <c r="M18" s="18" t="inlineStr">
        <is>
          <t>docker rm -f stops and removes in one step when you are sure.</t>
        </is>
      </c>
      <c r="N18" s="17" t="n"/>
      <c r="O18" s="18" t="inlineStr">
        <is>
          <t>Stop turns off the machine, and rm carries the machine away.</t>
        </is>
      </c>
      <c r="P18" s="18" t="inlineStr">
        <is>
          <t>A container going from Up to Exited to gone.</t>
        </is>
      </c>
      <c r="Q18" s="18" t="inlineStr">
        <is>
          <t>The tidy feeling of an empty container list.</t>
        </is>
      </c>
      <c r="R18" s="18" t="inlineStr">
        <is>
          <t>docker stop sends a polite stop signal and then kills after a timeout, and docker rm deletes a stopped container.</t>
        </is>
      </c>
      <c r="S18" s="17" t="n"/>
      <c r="T18" s="19" t="inlineStr">
        <is>
          <t>docker stop web
docker rm web
docker rm -f old-api</t>
        </is>
      </c>
      <c r="U18" s="19" t="inlineStr">
        <is>
          <t>The names are echoed back, web is gone, and old-api is force removed even if it was running.</t>
        </is>
      </c>
      <c r="V18" s="18" t="inlineStr">
        <is>
          <t>stop sends SIGTERM and waits, 10 seconds by default, before SIGKILL. A stopped container still exists and keeps its writable layer until it is removed. rm refuses to delete a running container unless you add -f. Named volumes always survive rm, and -v removes only anonymous volumes.</t>
        </is>
      </c>
      <c r="W18" s="18" t="inlineStr">
        <is>
          <t>stop shuts it down gracefully, rm deletes it, rm -f does both quickly.</t>
        </is>
      </c>
      <c r="X18" s="18" t="inlineStr">
        <is>
          <t>It is like powering a machine off and then carrying it out of the room.</t>
        </is>
      </c>
      <c r="Y18" s="19" t="inlineStr">
        <is>
          <t>docker stop [-t seconds] container | docker rm [-f] [-v] container</t>
        </is>
      </c>
      <c r="Z18" s="18" t="inlineStr">
        <is>
          <t>stop = graceful shutdown | -t = wait time | rm = delete | -f = force | -v = remove anonymous volumes</t>
        </is>
      </c>
      <c r="AA18" s="19" t="inlineStr">
        <is>
          <t>docker stop web</t>
        </is>
      </c>
      <c r="AB18" s="19" t="inlineStr">
        <is>
          <t>docker rm -f web</t>
        </is>
      </c>
      <c r="AC18" s="19" t="inlineStr">
        <is>
          <t>docker rm $(docker ps -aq --filter status=exited)</t>
        </is>
      </c>
      <c r="AD18" s="19" t="inlineStr">
        <is>
          <t>docker container prune   // remove all stopped containers</t>
        </is>
      </c>
      <c r="AE18" s="18" t="inlineStr">
        <is>
          <t>docker ps, docker run, docker volume</t>
        </is>
      </c>
      <c r="AF18" s="18" t="inlineStr">
        <is>
          <t>docker ps, volumes, docker prune</t>
        </is>
      </c>
      <c r="AG18" s="18" t="inlineStr">
        <is>
          <t>docker run --rm | docker compose down</t>
        </is>
      </c>
      <c r="AH18" s="17" t="n"/>
      <c r="AI18" s="18" t="inlineStr">
        <is>
          <t>Cleanup | Redeploys | Local development</t>
        </is>
      </c>
      <c r="AJ18" s="18" t="inlineStr">
        <is>
          <t>A: The name is already in use. | B: Remove the old container with docker rm first.</t>
        </is>
      </c>
      <c r="AK18" s="18" t="inlineStr">
        <is>
          <t>✗ docker stop deletes the container → ✓ It only stops it, and the container remains until removed</t>
        </is>
      </c>
      <c r="AL18" s="18" t="inlineStr">
        <is>
          <t>docker stop vs docker kill: stop is graceful, kill is immediate.</t>
        </is>
      </c>
      <c r="AM18" s="18" t="inlineStr">
        <is>
          <t>Do not remove a database container without checking where its data lives.</t>
        </is>
      </c>
      <c r="AN18" s="19" t="inlineStr">
        <is>
          <t>docker rm web</t>
        </is>
      </c>
      <c r="AO18" s="19" t="inlineStr">
        <is>
          <t>docker stop web &amp;&amp; docker rm web</t>
        </is>
      </c>
      <c r="AP18" s="18" t="inlineStr">
        <is>
          <t>Stop first, then remove, or force it.</t>
        </is>
      </c>
      <c r="AQ18" s="18" t="inlineStr">
        <is>
          <t>Cleaning exited test containers before each local integration run.</t>
        </is>
      </c>
      <c r="AR18" s="18" t="inlineStr">
        <is>
          <t>An interviewer may ask: What signal does docker stop send?</t>
        </is>
      </c>
      <c r="AS18" s="18" t="inlineStr">
        <is>
          <t>It is like switching a machine off before carrying it out.</t>
        </is>
      </c>
      <c r="AT18" s="18" t="inlineStr">
        <is>
          <t>What does docker rm refuse to do by default?</t>
        </is>
      </c>
      <c r="AU18" s="18" t="inlineStr">
        <is>
          <t>A) Delete a named image B) Print its name C) Delete a running container D) Delete a stopped container</t>
        </is>
      </c>
      <c r="AV18" s="18" t="inlineStr">
        <is>
          <t>C</t>
        </is>
      </c>
      <c r="AW18" s="18" t="inlineStr">
        <is>
          <t>A running container must be stopped or forced with -f.</t>
        </is>
      </c>
      <c r="AX18" s="19" t="inlineStr">
        <is>
          <t>docker stop first sends the signal ____ before force killing → SIGTERM</t>
        </is>
      </c>
      <c r="AY18" s="18" t="inlineStr">
        <is>
          <t>Force remove the container called old-api.</t>
        </is>
      </c>
      <c r="AZ18" s="19" t="inlineStr">
        <is>
          <t>docker rm -f old-api</t>
        </is>
      </c>
      <c r="BA18" s="18" t="inlineStr">
        <is>
          <t>Remove every exited container with one command.</t>
        </is>
      </c>
      <c r="BB18" s="19" t="inlineStr">
        <is>
          <t>Does removing a container delete its named volumes?</t>
        </is>
      </c>
      <c r="BC18" s="19" t="inlineStr">
        <is>
          <t>No, named volumes survive unless you delete them explicitly.</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81" customHeight="1">
      <c r="A19" s="17" t="inlineStr">
        <is>
          <t>DKR-022</t>
        </is>
      </c>
      <c r="B19" s="17" t="inlineStr">
        <is>
          <t>03 Docker CLI</t>
        </is>
      </c>
      <c r="C19" s="17" t="inlineStr">
        <is>
          <t>Beginner</t>
        </is>
      </c>
      <c r="D19" s="17" t="n">
        <v>22</v>
      </c>
      <c r="E19" s="17" t="inlineStr">
        <is>
          <t>Claude knowledge</t>
        </is>
      </c>
      <c r="F19" s="18" t="inlineStr">
        <is>
          <t>docker images</t>
        </is>
      </c>
      <c r="G19" s="18" t="inlineStr">
        <is>
          <t>Which command lists the images stored on your machine and how big they are?</t>
        </is>
      </c>
      <c r="H19" s="17" t="n"/>
      <c r="I19" s="18" t="inlineStr">
        <is>
          <t>CLI command</t>
        </is>
      </c>
      <c r="J19" s="18" t="inlineStr">
        <is>
          <t>High</t>
        </is>
      </c>
      <c r="K19" s="18" t="n">
        <v>4</v>
      </c>
      <c r="L19" s="18" t="inlineStr">
        <is>
          <t>Images accumulate with every pull and build, so you need a list to know what is stored and what can be removed.</t>
        </is>
      </c>
      <c r="M19" s="18" t="inlineStr">
        <is>
          <t>Check sizes here when an image feels too big, then look at layers with docker history.</t>
        </is>
      </c>
      <c r="N19" s="17" t="n"/>
      <c r="O19" s="18" t="inlineStr">
        <is>
          <t>Images is the shelf list of every template you own.</t>
        </is>
      </c>
      <c r="P19" s="18" t="inlineStr">
        <is>
          <t>A table of repository, tag, ID and size.</t>
        </is>
      </c>
      <c r="Q19" s="18" t="inlineStr">
        <is>
          <t>The shock of seeing a one gigabyte image for a tiny app.</t>
        </is>
      </c>
      <c r="R19" s="18" t="inlineStr">
        <is>
          <t>docker images lists local images with repository, tag, image ID, age and size.</t>
        </is>
      </c>
      <c r="S19" s="17" t="n"/>
      <c r="T19" s="19" t="inlineStr">
        <is>
          <t>docker images
docker image rm nginx:1.25
docker history myapp:1.0</t>
        </is>
      </c>
      <c r="U19" s="19" t="inlineStr">
        <is>
          <t>The table lists images, nginx 1.25 is deleted, and the history shows each layer with its size.</t>
        </is>
      </c>
      <c r="V19" s="18" t="inlineStr">
        <is>
          <t>An image can have several tags pointing at one ID. Removing a tag only deletes the image when no other tag or container uses it. Untagged leftovers show as dangling entries with none as the name. docker history reveals which instruction added the weight.</t>
        </is>
      </c>
      <c r="W19" s="18" t="inlineStr">
        <is>
          <t>docker images lists them, docker image rm deletes one, docker history shows layer sizes.</t>
        </is>
      </c>
      <c r="X19" s="18" t="inlineStr">
        <is>
          <t>It is like the inventory list of all templates on the shelf.</t>
        </is>
      </c>
      <c r="Y19" s="19" t="inlineStr">
        <is>
          <t>docker images [-a] [--filter dangling=true] | docker image rm image</t>
        </is>
      </c>
      <c r="Z19" s="18" t="inlineStr">
        <is>
          <t>REPOSITORY = name | TAG = version label | IMAGE ID = fingerprint | SIZE = disk space</t>
        </is>
      </c>
      <c r="AA19" s="19" t="inlineStr">
        <is>
          <t>docker images</t>
        </is>
      </c>
      <c r="AB19" s="19" t="inlineStr">
        <is>
          <t>docker images --filter dangling=true</t>
        </is>
      </c>
      <c r="AC19" s="19" t="inlineStr">
        <is>
          <t>docker image prune</t>
        </is>
      </c>
      <c r="AD19" s="19" t="inlineStr">
        <is>
          <t>docker image ls --format "{{.Repository}}:{{.Tag}} {{.Size}}"   // custom output</t>
        </is>
      </c>
      <c r="AE19" s="18" t="inlineStr">
        <is>
          <t>docker pull, docker build, docker history</t>
        </is>
      </c>
      <c r="AF19" s="18" t="inlineStr">
        <is>
          <t>image tags and digests, layers and cache, docker prune</t>
        </is>
      </c>
      <c r="AG19" s="18" t="inlineStr">
        <is>
          <t>docker system df</t>
        </is>
      </c>
      <c r="AH19" s="17" t="n"/>
      <c r="AI19" s="18" t="inlineStr">
        <is>
          <t>Disk cleanup | Size checks | Build review</t>
        </is>
      </c>
      <c r="AJ19" s="18" t="inlineStr">
        <is>
          <t>A: My disk is full. | B: List images and remove the unused big ones.</t>
        </is>
      </c>
      <c r="AK19" s="18" t="inlineStr">
        <is>
          <t>✗ Removing an image removes running containers made from it → ✓ A used image cannot be removed until its containers are gone</t>
        </is>
      </c>
      <c r="AL19" s="18" t="inlineStr">
        <is>
          <t>docker images vs docker ps: images are templates, ps shows running instances.</t>
        </is>
      </c>
      <c r="AM19" s="18" t="inlineStr">
        <is>
          <t>Do not delete images blindly without checking which containers use them.</t>
        </is>
      </c>
      <c r="AN19" s="19" t="inlineStr">
        <is>
          <t>docker rm nginx:1.25</t>
        </is>
      </c>
      <c r="AO19" s="19" t="inlineStr">
        <is>
          <t>docker image rm nginx:1.25</t>
        </is>
      </c>
      <c r="AP19" s="18" t="inlineStr">
        <is>
          <t>Images lists templates, rm needs image first.</t>
        </is>
      </c>
      <c r="AQ19" s="18" t="inlineStr">
        <is>
          <t>Finding a bloated base image by comparing sizes in the local list.</t>
        </is>
      </c>
      <c r="AR19" s="18" t="inlineStr">
        <is>
          <t>An interviewer may ask: What is a dangling image?</t>
        </is>
      </c>
      <c r="AS19" s="18" t="inlineStr">
        <is>
          <t>It is like checking which tools sit unused on a shelf.</t>
        </is>
      </c>
      <c r="AT19" s="18" t="inlineStr">
        <is>
          <t>Which command shows the size added by each layer?</t>
        </is>
      </c>
      <c r="AU19" s="18" t="inlineStr">
        <is>
          <t>A) docker logs B) docker ps C) docker top D) docker history</t>
        </is>
      </c>
      <c r="AV19" s="18" t="inlineStr">
        <is>
          <t>D</t>
        </is>
      </c>
      <c r="AW19" s="18" t="inlineStr">
        <is>
          <t>History lists every layer with the instruction and size.</t>
        </is>
      </c>
      <c r="AX19" s="19" t="inlineStr">
        <is>
          <t>An image without any tag is called a ____ image → dangling</t>
        </is>
      </c>
      <c r="AY19" s="18" t="inlineStr">
        <is>
          <t>Delete the local image nginx:1.25.</t>
        </is>
      </c>
      <c r="AZ19" s="19" t="inlineStr">
        <is>
          <t>docker image rm nginx:1.25</t>
        </is>
      </c>
      <c r="BA19" s="18" t="inlineStr">
        <is>
          <t>Write a command that shows only the dangling images.</t>
        </is>
      </c>
      <c r="BB19" s="19" t="inlineStr">
        <is>
          <t>What does docker image prune remove by default?</t>
        </is>
      </c>
      <c r="BC19" s="19" t="inlineStr">
        <is>
          <t>Dangling images that have no tag.</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94.5" customHeight="1">
      <c r="A20" s="17" t="inlineStr">
        <is>
          <t>DKR-023</t>
        </is>
      </c>
      <c r="B20" s="17" t="inlineStr">
        <is>
          <t>03 Docker CLI</t>
        </is>
      </c>
      <c r="C20" s="17" t="inlineStr">
        <is>
          <t>Intermediate</t>
        </is>
      </c>
      <c r="D20" s="17" t="n">
        <v>23</v>
      </c>
      <c r="E20" s="17" t="inlineStr">
        <is>
          <t>Claude knowledge</t>
        </is>
      </c>
      <c r="F20" s="18" t="inlineStr">
        <is>
          <t>docker pull and docker push</t>
        </is>
      </c>
      <c r="G20" s="18" t="inlineStr">
        <is>
          <t>Which commands download an image from a registry and upload yours to one?</t>
        </is>
      </c>
      <c r="H20" s="17" t="n"/>
      <c r="I20" s="18" t="inlineStr">
        <is>
          <t>CLI command</t>
        </is>
      </c>
      <c r="J20" s="18" t="inlineStr">
        <is>
          <t>High</t>
        </is>
      </c>
      <c r="K20" s="18" t="n">
        <v>5</v>
      </c>
      <c r="L20" s="18" t="inlineStr">
        <is>
          <t>Images must travel between machines, so Docker uses pull to download and push to upload through a registry.</t>
        </is>
      </c>
      <c r="M20" s="18" t="inlineStr">
        <is>
          <t>Log in with docker login first, and tag the image with the registry name before pushing.</t>
        </is>
      </c>
      <c r="N20" s="17" t="n"/>
      <c r="O20" s="18" t="inlineStr">
        <is>
          <t>Pull drags an image to you, and push shoves yours to the shared shelf.</t>
        </is>
      </c>
      <c r="P20" s="18" t="inlineStr">
        <is>
          <t>Arrows between a laptop and a registry cloud.</t>
        </is>
      </c>
      <c r="Q20" s="18" t="inlineStr">
        <is>
          <t>The pride of seeing your image appear in the registry.</t>
        </is>
      </c>
      <c r="R20" s="18" t="inlineStr">
        <is>
          <t>docker pull downloads an image from a registry, and docker push uploads a tagged local image to one.</t>
        </is>
      </c>
      <c r="S20" s="17" t="n"/>
      <c r="T20" s="19" t="inlineStr">
        <is>
          <t>docker login ghcr.io
docker tag myapp:1.0 ghcr.io/acme/myapp:1.0
docker push ghcr.io/acme/myapp:1.0
docker pull ghcr.io/acme/myapp:1.0</t>
        </is>
      </c>
      <c r="U20" s="19" t="inlineStr">
        <is>
          <t>Login succeeds, layers are uploaded, and the pull on another machine downloads the same layers.</t>
        </is>
      </c>
      <c r="V20" s="18" t="inlineStr">
        <is>
          <t>The image name carries the registry host and repository, so a push goes where the name says. Only layers the registry lacks are uploaded. Pulling a tag fetches whatever it points to now, while a digest is fixed. CI systems usually log in with a short-lived token rather than a password.</t>
        </is>
      </c>
      <c r="W20" s="18" t="inlineStr">
        <is>
          <t>Tag with the registry name, login, push. Pull on any machine to get it back.</t>
        </is>
      </c>
      <c r="X20" s="18" t="inlineStr">
        <is>
          <t>It is like uploading a file to a shared drive and downloading it elsewhere.</t>
        </is>
      </c>
      <c r="Y20" s="19" t="inlineStr">
        <is>
          <t>docker pull registry/repo:tag | docker push registry/repo:tag</t>
        </is>
      </c>
      <c r="Z20" s="18" t="inlineStr">
        <is>
          <t>registry = server host | repo = path | tag = version | login = authenticate first</t>
        </is>
      </c>
      <c r="AA20" s="19" t="inlineStr">
        <is>
          <t>docker pull python:3.12-slim</t>
        </is>
      </c>
      <c r="AB20" s="19" t="inlineStr">
        <is>
          <t>docker push acme/api:2.1</t>
        </is>
      </c>
      <c r="AC20" s="19" t="inlineStr">
        <is>
          <t>docker pull ghcr.io/acme/api@sha256:abc123</t>
        </is>
      </c>
      <c r="AD20" s="19" t="inlineStr">
        <is>
          <t>docker pull --platform linux/arm64 alpine   // choose a CPU type</t>
        </is>
      </c>
      <c r="AE20" s="18" t="inlineStr">
        <is>
          <t>docker login, docker tag, registries</t>
        </is>
      </c>
      <c r="AF20" s="18" t="inlineStr">
        <is>
          <t>registries and Docker Hub, image tags and digests, docker tag and build</t>
        </is>
      </c>
      <c r="AG20" s="18" t="inlineStr">
        <is>
          <t>docker save and docker load for offline moves</t>
        </is>
      </c>
      <c r="AH20" s="17" t="n"/>
      <c r="AI20" s="18" t="inlineStr">
        <is>
          <t>CI pipelines | Deployments | Sharing images</t>
        </is>
      </c>
      <c r="AJ20" s="18" t="inlineStr">
        <is>
          <t>A: Push says denied. | B: Log in and tag the image with your registry namespace.</t>
        </is>
      </c>
      <c r="AK20" s="18" t="inlineStr">
        <is>
          <t>✗ docker push uploads the whole image every time → ✓ Only layers that the registry does not already have are uploaded</t>
        </is>
      </c>
      <c r="AL20" s="18" t="inlineStr">
        <is>
          <t>docker pull vs docker run: pull only downloads, run also starts a container.</t>
        </is>
      </c>
      <c r="AM20" s="18" t="inlineStr">
        <is>
          <t>Do not push images that contain secrets or credentials.</t>
        </is>
      </c>
      <c r="AN20" s="19" t="inlineStr">
        <is>
          <t>docker push myapp:1.0</t>
        </is>
      </c>
      <c r="AO20" s="19" t="inlineStr">
        <is>
          <t>docker push ghcr.io/acme/myapp:1.0</t>
        </is>
      </c>
      <c r="AP20" s="18" t="inlineStr">
        <is>
          <t>Name decides where the push goes.</t>
        </is>
      </c>
      <c r="AQ20" s="18" t="inlineStr">
        <is>
          <t>Pushing each CI build to the registry tagged with the commit hash.</t>
        </is>
      </c>
      <c r="AR20" s="18" t="inlineStr">
        <is>
          <t>An interviewer may ask: Why does a push fail with denied?</t>
        </is>
      </c>
      <c r="AS20" s="18" t="inlineStr">
        <is>
          <t>It is like uploading to a shared drive using the right folder path.</t>
        </is>
      </c>
      <c r="AT20" s="18" t="inlineStr">
        <is>
          <t>What decides which registry a push goes to?</t>
        </is>
      </c>
      <c r="AU20" s="18" t="inlineStr">
        <is>
          <t>A) The registry host in the image name B) The container name C) The current folder D) The host port</t>
        </is>
      </c>
      <c r="AV20" s="18" t="inlineStr">
        <is>
          <t>A</t>
        </is>
      </c>
      <c r="AW20" s="18" t="inlineStr">
        <is>
          <t>The name prefix selects the registry and repository.</t>
        </is>
      </c>
      <c r="AX20" s="19" t="inlineStr">
        <is>
          <t>Before pushing to a private registry you must first ____ → login</t>
        </is>
      </c>
      <c r="AY20" s="18" t="inlineStr">
        <is>
          <t>Download the image python 3.12-slim.</t>
        </is>
      </c>
      <c r="AZ20" s="19" t="inlineStr">
        <is>
          <t>docker pull python:3.12-slim</t>
        </is>
      </c>
      <c r="BA20" s="18" t="inlineStr">
        <is>
          <t>Push myapp:1.0 to ghcr.io under the acme account.</t>
        </is>
      </c>
      <c r="BB20" s="19" t="inlineStr">
        <is>
          <t>Why is a pull by digest safer than by tag?</t>
        </is>
      </c>
      <c r="BC20" s="19" t="inlineStr">
        <is>
          <t>A digest always points to the same exact content.</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94.5" customHeight="1">
      <c r="A21" s="17" t="inlineStr">
        <is>
          <t>DKR-024</t>
        </is>
      </c>
      <c r="B21" s="17" t="inlineStr">
        <is>
          <t>03 Docker CLI</t>
        </is>
      </c>
      <c r="C21" s="17" t="inlineStr">
        <is>
          <t>Intermediate</t>
        </is>
      </c>
      <c r="D21" s="17" t="n">
        <v>24</v>
      </c>
      <c r="E21" s="17" t="inlineStr">
        <is>
          <t>Claude knowledge</t>
        </is>
      </c>
      <c r="F21" s="18" t="inlineStr">
        <is>
          <t>docker build and docker tag</t>
        </is>
      </c>
      <c r="G21" s="18" t="inlineStr">
        <is>
          <t>Which commands turn a Dockerfile into an image and give that image a name?</t>
        </is>
      </c>
      <c r="H21" s="17" t="n"/>
      <c r="I21" s="18" t="inlineStr">
        <is>
          <t>CLI command</t>
        </is>
      </c>
      <c r="J21" s="18" t="inlineStr">
        <is>
          <t>Very high</t>
        </is>
      </c>
      <c r="K21" s="18" t="n">
        <v>5</v>
      </c>
      <c r="L21" s="18" t="inlineStr">
        <is>
          <t>A Dockerfile is only instructions, so Docker needs a command that executes them and stores the result as an image.</t>
        </is>
      </c>
      <c r="M21" s="18" t="inlineStr">
        <is>
          <t>Always pass a name with -t, and build from the folder that holds your source.</t>
        </is>
      </c>
      <c r="N21" s="17" t="n"/>
      <c r="O21" s="18" t="inlineStr">
        <is>
          <t>Build is the oven that bakes the recipe, and tag is the label on the box.</t>
        </is>
      </c>
      <c r="P21" s="18" t="inlineStr">
        <is>
          <t>Steps scrolling by and an image appearing in the list.</t>
        </is>
      </c>
      <c r="Q21" s="18" t="inlineStr">
        <is>
          <t>The pleasure of a build finishing without errors.</t>
        </is>
      </c>
      <c r="R21" s="18" t="inlineStr">
        <is>
          <t>docker build reads a Dockerfile and a build context to create an image, and docker tag adds another name to an existing image.</t>
        </is>
      </c>
      <c r="S21" s="17" t="n"/>
      <c r="T21" s="19" t="inlineStr">
        <is>
          <t>docker build -t myapp:1.0 -f Dockerfile .
docker tag myapp:1.0 myapp:latest</t>
        </is>
      </c>
      <c r="U21" s="19" t="inlineStr">
        <is>
          <t>Each step runs, the image myapp:1.0 is created, and a second tag latest points at the same image.</t>
        </is>
      </c>
      <c r="V21" s="18" t="inlineStr">
        <is>
          <t>The final dot is the build context, the folder sent to Docker, and COPY can only use files inside it. -f picks a Dockerfile with another name. --build-arg passes ARG values and --no-cache ignores the cache. Tagging does not copy data, it adds a name to the same image ID.</t>
        </is>
      </c>
      <c r="W21" s="18" t="inlineStr">
        <is>
          <t>docker build -t name . builds an image from the Dockerfile in this folder.</t>
        </is>
      </c>
      <c r="X21" s="18" t="inlineStr">
        <is>
          <t>It is like baking from a recipe and then sticking labels on the box.</t>
        </is>
      </c>
      <c r="Y21" s="19" t="inlineStr">
        <is>
          <t>docker build [-t name:tag] [-f file] [--build-arg K=V] context</t>
        </is>
      </c>
      <c r="Z21" s="18" t="inlineStr">
        <is>
          <t>-t = name and tag | -f = Dockerfile path | context = folder sent to Docker | --no-cache = rebuild all</t>
        </is>
      </c>
      <c r="AA21" s="19" t="inlineStr">
        <is>
          <t>docker build -t api:dev .</t>
        </is>
      </c>
      <c r="AB21" s="19" t="inlineStr">
        <is>
          <t>docker build --build-arg NODE_VERSION=22 -t web .</t>
        </is>
      </c>
      <c r="AC21" s="19" t="inlineStr">
        <is>
          <t>docker build --no-cache -t api:clean .</t>
        </is>
      </c>
      <c r="AD21" s="19" t="inlineStr">
        <is>
          <t>docker buildx build --platform linux/amd64 -t api .   // build for a chosen CPU</t>
        </is>
      </c>
      <c r="AE21" s="18" t="inlineStr">
        <is>
          <t>Dockerfile, .dockerignore, registries</t>
        </is>
      </c>
      <c r="AF21" s="18" t="inlineStr">
        <is>
          <t>layers and cache, .dockerignore, BuildKit</t>
        </is>
      </c>
      <c r="AG21" s="18" t="inlineStr">
        <is>
          <t>docker compose build | CI build actions</t>
        </is>
      </c>
      <c r="AH21" s="17" t="n"/>
      <c r="AI21" s="18" t="inlineStr">
        <is>
          <t>Local builds | CI pipelines | Releases</t>
        </is>
      </c>
      <c r="AJ21" s="18" t="inlineStr">
        <is>
          <t>A: Docker says it cannot find my file. | B: The path is outside the build context.</t>
        </is>
      </c>
      <c r="AK21" s="18" t="inlineStr">
        <is>
          <t>✗ The dot at the end of docker build is optional → ✓ It sets the build context and is required</t>
        </is>
      </c>
      <c r="AL21" s="18" t="inlineStr">
        <is>
          <t>docker build vs docker run: build makes the image, run starts a container from it.</t>
        </is>
      </c>
      <c r="AM21" s="18" t="inlineStr">
        <is>
          <t>Do not build from a huge folder without a .dockerignore.</t>
        </is>
      </c>
      <c r="AN21" s="19" t="inlineStr">
        <is>
          <t>docker build -t myapp</t>
        </is>
      </c>
      <c r="AO21" s="19" t="inlineStr">
        <is>
          <t>docker build -t myapp .</t>
        </is>
      </c>
      <c r="AP21" s="18" t="inlineStr">
        <is>
          <t>Dot at the end means this folder.</t>
        </is>
      </c>
      <c r="AQ21" s="18" t="inlineStr">
        <is>
          <t>Building an image tagged with the Git commit so every release is traceable.</t>
        </is>
      </c>
      <c r="AR21" s="18" t="inlineStr">
        <is>
          <t>An interviewer may ask: What is the build context?</t>
        </is>
      </c>
      <c r="AS21" s="18" t="inlineStr">
        <is>
          <t>It is like baking from a recipe in the kitchen you stand in.</t>
        </is>
      </c>
      <c r="AT21" s="18" t="inlineStr">
        <is>
          <t>What does the trailing dot in docker build mean?</t>
        </is>
      </c>
      <c r="AU21" s="18" t="inlineStr">
        <is>
          <t>A) Use the latest tag B) The current folder is the build context C) Build everything on disk D) Skip the cache</t>
        </is>
      </c>
      <c r="AV21" s="18" t="inlineStr">
        <is>
          <t>B</t>
        </is>
      </c>
      <c r="AW21" s="18" t="inlineStr">
        <is>
          <t>The last argument is the context folder sent to Docker.</t>
        </is>
      </c>
      <c r="AX21" s="19" t="inlineStr">
        <is>
          <t>The flag ____ gives the built image a name and tag → -t</t>
        </is>
      </c>
      <c r="AY21" s="18" t="inlineStr">
        <is>
          <t>Build an image named api with tag dev from this folder.</t>
        </is>
      </c>
      <c r="AZ21" s="19" t="inlineStr">
        <is>
          <t>docker build -t api:dev .</t>
        </is>
      </c>
      <c r="BA21" s="18" t="inlineStr">
        <is>
          <t>Add the tag latest to the existing image api:dev.</t>
        </is>
      </c>
      <c r="BB21" s="19" t="inlineStr">
        <is>
          <t>Does docker tag copy the image data?</t>
        </is>
      </c>
      <c r="BC21" s="19" t="inlineStr">
        <is>
          <t>No, it only adds another name to the same image.</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94.5" customHeight="1">
      <c r="A22" s="17" t="inlineStr">
        <is>
          <t>DKR-025</t>
        </is>
      </c>
      <c r="B22" s="17" t="inlineStr">
        <is>
          <t>04 Storage and Networking</t>
        </is>
      </c>
      <c r="C22" s="17" t="inlineStr">
        <is>
          <t>Intermediate</t>
        </is>
      </c>
      <c r="D22" s="17" t="n">
        <v>25</v>
      </c>
      <c r="E22" s="17" t="inlineStr">
        <is>
          <t>Claude knowledge</t>
        </is>
      </c>
      <c r="F22" s="18" t="inlineStr">
        <is>
          <t>Volumes</t>
        </is>
      </c>
      <c r="G22" s="18" t="inlineStr">
        <is>
          <t>Which Docker storage keeps data alive after the container is deleted?</t>
        </is>
      </c>
      <c r="H22" s="17" t="n"/>
      <c r="I22" s="18" t="inlineStr">
        <is>
          <t>Storage concept</t>
        </is>
      </c>
      <c r="J22" s="18" t="inlineStr">
        <is>
          <t>Very high</t>
        </is>
      </c>
      <c r="K22" s="18" t="n">
        <v>5</v>
      </c>
      <c r="L22" s="18" t="inlineStr">
        <is>
          <t>A container's own writable layer vanishes with it, so Docker added volumes as storage that lives outside any one container.</t>
        </is>
      </c>
      <c r="M22" s="18" t="inlineStr">
        <is>
          <t>Use a named volume for databases, and never rely on the container layer for data you need.</t>
        </is>
      </c>
      <c r="N22" s="17" t="n"/>
      <c r="O22" s="18" t="inlineStr">
        <is>
          <t>A volume is a safe deposit box that stays at the bank when the clerk leaves.</t>
        </is>
      </c>
      <c r="P22" s="18" t="inlineStr">
        <is>
          <t>A container connected to a separate drum that remains after removal.</t>
        </is>
      </c>
      <c r="Q22" s="18" t="inlineStr">
        <is>
          <t>The relief of seeing your data survive a rebuild.</t>
        </is>
      </c>
      <c r="R22" s="18" t="inlineStr">
        <is>
          <t>A volume is storage managed by Docker and mounted into a container, and it persists independently of the container.</t>
        </is>
      </c>
      <c r="S22" s="17" t="n"/>
      <c r="T22" s="19" t="inlineStr">
        <is>
          <t>docker volume create pgdata
docker run -d -e POSTGRES_PASSWORD=example -v pgdata:/var/lib/postgresql/data postgres:16
docker volume ls</t>
        </is>
      </c>
      <c r="U22" s="19" t="inlineStr">
        <is>
          <t>The volume is created, mounted in the database folder, and listed after the container is removed too.</t>
        </is>
      </c>
      <c r="V22" s="18" t="inlineStr">
        <is>
          <t>Docker stores volume contents in its own area on the host, so you do not manage paths. Removing the container leaves the volume. Several containers can share one volume. docker volume rm deletes it permanently, and docker volume prune removes unused ones.</t>
        </is>
      </c>
      <c r="W22" s="18" t="inlineStr">
        <is>
          <t>Mount a named volume at the folder where an app saves data, and the data outlives the container.</t>
        </is>
      </c>
      <c r="X22" s="18" t="inlineStr">
        <is>
          <t>It is like a safe deposit box that stays when the clerk changes.</t>
        </is>
      </c>
      <c r="Y22" s="19" t="inlineStr">
        <is>
          <t>docker run -v volume_name:/path/in/container image</t>
        </is>
      </c>
      <c r="Z22" s="18" t="inlineStr">
        <is>
          <t>volume_name = Docker managed storage | /path = mount point inside | docker volume = manage them</t>
        </is>
      </c>
      <c r="AA22" s="19" t="inlineStr">
        <is>
          <t>docker volume create appdata</t>
        </is>
      </c>
      <c r="AB22" s="19" t="inlineStr">
        <is>
          <t>docker run -v appdata:/data alpine ls /data</t>
        </is>
      </c>
      <c r="AC22" s="19" t="inlineStr">
        <is>
          <t>docker volume inspect appdata</t>
        </is>
      </c>
      <c r="AD22" s="19" t="inlineStr">
        <is>
          <t>docker run --mount type=volume,src=appdata,dst=/data alpine   // the longer, explicit form</t>
        </is>
      </c>
      <c r="AE22" s="18" t="inlineStr">
        <is>
          <t>docker run, Compose volumes, backups</t>
        </is>
      </c>
      <c r="AF22" s="18" t="inlineStr">
        <is>
          <t>bind mounts, tmpfs, Compose networks and volumes</t>
        </is>
      </c>
      <c r="AG22" s="18" t="inlineStr">
        <is>
          <t>Bind mounts | Cloud databases</t>
        </is>
      </c>
      <c r="AH22" s="17" t="n"/>
      <c r="AI22" s="18" t="inlineStr">
        <is>
          <t>Databases | Uploads | Persistent state</t>
        </is>
      </c>
      <c r="AJ22" s="18" t="inlineStr">
        <is>
          <t>A: My database is empty after redeploy. | B: Mount a named volume on its data folder.</t>
        </is>
      </c>
      <c r="AK22" s="18" t="inlineStr">
        <is>
          <t>✗ Data written inside a container is permanent → ✓ It is lost when the container is removed unless stored in a volume</t>
        </is>
      </c>
      <c r="AL22" s="18" t="inlineStr">
        <is>
          <t>Volume vs bind mount: a volume is managed by Docker, a bind mount is a host path you pick.</t>
        </is>
      </c>
      <c r="AM22" s="18" t="inlineStr">
        <is>
          <t>Do not delete volumes without checking for needed data.</t>
        </is>
      </c>
      <c r="AN22" s="19" t="inlineStr">
        <is>
          <t>docker run -v /var/lib/postgresql/data postgres:16</t>
        </is>
      </c>
      <c r="AO22" s="19" t="inlineStr">
        <is>
          <t>docker run -v pgdata:/var/lib/postgresql/data postgres:16</t>
        </is>
      </c>
      <c r="AP22" s="18" t="inlineStr">
        <is>
          <t>Name before the colon makes it persist.</t>
        </is>
      </c>
      <c r="AQ22" s="18" t="inlineStr">
        <is>
          <t>Keeping the Postgres data in a named volume across container upgrades.</t>
        </is>
      </c>
      <c r="AR22" s="18" t="inlineStr">
        <is>
          <t>An interviewer may ask: How do you persist data in Docker?</t>
        </is>
      </c>
      <c r="AS22" s="18" t="inlineStr">
        <is>
          <t>It is like keeping valuables in a bank box, not your desk.</t>
        </is>
      </c>
      <c r="AT22" s="18" t="inlineStr">
        <is>
          <t>What happens to a named volume when its container is removed?</t>
        </is>
      </c>
      <c r="AU22" s="18" t="inlineStr">
        <is>
          <t>A) It becomes read-only B) It moves into the image C) It stays until deleted D) It is deleted at once</t>
        </is>
      </c>
      <c r="AV22" s="18" t="inlineStr">
        <is>
          <t>C</t>
        </is>
      </c>
      <c r="AW22" s="18" t="inlineStr">
        <is>
          <t>Volumes live independently of containers.</t>
        </is>
      </c>
      <c r="AX22" s="19" t="inlineStr">
        <is>
          <t>A named volume is attached with the flag ____ → -v</t>
        </is>
      </c>
      <c r="AY22" s="18" t="inlineStr">
        <is>
          <t>Create a volume called appdata.</t>
        </is>
      </c>
      <c r="AZ22" s="19" t="inlineStr">
        <is>
          <t>docker volume create appdata</t>
        </is>
      </c>
      <c r="BA22" s="18" t="inlineStr">
        <is>
          <t>Run alpine with the volume appdata mounted at /data.</t>
        </is>
      </c>
      <c r="BB22" s="19" t="inlineStr">
        <is>
          <t>How do you list all volumes?</t>
        </is>
      </c>
      <c r="BC22" s="19" t="inlineStr">
        <is>
          <t>docker volume ls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94.5" customHeight="1">
      <c r="A23" s="17" t="inlineStr">
        <is>
          <t>DKR-026</t>
        </is>
      </c>
      <c r="B23" s="17" t="inlineStr">
        <is>
          <t>04 Storage and Networking</t>
        </is>
      </c>
      <c r="C23" s="17" t="inlineStr">
        <is>
          <t>Intermediate</t>
        </is>
      </c>
      <c r="D23" s="17" t="n">
        <v>26</v>
      </c>
      <c r="E23" s="17" t="inlineStr">
        <is>
          <t>Claude knowledge</t>
        </is>
      </c>
      <c r="F23" s="18" t="inlineStr">
        <is>
          <t>Bind mounts</t>
        </is>
      </c>
      <c r="G23" s="18" t="inlineStr">
        <is>
          <t>Which mount links a real folder on your computer into a container?</t>
        </is>
      </c>
      <c r="H23" s="17" t="n"/>
      <c r="I23" s="18" t="inlineStr">
        <is>
          <t>Storage concept</t>
        </is>
      </c>
      <c r="J23" s="18" t="inlineStr">
        <is>
          <t>High</t>
        </is>
      </c>
      <c r="K23" s="18" t="n">
        <v>4</v>
      </c>
      <c r="L23" s="18" t="inlineStr">
        <is>
          <t>During development you want edits on your machine to appear in the container at once, so Docker can mount a host folder directly.</t>
        </is>
      </c>
      <c r="M23" s="18" t="inlineStr">
        <is>
          <t>Use a bind mount for live code in development, and a volume for real data.</t>
        </is>
      </c>
      <c r="N23" s="17" t="n"/>
      <c r="O23" s="18" t="inlineStr">
        <is>
          <t>A bind mount is a window cut straight into your own folder.</t>
        </is>
      </c>
      <c r="P23" s="18" t="inlineStr">
        <is>
          <t>One folder shown in two places at the same time.</t>
        </is>
      </c>
      <c r="Q23" s="18" t="inlineStr">
        <is>
          <t>The joy of saving a file and seeing the container update.</t>
        </is>
      </c>
      <c r="R23" s="18" t="inlineStr">
        <is>
          <t>A bind mount maps an exact host path into a container, so both see the same files.</t>
        </is>
      </c>
      <c r="S23" s="17" t="n"/>
      <c r="T23" s="19" t="inlineStr">
        <is>
          <t>docker run --rm -v "$(pwd)":/app -w /app node:22 node index.js</t>
        </is>
      </c>
      <c r="U23" s="19" t="inlineStr">
        <is>
          <t>The container runs index.js from your current folder, and edits on the host appear immediately inside.</t>
        </is>
      </c>
      <c r="V23" s="18" t="inlineStr">
        <is>
          <t>The host path must be absolute in the short -v form, which is why $(pwd) is used. Changes are shared both ways, so a container can modify your files. Add :ro to make it read-only. File ownership may differ between host and container, which can cause permission errors on Linux.</t>
        </is>
      </c>
      <c r="W23" s="18" t="inlineStr">
        <is>
          <t>A bind mount shares one real host folder with the container. Great for development.</t>
        </is>
      </c>
      <c r="X23" s="18" t="inlineStr">
        <is>
          <t>It is like a window that shows your own desk inside another room.</t>
        </is>
      </c>
      <c r="Y23" s="19" t="inlineStr">
        <is>
          <t>docker run -v /host/path:/container/path[:ro] image</t>
        </is>
      </c>
      <c r="Z23" s="18" t="inlineStr">
        <is>
          <t>/host/path = real folder | /container/path = where it appears | :ro = read only</t>
        </is>
      </c>
      <c r="AA23" s="19" t="inlineStr">
        <is>
          <t>docker run -v "$(pwd)":/site -p 8080:80 nginx</t>
        </is>
      </c>
      <c r="AB23" s="19" t="inlineStr">
        <is>
          <t>docker run -v "$(pwd)"/conf:/etc/app:ro myapp</t>
        </is>
      </c>
      <c r="AC23" s="19" t="inlineStr">
        <is>
          <t>docker run --mount type=bind,src="$(pwd)",dst=/app myapp</t>
        </is>
      </c>
      <c r="AD23" s="19" t="inlineStr">
        <is>
          <t>volumes: ["./src:/app/src"]   // relative paths work in Compose files</t>
        </is>
      </c>
      <c r="AE23" s="18" t="inlineStr">
        <is>
          <t>docker run, Compose, hot reload tools</t>
        </is>
      </c>
      <c r="AF23" s="18" t="inlineStr">
        <is>
          <t>volumes, tmpfs, docker run</t>
        </is>
      </c>
      <c r="AG23" s="18" t="inlineStr">
        <is>
          <t>Named volumes | docker cp for one-off copies</t>
        </is>
      </c>
      <c r="AH23" s="17" t="n"/>
      <c r="AI23" s="18" t="inlineStr">
        <is>
          <t>Local development | Config files | Live reload</t>
        </is>
      </c>
      <c r="AJ23" s="18" t="inlineStr">
        <is>
          <t>A: My changes do not show up. | B: Bind mount the source folder so edits appear live.</t>
        </is>
      </c>
      <c r="AK23" s="18" t="inlineStr">
        <is>
          <t>✗ Bind mounts and volumes are the same thing → ✓ A bind mount uses a host path you choose, a volume is managed by Docker</t>
        </is>
      </c>
      <c r="AL23" s="18" t="inlineStr">
        <is>
          <t>Bind mount vs volume: bind uses your path, volume uses Docker's storage.</t>
        </is>
      </c>
      <c r="AM23" s="18" t="inlineStr">
        <is>
          <t>Do not bind mount sensitive host folders read-write.</t>
        </is>
      </c>
      <c r="AN23" s="19" t="inlineStr">
        <is>
          <t>docker run -v app:/app myapp</t>
        </is>
      </c>
      <c r="AO23" s="19" t="inlineStr">
        <is>
          <t>docker run -v "$(pwd)":/app myapp</t>
        </is>
      </c>
      <c r="AP23" s="18" t="inlineStr">
        <is>
          <t>A slash path means a real host folder.</t>
        </is>
      </c>
      <c r="AQ23" s="18" t="inlineStr">
        <is>
          <t>Mounting source code so the dev server reloaded on every save.</t>
        </is>
      </c>
      <c r="AR23" s="18" t="inlineStr">
        <is>
          <t>An interviewer may ask: When would you choose a bind mount?</t>
        </is>
      </c>
      <c r="AS23" s="18" t="inlineStr">
        <is>
          <t>It is like a window showing your own desk elsewhere.</t>
        </is>
      </c>
      <c r="AT23" s="18" t="inlineStr">
        <is>
          <t>Which suffix makes a bind mount read-only?</t>
        </is>
      </c>
      <c r="AU23" s="18" t="inlineStr">
        <is>
          <t>A) :ls B) :ro C) :tmp D) :rw</t>
        </is>
      </c>
      <c r="AV23" s="18" t="inlineStr">
        <is>
          <t>B</t>
        </is>
      </c>
      <c r="AW23" s="18" t="inlineStr">
        <is>
          <t>The ro option stands for read only.</t>
        </is>
      </c>
      <c r="AX23" s="19" t="inlineStr">
        <is>
          <t>A bind mount maps a folder from the ____ into the container → host</t>
        </is>
      </c>
      <c r="AY23" s="18" t="inlineStr">
        <is>
          <t>Mount the current folder to /app in a node container.</t>
        </is>
      </c>
      <c r="AZ23" s="19" t="inlineStr">
        <is>
          <t>docker run -v "$(pwd)":/app node:22</t>
        </is>
      </c>
      <c r="BA23" s="18" t="inlineStr">
        <is>
          <t>Mount a config folder as read-only into a container.</t>
        </is>
      </c>
      <c r="BB23" s="19" t="inlineStr">
        <is>
          <t>Why can a bind mount be risky?</t>
        </is>
      </c>
      <c r="BC23" s="19" t="inlineStr">
        <is>
          <t>The container can change or delete real files on your host.</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81" customHeight="1">
      <c r="A24" s="17" t="inlineStr">
        <is>
          <t>DKR-027</t>
        </is>
      </c>
      <c r="B24" s="17" t="inlineStr">
        <is>
          <t>04 Storage and Networking</t>
        </is>
      </c>
      <c r="C24" s="17" t="inlineStr">
        <is>
          <t>Intermediate</t>
        </is>
      </c>
      <c r="D24" s="17" t="n">
        <v>27</v>
      </c>
      <c r="E24" s="17" t="inlineStr">
        <is>
          <t>Claude knowledge</t>
        </is>
      </c>
      <c r="F24" s="18" t="inlineStr">
        <is>
          <t>tmpfs mounts</t>
        </is>
      </c>
      <c r="G24" s="18" t="inlineStr">
        <is>
          <t>Which mount keeps data only in memory and never writes it to disk?</t>
        </is>
      </c>
      <c r="H24" s="17" t="n"/>
      <c r="I24" s="18" t="inlineStr">
        <is>
          <t>Storage concept</t>
        </is>
      </c>
      <c r="J24" s="18" t="inlineStr">
        <is>
          <t>Medium</t>
        </is>
      </c>
      <c r="K24" s="18" t="n">
        <v>3</v>
      </c>
      <c r="L24" s="18" t="inlineStr">
        <is>
          <t>Some data such as temporary secrets should never touch disk, so Docker offers a memory-only mount.</t>
        </is>
      </c>
      <c r="M24" s="18" t="inlineStr">
        <is>
          <t>Use tmpfs for scratch files and sensitive temporary data.</t>
        </is>
      </c>
      <c r="N24" s="17" t="n"/>
      <c r="O24" s="18" t="inlineStr">
        <is>
          <t>Tmpfs is a whiteboard that is wiped the moment the lights go off.</t>
        </is>
      </c>
      <c r="P24" s="18" t="inlineStr">
        <is>
          <t>A box inside RAM that disappears at stop.</t>
        </is>
      </c>
      <c r="Q24" s="18" t="inlineStr">
        <is>
          <t>The confidence of knowing nothing is left behind.</t>
        </is>
      </c>
      <c r="R24" s="18" t="inlineStr">
        <is>
          <t>A tmpfs mount stores data in the host memory, and it is deleted when the container stops.</t>
        </is>
      </c>
      <c r="S24" s="17" t="n"/>
      <c r="T24" s="19" t="inlineStr">
        <is>
          <t>docker run --rm --tmpfs /scratch:rw,size=64m alpine sh -c "echo hi &gt; /scratch/a &amp;&amp; ls /scratch"</t>
        </is>
      </c>
      <c r="U24" s="19" t="inlineStr">
        <is>
          <t>The file a is created and listed, and it disappears once the container exits.</t>
        </is>
      </c>
      <c r="V24" s="18" t="inlineStr">
        <is>
          <t>Data lives in RAM, so it is fast but limited by the size you set. Nothing persists after stop or restart. It works on Linux containers only. It pairs well with a read-only root file system, where the app still needs one writable scratch folder.</t>
        </is>
      </c>
      <c r="W24" s="18" t="inlineStr">
        <is>
          <t>tmpfs is temporary memory storage that vanishes at stop.</t>
        </is>
      </c>
      <c r="X24" s="18" t="inlineStr">
        <is>
          <t>It is like a whiteboard that clears itself when the room closes.</t>
        </is>
      </c>
      <c r="Y24" s="19" t="inlineStr">
        <is>
          <t>docker run --tmpfs /path[:options] image</t>
        </is>
      </c>
      <c r="Z24" s="18" t="inlineStr">
        <is>
          <t>/path = mount point | size= = memory cap | rw = writable</t>
        </is>
      </c>
      <c r="AA24" s="19" t="inlineStr">
        <is>
          <t>docker run --tmpfs /tmp alpine</t>
        </is>
      </c>
      <c r="AB24" s="19" t="inlineStr">
        <is>
          <t>docker run --tmpfs /run:size=16m alpine</t>
        </is>
      </c>
      <c r="AC24" s="19" t="inlineStr">
        <is>
          <t>docker run --read-only --tmpfs /tmp alpine</t>
        </is>
      </c>
      <c r="AD24" s="19" t="inlineStr">
        <is>
          <t>docker run --mount type=tmpfs,dst=/tmp alpine   // the explicit form</t>
        </is>
      </c>
      <c r="AE24" s="18" t="inlineStr">
        <is>
          <t>read-only containers, security hardening</t>
        </is>
      </c>
      <c r="AF24" s="18" t="inlineStr">
        <is>
          <t>volumes, bind mounts, security and operations</t>
        </is>
      </c>
      <c r="AG24" s="18" t="inlineStr">
        <is>
          <t>Volumes | Writable container layer</t>
        </is>
      </c>
      <c r="AH24" s="17" t="n"/>
      <c r="AI24" s="18" t="inlineStr">
        <is>
          <t>Temp files | Sensitive data | Hardened containers</t>
        </is>
      </c>
      <c r="AJ24" s="18" t="inlineStr">
        <is>
          <t>A: My app needs to write temp files but the root is read-only. | B: Add a tmpfs at /tmp.</t>
        </is>
      </c>
      <c r="AK24" s="18" t="inlineStr">
        <is>
          <t>✗ tmpfs data survives a container restart → ✓ It is erased every time the container stops</t>
        </is>
      </c>
      <c r="AL24" s="18" t="inlineStr">
        <is>
          <t>tmpfs vs volume: tmpfs is memory and temporary, a volume is disk and lasting.</t>
        </is>
      </c>
      <c r="AM24" s="18" t="inlineStr">
        <is>
          <t>Do not store anything you need to keep in tmpfs.</t>
        </is>
      </c>
      <c r="AN24" s="19" t="inlineStr">
        <is>
          <t>docker run -v tmp:/scratch alpine</t>
        </is>
      </c>
      <c r="AO24" s="19" t="inlineStr">
        <is>
          <t>docker run --tmpfs /scratch alpine</t>
        </is>
      </c>
      <c r="AP24" s="18" t="inlineStr">
        <is>
          <t>Tmp in the name means temporary memory.</t>
        </is>
      </c>
      <c r="AQ24" s="18" t="inlineStr">
        <is>
          <t>Giving a read-only API container a small tmpfs for its temp files.</t>
        </is>
      </c>
      <c r="AR24" s="18" t="inlineStr">
        <is>
          <t>An interviewer may ask: Where would tmpfs help security?</t>
        </is>
      </c>
      <c r="AS24" s="18" t="inlineStr">
        <is>
          <t>It is like writing on a whiteboard that clears itself.</t>
        </is>
      </c>
      <c r="AT24" s="18" t="inlineStr">
        <is>
          <t>Where does tmpfs keep its data?</t>
        </is>
      </c>
      <c r="AU24" s="18" t="inlineStr">
        <is>
          <t>A) In host memory B) In a volume C) On a network drive D) In the image</t>
        </is>
      </c>
      <c r="AV24" s="18" t="inlineStr">
        <is>
          <t>A</t>
        </is>
      </c>
      <c r="AW24" s="18" t="inlineStr">
        <is>
          <t>The data is in RAM and is lost on stop.</t>
        </is>
      </c>
      <c r="AX24" s="19" t="inlineStr">
        <is>
          <t>The flag ____ sets a memory-only mount → --tmpfs</t>
        </is>
      </c>
      <c r="AY24" s="18" t="inlineStr">
        <is>
          <t>Give an alpine container a memory-only /tmp.</t>
        </is>
      </c>
      <c r="AZ24" s="19" t="inlineStr">
        <is>
          <t>docker run --tmpfs /tmp alpine</t>
        </is>
      </c>
      <c r="BA24" s="18" t="inlineStr">
        <is>
          <t>Combine a read-only root with a tmpfs temp folder.</t>
        </is>
      </c>
      <c r="BB24" s="19" t="inlineStr">
        <is>
          <t>What happens to tmpfs data when the container stops?</t>
        </is>
      </c>
      <c r="BC24" s="19" t="inlineStr">
        <is>
          <t>It is erased.</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108" customHeight="1">
      <c r="A25" s="17" t="inlineStr">
        <is>
          <t>DKR-028</t>
        </is>
      </c>
      <c r="B25" s="17" t="inlineStr">
        <is>
          <t>04 Storage and Networking</t>
        </is>
      </c>
      <c r="C25" s="17" t="inlineStr">
        <is>
          <t>Intermediate</t>
        </is>
      </c>
      <c r="D25" s="17" t="n">
        <v>28</v>
      </c>
      <c r="E25" s="17" t="inlineStr">
        <is>
          <t>Claude knowledge</t>
        </is>
      </c>
      <c r="F25" s="18" t="inlineStr">
        <is>
          <t>Bridge networks</t>
        </is>
      </c>
      <c r="G25" s="18" t="inlineStr">
        <is>
          <t>Which Docker network lets containers on one host talk to each other by name?</t>
        </is>
      </c>
      <c r="H25" s="17" t="n"/>
      <c r="I25" s="18" t="inlineStr">
        <is>
          <t>Networking concept</t>
        </is>
      </c>
      <c r="J25" s="18" t="inlineStr">
        <is>
          <t>Very high</t>
        </is>
      </c>
      <c r="K25" s="18" t="n">
        <v>5</v>
      </c>
      <c r="L25" s="18" t="inlineStr">
        <is>
          <t>Containers need to reach each other privately, so Docker creates virtual networks that connect them without exposing everything.</t>
        </is>
      </c>
      <c r="M25" s="18" t="inlineStr">
        <is>
          <t>Create your own bridge network, because it gives containers name-based discovery.</t>
        </is>
      </c>
      <c r="N25" s="17" t="n"/>
      <c r="O25" s="18" t="inlineStr">
        <is>
          <t>A user-defined bridge is a private office hallway with name plates on every door.</t>
        </is>
      </c>
      <c r="P25" s="18" t="inlineStr">
        <is>
          <t>Several containers joined by one virtual switch.</t>
        </is>
      </c>
      <c r="Q25" s="18" t="inlineStr">
        <is>
          <t>The ease of calling a database simply by its name.</t>
        </is>
      </c>
      <c r="R25" s="18" t="inlineStr">
        <is>
          <t>A bridge network is a virtual switch on the host, and containers attached to the same user-defined bridge can reach one another by name.</t>
        </is>
      </c>
      <c r="S25" s="17" t="n"/>
      <c r="T25" s="19" t="inlineStr">
        <is>
          <t>docker network create appnet
docker run -d --name db --network appnet -e POSTGRES_PASSWORD=example postgres:16
docker run --rm --network appnet alpine ping -c 1 db</t>
        </is>
      </c>
      <c r="U25" s="19" t="inlineStr">
        <is>
          <t>The network is created, db starts on it, and the ping from the second container resolves db and replies.</t>
        </is>
      </c>
      <c r="V25" s="18" t="inlineStr">
        <is>
          <t>The default bridge does not give name lookup, but a user-defined bridge does. Containers on different networks cannot talk unless connected to both. docker network connect adds a running container to another network. Nothing is reachable from outside until you publish ports.</t>
        </is>
      </c>
      <c r="W25" s="18" t="inlineStr">
        <is>
          <t>Put related containers on one custom network and use their names as addresses.</t>
        </is>
      </c>
      <c r="X25" s="18" t="inlineStr">
        <is>
          <t>It is like an office hallway where every door has a name plate.</t>
        </is>
      </c>
      <c r="Y25" s="19" t="inlineStr">
        <is>
          <t>docker network create name | docker run --network name image</t>
        </is>
      </c>
      <c r="Z25" s="18" t="inlineStr">
        <is>
          <t>create = new network | --network = attach | name = DNS name for the container</t>
        </is>
      </c>
      <c r="AA25" s="19" t="inlineStr">
        <is>
          <t>docker network ls</t>
        </is>
      </c>
      <c r="AB25" s="19" t="inlineStr">
        <is>
          <t>docker network inspect appnet</t>
        </is>
      </c>
      <c r="AC25" s="19" t="inlineStr">
        <is>
          <t>docker network connect appnet web</t>
        </is>
      </c>
      <c r="AD25" s="19" t="inlineStr">
        <is>
          <t>docker network create --internal backend   // no outside access</t>
        </is>
      </c>
      <c r="AE25" s="18" t="inlineStr">
        <is>
          <t>container DNS, port mapping, Compose networks</t>
        </is>
      </c>
      <c r="AF25" s="18" t="inlineStr">
        <is>
          <t>container DNS, port mapping, host network</t>
        </is>
      </c>
      <c r="AG25" s="18" t="inlineStr">
        <is>
          <t>Host network | Compose default network</t>
        </is>
      </c>
      <c r="AH25" s="17" t="n"/>
      <c r="AI25" s="18" t="inlineStr">
        <is>
          <t>Multi-container apps | Isolation | Local stacks</t>
        </is>
      </c>
      <c r="AJ25" s="18" t="inlineStr">
        <is>
          <t>A: My app cannot find the db host. | B: Put both on one user-defined network.</t>
        </is>
      </c>
      <c r="AK25" s="18" t="inlineStr">
        <is>
          <t>✗ All containers can always reach each other by name → ✓ Name lookup works only on a user-defined network they share</t>
        </is>
      </c>
      <c r="AL25" s="18" t="inlineStr">
        <is>
          <t>Default bridge vs user-defined bridge: only the second gives DNS names.</t>
        </is>
      </c>
      <c r="AM25" s="18" t="inlineStr">
        <is>
          <t>Do not rely on IP addresses that change between runs.</t>
        </is>
      </c>
      <c r="AN25" s="19" t="inlineStr">
        <is>
          <t>docker run --link db myapp   # deprecated</t>
        </is>
      </c>
      <c r="AO25" s="19" t="inlineStr">
        <is>
          <t>docker run --network appnet myapp</t>
        </is>
      </c>
      <c r="AP25" s="18" t="inlineStr">
        <is>
          <t>Custom network, custom names, easy calls.</t>
        </is>
      </c>
      <c r="AQ25" s="18" t="inlineStr">
        <is>
          <t>Putting the API and database on a private network away from the proxy.</t>
        </is>
      </c>
      <c r="AR25" s="18" t="inlineStr">
        <is>
          <t>An interviewer may ask: How do two containers talk to each other?</t>
        </is>
      </c>
      <c r="AS25" s="18" t="inlineStr">
        <is>
          <t>It is like an office hallway with name plates.</t>
        </is>
      </c>
      <c r="AT25" s="18" t="inlineStr">
        <is>
          <t>Which network type gives containers name-based lookup?</t>
        </is>
      </c>
      <c r="AU25" s="18" t="inlineStr">
        <is>
          <t>A) The none driver B) No network C) The default bridge D) A user-defined bridge</t>
        </is>
      </c>
      <c r="AV25" s="18" t="inlineStr">
        <is>
          <t>D</t>
        </is>
      </c>
      <c r="AW25" s="18" t="inlineStr">
        <is>
          <t>Only user-defined bridges provide built-in DNS by name.</t>
        </is>
      </c>
      <c r="AX25" s="19" t="inlineStr">
        <is>
          <t>A new network is made with docker network ____ followed by a name → create</t>
        </is>
      </c>
      <c r="AY25" s="18" t="inlineStr">
        <is>
          <t>Create a network named appnet.</t>
        </is>
      </c>
      <c r="AZ25" s="19" t="inlineStr">
        <is>
          <t>docker network create appnet</t>
        </is>
      </c>
      <c r="BA25" s="18" t="inlineStr">
        <is>
          <t>Attach a running container named web to appnet.</t>
        </is>
      </c>
      <c r="BB25" s="19" t="inlineStr">
        <is>
          <t>Can two containers on different networks talk?</t>
        </is>
      </c>
      <c r="BC25" s="19" t="inlineStr">
        <is>
          <t>Not unless one is connected to both.</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94.5" customHeight="1">
      <c r="A26" s="17" t="inlineStr">
        <is>
          <t>DKR-029</t>
        </is>
      </c>
      <c r="B26" s="17" t="inlineStr">
        <is>
          <t>04 Storage and Networking</t>
        </is>
      </c>
      <c r="C26" s="17" t="inlineStr">
        <is>
          <t>Beginner</t>
        </is>
      </c>
      <c r="D26" s="17" t="n">
        <v>29</v>
      </c>
      <c r="E26" s="17" t="inlineStr">
        <is>
          <t>Claude knowledge</t>
        </is>
      </c>
      <c r="F26" s="18" t="inlineStr">
        <is>
          <t>Port mapping</t>
        </is>
      </c>
      <c r="G26" s="18" t="inlineStr">
        <is>
          <t>Which option lets people outside the container reach a service inside it?</t>
        </is>
      </c>
      <c r="H26" s="17" t="n"/>
      <c r="I26" s="18" t="inlineStr">
        <is>
          <t>Networking concept</t>
        </is>
      </c>
      <c r="J26" s="18" t="inlineStr">
        <is>
          <t>Very high</t>
        </is>
      </c>
      <c r="K26" s="18" t="n">
        <v>5</v>
      </c>
      <c r="L26" s="18" t="inlineStr">
        <is>
          <t>Containers are isolated by default, so a port on the host must be linked to a port in the container to be reachable.</t>
        </is>
      </c>
      <c r="M26" s="18" t="inlineStr">
        <is>
          <t>Bind to 127.0.0.1 for local-only access, so the service is not exposed to the network.</t>
        </is>
      </c>
      <c r="N26" s="17" t="n"/>
      <c r="O26" s="18" t="inlineStr">
        <is>
          <t>Port mapping is a doorbell on the host wired to a room inside.</t>
        </is>
      </c>
      <c r="P26" s="18" t="inlineStr">
        <is>
          <t>Host port 8080 pointing to container port 80.</t>
        </is>
      </c>
      <c r="Q26" s="18" t="inlineStr">
        <is>
          <t>The satisfaction of the browser finally loading the page.</t>
        </is>
      </c>
      <c r="R26" s="18" t="inlineStr">
        <is>
          <t>Port mapping publishes a container port on a host port so traffic to the host reaches the container.</t>
        </is>
      </c>
      <c r="S26" s="17" t="n"/>
      <c r="T26" s="19" t="inlineStr">
        <is>
          <t>docker run -d -p 127.0.0.1:8080:80 --name site nginx</t>
        </is>
      </c>
      <c r="U26" s="19" t="inlineStr">
        <is>
          <t>Visiting localhost on port 8080 shows the nginx page, but other computers cannot reach it.</t>
        </is>
      </c>
      <c r="V26" s="18" t="inlineStr">
        <is>
          <t>The format is host port first, then container port. Without a host address Docker listens on every interface, which can expose a service. -P publishes all exposed ports on random host ports. docker port shows the active mappings. Two containers cannot use the same host port.</t>
        </is>
      </c>
      <c r="W26" s="18" t="inlineStr">
        <is>
          <t>-p host:container opens a door from the host to the container.</t>
        </is>
      </c>
      <c r="X26" s="18" t="inlineStr">
        <is>
          <t>It is like a doorbell outside connected to a room inside.</t>
        </is>
      </c>
      <c r="Y26" s="19" t="inlineStr">
        <is>
          <t>docker run -p [host_ip:]host_port:container_port image</t>
        </is>
      </c>
      <c r="Z26" s="18" t="inlineStr">
        <is>
          <t>host_ip = which address | host_port = outside number | container_port = inside number</t>
        </is>
      </c>
      <c r="AA26" s="19" t="inlineStr">
        <is>
          <t>docker run -p 3000:3000 myapp</t>
        </is>
      </c>
      <c r="AB26" s="19" t="inlineStr">
        <is>
          <t>docker run -p 5433:5432 postgres:16</t>
        </is>
      </c>
      <c r="AC26" s="19" t="inlineStr">
        <is>
          <t>docker port site</t>
        </is>
      </c>
      <c r="AD26" s="19" t="inlineStr">
        <is>
          <t>docker run -P nginx   // publish exposed ports on random host ports</t>
        </is>
      </c>
      <c r="AE26" s="18" t="inlineStr">
        <is>
          <t>EXPOSE, docker ps, firewalls</t>
        </is>
      </c>
      <c r="AF26" s="18" t="inlineStr">
        <is>
          <t>EXPOSE, bridge networks, network troubleshooting</t>
        </is>
      </c>
      <c r="AG26" s="18" t="inlineStr">
        <is>
          <t>Reverse proxy | Host network</t>
        </is>
      </c>
      <c r="AH26" s="17" t="n"/>
      <c r="AI26" s="18" t="inlineStr">
        <is>
          <t>Local testing | Web services | Databases in development</t>
        </is>
      </c>
      <c r="AJ26" s="18" t="inlineStr">
        <is>
          <t>A: Port 5432 is already in use. | B: Map a different host port such as 5433.</t>
        </is>
      </c>
      <c r="AK26" s="18" t="inlineStr">
        <is>
          <t>✗ EXPOSE in the Dockerfile opens the port on the host → ✓ Only -p or ports in Compose publishes it</t>
        </is>
      </c>
      <c r="AL26" s="18" t="inlineStr">
        <is>
          <t>-p vs EXPOSE: -p publishes to the host, EXPOSE only documents.</t>
        </is>
      </c>
      <c r="AM26" s="18" t="inlineStr">
        <is>
          <t>Do not publish database ports on all interfaces in production.</t>
        </is>
      </c>
      <c r="AN26" s="19" t="inlineStr">
        <is>
          <t>docker run -p 80:8080 nginx</t>
        </is>
      </c>
      <c r="AO26" s="19" t="inlineStr">
        <is>
          <t>docker run -p 8080:80 nginx</t>
        </is>
      </c>
      <c r="AP26" s="18" t="inlineStr">
        <is>
          <t>Host number first, container number second.</t>
        </is>
      </c>
      <c r="AQ26" s="18" t="inlineStr">
        <is>
          <t>Mapping the API to a free host port to avoid a clash with Postgres.</t>
        </is>
      </c>
      <c r="AR26" s="18" t="inlineStr">
        <is>
          <t>An interviewer may ask: How do you expose a container service?</t>
        </is>
      </c>
      <c r="AS26" s="18" t="inlineStr">
        <is>
          <t>It is like a doorbell outside wired to a room inside.</t>
        </is>
      </c>
      <c r="AT26" s="18" t="inlineStr">
        <is>
          <t>In -p 8080:80, which number is the container port?</t>
        </is>
      </c>
      <c r="AU26" s="18" t="inlineStr">
        <is>
          <t>A) Neither B) 80 C) 8080 D) Both</t>
        </is>
      </c>
      <c r="AV26" s="18" t="inlineStr">
        <is>
          <t>B</t>
        </is>
      </c>
      <c r="AW26" s="18" t="inlineStr">
        <is>
          <t>The format is host port, then container port.</t>
        </is>
      </c>
      <c r="AX26" s="19" t="inlineStr">
        <is>
          <t>To restrict a port to this machine, bind it to ____ → 127.0.0.1</t>
        </is>
      </c>
      <c r="AY26" s="18" t="inlineStr">
        <is>
          <t>Map host port 3000 to container port 3000.</t>
        </is>
      </c>
      <c r="AZ26" s="19" t="inlineStr">
        <is>
          <t>docker run -p 3000:3000 myapp</t>
        </is>
      </c>
      <c r="BA26" s="18" t="inlineStr">
        <is>
          <t>Publish nginx port 80 on host 9090, local only.</t>
        </is>
      </c>
      <c r="BB26" s="19" t="inlineStr">
        <is>
          <t>Which command shows the active port mappings of a container?</t>
        </is>
      </c>
      <c r="BC26" s="19" t="inlineStr">
        <is>
          <t>docker port container</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108" customHeight="1">
      <c r="A27" s="17" t="inlineStr">
        <is>
          <t>DKR-030</t>
        </is>
      </c>
      <c r="B27" s="17" t="inlineStr">
        <is>
          <t>04 Storage and Networking</t>
        </is>
      </c>
      <c r="C27" s="17" t="inlineStr">
        <is>
          <t>Intermediate</t>
        </is>
      </c>
      <c r="D27" s="17" t="n">
        <v>30</v>
      </c>
      <c r="E27" s="17" t="inlineStr">
        <is>
          <t>Claude knowledge</t>
        </is>
      </c>
      <c r="F27" s="18" t="inlineStr">
        <is>
          <t>Container DNS</t>
        </is>
      </c>
      <c r="G27" s="18" t="inlineStr">
        <is>
          <t>How does one container find another by simply using its name?</t>
        </is>
      </c>
      <c r="H27" s="17" t="n"/>
      <c r="I27" s="18" t="inlineStr">
        <is>
          <t>Networking concept</t>
        </is>
      </c>
      <c r="J27" s="18" t="inlineStr">
        <is>
          <t>High</t>
        </is>
      </c>
      <c r="K27" s="18" t="n">
        <v>4</v>
      </c>
      <c r="L27" s="18" t="inlineStr">
        <is>
          <t>Container addresses change on every start, so Docker runs a small DNS service that turns names into current addresses.</t>
        </is>
      </c>
      <c r="M27" s="18" t="inlineStr">
        <is>
          <t>Use the service name as the host in connection strings, never a fixed IP address.</t>
        </is>
      </c>
      <c r="N27" s="17" t="n"/>
      <c r="O27" s="18" t="inlineStr">
        <is>
          <t>Docker keeps a live phone book so you dial names, not changing numbers.</t>
        </is>
      </c>
      <c r="P27" s="18" t="inlineStr">
        <is>
          <t>A name turning into an address inside a network.</t>
        </is>
      </c>
      <c r="Q27" s="18" t="inlineStr">
        <is>
          <t>The comfort of config that never needs updating.</t>
        </is>
      </c>
      <c r="R27" s="18" t="inlineStr">
        <is>
          <t>Docker provides an embedded DNS server on user-defined networks that resolves container and service names to their current IP addresses.</t>
        </is>
      </c>
      <c r="S27" s="17" t="n"/>
      <c r="T27" s="19" t="inlineStr">
        <is>
          <t>docker exec api getent hosts db
docker exec api sh -c "nc -zv db 5432"</t>
        </is>
      </c>
      <c r="U27" s="19" t="inlineStr">
        <is>
          <t>The first command prints the address of db, and the second reports that port 5432 is open.</t>
        </is>
      </c>
      <c r="V27" s="18" t="inlineStr">
        <is>
          <t>The built-in resolver listens at 127.0.0.11 inside the container. It answers for container names, aliases and Compose service names on the shared network. A network alias gives extra names. If the name fails, the containers are probably on different networks.</t>
        </is>
      </c>
      <c r="W27" s="18" t="inlineStr">
        <is>
          <t>Use the container or service name as the hostname, and Docker finds the address.</t>
        </is>
      </c>
      <c r="X27" s="18" t="inlineStr">
        <is>
          <t>It is like a live phone book that updates itself.</t>
        </is>
      </c>
      <c r="Y27" s="19" t="inlineStr">
        <is>
          <t>DB_HOST=db   // a container name used as the host</t>
        </is>
      </c>
      <c r="Z27" s="18" t="inlineStr">
        <is>
          <t>name = container or service | 127.0.0.11 = built-in resolver | alias = extra name</t>
        </is>
      </c>
      <c r="AA27" s="19" t="inlineStr">
        <is>
          <t>DATABASE_URL=postgres://user:pw@db:5432/app</t>
        </is>
      </c>
      <c r="AB27" s="19" t="inlineStr">
        <is>
          <t>docker run --network-alias cache --network appnet redis</t>
        </is>
      </c>
      <c r="AC27" s="19" t="inlineStr">
        <is>
          <t>docker exec api nslookup db</t>
        </is>
      </c>
      <c r="AD27" s="19" t="inlineStr">
        <is>
          <t>docker run --dns 1.1.1.1 myapp   // choose an external resolver</t>
        </is>
      </c>
      <c r="AE27" s="18" t="inlineStr">
        <is>
          <t>bridge networks, Compose, connection strings</t>
        </is>
      </c>
      <c r="AF27" s="18" t="inlineStr">
        <is>
          <t>bridge networks, Compose networks and volumes, network troubleshooting</t>
        </is>
      </c>
      <c r="AG27" s="18" t="inlineStr">
        <is>
          <t>Hard-coded IPs, which are fragile</t>
        </is>
      </c>
      <c r="AH27" s="17" t="n"/>
      <c r="AI27" s="18" t="inlineStr">
        <is>
          <t>App to database links | Microservices | Compose</t>
        </is>
      </c>
      <c r="AJ27" s="18" t="inlineStr">
        <is>
          <t>A: What host do I use for Postgres? | B: Use its service name, such as db.</t>
        </is>
      </c>
      <c r="AK27" s="18" t="inlineStr">
        <is>
          <t>✗ localhost inside a container reaches other containers → ✓ localhost is that container itself, so use the other container's name</t>
        </is>
      </c>
      <c r="AL27" s="18" t="inlineStr">
        <is>
          <t>Container DNS vs host DNS: one resolves container names, the other resolves the internet.</t>
        </is>
      </c>
      <c r="AM27" s="18" t="inlineStr">
        <is>
          <t>Do not use localhost to reach a different container.</t>
        </is>
      </c>
      <c r="AN27" s="19" t="inlineStr">
        <is>
          <t>DATABASE_URL=postgres://user:pw@localhost:5432/app</t>
        </is>
      </c>
      <c r="AO27" s="19" t="inlineStr">
        <is>
          <t>DATABASE_URL=postgres://user:pw@db:5432/app</t>
        </is>
      </c>
      <c r="AP27" s="18" t="inlineStr">
        <is>
          <t>Localhost means me, so use their name.</t>
        </is>
      </c>
      <c r="AQ27" s="18" t="inlineStr">
        <is>
          <t>Switching connection strings from localhost to the service name fixed the API.</t>
        </is>
      </c>
      <c r="AR27" s="18" t="inlineStr">
        <is>
          <t>An interviewer may ask: Why does localhost fail between containers?</t>
        </is>
      </c>
      <c r="AS27" s="18" t="inlineStr">
        <is>
          <t>It is like dialing a name from a live phone book.</t>
        </is>
      </c>
      <c r="AT27" s="18" t="inlineStr">
        <is>
          <t>What does localhost mean inside a container?</t>
        </is>
      </c>
      <c r="AU27" s="18" t="inlineStr">
        <is>
          <t>A) That same container B) The host machine C) The database container D) The registry</t>
        </is>
      </c>
      <c r="AV27" s="18" t="inlineStr">
        <is>
          <t>A</t>
        </is>
      </c>
      <c r="AW27" s="18" t="inlineStr">
        <is>
          <t>Each container has its own network namespace.</t>
        </is>
      </c>
      <c r="AX27" s="19" t="inlineStr">
        <is>
          <t>The built-in resolver address inside containers is ____ → 127.0.0.11</t>
        </is>
      </c>
      <c r="AY27" s="18" t="inlineStr">
        <is>
          <t>Check how the api container resolves the name db.</t>
        </is>
      </c>
      <c r="AZ27" s="19" t="inlineStr">
        <is>
          <t>docker exec api getent hosts db</t>
        </is>
      </c>
      <c r="BA27" s="18" t="inlineStr">
        <is>
          <t>Give a Redis container the extra name cache on appnet.</t>
        </is>
      </c>
      <c r="BB27" s="19" t="inlineStr">
        <is>
          <t>What usually causes a name lookup to fail?</t>
        </is>
      </c>
      <c r="BC27" s="19" t="inlineStr">
        <is>
          <t>The containers are on different networks, or the default bridge is used.</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81" customHeight="1">
      <c r="A28" s="17" t="inlineStr">
        <is>
          <t>DKR-031</t>
        </is>
      </c>
      <c r="B28" s="17" t="inlineStr">
        <is>
          <t>04 Storage and Networking</t>
        </is>
      </c>
      <c r="C28" s="17" t="inlineStr">
        <is>
          <t>Advanced</t>
        </is>
      </c>
      <c r="D28" s="17" t="n">
        <v>31</v>
      </c>
      <c r="E28" s="17" t="inlineStr">
        <is>
          <t>Claude knowledge</t>
        </is>
      </c>
      <c r="F28" s="18" t="inlineStr">
        <is>
          <t>Host and none networks</t>
        </is>
      </c>
      <c r="G28" s="18" t="inlineStr">
        <is>
          <t>Which network modes remove isolation, or all networking, from a container?</t>
        </is>
      </c>
      <c r="H28" s="17" t="n"/>
      <c r="I28" s="18" t="inlineStr">
        <is>
          <t>Networking concept</t>
        </is>
      </c>
      <c r="J28" s="18" t="inlineStr">
        <is>
          <t>Medium</t>
        </is>
      </c>
      <c r="K28" s="18" t="n">
        <v>3</v>
      </c>
      <c r="L28" s="18" t="inlineStr">
        <is>
          <t>Some workloads need raw host speed or total isolation, so Docker offers modes beyond the bridge.</t>
        </is>
      </c>
      <c r="M28" s="18" t="inlineStr">
        <is>
          <t>Use host mode only when you truly need it, since it removes port isolation.</t>
        </is>
      </c>
      <c r="N28" s="17" t="n"/>
      <c r="O28" s="18" t="inlineStr">
        <is>
          <t>Host mode removes the walls, and none mode removes the doors.</t>
        </is>
      </c>
      <c r="P28" s="18" t="inlineStr">
        <is>
          <t>One container sharing the host's network card, another with no network.</t>
        </is>
      </c>
      <c r="Q28" s="18" t="inlineStr">
        <is>
          <t>The caution of knowing you removed a safety layer.</t>
        </is>
      </c>
      <c r="R28" s="18" t="inlineStr">
        <is>
          <t>Host mode shares the host's network stack directly, and none mode gives the container only a loopback interface.</t>
        </is>
      </c>
      <c r="S28" s="17" t="n"/>
      <c r="T28" s="19" t="inlineStr">
        <is>
          <t>docker run -d --network host nginx
docker run --rm --network none alpine ip addr</t>
        </is>
      </c>
      <c r="U28" s="19" t="inlineStr">
        <is>
          <t>Nginx listens directly on host port 80, and the second container shows only the loopback interface.</t>
        </is>
      </c>
      <c r="V28" s="18" t="inlineStr">
        <is>
          <t>With host mode, -p is ignored because there is no separate network, and port clashes with the host are possible. It works fully on Linux, with limits on Docker Desktop. None mode suits jobs that must have no network access, such as an offline batch tool.</t>
        </is>
      </c>
      <c r="W28" s="18" t="inlineStr">
        <is>
          <t>host = share the host network, none = no network at all.</t>
        </is>
      </c>
      <c r="X28" s="18" t="inlineStr">
        <is>
          <t>It is like a room with no walls versus a room with no doors.</t>
        </is>
      </c>
      <c r="Y28" s="19" t="inlineStr">
        <is>
          <t>docker run --network host|none image</t>
        </is>
      </c>
      <c r="Z28" s="18" t="inlineStr">
        <is>
          <t>host = host stack | none = loopback only | bridge = default isolated</t>
        </is>
      </c>
      <c r="AA28" s="19" t="inlineStr">
        <is>
          <t>docker run --network host myapp</t>
        </is>
      </c>
      <c r="AB28" s="19" t="inlineStr">
        <is>
          <t>docker run --network none alpine</t>
        </is>
      </c>
      <c r="AC28" s="19" t="inlineStr">
        <is>
          <t>docker network inspect bridge</t>
        </is>
      </c>
      <c r="AD28" s="19" t="inlineStr">
        <is>
          <t>docker run --network container:web alpine   // share another container's network</t>
        </is>
      </c>
      <c r="AE28" s="18" t="inlineStr">
        <is>
          <t>performance tuning, isolation, security</t>
        </is>
      </c>
      <c r="AF28" s="18" t="inlineStr">
        <is>
          <t>bridge networks, port mapping, security and operations</t>
        </is>
      </c>
      <c r="AG28" s="18" t="inlineStr">
        <is>
          <t>Bridge network with -p</t>
        </is>
      </c>
      <c r="AH28" s="17" t="n"/>
      <c r="AI28" s="18" t="inlineStr">
        <is>
          <t>Monitoring agents | Offline jobs | Performance tests</t>
        </is>
      </c>
      <c r="AJ28" s="18" t="inlineStr">
        <is>
          <t>A: Do I need -p with host networking? | B: No, host mode ignores it.</t>
        </is>
      </c>
      <c r="AK28" s="18" t="inlineStr">
        <is>
          <t>✗ Host networking is the safe default → ✓ It removes isolation, so use it only when necessary</t>
        </is>
      </c>
      <c r="AL28" s="18" t="inlineStr">
        <is>
          <t>Host network vs bridge: host shares the machine network, bridge isolates it.</t>
        </is>
      </c>
      <c r="AM28" s="18" t="inlineStr">
        <is>
          <t>Do not run untrusted images on the host network.</t>
        </is>
      </c>
      <c r="AN28" s="19" t="inlineStr">
        <is>
          <t>docker run --network host -p 80:80 nginx</t>
        </is>
      </c>
      <c r="AO28" s="19" t="inlineStr">
        <is>
          <t>docker run --network host nginx</t>
        </is>
      </c>
      <c r="AP28" s="18" t="inlineStr">
        <is>
          <t>Host drops walls, none drops doors.</t>
        </is>
      </c>
      <c r="AQ28" s="18" t="inlineStr">
        <is>
          <t>Running a metrics agent on the host network to read machine interfaces.</t>
        </is>
      </c>
      <c r="AR28" s="18" t="inlineStr">
        <is>
          <t>An interviewer may ask: When would you use the none network?</t>
        </is>
      </c>
      <c r="AS28" s="18" t="inlineStr">
        <is>
          <t>It is like a room with no walls or no doors.</t>
        </is>
      </c>
      <c r="AT28" s="18" t="inlineStr">
        <is>
          <t>What does the none network give a container?</t>
        </is>
      </c>
      <c r="AU28" s="18" t="inlineStr">
        <is>
          <t>A) A public IP B) Full host access C) A VPN D) Only a loopback interface</t>
        </is>
      </c>
      <c r="AV28" s="18" t="inlineStr">
        <is>
          <t>D</t>
        </is>
      </c>
      <c r="AW28" s="18" t="inlineStr">
        <is>
          <t>Only the internal loopback is available.</t>
        </is>
      </c>
      <c r="AX28" s="19" t="inlineStr">
        <is>
          <t>To share the machine's own network stack you pass --network followed by ____ → host</t>
        </is>
      </c>
      <c r="AY28" s="18" t="inlineStr">
        <is>
          <t>Run nginx sharing the host network.</t>
        </is>
      </c>
      <c r="AZ28" s="19" t="inlineStr">
        <is>
          <t>docker run --network host nginx</t>
        </is>
      </c>
      <c r="BA28" s="18" t="inlineStr">
        <is>
          <t>Run alpine with no network at all.</t>
        </is>
      </c>
      <c r="BB28" s="19" t="inlineStr">
        <is>
          <t>Why is -p ignored in host mode?</t>
        </is>
      </c>
      <c r="BC28" s="19" t="inlineStr">
        <is>
          <t>There is no separate container network to map from.</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94.5" customHeight="1">
      <c r="A29" s="17" t="inlineStr">
        <is>
          <t>DKR-032</t>
        </is>
      </c>
      <c r="B29" s="17" t="inlineStr">
        <is>
          <t>04 Storage and Networking</t>
        </is>
      </c>
      <c r="C29" s="17" t="inlineStr">
        <is>
          <t>Advanced</t>
        </is>
      </c>
      <c r="D29" s="17" t="n">
        <v>32</v>
      </c>
      <c r="E29" s="17" t="inlineStr">
        <is>
          <t>Claude knowledge</t>
        </is>
      </c>
      <c r="F29" s="18" t="inlineStr">
        <is>
          <t>Network troubleshooting</t>
        </is>
      </c>
      <c r="G29" s="18" t="inlineStr">
        <is>
          <t>Which steps do you take when one container cannot reach another?</t>
        </is>
      </c>
      <c r="H29" s="17" t="n"/>
      <c r="I29" s="18" t="inlineStr">
        <is>
          <t>Debugging skill</t>
        </is>
      </c>
      <c r="J29" s="18" t="inlineStr">
        <is>
          <t>High</t>
        </is>
      </c>
      <c r="K29" s="18" t="n">
        <v>5</v>
      </c>
      <c r="L29" s="18" t="inlineStr">
        <is>
          <t>Connection failures are the most common Docker problem, so a repeatable checklist saves hours of guessing.</t>
        </is>
      </c>
      <c r="M29" s="18" t="inlineStr">
        <is>
          <t>Test from inside the failing container, because that is the view that matters.</t>
        </is>
      </c>
      <c r="N29" s="17" t="n"/>
      <c r="O29" s="18" t="inlineStr">
        <is>
          <t>Trace the call from the caller's phone, not from your own.</t>
        </is>
      </c>
      <c r="P29" s="18" t="inlineStr">
        <is>
          <t>A checklist moving from name to network to port.</t>
        </is>
      </c>
      <c r="Q29" s="18" t="inlineStr">
        <is>
          <t>The relief of finding the single wrong word.</t>
        </is>
      </c>
      <c r="R29" s="18" t="inlineStr">
        <is>
          <t>Network troubleshooting is checking, in order, the name, the shared network, the listening port and the target process.</t>
        </is>
      </c>
      <c r="S29" s="17" t="n"/>
      <c r="T29" s="19" t="inlineStr">
        <is>
          <t>docker network inspect appnet
docker exec api getent hosts db
docker exec api sh -c "nc -zv db 5432"
docker logs db --tail 20</t>
        </is>
      </c>
      <c r="U29" s="19" t="inlineStr">
        <is>
          <t>You see both containers on appnet, the name resolves, the port answers, and the database log shows it is ready.</t>
        </is>
      </c>
      <c r="V29" s="18" t="inlineStr">
        <is>
          <t>Start with the name, then check both containers share a network. Next test the port from inside the caller. Then read the target's logs, since it may still be starting. Also check that the service listens on 0.0.0.0, not only 127.0.0.1, and that the right port number is used.</t>
        </is>
      </c>
      <c r="W29" s="18" t="inlineStr">
        <is>
          <t>Check name, network, port, then the target's logs, all from inside the caller.</t>
        </is>
      </c>
      <c r="X29" s="18" t="inlineStr">
        <is>
          <t>It is like tracing a phone call from the caller's own phone.</t>
        </is>
      </c>
      <c r="Y29" s="19" t="inlineStr">
        <is>
          <t>docker exec caller nc -zv target port</t>
        </is>
      </c>
      <c r="Z29" s="18" t="inlineStr">
        <is>
          <t>network inspect = who is connected | getent = name check | nc -zv = port check | logs = target state</t>
        </is>
      </c>
      <c r="AA29" s="19" t="inlineStr">
        <is>
          <t>docker exec api ping -c 1 db</t>
        </is>
      </c>
      <c r="AB29" s="19" t="inlineStr">
        <is>
          <t>docker exec api cat /etc/resolv.conf</t>
        </is>
      </c>
      <c r="AC29" s="19" t="inlineStr">
        <is>
          <t>docker exec db ss -ltn</t>
        </is>
      </c>
      <c r="AD29" s="19" t="inlineStr">
        <is>
          <t>docker run --rm --network appnet nicolaka/netshoot   // a toolbox container for debugging</t>
        </is>
      </c>
      <c r="AE29" s="18" t="inlineStr">
        <is>
          <t>docker exec, docker logs, bridge networks</t>
        </is>
      </c>
      <c r="AF29" s="18" t="inlineStr">
        <is>
          <t>container DNS, port mapping, debugging a failing container</t>
        </is>
      </c>
      <c r="AG29" s="18" t="inlineStr">
        <is>
          <t>A netshoot toolbox container</t>
        </is>
      </c>
      <c r="AH29" s="17" t="n"/>
      <c r="AI29" s="18" t="inlineStr">
        <is>
          <t>Connection errors | Compose stacks | Production incidents</t>
        </is>
      </c>
      <c r="AJ29" s="18" t="inlineStr">
        <is>
          <t>A: The API says connection refused. | B: Check that the database listens on 0.0.0.0 and is on the same network.</t>
        </is>
      </c>
      <c r="AK29" s="18" t="inlineStr">
        <is>
          <t>✗ Connection refused always means a firewall → ✓ It often means nothing is listening, or the service binds only to localhost</t>
        </is>
      </c>
      <c r="AL29" s="18" t="inlineStr">
        <is>
          <t>Refused vs timeout: refused means nobody is listening, timeout means traffic is blocked or lost.</t>
        </is>
      </c>
      <c r="AM29" s="18" t="inlineStr">
        <is>
          <t>Do not guess the cause before testing from inside the caller.</t>
        </is>
      </c>
      <c r="AN29" s="19" t="inlineStr">
        <is>
          <t>DB_HOST=127.0.0.1</t>
        </is>
      </c>
      <c r="AO29" s="19" t="inlineStr">
        <is>
          <t>DB_HOST=db</t>
        </is>
      </c>
      <c r="AP29" s="18" t="inlineStr">
        <is>
          <t>Name, network, port, then logs.</t>
        </is>
      </c>
      <c r="AQ29" s="18" t="inlineStr">
        <is>
          <t>Finding that the service listened only on localhost, then binding it to all addresses.</t>
        </is>
      </c>
      <c r="AR29" s="18" t="inlineStr">
        <is>
          <t>An interviewer may ask: How do you debug a connection refused error?</t>
        </is>
      </c>
      <c r="AS29" s="18" t="inlineStr">
        <is>
          <t>It is like tracing a phone call from the caller's side.</t>
        </is>
      </c>
      <c r="AT29" s="18" t="inlineStr">
        <is>
          <t>Where should you test connectivity from?</t>
        </is>
      </c>
      <c r="AU29" s="18" t="inlineStr">
        <is>
          <t>A) From the registry B) Only from your laptop C) Inside the calling container D) From the image build</t>
        </is>
      </c>
      <c r="AV29" s="18" t="inlineStr">
        <is>
          <t>C</t>
        </is>
      </c>
      <c r="AW29" s="18" t="inlineStr">
        <is>
          <t>The caller's own view decides whether it can connect.</t>
        </is>
      </c>
      <c r="AX29" s="19" t="inlineStr">
        <is>
          <t>A server inside a container should listen on 0.0.0.0 rather than ____ → 127.0.0.1</t>
        </is>
      </c>
      <c r="AY29" s="18" t="inlineStr">
        <is>
          <t>Check whether the api container can reach db on port 5432.</t>
        </is>
      </c>
      <c r="AZ29" s="19" t="inlineStr">
        <is>
          <t>docker exec api sh -c "nc -zv db 5432"</t>
        </is>
      </c>
      <c r="BA29" s="18" t="inlineStr">
        <is>
          <t>List every container attached to the network appnet.</t>
        </is>
      </c>
      <c r="BB29" s="19" t="inlineStr">
        <is>
          <t>What does connection refused usually mean?</t>
        </is>
      </c>
      <c r="BC29" s="19" t="inlineStr">
        <is>
          <t>Nothing is listening on that port or address.</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21.5" customHeight="1">
      <c r="A30" s="17" t="inlineStr">
        <is>
          <t>DKR-033</t>
        </is>
      </c>
      <c r="B30" s="17" t="inlineStr">
        <is>
          <t>05 Docker Compose</t>
        </is>
      </c>
      <c r="C30" s="17" t="inlineStr">
        <is>
          <t>Intermediate</t>
        </is>
      </c>
      <c r="D30" s="17" t="n">
        <v>33</v>
      </c>
      <c r="E30" s="17" t="inlineStr">
        <is>
          <t>Claude knowledge</t>
        </is>
      </c>
      <c r="F30" s="18" t="inlineStr">
        <is>
          <t>The Compose file</t>
        </is>
      </c>
      <c r="G30" s="18" t="inlineStr">
        <is>
          <t>Which file describes a whole multi-container application in one place?</t>
        </is>
      </c>
      <c r="H30" s="17" t="n"/>
      <c r="I30" s="18" t="inlineStr">
        <is>
          <t>Compose concept</t>
        </is>
      </c>
      <c r="J30" s="18" t="inlineStr">
        <is>
          <t>Very high</t>
        </is>
      </c>
      <c r="K30" s="18" t="n">
        <v>5</v>
      </c>
      <c r="L30" s="18" t="inlineStr">
        <is>
          <t>Typing several long docker run commands is error-prone, so Compose lets you write the whole setup once as a file.</t>
        </is>
      </c>
      <c r="M30" s="18" t="inlineStr">
        <is>
          <t>Keep the file in version control so everyone starts the same stack.</t>
        </is>
      </c>
      <c r="N30" s="17" t="n"/>
      <c r="O30" s="18" t="inlineStr">
        <is>
          <t>The Compose file is a seating plan for every container at the party.</t>
        </is>
      </c>
      <c r="P30" s="18" t="inlineStr">
        <is>
          <t>A YAML file with services listed under one heading.</t>
        </is>
      </c>
      <c r="Q30" s="18" t="inlineStr">
        <is>
          <t>The comfort of starting a whole stack with one command.</t>
        </is>
      </c>
      <c r="R30" s="18" t="inlineStr">
        <is>
          <t>A Compose file, usually compose.yaml, declares the services, networks and volumes of an application in YAML.</t>
        </is>
      </c>
      <c r="S30" s="17" t="n"/>
      <c r="T30" s="19" t="inlineStr">
        <is>
          <t>services:
  web:
    build: .
    ports:
      - "8080:8000"
  db:
    image: postgres:16
    environment:
      POSTGRES_PASSWORD: example</t>
        </is>
      </c>
      <c r="U30" s="19" t="inlineStr">
        <is>
          <t>Compose knows two services, builds web from the local Dockerfile, and pulls the postgres image for db.</t>
        </is>
      </c>
      <c r="V30" s="18" t="inlineStr">
        <is>
          <t>Each key under services becomes a container. The file name compose.yaml is the modern default, and docker-compose.yml still works. Indentation matters, as YAML uses spaces and not tabs. Compose creates a default network so services reach each other by service name.</t>
        </is>
      </c>
      <c r="W30" s="18" t="inlineStr">
        <is>
          <t>Write the stack once in compose.yaml, then start it with docker compose up.</t>
        </is>
      </c>
      <c r="X30" s="18" t="inlineStr">
        <is>
          <t>It is like a seating plan that places every guest in one go.</t>
        </is>
      </c>
      <c r="Y30" s="19" t="inlineStr">
        <is>
          <t>services: name: image or build, ports, environment</t>
        </is>
      </c>
      <c r="Z30" s="18" t="inlineStr">
        <is>
          <t>services = containers | image = ready image | build = from Dockerfile | ports = published ports</t>
        </is>
      </c>
      <c r="AA30" s="19" t="inlineStr">
        <is>
          <t>image: redis:7</t>
        </is>
      </c>
      <c r="AB30" s="19" t="inlineStr">
        <is>
          <t>build: ./api</t>
        </is>
      </c>
      <c r="AC30" s="19" t="inlineStr">
        <is>
          <t>restart: unless-stopped</t>
        </is>
      </c>
      <c r="AD30" s="19" t="inlineStr">
        <is>
          <t>docker compose -f other.yaml up   // use a different file</t>
        </is>
      </c>
      <c r="AE30" s="18" t="inlineStr">
        <is>
          <t>docker compose up, Dockerfile, .env files</t>
        </is>
      </c>
      <c r="AF30" s="18" t="inlineStr">
        <is>
          <t>Compose commands, depends_on and health checks, env files</t>
        </is>
      </c>
      <c r="AG30" s="18" t="inlineStr">
        <is>
          <t>Several docker run commands | Kubernetes manifests</t>
        </is>
      </c>
      <c r="AH30" s="17" t="n"/>
      <c r="AI30" s="18" t="inlineStr">
        <is>
          <t>Local stacks | Test setups | Small deployments</t>
        </is>
      </c>
      <c r="AJ30" s="18" t="inlineStr">
        <is>
          <t>A: Setting up the app takes ten commands. | B: Put it in a Compose file and run one.</t>
        </is>
      </c>
      <c r="AK30" s="18" t="inlineStr">
        <is>
          <t>✗ Compose is only for production clusters → ✓ It is mostly used to define and run multi-container apps on one host</t>
        </is>
      </c>
      <c r="AL30" s="18" t="inlineStr">
        <is>
          <t>Compose file vs Dockerfile: Compose describes many containers, a Dockerfile builds one image.</t>
        </is>
      </c>
      <c r="AM30" s="18" t="inlineStr">
        <is>
          <t>Do not use tabs, YAML needs spaces.</t>
        </is>
      </c>
      <c r="AN30" s="19" t="inlineStr">
        <is>
          <t>services:
	web:
	  image: nginx</t>
        </is>
      </c>
      <c r="AO30" s="19" t="inlineStr">
        <is>
          <t>services:
  web:
    image: nginx</t>
        </is>
      </c>
      <c r="AP30" s="18" t="inlineStr">
        <is>
          <t>Services are the containers in one file.</t>
        </is>
      </c>
      <c r="AQ30" s="18" t="inlineStr">
        <is>
          <t>Replacing a README of setup commands with one compose.yaml for new developers.</t>
        </is>
      </c>
      <c r="AR30" s="18" t="inlineStr">
        <is>
          <t>An interviewer may ask: What problem does Docker Compose solve?</t>
        </is>
      </c>
      <c r="AS30" s="18" t="inlineStr">
        <is>
          <t>It is like one seating plan for a whole party.</t>
        </is>
      </c>
      <c r="AT30" s="18" t="inlineStr">
        <is>
          <t>What does each entry under services become?</t>
        </is>
      </c>
      <c r="AU30" s="18" t="inlineStr">
        <is>
          <t>A) A volume B) A registry C) An image tag D) A container</t>
        </is>
      </c>
      <c r="AV30" s="18" t="inlineStr">
        <is>
          <t>D</t>
        </is>
      </c>
      <c r="AW30" s="18" t="inlineStr">
        <is>
          <t>Every service is run as one or more containers.</t>
        </is>
      </c>
      <c r="AX30" s="19" t="inlineStr">
        <is>
          <t>Compose files are written in the ____ format → YAML</t>
        </is>
      </c>
      <c r="AY30" s="18" t="inlineStr">
        <is>
          <t>Define a service called cache using the redis 7 image.</t>
        </is>
      </c>
      <c r="AZ30" s="19" t="inlineStr">
        <is>
          <t>services:
  cache:
    image: redis:7</t>
        </is>
      </c>
      <c r="BA30" s="18" t="inlineStr">
        <is>
          <t>Add a restart policy to a service in a Compose file.</t>
        </is>
      </c>
      <c r="BB30" s="19" t="inlineStr">
        <is>
          <t>Why are tabs a problem in Compose files?</t>
        </is>
      </c>
      <c r="BC30" s="19" t="inlineStr">
        <is>
          <t>YAML requires spaces for indentation.</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94.5" customHeight="1">
      <c r="A31" s="17" t="inlineStr">
        <is>
          <t>DKR-034</t>
        </is>
      </c>
      <c r="B31" s="17" t="inlineStr">
        <is>
          <t>05 Docker Compose</t>
        </is>
      </c>
      <c r="C31" s="17" t="inlineStr">
        <is>
          <t>Intermediate</t>
        </is>
      </c>
      <c r="D31" s="17" t="n">
        <v>34</v>
      </c>
      <c r="E31" s="17" t="inlineStr">
        <is>
          <t>Claude knowledge</t>
        </is>
      </c>
      <c r="F31" s="18" t="inlineStr">
        <is>
          <t>Compose commands</t>
        </is>
      </c>
      <c r="G31" s="18" t="inlineStr">
        <is>
          <t>Which commands start, stop and inspect a Compose stack?</t>
        </is>
      </c>
      <c r="H31" s="17" t="n"/>
      <c r="I31" s="18" t="inlineStr">
        <is>
          <t>CLI command</t>
        </is>
      </c>
      <c r="J31" s="18" t="inlineStr">
        <is>
          <t>Very high</t>
        </is>
      </c>
      <c r="K31" s="18" t="n">
        <v>5</v>
      </c>
      <c r="L31" s="18" t="inlineStr">
        <is>
          <t>Once a stack is defined, you need verbs to bring it up and down, and Compose wraps the lifecycle in a few commands.</t>
        </is>
      </c>
      <c r="M31" s="18" t="inlineStr">
        <is>
          <t>Use docker compose down -v only when you truly want to erase the stack data.</t>
        </is>
      </c>
      <c r="N31" s="17" t="n"/>
      <c r="O31" s="18" t="inlineStr">
        <is>
          <t>Up opens the shop, and down closes it and sweeps the floor.</t>
        </is>
      </c>
      <c r="P31" s="18" t="inlineStr">
        <is>
          <t>Several services starting together in one terminal window.</t>
        </is>
      </c>
      <c r="Q31" s="18" t="inlineStr">
        <is>
          <t>The confidence of rebuilding everything from scratch in seconds.</t>
        </is>
      </c>
      <c r="R31" s="18" t="inlineStr">
        <is>
          <t>docker compose up creates and starts the stack, down stops and removes it, and ps, logs and exec work per service.</t>
        </is>
      </c>
      <c r="S31" s="17" t="n"/>
      <c r="T31" s="19" t="inlineStr">
        <is>
          <t>docker compose up -d --build
docker compose ps
docker compose logs -f web
docker compose down</t>
        </is>
      </c>
      <c r="U31" s="19" t="inlineStr">
        <is>
          <t>Images are built, services start in the background, their state is listed, web logs stream, and everything is removed at the end.</t>
        </is>
      </c>
      <c r="V31" s="18" t="inlineStr">
        <is>
          <t>up builds missing images and starts services. --build forces a rebuild. down removes containers and networks but keeps named volumes unless you add -v. restart restarts a service, and pull downloads new images. Commands take a service name to act on just one.</t>
        </is>
      </c>
      <c r="W31" s="18" t="inlineStr">
        <is>
          <t>up starts it, down removes it, logs and exec help you debug.</t>
        </is>
      </c>
      <c r="X31" s="18" t="inlineStr">
        <is>
          <t>It is like opening and closing a shop with one key.</t>
        </is>
      </c>
      <c r="Y31" s="19" t="inlineStr">
        <is>
          <t>docker compose up|down|ps|logs|exec [service]</t>
        </is>
      </c>
      <c r="Z31" s="18" t="inlineStr">
        <is>
          <t>up = create and start | down = stop and remove | ps = list | logs = output | exec = run inside</t>
        </is>
      </c>
      <c r="AA31" s="19" t="inlineStr">
        <is>
          <t>docker compose up</t>
        </is>
      </c>
      <c r="AB31" s="19" t="inlineStr">
        <is>
          <t>docker compose exec db psql -U postgres</t>
        </is>
      </c>
      <c r="AC31" s="19" t="inlineStr">
        <is>
          <t>docker compose restart web</t>
        </is>
      </c>
      <c r="AD31" s="19" t="inlineStr">
        <is>
          <t>docker compose up -d --scale worker=3   // run three copies of a service</t>
        </is>
      </c>
      <c r="AE31" s="18" t="inlineStr">
        <is>
          <t>compose.yaml, docker logs, CI</t>
        </is>
      </c>
      <c r="AF31" s="18" t="inlineStr">
        <is>
          <t>The Compose file, env files, profiles</t>
        </is>
      </c>
      <c r="AG31" s="18" t="inlineStr">
        <is>
          <t>docker run for single containers</t>
        </is>
      </c>
      <c r="AH31" s="17" t="n"/>
      <c r="AI31" s="18" t="inlineStr">
        <is>
          <t>Daily development | CI tests | Demos</t>
        </is>
      </c>
      <c r="AJ31" s="18" t="inlineStr">
        <is>
          <t>A: How do I rebuild after changing code? | B: Run docker compose up --build.</t>
        </is>
      </c>
      <c r="AK31" s="18" t="inlineStr">
        <is>
          <t>✗ docker compose down deletes the database data → ✓ Named volumes are kept unless you add -v</t>
        </is>
      </c>
      <c r="AL31" s="18" t="inlineStr">
        <is>
          <t>compose stop vs down: stop stops the containers but keeps them, down removes them and the network.</t>
        </is>
      </c>
      <c r="AM31" s="18" t="inlineStr">
        <is>
          <t>Do not run down -v on a stack holding data you need.</t>
        </is>
      </c>
      <c r="AN31" s="19" t="inlineStr">
        <is>
          <t>docker compose start -d</t>
        </is>
      </c>
      <c r="AO31" s="19" t="inlineStr">
        <is>
          <t>docker compose up -d</t>
        </is>
      </c>
      <c r="AP31" s="18" t="inlineStr">
        <is>
          <t>Up creates, down removes, stop only stops.</t>
        </is>
      </c>
      <c r="AQ31" s="18" t="inlineStr">
        <is>
          <t>Using compose up --build in CI to run integration tests then down.</t>
        </is>
      </c>
      <c r="AR31" s="18" t="inlineStr">
        <is>
          <t>An interviewer may ask: What is the difference between stop and down?</t>
        </is>
      </c>
      <c r="AS31" s="18" t="inlineStr">
        <is>
          <t>It is like opening and closing a shop with one key.</t>
        </is>
      </c>
      <c r="AT31" s="18" t="inlineStr">
        <is>
          <t>What does docker compose down keep by default?</t>
        </is>
      </c>
      <c r="AU31" s="18" t="inlineStr">
        <is>
          <t>A) Named volumes B) The network C) Running services D) Containers</t>
        </is>
      </c>
      <c r="AV31" s="18" t="inlineStr">
        <is>
          <t>A</t>
        </is>
      </c>
      <c r="AW31" s="18" t="inlineStr">
        <is>
          <t>Volumes are removed only with the -v flag.</t>
        </is>
      </c>
      <c r="AX31" s="19" t="inlineStr">
        <is>
          <t>The flag ____ runs the stack in the background → -d</t>
        </is>
      </c>
      <c r="AY31" s="18" t="inlineStr">
        <is>
          <t>Start the stack in the background and rebuild images.</t>
        </is>
      </c>
      <c r="AZ31" s="19" t="inlineStr">
        <is>
          <t>docker compose up -d --build</t>
        </is>
      </c>
      <c r="BA31" s="18" t="inlineStr">
        <is>
          <t>Show the last 50 lines of logs for the service api.</t>
        </is>
      </c>
      <c r="BB31" s="19" t="inlineStr">
        <is>
          <t>Which flag makes down delete volumes too?</t>
        </is>
      </c>
      <c r="BC31" s="19" t="inlineStr">
        <is>
          <t>-v</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162" customHeight="1">
      <c r="A32" s="17" t="inlineStr">
        <is>
          <t>DKR-035</t>
        </is>
      </c>
      <c r="B32" s="17" t="inlineStr">
        <is>
          <t>05 Docker Compose</t>
        </is>
      </c>
      <c r="C32" s="17" t="inlineStr">
        <is>
          <t>Intermediate</t>
        </is>
      </c>
      <c r="D32" s="17" t="n">
        <v>35</v>
      </c>
      <c r="E32" s="17" t="inlineStr">
        <is>
          <t>Claude knowledge</t>
        </is>
      </c>
      <c r="F32" s="18" t="inlineStr">
        <is>
          <t>Networks and volumes in Compose</t>
        </is>
      </c>
      <c r="G32" s="18" t="inlineStr">
        <is>
          <t>How do you declare shared storage and private networks in a Compose file?</t>
        </is>
      </c>
      <c r="H32" s="17" t="n"/>
      <c r="I32" s="18" t="inlineStr">
        <is>
          <t>Compose concept</t>
        </is>
      </c>
      <c r="J32" s="18" t="inlineStr">
        <is>
          <t>High</t>
        </is>
      </c>
      <c r="K32" s="18" t="n">
        <v>4</v>
      </c>
      <c r="L32" s="18" t="inlineStr">
        <is>
          <t>Real stacks need persistent data and separated traffic, so Compose has top-level sections for volumes and networks.</t>
        </is>
      </c>
      <c r="M32" s="18" t="inlineStr">
        <is>
          <t>Put the database on a private network that the public proxy cannot reach.</t>
        </is>
      </c>
      <c r="N32" s="17" t="n"/>
      <c r="O32" s="18" t="inlineStr">
        <is>
          <t>Top-level sections are the shared rooms that every service can be given keys to.</t>
        </is>
      </c>
      <c r="P32" s="18" t="inlineStr">
        <is>
          <t>Services attached to named networks and storage.</t>
        </is>
      </c>
      <c r="Q32" s="18" t="inlineStr">
        <is>
          <t>The tidy feeling of clear boundaries.</t>
        </is>
      </c>
      <c r="R32" s="18" t="inlineStr">
        <is>
          <t>Top-level volumes and networks sections declare named resources that services then attach to by name.</t>
        </is>
      </c>
      <c r="S32" s="17" t="n"/>
      <c r="T32" s="19" t="inlineStr">
        <is>
          <t>services:
  db:
    image: postgres:16
    environment:
      POSTGRES_PASSWORD: example
    volumes:
      - pgdata:/var/lib/postgresql/data
    networks: [backend]
volumes:
  pgdata:
networks:
  backend:</t>
        </is>
      </c>
      <c r="U32" s="19" t="inlineStr">
        <is>
          <t>Compose creates the pgdata volume and the backend network, and attaches db to both.</t>
        </is>
      </c>
      <c r="V32" s="18" t="inlineStr">
        <is>
          <t>Without a networks section Compose makes one default network. Declaring several lets you separate public and private traffic. A volume named at the top level survives down unless you remove it. A bind mount is written as a path directly under a service.</t>
        </is>
      </c>
      <c r="W32" s="18" t="inlineStr">
        <is>
          <t>Declare volumes and networks at the bottom, then list them under each service.</t>
        </is>
      </c>
      <c r="X32" s="18" t="inlineStr">
        <is>
          <t>It is like shared rooms that services receive keys to.</t>
        </is>
      </c>
      <c r="Y32" s="19" t="inlineStr">
        <is>
          <t>services: name: volumes: [vol:/path] networks: [net] then top-level volumes: and networks:</t>
        </is>
      </c>
      <c r="Z32" s="18" t="inlineStr">
        <is>
          <t>volumes = storage | networks = private links | service lists = which ones it uses</t>
        </is>
      </c>
      <c r="AA32" s="19" t="inlineStr">
        <is>
          <t>volumes: [./src:/app/src]</t>
        </is>
      </c>
      <c r="AB32" s="19" t="inlineStr">
        <is>
          <t>networks: [frontend, backend]</t>
        </is>
      </c>
      <c r="AC32" s="19" t="inlineStr">
        <is>
          <t>external: true   // reuse a volume created outside</t>
        </is>
      </c>
      <c r="AD32" s="19" t="inlineStr">
        <is>
          <t>networks: backend: internal: true   // no outside access</t>
        </is>
      </c>
      <c r="AE32" s="18" t="inlineStr">
        <is>
          <t>depends_on, bridge networks, volumes</t>
        </is>
      </c>
      <c r="AF32" s="18" t="inlineStr">
        <is>
          <t>volumes, bridge networks, depends_on and health checks</t>
        </is>
      </c>
      <c r="AG32" s="18" t="inlineStr">
        <is>
          <t>Default network only</t>
        </is>
      </c>
      <c r="AH32" s="17" t="n"/>
      <c r="AI32" s="18" t="inlineStr">
        <is>
          <t>Databases | Multi-tier apps | Isolation</t>
        </is>
      </c>
      <c r="AJ32" s="18" t="inlineStr">
        <is>
          <t>A: Can the proxy reach the database? | B: Not if they share no network.</t>
        </is>
      </c>
      <c r="AK32" s="18" t="inlineStr">
        <is>
          <t>✗ Every service in a Compose file needs its own network → ✓ All services share a default network unless you declare more</t>
        </is>
      </c>
      <c r="AL32" s="18" t="inlineStr">
        <is>
          <t>Service volume list vs top-level volumes: one attaches, the other declares.</t>
        </is>
      </c>
      <c r="AM32" s="18" t="inlineStr">
        <is>
          <t>Do not forget to declare a named volume at the top level.</t>
        </is>
      </c>
      <c r="AN32" s="19" t="inlineStr">
        <is>
          <t>services:
  db:
    volumes: [pgdata:/data]</t>
        </is>
      </c>
      <c r="AO32" s="19" t="inlineStr">
        <is>
          <t>services:
  db:
    volumes: [pgdata:/data]
volumes:
  pgdata:</t>
        </is>
      </c>
      <c r="AP32" s="18" t="inlineStr">
        <is>
          <t>Declare at the bottom, use at the top.</t>
        </is>
      </c>
      <c r="AQ32" s="18" t="inlineStr">
        <is>
          <t>Isolating the database on an internal network behind the API.</t>
        </is>
      </c>
      <c r="AR32" s="18" t="inlineStr">
        <is>
          <t>An interviewer may ask: How do you keep a database private in Compose?</t>
        </is>
      </c>
      <c r="AS32" s="18" t="inlineStr">
        <is>
          <t>It is like giving keys only to the services that need a room.</t>
        </is>
      </c>
      <c r="AT32" s="18" t="inlineStr">
        <is>
          <t>Where is a named volume declared in Compose?</t>
        </is>
      </c>
      <c r="AU32" s="18" t="inlineStr">
        <is>
          <t>A) In .dockerignore B) Inside the Dockerfile C) In the top-level volumes section D) In the image tag</t>
        </is>
      </c>
      <c r="AV32" s="18" t="inlineStr">
        <is>
          <t>C</t>
        </is>
      </c>
      <c r="AW32" s="18" t="inlineStr">
        <is>
          <t>Named volumes need a top-level declaration.</t>
        </is>
      </c>
      <c r="AX32" s="19" t="inlineStr">
        <is>
          <t>A network that blocks outside access is marked ____ → internal</t>
        </is>
      </c>
      <c r="AY32" s="18" t="inlineStr">
        <is>
          <t>Attach a service to a network named backend.</t>
        </is>
      </c>
      <c r="AZ32" s="19" t="inlineStr">
        <is>
          <t>networks: [backend]</t>
        </is>
      </c>
      <c r="BA32" s="18" t="inlineStr">
        <is>
          <t>Declare a volume called uploads and mount it in the api service.</t>
        </is>
      </c>
      <c r="BB32" s="19" t="inlineStr">
        <is>
          <t>What survives docker compose down?</t>
        </is>
      </c>
      <c r="BC32" s="19" t="inlineStr">
        <is>
          <t>Named volumes, unless -v is used.</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202.5" customHeight="1">
      <c r="A33" s="17" t="inlineStr">
        <is>
          <t>DKR-036</t>
        </is>
      </c>
      <c r="B33" s="17" t="inlineStr">
        <is>
          <t>05 Docker Compose</t>
        </is>
      </c>
      <c r="C33" s="17" t="inlineStr">
        <is>
          <t>Advanced</t>
        </is>
      </c>
      <c r="D33" s="17" t="n">
        <v>36</v>
      </c>
      <c r="E33" s="17" t="inlineStr">
        <is>
          <t>Claude knowledge</t>
        </is>
      </c>
      <c r="F33" s="18" t="inlineStr">
        <is>
          <t>depends_on and health checks</t>
        </is>
      </c>
      <c r="G33" s="18" t="inlineStr">
        <is>
          <t>How do you make one service wait until another is truly ready?</t>
        </is>
      </c>
      <c r="H33" s="17" t="n"/>
      <c r="I33" s="18" t="inlineStr">
        <is>
          <t>Compose concept</t>
        </is>
      </c>
      <c r="J33" s="18" t="inlineStr">
        <is>
          <t>High</t>
        </is>
      </c>
      <c r="K33" s="18" t="n">
        <v>5</v>
      </c>
      <c r="L33" s="18" t="inlineStr">
        <is>
          <t>A started container is not always a ready one, so Compose can wait for a health check rather than just a start.</t>
        </is>
      </c>
      <c r="M33" s="18" t="inlineStr">
        <is>
          <t>Pair condition service_healthy with a real health check, never rely on start order alone.</t>
        </is>
      </c>
      <c r="N33" s="17" t="n"/>
      <c r="O33" s="18" t="inlineStr">
        <is>
          <t>Depends_on is a waiter who holds the dish until the kitchen says it is ready.</t>
        </is>
      </c>
      <c r="P33" s="18" t="inlineStr">
        <is>
          <t>An arrow from web to db with a green check.</t>
        </is>
      </c>
      <c r="Q33" s="18" t="inlineStr">
        <is>
          <t>The relief of no more random start-up crashes.</t>
        </is>
      </c>
      <c r="R33" s="18" t="inlineStr">
        <is>
          <t>depends_on sets start order, and with condition service_healthy it waits until the dependency passes its health check.</t>
        </is>
      </c>
      <c r="S33" s="17" t="n"/>
      <c r="T33" s="19" t="inlineStr">
        <is>
          <t>services:
  db:
    image: postgres:16
    environment:
      POSTGRES_PASSWORD: example
    healthcheck:
      test: ["CMD-SHELL", "pg_isready -U postgres"]
      interval: 5s
      retries: 10
  api:
    build: .
    depends_on:
      db:
        condition: service_healthy</t>
        </is>
      </c>
      <c r="U33" s="19" t="inlineStr">
        <is>
          <t>The api container starts only after pg_isready reports that the database accepts connections.</t>
        </is>
      </c>
      <c r="V33" s="18" t="inlineStr">
        <is>
          <t>Plain depends_on only waits for the container to start, which may be long before the database is ready. A healthcheck defines a command that Docker runs repeatedly. Only when it succeeds is the service marked healthy. Your app should still retry connections, because a database can restart later.</t>
        </is>
      </c>
      <c r="W33" s="18" t="inlineStr">
        <is>
          <t>Add a healthcheck to the dependency, then wait for service_healthy.</t>
        </is>
      </c>
      <c r="X33" s="18" t="inlineStr">
        <is>
          <t>It is like a waiter holding a dish until the kitchen says it is ready.</t>
        </is>
      </c>
      <c r="Y33" s="19" t="inlineStr">
        <is>
          <t>depends_on: service: condition: service_healthy</t>
        </is>
      </c>
      <c r="Z33" s="18" t="inlineStr">
        <is>
          <t>depends_on = order | condition = what to wait for | healthcheck = readiness test</t>
        </is>
      </c>
      <c r="AA33" s="19" t="inlineStr">
        <is>
          <t>condition: service_started</t>
        </is>
      </c>
      <c r="AB33" s="19" t="inlineStr">
        <is>
          <t>condition: service_completed_successfully</t>
        </is>
      </c>
      <c r="AC33" s="19" t="inlineStr">
        <is>
          <t>healthcheck: test: ["CMD", "curl", "-f", "http://localhost/health"]</t>
        </is>
      </c>
      <c r="AD33" s="19" t="inlineStr">
        <is>
          <t>start_period: 30s   // grace time before failures count</t>
        </is>
      </c>
      <c r="AE33" s="18" t="inlineStr">
        <is>
          <t>healthchecks, restart policies, migrations</t>
        </is>
      </c>
      <c r="AF33" s="18" t="inlineStr">
        <is>
          <t>HEALTHCHECK, Compose commands, debugging a failing container</t>
        </is>
      </c>
      <c r="AG33" s="18" t="inlineStr">
        <is>
          <t>Retry logic in the app | Wait scripts</t>
        </is>
      </c>
      <c r="AH33" s="17" t="n"/>
      <c r="AI33" s="18" t="inlineStr">
        <is>
          <t>Databases | Migrations | Slow services</t>
        </is>
      </c>
      <c r="AJ33" s="18" t="inlineStr">
        <is>
          <t>A: The API crashes because the database is not ready. | B: Wait for the health check.</t>
        </is>
      </c>
      <c r="AK33" s="18" t="inlineStr">
        <is>
          <t>✗ depends_on waits until the dependency is ready → ✓ By default it only waits until the container has started</t>
        </is>
      </c>
      <c r="AL33" s="18" t="inlineStr">
        <is>
          <t>service_started vs service_healthy: started means running, healthy means passing its check.</t>
        </is>
      </c>
      <c r="AM33" s="18" t="inlineStr">
        <is>
          <t>Do not depend on start order alone for readiness.</t>
        </is>
      </c>
      <c r="AN33" s="19" t="inlineStr">
        <is>
          <t>depends_on: [db]</t>
        </is>
      </c>
      <c r="AO33" s="19" t="inlineStr">
        <is>
          <t>depends_on:
  db:
    condition: service_healthy</t>
        </is>
      </c>
      <c r="AP33" s="18" t="inlineStr">
        <is>
          <t>Started is not the same as ready.</t>
        </is>
      </c>
      <c r="AQ33" s="18" t="inlineStr">
        <is>
          <t>Making migrations wait for Postgres to pass pg_isready.</t>
        </is>
      </c>
      <c r="AR33" s="18" t="inlineStr">
        <is>
          <t>An interviewer may ask: Why does depends_on not guarantee readiness?</t>
        </is>
      </c>
      <c r="AS33" s="18" t="inlineStr">
        <is>
          <t>It is like a waiter waiting for the kitchen's signal.</t>
        </is>
      </c>
      <c r="AT33" s="18" t="inlineStr">
        <is>
          <t>What does plain depends_on wait for?</t>
        </is>
      </c>
      <c r="AU33" s="18" t="inlineStr">
        <is>
          <t>A) The database to be healthy B) The container to start C) The image to be pushed D) The app to be ready</t>
        </is>
      </c>
      <c r="AV33" s="18" t="inlineStr">
        <is>
          <t>B</t>
        </is>
      </c>
      <c r="AW33" s="18" t="inlineStr">
        <is>
          <t>Without a condition only the start is awaited.</t>
        </is>
      </c>
      <c r="AX33" s="19" t="inlineStr">
        <is>
          <t>To wait for a passing check you use condition: service_____ → healthy</t>
        </is>
      </c>
      <c r="AY33" s="18" t="inlineStr">
        <is>
          <t>Make api wait until db is healthy.</t>
        </is>
      </c>
      <c r="AZ33" s="19" t="inlineStr">
        <is>
          <t>depends_on:
  db:
    condition: service_healthy</t>
        </is>
      </c>
      <c r="BA33" s="18" t="inlineStr">
        <is>
          <t>Write a health check for a web service using curl.</t>
        </is>
      </c>
      <c r="BB33" s="19" t="inlineStr">
        <is>
          <t>Why should the app still retry its database connection?</t>
        </is>
      </c>
      <c r="BC33" s="19" t="inlineStr">
        <is>
          <t>The database can restart or become unavailable later.</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108" customHeight="1">
      <c r="A34" s="17" t="inlineStr">
        <is>
          <t>DKR-037</t>
        </is>
      </c>
      <c r="B34" s="17" t="inlineStr">
        <is>
          <t>05 Docker Compose</t>
        </is>
      </c>
      <c r="C34" s="17" t="inlineStr">
        <is>
          <t>Intermediate</t>
        </is>
      </c>
      <c r="D34" s="17" t="n">
        <v>37</v>
      </c>
      <c r="E34" s="17" t="inlineStr">
        <is>
          <t>Claude knowledge</t>
        </is>
      </c>
      <c r="F34" s="18" t="inlineStr">
        <is>
          <t>Environment and env files</t>
        </is>
      </c>
      <c r="G34" s="18" t="inlineStr">
        <is>
          <t>How do you pass settings and secrets into Compose services without hard-coding them?</t>
        </is>
      </c>
      <c r="H34" s="17" t="n"/>
      <c r="I34" s="18" t="inlineStr">
        <is>
          <t>Compose concept</t>
        </is>
      </c>
      <c r="J34" s="18" t="inlineStr">
        <is>
          <t>Very high</t>
        </is>
      </c>
      <c r="K34" s="18" t="n">
        <v>5</v>
      </c>
      <c r="L34" s="18" t="inlineStr">
        <is>
          <t>Settings change per environment, so Compose reads variables from the shell and from env files rather than from the YAML itself.</t>
        </is>
      </c>
      <c r="M34" s="18" t="inlineStr">
        <is>
          <t>Commit a .env.example, never the real .env file.</t>
        </is>
      </c>
      <c r="N34" s="17" t="n"/>
      <c r="O34" s="18" t="inlineStr">
        <is>
          <t>An env file is a sealed envelope of settings handed to each container at start.</t>
        </is>
      </c>
      <c r="P34" s="18" t="inlineStr">
        <is>
          <t>A .env file feeding values into a service.</t>
        </is>
      </c>
      <c r="Q34" s="18" t="inlineStr">
        <is>
          <t>The calm of keeping passwords out of the repository.</t>
        </is>
      </c>
      <c r="R34" s="18" t="inlineStr">
        <is>
          <t>Compose passes variables to containers through environment and env_file, and substitutes ${VAR} values in the YAML from the shell or a .env file.</t>
        </is>
      </c>
      <c r="S34" s="17" t="n"/>
      <c r="T34" s="19" t="inlineStr">
        <is>
          <t>services:
  api:
    image: myapi:1.0
    env_file: [.env.api]
    environment:
      LOG_LEVEL: ${LOG_LEVEL:-info}</t>
        </is>
      </c>
      <c r="U34" s="19" t="inlineStr">
        <is>
          <t>Variables from .env.api are loaded, and LOG_LEVEL falls back to info if it is not set.</t>
        </is>
      </c>
      <c r="V34" s="18" t="inlineStr">
        <is>
          <t>A file named .env next to the compose file is used for substitution in the YAML. env_file loads variables into the container itself. The syntax ${VAR:-default} supplies a default, and ${VAR:?error} fails if it is missing. Values in environment override those from env_file.</t>
        </is>
      </c>
      <c r="W34" s="18" t="inlineStr">
        <is>
          <t>Keep settings in an env file, reference them with ${NAME}, and ignore the file in Git.</t>
        </is>
      </c>
      <c r="X34" s="18" t="inlineStr">
        <is>
          <t>It is like a sealed envelope of settings given to each container.</t>
        </is>
      </c>
      <c r="Y34" s="19" t="inlineStr">
        <is>
          <t>env_file: [file] | environment: KEY: value | ${VAR:-default}</t>
        </is>
      </c>
      <c r="Z34" s="18" t="inlineStr">
        <is>
          <t>env_file = load file | environment = inline | ${VAR:-x} = default value</t>
        </is>
      </c>
      <c r="AA34" s="19" t="inlineStr">
        <is>
          <t>DATABASE_URL=postgres://db:5432/app</t>
        </is>
      </c>
      <c r="AB34" s="19" t="inlineStr">
        <is>
          <t>${PORT:-8000}</t>
        </is>
      </c>
      <c r="AC34" s="19" t="inlineStr">
        <is>
          <t>${API_KEY:?API_KEY is required}</t>
        </is>
      </c>
      <c r="AD34" s="19" t="inlineStr">
        <is>
          <t>docker compose --env-file prod.env up   // choose another env file</t>
        </is>
      </c>
      <c r="AE34" s="18" t="inlineStr">
        <is>
          <t>.gitignore, secrets, CI variables</t>
        </is>
      </c>
      <c r="AF34" s="18" t="inlineStr">
        <is>
          <t>ENV and ARG, secrets, override files</t>
        </is>
      </c>
      <c r="AG34" s="18" t="inlineStr">
        <is>
          <t>Docker secrets | Secret managers</t>
        </is>
      </c>
      <c r="AH34" s="17" t="n"/>
      <c r="AI34" s="18" t="inlineStr">
        <is>
          <t>Configuration | Database URLs | Per-environment settings</t>
        </is>
      </c>
      <c r="AJ34" s="18" t="inlineStr">
        <is>
          <t>A: Where do I put the database password? | B: In an ignored env file, not the YAML.</t>
        </is>
      </c>
      <c r="AK34" s="18" t="inlineStr">
        <is>
          <t>✗ An env file is secure storage → ✓ It is plain text, so keep it out of Git and image layers</t>
        </is>
      </c>
      <c r="AL34" s="18" t="inlineStr">
        <is>
          <t>.env substitution vs env_file: one fills the YAML, the other feeds the container.</t>
        </is>
      </c>
      <c r="AM34" s="18" t="inlineStr">
        <is>
          <t>Do not commit .env files with real secrets.</t>
        </is>
      </c>
      <c r="AN34" s="19" t="inlineStr">
        <is>
          <t>environment:
  PASSWORD: hunter2</t>
        </is>
      </c>
      <c r="AO34" s="19" t="inlineStr">
        <is>
          <t>environment:
  PASSWORD: ${DB_PASSWORD:?set DB_PASSWORD}</t>
        </is>
      </c>
      <c r="AP34" s="18" t="inlineStr">
        <is>
          <t>Commit the example, ignore the real one.</t>
        </is>
      </c>
      <c r="AQ34" s="18" t="inlineStr">
        <is>
          <t>Using a committed .env.example so new developers knew every needed variable.</t>
        </is>
      </c>
      <c r="AR34" s="18" t="inlineStr">
        <is>
          <t>An interviewer may ask: How do you keep secrets out of a Compose file?</t>
        </is>
      </c>
      <c r="AS34" s="18" t="inlineStr">
        <is>
          <t>It is like handing each person a sealed envelope.</t>
        </is>
      </c>
      <c r="AT34" s="18" t="inlineStr">
        <is>
          <t>What does ${VAR:-info} do?</t>
        </is>
      </c>
      <c r="AU34" s="18" t="inlineStr">
        <is>
          <t>A) Uses info if VAR is unset B) Prints VAR C) Fails if VAR is unset D) Always uses info</t>
        </is>
      </c>
      <c r="AV34" s="18" t="inlineStr">
        <is>
          <t>A</t>
        </is>
      </c>
      <c r="AW34" s="18" t="inlineStr">
        <is>
          <t>The part after the colon dash is the default.</t>
        </is>
      </c>
      <c r="AX34" s="19" t="inlineStr">
        <is>
          <t>Variables from a file are loaded into a container with ____ → env_file</t>
        </is>
      </c>
      <c r="AY34" s="18" t="inlineStr">
        <is>
          <t>Load variables from .env.api into a service.</t>
        </is>
      </c>
      <c r="AZ34" s="19" t="inlineStr">
        <is>
          <t>env_file: [.env.api]</t>
        </is>
      </c>
      <c r="BA34" s="18" t="inlineStr">
        <is>
          <t>Make Compose fail clearly if API_KEY is not set.</t>
        </is>
      </c>
      <c r="BB34" s="19" t="inlineStr">
        <is>
          <t>Which wins, environment or env_file?</t>
        </is>
      </c>
      <c r="BC34" s="19" t="inlineStr">
        <is>
          <t>environment overrides env_file.</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94.5" customHeight="1">
      <c r="A35" s="17" t="inlineStr">
        <is>
          <t>DKR-038</t>
        </is>
      </c>
      <c r="B35" s="17" t="inlineStr">
        <is>
          <t>05 Docker Compose</t>
        </is>
      </c>
      <c r="C35" s="17" t="inlineStr">
        <is>
          <t>Intermediate</t>
        </is>
      </c>
      <c r="D35" s="17" t="n">
        <v>38</v>
      </c>
      <c r="E35" s="17" t="inlineStr">
        <is>
          <t>Claude knowledge</t>
        </is>
      </c>
      <c r="F35" s="18" t="inlineStr">
        <is>
          <t>Compose profiles</t>
        </is>
      </c>
      <c r="G35" s="18" t="inlineStr">
        <is>
          <t>How do you keep optional services from starting every time?</t>
        </is>
      </c>
      <c r="H35" s="17" t="n"/>
      <c r="I35" s="18" t="inlineStr">
        <is>
          <t>Compose concept</t>
        </is>
      </c>
      <c r="J35" s="18" t="inlineStr">
        <is>
          <t>Medium</t>
        </is>
      </c>
      <c r="K35" s="18" t="n">
        <v>3</v>
      </c>
      <c r="L35" s="18" t="inlineStr">
        <is>
          <t>Stacks include helpers like debuggers and admin tools that you rarely need, so profiles let you switch them on only when asked.</t>
        </is>
      </c>
      <c r="M35" s="18" t="inlineStr">
        <is>
          <t>Put admin tools and test helpers in a profile so the default stack stays small.</t>
        </is>
      </c>
      <c r="N35" s="17" t="n"/>
      <c r="O35" s="18" t="inlineStr">
        <is>
          <t>Profiles are optional extra guests who come only when invited.</t>
        </is>
      </c>
      <c r="P35" s="18" t="inlineStr">
        <is>
          <t>A service with a profile tag, skipped by default.</t>
        </is>
      </c>
      <c r="Q35" s="18" t="inlineStr">
        <is>
          <t>The lightness of a stack that starts fast.</t>
        </is>
      </c>
      <c r="R35" s="18" t="inlineStr">
        <is>
          <t>A service with a profiles list starts only when that profile is activated, while services without profiles always start.</t>
        </is>
      </c>
      <c r="S35" s="17" t="n"/>
      <c r="T35" s="19" t="inlineStr">
        <is>
          <t>services:
  api:
    build: .
  adminer:
    image: adminer
    profiles: [tools]</t>
        </is>
      </c>
      <c r="U35" s="19" t="inlineStr">
        <is>
          <t>docker compose up starts only api, and docker compose --profile tools up also starts adminer.</t>
        </is>
      </c>
      <c r="V35" s="18" t="inlineStr">
        <is>
          <t>Services without a profile are always started. Activating a profile with --profile or the COMPOSE_PROFILES variable adds its services. This avoids separate files for small differences. A service named explicitly on the command line starts even if it has a profile.</t>
        </is>
      </c>
      <c r="W35" s="18" t="inlineStr">
        <is>
          <t>Tag optional services with a profile and start them only when needed.</t>
        </is>
      </c>
      <c r="X35" s="18" t="inlineStr">
        <is>
          <t>It is like optional guests who attend only by invitation.</t>
        </is>
      </c>
      <c r="Y35" s="19" t="inlineStr">
        <is>
          <t>profiles: [name] | docker compose --profile name up</t>
        </is>
      </c>
      <c r="Z35" s="18" t="inlineStr">
        <is>
          <t>profiles = tags | --profile = activate | COMPOSE_PROFILES = environment way</t>
        </is>
      </c>
      <c r="AA35" s="19" t="inlineStr">
        <is>
          <t>profiles: [debug]</t>
        </is>
      </c>
      <c r="AB35" s="19" t="inlineStr">
        <is>
          <t>COMPOSE_PROFILES=tools docker compose up</t>
        </is>
      </c>
      <c r="AC35" s="19" t="inlineStr">
        <is>
          <t>docker compose run adminer</t>
        </is>
      </c>
      <c r="AD35" s="19" t="inlineStr">
        <is>
          <t>docker compose --profile tools --profile debug up   // activate two profiles</t>
        </is>
      </c>
      <c r="AE35" s="18" t="inlineStr">
        <is>
          <t>Compose commands, override files, test helpers</t>
        </is>
      </c>
      <c r="AF35" s="18" t="inlineStr">
        <is>
          <t>The Compose file, Compose commands, override files</t>
        </is>
      </c>
      <c r="AG35" s="18" t="inlineStr">
        <is>
          <t>Separate Compose files</t>
        </is>
      </c>
      <c r="AH35" s="17" t="n"/>
      <c r="AI35" s="18" t="inlineStr">
        <is>
          <t>Admin tools | Debug services | Test jobs</t>
        </is>
      </c>
      <c r="AJ35" s="18" t="inlineStr">
        <is>
          <t>A: Why does the stack start database admin tools? | B: Move them into a profile.</t>
        </is>
      </c>
      <c r="AK35" s="18" t="inlineStr">
        <is>
          <t>✗ Services with a profile always start → ✓ They start only when the profile is activated or the service is named</t>
        </is>
      </c>
      <c r="AL35" s="18" t="inlineStr">
        <is>
          <t>Profiles vs override files: profiles toggle services, overrides change settings.</t>
        </is>
      </c>
      <c r="AM35" s="18" t="inlineStr">
        <is>
          <t>Do not put essential services behind a profile.</t>
        </is>
      </c>
      <c r="AN35" s="19" t="inlineStr">
        <is>
          <t>profile: tools</t>
        </is>
      </c>
      <c r="AO35" s="19" t="inlineStr">
        <is>
          <t>profiles: [tools]</t>
        </is>
      </c>
      <c r="AP35" s="18" t="inlineStr">
        <is>
          <t>Profile means optional, invite only.</t>
        </is>
      </c>
      <c r="AQ35" s="18" t="inlineStr">
        <is>
          <t>Hiding a database admin UI behind a tools profile in the dev stack.</t>
        </is>
      </c>
      <c r="AR35" s="18" t="inlineStr">
        <is>
          <t>An interviewer may ask: How do you make a service optional in Compose?</t>
        </is>
      </c>
      <c r="AS35" s="18" t="inlineStr">
        <is>
          <t>It is like guests who come only by invitation.</t>
        </is>
      </c>
      <c r="AT35" s="18" t="inlineStr">
        <is>
          <t>Which command-line option switches on a group of optional services?</t>
        </is>
      </c>
      <c r="AU35" s="18" t="inlineStr">
        <is>
          <t>A) --tags B) --only C) --profile D) --enable</t>
        </is>
      </c>
      <c r="AV35" s="18" t="inlineStr">
        <is>
          <t>C</t>
        </is>
      </c>
      <c r="AW35" s="18" t="inlineStr">
        <is>
          <t>--profile name activates that group of services.</t>
        </is>
      </c>
      <c r="AX35" s="19" t="inlineStr">
        <is>
          <t>Optional services get a ____ list in the file → profiles</t>
        </is>
      </c>
      <c r="AY35" s="18" t="inlineStr">
        <is>
          <t>Put the service adminer behind a profile named tools.</t>
        </is>
      </c>
      <c r="AZ35" s="19" t="inlineStr">
        <is>
          <t>profiles: [tools]</t>
        </is>
      </c>
      <c r="BA35" s="18" t="inlineStr">
        <is>
          <t>Start the stack with the debug profile active.</t>
        </is>
      </c>
      <c r="BB35" s="19" t="inlineStr">
        <is>
          <t>Do services without a profile start by default?</t>
        </is>
      </c>
      <c r="BC35" s="19" t="inlineStr">
        <is>
          <t>Yes, they always start.</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94.5" customHeight="1">
      <c r="A36" s="17" t="inlineStr">
        <is>
          <t>DKR-039</t>
        </is>
      </c>
      <c r="B36" s="17" t="inlineStr">
        <is>
          <t>05 Docker Compose</t>
        </is>
      </c>
      <c r="C36" s="17" t="inlineStr">
        <is>
          <t>Advanced</t>
        </is>
      </c>
      <c r="D36" s="17" t="n">
        <v>39</v>
      </c>
      <c r="E36" s="17" t="inlineStr">
        <is>
          <t>Claude knowledge</t>
        </is>
      </c>
      <c r="F36" s="18" t="inlineStr">
        <is>
          <t>Override files</t>
        </is>
      </c>
      <c r="G36" s="18" t="inlineStr">
        <is>
          <t>How do you change a Compose stack for development or production without copying the whole file?</t>
        </is>
      </c>
      <c r="H36" s="17" t="n"/>
      <c r="I36" s="18" t="inlineStr">
        <is>
          <t>Compose concept</t>
        </is>
      </c>
      <c r="J36" s="18" t="inlineStr">
        <is>
          <t>Medium</t>
        </is>
      </c>
      <c r="K36" s="18" t="n">
        <v>4</v>
      </c>
      <c r="L36" s="18" t="inlineStr">
        <is>
          <t>Different environments need small changes, so Compose can merge several files on top of one base file.</t>
        </is>
      </c>
      <c r="M36" s="18" t="inlineStr">
        <is>
          <t>Keep shared settings in compose.yaml and differences in small override files.</t>
        </is>
      </c>
      <c r="N36" s="17" t="n"/>
      <c r="O36" s="18" t="inlineStr">
        <is>
          <t>An override file is a transparent sheet laid over the base drawing.</t>
        </is>
      </c>
      <c r="P36" s="18" t="inlineStr">
        <is>
          <t>Two files merging into one resulting setup.</t>
        </is>
      </c>
      <c r="Q36" s="18" t="inlineStr">
        <is>
          <t>The neatness of a base file that stays unchanged.</t>
        </is>
      </c>
      <c r="R36" s="18" t="inlineStr">
        <is>
          <t>Compose merges multiple files in order, and settings in later files override or extend those in earlier ones.</t>
        </is>
      </c>
      <c r="S36" s="17" t="n"/>
      <c r="T36" s="19" t="inlineStr">
        <is>
          <t>docker compose -f compose.yaml -f compose.dev.yaml up
docker compose -f compose.yaml -f compose.prod.yaml config</t>
        </is>
      </c>
      <c r="U36" s="19" t="inlineStr">
        <is>
          <t>The first command starts the merged development stack, and the second prints the final merged configuration for production.</t>
        </is>
      </c>
      <c r="V36" s="18" t="inlineStr">
        <is>
          <t>A file named compose.override.yaml is merged automatically with compose.yaml. Lists such as ports are combined, while single values like image are replaced. The config command shows the final result, which is the safest way to check what will run. Use it before deploying.</t>
        </is>
      </c>
      <c r="W36" s="18" t="inlineStr">
        <is>
          <t>Put the common part in the base file and the differences in an override.</t>
        </is>
      </c>
      <c r="X36" s="18" t="inlineStr">
        <is>
          <t>It is like laying a transparent sheet over a base drawing.</t>
        </is>
      </c>
      <c r="Y36" s="19" t="inlineStr">
        <is>
          <t>docker compose -f base.yaml -f override.yaml up</t>
        </is>
      </c>
      <c r="Z36" s="18" t="inlineStr">
        <is>
          <t>-f = file | later file wins | config = show merged result</t>
        </is>
      </c>
      <c r="AA36" s="19" t="inlineStr">
        <is>
          <t>docker compose config</t>
        </is>
      </c>
      <c r="AB36" s="19" t="inlineStr">
        <is>
          <t>docker compose -f compose.yaml -f compose.test.yaml run tests</t>
        </is>
      </c>
      <c r="AC36" s="19" t="inlineStr">
        <is>
          <t>docker compose config --services</t>
        </is>
      </c>
      <c r="AD36" s="19" t="inlineStr">
        <is>
          <t>COMPOSE_FILE=compose.yaml:compose.dev.yaml   // set files through a variable</t>
        </is>
      </c>
      <c r="AE36" s="18" t="inlineStr">
        <is>
          <t>env files, profiles, CI</t>
        </is>
      </c>
      <c r="AF36" s="18" t="inlineStr">
        <is>
          <t>The Compose file, env files, Compose profiles</t>
        </is>
      </c>
      <c r="AG36" s="18" t="inlineStr">
        <is>
          <t>Profiles | Separate full files</t>
        </is>
      </c>
      <c r="AH36" s="17" t="n"/>
      <c r="AI36" s="18" t="inlineStr">
        <is>
          <t>Dev versus prod | Test stacks | CI</t>
        </is>
      </c>
      <c r="AJ36" s="18" t="inlineStr">
        <is>
          <t>A: Dev needs a bind mount but prod does not. | B: Add it in a dev override file.</t>
        </is>
      </c>
      <c r="AK36" s="18" t="inlineStr">
        <is>
          <t>✗ Override files must repeat the whole base file → ✓ They contain only the parts that differ</t>
        </is>
      </c>
      <c r="AL36" s="18" t="inlineStr">
        <is>
          <t>Override files vs profiles: overrides change values, profiles select services.</t>
        </is>
      </c>
      <c r="AM36" s="18" t="inlineStr">
        <is>
          <t>Do not guess the merged result, print it with config.</t>
        </is>
      </c>
      <c r="AN36" s="19" t="inlineStr">
        <is>
          <t>docker compose -f compose.dev.yaml -f compose.yaml up</t>
        </is>
      </c>
      <c r="AO36" s="19" t="inlineStr">
        <is>
          <t>docker compose -f compose.yaml -f compose.dev.yaml up</t>
        </is>
      </c>
      <c r="AP36" s="18" t="inlineStr">
        <is>
          <t>Base first, override last, last wins.</t>
        </is>
      </c>
      <c r="AQ36" s="18" t="inlineStr">
        <is>
          <t>Adding bind mounts and debug ports only in a dev override file.</t>
        </is>
      </c>
      <c r="AR36" s="18" t="inlineStr">
        <is>
          <t>An interviewer may ask: How do you manage dev and prod differences?</t>
        </is>
      </c>
      <c r="AS36" s="18" t="inlineStr">
        <is>
          <t>It is like laying a transparent sheet over a base drawing.</t>
        </is>
      </c>
      <c r="AT36" s="18" t="inlineStr">
        <is>
          <t>Which command shows the final merged configuration?</t>
        </is>
      </c>
      <c r="AU36" s="18" t="inlineStr">
        <is>
          <t>A) docker compose logs B) docker compose config C) docker compose ps D) docker compose top</t>
        </is>
      </c>
      <c r="AV36" s="18" t="inlineStr">
        <is>
          <t>B</t>
        </is>
      </c>
      <c r="AW36" s="18" t="inlineStr">
        <is>
          <t>config prints the merged and resolved file.</t>
        </is>
      </c>
      <c r="AX36" s="19" t="inlineStr">
        <is>
          <t>When files conflict, the ____ file listed wins → last</t>
        </is>
      </c>
      <c r="AY36" s="18" t="inlineStr">
        <is>
          <t>Start a stack using compose.yaml and compose.dev.yaml together.</t>
        </is>
      </c>
      <c r="AZ36" s="19" t="inlineStr">
        <is>
          <t>docker compose -f compose.yaml -f compose.dev.yaml up</t>
        </is>
      </c>
      <c r="BA36" s="18" t="inlineStr">
        <is>
          <t>Print only the service names from the merged configuration.</t>
        </is>
      </c>
      <c r="BB36" s="19" t="inlineStr">
        <is>
          <t>What file name is merged automatically with compose.yaml?</t>
        </is>
      </c>
      <c r="BC36" s="19" t="inlineStr">
        <is>
          <t>compose.override.yaml</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135" customHeight="1">
      <c r="A37" s="17" t="inlineStr">
        <is>
          <t>DKR-040</t>
        </is>
      </c>
      <c r="B37" s="17" t="inlineStr">
        <is>
          <t>05 Docker Compose</t>
        </is>
      </c>
      <c r="C37" s="17" t="inlineStr">
        <is>
          <t>Advanced</t>
        </is>
      </c>
      <c r="D37" s="17" t="n">
        <v>40</v>
      </c>
      <c r="E37" s="17" t="inlineStr">
        <is>
          <t>Claude knowledge</t>
        </is>
      </c>
      <c r="F37" s="18" t="inlineStr">
        <is>
          <t>Compose watch and dev workflow</t>
        </is>
      </c>
      <c r="G37" s="18" t="inlineStr">
        <is>
          <t>How do you get automatic updates in a running container while you edit code?</t>
        </is>
      </c>
      <c r="H37" s="17" t="n"/>
      <c r="I37" s="18" t="inlineStr">
        <is>
          <t>Compose concept</t>
        </is>
      </c>
      <c r="J37" s="18" t="inlineStr">
        <is>
          <t>Medium</t>
        </is>
      </c>
      <c r="K37" s="18" t="n">
        <v>3</v>
      </c>
      <c r="L37" s="18" t="inlineStr">
        <is>
          <t>Rebuilding by hand after every edit is slow, so Compose can watch files and sync or rebuild automatically.</t>
        </is>
      </c>
      <c r="M37" s="18" t="inlineStr">
        <is>
          <t>Use sync for source files and rebuild only when dependency files change.</t>
        </is>
      </c>
      <c r="N37" s="17" t="n"/>
      <c r="O37" s="18" t="inlineStr">
        <is>
          <t>Watch is a helper who photographs every change and updates the container.</t>
        </is>
      </c>
      <c r="P37" s="18" t="inlineStr">
        <is>
          <t>A file change in the editor appearing inside the container.</t>
        </is>
      </c>
      <c r="Q37" s="18" t="inlineStr">
        <is>
          <t>The delight of instant feedback while coding.</t>
        </is>
      </c>
      <c r="R37" s="18" t="inlineStr">
        <is>
          <t>Compose watch monitors files and, based on rules in develop.watch, syncs them into the container, restarts it or rebuilds the image.</t>
        </is>
      </c>
      <c r="S37" s="17" t="n"/>
      <c r="T37" s="19" t="inlineStr">
        <is>
          <t>services:
  web:
    build: .
    develop:
      watch:
        - action: sync
          path: ./src
          target: /app/src
        - action: rebuild
          path: package.json</t>
        </is>
      </c>
      <c r="U37" s="19" t="inlineStr">
        <is>
          <t>Editing a file in src is copied into the container at once, and changing package.json triggers an image rebuild.</t>
        </is>
      </c>
      <c r="V37" s="18" t="inlineStr">
        <is>
          <t>Run docker compose watch, or up --watch. sync copies changed files, rebuild creates a new image, and sync+restart copies and restarts the process. Rules use paths relative to the Compose file. It avoids bind mounts, so host and container files stay separate.</t>
        </is>
      </c>
      <c r="W37" s="18" t="inlineStr">
        <is>
          <t>Declare watch rules, run compose watch, and edit code freely.</t>
        </is>
      </c>
      <c r="X37" s="18" t="inlineStr">
        <is>
          <t>It is like a helper who photographs each change and updates the room.</t>
        </is>
      </c>
      <c r="Y37" s="19" t="inlineStr">
        <is>
          <t>develop: watch: - action: sync|rebuild|sync+restart path: target:</t>
        </is>
      </c>
      <c r="Z37" s="18" t="inlineStr">
        <is>
          <t>action = what to do | path = what to watch | target = where inside the container</t>
        </is>
      </c>
      <c r="AA37" s="19" t="inlineStr">
        <is>
          <t>action: sync+restart</t>
        </is>
      </c>
      <c r="AB37" s="19" t="inlineStr">
        <is>
          <t>ignore: [node_modules/]</t>
        </is>
      </c>
      <c r="AC37" s="19" t="inlineStr">
        <is>
          <t>docker compose up --watch</t>
        </is>
      </c>
      <c r="AD37" s="19" t="inlineStr">
        <is>
          <t>docker compose watch   // run only the watcher</t>
        </is>
      </c>
      <c r="AE37" s="18" t="inlineStr">
        <is>
          <t>Dockerfile, bind mounts, hot reload tools</t>
        </is>
      </c>
      <c r="AF37" s="18" t="inlineStr">
        <is>
          <t>Bind mounts, Compose commands, override files</t>
        </is>
      </c>
      <c r="AG37" s="18" t="inlineStr">
        <is>
          <t>Bind mounts with a dev server</t>
        </is>
      </c>
      <c r="AH37" s="17" t="n"/>
      <c r="AI37" s="18" t="inlineStr">
        <is>
          <t>Local development | Frontend work | API work</t>
        </is>
      </c>
      <c r="AJ37" s="18" t="inlineStr">
        <is>
          <t>A: Every change needs a rebuild. | B: Use compose watch so changes sync automatically.</t>
        </is>
      </c>
      <c r="AK37" s="18" t="inlineStr">
        <is>
          <t>✗ Compose watch replaces the Dockerfile → ✓ It only syncs or rebuilds around the Dockerfile you already have</t>
        </is>
      </c>
      <c r="AL37" s="18" t="inlineStr">
        <is>
          <t>Watch vs bind mount: watch copies on change, a bind mount shares the folder.</t>
        </is>
      </c>
      <c r="AM37" s="18" t="inlineStr">
        <is>
          <t>Do not watch huge folders such as node_modules.</t>
        </is>
      </c>
      <c r="AN37" s="19" t="inlineStr">
        <is>
          <t>develop:
  watch: ./src</t>
        </is>
      </c>
      <c r="AO37" s="19" t="inlineStr">
        <is>
          <t>develop:
  watch:
    - action: sync
      path: ./src
      target: /app/src</t>
        </is>
      </c>
      <c r="AP37" s="18" t="inlineStr">
        <is>
          <t>Sync for code, rebuild for dependencies.</t>
        </is>
      </c>
      <c r="AQ37" s="18" t="inlineStr">
        <is>
          <t>Syncing source into the dev container while rebuilding on lockfile changes.</t>
        </is>
      </c>
      <c r="AR37" s="18" t="inlineStr">
        <is>
          <t>An interviewer may ask: How do you speed up the dev loop with Compose?</t>
        </is>
      </c>
      <c r="AS37" s="18" t="inlineStr">
        <is>
          <t>It is like a helper updating the room after each change.</t>
        </is>
      </c>
      <c r="AT37" s="18" t="inlineStr">
        <is>
          <t>Which action is right when a dependency file changes?</t>
        </is>
      </c>
      <c r="AU37" s="18" t="inlineStr">
        <is>
          <t>A) sync B) stop C) ignore D) rebuild</t>
        </is>
      </c>
      <c r="AV37" s="18" t="inlineStr">
        <is>
          <t>D</t>
        </is>
      </c>
      <c r="AW37" s="18" t="inlineStr">
        <is>
          <t>New dependencies need a freshly built image.</t>
        </is>
      </c>
      <c r="AX37" s="19" t="inlineStr">
        <is>
          <t>Source files are copied into the container with action ____ → sync</t>
        </is>
      </c>
      <c r="AY37" s="18" t="inlineStr">
        <is>
          <t>Start the stack with file watching enabled.</t>
        </is>
      </c>
      <c r="AZ37" s="19" t="inlineStr">
        <is>
          <t>docker compose up --watch</t>
        </is>
      </c>
      <c r="BA37" s="18" t="inlineStr">
        <is>
          <t>Write a watch rule that syncs ./src into /app/src.</t>
        </is>
      </c>
      <c r="BB37" s="19" t="inlineStr">
        <is>
          <t>What is the difference between sync and rebuild?</t>
        </is>
      </c>
      <c r="BC37" s="19" t="inlineStr">
        <is>
          <t>Sync copies files, rebuild creates a new image.</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row r="38" ht="94.5" customHeight="1">
      <c r="A38" s="17" t="inlineStr">
        <is>
          <t>DKR-041</t>
        </is>
      </c>
      <c r="B38" s="17" t="inlineStr">
        <is>
          <t>06 Security and Operations</t>
        </is>
      </c>
      <c r="C38" s="17" t="inlineStr">
        <is>
          <t>Intermediate</t>
        </is>
      </c>
      <c r="D38" s="17" t="n">
        <v>41</v>
      </c>
      <c r="E38" s="17" t="inlineStr">
        <is>
          <t>Claude knowledge</t>
        </is>
      </c>
      <c r="F38" s="18" t="inlineStr">
        <is>
          <t>Image scanning</t>
        </is>
      </c>
      <c r="G38" s="18" t="inlineStr">
        <is>
          <t>How do you find known vulnerabilities in an image before shipping it?</t>
        </is>
      </c>
      <c r="H38" s="17" t="n"/>
      <c r="I38" s="18" t="inlineStr">
        <is>
          <t>Security practice</t>
        </is>
      </c>
      <c r="J38" s="18" t="inlineStr">
        <is>
          <t>High</t>
        </is>
      </c>
      <c r="K38" s="18" t="n">
        <v>5</v>
      </c>
      <c r="L38" s="18" t="inlineStr">
        <is>
          <t>Images contain many packages with known flaws, so scanners compare the contents against vulnerability databases.</t>
        </is>
      </c>
      <c r="M38" s="18" t="inlineStr">
        <is>
          <t>Scan in CI and fail the build on high-severity findings that have a fix.</t>
        </is>
      </c>
      <c r="N38" s="17" t="n"/>
      <c r="O38" s="18" t="inlineStr">
        <is>
          <t>A scanner is an inspector reading the ingredient list for recalled items.</t>
        </is>
      </c>
      <c r="P38" s="18" t="inlineStr">
        <is>
          <t>A report with severity colours for each package.</t>
        </is>
      </c>
      <c r="Q38" s="18" t="inlineStr">
        <is>
          <t>The reassurance of a clean report before release.</t>
        </is>
      </c>
      <c r="R38" s="18" t="inlineStr">
        <is>
          <t>Image scanning lists the packages inside an image and reports those with known security vulnerabilities.</t>
        </is>
      </c>
      <c r="S38" s="17" t="n"/>
      <c r="T38" s="19" t="inlineStr">
        <is>
          <t>docker scout cves myapp:1.0
trivy image --severity HIGH,CRITICAL myapp:1.0</t>
        </is>
      </c>
      <c r="U38" s="19" t="inlineStr">
        <is>
          <t>A list of vulnerable packages is shown with severity, installed version and fixed version.</t>
        </is>
      </c>
      <c r="V38" s="18" t="inlineStr">
        <is>
          <t>Scanners read the layers and match packages against databases. Small base images have fewer packages and fewer findings. Rebuild regularly because new flaws are published daily. Some findings have no fix yet and need judgement. Docker Scout and Trivy are common tools.</t>
        </is>
      </c>
      <c r="W38" s="18" t="inlineStr">
        <is>
          <t>Scan every image, fix what has a patch, and prefer small bases.</t>
        </is>
      </c>
      <c r="X38" s="18" t="inlineStr">
        <is>
          <t>It is like an inspector checking an ingredient list for recalled items.</t>
        </is>
      </c>
      <c r="Y38" s="19" t="inlineStr">
        <is>
          <t>trivy image [--severity levels] image</t>
        </is>
      </c>
      <c r="Z38" s="18" t="inlineStr">
        <is>
          <t>severity = how serious | fixed version = upgrade target | base image = main source of findings</t>
        </is>
      </c>
      <c r="AA38" s="19" t="inlineStr">
        <is>
          <t>docker scout quickview myapp:1.0</t>
        </is>
      </c>
      <c r="AB38" s="19" t="inlineStr">
        <is>
          <t>trivy image alpine:3.20</t>
        </is>
      </c>
      <c r="AC38" s="19" t="inlineStr">
        <is>
          <t>trivy image --exit-code 1 --severity CRITICAL myapp:1.0</t>
        </is>
      </c>
      <c r="AD38" s="19" t="inlineStr">
        <is>
          <t>trivy fs .   // scan project files instead of an image</t>
        </is>
      </c>
      <c r="AE38" s="18" t="inlineStr">
        <is>
          <t>CI pipelines, base image choice, registries</t>
        </is>
      </c>
      <c r="AF38" s="18" t="inlineStr">
        <is>
          <t>FROM, Docker in CI, secrets</t>
        </is>
      </c>
      <c r="AG38" s="18" t="inlineStr">
        <is>
          <t>Registry built-in scanning</t>
        </is>
      </c>
      <c r="AH38" s="17" t="n"/>
      <c r="AI38" s="18" t="inlineStr">
        <is>
          <t>CI | Release checks | Audits</t>
        </is>
      </c>
      <c r="AJ38" s="18" t="inlineStr">
        <is>
          <t>A: The scan lists forty issues. | B: Switch to a slim base and update packages first.</t>
        </is>
      </c>
      <c r="AK38" s="18" t="inlineStr">
        <is>
          <t>✗ A clean scan today stays clean forever → ✓ New vulnerabilities appear over time, so scan regularly</t>
        </is>
      </c>
      <c r="AL38" s="18" t="inlineStr">
        <is>
          <t>Scanning vs testing: scanning finds known package flaws, testing checks your logic.</t>
        </is>
      </c>
      <c r="AM38" s="18" t="inlineStr">
        <is>
          <t>Do not ignore critical findings that have a fix available.</t>
        </is>
      </c>
      <c r="AN38" s="19" t="inlineStr">
        <is>
          <t>docker scan myapp --fix-everything</t>
        </is>
      </c>
      <c r="AO38" s="19" t="inlineStr">
        <is>
          <t>trivy image --severity HIGH,CRITICAL myapp:1.0</t>
        </is>
      </c>
      <c r="AP38" s="18" t="inlineStr">
        <is>
          <t>Small image, short list, safer ship.</t>
        </is>
      </c>
      <c r="AQ38" s="18" t="inlineStr">
        <is>
          <t>Adding a scan step that failed the pipeline on critical fixable findings.</t>
        </is>
      </c>
      <c r="AR38" s="18" t="inlineStr">
        <is>
          <t>An interviewer may ask: How do you keep container images secure?</t>
        </is>
      </c>
      <c r="AS38" s="18" t="inlineStr">
        <is>
          <t>It is like an inspector checking for recalled ingredients.</t>
        </is>
      </c>
      <c r="AT38" s="18" t="inlineStr">
        <is>
          <t>Which choice usually reduces the number of findings?</t>
        </is>
      </c>
      <c r="AU38" s="18" t="inlineStr">
        <is>
          <t>A) Running as root B) A larger base image C) Skipping updates D) A smaller base image</t>
        </is>
      </c>
      <c r="AV38" s="18" t="inlineStr">
        <is>
          <t>D</t>
        </is>
      </c>
      <c r="AW38" s="18" t="inlineStr">
        <is>
          <t>Fewer packages mean fewer known vulnerabilities.</t>
        </is>
      </c>
      <c r="AX38" s="19" t="inlineStr">
        <is>
          <t>Scans compare image packages with a database of known ____ → vulnerabilities</t>
        </is>
      </c>
      <c r="AY38" s="18" t="inlineStr">
        <is>
          <t>Scan myapp:1.0 for high and critical issues with Trivy.</t>
        </is>
      </c>
      <c r="AZ38" s="19" t="inlineStr">
        <is>
          <t>trivy image --severity HIGH,CRITICAL myapp:1.0</t>
        </is>
      </c>
      <c r="BA38" s="18" t="inlineStr">
        <is>
          <t>Make a scan command that fails the pipeline on critical findings.</t>
        </is>
      </c>
      <c r="BB38" s="19" t="inlineStr">
        <is>
          <t>Why rebuild images regularly?</t>
        </is>
      </c>
      <c r="BC38" s="19" t="inlineStr">
        <is>
          <t>New vulnerabilities are found and fixed in base images over time.</t>
        </is>
      </c>
      <c r="BD38" s="17">
        <f>IF(K38="","",REPT("★",K38)&amp;REPT("☆",5-K38)&amp;" ("&amp;K38&amp;"/5)")</f>
        <v/>
      </c>
      <c r="BE38" s="17">
        <f>IF(S38="","","Meaning: "&amp;S38&amp;"  =  ______   (Answer: "&amp;F38&amp;")")</f>
        <v/>
      </c>
      <c r="BF38" s="17" t="inlineStr">
        <is>
          <t>New</t>
        </is>
      </c>
      <c r="BG38" s="17" t="n"/>
      <c r="BH38" s="17" t="n"/>
      <c r="BI38" s="17" t="n"/>
      <c r="BJ38" s="17" t="n"/>
      <c r="BK38" s="17" t="n"/>
      <c r="BL38" s="17" t="n"/>
      <c r="BM38" s="17" t="n"/>
      <c r="BN38" s="17" t="n"/>
    </row>
    <row r="39" ht="108" customHeight="1">
      <c r="A39" s="17" t="inlineStr">
        <is>
          <t>DKR-042</t>
        </is>
      </c>
      <c r="B39" s="17" t="inlineStr">
        <is>
          <t>06 Security and Operations</t>
        </is>
      </c>
      <c r="C39" s="17" t="inlineStr">
        <is>
          <t>Intermediate</t>
        </is>
      </c>
      <c r="D39" s="17" t="n">
        <v>42</v>
      </c>
      <c r="E39" s="17" t="inlineStr">
        <is>
          <t>Claude knowledge</t>
        </is>
      </c>
      <c r="F39" s="18" t="inlineStr">
        <is>
          <t>Secrets</t>
        </is>
      </c>
      <c r="G39" s="18" t="inlineStr">
        <is>
          <t>How should passwords and tokens reach a container without being baked into the image?</t>
        </is>
      </c>
      <c r="H39" s="17" t="n"/>
      <c r="I39" s="18" t="inlineStr">
        <is>
          <t>Security practice</t>
        </is>
      </c>
      <c r="J39" s="18" t="inlineStr">
        <is>
          <t>Very high</t>
        </is>
      </c>
      <c r="K39" s="18" t="n">
        <v>5</v>
      </c>
      <c r="L39" s="18" t="inlineStr">
        <is>
          <t>Anything written in a Dockerfile stays in the image layers forever, so secrets need a separate path at build time and run time.</t>
        </is>
      </c>
      <c r="M39" s="18" t="inlineStr">
        <is>
          <t>Use build secrets for build time and mounted secret files for run time.</t>
        </is>
      </c>
      <c r="N39" s="17" t="n"/>
      <c r="O39" s="18" t="inlineStr">
        <is>
          <t>A secret is a key handed over at the door, never carved into the wall.</t>
        </is>
      </c>
      <c r="P39" s="18" t="inlineStr">
        <is>
          <t>A token passed in without appearing in any layer.</t>
        </is>
      </c>
      <c r="Q39" s="18" t="inlineStr">
        <is>
          <t>The peace of knowing the key is not in the image.</t>
        </is>
      </c>
      <c r="R39" s="18" t="inlineStr">
        <is>
          <t>Secrets are sensitive values supplied at build or run time through secret mounts or files, so they never appear in image layers or history.</t>
        </is>
      </c>
      <c r="S39" s="17" t="n"/>
      <c r="T39" s="19" t="inlineStr">
        <is>
          <t>docker build --secret id=npmrc,src=$HOME/.npmrc -t myapp .
RUN --mount=type=secret,id=npmrc,target=/root/.npmrc npm ci</t>
        </is>
      </c>
      <c r="U39" s="19" t="inlineStr">
        <is>
          <t>The token is available only while that RUN step executes, and it does not appear in the final image.</t>
        </is>
      </c>
      <c r="V39" s="18" t="inlineStr">
        <is>
          <t>ENV and ARG values are visible in image history and metadata. A RUN secret mount exposes the value as a temporary file for one step. At run time Compose and Swarm can mount secrets as files under /run/secrets. Apps then read the file, which is safer than a plain environment variable.</t>
        </is>
      </c>
      <c r="W39" s="18" t="inlineStr">
        <is>
          <t>Never put secrets in ENV, ARG or COPY. Mount them just in time.</t>
        </is>
      </c>
      <c r="X39" s="18" t="inlineStr">
        <is>
          <t>It is like handing over a key at the door instead of carving it into the wall.</t>
        </is>
      </c>
      <c r="Y39" s="19" t="inlineStr">
        <is>
          <t>RUN --mount=type=secret,id=name command</t>
        </is>
      </c>
      <c r="Z39" s="18" t="inlineStr">
        <is>
          <t>--secret = pass at build | --mount=type=secret = use in a step | /run/secrets = run-time file location</t>
        </is>
      </c>
      <c r="AA39" s="19" t="inlineStr">
        <is>
          <t>docker build --secret id=token,env=TOKEN -t app .</t>
        </is>
      </c>
      <c r="AB39" s="19" t="inlineStr">
        <is>
          <t>secrets: [db_password]</t>
        </is>
      </c>
      <c r="AC39" s="19" t="inlineStr">
        <is>
          <t>cat /run/secrets/db_password</t>
        </is>
      </c>
      <c r="AD39" s="19" t="inlineStr">
        <is>
          <t>docker history --no-trunc myapp   // shows build commands and ARG/ENV values, not file contents</t>
        </is>
      </c>
      <c r="AE39" s="18" t="inlineStr">
        <is>
          <t>Compose secrets, CI variables, ENV and ARG</t>
        </is>
      </c>
      <c r="AF39" s="18" t="inlineStr">
        <is>
          <t>ENV and ARG, env files, image scanning</t>
        </is>
      </c>
      <c r="AG39" s="18" t="inlineStr">
        <is>
          <t>Cloud secret managers</t>
        </is>
      </c>
      <c r="AH39" s="17" t="n"/>
      <c r="AI39" s="18" t="inlineStr">
        <is>
          <t>Private packages | Database passwords | API keys</t>
        </is>
      </c>
      <c r="AJ39" s="18" t="inlineStr">
        <is>
          <t>A: I used ARG for my token. | B: It is visible in the image history, so use a secret mount.</t>
        </is>
      </c>
      <c r="AK39" s="18" t="inlineStr">
        <is>
          <t>✗ Deleting a secret file in a later layer removes it → ✓ It stays in the earlier layer and can still be extracted</t>
        </is>
      </c>
      <c r="AL39" s="18" t="inlineStr">
        <is>
          <t>Build secret vs ARG: a secret is not stored in layers, ARG values are recorded.</t>
        </is>
      </c>
      <c r="AM39" s="18" t="inlineStr">
        <is>
          <t>Do not copy .env or key files into an image.</t>
        </is>
      </c>
      <c r="AN39" s="19" t="inlineStr">
        <is>
          <t>ARG NPM_TOKEN
RUN npm config set //registry:_authToken=$NPM_TOKEN</t>
        </is>
      </c>
      <c r="AO39" s="19" t="inlineStr">
        <is>
          <t>RUN --mount=type=secret,id=npmrc,target=/root/.npmrc npm ci</t>
        </is>
      </c>
      <c r="AP39" s="18" t="inlineStr">
        <is>
          <t>Layers remember everything you write.</t>
        </is>
      </c>
      <c r="AQ39" s="18" t="inlineStr">
        <is>
          <t>Replacing a build ARG token with a secret mount after finding it in history.</t>
        </is>
      </c>
      <c r="AR39" s="18" t="inlineStr">
        <is>
          <t>An interviewer may ask: Why is ARG unsafe for passwords?</t>
        </is>
      </c>
      <c r="AS39" s="18" t="inlineStr">
        <is>
          <t>It is like handing over a key at the door.</t>
        </is>
      </c>
      <c r="AT39" s="18" t="inlineStr">
        <is>
          <t>Where do run-time secrets appear in a container file system?</t>
        </is>
      </c>
      <c r="AU39" s="18" t="inlineStr">
        <is>
          <t>A) /run/secrets B) /etc/passwd C) /tmp/image D) /usr/bin</t>
        </is>
      </c>
      <c r="AV39" s="18" t="inlineStr">
        <is>
          <t>A</t>
        </is>
      </c>
      <c r="AW39" s="18" t="inlineStr">
        <is>
          <t>Secret files are mounted under /run/secrets.</t>
        </is>
      </c>
      <c r="AX39" s="19" t="inlineStr">
        <is>
          <t>A build step reads a sensitive value through a mount of type ____ → secret</t>
        </is>
      </c>
      <c r="AY39" s="18" t="inlineStr">
        <is>
          <t>Check the image history for secrets passed as ARG or ENV.</t>
        </is>
      </c>
      <c r="AZ39" s="19" t="inlineStr">
        <is>
          <t>docker history --no-trunc myapp</t>
        </is>
      </c>
      <c r="BA39" s="18" t="inlineStr">
        <is>
          <t>Pass a token to a build as a secret instead of an ARG.</t>
        </is>
      </c>
      <c r="BB39" s="19" t="inlineStr">
        <is>
          <t>Why is deleting a file in a later layer not enough?</t>
        </is>
      </c>
      <c r="BC39" s="19" t="inlineStr">
        <is>
          <t>Earlier layers still contain it.</t>
        </is>
      </c>
      <c r="BD39" s="17">
        <f>IF(K39="","",REPT("★",K39)&amp;REPT("☆",5-K39)&amp;" ("&amp;K39&amp;"/5)")</f>
        <v/>
      </c>
      <c r="BE39" s="17">
        <f>IF(S39="","","Meaning: "&amp;S39&amp;"  =  ______   (Answer: "&amp;F39&amp;")")</f>
        <v/>
      </c>
      <c r="BF39" s="17" t="inlineStr">
        <is>
          <t>New</t>
        </is>
      </c>
      <c r="BG39" s="17" t="n"/>
      <c r="BH39" s="17" t="n"/>
      <c r="BI39" s="17" t="n"/>
      <c r="BJ39" s="17" t="n"/>
      <c r="BK39" s="17" t="n"/>
      <c r="BL39" s="17" t="n"/>
      <c r="BM39" s="17" t="n"/>
      <c r="BN39" s="17" t="n"/>
    </row>
    <row r="40" ht="108" customHeight="1">
      <c r="A40" s="17" t="inlineStr">
        <is>
          <t>DKR-043</t>
        </is>
      </c>
      <c r="B40" s="17" t="inlineStr">
        <is>
          <t>06 Security and Operations</t>
        </is>
      </c>
      <c r="C40" s="17" t="inlineStr">
        <is>
          <t>Intermediate</t>
        </is>
      </c>
      <c r="D40" s="17" t="n">
        <v>43</v>
      </c>
      <c r="E40" s="17" t="inlineStr">
        <is>
          <t>Claude knowledge</t>
        </is>
      </c>
      <c r="F40" s="18" t="inlineStr">
        <is>
          <t>Resource limits</t>
        </is>
      </c>
      <c r="G40" s="18" t="inlineStr">
        <is>
          <t>How do you stop one container from using all the memory or CPU of a machine?</t>
        </is>
      </c>
      <c r="H40" s="17" t="n"/>
      <c r="I40" s="18" t="inlineStr">
        <is>
          <t>Operations practice</t>
        </is>
      </c>
      <c r="J40" s="18" t="inlineStr">
        <is>
          <t>High</t>
        </is>
      </c>
      <c r="K40" s="18" t="n">
        <v>4</v>
      </c>
      <c r="L40" s="18" t="inlineStr">
        <is>
          <t>Containers share the host, so one runaway process can starve the others unless you set limits.</t>
        </is>
      </c>
      <c r="M40" s="18" t="inlineStr">
        <is>
          <t>Always set a memory limit in production, and watch for out-of-memory kills.</t>
        </is>
      </c>
      <c r="N40" s="17" t="n"/>
      <c r="O40" s="18" t="inlineStr">
        <is>
          <t>Limits are portion sizes at a shared buffet.</t>
        </is>
      </c>
      <c r="P40" s="18" t="inlineStr">
        <is>
          <t>A bar showing a container capped at 512 megabytes.</t>
        </is>
      </c>
      <c r="Q40" s="18" t="inlineStr">
        <is>
          <t>The calm of knowing one bug cannot take down the server.</t>
        </is>
      </c>
      <c r="R40" s="18" t="inlineStr">
        <is>
          <t>Resource limits cap the memory and CPU a container may use, and a container that exceeds its memory limit is killed.</t>
        </is>
      </c>
      <c r="S40" s="17" t="n"/>
      <c r="T40" s="19" t="inlineStr">
        <is>
          <t>docker run -d --memory 512m --cpus 1.5 --name api myapi
docker stats --no-stream api</t>
        </is>
      </c>
      <c r="U40" s="19" t="inlineStr">
        <is>
          <t>The container starts with the caps, and stats shows its current CPU and memory use against the limit.</t>
        </is>
      </c>
      <c r="V40" s="18" t="inlineStr">
        <is>
          <t>--memory sets a hard ceiling, and going over it makes the kernel kill the process, which often shows as exit code 137 (confirm with docker inspect --format '{{.State.OOMKilled}}' api). --cpus limits CPU time. Without limits one container can use everything. In Compose, these live under deploy.resources or mem_limit.</t>
        </is>
      </c>
      <c r="W40" s="18" t="inlineStr">
        <is>
          <t>Set memory and CPU limits, and watch stats to choose sensible values.</t>
        </is>
      </c>
      <c r="X40" s="18" t="inlineStr">
        <is>
          <t>It is like portion sizes at a shared buffet.</t>
        </is>
      </c>
      <c r="Y40" s="19" t="inlineStr">
        <is>
          <t>docker run --memory size --cpus number image</t>
        </is>
      </c>
      <c r="Z40" s="18" t="inlineStr">
        <is>
          <t>--memory = RAM cap | --cpus = CPU share | exit code 137 = killed for memory</t>
        </is>
      </c>
      <c r="AA40" s="19" t="inlineStr">
        <is>
          <t>docker run --memory 256m alpine</t>
        </is>
      </c>
      <c r="AB40" s="19" t="inlineStr">
        <is>
          <t>docker update --memory 1g api</t>
        </is>
      </c>
      <c r="AC40" s="19" t="inlineStr">
        <is>
          <t>docker stats</t>
        </is>
      </c>
      <c r="AD40" s="19" t="inlineStr">
        <is>
          <t>docker run --memory-reservation 256m myapi   // soft target</t>
        </is>
      </c>
      <c r="AE40" s="18" t="inlineStr">
        <is>
          <t>monitoring, Compose, orchestrators</t>
        </is>
      </c>
      <c r="AF40" s="18" t="inlineStr">
        <is>
          <t>docker ps, logging and monitoring, Kubernetes</t>
        </is>
      </c>
      <c r="AG40" s="18" t="inlineStr">
        <is>
          <t>Orchestrator quotas</t>
        </is>
      </c>
      <c r="AH40" s="17" t="n"/>
      <c r="AI40" s="18" t="inlineStr">
        <is>
          <t>Production | Shared servers | Cost control</t>
        </is>
      </c>
      <c r="AJ40" s="18" t="inlineStr">
        <is>
          <t>A: The container keeps dying with 137. | B: It hit its memory limit, so raise it or fix the leak.</t>
        </is>
      </c>
      <c r="AK40" s="18" t="inlineStr">
        <is>
          <t>✗ A container can only use what its image needs → ✓ Without limits it may use all host memory and CPU</t>
        </is>
      </c>
      <c r="AL40" s="18" t="inlineStr">
        <is>
          <t>Memory limit vs reservation: the limit is a hard cap, a reservation is a soft target.</t>
        </is>
      </c>
      <c r="AM40" s="18" t="inlineStr">
        <is>
          <t>Do not leave production containers without a memory limit.</t>
        </is>
      </c>
      <c r="AN40" s="19" t="inlineStr">
        <is>
          <t>docker run --ram 512 myapi</t>
        </is>
      </c>
      <c r="AO40" s="19" t="inlineStr">
        <is>
          <t>docker run --memory 512m myapi</t>
        </is>
      </c>
      <c r="AP40" s="18" t="inlineStr">
        <is>
          <t>137 means killed, often out of memory.</t>
        </is>
      </c>
      <c r="AQ40" s="18" t="inlineStr">
        <is>
          <t>Finding a leak because the API was repeatedly killed at its limit.</t>
        </is>
      </c>
      <c r="AR40" s="18" t="inlineStr">
        <is>
          <t>An interviewer may ask: What does exit code 137 mean?</t>
        </is>
      </c>
      <c r="AS40" s="18" t="inlineStr">
        <is>
          <t>It is like portion sizes at a shared buffet.</t>
        </is>
      </c>
      <c r="AT40" s="18" t="inlineStr">
        <is>
          <t>What happens when a container exceeds its memory limit?</t>
        </is>
      </c>
      <c r="AU40" s="18" t="inlineStr">
        <is>
          <t>A) It slows down B) It is killed C) Nothing D) It gets more memory</t>
        </is>
      </c>
      <c r="AV40" s="18" t="inlineStr">
        <is>
          <t>B</t>
        </is>
      </c>
      <c r="AW40" s="18" t="inlineStr">
        <is>
          <t>The kernel stops the process at the hard cap.</t>
        </is>
      </c>
      <c r="AX40" s="19" t="inlineStr">
        <is>
          <t>Live usage numbers are shown by docker ____ → stats</t>
        </is>
      </c>
      <c r="AY40" s="18" t="inlineStr">
        <is>
          <t>Run api with a 512 MB memory limit.</t>
        </is>
      </c>
      <c r="AZ40" s="19" t="inlineStr">
        <is>
          <t>docker run -d --memory 512m myapi</t>
        </is>
      </c>
      <c r="BA40" s="18" t="inlineStr">
        <is>
          <t>Show one reading of CPU and memory for the container api.</t>
        </is>
      </c>
      <c r="BB40" s="19" t="inlineStr">
        <is>
          <t>Which exit code often means a memory kill?</t>
        </is>
      </c>
      <c r="BC40" s="19" t="inlineStr">
        <is>
          <t>137</t>
        </is>
      </c>
      <c r="BD40" s="17">
        <f>IF(K40="","",REPT("★",K40)&amp;REPT("☆",5-K40)&amp;" ("&amp;K40&amp;"/5)")</f>
        <v/>
      </c>
      <c r="BE40" s="17">
        <f>IF(S40="","","Meaning: "&amp;S40&amp;"  =  ______   (Answer: "&amp;F40&amp;")")</f>
        <v/>
      </c>
      <c r="BF40" s="17" t="inlineStr">
        <is>
          <t>New</t>
        </is>
      </c>
      <c r="BG40" s="17" t="n"/>
      <c r="BH40" s="17" t="n"/>
      <c r="BI40" s="17" t="n"/>
      <c r="BJ40" s="17" t="n"/>
      <c r="BK40" s="17" t="n"/>
      <c r="BL40" s="17" t="n"/>
      <c r="BM40" s="17" t="n"/>
      <c r="BN40" s="17" t="n"/>
    </row>
    <row r="41" ht="108" customHeight="1">
      <c r="A41" s="17" t="inlineStr">
        <is>
          <t>DKR-044</t>
        </is>
      </c>
      <c r="B41" s="17" t="inlineStr">
        <is>
          <t>06 Security and Operations</t>
        </is>
      </c>
      <c r="C41" s="17" t="inlineStr">
        <is>
          <t>Intermediate</t>
        </is>
      </c>
      <c r="D41" s="17" t="n">
        <v>44</v>
      </c>
      <c r="E41" s="17" t="inlineStr">
        <is>
          <t>Claude knowledge</t>
        </is>
      </c>
      <c r="F41" s="18" t="inlineStr">
        <is>
          <t>HEALTHCHECK</t>
        </is>
      </c>
      <c r="G41" s="18" t="inlineStr">
        <is>
          <t>How does Docker know whether the app inside a running container is actually working?</t>
        </is>
      </c>
      <c r="H41" s="17" t="n"/>
      <c r="I41" s="18" t="inlineStr">
        <is>
          <t>Dockerfile instruction</t>
        </is>
      </c>
      <c r="J41" s="18" t="inlineStr">
        <is>
          <t>High</t>
        </is>
      </c>
      <c r="K41" s="18" t="n">
        <v>4</v>
      </c>
      <c r="L41" s="18" t="inlineStr">
        <is>
          <t>A running process is not always a working service, so Docker can run a small test regularly and record the result.</t>
        </is>
      </c>
      <c r="M41" s="18" t="inlineStr">
        <is>
          <t>Make the check cheap and test the real service, such as a health URL.</t>
        </is>
      </c>
      <c r="N41" s="17" t="n"/>
      <c r="O41" s="18" t="inlineStr">
        <is>
          <t>A health check is a doctor who tests the pulse every few seconds.</t>
        </is>
      </c>
      <c r="P41" s="18" t="inlineStr">
        <is>
          <t>Status moving from starting to healthy or unhealthy.</t>
        </is>
      </c>
      <c r="Q41" s="18" t="inlineStr">
        <is>
          <t>The trust of a service that reports its own condition.</t>
        </is>
      </c>
      <c r="R41" s="18" t="inlineStr">
        <is>
          <t>HEALTHCHECK defines a command that Docker runs periodically, and the container is marked healthy, unhealthy or starting based on the result.</t>
        </is>
      </c>
      <c r="S41" s="17" t="n"/>
      <c r="T41" s="19" t="inlineStr">
        <is>
          <t>HEALTHCHECK --interval=30s --timeout=3s --retries=3 CMD curl -f http://localhost:8000/health || exit 1</t>
        </is>
      </c>
      <c r="U41" s="19" t="inlineStr">
        <is>
          <t>After three failed checks the status becomes unhealthy, and docker ps shows it next to the container.</t>
        </is>
      </c>
      <c r="V41" s="18" t="inlineStr">
        <is>
          <t>Exit code 0 means healthy and 1 means unhealthy. Docker alone only reports the status, while Compose and orchestrators can act on it. The tool used in the check must exist in the image, so slim images may need wget or a small script. A start period gives slow apps time to boot.</t>
        </is>
      </c>
      <c r="W41" s="18" t="inlineStr">
        <is>
          <t>Add a cheap command that proves the service answers, and Docker tracks the result.</t>
        </is>
      </c>
      <c r="X41" s="18" t="inlineStr">
        <is>
          <t>It is like a doctor checking the pulse at regular intervals.</t>
        </is>
      </c>
      <c r="Y41" s="19" t="inlineStr">
        <is>
          <t>HEALTHCHECK [--interval=t] [--timeout=t] [--retries=n] CMD command</t>
        </is>
      </c>
      <c r="Z41" s="18" t="inlineStr">
        <is>
          <t>--interval = how often | --timeout = limit per check | --retries = failures allowed | CMD = the test</t>
        </is>
      </c>
      <c r="AA41" s="19" t="inlineStr">
        <is>
          <t>HEALTHCHECK CMD wget -q --spider http://localhost/ || exit 1</t>
        </is>
      </c>
      <c r="AB41" s="19" t="inlineStr">
        <is>
          <t>HEALTHCHECK --start-period=20s CMD node healthcheck.js</t>
        </is>
      </c>
      <c r="AC41" s="19" t="inlineStr">
        <is>
          <t>docker inspect --format "{{.State.Health.Status}}" web</t>
        </is>
      </c>
      <c r="AD41" s="19" t="inlineStr">
        <is>
          <t>HEALTHCHECK NONE   // disable an inherited check</t>
        </is>
      </c>
      <c r="AE41" s="18" t="inlineStr">
        <is>
          <t>depends_on, orchestrators, monitoring</t>
        </is>
      </c>
      <c r="AF41" s="18" t="inlineStr">
        <is>
          <t>depends_on and health checks, docker ps, logging and monitoring</t>
        </is>
      </c>
      <c r="AG41" s="18" t="inlineStr">
        <is>
          <t>Compose healthcheck | Orchestrator probes</t>
        </is>
      </c>
      <c r="AH41" s="17" t="n"/>
      <c r="AI41" s="18" t="inlineStr">
        <is>
          <t>Web services | Databases | Orchestrated platforms</t>
        </is>
      </c>
      <c r="AJ41" s="18" t="inlineStr">
        <is>
          <t>A: The container is up but the app is stuck. | B: Add a health check so Docker flags it.</t>
        </is>
      </c>
      <c r="AK41" s="18" t="inlineStr">
        <is>
          <t>✗ A running container is always a working one → ✓ The process may be alive while the service is broken</t>
        </is>
      </c>
      <c r="AL41" s="18" t="inlineStr">
        <is>
          <t>Running vs healthy: running means the process exists, healthy means it passes its check.</t>
        </is>
      </c>
      <c r="AM41" s="18" t="inlineStr">
        <is>
          <t>Do not use a check that needs a tool missing from the image.</t>
        </is>
      </c>
      <c r="AN41" s="19" t="inlineStr">
        <is>
          <t>HEALTHCHECK curl http://localhost/</t>
        </is>
      </c>
      <c r="AO41" s="19" t="inlineStr">
        <is>
          <t>HEALTHCHECK CMD curl -f http://localhost/ || exit 1</t>
        </is>
      </c>
      <c r="AP41" s="18" t="inlineStr">
        <is>
          <t>Zero exit is healthy, one is not.</t>
        </is>
      </c>
      <c r="AQ41" s="18" t="inlineStr">
        <is>
          <t>Adding a health URL so the orchestrator restarted stuck API containers.</t>
        </is>
      </c>
      <c r="AR41" s="18" t="inlineStr">
        <is>
          <t>An interviewer may ask: How is a health check different from a running container?</t>
        </is>
      </c>
      <c r="AS41" s="18" t="inlineStr">
        <is>
          <t>It is like a doctor checking the pulse regularly.</t>
        </is>
      </c>
      <c r="AT41" s="18" t="inlineStr">
        <is>
          <t>Which exit code marks a health check as passed?</t>
        </is>
      </c>
      <c r="AU41" s="18" t="inlineStr">
        <is>
          <t>A) 1 B) 2 C) 0 D) 137</t>
        </is>
      </c>
      <c r="AV41" s="18" t="inlineStr">
        <is>
          <t>C</t>
        </is>
      </c>
      <c r="AW41" s="18" t="inlineStr">
        <is>
          <t>Zero means success, one means failure.</t>
        </is>
      </c>
      <c r="AX41" s="19" t="inlineStr">
        <is>
          <t>The status of a failing check is called ____ → unhealthy</t>
        </is>
      </c>
      <c r="AY41" s="18" t="inlineStr">
        <is>
          <t>Add a health check that requests /health every 30 seconds.</t>
        </is>
      </c>
      <c r="AZ41" s="19" t="inlineStr">
        <is>
          <t>HEALTHCHECK --interval=30s CMD curl -f http://localhost:8000/health || exit 1</t>
        </is>
      </c>
      <c r="BA41" s="18" t="inlineStr">
        <is>
          <t>Print the health status of the container web using inspect.</t>
        </is>
      </c>
      <c r="BB41" s="19" t="inlineStr">
        <is>
          <t>Why can a health check fail even if the app is fine?</t>
        </is>
      </c>
      <c r="BC41" s="19" t="inlineStr">
        <is>
          <t>The check tool, such as curl, may be missing from the image.</t>
        </is>
      </c>
      <c r="BD41" s="17">
        <f>IF(K41="","",REPT("★",K41)&amp;REPT("☆",5-K41)&amp;" ("&amp;K41&amp;"/5)")</f>
        <v/>
      </c>
      <c r="BE41" s="17">
        <f>IF(S41="","","Meaning: "&amp;S41&amp;"  =  ______   (Answer: "&amp;F41&amp;")")</f>
        <v/>
      </c>
      <c r="BF41" s="17" t="inlineStr">
        <is>
          <t>New</t>
        </is>
      </c>
      <c r="BG41" s="17" t="n"/>
      <c r="BH41" s="17" t="n"/>
      <c r="BI41" s="17" t="n"/>
      <c r="BJ41" s="17" t="n"/>
      <c r="BK41" s="17" t="n"/>
      <c r="BL41" s="17" t="n"/>
      <c r="BM41" s="17" t="n"/>
      <c r="BN41" s="17" t="n"/>
    </row>
    <row r="42" ht="94.5" customHeight="1">
      <c r="A42" s="17" t="inlineStr">
        <is>
          <t>DKR-045</t>
        </is>
      </c>
      <c r="B42" s="17" t="inlineStr">
        <is>
          <t>06 Security and Operations</t>
        </is>
      </c>
      <c r="C42" s="17" t="inlineStr">
        <is>
          <t>Intermediate</t>
        </is>
      </c>
      <c r="D42" s="17" t="n">
        <v>45</v>
      </c>
      <c r="E42" s="17" t="inlineStr">
        <is>
          <t>Claude knowledge</t>
        </is>
      </c>
      <c r="F42" s="18" t="inlineStr">
        <is>
          <t>Log drivers and rotation</t>
        </is>
      </c>
      <c r="G42" s="18" t="inlineStr">
        <is>
          <t>How do you stop container logs from filling the disk or send them elsewhere?</t>
        </is>
      </c>
      <c r="H42" s="17" t="n"/>
      <c r="I42" s="18" t="inlineStr">
        <is>
          <t>Operations practice</t>
        </is>
      </c>
      <c r="J42" s="18" t="inlineStr">
        <is>
          <t>Medium</t>
        </is>
      </c>
      <c r="K42" s="18" t="n">
        <v>4</v>
      </c>
      <c r="L42" s="18" t="inlineStr">
        <is>
          <t>Container logs grow without limit by default, so Docker lets you choose how they are stored and when they rotate.</t>
        </is>
      </c>
      <c r="M42" s="18" t="inlineStr">
        <is>
          <t>Always set max-size and max-file on the default json-file driver.</t>
        </is>
      </c>
      <c r="N42" s="17" t="n"/>
      <c r="O42" s="18" t="inlineStr">
        <is>
          <t>Rotation is a notebook that discards the oldest page when full.</t>
        </is>
      </c>
      <c r="P42" s="18" t="inlineStr">
        <is>
          <t>A log file capped at a fixed size.</t>
        </is>
      </c>
      <c r="Q42" s="18" t="inlineStr">
        <is>
          <t>The relief of a disk that no longer fills silently.</t>
        </is>
      </c>
      <c r="R42" s="18" t="inlineStr">
        <is>
          <t>A log driver decides where container logs go, and options such as max-size and max-file cap and rotate the local files.</t>
        </is>
      </c>
      <c r="S42" s="17" t="n"/>
      <c r="T42" s="19" t="inlineStr">
        <is>
          <t>docker run -d --log-driver json-file --log-opt max-size=10m --log-opt max-file=3 myapi</t>
        </is>
      </c>
      <c r="U42" s="19" t="inlineStr">
        <is>
          <t>Logs are kept in at most three files of ten megabytes each, and the oldest is replaced when full.</t>
        </is>
      </c>
      <c r="V42" s="18" t="inlineStr">
        <is>
          <t>The default json-file driver keeps logs on disk without a cap. Setting the options globally in daemon.json protects every container. Other drivers send logs to syslog, journald or cloud services. With some remote drivers docker logs cannot read the output anymore.</t>
        </is>
      </c>
      <c r="W42" s="18" t="inlineStr">
        <is>
          <t>Cap local logs or ship them to a central system.</t>
        </is>
      </c>
      <c r="X42" s="18" t="inlineStr">
        <is>
          <t>It is like a notebook that discards the oldest page when full.</t>
        </is>
      </c>
      <c r="Y42" s="19" t="inlineStr">
        <is>
          <t>docker run --log-driver driver --log-opt key=value image</t>
        </is>
      </c>
      <c r="Z42" s="18" t="inlineStr">
        <is>
          <t>--log-driver = destination | max-size = file size cap | max-file = number of files</t>
        </is>
      </c>
      <c r="AA42" s="19" t="inlineStr">
        <is>
          <t>docker info --format "{{.LoggingDriver}}"</t>
        </is>
      </c>
      <c r="AB42" s="19" t="inlineStr">
        <is>
          <t>docker run --log-driver none alpine</t>
        </is>
      </c>
      <c r="AC42" s="19" t="inlineStr">
        <is>
          <t>logging: driver: json-file options: max-size: "10m"</t>
        </is>
      </c>
      <c r="AD42" s="19" t="inlineStr">
        <is>
          <t>/etc/docker/daemon.json   // set defaults for all containers</t>
        </is>
      </c>
      <c r="AE42" s="18" t="inlineStr">
        <is>
          <t>docker logs, monitoring, Compose</t>
        </is>
      </c>
      <c r="AF42" s="18" t="inlineStr">
        <is>
          <t>docker logs, logging and monitoring, resource limits</t>
        </is>
      </c>
      <c r="AG42" s="18" t="inlineStr">
        <is>
          <t>Sidecar log shippers</t>
        </is>
      </c>
      <c r="AH42" s="17" t="n"/>
      <c r="AI42" s="18" t="inlineStr">
        <is>
          <t>Servers | Production | Compliance</t>
        </is>
      </c>
      <c r="AJ42" s="18" t="inlineStr">
        <is>
          <t>A: The server disk is full of container logs. | B: Set max-size and max-file.</t>
        </is>
      </c>
      <c r="AK42" s="18" t="inlineStr">
        <is>
          <t>✗ Container logs rotate automatically → ✓ The default driver keeps growing unless you set limits</t>
        </is>
      </c>
      <c r="AL42" s="18" t="inlineStr">
        <is>
          <t>Log driver vs docker logs: the driver decides storage, the command only reads it.</t>
        </is>
      </c>
      <c r="AM42" s="18" t="inlineStr">
        <is>
          <t>Do not leave log files uncapped on production servers.</t>
        </is>
      </c>
      <c r="AN42" s="19" t="inlineStr">
        <is>
          <t>docker run --log-opt max=10m myapi</t>
        </is>
      </c>
      <c r="AO42" s="19" t="inlineStr">
        <is>
          <t>docker run --log-opt max-size=10m myapi</t>
        </is>
      </c>
      <c r="AP42" s="18" t="inlineStr">
        <is>
          <t>Size and count keep the disk safe.</t>
        </is>
      </c>
      <c r="AQ42" s="18" t="inlineStr">
        <is>
          <t>Capping logs after a chatty service filled the server disk overnight.</t>
        </is>
      </c>
      <c r="AR42" s="18" t="inlineStr">
        <is>
          <t>An interviewer may ask: Why can container logs fill a disk?</t>
        </is>
      </c>
      <c r="AS42" s="18" t="inlineStr">
        <is>
          <t>It is like a notebook that drops its oldest page.</t>
        </is>
      </c>
      <c r="AT42" s="18" t="inlineStr">
        <is>
          <t>Which option limits the size of each log file?</t>
        </is>
      </c>
      <c r="AU42" s="18" t="inlineStr">
        <is>
          <t>A) max-lines B) max-age C) max-size D) max-count</t>
        </is>
      </c>
      <c r="AV42" s="18" t="inlineStr">
        <is>
          <t>C</t>
        </is>
      </c>
      <c r="AW42" s="18" t="inlineStr">
        <is>
          <t>max-size caps one file, max-file caps how many.</t>
        </is>
      </c>
      <c r="AX42" s="19" t="inlineStr">
        <is>
          <t>The default local log driver is called ____ → json-file</t>
        </is>
      </c>
      <c r="AY42" s="18" t="inlineStr">
        <is>
          <t>Run myapi with three log files of 10 MB each.</t>
        </is>
      </c>
      <c r="AZ42" s="19" t="inlineStr">
        <is>
          <t>docker run -d --log-opt max-size=10m --log-opt max-file=3 myapi</t>
        </is>
      </c>
      <c r="BA42" s="18" t="inlineStr">
        <is>
          <t>Check which logging driver the Docker daemon uses.</t>
        </is>
      </c>
      <c r="BB42" s="19" t="inlineStr">
        <is>
          <t>Where do you set log defaults for all containers?</t>
        </is>
      </c>
      <c r="BC42" s="19" t="inlineStr">
        <is>
          <t>In daemon.json.</t>
        </is>
      </c>
      <c r="BD42" s="17">
        <f>IF(K42="","",REPT("★",K42)&amp;REPT("☆",5-K42)&amp;" ("&amp;K42&amp;"/5)")</f>
        <v/>
      </c>
      <c r="BE42" s="17">
        <f>IF(S42="","","Meaning: "&amp;S42&amp;"  =  ______   (Answer: "&amp;F42&amp;")")</f>
        <v/>
      </c>
      <c r="BF42" s="17" t="inlineStr">
        <is>
          <t>New</t>
        </is>
      </c>
      <c r="BG42" s="17" t="n"/>
      <c r="BH42" s="17" t="n"/>
      <c r="BI42" s="17" t="n"/>
      <c r="BJ42" s="17" t="n"/>
      <c r="BK42" s="17" t="n"/>
      <c r="BL42" s="17" t="n"/>
      <c r="BM42" s="17" t="n"/>
      <c r="BN42" s="17" t="n"/>
    </row>
    <row r="43" ht="94.5" customHeight="1">
      <c r="A43" s="17" t="inlineStr">
        <is>
          <t>DKR-046</t>
        </is>
      </c>
      <c r="B43" s="17" t="inlineStr">
        <is>
          <t>06 Security and Operations</t>
        </is>
      </c>
      <c r="C43" s="17" t="inlineStr">
        <is>
          <t>Beginner</t>
        </is>
      </c>
      <c r="D43" s="17" t="n">
        <v>46</v>
      </c>
      <c r="E43" s="17" t="inlineStr">
        <is>
          <t>Claude knowledge</t>
        </is>
      </c>
      <c r="F43" s="18" t="inlineStr">
        <is>
          <t>Cleaning up with prune</t>
        </is>
      </c>
      <c r="G43" s="18" t="inlineStr">
        <is>
          <t>Which commands reclaim disk space from unused Docker objects?</t>
        </is>
      </c>
      <c r="H43" s="17" t="n"/>
      <c r="I43" s="18" t="inlineStr">
        <is>
          <t>CLI command</t>
        </is>
      </c>
      <c r="J43" s="18" t="inlineStr">
        <is>
          <t>High</t>
        </is>
      </c>
      <c r="K43" s="18" t="n">
        <v>4</v>
      </c>
      <c r="L43" s="18" t="inlineStr">
        <is>
          <t>Builds and tests leave stopped containers, old images and unused networks behind, so Docker offers prune commands to clear them.</t>
        </is>
      </c>
      <c r="M43" s="18" t="inlineStr">
        <is>
          <t>Check docker system df first so you know what you are about to remove.</t>
        </is>
      </c>
      <c r="N43" s="17" t="n"/>
      <c r="O43" s="18" t="inlineStr">
        <is>
          <t>Prune is a gardener cutting dead branches and leaving the living ones.</t>
        </is>
      </c>
      <c r="P43" s="18" t="inlineStr">
        <is>
          <t>A disk usage chart shrinking after cleanup.</t>
        </is>
      </c>
      <c r="Q43" s="18" t="inlineStr">
        <is>
          <t>The satisfaction of getting gigabytes back.</t>
        </is>
      </c>
      <c r="R43" s="18" t="inlineStr">
        <is>
          <t>docker prune commands delete unused objects, such as stopped containers, dangling images, networks and optionally volumes.</t>
        </is>
      </c>
      <c r="S43" s="17" t="n"/>
      <c r="T43" s="19" t="inlineStr">
        <is>
          <t>docker system df
docker image prune -a
docker container prune
docker system prune --volumes</t>
        </is>
      </c>
      <c r="U43" s="19" t="inlineStr">
        <is>
          <t>Disk usage is shown, then unused images and containers are deleted, and the last command also removes unused volumes.</t>
        </is>
      </c>
      <c r="V43" s="18" t="inlineStr">
        <is>
          <t>system df shows how much space each object type uses. image prune removes only dangling images unless you add -a. system prune combines several cleanups. Adding --volumes also deletes unused volumes, which may contain data. Each command asks for confirmation unless -f is added.</t>
        </is>
      </c>
      <c r="W43" s="18" t="inlineStr">
        <is>
          <t>Look with system df, then prune only what you understand.</t>
        </is>
      </c>
      <c r="X43" s="18" t="inlineStr">
        <is>
          <t>It is like a gardener cutting dead branches and leaving living ones.</t>
        </is>
      </c>
      <c r="Y43" s="19" t="inlineStr">
        <is>
          <t>docker system prune [-a] [--volumes] [-f]</t>
        </is>
      </c>
      <c r="Z43" s="18" t="inlineStr">
        <is>
          <t>-a = all unused images | --volumes = include volumes | -f = skip prompt | df = show usage</t>
        </is>
      </c>
      <c r="AA43" s="19" t="inlineStr">
        <is>
          <t>docker builder prune</t>
        </is>
      </c>
      <c r="AB43" s="19" t="inlineStr">
        <is>
          <t>docker network prune</t>
        </is>
      </c>
      <c r="AC43" s="19" t="inlineStr">
        <is>
          <t>docker volume prune</t>
        </is>
      </c>
      <c r="AD43" s="19" t="inlineStr">
        <is>
          <t>docker system prune --filter "until=24h"   // only objects older than a day</t>
        </is>
      </c>
      <c r="AE43" s="18" t="inlineStr">
        <is>
          <t>docker images, docker ps, CI cleanup</t>
        </is>
      </c>
      <c r="AF43" s="18" t="inlineStr">
        <is>
          <t>docker images, docker stop and rm, volumes</t>
        </is>
      </c>
      <c r="AG43" s="18" t="inlineStr">
        <is>
          <t>Manual rm and rmi commands</t>
        </is>
      </c>
      <c r="AH43" s="17" t="n"/>
      <c r="AI43" s="18" t="inlineStr">
        <is>
          <t>Build servers | Developer laptops | CI runners</t>
        </is>
      </c>
      <c r="AJ43" s="18" t="inlineStr">
        <is>
          <t>A: The CI runner is out of disk. | B: Prune old images and build cache.</t>
        </is>
      </c>
      <c r="AK43" s="18" t="inlineStr">
        <is>
          <t>✗ docker system prune is always safe → ✓ With --volumes it can delete data you still need</t>
        </is>
      </c>
      <c r="AL43" s="18" t="inlineStr">
        <is>
          <t>image prune vs image prune -a: the first removes dangling images, the second all unused ones.</t>
        </is>
      </c>
      <c r="AM43" s="18" t="inlineStr">
        <is>
          <t>Do not add --volumes on a machine that holds database data.</t>
        </is>
      </c>
      <c r="AN43" s="19" t="inlineStr">
        <is>
          <t>docker system prune --all-data</t>
        </is>
      </c>
      <c r="AO43" s="19" t="inlineStr">
        <is>
          <t>docker system prune --volumes</t>
        </is>
      </c>
      <c r="AP43" s="18" t="inlineStr">
        <is>
          <t>Look at df before you prune.</t>
        </is>
      </c>
      <c r="AQ43" s="18" t="inlineStr">
        <is>
          <t>Scheduling a nightly prune on the CI runner to avoid full disks.</t>
        </is>
      </c>
      <c r="AR43" s="18" t="inlineStr">
        <is>
          <t>An interviewer may ask: How do you reclaim disk space in Docker?</t>
        </is>
      </c>
      <c r="AS43" s="18" t="inlineStr">
        <is>
          <t>It is like a gardener removing only the dead branches.</t>
        </is>
      </c>
      <c r="AT43" s="18" t="inlineStr">
        <is>
          <t>Which option makes the combined cleanup command also delete unused storage areas?</t>
        </is>
      </c>
      <c r="AU43" s="18" t="inlineStr">
        <is>
          <t>A) --volumes B) --force C) --all D) --deep</t>
        </is>
      </c>
      <c r="AV43" s="18" t="inlineStr">
        <is>
          <t>A</t>
        </is>
      </c>
      <c r="AW43" s="18" t="inlineStr">
        <is>
          <t>Volumes are skipped unless that flag is given.</t>
        </is>
      </c>
      <c r="AX43" s="19" t="inlineStr">
        <is>
          <t>Disk usage by object type is shown by docker system ____ → df</t>
        </is>
      </c>
      <c r="AY43" s="18" t="inlineStr">
        <is>
          <t>Show how much space Docker is using.</t>
        </is>
      </c>
      <c r="AZ43" s="19" t="inlineStr">
        <is>
          <t>docker system df</t>
        </is>
      </c>
      <c r="BA43" s="18" t="inlineStr">
        <is>
          <t>Remove build cache older than 24 hours.</t>
        </is>
      </c>
      <c r="BB43" s="19" t="inlineStr">
        <is>
          <t>What does image prune remove without -a?</t>
        </is>
      </c>
      <c r="BC43" s="19" t="inlineStr">
        <is>
          <t>Only dangling images.</t>
        </is>
      </c>
      <c r="BD43" s="17">
        <f>IF(K43="","",REPT("★",K43)&amp;REPT("☆",5-K43)&amp;" ("&amp;K43&amp;"/5)")</f>
        <v/>
      </c>
      <c r="BE43" s="17">
        <f>IF(S43="","","Meaning: "&amp;S43&amp;"  =  ______   (Answer: "&amp;F43&amp;")")</f>
        <v/>
      </c>
      <c r="BF43" s="17" t="inlineStr">
        <is>
          <t>New</t>
        </is>
      </c>
      <c r="BG43" s="17" t="n"/>
      <c r="BH43" s="17" t="n"/>
      <c r="BI43" s="17" t="n"/>
      <c r="BJ43" s="17" t="n"/>
      <c r="BK43" s="17" t="n"/>
      <c r="BL43" s="17" t="n"/>
      <c r="BM43" s="17" t="n"/>
      <c r="BN43" s="17" t="n"/>
    </row>
    <row r="44" ht="108" customHeight="1">
      <c r="A44" s="17" t="inlineStr">
        <is>
          <t>DKR-047</t>
        </is>
      </c>
      <c r="B44" s="17" t="inlineStr">
        <is>
          <t>07 Advanced Docker</t>
        </is>
      </c>
      <c r="C44" s="17" t="inlineStr">
        <is>
          <t>Advanced</t>
        </is>
      </c>
      <c r="D44" s="17" t="n">
        <v>47</v>
      </c>
      <c r="E44" s="17" t="inlineStr">
        <is>
          <t>Claude knowledge</t>
        </is>
      </c>
      <c r="F44" s="18" t="inlineStr">
        <is>
          <t>BuildKit and build cache</t>
        </is>
      </c>
      <c r="G44" s="18" t="inlineStr">
        <is>
          <t>Which modern builder makes builds faster with parallel steps and cache mounts?</t>
        </is>
      </c>
      <c r="H44" s="17" t="n"/>
      <c r="I44" s="18" t="inlineStr">
        <is>
          <t>Build tool</t>
        </is>
      </c>
      <c r="J44" s="18" t="inlineStr">
        <is>
          <t>High</t>
        </is>
      </c>
      <c r="K44" s="18" t="n">
        <v>4</v>
      </c>
      <c r="L44" s="18" t="inlineStr">
        <is>
          <t>The classic builder ran steps one after another, so BuildKit was created to build in parallel and cache smarter.</t>
        </is>
      </c>
      <c r="M44" s="18" t="inlineStr">
        <is>
          <t>Use a cache mount for package managers so downloads survive between builds.</t>
        </is>
      </c>
      <c r="N44" s="17" t="n"/>
      <c r="O44" s="18" t="inlineStr">
        <is>
          <t>BuildKit is a kitchen where independent dishes cook at the same time.</t>
        </is>
      </c>
      <c r="P44" s="18" t="inlineStr">
        <is>
          <t>Build stages running side by side with cache hits.</t>
        </is>
      </c>
      <c r="Q44" s="18" t="inlineStr">
        <is>
          <t>The joy of a rebuild that takes seconds.</t>
        </is>
      </c>
      <c r="R44" s="18" t="inlineStr">
        <is>
          <t>BuildKit is Docker's modern build engine, which runs independent steps in parallel and supports cache mounts, secrets and better caching.</t>
        </is>
      </c>
      <c r="S44" s="17" t="n"/>
      <c r="T44" s="19" t="inlineStr">
        <is>
          <t>RUN --mount=type=cache,target=/root/.cache/pip pip install -r requirements.txt
docker buildx build --cache-from type=registry,ref=acme/api:cache -t acme/api .</t>
        </is>
      </c>
      <c r="U44" s="19" t="inlineStr">
        <is>
          <t>Pip downloads are reused between builds, and layers can also be reused from a registry cache.</t>
        </is>
      </c>
      <c r="V44" s="18" t="inlineStr">
        <is>
          <t>BuildKit is the default builder in current Docker. Stages that do not depend on each other build in parallel. A cache mount keeps a folder across builds without adding it to the image. Exporting the cache to a registry lets CI runners, which start empty, reuse earlier work.</t>
        </is>
      </c>
      <c r="W44" s="18" t="inlineStr">
        <is>
          <t>Use cache mounts and a shared cache to make builds quick.</t>
        </is>
      </c>
      <c r="X44" s="18" t="inlineStr">
        <is>
          <t>It is like a kitchen cooking independent dishes at the same time.</t>
        </is>
      </c>
      <c r="Y44" s="19" t="inlineStr">
        <is>
          <t>RUN --mount=type=cache,target=/path command</t>
        </is>
      </c>
      <c r="Z44" s="18" t="inlineStr">
        <is>
          <t>--mount=type=cache = persistent folder | --cache-from = import cache | --cache-to = export cache</t>
        </is>
      </c>
      <c r="AA44" s="19" t="inlineStr">
        <is>
          <t>RUN --mount=type=cache,target=/root/.npm npm ci</t>
        </is>
      </c>
      <c r="AB44" s="19" t="inlineStr">
        <is>
          <t>docker buildx build --cache-to type=inline -t api .</t>
        </is>
      </c>
      <c r="AC44" s="19" t="inlineStr">
        <is>
          <t>docker buildx ls</t>
        </is>
      </c>
      <c r="AD44" s="19" t="inlineStr">
        <is>
          <t>DOCKER_BUILDKIT=1 docker build .   // enable on older versions</t>
        </is>
      </c>
      <c r="AE44" s="18" t="inlineStr">
        <is>
          <t>multi-stage builds, CI, registries</t>
        </is>
      </c>
      <c r="AF44" s="18" t="inlineStr">
        <is>
          <t>Layers and cache, multi-stage builds, Docker in CI</t>
        </is>
      </c>
      <c r="AG44" s="18" t="inlineStr">
        <is>
          <t>Classic builder</t>
        </is>
      </c>
      <c r="AH44" s="17" t="n"/>
      <c r="AI44" s="18" t="inlineStr">
        <is>
          <t>CI pipelines | Large builds | Monorepos</t>
        </is>
      </c>
      <c r="AJ44" s="18" t="inlineStr">
        <is>
          <t>A: CI always reinstalls everything. | B: Export and import a build cache.</t>
        </is>
      </c>
      <c r="AK44" s="18" t="inlineStr">
        <is>
          <t>✗ Cache mounts add data to the image → ✓ The mounted folder is kept outside the image layers</t>
        </is>
      </c>
      <c r="AL44" s="18" t="inlineStr">
        <is>
          <t>Layer cache vs cache mount: one reuses finished layers, the other reuses a folder during a step.</t>
        </is>
      </c>
      <c r="AM44" s="18" t="inlineStr">
        <is>
          <t>Do not put secrets in a shared build cache.</t>
        </is>
      </c>
      <c r="AN44" s="19" t="inlineStr">
        <is>
          <t>RUN pip install --cache-mount /cache -r requirements.txt</t>
        </is>
      </c>
      <c r="AO44" s="19" t="inlineStr">
        <is>
          <t>RUN --mount=type=cache,target=/root/.cache/pip pip install -r requirements.txt</t>
        </is>
      </c>
      <c r="AP44" s="18" t="inlineStr">
        <is>
          <t>Cache mount keeps downloads, not image size.</t>
        </is>
      </c>
      <c r="AQ44" s="18" t="inlineStr">
        <is>
          <t>Cutting CI build time by sharing a registry cache between runs.</t>
        </is>
      </c>
      <c r="AR44" s="18" t="inlineStr">
        <is>
          <t>An interviewer may ask: How do you speed up Docker builds in CI?</t>
        </is>
      </c>
      <c r="AS44" s="18" t="inlineStr">
        <is>
          <t>It is like a kitchen cooking many dishes at once.</t>
        </is>
      </c>
      <c r="AT44" s="18" t="inlineStr">
        <is>
          <t>What does a cache mount do for the image size?</t>
        </is>
      </c>
      <c r="AU44" s="18" t="inlineStr">
        <is>
          <t>A) Adds all packages B) Adds nothing to it C) Removes layers D) Doubles it</t>
        </is>
      </c>
      <c r="AV44" s="18" t="inlineStr">
        <is>
          <t>B</t>
        </is>
      </c>
      <c r="AW44" s="18" t="inlineStr">
        <is>
          <t>The cache folder lives outside the final image.</t>
        </is>
      </c>
      <c r="AX44" s="19" t="inlineStr">
        <is>
          <t>Independent build stages are built in ____ by BuildKit → parallel</t>
        </is>
      </c>
      <c r="AY44" s="18" t="inlineStr">
        <is>
          <t>Install pip packages using a cache mount.</t>
        </is>
      </c>
      <c r="AZ44" s="19" t="inlineStr">
        <is>
          <t>RUN --mount=type=cache,target=/root/.cache/pip pip install -r requirements.txt</t>
        </is>
      </c>
      <c r="BA44" s="18" t="inlineStr">
        <is>
          <t>Build with a cache imported from a registry reference.</t>
        </is>
      </c>
      <c r="BB44" s="19" t="inlineStr">
        <is>
          <t>Why does CI need an exported cache?</t>
        </is>
      </c>
      <c r="BC44" s="19" t="inlineStr">
        <is>
          <t>Fresh runners start empty and would rebuild every layer.</t>
        </is>
      </c>
      <c r="BD44" s="17">
        <f>IF(K44="","",REPT("★",K44)&amp;REPT("☆",5-K44)&amp;" ("&amp;K44&amp;"/5)")</f>
        <v/>
      </c>
      <c r="BE44" s="17">
        <f>IF(S44="","","Meaning: "&amp;S44&amp;"  =  ______   (Answer: "&amp;F44&amp;")")</f>
        <v/>
      </c>
      <c r="BF44" s="17" t="inlineStr">
        <is>
          <t>New</t>
        </is>
      </c>
      <c r="BG44" s="17" t="n"/>
      <c r="BH44" s="17" t="n"/>
      <c r="BI44" s="17" t="n"/>
      <c r="BJ44" s="17" t="n"/>
      <c r="BK44" s="17" t="n"/>
      <c r="BL44" s="17" t="n"/>
      <c r="BM44" s="17" t="n"/>
      <c r="BN44" s="17" t="n"/>
    </row>
    <row r="45" ht="108" customHeight="1">
      <c r="A45" s="17" t="inlineStr">
        <is>
          <t>DKR-048</t>
        </is>
      </c>
      <c r="B45" s="17" t="inlineStr">
        <is>
          <t>07 Advanced Docker</t>
        </is>
      </c>
      <c r="C45" s="17" t="inlineStr">
        <is>
          <t>Advanced</t>
        </is>
      </c>
      <c r="D45" s="17" t="n">
        <v>48</v>
      </c>
      <c r="E45" s="17" t="inlineStr">
        <is>
          <t>Claude knowledge</t>
        </is>
      </c>
      <c r="F45" s="18" t="inlineStr">
        <is>
          <t>Multi-platform images</t>
        </is>
      </c>
      <c r="G45" s="18" t="inlineStr">
        <is>
          <t>How do you build one image that runs on both Intel and ARM machines?</t>
        </is>
      </c>
      <c r="H45" s="17" t="n"/>
      <c r="I45" s="18" t="inlineStr">
        <is>
          <t>Build tool</t>
        </is>
      </c>
      <c r="J45" s="18" t="inlineStr">
        <is>
          <t>Medium</t>
        </is>
      </c>
      <c r="K45" s="18" t="n">
        <v>4</v>
      </c>
      <c r="L45" s="18" t="inlineStr">
        <is>
          <t>Laptops and servers now use different CPU families, so an image needs variants for each, bundled under one tag.</t>
        </is>
      </c>
      <c r="M45" s="18" t="inlineStr">
        <is>
          <t>Test the ARM variant, because slow emulation can hide architecture bugs.</t>
        </is>
      </c>
      <c r="N45" s="17" t="n"/>
      <c r="O45" s="18" t="inlineStr">
        <is>
          <t>A multi-platform tag is one doorway that sends each visitor to the right room.</t>
        </is>
      </c>
      <c r="P45" s="18" t="inlineStr">
        <is>
          <t>One tag pointing at several architecture builds.</t>
        </is>
      </c>
      <c r="Q45" s="18" t="inlineStr">
        <is>
          <t>The relief of the same image working on every machine.</t>
        </is>
      </c>
      <c r="R45" s="18" t="inlineStr">
        <is>
          <t>A multi-platform image is a manifest list under one tag that points to separate builds for each CPU architecture.</t>
        </is>
      </c>
      <c r="S45" s="17" t="n"/>
      <c r="T45" s="19" t="inlineStr">
        <is>
          <t>docker buildx build --platform linux/amd64,linux/arm64 -t acme/api:1.0 --push .
docker buildx imagetools inspect acme/api:1.0</t>
        </is>
      </c>
      <c r="U45" s="19" t="inlineStr">
        <is>
          <t>Both variants are built and pushed under one tag, and inspect lists amd64 and arm64 entries.</t>
        </is>
      </c>
      <c r="V45" s="18" t="inlineStr">
        <is>
          <t>Docker pulls the variant matching the machine's architecture automatically. Building for a foreign CPU uses emulation, which is slow, or native builders. Multi-platform builds usually push straight to a registry, since the local image store holds one platform. Architecture errors often show as exec format error.</t>
        </is>
      </c>
      <c r="W45" s="18" t="inlineStr">
        <is>
          <t>Build with buildx for several platforms and push under one tag.</t>
        </is>
      </c>
      <c r="X45" s="18" t="inlineStr">
        <is>
          <t>It is like one doorway that sends visitors to the right room.</t>
        </is>
      </c>
      <c r="Y45" s="19" t="inlineStr">
        <is>
          <t>docker buildx build --platform p1,p2 -t name --push .</t>
        </is>
      </c>
      <c r="Z45" s="18" t="inlineStr">
        <is>
          <t>--platform = target CPUs | --push = upload result | manifest = index of variants</t>
        </is>
      </c>
      <c r="AA45" s="19" t="inlineStr">
        <is>
          <t>docker buildx build --platform linux/arm64 -t api:arm --load .</t>
        </is>
      </c>
      <c r="AB45" s="19" t="inlineStr">
        <is>
          <t>docker run --platform linux/amd64 alpine uname -m</t>
        </is>
      </c>
      <c r="AC45" s="19" t="inlineStr">
        <is>
          <t>docker buildx create --use</t>
        </is>
      </c>
      <c r="AD45" s="19" t="inlineStr">
        <is>
          <t>FROM --platform=$BUILDPLATFORM golang AS build   // build natively then cross-compile</t>
        </is>
      </c>
      <c r="AE45" s="18" t="inlineStr">
        <is>
          <t>registries, CI, BuildKit</t>
        </is>
      </c>
      <c r="AF45" s="18" t="inlineStr">
        <is>
          <t>BuildKit and build cache, registries and Docker Hub, docker pull and push</t>
        </is>
      </c>
      <c r="AG45" s="18" t="inlineStr">
        <is>
          <t>Separate tags per architecture</t>
        </is>
      </c>
      <c r="AH45" s="17" t="n"/>
      <c r="AI45" s="18" t="inlineStr">
        <is>
          <t>Apple silicon teams | ARM cloud servers | Public images</t>
        </is>
      </c>
      <c r="AJ45" s="18" t="inlineStr">
        <is>
          <t>A: It fails with exec format error. | B: The image was built for another CPU, so build for both.</t>
        </is>
      </c>
      <c r="AK45" s="18" t="inlineStr">
        <is>
          <t>✗ An image built on a laptop runs on any server → ✓ It runs only on the architecture it was built for</t>
        </is>
      </c>
      <c r="AL45" s="18" t="inlineStr">
        <is>
          <t>Platform vs OS: platform includes the CPU architecture, such as amd64 or arm64.</t>
        </is>
      </c>
      <c r="AM45" s="18" t="inlineStr">
        <is>
          <t>Do not ship only an Apple silicon build to Intel servers.</t>
        </is>
      </c>
      <c r="AN45" s="19" t="inlineStr">
        <is>
          <t>docker build --platform=all -t api .</t>
        </is>
      </c>
      <c r="AO45" s="19" t="inlineStr">
        <is>
          <t>docker buildx build --platform linux/amd64,linux/arm64 -t api --push .</t>
        </is>
      </c>
      <c r="AP45" s="18" t="inlineStr">
        <is>
          <t>Exec format error means wrong CPU.</t>
        </is>
      </c>
      <c r="AQ45" s="18" t="inlineStr">
        <is>
          <t>Publishing both amd64 and arm64 so developers and servers pulled the same tag.</t>
        </is>
      </c>
      <c r="AR45" s="18" t="inlineStr">
        <is>
          <t>An interviewer may ask: What does exec format error mean?</t>
        </is>
      </c>
      <c r="AS45" s="18" t="inlineStr">
        <is>
          <t>It is like one doorway leading each visitor to the right room.</t>
        </is>
      </c>
      <c r="AT45" s="18" t="inlineStr">
        <is>
          <t>What does exec format error usually indicate?</t>
        </is>
      </c>
      <c r="AU45" s="18" t="inlineStr">
        <is>
          <t>A) A full disk B) A missing volume C) A syntax error D) An image built for a different CPU</t>
        </is>
      </c>
      <c r="AV45" s="18" t="inlineStr">
        <is>
          <t>D</t>
        </is>
      </c>
      <c r="AW45" s="18" t="inlineStr">
        <is>
          <t>The binary cannot run on that architecture.</t>
        </is>
      </c>
      <c r="AX45" s="19" t="inlineStr">
        <is>
          <t>Multi-platform builds use the docker ____ command → buildx</t>
        </is>
      </c>
      <c r="AY45" s="18" t="inlineStr">
        <is>
          <t>Build for amd64 and arm64 and push.</t>
        </is>
      </c>
      <c r="AZ45" s="19" t="inlineStr">
        <is>
          <t>docker buildx build --platform linux/amd64,linux/arm64 -t acme/api:1.0 --push .</t>
        </is>
      </c>
      <c r="BA45" s="18" t="inlineStr">
        <is>
          <t>Inspect which platforms a pushed tag contains.</t>
        </is>
      </c>
      <c r="BB45" s="19" t="inlineStr">
        <is>
          <t>What is a manifest list?</t>
        </is>
      </c>
      <c r="BC45" s="19" t="inlineStr">
        <is>
          <t>An index that maps one tag to builds for several platforms.</t>
        </is>
      </c>
      <c r="BD45" s="17">
        <f>IF(K45="","",REPT("★",K45)&amp;REPT("☆",5-K45)&amp;" ("&amp;K45&amp;"/5)")</f>
        <v/>
      </c>
      <c r="BE45" s="17">
        <f>IF(S45="","","Meaning: "&amp;S45&amp;"  =  ______   (Answer: "&amp;F45&amp;")")</f>
        <v/>
      </c>
      <c r="BF45" s="17" t="inlineStr">
        <is>
          <t>New</t>
        </is>
      </c>
      <c r="BG45" s="17" t="n"/>
      <c r="BH45" s="17" t="n"/>
      <c r="BI45" s="17" t="n"/>
      <c r="BJ45" s="17" t="n"/>
      <c r="BK45" s="17" t="n"/>
      <c r="BL45" s="17" t="n"/>
      <c r="BM45" s="17" t="n"/>
      <c r="BN45" s="17" t="n"/>
    </row>
    <row r="46" ht="121.5" customHeight="1">
      <c r="A46" s="17" t="inlineStr">
        <is>
          <t>DKR-049</t>
        </is>
      </c>
      <c r="B46" s="17" t="inlineStr">
        <is>
          <t>07 Advanced Docker</t>
        </is>
      </c>
      <c r="C46" s="17" t="inlineStr">
        <is>
          <t>Advanced</t>
        </is>
      </c>
      <c r="D46" s="17" t="n">
        <v>49</v>
      </c>
      <c r="E46" s="17" t="inlineStr">
        <is>
          <t>Claude knowledge</t>
        </is>
      </c>
      <c r="F46" s="18" t="inlineStr">
        <is>
          <t>Debugging a failing container</t>
        </is>
      </c>
      <c r="G46" s="18" t="inlineStr">
        <is>
          <t>What is the step-by-step routine when a container will not start or keeps restarting?</t>
        </is>
      </c>
      <c r="H46" s="17" t="n"/>
      <c r="I46" s="18" t="inlineStr">
        <is>
          <t>Debugging skill</t>
        </is>
      </c>
      <c r="J46" s="18" t="inlineStr">
        <is>
          <t>Very high</t>
        </is>
      </c>
      <c r="K46" s="18" t="n">
        <v>5</v>
      </c>
      <c r="L46" s="18" t="inlineStr">
        <is>
          <t>Containers fail in a few repeated ways, so a fixed routine gets you to the cause faster than guessing.</t>
        </is>
      </c>
      <c r="M46" s="18" t="inlineStr">
        <is>
          <t>Read the exit code first, then the last log lines, before changing anything.</t>
        </is>
      </c>
      <c r="N46" s="17" t="n"/>
      <c r="O46" s="18" t="inlineStr">
        <is>
          <t>Debugging is a detective checking the status, then the diary, then the room.</t>
        </is>
      </c>
      <c r="P46" s="18" t="inlineStr">
        <is>
          <t>A flow from status to logs to shell.</t>
        </is>
      </c>
      <c r="Q46" s="18" t="inlineStr">
        <is>
          <t>The calm of following a routine instead of panicking.</t>
        </is>
      </c>
      <c r="R46" s="18" t="inlineStr">
        <is>
          <t>Debugging a failing container means checking its status and exit code, reading logs, inspecting its configuration, and then entering it or running it by hand.</t>
        </is>
      </c>
      <c r="S46" s="17" t="n"/>
      <c r="T46" s="19" t="inlineStr">
        <is>
          <t>docker ps -a
docker logs --tail 50 api
docker inspect --format "{{.State.ExitCode}} {{.State.Error}}" api
docker run --rm -it --entrypoint sh myapi</t>
        </is>
      </c>
      <c r="U46" s="19" t="inlineStr">
        <is>
          <t>You see the exit status, the last error lines, the exit code, and then an interactive shell in the same image.</t>
        </is>
      </c>
      <c r="V46" s="18" t="inlineStr">
        <is>
          <t>Exit code 0 means a clean stop, 1 an app error, 125 to 127 a Docker or command problem, 137 a kill often for memory, and 143 a normal termination signal. Overriding the entrypoint lets you explore an image that crashes on start. Compare the environment, mounts and ports with what you expect.</t>
        </is>
      </c>
      <c r="W46" s="18" t="inlineStr">
        <is>
          <t>Status, exit code, logs, config, then a shell. Change one thing at a time.</t>
        </is>
      </c>
      <c r="X46" s="18" t="inlineStr">
        <is>
          <t>It is like a detective checking the status, the diary and then the room.</t>
        </is>
      </c>
      <c r="Y46" s="19" t="inlineStr">
        <is>
          <t>docker inspect --format "{{.State.ExitCode}}" container</t>
        </is>
      </c>
      <c r="Z46" s="18" t="inlineStr">
        <is>
          <t>ps -a = state | logs = last output | inspect = config and exit code | --entrypoint sh = explore</t>
        </is>
      </c>
      <c r="AA46" s="19" t="inlineStr">
        <is>
          <t>docker events --since 10m</t>
        </is>
      </c>
      <c r="AB46" s="19" t="inlineStr">
        <is>
          <t>docker inspect api</t>
        </is>
      </c>
      <c r="AC46" s="19" t="inlineStr">
        <is>
          <t>docker diff api</t>
        </is>
      </c>
      <c r="AD46" s="19" t="inlineStr">
        <is>
          <t>docker run --rm -it --entrypoint sh image   // explore a crashing image</t>
        </is>
      </c>
      <c r="AE46" s="18" t="inlineStr">
        <is>
          <t>docker logs, docker exec, health checks</t>
        </is>
      </c>
      <c r="AF46" s="18" t="inlineStr">
        <is>
          <t>docker logs, docker exec, resource limits</t>
        </is>
      </c>
      <c r="AG46" s="18" t="inlineStr">
        <is>
          <t>Interactive debugging tools</t>
        </is>
      </c>
      <c r="AH46" s="17" t="n"/>
      <c r="AI46" s="18" t="inlineStr">
        <is>
          <t>Incidents | Failed deploys | Local testing</t>
        </is>
      </c>
      <c r="AJ46" s="18" t="inlineStr">
        <is>
          <t>A: It restarts forever. | B: Read the exit code and last logs first.</t>
        </is>
      </c>
      <c r="AK46" s="18" t="inlineStr">
        <is>
          <t>✗ Restarting the container usually fixes the problem → ✓ It repeats the same failure until you find the cause</t>
        </is>
      </c>
      <c r="AL46" s="18" t="inlineStr">
        <is>
          <t>Exit 137 vs 1: 137 is usually killed, 1 is an error from the application.</t>
        </is>
      </c>
      <c r="AM46" s="18" t="inlineStr">
        <is>
          <t>Do not change several things at once while debugging.</t>
        </is>
      </c>
      <c r="AN46" s="19" t="inlineStr">
        <is>
          <t>docker restart api &amp;&amp; docker restart api</t>
        </is>
      </c>
      <c r="AO46" s="19" t="inlineStr">
        <is>
          <t>docker logs --tail 50 api</t>
        </is>
      </c>
      <c r="AP46" s="18" t="inlineStr">
        <is>
          <t>Status, logs, inspect, shell in order.</t>
        </is>
      </c>
      <c r="AQ46" s="18" t="inlineStr">
        <is>
          <t>Finding a missing variable from the last log line of a restart loop.</t>
        </is>
      </c>
      <c r="AR46" s="18" t="inlineStr">
        <is>
          <t>An interviewer may ask: Walk me through debugging a crashing container.</t>
        </is>
      </c>
      <c r="AS46" s="18" t="inlineStr">
        <is>
          <t>It is like a detective checking the diary first.</t>
        </is>
      </c>
      <c r="AT46" s="18" t="inlineStr">
        <is>
          <t>Which exit code commonly means the container was killed for memory?</t>
        </is>
      </c>
      <c r="AU46" s="18" t="inlineStr">
        <is>
          <t>A) 2 B) 0 C) 126 D) 137</t>
        </is>
      </c>
      <c r="AV46" s="18" t="inlineStr">
        <is>
          <t>D</t>
        </is>
      </c>
      <c r="AW46" s="18" t="inlineStr">
        <is>
          <t>137 means killed by signal nine, often out of memory.</t>
        </is>
      </c>
      <c r="AX46" s="19" t="inlineStr">
        <is>
          <t>To explore a crashing image you override its ____ with a shell → entrypoint</t>
        </is>
      </c>
      <c r="AY46" s="18" t="inlineStr">
        <is>
          <t>Show the exit code of the stopped container api.</t>
        </is>
      </c>
      <c r="AZ46" s="19" t="inlineStr">
        <is>
          <t>docker inspect --format "{{.State.ExitCode}}" api</t>
        </is>
      </c>
      <c r="BA46" s="18" t="inlineStr">
        <is>
          <t>List what files changed inside the container api.</t>
        </is>
      </c>
      <c r="BB46" s="19" t="inlineStr">
        <is>
          <t>What does exit code 0 mean?</t>
        </is>
      </c>
      <c r="BC46" s="19" t="inlineStr">
        <is>
          <t>The process finished successfully and stopped cleanly.</t>
        </is>
      </c>
      <c r="BD46" s="17">
        <f>IF(K46="","",REPT("★",K46)&amp;REPT("☆",5-K46)&amp;" ("&amp;K46&amp;"/5)")</f>
        <v/>
      </c>
      <c r="BE46" s="17">
        <f>IF(S46="","","Meaning: "&amp;S46&amp;"  =  ______   (Answer: "&amp;F46&amp;")")</f>
        <v/>
      </c>
      <c r="BF46" s="17" t="inlineStr">
        <is>
          <t>New</t>
        </is>
      </c>
      <c r="BG46" s="17" t="n"/>
      <c r="BH46" s="17" t="n"/>
      <c r="BI46" s="17" t="n"/>
      <c r="BJ46" s="17" t="n"/>
      <c r="BK46" s="17" t="n"/>
      <c r="BL46" s="17" t="n"/>
      <c r="BM46" s="17" t="n"/>
      <c r="BN46" s="17" t="n"/>
    </row>
    <row r="47" ht="108" customHeight="1">
      <c r="A47" s="17" t="inlineStr">
        <is>
          <t>DKR-050</t>
        </is>
      </c>
      <c r="B47" s="17" t="inlineStr">
        <is>
          <t>07 Advanced Docker</t>
        </is>
      </c>
      <c r="C47" s="17" t="inlineStr">
        <is>
          <t>Advanced</t>
        </is>
      </c>
      <c r="D47" s="17" t="n">
        <v>50</v>
      </c>
      <c r="E47" s="17" t="inlineStr">
        <is>
          <t>Claude knowledge</t>
        </is>
      </c>
      <c r="F47" s="18" t="inlineStr">
        <is>
          <t>Docker in CI</t>
        </is>
      </c>
      <c r="G47" s="18" t="inlineStr">
        <is>
          <t>How do you build, scan and push images automatically in a pipeline?</t>
        </is>
      </c>
      <c r="H47" s="17" t="n"/>
      <c r="I47" s="18" t="inlineStr">
        <is>
          <t>Workflow</t>
        </is>
      </c>
      <c r="J47" s="18" t="inlineStr">
        <is>
          <t>High</t>
        </is>
      </c>
      <c r="K47" s="18" t="n">
        <v>5</v>
      </c>
      <c r="L47" s="18" t="inlineStr">
        <is>
          <t>Manual builds differ between people, so a pipeline builds the same image from every commit in the same way.</t>
        </is>
      </c>
      <c r="M47" s="18" t="inlineStr">
        <is>
          <t>Tag images with the Git commit so every deployed image traces back to its code.</t>
        </is>
      </c>
      <c r="N47" s="17" t="n"/>
      <c r="O47" s="18" t="inlineStr">
        <is>
          <t>A pipeline is a factory line that stamps each box with its commit number.</t>
        </is>
      </c>
      <c r="P47" s="18" t="inlineStr">
        <is>
          <t>Commit, build, scan, push as four connected steps.</t>
        </is>
      </c>
      <c r="Q47" s="18" t="inlineStr">
        <is>
          <t>The assurance of identical builds every time.</t>
        </is>
      </c>
      <c r="R47" s="18" t="inlineStr">
        <is>
          <t>Docker in CI means a pipeline that builds an image from each commit, tests and scans it, then pushes it to a registry with a traceable tag.</t>
        </is>
      </c>
      <c r="S47" s="17" t="n"/>
      <c r="T47" s="19" t="inlineStr">
        <is>
          <t>docker build -t ghcr.io/acme/api:${GIT_SHA} .
trivy image --exit-code 1 --severity CRITICAL ghcr.io/acme/api:${GIT_SHA}
docker push ghcr.io/acme/api:${GIT_SHA}</t>
        </is>
      </c>
      <c r="U47" s="19" t="inlineStr">
        <is>
          <t>The image is built with the commit tag, the pipeline fails on critical findings, and a clean image is pushed.</t>
        </is>
      </c>
      <c r="V47" s="18" t="inlineStr">
        <is>
          <t>Log in with a short-lived token stored as a pipeline secret. Use the cache to keep builds fast. Tag with the commit and optionally with a version, and avoid relying on latest for deploys. Run tests inside the built image, so what you test is what ships. Deploy by digest or exact tag.</t>
        </is>
      </c>
      <c r="W47" s="18" t="inlineStr">
        <is>
          <t>Build once per commit, test and scan it, push with the commit tag, deploy that exact tag.</t>
        </is>
      </c>
      <c r="X47" s="18" t="inlineStr">
        <is>
          <t>It is like a factory line that stamps every box with its commit number.</t>
        </is>
      </c>
      <c r="Y47" s="19" t="inlineStr">
        <is>
          <t>docker build -t registry/repo:${GIT_SHA} .</t>
        </is>
      </c>
      <c r="Z47" s="18" t="inlineStr">
        <is>
          <t>GIT_SHA = commit id | scan = quality gate | push = publish | deploy = use the same tag</t>
        </is>
      </c>
      <c r="AA47" s="19" t="inlineStr">
        <is>
          <t>docker run --rm acme/api:${GIT_SHA} pytest</t>
        </is>
      </c>
      <c r="AB47" s="19" t="inlineStr">
        <is>
          <t>echo "$TOKEN" | docker login ghcr.io -u user --password-stdin</t>
        </is>
      </c>
      <c r="AC47" s="19" t="inlineStr">
        <is>
          <t>docker pull acme/api:${GIT_SHA}</t>
        </is>
      </c>
      <c r="AD47" s="19" t="inlineStr">
        <is>
          <t>docker buildx build --push --cache-to type=registry,ref=acme/api:cache .   // fast, cached CI build</t>
        </is>
      </c>
      <c r="AE47" s="18" t="inlineStr">
        <is>
          <t>GitHub Actions, registries, scanning</t>
        </is>
      </c>
      <c r="AF47" s="18" t="inlineStr">
        <is>
          <t>docker build and tag, image scanning, BuildKit and build cache</t>
        </is>
      </c>
      <c r="AG47" s="18" t="inlineStr">
        <is>
          <t>Managed build services</t>
        </is>
      </c>
      <c r="AH47" s="17" t="n"/>
      <c r="AI47" s="18" t="inlineStr">
        <is>
          <t>GitHub Actions | GitLab CI | Release pipelines</t>
        </is>
      </c>
      <c r="AJ47" s="18" t="inlineStr">
        <is>
          <t>A: Which version is running in production? | B: The tag is the commit hash, so we can trace it.</t>
        </is>
      </c>
      <c r="AK47" s="18" t="inlineStr">
        <is>
          <t>✗ Deploying the latest tag is the safest choice → ✓ A moving tag makes it unclear what is running, so use exact tags</t>
        </is>
      </c>
      <c r="AL47" s="18" t="inlineStr">
        <is>
          <t>Build in CI vs build on a laptop: CI is repeatable and recorded.</t>
        </is>
      </c>
      <c r="AM47" s="18" t="inlineStr">
        <is>
          <t>Do not store registry passwords in the repository.</t>
        </is>
      </c>
      <c r="AN47" s="19" t="inlineStr">
        <is>
          <t>docker login -u user -p mypassword</t>
        </is>
      </c>
      <c r="AO47" s="19" t="inlineStr">
        <is>
          <t>echo "$TOKEN" | docker login ghcr.io -u user --password-stdin</t>
        </is>
      </c>
      <c r="AP47" s="18" t="inlineStr">
        <is>
          <t>Commit tag makes every image traceable.</t>
        </is>
      </c>
      <c r="AQ47" s="18" t="inlineStr">
        <is>
          <t>Tagging images with the commit hash so rollbacks were one command.</t>
        </is>
      </c>
      <c r="AR47" s="18" t="inlineStr">
        <is>
          <t>An interviewer may ask: How do you tag images in a pipeline?</t>
        </is>
      </c>
      <c r="AS47" s="18" t="inlineStr">
        <is>
          <t>It is like stamping every box with its number.</t>
        </is>
      </c>
      <c r="AT47" s="18" t="inlineStr">
        <is>
          <t>Which tag makes a deployed image easy to trace?</t>
        </is>
      </c>
      <c r="AU47" s="18" t="inlineStr">
        <is>
          <t>A) latest B) The Git commit hash C) new D) test</t>
        </is>
      </c>
      <c r="AV47" s="18" t="inlineStr">
        <is>
          <t>B</t>
        </is>
      </c>
      <c r="AW47" s="18" t="inlineStr">
        <is>
          <t>The hash points to exactly one commit.</t>
        </is>
      </c>
      <c r="AX47" s="19" t="inlineStr">
        <is>
          <t>A safe login passes the token on standard input with --password-____ → stdin</t>
        </is>
      </c>
      <c r="AY47" s="18" t="inlineStr">
        <is>
          <t>Build an image tagged with the commit hash in GIT_SHA.</t>
        </is>
      </c>
      <c r="AZ47" s="19" t="inlineStr">
        <is>
          <t>docker build -t ghcr.io/acme/api:${GIT_SHA} .</t>
        </is>
      </c>
      <c r="BA47" s="18" t="inlineStr">
        <is>
          <t>Write a login command that reads the token from standard input.</t>
        </is>
      </c>
      <c r="BB47" s="19" t="inlineStr">
        <is>
          <t>Why avoid deploying the latest tag?</t>
        </is>
      </c>
      <c r="BC47" s="19" t="inlineStr">
        <is>
          <t>It changes over time, so you cannot tell what version is running.</t>
        </is>
      </c>
      <c r="BD47" s="17">
        <f>IF(K47="","",REPT("★",K47)&amp;REPT("☆",5-K47)&amp;" ("&amp;K47&amp;"/5)")</f>
        <v/>
      </c>
      <c r="BE47" s="17">
        <f>IF(S47="","","Meaning: "&amp;S47&amp;"  =  ______   (Answer: "&amp;F47&amp;")")</f>
        <v/>
      </c>
      <c r="BF47" s="17" t="inlineStr">
        <is>
          <t>New</t>
        </is>
      </c>
      <c r="BG47" s="17" t="n"/>
      <c r="BH47" s="17" t="n"/>
      <c r="BI47" s="17" t="n"/>
      <c r="BJ47" s="17" t="n"/>
      <c r="BK47" s="17" t="n"/>
      <c r="BL47" s="17" t="n"/>
      <c r="BM47" s="17" t="n"/>
      <c r="BN47" s="17" t="n"/>
    </row>
  </sheetData>
  <autoFilter ref="A2:BN47"/>
  <mergeCells count="6">
    <mergeCell ref="AT1:BC1"/>
    <mergeCell ref="BD1:BE1"/>
    <mergeCell ref="F1:Q1"/>
    <mergeCell ref="A1:E1"/>
    <mergeCell ref="BF1:BN1"/>
    <mergeCell ref="R1:AS1"/>
  </mergeCells>
  <dataValidations count="2">
    <dataValidation sqref="BF3:BF47" showDropDown="0" showInputMessage="0" showErrorMessage="0" allowBlank="1" type="list">
      <formula1>"New,Learning,Known"</formula1>
    </dataValidation>
    <dataValidation sqref="BM3:BM47"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DKR-005</t>
        </is>
      </c>
    </row>
    <row r="4">
      <c r="A4" s="23" t="inlineStr">
        <is>
          <t>FRONT · Recognition (pehchano)</t>
        </is>
      </c>
    </row>
    <row r="5" ht="30" customHeight="1">
      <c r="A5" s="24" t="inlineStr">
        <is>
          <t>ID</t>
        </is>
      </c>
      <c r="B5" s="17">
        <f>INDEX('Code concept (56-pt) cards'!$A$3:$BN$47,MATCH($B$2,'Code concept (56-pt) cards'!$A$3:$A$47,0),MATCH("ID",'Code concept (56-pt) cards'!$A$2:$BN$2,0))&amp;""</f>
        <v/>
      </c>
    </row>
    <row r="6" ht="30" customHeight="1">
      <c r="A6" s="24" t="inlineStr">
        <is>
          <t>Topic</t>
        </is>
      </c>
      <c r="B6" s="17">
        <f>INDEX('Code concept (56-pt) cards'!$A$3:$BN$47,MATCH($B$2,'Code concept (56-pt) cards'!$A$3:$A$47,0),MATCH("Topic",'Code concept (56-pt) cards'!$A$2:$BN$2,0))&amp;""</f>
        <v/>
      </c>
    </row>
    <row r="7" ht="30" customHeight="1">
      <c r="A7" s="24" t="inlineStr">
        <is>
          <t>Level</t>
        </is>
      </c>
      <c r="B7" s="17">
        <f>INDEX('Code concept (56-pt) cards'!$A$3:$BN$47,MATCH($B$2,'Code concept (56-pt) cards'!$A$3:$A$47,0),MATCH("Level",'Code concept (56-pt) cards'!$A$2:$BN$2,0))&amp;""</f>
        <v/>
      </c>
    </row>
    <row r="8" ht="30" customHeight="1">
      <c r="A8" s="24" t="inlineStr">
        <is>
          <t>Concept</t>
        </is>
      </c>
      <c r="B8" s="17">
        <f>INDEX('Code concept (56-pt) cards'!$A$3:$BN$47,MATCH($B$2,'Code concept (56-pt) cards'!$A$3:$A$47,0),MATCH("Concept",'Code concept (56-pt) cards'!$A$2:$BN$2,0))&amp;""</f>
        <v/>
      </c>
    </row>
    <row r="9" ht="30" customHeight="1">
      <c r="A9" s="24" t="inlineStr">
        <is>
          <t>Recall cue</t>
        </is>
      </c>
      <c r="B9" s="17">
        <f>INDEX('Code concept (56-pt) cards'!$A$3:$BN$47,MATCH($B$2,'Code concept (56-pt) cards'!$A$3:$A$47,0),MATCH("Recall cue",'Code concept (56-pt) cards'!$A$2:$BN$2,0))&amp;""</f>
        <v/>
      </c>
    </row>
    <row r="10" ht="30" customHeight="1">
      <c r="A10" s="24" t="inlineStr">
        <is>
          <t>Read aloud</t>
        </is>
      </c>
      <c r="B10" s="17">
        <f>INDEX('Code concept (56-pt) cards'!$A$3:$BN$47,MATCH($B$2,'Code concept (56-pt) cards'!$A$3:$A$47,0),MATCH("Read aloud",'Code concept (56-pt) cards'!$A$2:$BN$2,0))&amp;""</f>
        <v/>
      </c>
    </row>
    <row r="11" ht="30" customHeight="1">
      <c r="A11" s="24" t="inlineStr">
        <is>
          <t>Type</t>
        </is>
      </c>
      <c r="B11" s="17">
        <f>INDEX('Code concept (56-pt) cards'!$A$3:$BN$47,MATCH($B$2,'Code concept (56-pt) cards'!$A$3:$A$47,0),MATCH("Type",'Code concept (56-pt) cards'!$A$2:$BN$2,0))&amp;""</f>
        <v/>
      </c>
    </row>
    <row r="12" ht="30" customHeight="1">
      <c r="A12" s="24" t="inlineStr">
        <is>
          <t>How often used</t>
        </is>
      </c>
      <c r="B12" s="17">
        <f>INDEX('Code concept (56-pt) cards'!$A$3:$BN$47,MATCH($B$2,'Code concept (56-pt) cards'!$A$3:$A$47,0),MATCH("How often used",'Code concept (56-pt) cards'!$A$2:$BN$2,0))&amp;""</f>
        <v/>
      </c>
    </row>
    <row r="13" ht="30" customHeight="1">
      <c r="A13" s="24" t="inlineStr">
        <is>
          <t>Importance (1-5)</t>
        </is>
      </c>
      <c r="B13" s="17">
        <f>INDEX('Code concept (56-pt) cards'!$A$3:$BN$47,MATCH($B$2,'Code concept (56-pt) cards'!$A$3:$A$47,0),MATCH("Importance (1-5)",'Code concept (56-pt) cards'!$A$2:$BN$2,0))&amp;""</f>
        <v/>
      </c>
    </row>
    <row r="14" ht="30" customHeight="1">
      <c r="A14" s="24" t="inlineStr">
        <is>
          <t>Origin / why it exists</t>
        </is>
      </c>
      <c r="B14" s="17">
        <f>INDEX('Code concept (56-pt) cards'!$A$3:$BN$47,MATCH($B$2,'Code concept (56-pt) cards'!$A$3:$A$47,0),MATCH("Origin / why it exists",'Code concept (56-pt) cards'!$A$2:$BN$2,0))&amp;""</f>
        <v/>
      </c>
    </row>
    <row r="15" ht="30" customHeight="1">
      <c r="A15" s="24" t="inlineStr">
        <is>
          <t>Pro tip</t>
        </is>
      </c>
      <c r="B15" s="17">
        <f>INDEX('Code concept (56-pt) cards'!$A$3:$BN$47,MATCH($B$2,'Code concept (56-pt) cards'!$A$3:$A$47,0),MATCH("Pro tip",'Code concept (56-pt) cards'!$A$2:$BN$2,0))&amp;""</f>
        <v/>
      </c>
    </row>
    <row r="16" ht="30" customHeight="1">
      <c r="A16" s="24" t="inlineStr">
        <is>
          <t>Typing hint</t>
        </is>
      </c>
      <c r="B16" s="17">
        <f>INDEX('Code concept (56-pt) cards'!$A$3:$BN$47,MATCH($B$2,'Code concept (56-pt) cards'!$A$3:$A$47,0),MATCH("Typing hint",'Code concept (56-pt) cards'!$A$2:$BN$2,0))&amp;""</f>
        <v/>
      </c>
    </row>
    <row r="17" ht="30" customHeight="1">
      <c r="A17" s="24" t="inlineStr">
        <is>
          <t>Memory story</t>
        </is>
      </c>
      <c r="B17" s="17">
        <f>INDEX('Code concept (56-pt) cards'!$A$3:$BN$47,MATCH($B$2,'Code concept (56-pt) cards'!$A$3:$A$47,0),MATCH("Memory story",'Code concept (56-pt) cards'!$A$2:$BN$2,0))&amp;""</f>
        <v/>
      </c>
    </row>
    <row r="18" ht="30" customHeight="1">
      <c r="A18" s="24" t="inlineStr">
        <is>
          <t>Picture it</t>
        </is>
      </c>
      <c r="B18" s="17">
        <f>INDEX('Code concept (56-pt) cards'!$A$3:$BN$47,MATCH($B$2,'Code concept (56-pt) cards'!$A$3:$A$47,0),MATCH("Picture it",'Code concept (56-pt) cards'!$A$2:$BN$2,0))&amp;""</f>
        <v/>
      </c>
    </row>
    <row r="19" ht="30" customHeight="1">
      <c r="A19" s="24" t="inlineStr">
        <is>
          <t>Emotion hook</t>
        </is>
      </c>
      <c r="B19" s="17">
        <f>INDEX('Code concept (56-pt) cards'!$A$3:$BN$47,MATCH($B$2,'Code concept (56-pt) cards'!$A$3:$A$47,0),MATCH("Emotion hook",'Code concept (56-pt) cards'!$A$2:$BN$2,0))&amp;""</f>
        <v/>
      </c>
    </row>
    <row r="20" ht="30" customHeight="1">
      <c r="A20" s="24" t="inlineStr">
        <is>
          <t>Importance ★</t>
        </is>
      </c>
      <c r="B20" s="17">
        <f>INDEX('Code concept (56-pt) cards'!$A$3:$BN$47,MATCH($B$2,'Code concept (56-pt) cards'!$A$3:$A$47,0),MATCH("Importance ★",'Code concept (56-pt) cards'!$A$2:$BN$2,0))&amp;""</f>
        <v/>
      </c>
    </row>
    <row r="21">
      <c r="A21" s="25" t="inlineStr">
        <is>
          <t>BACK · Understanding (samjho)</t>
        </is>
      </c>
    </row>
    <row r="22" ht="30" customHeight="1">
      <c r="A22" s="24" t="inlineStr">
        <is>
          <t>Meaning (short)</t>
        </is>
      </c>
      <c r="B22" s="17">
        <f>INDEX('Code concept (56-pt) cards'!$A$3:$BN$47,MATCH($B$2,'Code concept (56-pt) cards'!$A$3:$A$47,0),MATCH("Meaning (short)",'Code concept (56-pt) cards'!$A$2:$BN$2,0))&amp;""</f>
        <v/>
      </c>
    </row>
    <row r="23" ht="30" customHeight="1">
      <c r="A23" s="24" t="inlineStr">
        <is>
          <t>Meaning in learner's language</t>
        </is>
      </c>
      <c r="B23" s="17">
        <f>INDEX('Code concept (56-pt) cards'!$A$3:$BN$47,MATCH($B$2,'Code concept (56-pt) cards'!$A$3:$A$47,0),MATCH("Meaning in learner's language",'Code concept (56-pt) cards'!$A$2:$BN$2,0))&amp;""</f>
        <v/>
      </c>
    </row>
    <row r="24" ht="189" customHeight="1">
      <c r="A24" s="24" t="inlineStr">
        <is>
          <t>Code</t>
        </is>
      </c>
      <c r="B24" s="26">
        <f>INDEX('Code concept (56-pt) cards'!$A$3:$BN$47,MATCH($B$2,'Code concept (56-pt) cards'!$A$3:$A$47,0),MATCH("Code",'Code concept (56-pt) cards'!$A$2:$BN$2,0))&amp;""</f>
        <v/>
      </c>
    </row>
    <row r="25" ht="30" customHeight="1">
      <c r="A25" s="24" t="inlineStr">
        <is>
          <t>Output</t>
        </is>
      </c>
      <c r="B25" s="26">
        <f>INDEX('Code concept (56-pt) cards'!$A$3:$BN$47,MATCH($B$2,'Code concept (56-pt) cards'!$A$3:$A$47,0),MATCH("Output",'Code concept (56-pt) cards'!$A$2:$BN$2,0))&amp;""</f>
        <v/>
      </c>
    </row>
    <row r="26" ht="54" customHeight="1">
      <c r="A26" s="24" t="inlineStr">
        <is>
          <t>Explanation</t>
        </is>
      </c>
      <c r="B26" s="17">
        <f>INDEX('Code concept (56-pt) cards'!$A$3:$BN$47,MATCH($B$2,'Code concept (56-pt) cards'!$A$3:$A$47,0),MATCH("Explanation",'Code concept (56-pt) cards'!$A$2:$BN$2,0))&amp;""</f>
        <v/>
      </c>
    </row>
    <row r="27" ht="30" customHeight="1">
      <c r="A27" s="24" t="inlineStr">
        <is>
          <t>Simple explanation (Hinglish)</t>
        </is>
      </c>
      <c r="B27" s="17">
        <f>INDEX('Code concept (56-pt) cards'!$A$3:$BN$47,MATCH($B$2,'Code concept (56-pt) cards'!$A$3:$A$47,0),MATCH("Simple explanation (Hinglish)",'Code concept (56-pt) cards'!$A$2:$BN$2,0))&amp;""</f>
        <v/>
      </c>
    </row>
    <row r="28" ht="30" customHeight="1">
      <c r="A28" s="24" t="inlineStr">
        <is>
          <t>Real-life analogy</t>
        </is>
      </c>
      <c r="B28" s="17">
        <f>INDEX('Code concept (56-pt) cards'!$A$3:$BN$47,MATCH($B$2,'Code concept (56-pt) cards'!$A$3:$A$47,0),MATCH("Real-life analogy",'Code concept (56-pt) cards'!$A$2:$BN$2,0))&amp;""</f>
        <v/>
      </c>
    </row>
    <row r="29" ht="30" customHeight="1">
      <c r="A29" s="24" t="inlineStr">
        <is>
          <t>Syntax pattern</t>
        </is>
      </c>
      <c r="B29" s="26">
        <f>INDEX('Code concept (56-pt) cards'!$A$3:$BN$47,MATCH($B$2,'Code concept (56-pt) cards'!$A$3:$A$47,0),MATCH("Syntax pattern",'Code concept (56-pt) cards'!$A$2:$BN$2,0))&amp;""</f>
        <v/>
      </c>
    </row>
    <row r="30" ht="30" customHeight="1">
      <c r="A30" s="24" t="inlineStr">
        <is>
          <t>Anatomy</t>
        </is>
      </c>
      <c r="B30" s="17">
        <f>INDEX('Code concept (56-pt) cards'!$A$3:$BN$47,MATCH($B$2,'Code concept (56-pt) cards'!$A$3:$A$47,0),MATCH("Anatomy",'Code concept (56-pt) cards'!$A$2:$BN$2,0))&amp;""</f>
        <v/>
      </c>
    </row>
    <row r="31" ht="30" customHeight="1">
      <c r="A31" s="24" t="inlineStr">
        <is>
          <t>Example 1</t>
        </is>
      </c>
      <c r="B31" s="26">
        <f>INDEX('Code concept (56-pt) cards'!$A$3:$BN$47,MATCH($B$2,'Code concept (56-pt) cards'!$A$3:$A$47,0),MATCH("Example 1",'Code concept (56-pt) cards'!$A$2:$BN$2,0))&amp;""</f>
        <v/>
      </c>
    </row>
    <row r="32" ht="30" customHeight="1">
      <c r="A32" s="24" t="inlineStr">
        <is>
          <t>Example 2</t>
        </is>
      </c>
      <c r="B32" s="26">
        <f>INDEX('Code concept (56-pt) cards'!$A$3:$BN$47,MATCH($B$2,'Code concept (56-pt) cards'!$A$3:$A$47,0),MATCH("Example 2",'Code concept (56-pt) cards'!$A$2:$BN$2,0))&amp;""</f>
        <v/>
      </c>
    </row>
    <row r="33" ht="30" customHeight="1">
      <c r="A33" s="24" t="inlineStr">
        <is>
          <t>Example 3</t>
        </is>
      </c>
      <c r="B33" s="26">
        <f>INDEX('Code concept (56-pt) cards'!$A$3:$BN$47,MATCH($B$2,'Code concept (56-pt) cards'!$A$3:$A$47,0),MATCH("Example 3",'Code concept (56-pt) cards'!$A$2:$BN$2,0))&amp;""</f>
        <v/>
      </c>
    </row>
    <row r="34" ht="30" customHeight="1">
      <c r="A34" s="24" t="inlineStr">
        <is>
          <t>Variation</t>
        </is>
      </c>
      <c r="B34" s="26">
        <f>INDEX('Code concept (56-pt) cards'!$A$3:$BN$47,MATCH($B$2,'Code concept (56-pt) cards'!$A$3:$A$47,0),MATCH("Variation",'Code concept (56-pt) cards'!$A$2:$BN$2,0))&amp;""</f>
        <v/>
      </c>
    </row>
    <row r="35" ht="30" customHeight="1">
      <c r="A35" s="24" t="inlineStr">
        <is>
          <t>Used with</t>
        </is>
      </c>
      <c r="B35" s="17">
        <f>INDEX('Code concept (56-pt) cards'!$A$3:$BN$47,MATCH($B$2,'Code concept (56-pt) cards'!$A$3:$A$47,0),MATCH("Used with",'Code concept (56-pt) cards'!$A$2:$BN$2,0))&amp;""</f>
        <v/>
      </c>
    </row>
    <row r="36" ht="30" customHeight="1">
      <c r="A36" s="24" t="inlineStr">
        <is>
          <t>Related concepts</t>
        </is>
      </c>
      <c r="B36" s="17">
        <f>INDEX('Code concept (56-pt) cards'!$A$3:$BN$47,MATCH($B$2,'Code concept (56-pt) cards'!$A$3:$A$47,0),MATCH("Related concepts",'Code concept (56-pt) cards'!$A$2:$BN$2,0))&amp;""</f>
        <v/>
      </c>
    </row>
    <row r="37" ht="30" customHeight="1">
      <c r="A37" s="24" t="inlineStr">
        <is>
          <t>Alternatives</t>
        </is>
      </c>
      <c r="B37" s="17">
        <f>INDEX('Code concept (56-pt) cards'!$A$3:$BN$47,MATCH($B$2,'Code concept (56-pt) cards'!$A$3:$A$47,0),MATCH("Alternatives",'Code concept (56-pt) cards'!$A$2:$BN$2,0))&amp;""</f>
        <v/>
      </c>
    </row>
    <row r="38" ht="30" customHeight="1">
      <c r="A38" s="24" t="inlineStr">
        <is>
          <t>Family / group</t>
        </is>
      </c>
      <c r="B38" s="17">
        <f>INDEX('Code concept (56-pt) cards'!$A$3:$BN$47,MATCH($B$2,'Code concept (56-pt) cards'!$A$3:$A$47,0),MATCH("Family / group",'Code concept (56-pt) cards'!$A$2:$BN$2,0))&amp;""</f>
        <v/>
      </c>
    </row>
    <row r="39" ht="30" customHeight="1">
      <c r="A39" s="24" t="inlineStr">
        <is>
          <t>Where it is used</t>
        </is>
      </c>
      <c r="B39" s="17">
        <f>INDEX('Code concept (56-pt) cards'!$A$3:$BN$47,MATCH($B$2,'Code concept (56-pt) cards'!$A$3:$A$47,0),MATCH("Where it is used",'Code concept (56-pt) cards'!$A$2:$BN$2,0))&amp;""</f>
        <v/>
      </c>
    </row>
    <row r="40" ht="30" customHeight="1">
      <c r="A40" s="24" t="inlineStr">
        <is>
          <t>Mini conversation</t>
        </is>
      </c>
      <c r="B40" s="17">
        <f>INDEX('Code concept (56-pt) cards'!$A$3:$BN$47,MATCH($B$2,'Code concept (56-pt) cards'!$A$3:$A$47,0),MATCH("Mini conversation",'Code concept (56-pt) cards'!$A$2:$BN$2,0))&amp;""</f>
        <v/>
      </c>
    </row>
    <row r="41" ht="30" customHeight="1">
      <c r="A41" s="24" t="inlineStr">
        <is>
          <t>Common mistake</t>
        </is>
      </c>
      <c r="B41" s="17">
        <f>INDEX('Code concept (56-pt) cards'!$A$3:$BN$47,MATCH($B$2,'Code concept (56-pt) cards'!$A$3:$A$47,0),MATCH("Common mistake",'Code concept (56-pt) cards'!$A$2:$BN$2,0))&amp;""</f>
        <v/>
      </c>
    </row>
    <row r="42" ht="30" customHeight="1">
      <c r="A42" s="24" t="inlineStr">
        <is>
          <t>Commonly confused with</t>
        </is>
      </c>
      <c r="B42" s="17">
        <f>INDEX('Code concept (56-pt) cards'!$A$3:$BN$47,MATCH($B$2,'Code concept (56-pt) cards'!$A$3:$A$47,0),MATCH("Commonly confused with",'Code concept (56-pt) cards'!$A$2:$BN$2,0))&amp;""</f>
        <v/>
      </c>
    </row>
    <row r="43" ht="30" customHeight="1">
      <c r="A43" s="24" t="inlineStr">
        <is>
          <t>Avoid / don't</t>
        </is>
      </c>
      <c r="B43" s="17">
        <f>INDEX('Code concept (56-pt) cards'!$A$3:$BN$47,MATCH($B$2,'Code concept (56-pt) cards'!$A$3:$A$47,0),MATCH("Avoid / don't",'Code concept (56-pt) cards'!$A$2:$BN$2,0))&amp;""</f>
        <v/>
      </c>
    </row>
    <row r="44" ht="30" customHeight="1">
      <c r="A44" s="24" t="inlineStr">
        <is>
          <t>Wrong code</t>
        </is>
      </c>
      <c r="B44" s="26">
        <f>INDEX('Code concept (56-pt) cards'!$A$3:$BN$47,MATCH($B$2,'Code concept (56-pt) cards'!$A$3:$A$47,0),MATCH("Wrong code",'Code concept (56-pt) cards'!$A$2:$BN$2,0))&amp;""</f>
        <v/>
      </c>
    </row>
    <row r="45" ht="30" customHeight="1">
      <c r="A45" s="24" t="inlineStr">
        <is>
          <t>Right code</t>
        </is>
      </c>
      <c r="B45" s="26">
        <f>INDEX('Code concept (56-pt) cards'!$A$3:$BN$47,MATCH($B$2,'Code concept (56-pt) cards'!$A$3:$A$47,0),MATCH("Right code",'Code concept (56-pt) cards'!$A$2:$BN$2,0))&amp;""</f>
        <v/>
      </c>
    </row>
    <row r="46" ht="30" customHeight="1">
      <c r="A46" s="24" t="inlineStr">
        <is>
          <t>Memory trick</t>
        </is>
      </c>
      <c r="B46" s="17">
        <f>INDEX('Code concept (56-pt) cards'!$A$3:$BN$47,MATCH($B$2,'Code concept (56-pt) cards'!$A$3:$A$47,0),MATCH("Memory trick",'Code concept (56-pt) cards'!$A$2:$BN$2,0))&amp;""</f>
        <v/>
      </c>
    </row>
    <row r="47" ht="30" customHeight="1">
      <c r="A47" s="24" t="inlineStr">
        <is>
          <t>Real life: project / work</t>
        </is>
      </c>
      <c r="B47" s="17">
        <f>INDEX('Code concept (56-pt) cards'!$A$3:$BN$47,MATCH($B$2,'Code concept (56-pt) cards'!$A$3:$A$47,0),MATCH("Real life: project / work",'Code concept (56-pt) cards'!$A$2:$BN$2,0))&amp;""</f>
        <v/>
      </c>
    </row>
    <row r="48" ht="30" customHeight="1">
      <c r="A48" s="24" t="inlineStr">
        <is>
          <t>Real life: interview / exam</t>
        </is>
      </c>
      <c r="B48" s="17">
        <f>INDEX('Code concept (56-pt) cards'!$A$3:$BN$47,MATCH($B$2,'Code concept (56-pt) cards'!$A$3:$A$47,0),MATCH("Real life: interview / exam",'Code concept (56-pt) cards'!$A$2:$BN$2,0))&amp;""</f>
        <v/>
      </c>
    </row>
    <row r="49" ht="30" customHeight="1">
      <c r="A49" s="24" t="inlineStr">
        <is>
          <t>Real life: daily life</t>
        </is>
      </c>
      <c r="B49" s="17">
        <f>INDEX('Code concept (56-pt) cards'!$A$3:$BN$47,MATCH($B$2,'Code concept (56-pt) cards'!$A$3:$A$47,0),MATCH("Real life: daily life",'Code concept (56-pt) cards'!$A$2:$BN$2,0))&amp;""</f>
        <v/>
      </c>
    </row>
    <row r="50">
      <c r="A50" s="27" t="inlineStr">
        <is>
          <t>PRACTICE · Khud karo</t>
        </is>
      </c>
    </row>
    <row r="51" ht="30" customHeight="1">
      <c r="A51" s="24" t="inlineStr">
        <is>
          <t>MCQ question</t>
        </is>
      </c>
      <c r="B51" s="17">
        <f>INDEX('Code concept (56-pt) cards'!$A$3:$BN$47,MATCH($B$2,'Code concept (56-pt) cards'!$A$3:$A$47,0),MATCH("MCQ question",'Code concept (56-pt) cards'!$A$2:$BN$2,0))&amp;""</f>
        <v/>
      </c>
    </row>
    <row r="52" ht="30" customHeight="1">
      <c r="A52" s="24" t="inlineStr">
        <is>
          <t>MCQ options</t>
        </is>
      </c>
      <c r="B52" s="17">
        <f>INDEX('Code concept (56-pt) cards'!$A$3:$BN$47,MATCH($B$2,'Code concept (56-pt) cards'!$A$3:$A$47,0),MATCH("MCQ options",'Code concept (56-pt) cards'!$A$2:$BN$2,0))&amp;""</f>
        <v/>
      </c>
    </row>
    <row r="53" ht="30" customHeight="1">
      <c r="A53" s="24" t="inlineStr">
        <is>
          <t>MCQ answer</t>
        </is>
      </c>
      <c r="B53" s="17">
        <f>INDEX('Code concept (56-pt) cards'!$A$3:$BN$47,MATCH($B$2,'Code concept (56-pt) cards'!$A$3:$A$47,0),MATCH("MCQ answer",'Code concept (56-pt) cards'!$A$2:$BN$2,0))&amp;""</f>
        <v/>
      </c>
    </row>
    <row r="54" ht="30" customHeight="1">
      <c r="A54" s="24" t="inlineStr">
        <is>
          <t>Why that answer</t>
        </is>
      </c>
      <c r="B54" s="17">
        <f>INDEX('Code concept (56-pt) cards'!$A$3:$BN$47,MATCH($B$2,'Code concept (56-pt) cards'!$A$3:$A$47,0),MATCH("Why that answer",'Code concept (56-pt) cards'!$A$2:$BN$2,0))&amp;""</f>
        <v/>
      </c>
    </row>
    <row r="55" ht="30" customHeight="1">
      <c r="A55" s="24" t="inlineStr">
        <is>
          <t>Fill the blank</t>
        </is>
      </c>
      <c r="B55" s="26">
        <f>INDEX('Code concept (56-pt) cards'!$A$3:$BN$47,MATCH($B$2,'Code concept (56-pt) cards'!$A$3:$A$47,0),MATCH("Fill the blank",'Code concept (56-pt) cards'!$A$2:$BN$2,0))&amp;""</f>
        <v/>
      </c>
    </row>
    <row r="56" ht="30" customHeight="1">
      <c r="A56" s="24" t="inlineStr">
        <is>
          <t>Try it yourself</t>
        </is>
      </c>
      <c r="B56" s="17">
        <f>INDEX('Code concept (56-pt) cards'!$A$3:$BN$47,MATCH($B$2,'Code concept (56-pt) cards'!$A$3:$A$47,0),MATCH("Try it yourself",'Code concept (56-pt) cards'!$A$2:$BN$2,0))&amp;""</f>
        <v/>
      </c>
    </row>
    <row r="57" ht="30" customHeight="1">
      <c r="A57" s="24" t="inlineStr">
        <is>
          <t>Task answer</t>
        </is>
      </c>
      <c r="B57" s="26">
        <f>INDEX('Code concept (56-pt) cards'!$A$3:$BN$47,MATCH($B$2,'Code concept (56-pt) cards'!$A$3:$A$47,0),MATCH("Task answer",'Code concept (56-pt) cards'!$A$2:$BN$2,0))&amp;""</f>
        <v/>
      </c>
    </row>
    <row r="58" ht="30" customHeight="1">
      <c r="A58" s="24" t="inlineStr">
        <is>
          <t>Write your own</t>
        </is>
      </c>
      <c r="B58" s="17">
        <f>INDEX('Code concept (56-pt) cards'!$A$3:$BN$47,MATCH($B$2,'Code concept (56-pt) cards'!$A$3:$A$47,0),MATCH("Write your own",'Code concept (56-pt) cards'!$A$2:$BN$2,0))&amp;""</f>
        <v/>
      </c>
    </row>
    <row r="59" ht="30" customHeight="1">
      <c r="A59" s="24" t="inlineStr">
        <is>
          <t>Practice question</t>
        </is>
      </c>
      <c r="B59" s="26">
        <f>INDEX('Code concept (56-pt) cards'!$A$3:$BN$47,MATCH($B$2,'Code concept (56-pt) cards'!$A$3:$A$47,0),MATCH("Practice question",'Code concept (56-pt) cards'!$A$2:$BN$2,0))&amp;""</f>
        <v/>
      </c>
    </row>
    <row r="60" ht="30" customHeight="1">
      <c r="A60" s="24" t="inlineStr">
        <is>
          <t>Practice answer</t>
        </is>
      </c>
      <c r="B60" s="26">
        <f>INDEX('Code concept (56-pt) cards'!$A$3:$BN$47,MATCH($B$2,'Code concept (56-pt) cards'!$A$3:$A$47,0),MATCH("Practice answer",'Code concept (56-pt) cards'!$A$2:$BN$2,0))&amp;""</f>
        <v/>
      </c>
    </row>
    <row r="61" ht="30" customHeight="1">
      <c r="A61" s="24" t="inlineStr">
        <is>
          <t>Quick recall (reverse)</t>
        </is>
      </c>
      <c r="B61" s="17">
        <f>INDEX('Code concept (56-pt) cards'!$A$3:$BN$47,MATCH($B$2,'Code concept (56-pt) cards'!$A$3:$A$47,0),MATCH("Quick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cards'!$A$3:$A$47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21.5" customHeight="1">
      <c r="A3" s="17" t="inlineStr">
        <is>
          <t>DKR-001</t>
        </is>
      </c>
      <c r="B3" s="17" t="inlineStr">
        <is>
          <t>01 Basics</t>
        </is>
      </c>
      <c r="C3" s="17" t="inlineStr">
        <is>
          <t>Beginner</t>
        </is>
      </c>
      <c r="D3" s="17" t="n">
        <v>1</v>
      </c>
      <c r="E3" s="17" t="inlineStr">
        <is>
          <t>Claude knowledge</t>
        </is>
      </c>
      <c r="F3" s="18" t="inlineStr">
        <is>
          <t>Containers vs virtual machines</t>
        </is>
      </c>
      <c r="G3" s="18" t="inlineStr">
        <is>
          <t>Which two ways of isolating software differ in that one shares the host's kernel and the other runs a whole guest operating system?</t>
        </is>
      </c>
      <c r="H3" s="18" t="inlineStr">
        <is>
          <t>Core concept</t>
        </is>
      </c>
      <c r="I3" s="18" t="inlineStr">
        <is>
          <t>Very high</t>
        </is>
      </c>
      <c r="J3" s="18" t="n">
        <v>5</v>
      </c>
      <c r="K3" s="18" t="inlineStr">
        <is>
          <t>Virtual machines gave isolation but were heavy, so containers arrived as a lighter way to package an application with its dependencies on top of a shared operating system kernel.</t>
        </is>
      </c>
      <c r="L3" s="18" t="inlineStr">
        <is>
          <t>Choose a container for packaging one application, and a virtual machine when you need a different kernel or strong isolation.</t>
        </is>
      </c>
      <c r="M3" s="18" t="inlineStr">
        <is>
          <t>A virtual machine is a whole separate house, and a container is a flat in a shared building.</t>
        </is>
      </c>
      <c r="N3" s="18" t="inlineStr">
        <is>
          <t>Stacked boxes on one host, one set with a full operating system each and another set sharing a single base.</t>
        </is>
      </c>
      <c r="O3" s="18" t="inlineStr">
        <is>
          <t>The relief of an app that runs the same everywhere.</t>
        </is>
      </c>
      <c r="P3" s="18" t="inlineStr">
        <is>
          <t>A container packages an application and its dependencies and runs as an isolated process sharing the host kernel, while a virtual machine runs a full guest operating system on virtual hardware.</t>
        </is>
      </c>
      <c r="Q3" s="17" t="n"/>
      <c r="R3" s="18" t="inlineStr">
        <is>
          <t>Containers start in seconds and use little memory, because there is no guest operating system to boot. Virtual machines have stronger isolation and can run different operating systems, but they use more resources. Containers rely on Linux features such as namespaces and cgroups. On Windows and macOS, Docker Desktop runs containers inside a lightweight virtual machine.</t>
        </is>
      </c>
      <c r="S3" s="18" t="inlineStr">
        <is>
          <t>A container is a packaged app that runs as an isolated process on the host. It is lighter and faster than a virtual machine, but it shares the host's kernel.</t>
        </is>
      </c>
      <c r="T3" s="18" t="inlineStr">
        <is>
          <t>A virtual machine is a separate house, and a container is a flat in a shared building.</t>
        </is>
      </c>
      <c r="U3" s="18" t="inlineStr">
        <is>
          <t>VM = own operating system. Container = shared kernel, isolated process.</t>
        </is>
      </c>
      <c r="V3" s="18" t="inlineStr">
        <is>
          <t>Running a web app in a container that starts in a second or two.</t>
        </is>
      </c>
      <c r="W3" s="18" t="inlineStr">
        <is>
          <t>Running a full Windows machine in a virtual machine on a Linux host.</t>
        </is>
      </c>
      <c r="X3" s="18" t="inlineStr">
        <is>
          <t>Docker Desktop on a laptop using a small virtual machine to host Linux containers.</t>
        </is>
      </c>
      <c r="Y3" s="18" t="inlineStr">
        <is>
          <t>images and containers, Docker Engine, Linux namespaces, cloud</t>
        </is>
      </c>
      <c r="Z3" s="18" t="inlineStr">
        <is>
          <t>container, virtual machine, kernel, isolation, hypervisor</t>
        </is>
      </c>
      <c r="AA3" s="18" t="inlineStr">
        <is>
          <t>Packaging apps | Cloud deployments | Customer environments</t>
        </is>
      </c>
      <c r="AB3" s="18" t="inlineStr">
        <is>
          <t>A: Why not just use a virtual machine for each app? | B: Containers start faster and use far less memory since they share the kernel.</t>
        </is>
      </c>
      <c r="AC3" s="18" t="inlineStr">
        <is>
          <t>✗ A container is a tiny virtual machine with its own operating system → ✓ A container is an isolated process that shares the host's kernel</t>
        </is>
      </c>
      <c r="AD3" s="18" t="inlineStr">
        <is>
          <t>Container vs virtual machine: a container shares the kernel and is lightweight, a virtual machine has its own operating system and is heavier.</t>
        </is>
      </c>
      <c r="AE3" s="18" t="inlineStr">
        <is>
          <t>Do not treat containers as a strong security boundary on their own.</t>
        </is>
      </c>
      <c r="AF3" s="18" t="inlineStr">
        <is>
          <t>Containers share the kernel and virtual machines do not.</t>
        </is>
      </c>
      <c r="AG3" s="18" t="inlineStr">
        <is>
          <t>Packaging a customer integration as a container so it runs the same on any server.</t>
        </is>
      </c>
      <c r="AH3" s="18" t="inlineStr">
        <is>
          <t>An interviewer may ask: What is the difference between a container and a virtual machine?</t>
        </is>
      </c>
      <c r="AI3" s="18" t="inlineStr">
        <is>
          <t>It is like a flat in a shared building versus a separate house.</t>
        </is>
      </c>
      <c r="AJ3" s="18" t="inlineStr">
        <is>
          <t>What do containers on the same host share?</t>
        </is>
      </c>
      <c r="AK3" s="18" t="inlineStr">
        <is>
          <t>A) A guest operating system each B) Nothing at all C) The host kernel D) A hypervisor only</t>
        </is>
      </c>
      <c r="AL3" s="18" t="inlineStr">
        <is>
          <t>C</t>
        </is>
      </c>
      <c r="AM3" s="18" t="inlineStr">
        <is>
          <t>Containers are isolated processes running on the same host kernel.</t>
        </is>
      </c>
      <c r="AN3" s="18" t="inlineStr">
        <is>
          <t>A virtual machine runs a full guest ____ system → operating</t>
        </is>
      </c>
      <c r="AO3" s="18" t="inlineStr">
        <is>
          <t>Which option starts faster and uses less memory for one app? → A container</t>
        </is>
      </c>
      <c r="AP3" s="18" t="inlineStr">
        <is>
          <t>Explain containers versus virtual machines in three lines.</t>
        </is>
      </c>
      <c r="AQ3" s="18" t="inlineStr">
        <is>
          <t>List two cases where you would pick a virtual machine instead of a container.</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08" customHeight="1">
      <c r="A4" s="17" t="inlineStr">
        <is>
          <t>DKR-002</t>
        </is>
      </c>
      <c r="B4" s="17" t="inlineStr">
        <is>
          <t>01 Basics</t>
        </is>
      </c>
      <c r="C4" s="17" t="inlineStr">
        <is>
          <t>Beginner</t>
        </is>
      </c>
      <c r="D4" s="17" t="n">
        <v>2</v>
      </c>
      <c r="E4" s="17" t="inlineStr">
        <is>
          <t>Claude knowledge</t>
        </is>
      </c>
      <c r="F4" s="18" t="inlineStr">
        <is>
          <t>Images vs containers</t>
        </is>
      </c>
      <c r="G4" s="18" t="inlineStr">
        <is>
          <t>Which is the read-only template with your app and its files, and which is the running instance created from it?</t>
        </is>
      </c>
      <c r="H4" s="18" t="inlineStr">
        <is>
          <t>Core concept</t>
        </is>
      </c>
      <c r="I4" s="18" t="inlineStr">
        <is>
          <t>Very high</t>
        </is>
      </c>
      <c r="J4" s="18" t="n">
        <v>5</v>
      </c>
      <c r="K4" s="18" t="inlineStr">
        <is>
          <t>To start the same app many times in the same way, Docker separates a fixed package, the image, from the live running copy, the container.</t>
        </is>
      </c>
      <c r="L4" s="18" t="inlineStr">
        <is>
          <t>Think of one image as many possible containers, each with its own writable layer.</t>
        </is>
      </c>
      <c r="M4" s="18" t="inlineStr">
        <is>
          <t>An image is a recipe plus ingredients packed in a box, and a container is the dish cooked from it.</t>
        </is>
      </c>
      <c r="N4" s="18" t="inlineStr">
        <is>
          <t>One image box with several containers coming out of it, each with its own scratch layer on top.</t>
        </is>
      </c>
      <c r="O4" s="18" t="inlineStr">
        <is>
          <t>The clarity of seeing the build and run steps as separate.</t>
        </is>
      </c>
      <c r="P4" s="18" t="inlineStr">
        <is>
          <t>A Docker image is a read-only, layered template containing an application and its dependencies, and a container is a running instance of an image with a writable layer on top.</t>
        </is>
      </c>
      <c r="Q4" s="17" t="n"/>
      <c r="R4" s="18" t="inlineStr">
        <is>
          <t>Images are built from a Dockerfile and stored in layers that can be shared. When you run an image, Docker adds a thin writable layer and starts the process. Changes made inside a container live in that layer and disappear when the container is removed, unless they are stored in a volume. Many containers can run from one image.</t>
        </is>
      </c>
      <c r="S4" s="18" t="inlineStr">
        <is>
          <t>Build once to get an image, then run it as many times as you like to get containers. Deleting a container does not delete the image.</t>
        </is>
      </c>
      <c r="T4" s="18" t="inlineStr">
        <is>
          <t>An image is a recipe with ingredients packed in a box, and a container is the dish cooked from it.</t>
        </is>
      </c>
      <c r="U4" s="18" t="inlineStr">
        <is>
          <t>Dockerfile → build → image → run → container</t>
        </is>
      </c>
      <c r="V4" s="18" t="inlineStr">
        <is>
          <t>The nginx image used to start three separate web server containers.</t>
        </is>
      </c>
      <c r="W4" s="18" t="inlineStr">
        <is>
          <t>A container that writes a file, which is gone after the container is removed.</t>
        </is>
      </c>
      <c r="X4" s="18" t="inlineStr">
        <is>
          <t>Rebuilding an image after a code change and starting a new container from it.</t>
        </is>
      </c>
      <c r="Y4" s="18" t="inlineStr">
        <is>
          <t>Dockerfile, registries, volumes, docker run</t>
        </is>
      </c>
      <c r="Z4" s="18" t="inlineStr">
        <is>
          <t>image, container, layer, tag, instance</t>
        </is>
      </c>
      <c r="AA4" s="18" t="inlineStr">
        <is>
          <t>Building and shipping apps | Running services | Testing</t>
        </is>
      </c>
      <c r="AB4" s="18" t="inlineStr">
        <is>
          <t>A: I removed the container, did I lose the image? | B: No, the image stays and you can start a new container from it.</t>
        </is>
      </c>
      <c r="AC4" s="18" t="inlineStr">
        <is>
          <t>✗ Changes I make inside a running container are saved in the image → ✓ Changes live in the container's writable layer, and the image stays unchanged</t>
        </is>
      </c>
      <c r="AD4" s="18" t="inlineStr">
        <is>
          <t>Image vs container: an image is the fixed template, a container is a running copy of it.</t>
        </is>
      </c>
      <c r="AE4" s="18" t="inlineStr">
        <is>
          <t>Do not store important data only inside a container.</t>
        </is>
      </c>
      <c r="AF4" s="18" t="inlineStr">
        <is>
          <t>An image is built and a container is run.</t>
        </is>
      </c>
      <c r="AG4" s="18" t="inlineStr">
        <is>
          <t>Building one image of an integration service and running it in test and production.</t>
        </is>
      </c>
      <c r="AH4" s="18" t="inlineStr">
        <is>
          <t>An interviewer may ask: What is the difference between a Docker image and a container?</t>
        </is>
      </c>
      <c r="AI4" s="18" t="inlineStr">
        <is>
          <t>It is like a recipe in a box versus the dish cooked from it.</t>
        </is>
      </c>
      <c r="AJ4" s="18" t="inlineStr">
        <is>
          <t>What is a container?</t>
        </is>
      </c>
      <c r="AK4" s="18" t="inlineStr">
        <is>
          <t>A) A running instance of an image B) A registry C) A network D) A file format</t>
        </is>
      </c>
      <c r="AL4" s="18" t="inlineStr">
        <is>
          <t>A</t>
        </is>
      </c>
      <c r="AM4" s="18" t="inlineStr">
        <is>
          <t>A container is created by running an image.</t>
        </is>
      </c>
      <c r="AN4" s="18" t="inlineStr">
        <is>
          <t>A container adds a writable ____ on top of the image layers → layer</t>
        </is>
      </c>
      <c r="AO4" s="18" t="inlineStr">
        <is>
          <t>How do you get a second copy of the same app running? → Start another container from the same image</t>
        </is>
      </c>
      <c r="AP4" s="18" t="inlineStr">
        <is>
          <t>Explain images and containers in three lines.</t>
        </is>
      </c>
      <c r="AQ4" s="18" t="inlineStr">
        <is>
          <t>Write what happens to data inside a container after it is removed.</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21.5" customHeight="1">
      <c r="A5" s="17" t="inlineStr">
        <is>
          <t>DKR-003</t>
        </is>
      </c>
      <c r="B5" s="17" t="inlineStr">
        <is>
          <t>01 Basics</t>
        </is>
      </c>
      <c r="C5" s="17" t="inlineStr">
        <is>
          <t>Beginner</t>
        </is>
      </c>
      <c r="D5" s="17" t="n">
        <v>3</v>
      </c>
      <c r="E5" s="17" t="inlineStr">
        <is>
          <t>Claude knowledge</t>
        </is>
      </c>
      <c r="F5" s="18" t="inlineStr">
        <is>
          <t>Docker Engine and the docker CLI</t>
        </is>
      </c>
      <c r="G5" s="18" t="inlineStr">
        <is>
          <t>Which background service builds and runs containers, and which command talks to it?</t>
        </is>
      </c>
      <c r="H5" s="18" t="inlineStr">
        <is>
          <t>Core concept</t>
        </is>
      </c>
      <c r="I5" s="18" t="inlineStr">
        <is>
          <t>Very high</t>
        </is>
      </c>
      <c r="J5" s="18" t="n">
        <v>4</v>
      </c>
      <c r="K5" s="18" t="inlineStr">
        <is>
          <t>Docker uses a client and server design, so the command you type only sends requests to a background service that does the real work.</t>
        </is>
      </c>
      <c r="L5" s="18" t="inlineStr">
        <is>
          <t>If docker commands say they cannot connect, check whether the daemon is running and whether your user may access it.</t>
        </is>
      </c>
      <c r="M5" s="18" t="inlineStr">
        <is>
          <t>The docker command is the waiter taking your order, and the daemon is the kitchen that cooks.</t>
        </is>
      </c>
      <c r="N5" s="18" t="inlineStr">
        <is>
          <t>A terminal sending a request through a socket to a service that manages containers.</t>
        </is>
      </c>
      <c r="O5" s="18" t="inlineStr">
        <is>
          <t>The comfort of understanding what happens behind each command.</t>
        </is>
      </c>
      <c r="P5" s="18" t="inlineStr">
        <is>
          <t>Docker Engine is the daemon (dockerd) that builds, runs and manages containers, and the docker CLI is the client that sends it commands through an API.</t>
        </is>
      </c>
      <c r="Q5" s="17" t="n"/>
      <c r="R5" s="18" t="inlineStr">
        <is>
          <t>The daemon manages images, containers, networks and volumes, and uses lower-level runtimes such as containerd to start containers. The CLI talks to it over a Unix socket on Linux, usually /var/run/docker.sock. Access to that socket is equal to root access on the host, so treat it carefully. Docker Desktop bundles the engine and CLI for Windows and macOS.</t>
        </is>
      </c>
      <c r="S5" s="18" t="inlineStr">
        <is>
          <t>You type docker commands, and the daemon does the work. If the daemon is not running or you lack access, the commands fail.</t>
        </is>
      </c>
      <c r="T5" s="18" t="inlineStr">
        <is>
          <t>The docker command is the waiter, and the daemon is the kitchen that cooks.</t>
        </is>
      </c>
      <c r="U5" s="18" t="inlineStr">
        <is>
          <t>docker CLI → API → Docker daemon → containerd → container</t>
        </is>
      </c>
      <c r="V5" s="18" t="inlineStr">
        <is>
          <t>docker ps asking the daemon to list running containers.</t>
        </is>
      </c>
      <c r="W5" s="18" t="inlineStr">
        <is>
          <t>A permission denied error on the Docker socket for a user not in the docker group.</t>
        </is>
      </c>
      <c r="X5" s="18" t="inlineStr">
        <is>
          <t>Docker Desktop starting the engine in the background on a laptop.</t>
        </is>
      </c>
      <c r="Y5" s="18" t="inlineStr">
        <is>
          <t>images and containers, docker run, security, Docker Desktop</t>
        </is>
      </c>
      <c r="Z5" s="18" t="inlineStr">
        <is>
          <t>daemon, dockerd, CLI, socket, containerd</t>
        </is>
      </c>
      <c r="AA5" s="18" t="inlineStr">
        <is>
          <t>Every Docker task | Troubleshooting | Remote Docker hosts</t>
        </is>
      </c>
      <c r="AB5" s="18" t="inlineStr">
        <is>
          <t>A: Docker says it cannot connect to the daemon. | B: Check that the service is running and that your user has access to the socket.</t>
        </is>
      </c>
      <c r="AC5" s="18" t="inlineStr">
        <is>
          <t>✗ The docker command itself runs the containers → ✓ The docker CLI only sends requests, and the daemon runs the containers</t>
        </is>
      </c>
      <c r="AD5" s="18" t="inlineStr">
        <is>
          <t>CLI vs daemon: the CLI is the client you type into, the daemon is the service that does the work.</t>
        </is>
      </c>
      <c r="AE5" s="18" t="inlineStr">
        <is>
          <t>Do not mount the Docker socket into containers without understanding the risk.</t>
        </is>
      </c>
      <c r="AF5" s="18" t="inlineStr">
        <is>
          <t>The CLI asks and the daemon acts.</t>
        </is>
      </c>
      <c r="AG5" s="18" t="inlineStr">
        <is>
          <t>Fixing a permission problem so a deployment user could use the Docker socket.</t>
        </is>
      </c>
      <c r="AH5" s="18" t="inlineStr">
        <is>
          <t>An interviewer may ask: What happens when you run a docker command?</t>
        </is>
      </c>
      <c r="AI5" s="18" t="inlineStr">
        <is>
          <t>It is like a waiter taking an order to the kitchen.</t>
        </is>
      </c>
      <c r="AJ5" s="18" t="inlineStr">
        <is>
          <t>Which component actually runs containers?</t>
        </is>
      </c>
      <c r="AK5" s="18" t="inlineStr">
        <is>
          <t>A) The Dockerfile B) The docker CLI C) The registry D) The Docker daemon</t>
        </is>
      </c>
      <c r="AL5" s="18" t="inlineStr">
        <is>
          <t>D</t>
        </is>
      </c>
      <c r="AM5" s="18" t="inlineStr">
        <is>
          <t>The daemon builds and runs containers, and the CLI only sends requests.</t>
        </is>
      </c>
      <c r="AN5" s="18" t="inlineStr">
        <is>
          <t>The Docker background service is called the ____ → daemon</t>
        </is>
      </c>
      <c r="AO5" s="18" t="inlineStr">
        <is>
          <t>Docker cannot connect to the daemon. What do you check first? → Whether the daemon is running and your user has access</t>
        </is>
      </c>
      <c r="AP5" s="18" t="inlineStr">
        <is>
          <t>Explain the Docker CLI and daemon in three lines.</t>
        </is>
      </c>
      <c r="AQ5" s="18" t="inlineStr">
        <is>
          <t>Find out how docker is installed on your machine and where its socket is.</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94.5" customHeight="1">
      <c r="A6" s="17" t="inlineStr">
        <is>
          <t>DKR-004</t>
        </is>
      </c>
      <c r="B6" s="17" t="inlineStr">
        <is>
          <t>01 Basics</t>
        </is>
      </c>
      <c r="C6" s="17" t="inlineStr">
        <is>
          <t>Beginner</t>
        </is>
      </c>
      <c r="D6" s="17" t="n">
        <v>4</v>
      </c>
      <c r="E6" s="17" t="inlineStr">
        <is>
          <t>Claude knowledge</t>
        </is>
      </c>
      <c r="F6" s="18" t="inlineStr">
        <is>
          <t>Registries and Docker Hub</t>
        </is>
      </c>
      <c r="G6" s="18" t="inlineStr">
        <is>
          <t>Where are images stored and shared so that other machines can pull them?</t>
        </is>
      </c>
      <c r="H6" s="18" t="inlineStr">
        <is>
          <t>Core concept</t>
        </is>
      </c>
      <c r="I6" s="18" t="inlineStr">
        <is>
          <t>Very high</t>
        </is>
      </c>
      <c r="J6" s="18" t="n">
        <v>5</v>
      </c>
      <c r="K6" s="18" t="inlineStr">
        <is>
          <t>Images must reach servers and teammates, so they are pushed to a registry, a storage and distribution service, of which Docker Hub is the best known.</t>
        </is>
      </c>
      <c r="L6" s="18" t="inlineStr">
        <is>
          <t>Use a private registry for company images, and log in with docker login before pushing.</t>
        </is>
      </c>
      <c r="M6" s="18" t="inlineStr">
        <is>
          <t>A registry is a library of image boxes that any machine can borrow from.</t>
        </is>
      </c>
      <c r="N6" s="18" t="inlineStr">
        <is>
          <t>Machines pulling image boxes from a shared shelf in the cloud.</t>
        </is>
      </c>
      <c r="O6" s="18" t="inlineStr">
        <is>
          <t>The ease of fetching a ready-made image with one command.</t>
        </is>
      </c>
      <c r="P6" s="18" t="inlineStr">
        <is>
          <t>A registry is a service that stores and distributes container images, such as Docker Hub, GitHub Container Registry, Amazon ECR or a private registry.</t>
        </is>
      </c>
      <c r="Q6" s="17" t="n"/>
      <c r="R6" s="18" t="inlineStr">
        <is>
          <t>Image names include the registry, the repository and a tag, such as ghcr.io/acme/api:1.2. When no registry is given, Docker Hub is used. Public images can be pulled without logging in, and private ones need credentials. Pushing needs the image to be tagged with the registry and repository name first.</t>
        </is>
      </c>
      <c r="S6" s="18" t="inlineStr">
        <is>
          <t>A registry is where images live. You pull from it to run images and push to it to share your own.</t>
        </is>
      </c>
      <c r="T6" s="18" t="inlineStr">
        <is>
          <t>It is like a library of image boxes that any machine can borrow.</t>
        </is>
      </c>
      <c r="U6" s="18" t="inlineStr">
        <is>
          <t>registry/repository:tag</t>
        </is>
      </c>
      <c r="V6" s="18" t="inlineStr">
        <is>
          <t>docker pull nginx fetches the nginx image from Docker Hub.</t>
        </is>
      </c>
      <c r="W6" s="18" t="inlineStr">
        <is>
          <t>ghcr.io/acme/api:1.2 names an image in GitHub Container Registry.</t>
        </is>
      </c>
      <c r="X6" s="18" t="inlineStr">
        <is>
          <t>A company running its own private registry for internal images.</t>
        </is>
      </c>
      <c r="Y6" s="18" t="inlineStr">
        <is>
          <t>tags and digests, docker pull and push, CI/CD, security</t>
        </is>
      </c>
      <c r="Z6" s="18" t="inlineStr">
        <is>
          <t>registry, repository, tag, Docker Hub, pull, push</t>
        </is>
      </c>
      <c r="AA6" s="18" t="inlineStr">
        <is>
          <t>Sharing images | CI/CD pipelines | Production deployments</t>
        </is>
      </c>
      <c r="AB6" s="18" t="inlineStr">
        <is>
          <t>A: How does the server get our image? | B: CI pushes it to the registry and the server pulls it from there.</t>
        </is>
      </c>
      <c r="AC6" s="18" t="inlineStr">
        <is>
          <t>✗ Docker Hub is the only place to store Docker images → ✓ Many registries exist, including cloud provider registries and private ones</t>
        </is>
      </c>
      <c r="AD6" s="18" t="inlineStr">
        <is>
          <t>Registry vs repository: the registry is the whole service, a repository holds the versions of one image.</t>
        </is>
      </c>
      <c r="AE6" s="18" t="inlineStr">
        <is>
          <t>Do not push images that contain secrets to a public registry.</t>
        </is>
      </c>
      <c r="AF6" s="18" t="inlineStr">
        <is>
          <t>A registry stores images to pull and push.</t>
        </is>
      </c>
      <c r="AG6" s="18" t="inlineStr">
        <is>
          <t>Pushing build artefacts to a private registry that customer servers can pull from.</t>
        </is>
      </c>
      <c r="AH6" s="18" t="inlineStr">
        <is>
          <t>An interviewer may ask: What is a container registry?</t>
        </is>
      </c>
      <c r="AI6" s="18" t="inlineStr">
        <is>
          <t>It is like a library of boxes that any machine can borrow.</t>
        </is>
      </c>
      <c r="AJ6" s="18" t="inlineStr">
        <is>
          <t>Which registry does Docker use when an image name has no registry?</t>
        </is>
      </c>
      <c r="AK6" s="18" t="inlineStr">
        <is>
          <t>A) None B) Docker Hub C) A local folder D) GitHub only</t>
        </is>
      </c>
      <c r="AL6" s="18" t="inlineStr">
        <is>
          <t>B</t>
        </is>
      </c>
      <c r="AM6" s="18" t="inlineStr">
        <is>
          <t>Docker Hub is the default registry.</t>
        </is>
      </c>
      <c r="AN6" s="18" t="inlineStr">
        <is>
          <t>An image name has the form registry/repository: ____ → tag</t>
        </is>
      </c>
      <c r="AO6" s="18" t="inlineStr">
        <is>
          <t>How does a server get a new image version? → It pulls the image from the registry</t>
        </is>
      </c>
      <c r="AP6" s="18" t="inlineStr">
        <is>
          <t>Explain registries in three lines.</t>
        </is>
      </c>
      <c r="AQ6" s="18" t="inlineStr">
        <is>
          <t>Write the full name of an image in a private registry.</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21.5" customHeight="1">
      <c r="A7" s="17" t="inlineStr">
        <is>
          <t>DKR-013</t>
        </is>
      </c>
      <c r="B7" s="17" t="inlineStr">
        <is>
          <t>02 Dockerfile</t>
        </is>
      </c>
      <c r="C7" s="17" t="inlineStr">
        <is>
          <t>Intermediate</t>
        </is>
      </c>
      <c r="D7" s="17" t="n">
        <v>13</v>
      </c>
      <c r="E7" s="17" t="inlineStr">
        <is>
          <t>Claude knowledge</t>
        </is>
      </c>
      <c r="F7" s="18" t="inlineStr">
        <is>
          <t>Layers and the build cache</t>
        </is>
      </c>
      <c r="G7" s="18" t="inlineStr">
        <is>
          <t>Why does changing one early line of a Dockerfile make Docker rebuild everything after it, and how do you order lines to avoid that?</t>
        </is>
      </c>
      <c r="H7" s="18" t="inlineStr">
        <is>
          <t>Build concept</t>
        </is>
      </c>
      <c r="I7" s="18" t="inlineStr">
        <is>
          <t>Very high</t>
        </is>
      </c>
      <c r="J7" s="18" t="n">
        <v>5</v>
      </c>
      <c r="K7" s="18" t="inlineStr">
        <is>
          <t>To avoid repeating unchanged work, Docker saves each instruction's result as a layer and reuses it when the instruction and its inputs have not changed.</t>
        </is>
      </c>
      <c r="L7" s="18" t="inlineStr">
        <is>
          <t>Put the instructions that change rarely, such as installing dependencies, before those that change often, such as copying your code.</t>
        </is>
      </c>
      <c r="M7" s="18" t="inlineStr">
        <is>
          <t>Layers are floors of a building, and if you change a lower floor, every floor above has to be rebuilt.</t>
        </is>
      </c>
      <c r="N7" s="18" t="inlineStr">
        <is>
          <t>A stack of layers where everything above a changed layer is marked as rebuilt.</t>
        </is>
      </c>
      <c r="O7" s="18" t="inlineStr">
        <is>
          <t>The joy of a build that finishes in seconds thanks to the cache.</t>
        </is>
      </c>
      <c r="P7" s="18" t="inlineStr">
        <is>
          <t>Each Dockerfile instruction creates a layer, and Docker reuses a cached layer when the instruction and its inputs are unchanged, but rebuilds all later layers once one layer changes.</t>
        </is>
      </c>
      <c r="Q7" s="17" t="n"/>
      <c r="R7" s="18" t="inlineStr">
        <is>
          <t>For COPY, the cache checks the content of the files. Once any layer is rebuilt, all layers after it are rebuilt too. The usual pattern is to copy only the dependency list, install dependencies, and then copy the application code, so code edits do not reinstall dependencies. Layers are also shared between images, which saves disk space and download time.</t>
        </is>
      </c>
      <c r="S7" s="18" t="inlineStr">
        <is>
          <t>Order the Dockerfile from least to most frequently changing. Then Docker reuses the slow steps and rebuilds only what changed.</t>
        </is>
      </c>
      <c r="T7" s="18" t="inlineStr">
        <is>
          <t>Layers are floors of a building, and changing a lower floor means rebuilding all floors above.</t>
        </is>
      </c>
      <c r="U7" s="18" t="inlineStr">
        <is>
          <t>Rarely changing first, often changing last</t>
        </is>
      </c>
      <c r="V7" s="18" t="inlineStr">
        <is>
          <t>Copying package.json and running npm ci before copying the source code.</t>
        </is>
      </c>
      <c r="W7" s="18" t="inlineStr">
        <is>
          <t>Using --no-cache to force a full rebuild.</t>
        </is>
      </c>
      <c r="X7" s="18" t="inlineStr">
        <is>
          <t>Two images sharing the same base layers on disk.</t>
        </is>
      </c>
      <c r="Y7" s="18" t="inlineStr">
        <is>
          <t>COPY, RUN, multi-stage builds, BuildKit</t>
        </is>
      </c>
      <c r="Z7" s="18" t="inlineStr">
        <is>
          <t>layer, cache, rebuild, invalidation</t>
        </is>
      </c>
      <c r="AA7" s="18" t="inlineStr">
        <is>
          <t>Faster builds | CI pipelines | Image size</t>
        </is>
      </c>
      <c r="AB7" s="18" t="inlineStr">
        <is>
          <t>A: Every small code change reinstalls all dependencies. | B: Copy the dependency file and install before you copy the code.</t>
        </is>
      </c>
      <c r="AC7" s="18" t="inlineStr">
        <is>
          <t>✗ Docker always rebuilds the whole image on each build → ✓ Docker reuses cached layers until the first changed instruction, and rebuilds only from there</t>
        </is>
      </c>
      <c r="AD7" s="18" t="inlineStr">
        <is>
          <t>Cached vs rebuilt layer: a cached layer is reused unchanged, a rebuilt layer runs its instruction again.</t>
        </is>
      </c>
      <c r="AE7" s="18" t="inlineStr">
        <is>
          <t>Do not put COPY . . before the dependency installation.</t>
        </is>
      </c>
      <c r="AF7" s="18" t="inlineStr">
        <is>
          <t>Put stable steps first, changing steps last.</t>
        </is>
      </c>
      <c r="AG7" s="18" t="inlineStr">
        <is>
          <t>Reordering a Dockerfile to cut the build time of a service from minutes to seconds.</t>
        </is>
      </c>
      <c r="AH7" s="18" t="inlineStr">
        <is>
          <t>An interviewer may ask: How do you speed up Docker builds?</t>
        </is>
      </c>
      <c r="AI7" s="18" t="inlineStr">
        <is>
          <t>It is like floors of a building where changing a lower floor means rebuilding all above.</t>
        </is>
      </c>
      <c r="AJ7" s="18" t="inlineStr">
        <is>
          <t>What happens to later layers when an early layer changes?</t>
        </is>
      </c>
      <c r="AK7" s="18" t="inlineStr">
        <is>
          <t>A) They are merged B) They are deleted forever C) They are rebuilt D) They are kept</t>
        </is>
      </c>
      <c r="AL7" s="18" t="inlineStr">
        <is>
          <t>C</t>
        </is>
      </c>
      <c r="AM7" s="18" t="inlineStr">
        <is>
          <t>A changed layer invalidates all layers after it.</t>
        </is>
      </c>
      <c r="AN7" s="18" t="inlineStr">
        <is>
          <t>Instructions that change rarely should come ____ in the Dockerfile → first</t>
        </is>
      </c>
      <c r="AO7" s="18" t="inlineStr">
        <is>
          <t>How do you keep dependency installs cached when code changes? → Copy the dependency file and install before copying the code</t>
        </is>
      </c>
      <c r="AP7" s="18" t="inlineStr">
        <is>
          <t>Explain layers and the cache in three lines.</t>
        </is>
      </c>
      <c r="AQ7" s="18" t="inlineStr">
        <is>
          <t>Reorder a sample Dockerfile to make better use of the cache.</t>
        </is>
      </c>
      <c r="AR7" s="17">
        <f>IF(J7="","",REPT("★",J7)&amp;REPT("☆",5-J7)&amp;" ("&amp;J7&amp;"/5)")</f>
        <v/>
      </c>
      <c r="AS7" s="17">
        <f>IF(Q7="","","Meaning: "&amp;Q7&amp;"  =  ______   (Answer: "&amp;F7&amp;")")</f>
        <v/>
      </c>
      <c r="AT7" s="17" t="inlineStr">
        <is>
          <t>New</t>
        </is>
      </c>
      <c r="AU7" s="17" t="n"/>
      <c r="AV7" s="17" t="n"/>
      <c r="AW7" s="17" t="n"/>
      <c r="AX7" s="17" t="n"/>
      <c r="AY7" s="17" t="n"/>
      <c r="AZ7" s="17" t="n"/>
      <c r="BA7" s="17" t="n"/>
      <c r="BB7" s="17" t="n"/>
    </row>
  </sheetData>
  <autoFilter ref="A2:BB7"/>
  <mergeCells count="6">
    <mergeCell ref="F1:O1"/>
    <mergeCell ref="AT1:BB1"/>
    <mergeCell ref="AR1:AS1"/>
    <mergeCell ref="A1:E1"/>
    <mergeCell ref="AJ1:AQ1"/>
    <mergeCell ref="P1:AI1"/>
  </mergeCells>
  <dataValidations count="2">
    <dataValidation sqref="AT3:AT7" showDropDown="0" showInputMessage="0" showErrorMessage="0" allowBlank="1" type="list">
      <formula1>"New,Learning,Known"</formula1>
    </dataValidation>
    <dataValidation sqref="BA3:BA7"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DKR-001</t>
        </is>
      </c>
    </row>
    <row r="4">
      <c r="A4" s="23" t="inlineStr">
        <is>
          <t>FRONT · Recognition (pehchano)</t>
        </is>
      </c>
    </row>
    <row r="5" ht="30" customHeight="1">
      <c r="A5" s="24" t="inlineStr">
        <is>
          <t>ID</t>
        </is>
      </c>
      <c r="B5" s="17">
        <f>INDEX('Topic (56-pt) cards'!$A$3:$BB$7,MATCH($B$2,'Topic (56-pt) cards'!$A$3:$A$7,0),MATCH("ID",'Topic (56-pt) cards'!$A$2:$BB$2,0))&amp;""</f>
        <v/>
      </c>
    </row>
    <row r="6" ht="30" customHeight="1">
      <c r="A6" s="24" t="inlineStr">
        <is>
          <t>Topic</t>
        </is>
      </c>
      <c r="B6" s="17">
        <f>INDEX('Topic (56-pt) cards'!$A$3:$BB$7,MATCH($B$2,'Topic (56-pt) cards'!$A$3:$A$7,0),MATCH("Topic",'Topic (56-pt) cards'!$A$2:$BB$2,0))&amp;""</f>
        <v/>
      </c>
    </row>
    <row r="7" ht="30" customHeight="1">
      <c r="A7" s="24" t="inlineStr">
        <is>
          <t>Level</t>
        </is>
      </c>
      <c r="B7" s="17">
        <f>INDEX('Topic (56-pt) cards'!$A$3:$BB$7,MATCH($B$2,'Topic (56-pt) cards'!$A$3:$A$7,0),MATCH("Level",'Topic (56-pt) cards'!$A$2:$BB$2,0))&amp;""</f>
        <v/>
      </c>
    </row>
    <row r="8" ht="30" customHeight="1">
      <c r="A8" s="24" t="inlineStr">
        <is>
          <t>Term / topic</t>
        </is>
      </c>
      <c r="B8" s="17">
        <f>INDEX('Topic (56-pt) cards'!$A$3:$BB$7,MATCH($B$2,'Topic (56-pt) cards'!$A$3:$A$7,0),MATCH("Term / topic",'Topic (56-pt) cards'!$A$2:$BB$2,0))&amp;""</f>
        <v/>
      </c>
    </row>
    <row r="9" ht="30" customHeight="1">
      <c r="A9" s="24" t="inlineStr">
        <is>
          <t>Recall cue</t>
        </is>
      </c>
      <c r="B9" s="17">
        <f>INDEX('Topic (56-pt) cards'!$A$3:$BB$7,MATCH($B$2,'Topic (56-pt) cards'!$A$3:$A$7,0),MATCH("Recall cue",'Topic (56-pt) cards'!$A$2:$BB$2,0))&amp;""</f>
        <v/>
      </c>
    </row>
    <row r="10" ht="30" customHeight="1">
      <c r="A10" s="24" t="inlineStr">
        <is>
          <t>Category</t>
        </is>
      </c>
      <c r="B10" s="17">
        <f>INDEX('Topic (56-pt) cards'!$A$3:$BB$7,MATCH($B$2,'Topic (56-pt) cards'!$A$3:$A$7,0),MATCH("Category",'Topic (56-pt) cards'!$A$2:$BB$2,0))&amp;""</f>
        <v/>
      </c>
    </row>
    <row r="11" ht="30" customHeight="1">
      <c r="A11" s="24" t="inlineStr">
        <is>
          <t>How often used</t>
        </is>
      </c>
      <c r="B11" s="17">
        <f>INDEX('Topic (56-pt) cards'!$A$3:$BB$7,MATCH($B$2,'Topic (56-pt) cards'!$A$3:$A$7,0),MATCH("How often used",'Topic (56-pt) cards'!$A$2:$BB$2,0))&amp;""</f>
        <v/>
      </c>
    </row>
    <row r="12" ht="30" customHeight="1">
      <c r="A12" s="24" t="inlineStr">
        <is>
          <t>Importance (1-5)</t>
        </is>
      </c>
      <c r="B12" s="17">
        <f>INDEX('Topic (56-pt) cards'!$A$3:$BB$7,MATCH($B$2,'Topic (56-pt) cards'!$A$3:$A$7,0),MATCH("Importance (1-5)",'Topic (56-pt) cards'!$A$2:$BB$2,0))&amp;""</f>
        <v/>
      </c>
    </row>
    <row r="13" ht="30" customHeight="1">
      <c r="A13" s="24" t="inlineStr">
        <is>
          <t>Origin / why it exists</t>
        </is>
      </c>
      <c r="B13" s="17">
        <f>INDEX('Topic (56-pt) cards'!$A$3:$BB$7,MATCH($B$2,'Topic (56-pt) cards'!$A$3:$A$7,0),MATCH("Origin / why it exists",'Topic (56-pt) cards'!$A$2:$BB$2,0))&amp;""</f>
        <v/>
      </c>
    </row>
    <row r="14" ht="30" customHeight="1">
      <c r="A14" s="24" t="inlineStr">
        <is>
          <t>Pro tip</t>
        </is>
      </c>
      <c r="B14" s="17">
        <f>INDEX('Topic (56-pt) cards'!$A$3:$BB$7,MATCH($B$2,'Topic (56-pt) cards'!$A$3:$A$7,0),MATCH("Pro tip",'Topic (56-pt) cards'!$A$2:$BB$2,0))&amp;""</f>
        <v/>
      </c>
    </row>
    <row r="15" ht="30" customHeight="1">
      <c r="A15" s="24" t="inlineStr">
        <is>
          <t>Memory story</t>
        </is>
      </c>
      <c r="B15" s="17">
        <f>INDEX('Topic (56-pt) cards'!$A$3:$BB$7,MATCH($B$2,'Topic (56-pt) cards'!$A$3:$A$7,0),MATCH("Memory story",'Topic (56-pt) cards'!$A$2:$BB$2,0))&amp;""</f>
        <v/>
      </c>
    </row>
    <row r="16" ht="30" customHeight="1">
      <c r="A16" s="24" t="inlineStr">
        <is>
          <t>Picture it</t>
        </is>
      </c>
      <c r="B16" s="17">
        <f>INDEX('Topic (56-pt) cards'!$A$3:$BB$7,MATCH($B$2,'Topic (56-pt) cards'!$A$3:$A$7,0),MATCH("Picture it",'Topic (56-pt) cards'!$A$2:$BB$2,0))&amp;""</f>
        <v/>
      </c>
    </row>
    <row r="17" ht="30" customHeight="1">
      <c r="A17" s="24" t="inlineStr">
        <is>
          <t>Emotion hook</t>
        </is>
      </c>
      <c r="B17" s="17">
        <f>INDEX('Topic (56-pt) cards'!$A$3:$BB$7,MATCH($B$2,'Topic (56-pt) cards'!$A$3:$A$7,0),MATCH("Emotion hook",'Topic (56-pt) cards'!$A$2:$BB$2,0))&amp;""</f>
        <v/>
      </c>
    </row>
    <row r="18" ht="30" customHeight="1">
      <c r="A18" s="24" t="inlineStr">
        <is>
          <t>Importance ★</t>
        </is>
      </c>
      <c r="B18" s="17">
        <f>INDEX('Topic (56-pt) cards'!$A$3:$BB$7,MATCH($B$2,'Topic (56-pt) cards'!$A$3:$A$7,0),MATCH("Importance ★",'Topic (56-pt) cards'!$A$2:$BB$2,0))&amp;""</f>
        <v/>
      </c>
    </row>
    <row r="19">
      <c r="A19" s="25" t="inlineStr">
        <is>
          <t>BACK · Understanding (samjho)</t>
        </is>
      </c>
    </row>
    <row r="20" ht="30" customHeight="1">
      <c r="A20" s="24" t="inlineStr">
        <is>
          <t>Definition (simple)</t>
        </is>
      </c>
      <c r="B20" s="17">
        <f>INDEX('Topic (56-pt) cards'!$A$3:$BB$7,MATCH($B$2,'Topic (56-pt) cards'!$A$3:$A$7,0),MATCH("Definition (simple)",'Topic (56-pt) cards'!$A$2:$BB$2,0))&amp;""</f>
        <v/>
      </c>
    </row>
    <row r="21" ht="30" customHeight="1">
      <c r="A21" s="24" t="inlineStr">
        <is>
          <t>Meaning in learner's language</t>
        </is>
      </c>
      <c r="B21" s="17">
        <f>INDEX('Topic (56-pt) cards'!$A$3:$BB$7,MATCH($B$2,'Topic (56-pt) cards'!$A$3:$A$7,0),MATCH("Meaning in learner's language",'Topic (56-pt) cards'!$A$2:$BB$2,0))&amp;""</f>
        <v/>
      </c>
    </row>
    <row r="22" ht="54" customHeight="1">
      <c r="A22" s="24" t="inlineStr">
        <is>
          <t>How / why it works</t>
        </is>
      </c>
      <c r="B22" s="17">
        <f>INDEX('Topic (56-pt) cards'!$A$3:$BB$7,MATCH($B$2,'Topic (56-pt) cards'!$A$3:$A$7,0),MATCH("How / why it works",'Topic (56-pt) cards'!$A$2:$BB$2,0))&amp;""</f>
        <v/>
      </c>
    </row>
    <row r="23" ht="30" customHeight="1">
      <c r="A23" s="24" t="inlineStr">
        <is>
          <t>Simple explanation (Hinglish)</t>
        </is>
      </c>
      <c r="B23" s="17">
        <f>INDEX('Topic (56-pt) cards'!$A$3:$BB$7,MATCH($B$2,'Topic (56-pt) cards'!$A$3:$A$7,0),MATCH("Simple explanation (Hinglish)",'Topic (56-pt) cards'!$A$2:$BB$2,0))&amp;""</f>
        <v/>
      </c>
    </row>
    <row r="24" ht="30" customHeight="1">
      <c r="A24" s="24" t="inlineStr">
        <is>
          <t>Real-life analogy</t>
        </is>
      </c>
      <c r="B24" s="17">
        <f>INDEX('Topic (56-pt) cards'!$A$3:$BB$7,MATCH($B$2,'Topic (56-pt) cards'!$A$3:$A$7,0),MATCH("Real-life analogy",'Topic (56-pt) cards'!$A$2:$BB$2,0))&amp;""</f>
        <v/>
      </c>
    </row>
    <row r="25" ht="30" customHeight="1">
      <c r="A25" s="24" t="inlineStr">
        <is>
          <t>Formula / rule</t>
        </is>
      </c>
      <c r="B25" s="17">
        <f>INDEX('Topic (56-pt) cards'!$A$3:$BB$7,MATCH($B$2,'Topic (56-pt) cards'!$A$3:$A$7,0),MATCH("Formula / rule",'Topic (56-pt) cards'!$A$2:$BB$2,0))&amp;""</f>
        <v/>
      </c>
    </row>
    <row r="26" ht="30" customHeight="1">
      <c r="A26" s="24" t="inlineStr">
        <is>
          <t>Example 1</t>
        </is>
      </c>
      <c r="B26" s="17">
        <f>INDEX('Topic (56-pt) cards'!$A$3:$BB$7,MATCH($B$2,'Topic (56-pt) cards'!$A$3:$A$7,0),MATCH("Example 1",'Topic (56-pt) cards'!$A$2:$BB$2,0))&amp;""</f>
        <v/>
      </c>
    </row>
    <row r="27" ht="30" customHeight="1">
      <c r="A27" s="24" t="inlineStr">
        <is>
          <t>Example 2</t>
        </is>
      </c>
      <c r="B27" s="17">
        <f>INDEX('Topic (56-pt) cards'!$A$3:$BB$7,MATCH($B$2,'Topic (56-pt) cards'!$A$3:$A$7,0),MATCH("Example 2",'Topic (56-pt) cards'!$A$2:$BB$2,0))&amp;""</f>
        <v/>
      </c>
    </row>
    <row r="28" ht="30" customHeight="1">
      <c r="A28" s="24" t="inlineStr">
        <is>
          <t>Example 3</t>
        </is>
      </c>
      <c r="B28" s="17">
        <f>INDEX('Topic (56-pt) cards'!$A$3:$BB$7,MATCH($B$2,'Topic (56-pt) cards'!$A$3:$A$7,0),MATCH("Example 3",'Topic (56-pt) cards'!$A$2:$BB$2,0))&amp;""</f>
        <v/>
      </c>
    </row>
    <row r="29" ht="30" customHeight="1">
      <c r="A29" s="24" t="inlineStr">
        <is>
          <t>Related concepts</t>
        </is>
      </c>
      <c r="B29" s="17">
        <f>INDEX('Topic (56-pt) cards'!$A$3:$BB$7,MATCH($B$2,'Topic (56-pt) cards'!$A$3:$A$7,0),MATCH("Related concepts",'Topic (56-pt) cards'!$A$2:$BB$2,0))&amp;""</f>
        <v/>
      </c>
    </row>
    <row r="30" ht="30" customHeight="1">
      <c r="A30" s="24" t="inlineStr">
        <is>
          <t>Family / group</t>
        </is>
      </c>
      <c r="B30" s="17">
        <f>INDEX('Topic (56-pt) cards'!$A$3:$BB$7,MATCH($B$2,'Topic (56-pt) cards'!$A$3:$A$7,0),MATCH("Family / group",'Topic (56-pt) cards'!$A$2:$BB$2,0))&amp;""</f>
        <v/>
      </c>
    </row>
    <row r="31" ht="30" customHeight="1">
      <c r="A31" s="24" t="inlineStr">
        <is>
          <t>Where it is used</t>
        </is>
      </c>
      <c r="B31" s="17">
        <f>INDEX('Topic (56-pt) cards'!$A$3:$BB$7,MATCH($B$2,'Topic (56-pt) cards'!$A$3:$A$7,0),MATCH("Where it is used",'Topic (56-pt) cards'!$A$2:$BB$2,0))&amp;""</f>
        <v/>
      </c>
    </row>
    <row r="32" ht="30" customHeight="1">
      <c r="A32" s="24" t="inlineStr">
        <is>
          <t>Mini conversation</t>
        </is>
      </c>
      <c r="B32" s="17">
        <f>INDEX('Topic (56-pt) cards'!$A$3:$BB$7,MATCH($B$2,'Topic (56-pt) cards'!$A$3:$A$7,0),MATCH("Mini conversation",'Topic (56-pt) cards'!$A$2:$BB$2,0))&amp;""</f>
        <v/>
      </c>
    </row>
    <row r="33" ht="30" customHeight="1">
      <c r="A33" s="24" t="inlineStr">
        <is>
          <t>Common mistake</t>
        </is>
      </c>
      <c r="B33" s="17">
        <f>INDEX('Topic (56-pt) cards'!$A$3:$BB$7,MATCH($B$2,'Topic (56-pt) cards'!$A$3:$A$7,0),MATCH("Common mistake",'Topic (56-pt) cards'!$A$2:$BB$2,0))&amp;""</f>
        <v/>
      </c>
    </row>
    <row r="34" ht="30" customHeight="1">
      <c r="A34" s="24" t="inlineStr">
        <is>
          <t>Don't confuse with</t>
        </is>
      </c>
      <c r="B34" s="17">
        <f>INDEX('Topic (56-pt) cards'!$A$3:$BB$7,MATCH($B$2,'Topic (56-pt) cards'!$A$3:$A$7,0),MATCH("Don't confuse with",'Topic (56-pt) cards'!$A$2:$BB$2,0))&amp;""</f>
        <v/>
      </c>
    </row>
    <row r="35" ht="30" customHeight="1">
      <c r="A35" s="24" t="inlineStr">
        <is>
          <t>Avoid / don't</t>
        </is>
      </c>
      <c r="B35" s="17">
        <f>INDEX('Topic (56-pt) cards'!$A$3:$BB$7,MATCH($B$2,'Topic (56-pt) cards'!$A$3:$A$7,0),MATCH("Avoid / don't",'Topic (56-pt) cards'!$A$2:$BB$2,0))&amp;""</f>
        <v/>
      </c>
    </row>
    <row r="36" ht="30" customHeight="1">
      <c r="A36" s="24" t="inlineStr">
        <is>
          <t>Memory trick</t>
        </is>
      </c>
      <c r="B36" s="17">
        <f>INDEX('Topic (56-pt) cards'!$A$3:$BB$7,MATCH($B$2,'Topic (56-pt) cards'!$A$3:$A$7,0),MATCH("Memory trick",'Topic (56-pt) cards'!$A$2:$BB$2,0))&amp;""</f>
        <v/>
      </c>
    </row>
    <row r="37" ht="30" customHeight="1">
      <c r="A37" s="24" t="inlineStr">
        <is>
          <t>Real life: project / work</t>
        </is>
      </c>
      <c r="B37" s="17">
        <f>INDEX('Topic (56-pt) cards'!$A$3:$BB$7,MATCH($B$2,'Topic (56-pt) cards'!$A$3:$A$7,0),MATCH("Real life: project / work",'Topic (56-pt) cards'!$A$2:$BB$2,0))&amp;""</f>
        <v/>
      </c>
    </row>
    <row r="38" ht="30" customHeight="1">
      <c r="A38" s="24" t="inlineStr">
        <is>
          <t>Real life: interview / exam</t>
        </is>
      </c>
      <c r="B38" s="17">
        <f>INDEX('Topic (56-pt) cards'!$A$3:$BB$7,MATCH($B$2,'Topic (56-pt) cards'!$A$3:$A$7,0),MATCH("Real life: interview / exam",'Topic (56-pt) cards'!$A$2:$BB$2,0))&amp;""</f>
        <v/>
      </c>
    </row>
    <row r="39" ht="30" customHeight="1">
      <c r="A39" s="24" t="inlineStr">
        <is>
          <t>Real life: daily life</t>
        </is>
      </c>
      <c r="B39" s="17">
        <f>INDEX('Topic (56-pt) cards'!$A$3:$BB$7,MATCH($B$2,'Topic (56-pt) cards'!$A$3:$A$7,0),MATCH("Real life: daily life",'Topic (56-pt) cards'!$A$2:$BB$2,0))&amp;""</f>
        <v/>
      </c>
    </row>
    <row r="40">
      <c r="A40" s="27" t="inlineStr">
        <is>
          <t>PRACTICE · Khud karo</t>
        </is>
      </c>
    </row>
    <row r="41" ht="30" customHeight="1">
      <c r="A41" s="24" t="inlineStr">
        <is>
          <t>MCQ question</t>
        </is>
      </c>
      <c r="B41" s="17">
        <f>INDEX('Topic (56-pt) cards'!$A$3:$BB$7,MATCH($B$2,'Topic (56-pt) cards'!$A$3:$A$7,0),MATCH("MCQ question",'Topic (56-pt) cards'!$A$2:$BB$2,0))&amp;""</f>
        <v/>
      </c>
    </row>
    <row r="42" ht="30" customHeight="1">
      <c r="A42" s="24" t="inlineStr">
        <is>
          <t>MCQ options</t>
        </is>
      </c>
      <c r="B42" s="17">
        <f>INDEX('Topic (56-pt) cards'!$A$3:$BB$7,MATCH($B$2,'Topic (56-pt) cards'!$A$3:$A$7,0),MATCH("MCQ options",'Topic (56-pt) cards'!$A$2:$BB$2,0))&amp;""</f>
        <v/>
      </c>
    </row>
    <row r="43" ht="30" customHeight="1">
      <c r="A43" s="24" t="inlineStr">
        <is>
          <t>MCQ answer</t>
        </is>
      </c>
      <c r="B43" s="17">
        <f>INDEX('Topic (56-pt) cards'!$A$3:$BB$7,MATCH($B$2,'Topic (56-pt) cards'!$A$3:$A$7,0),MATCH("MCQ answer",'Topic (56-pt) cards'!$A$2:$BB$2,0))&amp;""</f>
        <v/>
      </c>
    </row>
    <row r="44" ht="30" customHeight="1">
      <c r="A44" s="24" t="inlineStr">
        <is>
          <t>Why that answer</t>
        </is>
      </c>
      <c r="B44" s="17">
        <f>INDEX('Topic (56-pt) cards'!$A$3:$BB$7,MATCH($B$2,'Topic (56-pt) cards'!$A$3:$A$7,0),MATCH("Why that answer",'Topic (56-pt) cards'!$A$2:$BB$2,0))&amp;""</f>
        <v/>
      </c>
    </row>
    <row r="45" ht="30" customHeight="1">
      <c r="A45" s="24" t="inlineStr">
        <is>
          <t>Fill the blank</t>
        </is>
      </c>
      <c r="B45" s="17">
        <f>INDEX('Topic (56-pt) cards'!$A$3:$BB$7,MATCH($B$2,'Topic (56-pt) cards'!$A$3:$A$7,0),MATCH("Fill the blank",'Topic (56-pt) cards'!$A$2:$BB$2,0))&amp;""</f>
        <v/>
      </c>
    </row>
    <row r="46" ht="30" customHeight="1">
      <c r="A46" s="24" t="inlineStr">
        <is>
          <t>Apply it</t>
        </is>
      </c>
      <c r="B46" s="17">
        <f>INDEX('Topic (56-pt) cards'!$A$3:$BB$7,MATCH($B$2,'Topic (56-pt) cards'!$A$3:$A$7,0),MATCH("Apply it",'Topic (56-pt) cards'!$A$2:$BB$2,0))&amp;""</f>
        <v/>
      </c>
    </row>
    <row r="47" ht="30" customHeight="1">
      <c r="A47" s="24" t="inlineStr">
        <is>
          <t>Explain it yourself</t>
        </is>
      </c>
      <c r="B47" s="17">
        <f>INDEX('Topic (56-pt) cards'!$A$3:$BB$7,MATCH($B$2,'Topic (56-pt) cards'!$A$3:$A$7,0),MATCH("Explain it yourself",'Topic (56-pt) cards'!$A$2:$BB$2,0))&amp;""</f>
        <v/>
      </c>
    </row>
    <row r="48" ht="30" customHeight="1">
      <c r="A48" s="24" t="inlineStr">
        <is>
          <t>Write your own</t>
        </is>
      </c>
      <c r="B48" s="17">
        <f>INDEX('Topic (56-pt) cards'!$A$3:$BB$7,MATCH($B$2,'Topic (56-pt) cards'!$A$3:$A$7,0),MATCH("Write your own",'Topic (56-pt) cards'!$A$2:$BB$2,0))&amp;""</f>
        <v/>
      </c>
    </row>
    <row r="49" ht="30" customHeight="1">
      <c r="A49" s="24" t="inlineStr">
        <is>
          <t>Quick recall (reverse)</t>
        </is>
      </c>
      <c r="B49" s="17">
        <f>INDEX('Topic (56-pt) cards'!$A$3:$BB$7,MATCH($B$2,'Topic (56-pt) cards'!$A$3:$A$7,0),MATCH("Quick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Containers vs virtual machines
Which two ways of isolating software differ in that one shares the host's kernel and the other runs a whole guest operating system?</t>
        </is>
      </c>
      <c r="B2" s="29" t="inlineStr">
        <is>
          <t>DEFINITION (SIMPLE):
A container packages an application and its dependencies and runs as an isolated process sharing the host kernel, while a virtual machine runs a full guest operating system on virtual hardware.
HOW / WHY IT WORKS:
Containers start in seconds and use little memory, because there is no guest operating system to boot. Virtual machines have stronger isolation and can run different operating systems, but they use more resources. Containers rely on Linux features such as namespaces and cgroups. On Windows and macOS, Docker Desktop runs containers inside a lightweight virtual machine.
SIMPLE EXPLANATION (HINGLISH):
A container is a packaged app that runs as an isolated process on the host. It is lighter and faster than a virtual machine, but it shares the host's kernel.
REAL-LIFE ANALOGY:
A virtual machine is a separate house, and a container is a flat in a shared building.
FORMULA / RULE:
VM = own operating system. Container = shared kernel, isolated process.
EXAMPLE 1:
Running a web app in a container that starts in a second or two.
EXAMPLE 2:
Running a full Windows machine in a virtual machine on a Linux host.
EXAMPLE 3:
Docker Desktop on a laptop using a small virtual machine to host Linux containers.
RELATED CONCEPTS:
images and containers, Docker Engine, Linux namespaces, cloud
FAMILY / GROUP:
container, virtual machine, kernel, isolation, hypervisor
WHERE IT IS USED:
Packaging apps | Cloud deployments | Customer environments
MINI CONVERSATION:
A: Why not just use a virtual machine for each app? | B: Containers start faster and use far less memory since they share the kernel.
COMMON MISTAKE:
✗ A container is a tiny virtual machine with its own operating system → ✓ A container is an isolated process that shares the host's kernel
DON'T CONFUSE WITH:
Container vs virtual machine: a container shares the kernel and is lightweight, a virtual machine has its own operating system and is heavier.
AVOID / DON'T:
Do not treat containers as a strong security boundary on their own.
MEMORY TRICK:
Containers share the kernel and virtual machines do not.
REAL LIFE: PROJECT / WORK:
Packaging a customer integration as a container so it runs the same on any server.
REAL LIFE: INTERVIEW / EXAM:
An interviewer may ask: What is the difference between a container and a virtual machine?
REAL LIFE: DAILY LIFE:
It is like a flat in a shared building versus a separate house.</t>
        </is>
      </c>
      <c r="C2" s="29" t="inlineStr">
        <is>
          <t>01_Basics_Beginner_DKR-001</t>
        </is>
      </c>
    </row>
    <row r="3" ht="409" customHeight="1">
      <c r="A3" s="29" t="inlineStr">
        <is>
          <t>Images vs containers
Which is the read-only template with your app and its files, and which is the running instance created from it?</t>
        </is>
      </c>
      <c r="B3" s="29" t="inlineStr">
        <is>
          <t>DEFINITION (SIMPLE):
A Docker image is a read-only, layered template containing an application and its dependencies, and a container is a running instance of an image with a writable layer on top.
HOW / WHY IT WORKS:
Images are built from a Dockerfile and stored in layers that can be shared. When you run an image, Docker adds a thin writable layer and starts the process. Changes made inside a container live in that layer and disappear when the container is removed, unless they are stored in a volume. Many containers can run from one image.
SIMPLE EXPLANATION (HINGLISH):
Build once to get an image, then run it as many times as you like to get containers. Deleting a container does not delete the image.
REAL-LIFE ANALOGY:
An image is a recipe with ingredients packed in a box, and a container is the dish cooked from it.
FORMULA / RULE:
Dockerfile → build → image → run → container
EXAMPLE 1:
The nginx image used to start three separate web server containers.
EXAMPLE 2:
A container that writes a file, which is gone after the container is removed.
EXAMPLE 3:
Rebuilding an image after a code change and starting a new container from it.
RELATED CONCEPTS:
Dockerfile, registries, volumes, docker run
FAMILY / GROUP:
image, container, layer, tag, instance
WHERE IT IS USED:
Building and shipping apps | Running services | Testing
MINI CONVERSATION:
A: I removed the container, did I lose the image? | B: No, the image stays and you can start a new container from it.
COMMON MISTAKE:
✗ Changes I make inside a running container are saved in the image → ✓ Changes live in the container's writable layer, and the image stays unchanged
DON'T CONFUSE WITH:
Image vs container: an image is the fixed template, a container is a running copy of it.
AVOID / DON'T:
Do not store important data only inside a container.
MEMORY TRICK:
An image is built and a container is run.
REAL LIFE: PROJECT / WORK:
Building one image of an integration service and running it in test and production.
REAL LIFE: INTERVIEW / EXAM:
An interviewer may ask: What is the difference between a Docker image and a container?
REAL LIFE: DAILY LIFE:
It is like a recipe in a box versus the dish cooked from it.</t>
        </is>
      </c>
      <c r="C3" s="29" t="inlineStr">
        <is>
          <t>01_Basics_Beginner_DKR-002</t>
        </is>
      </c>
    </row>
    <row r="4" ht="409" customHeight="1">
      <c r="A4" s="29" t="inlineStr">
        <is>
          <t>Docker Engine and the docker CLI
Which background service builds and runs containers, and which command talks to it?</t>
        </is>
      </c>
      <c r="B4" s="29" t="inlineStr">
        <is>
          <t>DEFINITION (SIMPLE):
Docker Engine is the daemon (dockerd) that builds, runs and manages containers, and the docker CLI is the client that sends it commands through an API.
HOW / WHY IT WORKS:
The daemon manages images, containers, networks and volumes, and uses lower-level runtimes such as containerd to start containers. The CLI talks to it over a Unix socket on Linux, usually /var/run/docker.sock. Access to that socket is equal to root access on the host, so treat it carefully. Docker Desktop bundles the engine and CLI for Windows and macOS.
SIMPLE EXPLANATION (HINGLISH):
You type docker commands, and the daemon does the work. If the daemon is not running or you lack access, the commands fail.
REAL-LIFE ANALOGY:
The docker command is the waiter, and the daemon is the kitchen that cooks.
FORMULA / RULE:
docker CLI → API → Docker daemon → containerd → container
EXAMPLE 1:
docker ps asking the daemon to list running containers.
EXAMPLE 2:
A permission denied error on the Docker socket for a user not in the docker group.
EXAMPLE 3:
Docker Desktop starting the engine in the background on a laptop.
RELATED CONCEPTS:
images and containers, docker run, security, Docker Desktop
FAMILY / GROUP:
daemon, dockerd, CLI, socket, containerd
WHERE IT IS USED:
Every Docker task | Troubleshooting | Remote Docker hosts
MINI CONVERSATION:
A: Docker says it cannot connect to the daemon. | B: Check that the service is running and that your user has access to the socket.
COMMON MISTAKE:
✗ The docker command itself runs the containers → ✓ The docker CLI only sends requests, and the daemon runs the containers
DON'T CONFUSE WITH:
CLI vs daemon: the CLI is the client you type into, the daemon is the service that does the work.
AVOID / DON'T:
Do not mount the Docker socket into containers without understanding the risk.
MEMORY TRICK:
The CLI asks and the daemon acts.
REAL LIFE: PROJECT / WORK:
Fixing a permission problem so a deployment user could use the Docker socket.
REAL LIFE: INTERVIEW / EXAM:
An interviewer may ask: What happens when you run a docker command?
REAL LIFE: DAILY LIFE:
It is like a waiter taking an order to the kitchen.</t>
        </is>
      </c>
      <c r="C4" s="29" t="inlineStr">
        <is>
          <t>01_Basics_Beginner_DKR-003</t>
        </is>
      </c>
    </row>
    <row r="5" ht="409" customHeight="1">
      <c r="A5" s="29" t="inlineStr">
        <is>
          <t>Registries and Docker Hub
Where are images stored and shared so that other machines can pull them?</t>
        </is>
      </c>
      <c r="B5" s="29" t="inlineStr">
        <is>
          <t>DEFINITION (SIMPLE):
A registry is a service that stores and distributes container images, such as Docker Hub, GitHub Container Registry, Amazon ECR or a private registry.
HOW / WHY IT WORKS:
Image names include the registry, the repository and a tag, such as ghcr.io/acme/api:1.2. When no registry is given, Docker Hub is used. Public images can be pulled without logging in, and private ones need credentials. Pushing needs the image to be tagged with the registry and repository name first.
SIMPLE EXPLANATION (HINGLISH):
A registry is where images live. You pull from it to run images and push to it to share your own.
REAL-LIFE ANALOGY:
It is like a library of image boxes that any machine can borrow.
FORMULA / RULE:
registry/repository:tag
EXAMPLE 1:
docker pull nginx fetches the nginx image from Docker Hub.
EXAMPLE 2:
ghcr.io/acme/api:1.2 names an image in GitHub Container Registry.
EXAMPLE 3:
A company running its own private registry for internal images.
RELATED CONCEPTS:
tags and digests, docker pull and push, CI/CD, security
FAMILY / GROUP:
registry, repository, tag, Docker Hub, pull, push
WHERE IT IS USED:
Sharing images | CI/CD pipelines | Production deployments
MINI CONVERSATION:
A: How does the server get our image? | B: CI pushes it to the registry and the server pulls it from there.
COMMON MISTAKE:
✗ Docker Hub is the only place to store Docker images → ✓ Many registries exist, including cloud provider registries and private ones
DON'T CONFUSE WITH:
Registry vs repository: the registry is the whole service, a repository holds the versions of one image.
AVOID / DON'T:
Do not push images that contain secrets to a public registry.
MEMORY TRICK:
A registry stores images to pull and push.
REAL LIFE: PROJECT / WORK:
Pushing build artefacts to a private registry that customer servers can pull from.
REAL LIFE: INTERVIEW / EXAM:
An interviewer may ask: What is a container registry?
REAL LIFE: DAILY LIFE:
It is like a library of boxes that any machine can borrow.</t>
        </is>
      </c>
      <c r="C5" s="29" t="inlineStr">
        <is>
          <t>01_Basics_Beginner_DKR-004</t>
        </is>
      </c>
    </row>
    <row r="6" ht="409" customHeight="1">
      <c r="A6" s="29" t="inlineStr">
        <is>
          <t>Image tags and digests
Which two ways name a specific image version, one friendly and changeable, the other exact and fixed?
docker pull nginx:1.27
docker pull nginx:latest
docker pull nginx@sha256:3b9f...
docker images --digests</t>
        </is>
      </c>
      <c r="B6" s="29" t="inlineStr">
        <is>
          <t>MEANING (SHORT):
A tag is a movable label such as 1.27 or latest, and a digest is a fixed SHA-256 hash of the image content.
CODE:
docker pull nginx:1.27
docker pull nginx:latest
docker pull nginx@sha256:3b9f...
docker images --digests
OUTPUT:
The image of the 1.27 tag, the image that latest points to today, the image with exactly that content hash, and a list of local images with their digests.
EXPLANATION:
latest is only a default tag name, and it does not mean the newest build. A tag can be moved by the publisher to point to new content, so the same tag can give different images over time. A digest identifies content exactly, so pulling by digest always gives the same image. Many teams tag with a version and the commit id.
SIMPLE EXPLANATION (HINGLISH):
Use tags to read versions and digests to be exact. If you need the same image every time, pin a specific tag or a digest.
REAL-LIFE ANALOGY:
A tag is a name badge that can be moved, and a digest is a fingerprint.
SYNTAX PATTERN:
image:tag  |  image@sha256:digest
ANATOMY:
image = repository name | :tag = movable label | @sha256 = fixed content hash
EXAMPLE 1:
python:3.12-slim
EXAMPLE 2:
myapp:1.4.2
EXAMPLE 3:
myapp:git-3f2a9c1
VARIATION:
docker tag myapp:1.4.2 myapp:stable   // add another tag to an image
docker inspect --format '{{.Id}}' myapp   // show the image id
USED WITH:
docker pull, docker tag, CI/CD
RELATED CONCEPTS:
registries, docker tag, CI/CD
ALTERNATIVES:
Pinning by digest in deployment files
WHERE IT IS USED:
Production deployments | CI/CD | Reproducible builds
MINI CONVERSATION:
A: Production suddenly behaves differently without a deployment. | B: The image used the latest tag, which may now point to a new build.
COMMON MISTAKE:
✗ The latest tag always means the newest version → ✓ latest is just a default tag name and may be old or moved at any time
COMMONLY CONFUSED WITH:
Tag vs digest: a tag can move, a digest cannot.
AVOID / DON'T:
Do not deploy production using the latest tag.
WRONG CODE:
docker pull myapp   # in production
RIGHT CODE:
docker pull myapp:1.4.2
MEMORY TRICK:
Tags move, digests do not.
REAL LIFE: PROJECT / WORK:
Pinning every production image to a version tag with the commit id.
REAL LIFE: INTERVIEW / EXAM:
An interviewer may ask: Why avoid the latest tag in production?
REAL LIFE: DAILY LIFE:
It is like a name badge that can be moved versus a fingerprint.</t>
        </is>
      </c>
      <c r="C6" s="29" t="inlineStr">
        <is>
          <t>01_Basics_Beginner_DKR-005</t>
        </is>
      </c>
    </row>
    <row r="7" ht="409" customHeight="1">
      <c r="A7" s="29" t="inlineStr">
        <is>
          <t>FROM (base image)
Which Dockerfile instruction chooses the image that your image starts from?
FROM python:3.12-slim
WORKDIR /app
COPY . .</t>
        </is>
      </c>
      <c r="B7" s="29" t="inlineStr">
        <is>
          <t>MEANING (SHORT):
FROM sets the base image for the following build instructions. Every Dockerfile needs it, and it comes first apart from ARG, comments and parser directives.
CODE:
FROM python:3.12-slim
WORKDIR /app
COPY . .
OUTPUT:
The build starts from the slim Python 3.12 image, and later instructions add layers on top.
EXPLANATION:
The base image decides the size and the packages available. Official images are maintained and scanned. Alpine images are tiny but use a different C library, which can cause compatibility problems, and slim variants are a common middle path. FROM scratch starts from an empty image, which suits static binaries. A multi-stage build uses several FROM lines.
SIMPLE EXPLANATION (HINGLISH):
Start every Dockerfile with FROM and a pinned base image. A smaller base means a smaller, safer image.
REAL-LIFE ANALOGY:
It is like choosing the foundation on which the rest of the house is built.
SYNTAX PATTERN:
FROM image[:tag] [AS name]
ANATOMY:
FROM = base image | :tag = version | AS = name for a build stage
EXAMPLE 1:
FROM node:20-alpine
EXAMPLE 2:
FROM ubuntu:24.04
EXAMPLE 3:
FROM scratch
VARIATION:
FROM --platform=linux/amd64 image   // choose a platform
FROM base AS build   // name a stage for multi-stage builds
USED WITH:
multi-stage builds, tags, WORKDIR
RELATED CONCEPTS:
image tags, multi-stage builds, security
ALTERNATIVES:
Building from a distroless image for a minimal runtime
WHERE IT IS USED:
Every Dockerfile | Image size tuning | Security
MINI CONVERSATION:
A: Our image is 1 GB for a small script. | B: Try a slim base image instead of the full one.
COMMON MISTAKE:
✗ The base image does not matter for the final size → ✓ The base image is the biggest part of many images, so choose it carefully
COMMONLY CONFUSED WITH:
FROM vs COPY --from: FROM sets a base, COPY --from copies files from another stage.
AVOID / DON'T:
Do not use an unpinned latest base image.
WRONG CODE:
FROM python
RIGHT CODE:
FROM python:3.12-slim
MEMORY TRICK:
FROM comes first, except for ARG and comments.
REAL LIFE: PROJECT / WORK:
Moving a service to a slim base to cut the image size and download time.
REAL LIFE: INTERVIEW / EXAM:
An interviewer may ask: How do you choose a base image?
REAL LIFE: DAILY LIFE:
It is like choosing the foundation of a house.</t>
        </is>
      </c>
      <c r="C7" s="29" t="inlineStr">
        <is>
          <t>02_Dockerfile_Beginner_DKR-006</t>
        </is>
      </c>
    </row>
    <row r="8" ht="409" customHeight="1">
      <c r="A8" s="29" t="inlineStr">
        <is>
          <t>RUN
Which Dockerfile instruction executes a command while the image is being built and saves the result as a layer?
RUN apt-get update &amp;&amp; apt-get install -y --no-install-recommends curl &amp;&amp; rm -rf /var/lib/apt/lists/*
RUN pip install --no-cache-dir -r requirements.txt</t>
        </is>
      </c>
      <c r="B8" s="29" t="inlineStr">
        <is>
          <t>MEANING (SHORT):
RUN runs a command during the build and commits its results as a new image layer.
CODE:
RUN apt-get update &amp;&amp; apt-get install -y --no-install-recommends curl &amp;&amp; rm -rf /var/lib/apt/lists/*
RUN pip install --no-cache-dir -r requirements.txt
OUTPUT:
curl is installed and the package lists are removed in one layer, and the Python packages are installed without a cache.
EXPLANATION:
Each RUN creates a layer, and files deleted in a later layer still exist in earlier ones, so cleaning must happen in the same RUN. RUN happens at build time, whereas CMD and ENTRYPOINT define what happens when the container starts. There is a shell form and an exec form with a JSON array.
SIMPLE EXPLANATION (HINGLISH):
Use RUN to install things while building. Chain commands and clean up in the same line so the layer stays small.
REAL-LIFE ANALOGY:
It is like a worker who does a job during construction and leaves the result in the walls.
SYNTAX PATTERN:
RUN command  |  RUN ["executable", "arg"]
ANATOMY:
RUN = build-time command | &amp;&amp; = chain commands | rm in the same line = no leftover files
EXAMPLE 1:
RUN npm ci
EXAMPLE 2:
RUN mkdir -p /data
EXAMPLE 3:
RUN useradd -m app
VARIATION:
RUN --mount=type=cache,target=/root/.cache pip install -r requirements.txt   // BuildKit cache mount
USED WITH:
apt, pip, npm, layers
RELATED CONCEPTS:
layers and cache, CMD vs ENTRYPOINT, multi-stage builds
ALTERNATIVES:
Pre-built base images with the tools included
WHERE IT IS USED:
Installing packages | Preparing folders | Building code
MINI CONVERSATION:
A: Our image is huge even though we delete the downloads. | B: Delete them in the same RUN, or the earlier layer keeps them.
COMMON MISTAKE:
✗ Deleting files in a later RUN reduces the image size → ✓ Files stay in earlier layers, so clean up in the same RUN that created them
COMMONLY CONFUSED WITH:
RUN vs CMD: RUN executes at build time, CMD runs when the container starts.
AVOID / DON'T:
Do not run apt-get update in its own RUN line.
WRONG CODE:
RUN apt-get update
RUN apt-get install -y curl
RIGHT CODE:
RUN apt-get update &amp;&amp; apt-get install -y curl &amp;&amp; rm -rf /var/lib/apt/lists/*
MEMORY TRICK:
RUN is for build time.
REAL LIFE: PROJECT / WORK:
Installing a customer's required tools while building an image.
REAL LIFE: INTERVIEW / EXAM:
An interviewer may ask: What is the difference between RUN and CMD?
REAL LIFE: DAILY LIFE:
It is like a worker who leaves the result in the walls.</t>
        </is>
      </c>
      <c r="C8" s="29" t="inlineStr">
        <is>
          <t>02_Dockerfile_Beginner_DKR-007</t>
        </is>
      </c>
    </row>
    <row r="9" ht="409" customHeight="1">
      <c r="A9" s="29" t="inlineStr">
        <is>
          <t>COPY vs ADD
Which two instructions put files from your machine into the image, and which one should you usually choose?
COPY package.json package-lock.json ./
RUN npm ci
COPY . .
ADD release.tar.gz /opt/app/</t>
        </is>
      </c>
      <c r="B9" s="29" t="inlineStr">
        <is>
          <t>MEANING (SHORT):
COPY copies files from the build context into the image, and ADD does the same and can also extract local archives and fetch URLs.
CODE:
COPY package.json package-lock.json ./
RUN npm ci
COPY . .
ADD release.tar.gz /opt/app/
OUTPUT:
The dependency files are copied first, dependencies are installed, then the rest of the code is copied, and the archive is unpacked into /opt/app.
EXPLANATION:
Only files inside the build context can be copied. Copying the dependency list first lets Docker reuse the cached install layer when only your code changes. COPY --chown sets the owner, and COPY --from copies from another build stage. ADD with a URL is discouraged, because it does not verify the content, and curl in a RUN line is clearer.
SIMPLE EXPLANATION (HINGLISH):
Use COPY for normal files. Copy dependency files first, then install, then copy the rest of the code, to make the best use of the cache.
REAL-LIFE ANALOGY:
COPY is a plain photocopier, and ADD is one with surprising extras.
SYNTAX PATTERN:
COPY [--chown=user:group] source dest
ANATOMY:
COPY = plain copy | ADD = copy plus extract | --from = copy from another stage | --chown = set owner
EXAMPLE 1:
COPY app.py /app/app.py
EXAMPLE 2:
COPY --chown=app:app . /app
EXAMPLE 3:
COPY --from=build /out/app /usr/local/bin/app
VARIATION:
COPY --chmod=755 script.sh /usr/local/bin/   // set permissions while copying
USED WITH:
build context, .dockerignore, layers
RELATED CONCEPTS:
layers and cache, .dockerignore, multi-stage builds
ALTERNATIVES:
Bind mounts during development
WHERE IT IS USED:
Adding code | Adding config | Multi-stage builds
MINI CONVERSATION:
A: Every build reinstalls all dependencies. | B: Copy the dependency file first so that layer stays cached.
COMMON MISTAKE:
✗ ADD is just a better COPY and should be the default → ✓ ADD has surprising extra behaviours, so COPY is the clearer default
COMMONLY CONFUSED WITH:
COPY vs ADD: COPY only copies, ADD can also unpack archives and fetch URLs.
AVOID / DON'T:
Do not copy secrets or .git into the image.
WRONG CODE:
COPY ../shared /app/shared
RIGHT CODE:
COPY shared /app/shared
MEMORY TRICK:
Reach for COPY first, ADD only when needed.
REAL LIFE: PROJECT / WORK:
Reordering COPY lines so dependency installs were cached between builds.
REAL LIFE: INTERVIEW / EXAM:
An interviewer may ask: What is the difference between COPY and ADD?
REAL LIFE: DAILY LIFE:
It is like a plain photocopier versus one with surprising extras.</t>
        </is>
      </c>
      <c r="C9" s="29" t="inlineStr">
        <is>
          <t>02_Dockerfile_Beginner_DKR-008</t>
        </is>
      </c>
    </row>
    <row r="10" ht="409" customHeight="1">
      <c r="A10" s="29" t="inlineStr">
        <is>
          <t>WORKDIR
Which instruction sets the folder in which later instructions and the container's main command run?
WORKDIR /app
COPY . .
RUN npm ci
CMD ["node", "server.js"]</t>
        </is>
      </c>
      <c r="B10" s="29" t="inlineStr">
        <is>
          <t>MEANING (SHORT):
WORKDIR sets the working directory for RUN, CMD, ENTRYPOINT, COPY and ADD instructions that follow, and creates the folder if it is missing.
CODE:
WORKDIR /app
COPY . .
RUN npm ci
CMD ["node", "server.js"]
OUTPUT:
Files are copied into /app, dependencies are installed there, and the server starts from /app.
EXPLANATION:
A relative path in COPY refers to the folder set by WORKDIR. WORKDIR can appear several times, and relative paths build on the previous one. The folder is created automatically if it does not exist. RUN cd /app only affects that one RUN line, so it cannot be used to set the folder for later lines.
SIMPLE EXPLANATION (HINGLISH):
Set WORKDIR once near the top and use short relative paths after that.
REAL-LIFE ANALOGY:
It is like moving the worker to the right desk before the next jobs begin.
SYNTAX PATTERN:
WORKDIR /path
ANATOMY:
WORKDIR = set the folder | the path is created if missing | later relative paths use it
EXAMPLE 1:
WORKDIR /usr/src/app
EXAMPLE 2:
WORKDIR /app/src
EXAMPLE 3:
WORKDIR /home/app/project
VARIATION:
docker run -w /other image   // override the folder at run time
USED WITH:
COPY, RUN, CMD
RELATED CONCEPTS:
COPY vs ADD, CMD vs ENTRYPOINT
ALTERNATIVES:
Using absolute paths in every instruction
WHERE IT IS USED:
Every application image | Cleaner Dockerfiles | Running commands
MINI CONVERSATION:
A: My script cannot find files after RUN cd. | B: cd only lasts for that line, so use WORKDIR.
COMMON MISTAKE:
✗ RUN cd /app changes the folder for the following instructions → ✓ Each RUN starts fresh, and only WORKDIR changes the folder for later lines
COMMONLY CONFUSED WITH:
WORKDIR vs RUN cd: WORKDIR persists, cd does not.
AVOID / DON'T:
Do not rely on RUN cd to set the folder.
WRONG CODE:
RUN cd /app
COPY . .
RIGHT CODE:
WORKDIR /app
COPY . .
MEMORY TRICK:
WORKDIR sets the desk for all later lines.
REAL LIFE: PROJECT / WORK:
Setting a clear application folder in all service images.
REAL LIFE: INTERVIEW / EXAM:
An interviewer may ask: Why use WORKDIR instead of cd?
REAL LIFE: DAILY LIFE:
It is like moving a worker to the right desk.</t>
        </is>
      </c>
      <c r="C10" s="29" t="inlineStr">
        <is>
          <t>02_Dockerfile_Beginner_DKR-009</t>
        </is>
      </c>
    </row>
    <row r="11" ht="409" customHeight="1">
      <c r="A11" s="29" t="inlineStr">
        <is>
          <t>CMD vs ENTRYPOINT
Which two instructions define what the container runs at start, and which one is easily replaced by arguments to docker run?
ENTRYPOINT ["python", "app.py"]
CMD ["--port", "8000"]
# docker run myapp --port 9000   replaces only CMD</t>
        </is>
      </c>
      <c r="B11" s="29" t="inlineStr">
        <is>
          <t>MEANING (SHORT):
CMD sets the default command or arguments that docker run can replace, and ENTRYPOINT sets the program that always runs.
CODE:
ENTRYPOINT ["python", "app.py"]
CMD ["--port", "8000"]
# docker run myapp --port 9000   replaces only CMD
OUTPUT:
By default the container runs python app.py --port 8000, and with the extra argument it runs python app.py --port 9000.
EXPLANATION:
If both are given, CMD supplies default arguments to ENTRYPOINT. Only the last CMD in a Dockerfile counts. The exec form (JSON array) runs the program directly as process 1, which receives stop signals, while the shell form wraps it in a shell, which may not pass signals on. ENTRYPOINT can be overridden with --entrypoint.
SIMPLE EXPLANATION (HINGLISH):
Use CMD for the normal start command. Use ENTRYPOINT when the image is a tool, and let arguments from docker run change its options.
REAL-LIFE ANALOGY:
ENTRYPOINT is the fixed engine of the machine, and CMD is a default setting that you can turn.
SYNTAX PATTERN:
ENTRYPOINT ["program"]  |  CMD ["arg1", "arg2"]
ANATOMY:
ENTRYPOINT = fixed program | CMD = default command or arguments | exec form = JSON array
EXAMPLE 1:
CMD ["nginx", "-g", "daemon off;"]
EXAMPLE 2:
ENTRYPOINT ["curl"]
EXAMPLE 3:
CMD ["python", "app.py"]
VARIATION:
docker run --entrypoint sh image   // replace the entrypoint for debugging
CMD python app.py   // shell form, avoid for services
USED WITH:
docker run, signals, health checks
RELATED CONCEPTS:
RUN, docker run, debugging containers
ALTERNATIVES:
A small start script as the entrypoint
WHERE IT IS USED:
Every image | CLI tool images | Services
MINI CONVERSATION:
A: My container ignores stop signals and takes ten seconds to stop. | B: Use the exec form so the program is the main process.
COMMON MISTAKE:
✗ CMD and RUN do the same job → ✓ RUN executes at build time and CMD defines what runs at container start
COMMONLY CONFUSED WITH:
CMD vs ENTRYPOINT: CMD is replaceable by arguments, ENTRYPOINT is the fixed program.
AVOID / DON'T:
Do not use the shell form for the main process of a service.
WRONG CODE:
CMD python app.py
RIGHT CODE:
CMD ["python", "app.py"]
MEMORY TRICK:
Entrypoint is fixed and CMD is the default.
REAL LIFE: PROJECT / WORK:
Making a tool image where users pass arguments after the image name.
REAL LIFE: INTERVIEW / EXAM:
An interviewer may ask: What is the difference between CMD and ENTRYPOINT?
REAL LIFE: DAILY LIFE:
It is like a fixed engine and a default setting you can turn.</t>
        </is>
      </c>
      <c r="C11" s="29" t="inlineStr">
        <is>
          <t>02_Dockerfile_Intermediate_DKR-010</t>
        </is>
      </c>
    </row>
    <row r="12" ht="409" customHeight="1">
      <c r="A12" s="29" t="inlineStr">
        <is>
          <t>ENV and ARG
Which two instructions set variables, one available while the container runs and one only while building?
ARG APP_VERSION=1.0
ENV APP_ENV=production
ENV PORT=8000
RUN echo "Building $APP_VERSION"
# docker build --build-arg APP_VERSION=2.1 .</t>
        </is>
      </c>
      <c r="B12" s="29" t="inlineStr">
        <is>
          <t>MEANING (SHORT):
ARG defines a variable available only during the build, and ENV defines an environment variable that is also available when the container runs.
CODE:
ARG APP_VERSION=1.0
ENV APP_ENV=production
ENV PORT=8000
RUN echo "Building $APP_VERSION"
# docker build --build-arg APP_VERSION=2.1 .
OUTPUT:
The build uses version 2.1 when the argument is given, and the container starts with APP_ENV and PORT already set.
EXPLANATION:
ARG values are passed with --build-arg and are not present in the running container, but they can still appear in the image history. ENV values are stored in the image and can be overridden with docker run -e. Because both can be inspected, secrets should be supplied at run time or through build secrets, never baked in.
SIMPLE EXPLANATION (HINGLISH):
Use ARG for build settings and ENV for run settings. Neither is a safe place for passwords.
REAL-LIFE ANALOGY:
ARG is a note used only while building, and ENV is a note that stays on the finished product.
SYNTAX PATTERN:
ARG NAME=default  |  ENV NAME=value
ANATOMY:
ARG = build time | ENV = build and run time | --build-arg = give an ARG value | -e = override ENV at run
EXAMPLE 1:
ARG NODE_VERSION=20
EXAMPLE 2:
ENV LOG_LEVEL=info
EXAMPLE 3:
docker run -e LOG_LEVEL=debug myapp
VARIATION:
ENV PATH="/opt/tools:$PATH"   // extend PATH
ARG before FROM   // choose the base image version
USED WITH:
docker build, docker run, secrets
RELATED CONCEPTS:
secrets, docker build, docker run options
ALTERNATIVES:
Config files or environment files at run time
WHERE IT IS USED:
Build settings | Run settings | Version pinning
MINI CONVERSATION:
A: I passed the database password as a build argument. | B: That can be read from the image history, so supply it at run time instead.
COMMON MISTAKE:
✗ ARG values are secret because they vanish after the build → ✓ ARG values can appear in the image history, so they are not safe for secrets
COMMONLY CONFUSED WITH:
ARG vs ENV: ARG exists at build time, ENV also exists in the running container.
AVOID / DON'T:
Do not bake passwords or tokens into an image.
WRONG CODE:
ENV DB_PASSWORD=secret123
RIGHT CODE:
docker run -e DB_PASSWORD="$DB_PASSWORD" myapp
MEMORY TRICK:
ARG is for the build, ENV is for the run.
REAL LIFE: PROJECT / WORK:
Passing a version at build time and a log level at run time.
REAL LIFE: INTERVIEW / EXAM:
An interviewer may ask: What is the difference between ARG and ENV?
REAL LIFE: DAILY LIFE:
It is like a build note and a note left on the product.</t>
        </is>
      </c>
      <c r="C12" s="29" t="inlineStr">
        <is>
          <t>02_Dockerfile_Intermediate_DKR-011</t>
        </is>
      </c>
    </row>
    <row r="13" ht="409" customHeight="1">
      <c r="A13" s="29" t="inlineStr">
        <is>
          <t>EXPOSE
Which instruction documents the port an app listens on, but does not actually open it to the outside?
EXPOSE 8000
# docker run -p 8080:8000 myapp
# docker run -P myapp</t>
        </is>
      </c>
      <c r="B13" s="29" t="inlineStr">
        <is>
          <t>MEANING (SHORT):
EXPOSE documents the port a container listens on, and -p publishes a port to the host.
CODE:
EXPOSE 8000
# docker run -p 8080:8000 myapp
# docker run -P myapp
OUTPUT:
The image records port 8000, then -p maps host port 8080 to container port 8000, and -P publishes exposed ports to random host ports.
EXPLANATION:
EXPOSE is only metadata. Without -p or -P, nothing from the host can reach the container's port, apart from other containers on the same network. The application must also listen on 0.0.0.0 inside the container, since listening only on 127.0.0.1 inside the container is not reachable from outside it.
SIMPLE EXPLANATION (HINGLISH):
EXPOSE tells readers which port the app uses. To reach it from your machine, you must publish it with -p.
REAL-LIFE ANALOGY:
EXPOSE is a sign saying where the entrance is, and -p opens the door.
SYNTAX PATTERN:
EXPOSE port  |  docker run -p hostPort:containerPort
ANATOMY:
EXPOSE = documentation | -p = publish a port | -P = publish all exposed ports to random ports
EXAMPLE 1:
EXPOSE 80
EXAMPLE 2:
docker run -p 3000:3000 web
EXAMPLE 3:
docker run -p 127.0.0.1:5432:5432 db
VARIATION:
EXPOSE 8000/udp   // a UDP port
docker port container   // show published ports
USED WITH:
docker run, port mapping, networks
RELATED CONCEPTS:
port mapping, networks, docker run options
ALTERNATIVES:
Compose ports setting
WHERE IT IS USED:
Web services | Databases | Debugging connectivity
MINI CONVERSATION:
A: I exposed the port but cannot reach the app. | B: EXPOSE does not publish, so add -p when running.
COMMON MISTAKE:
✗ EXPOSE opens the port to the host → ✓ EXPOSE only documents the port, and -p publishes it
COMMONLY CONFUSED WITH:
EXPOSE vs -p: EXPOSE documents, -p publishes.
AVOID / DON'T:
Do not make the app listen only on 127.0.0.1 inside the container.
WRONG CODE:
docker run myapp   # expecting port 8000 on the host
RIGHT CODE:
docker run -p 8000:8000 myapp
MEMORY TRICK:
EXPOSE is a sign and -p is the door.
REAL LIFE: PROJECT / WORK:
Publishing a service port to localhost only for a database container.
REAL LIFE: INTERVIEW / EXAM:
An interviewer may ask: Does EXPOSE publish a port?
REAL LIFE: DAILY LIFE:
It is like a sign that tells where the entrance is.</t>
        </is>
      </c>
      <c r="C13" s="29" t="inlineStr">
        <is>
          <t>02_Dockerfile_Beginner_DKR-012</t>
        </is>
      </c>
    </row>
    <row r="14" ht="409" customHeight="1">
      <c r="A14" s="29" t="inlineStr">
        <is>
          <t>Layers and the build cache
Why does changing one early line of a Dockerfile make Docker rebuild everything after it, and how do you order lines to avoid that?</t>
        </is>
      </c>
      <c r="B14" s="29" t="inlineStr">
        <is>
          <t>DEFINITION (SIMPLE):
Each Dockerfile instruction creates a layer, and Docker reuses a cached layer when the instruction and its inputs are unchanged, but rebuilds all later layers once one layer changes.
HOW / WHY IT WORKS:
For COPY, the cache checks the content of the files. Once any layer is rebuilt, all layers after it are rebuilt too. The usual pattern is to copy only the dependency list, install dependencies, and then copy the application code, so code edits do not reinstall dependencies. Layers are also shared between images, which saves disk space and download time.
SIMPLE EXPLANATION (HINGLISH):
Order the Dockerfile from least to most frequently changing. Then Docker reuses the slow steps and rebuilds only what changed.
REAL-LIFE ANALOGY:
Layers are floors of a building, and changing a lower floor means rebuilding all floors above.
FORMULA / RULE:
Rarely changing first, often changing last
EXAMPLE 1:
Copying package.json and running npm ci before copying the source code.
EXAMPLE 2:
Using --no-cache to force a full rebuild.
EXAMPLE 3:
Two images sharing the same base layers on disk.
RELATED CONCEPTS:
COPY, RUN, multi-stage builds, BuildKit
FAMILY / GROUP:
layer, cache, rebuild, invalidation
WHERE IT IS USED:
Faster builds | CI pipelines | Image size
MINI CONVERSATION:
A: Every small code change reinstalls all dependencies. | B: Copy the dependency file and install before you copy the code.
COMMON MISTAKE:
✗ Docker always rebuilds the whole image on each build → ✓ Docker reuses cached layers until the first changed instruction, and rebuilds only from there
DON'T CONFUSE WITH:
Cached vs rebuilt layer: a cached layer is reused unchanged, a rebuilt layer runs its instruction again.
AVOID / DON'T:
Do not put COPY . . before the dependency installation.
MEMORY TRICK:
Put stable steps first, changing steps last.
REAL LIFE: PROJECT / WORK:
Reordering a Dockerfile to cut the build time of a service from minutes to seconds.
REAL LIFE: INTERVIEW / EXAM:
An interviewer may ask: How do you speed up Docker builds?
REAL LIFE: DAILY LIFE:
It is like floors of a building where changing a lower floor means rebuilding all above.</t>
        </is>
      </c>
      <c r="C14" s="29" t="inlineStr">
        <is>
          <t>02_Dockerfile_Intermediate_DKR-013</t>
        </is>
      </c>
    </row>
    <row r="15" ht="409" customHeight="1">
      <c r="A15" s="29" t="inlineStr">
        <is>
          <t>.dockerignore
Which file lists things that must not be sent to the Docker build, such as node_modules, .git and secrets?
.git
**/node_modules
.env
**/*.log
dist/
Dockerfile
docker-compose.yml</t>
        </is>
      </c>
      <c r="B15" s="29" t="inlineStr">
        <is>
          <t>MEANING (SHORT):
.dockerignore lists files and folders excluded from the build context, so COPY and ADD cannot add them.
CODE:
.git
**/node_modules
.env
**/*.log
dist/
Dockerfile
docker-compose.yml
OUTPUT:
These files are not sent to the daemon, so they cannot be copied into the image and do not slow down the build.
EXPLANATION:
The build context is everything in the folder you pass to docker build. Large folders such as node_modules make the context slow to send, and files such as .env could end up in the image by a careless COPY . . line. Patterns work like .gitignore with a few differences. Excluding files also stops needless cache invalidation when they change.
SIMPLE EXPLANATION (HINGLISH):
Put a .dockerignore next to the Dockerfile and list what to skip. Builds become faster and safer.
REAL-LIFE ANALOGY:
It is like a packing list of things to leave at home before a trip.
SYNTAX PATTERN:
one pattern per line, like .gitignore
ANATOMY:
.git = version control data | node_modules = dependencies | .env = secrets | *.log = log files
EXAMPLE 1:
node_modules
EXAMPLE 2:
**/*.pyc
EXAMPLE 3:
!important.log
VARIATION:
# comment   // comment line
!pattern   // re-include a file
USED WITH:
COPY, build context, secrets
RELATED CONCEPTS:
COPY vs ADD, security, layers and cache
ALTERNATIVES:
Building from a clean subfolder
WHERE IT IS USED:
Every project | CI builds | Keeping secrets out of images
MINI CONVERSATION:
A: The build uploads a gigabyte of context. | B: Add node_modules and .git to .dockerignore.
COMMON MISTAKE:
✗ .dockerignore only affects docker run → ✓ It affects the build context, so COPY and ADD cannot see the ignored files
COMMONLY CONFUSED WITH:
.dockerignore vs .gitignore: one limits the Docker build context, the other limits what Git tracks.
AVOID / DON'T:
Do not leave .env files out of .dockerignore.
WRONG CODE:
COPY . .   # with no .dockerignore, copying .env too
RIGHT CODE:
COPY . .   # with .env listed in .dockerignore
MEMORY TRICK:
Ignore what the image must not see.
REAL LIFE: PROJECT / WORK:
Excluding the git folder and environment files from every service image.
REAL LIFE: INTERVIEW / EXAM:
An interviewer may ask: What is the build context?
REAL LIFE: DAILY LIFE:
It is like a packing list of things to leave at home.</t>
        </is>
      </c>
      <c r="C15" s="29" t="inlineStr">
        <is>
          <t>02_Dockerfile_Beginner_DKR-014</t>
        </is>
      </c>
    </row>
    <row r="16" ht="409" customHeight="1">
      <c r="A16" s="29" t="inlineStr">
        <is>
          <t>Multi-stage builds
How do you build with heavy tools in one stage and copy only the finished result into a small final image?
FROM node:20 AS build
WORKDIR /app
COPY package*.json ./
RUN npm ci
COPY . .
RUN npm run build
FROM nginx:1.27-alpine
COPY --from=build /app/dist /usr/share/nginx/html</t>
        </is>
      </c>
      <c r="B16" s="29" t="inlineStr">
        <is>
          <t>MEANING (SHORT):
A multi-stage Dockerfile has several FROM stages, and the final image contains only what is copied from earlier stages.
CODE:
FROM node:20 AS build
WORKDIR /app
COPY package*.json ./
RUN npm ci
COPY . .
RUN npm run build
FROM nginx:1.27-alpine
COPY --from=build /app/dist /usr/share/nginx/html
OUTPUT:
The final image is a small nginx image holding only the built site, without Node.js, source code or dependencies.
EXPLANATION:
Each FROM starts a new stage, and only the last stage becomes the image unless you choose another with --target. Files are moved between stages with COPY --from. This keeps compilers, test tools and source code out of the final image, which makes it smaller and reduces the attack surface. You can also stop at a stage for testing.
SIMPLE EXPLANATION (HINGLISH):
Build in one stage, copy the result into a clean small stage, and ship that. The final image has none of the build tools.
REAL-LIFE ANALOGY:
It is a workshop where the product is built, and only the finished product goes into the shop box.
SYNTAX PATTERN:
FROM base AS name ... FROM runtime ... COPY --from=name src dest
ANATOMY:
AS = name a stage | COPY --from = take files from a stage | --target = build up to a stage
EXAMPLE 1:
COPY --from=build /app/dist /usr/share/nginx/html
EXAMPLE 2:
docker build --target build -t myapp:test .
EXAMPLE 3:
FROM golang:1.22 AS builder ... FROM scratch
VARIATION:
COPY --from=nginx:latest /etc/nginx/nginx.conf /tmp/   // copy from an external image
FROM base AS test   // a stage used only for tests
USED WITH:
COPY --from, small base images, CI
RELATED CONCEPTS:
FROM, layers and cache, security
ALTERNATIVES:
Distroless runtime images
WHERE IT IS USED:
Compiled languages | Front-end builds | Slim production images
MINI CONVERSATION:
A: Our image contains compilers and is huge. | B: Use a multi-stage build and copy only the built output.
COMMON MISTAKE:
✗ All stages end up in the final image → ✓ Only the last stage, or the one chosen with --target, becomes the image
COMMONLY CONFUSED WITH:
Multi-stage vs one big image: multi-stage keeps build tools out of the final image.
AVOID / DON'T:
Do not copy the whole build stage into the final one.
WRONG CODE:
COPY --from=build /app /app
RIGHT CODE:
COPY --from=build /app/dist /usr/share/nginx/html
MEMORY TRICK:
Build in one stage, ship from another.
REAL LIFE: PROJECT / WORK:
Shrinking a service image by compiling in one stage and running in another.
REAL LIFE: INTERVIEW / EXAM:
An interviewer may ask: Why use multi-stage builds?
REAL LIFE: DAILY LIFE:
It is like a workshop where only the finished product goes into the box.</t>
        </is>
      </c>
      <c r="C16" s="29" t="inlineStr">
        <is>
          <t>02_Dockerfile_Advanced_DKR-015</t>
        </is>
      </c>
    </row>
    <row r="17" ht="409" customHeight="1">
      <c r="A17" s="29" t="inlineStr">
        <is>
          <t>Running as a non-root user
Which instruction makes the container's main process run as an ordinary user instead of root?
RUN groupadd -r app &amp;&amp; useradd -r -g app app
COPY --chown=app:app . /app
USER app
CMD ["python", "app.py"]</t>
        </is>
      </c>
      <c r="B17" s="29" t="inlineStr">
        <is>
          <t>MEANING (SHORT):
USER sets the user for later instructions and for the running container, so the process does not run as root.
CODE:
RUN groupadd -r app &amp;&amp; useradd -r -g app app
COPY --chown=app:app . /app
USER app
CMD ["python", "app.py"]
OUTPUT:
The container's main process runs as the user app, without root privileges.
EXPLANATION:
Root inside a container is still powerful on the shared kernel, so limiting privileges reduces damage from a compromise. A non-root user cannot bind to ports below 1024 in many setups, so use a higher port. Files must be readable by that user. Some official images already provide a user, such as node. You can also set the user at run time with --user.
SIMPLE EXPLANATION (HINGLISH):
Create a normal user, give it the files, and switch with USER before CMD. Use ports above 1024.
REAL-LIFE ANALOGY:
Running as root is leaving the master key with every visitor, and USER hands over a normal key.
SYNTAX PATTERN:
USER name[:group]
ANATOMY:
USER = switch user | useradd = create the user | --chown = give files to the user
EXAMPLE 1:
USER node
EXAMPLE 2:
USER 10001
EXAMPLE 3:
docker run --user 1000:1000 image
VARIATION:
USER 10001:10001   // numeric ids work well with orchestrators
readOnlyRootFilesystem in Kubernetes   // a further hardening step
USED WITH:
COPY --chown, ports, security scanning
RELATED CONCEPTS:
security, secrets, Kubernetes security
ALTERNATIVES:
Rootless Docker for the whole daemon
WHERE IT IS USED:
Production images | Security reviews | Orchestrated clusters
MINI CONVERSATION:
A: Our scanner complains that containers run as root. | B: Add a non-root user and switch to it with USER.
COMMON MISTAKE:
✗ Root inside a container is harmless because of isolation → ✓ Root in a container is still a risk, so run as a normal user
COMMONLY CONFUSED WITH:
USER vs sudo: USER sets who the process runs as, sudo is for temporary elevation.
AVOID / DON'T:
Do not leave application containers running as root.
WRONG CODE:
CMD ["python", "app.py"]   # as root by default
RIGHT CODE:
USER app
CMD ["python", "app.py"]
MEMORY TRICK:
Add a user, then switch to it.
REAL LIFE: PROJECT / WORK:
Making all service images run as a normal user to pass a security review.
REAL LIFE: INTERVIEW / EXAM:
An interviewer may ask: Why should containers not run as root?
REAL LIFE: DAILY LIFE:
It is like giving visitors a normal key instead of the master key.</t>
        </is>
      </c>
      <c r="C17" s="29" t="inlineStr">
        <is>
          <t>02_Dockerfile_Intermediate_DKR-016</t>
        </is>
      </c>
    </row>
    <row r="18" ht="409" customHeight="1">
      <c r="A18" s="29" t="inlineStr">
        <is>
          <t>docker run
Which command creates a new container from an image and starts it?
docker run -d --name web -p 8080:80 nginx:1.27</t>
        </is>
      </c>
      <c r="B18" s="29" t="inlineStr">
        <is>
          <t>MEANING (SHORT):
docker run creates a container from an image, starts it, and optionally attaches your terminal to it.
CODE:
docker run -d --name web -p 8080:80 nginx:1.27
OUTPUT:
A long container ID is printed, and nginx is now reachable at http://localhost:8080.
EXPLANATION:
-d runs the container in the background. --name gives a readable name instead of a random one. -p publishes a container port on the host. Everything after the image name is the command and its arguments. If the image is missing locally, Docker pulls it first.
SIMPLE EXPLANATION (HINGLISH):
docker run = create + start. Use -d for background, --name for a label, -p for ports.
REAL-LIFE ANALOGY:
It is like unpacking a boxed appliance and plugging it in at once.
SYNTAX PATTERN:
docker run [options] image [command] [args]
ANATOMY:
-d = background | --name = label | -p host:container = publish port | --rm = remove on exit | -it = interactive terminal
EXAMPLE 1:
docker run --rm hello-world
EXAMPLE 2:
docker run -it --rm alpine sh
EXAMPLE 3:
docker run -d -e POSTGRES_PASSWORD=secret postgres:16
VARIATION:
docker run --restart unless-stopped -d myapp   // restart after crashes and reboots
USED WITH:
docker ps, docker logs, docker stop
RELATED CONCEPTS:
docker ps, docker exec, port mapping
ALTERNATIVES:
docker compose up | docker create followed by docker start
WHERE IT IS USED:
Local testing | Quick tools | One-off jobs
MINI CONVERSATION:
A: The page does not load. | B: You forgot -p, so no host port points at the container.
COMMON MISTAKE:
✗ Running docker run twice just restarts the same container → ✓ Each docker run creates a brand new container
COMMONLY CONFUSED WITH:
docker run vs docker start: run creates a new container, start restarts an existing one.
AVOID / DON'T:
Do not use unnamed, never-removed containers for everyday testing.
WRONG CODE:
docker run nginx -d
RIGHT CODE:
docker run -d nginx
MEMORY TRICK:
Options go before the image, command after.
REAL LIFE: PROJECT / WORK:
Starting a local Postgres container so the team could test migrations.
REAL LIFE: INTERVIEW / EXAM:
An interviewer may ask: What does docker run do step by step?
REAL LIFE: DAILY LIFE:
It is like unpacking an appliance and switching it on at once.</t>
        </is>
      </c>
      <c r="C18" s="29" t="inlineStr">
        <is>
          <t>03_Docker_CLI_Beginner_DKR-017</t>
        </is>
      </c>
    </row>
    <row r="19" ht="409" customHeight="1">
      <c r="A19" s="29" t="inlineStr">
        <is>
          <t>docker ps
Which command lists containers so you can see what is running or has stopped?
docker ps -a --format "table {{.Names}}\t{{.Status}}\t{{.Ports}}"</t>
        </is>
      </c>
      <c r="B19" s="29" t="inlineStr">
        <is>
          <t>MEANING (SHORT):
docker ps lists running containers, and with -a it also lists stopped ones.
CODE:
docker ps -a --format "table {{.Names}}\t{{.Status}}\t{{.Ports}}"
OUTPUT:
A table shows each container's name, status such as Up 3 minutes or Exited (1), and its ports.
EXPLANATION:
Without options only running containers appear. -a adds stopped containers, which is where a crashed container hides. -q prints only IDs, useful for scripting. --filter narrows the list, for example by status or name. --format controls columns using a Go template.
SIMPLE EXPLANATION (HINGLISH):
docker ps shows running containers, docker ps -a shows all of them.
REAL-LIFE ANALOGY:
It is like the attendance sheet in a classroom.
SYNTAX PATTERN:
docker ps [-a] [-q] [--filter key=value] [--format template]
ANATOMY:
-a = include stopped | -q = IDs only | --filter = narrow | --format = custom columns
EXAMPLE 1:
docker ps
EXAMPLE 2:
docker ps --filter status=exited
EXAMPLE 3:
docker ps -q
VARIATION:
docker container ls -a   // the longer, equivalent form
USED WITH:
docker logs, docker rm, docker stop
RELATED CONCEPTS:
docker logs, docker stop and rm, docker run
ALTERNATIVES:
docker compose ps | docker stats
WHERE IT IS USED:
Checking health | Finding crashed containers | Scripts
MINI CONVERSATION:
A: My container disappeared. | B: Run docker ps -a, it probably exited.
COMMON MISTAKE:
✗ A container missing from docker ps was deleted → ✓ It may simply have stopped, so check with -a
COMMONLY CONFUSED WITH:
docker ps vs docker images: ps lists containers, images lists templates.
AVOID / DON'T:
Do not assume a container is gone before checking with -a.
WRONG CODE:
docker ps --stopped
RIGHT CODE:
docker ps --filter status=exited
MEMORY TRICK:
Add dash a to see all of them.
REAL LIFE: PROJECT / WORK:
Checking which containers crashed after a deploy by listing exited ones.
REAL LIFE: INTERVIEW / EXAM:
An interviewer may ask: How do you find a stopped container?
REAL LIFE: DAILY LIFE:
It is like checking the full attendance sheet, including absentees.</t>
        </is>
      </c>
      <c r="C19" s="29" t="inlineStr">
        <is>
          <t>03_Docker_CLI_Beginner_DKR-018</t>
        </is>
      </c>
    </row>
    <row r="20" ht="409" customHeight="1">
      <c r="A20" s="29" t="inlineStr">
        <is>
          <t>docker logs
Which command shows what a container has printed to its output?
docker logs -f --tail 100 --since 10m web</t>
        </is>
      </c>
      <c r="B20" s="29" t="inlineStr">
        <is>
          <t>MEANING (SHORT):
docker logs prints the standard output and standard error that a container has written.
CODE:
docker logs -f --tail 100 --since 10m web
OUTPUT:
The last 100 lines are shown, then new lines keep appearing as the container writes them.
EXPLANATION:
Docker captures what the main process writes to stdout and stderr. A service that writes only to a file inside the container shows nothing here. --since limits by time, and -t adds timestamps. Logs live as long as the container, so removing it removes them unless a log driver ships them elsewhere.
SIMPLE EXPLANATION (HINGLISH):
docker logs name shows output, -f follows it, --tail limits the lines.
REAL-LIFE ANALOGY:
It is like reading a diary the container wrote while you were away.
SYNTAX PATTERN:
docker logs [-f] [--tail N] [--since time] [-t] container
ANATOMY:
-f = follow | --tail N = last N lines | --since = recent only | -t = timestamps
EXAMPLE 1:
docker logs web
EXAMPLE 2:
docker logs --tail 50 web
EXAMPLE 3:
docker logs -t --since 1h web
VARIATION:
docker compose logs -f api   // follow one Compose service
USED WITH:
docker ps, docker exec, log drivers
RELATED CONCEPTS:
docker ps, docker exec, logging and monitoring
ALTERNATIVES:
Central log tools | docker compose logs
WHERE IT IS USED:
Debugging | Checking startup | Incident response
MINI CONVERSATION:
A: The container exits at once. | B: Check docker logs to read its last error.
COMMON MISTAKE:
✗ docker logs shows every file inside the container → ✓ It shows only what the main process sent to stdout and stderr
COMMONLY CONFUSED WITH:
docker logs vs docker exec: logs reads past output, exec runs a new command.
AVOID / DON'T:
Do not write application logs only to a file inside the container.
WRONG CODE:
docker logs web --follow-all
RIGHT CODE:
docker logs -f web
MEMORY TRICK:
Follow flag keeps the diary open.
REAL LIFE: PROJECT / WORK:
Reading startup logs to find a missing environment variable in staging.
REAL LIFE: INTERVIEW / EXAM:
An interviewer may ask: How do you debug a container that exits immediately?
REAL LIFE: DAILY LIFE:
It is like reading the diary of someone who left the room.</t>
        </is>
      </c>
      <c r="C20" s="29" t="inlineStr">
        <is>
          <t>03_Docker_CLI_Beginner_DKR-019</t>
        </is>
      </c>
    </row>
    <row r="21" ht="409" customHeight="1">
      <c r="A21" s="29" t="inlineStr">
        <is>
          <t>docker exec
Which command runs an extra command inside a container that is already running?
docker exec -it web sh</t>
        </is>
      </c>
      <c r="B21" s="29" t="inlineStr">
        <is>
          <t>MEANING (SHORT):
docker exec runs a new command inside a running container, often an interactive shell.
CODE:
docker exec -it web sh
OUTPUT:
A shell prompt opens inside the container, and typing exit returns you to the host.
EXPLANATION:
exec needs a running container, and it starts an additional process without touching the main one. -i keeps input open and -t gives a terminal, so -it is needed for a shell. Slim images may have sh but not bash. Changes made inside are lost when the container is replaced.
SIMPLE EXPLANATION (HINGLISH):
docker exec -it name sh opens a shell inside a running container.
REAL-LIFE ANALOGY:
It is like walking through a side door into a room that stays busy.
SYNTAX PATTERN:
docker exec [-it] [-u user] [-w dir] container command
ANATOMY:
-i = keep input open | -t = terminal | -u = run as user | -w = working folder
EXAMPLE 1:
docker exec web ls /app
EXAMPLE 2:
docker exec -u root -it web sh
EXAMPLE 3:
docker exec db psql -U postgres -c "select 1"
VARIATION:
docker exec -e DEBUG=1 web env   // pass a variable to this one command
USED WITH:
docker ps, docker logs, docker cp
RELATED CONCEPTS:
docker run, docker logs, debugging a failing container
ALTERNATIVES:
docker run for a new container | docker compose exec
WHERE IT IS USED:
Debugging | Running migrations | Database access
MINI CONVERSATION:
A: How do I check the config inside? | B: Open a shell with docker exec -it.
COMMON MISTAKE:
✗ docker exec starts a new container → ✓ It runs an extra process in the existing running container
COMMONLY CONFUSED WITH:
docker exec vs docker run: exec uses a running container, run makes a new one.
AVOID / DON'T:
Do not hot-fix production containers by hand through exec.
WRONG CODE:
docker exec web sh
RIGHT CODE:
docker exec -it web sh
MEMORY TRICK:
Interactive shell needs both i and t.
REAL LIFE: PROJECT / WORK:
Opening a shell in the API container to check mounted config files.
REAL LIFE: INTERVIEW / EXAM:
An interviewer may ask: How would you inspect a running container?
REAL LIFE: DAILY LIFE:
It is like entering through a side door without stopping the work.</t>
        </is>
      </c>
      <c r="C21" s="29" t="inlineStr">
        <is>
          <t>03_Docker_CLI_Beginner_DKR-020</t>
        </is>
      </c>
    </row>
    <row r="22" ht="409" customHeight="1">
      <c r="A22" s="29" t="inlineStr">
        <is>
          <t>docker stop and docker rm
Which commands stop a container and then delete it?
docker stop web
docker rm web
docker rm -f old-api</t>
        </is>
      </c>
      <c r="B22" s="29" t="inlineStr">
        <is>
          <t>MEANING (SHORT):
docker stop sends a polite stop signal and then kills after a timeout, and docker rm deletes a stopped container.
CODE:
docker stop web
docker rm web
docker rm -f old-api
OUTPUT:
The names are echoed back, web is gone, and old-api is force removed even if it was running.
EXPLANATION:
stop sends SIGTERM and waits, 10 seconds by default, before SIGKILL. A stopped container still exists and keeps its writable layer until it is removed. rm refuses to delete a running container unless you add -f. Named volumes always survive rm, and -v removes only anonymous volumes.
SIMPLE EXPLANATION (HINGLISH):
stop shuts it down gracefully, rm deletes it, rm -f does both quickly.
REAL-LIFE ANALOGY:
It is like powering a machine off and then carrying it out of the room.
SYNTAX PATTERN:
docker stop [-t seconds] container | docker rm [-f] [-v] container
ANATOMY:
stop = graceful shutdown | -t = wait time | rm = delete | -f = force | -v = remove anonymous volumes
EXAMPLE 1:
docker stop web
EXAMPLE 2:
docker rm -f web
EXAMPLE 3:
docker rm $(docker ps -aq --filter status=exited)
VARIATION:
docker container prune   // remove all stopped containers
USED WITH:
docker ps, docker run, docker volume
RELATED CONCEPTS:
docker ps, volumes, docker prune
ALTERNATIVES:
docker run --rm | docker compose down
WHERE IT IS USED:
Cleanup | Redeploys | Local development
MINI CONVERSATION:
A: The name is already in use. | B: Remove the old container with docker rm first.
COMMON MISTAKE:
✗ docker stop deletes the container → ✓ It only stops it, and the container remains until removed
COMMONLY CONFUSED WITH:
docker stop vs docker kill: stop is graceful, kill is immediate.
AVOID / DON'T:
Do not remove a database container without checking where its data lives.
WRONG CODE:
docker rm web
RIGHT CODE:
docker stop web &amp;&amp; docker rm web
MEMORY TRICK:
Stop first, then remove, or force it.
REAL LIFE: PROJECT / WORK:
Cleaning exited test containers before each local integration run.
REAL LIFE: INTERVIEW / EXAM:
An interviewer may ask: What signal does docker stop send?
REAL LIFE: DAILY LIFE:
It is like switching a machine off before carrying it out.</t>
        </is>
      </c>
      <c r="C22" s="29" t="inlineStr">
        <is>
          <t>03_Docker_CLI_Beginner_DKR-021</t>
        </is>
      </c>
    </row>
    <row r="23" ht="409" customHeight="1">
      <c r="A23" s="29" t="inlineStr">
        <is>
          <t>docker images
Which command lists the images stored on your machine and how big they are?
docker images
docker image rm nginx:1.25
docker history myapp:1.0</t>
        </is>
      </c>
      <c r="B23" s="29" t="inlineStr">
        <is>
          <t>MEANING (SHORT):
docker images lists local images with repository, tag, image ID, age and size.
CODE:
docker images
docker image rm nginx:1.25
docker history myapp:1.0
OUTPUT:
The table lists images, nginx 1.25 is deleted, and the history shows each layer with its size.
EXPLANATION:
An image can have several tags pointing at one ID. Removing a tag only deletes the image when no other tag or container uses it. Untagged leftovers show as dangling entries with none as the name. docker history reveals which instruction added the weight.
SIMPLE EXPLANATION (HINGLISH):
docker images lists them, docker image rm deletes one, docker history shows layer sizes.
REAL-LIFE ANALOGY:
It is like the inventory list of all templates on the shelf.
SYNTAX PATTERN:
docker images [-a] [--filter dangling=true] | docker image rm image
ANATOMY:
REPOSITORY = name | TAG = version label | IMAGE ID = fingerprint | SIZE = disk space
EXAMPLE 1:
docker images
EXAMPLE 2:
docker images --filter dangling=true
EXAMPLE 3:
docker image prune
VARIATION:
docker image ls --format "{{.Repository}}:{{.Tag}} {{.Size}}"   // custom output
USED WITH:
docker pull, docker build, docker history
RELATED CONCEPTS:
image tags and digests, layers and cache, docker prune
ALTERNATIVES:
docker system df
WHERE IT IS USED:
Disk cleanup | Size checks | Build review
MINI CONVERSATION:
A: My disk is full. | B: List images and remove the unused big ones.
COMMON MISTAKE:
✗ Removing an image removes running containers made from it → ✓ A used image cannot be removed until its containers are gone
COMMONLY CONFUSED WITH:
docker images vs docker ps: images are templates, ps shows running instances.
AVOID / DON'T:
Do not delete images blindly without checking which containers use them.
WRONG CODE:
docker rm nginx:1.25
RIGHT CODE:
docker image rm nginx:1.25
MEMORY TRICK:
Images lists templates, rm needs image first.
REAL LIFE: PROJECT / WORK:
Finding a bloated base image by comparing sizes in the local list.
REAL LIFE: INTERVIEW / EXAM:
An interviewer may ask: What is a dangling image?
REAL LIFE: DAILY LIFE:
It is like checking which tools sit unused on a shelf.</t>
        </is>
      </c>
      <c r="C23" s="29" t="inlineStr">
        <is>
          <t>03_Docker_CLI_Beginner_DKR-022</t>
        </is>
      </c>
    </row>
    <row r="24" ht="409" customHeight="1">
      <c r="A24" s="29" t="inlineStr">
        <is>
          <t>docker pull and docker push
Which commands download an image from a registry and upload yours to one?
docker login ghcr.io
docker tag myapp:1.0 ghcr.io/acme/myapp:1.0
docker push ghcr.io/acme/myapp:1.0
docker pull ghcr.io/acme/myapp:1.0</t>
        </is>
      </c>
      <c r="B24" s="29" t="inlineStr">
        <is>
          <t>MEANING (SHORT):
docker pull downloads an image from a registry, and docker push uploads a tagged local image to one.
CODE:
docker login ghcr.io
docker tag myapp:1.0 ghcr.io/acme/myapp:1.0
docker push ghcr.io/acme/myapp:1.0
docker pull ghcr.io/acme/myapp:1.0
OUTPUT:
Login succeeds, layers are uploaded, and the pull on another machine downloads the same layers.
EXPLANATION:
The image name carries the registry host and repository, so a push goes where the name says. Only layers the registry lacks are uploaded. Pulling a tag fetches whatever it points to now, while a digest is fixed. CI systems usually log in with a short-lived token rather than a password.
SIMPLE EXPLANATION (HINGLISH):
Tag with the registry name, login, push. Pull on any machine to get it back.
REAL-LIFE ANALOGY:
It is like uploading a file to a shared drive and downloading it elsewhere.
SYNTAX PATTERN:
docker pull registry/repo:tag | docker push registry/repo:tag
ANATOMY:
registry = server host | repo = path | tag = version | login = authenticate first
EXAMPLE 1:
docker pull python:3.12-slim
EXAMPLE 2:
docker push acme/api:2.1
EXAMPLE 3:
docker pull ghcr.io/acme/api@sha256:abc123
VARIATION:
docker pull --platform linux/arm64 alpine   // choose a CPU type
USED WITH:
docker login, docker tag, registries
RELATED CONCEPTS:
registries and Docker Hub, image tags and digests, docker tag and build
ALTERNATIVES:
docker save and docker load for offline moves
WHERE IT IS USED:
CI pipelines | Deployments | Sharing images
MINI CONVERSATION:
A: Push says denied. | B: Log in and tag the image with your registry namespace.
COMMON MISTAKE:
✗ docker push uploads the whole image every time → ✓ Only layers that the registry does not already have are uploaded
COMMONLY CONFUSED WITH:
docker pull vs docker run: pull only downloads, run also starts a container.
AVOID / DON'T:
Do not push images that contain secrets or credentials.
WRONG CODE:
docker push myapp:1.0
RIGHT CODE:
docker push ghcr.io/acme/myapp:1.0
MEMORY TRICK:
Name decides where the push goes.
REAL LIFE: PROJECT / WORK:
Pushing each CI build to the registry tagged with the commit hash.
REAL LIFE: INTERVIEW / EXAM:
An interviewer may ask: Why does a push fail with denied?
REAL LIFE: DAILY LIFE:
It is like uploading to a shared drive using the right folder path.</t>
        </is>
      </c>
      <c r="C24" s="29" t="inlineStr">
        <is>
          <t>03_Docker_CLI_Intermediate_DKR-023</t>
        </is>
      </c>
    </row>
    <row r="25" ht="409" customHeight="1">
      <c r="A25" s="29" t="inlineStr">
        <is>
          <t>docker build and docker tag
Which commands turn a Dockerfile into an image and give that image a name?
docker build -t myapp:1.0 -f Dockerfile .
docker tag myapp:1.0 myapp:latest</t>
        </is>
      </c>
      <c r="B25" s="29" t="inlineStr">
        <is>
          <t>MEANING (SHORT):
docker build reads a Dockerfile and a build context to create an image, and docker tag adds another name to an existing image.
CODE:
docker build -t myapp:1.0 -f Dockerfile .
docker tag myapp:1.0 myapp:latest
OUTPUT:
Each step runs, the image myapp:1.0 is created, and a second tag latest points at the same image.
EXPLANATION:
The final dot is the build context, the folder sent to Docker, and COPY can only use files inside it. -f picks a Dockerfile with another name. --build-arg passes ARG values and --no-cache ignores the cache. Tagging does not copy data, it adds a name to the same image ID.
SIMPLE EXPLANATION (HINGLISH):
docker build -t name . builds an image from the Dockerfile in this folder.
REAL-LIFE ANALOGY:
It is like baking from a recipe and then sticking labels on the box.
SYNTAX PATTERN:
docker build [-t name:tag] [-f file] [--build-arg K=V] context
ANATOMY:
-t = name and tag | -f = Dockerfile path | context = folder sent to Docker | --no-cache = rebuild all
EXAMPLE 1:
docker build -t api:dev .
EXAMPLE 2:
docker build --build-arg NODE_VERSION=22 -t web .
EXAMPLE 3:
docker build --no-cache -t api:clean .
VARIATION:
docker buildx build --platform linux/amd64 -t api .   // build for a chosen CPU
USED WITH:
Dockerfile, .dockerignore, registries
RELATED CONCEPTS:
layers and cache, .dockerignore, BuildKit
ALTERNATIVES:
docker compose build | CI build actions
WHERE IT IS USED:
Local builds | CI pipelines | Releases
MINI CONVERSATION:
A: Docker says it cannot find my file. | B: The path is outside the build context.
COMMON MISTAKE:
✗ The dot at the end of docker build is optional → ✓ It sets the build context and is required
COMMONLY CONFUSED WITH:
docker build vs docker run: build makes the image, run starts a container from it.
AVOID / DON'T:
Do not build from a huge folder without a .dockerignore.
WRONG CODE:
docker build -t myapp
RIGHT CODE:
docker build -t myapp .
MEMORY TRICK:
Dot at the end means this folder.
REAL LIFE: PROJECT / WORK:
Building an image tagged with the Git commit so every release is traceable.
REAL LIFE: INTERVIEW / EXAM:
An interviewer may ask: What is the build context?
REAL LIFE: DAILY LIFE:
It is like baking from a recipe in the kitchen you stand in.</t>
        </is>
      </c>
      <c r="C25" s="29" t="inlineStr">
        <is>
          <t>03_Docker_CLI_Intermediate_DKR-024</t>
        </is>
      </c>
    </row>
    <row r="26" ht="409" customHeight="1">
      <c r="A26" s="29" t="inlineStr">
        <is>
          <t>Volumes
Which Docker storage keeps data alive after the container is deleted?
docker volume create pgdata
docker run -d -e POSTGRES_PASSWORD=example -v pgdata:/var/lib/postgresql/data postgres:16
docker volume ls</t>
        </is>
      </c>
      <c r="B26" s="29" t="inlineStr">
        <is>
          <t>MEANING (SHORT):
A volume is storage managed by Docker and mounted into a container, and it persists independently of the container.
CODE:
docker volume create pgdata
docker run -d -e POSTGRES_PASSWORD=example -v pgdata:/var/lib/postgresql/data postgres:16
docker volume ls
OUTPUT:
The volume is created, mounted in the database folder, and listed after the container is removed too.
EXPLANATION:
Docker stores volume contents in its own area on the host, so you do not manage paths. Removing the container leaves the volume. Several containers can share one volume. docker volume rm deletes it permanently, and docker volume prune removes unused ones.
SIMPLE EXPLANATION (HINGLISH):
Mount a named volume at the folder where an app saves data, and the data outlives the container.
REAL-LIFE ANALOGY:
It is like a safe deposit box that stays when the clerk changes.
SYNTAX PATTERN:
docker run -v volume_name:/path/in/container image
ANATOMY:
volume_name = Docker managed storage | /path = mount point inside | docker volume = manage them
EXAMPLE 1:
docker volume create appdata
EXAMPLE 2:
docker run -v appdata:/data alpine ls /data
EXAMPLE 3:
docker volume inspect appdata
VARIATION:
docker run --mount type=volume,src=appdata,dst=/data alpine   // the longer, explicit form
USED WITH:
docker run, Compose volumes, backups
RELATED CONCEPTS:
bind mounts, tmpfs, Compose networks and volumes
ALTERNATIVES:
Bind mounts | Cloud databases
WHERE IT IS USED:
Databases | Uploads | Persistent state
MINI CONVERSATION:
A: My database is empty after redeploy. | B: Mount a named volume on its data folder.
COMMON MISTAKE:
✗ Data written inside a container is permanent → ✓ It is lost when the container is removed unless stored in a volume
COMMONLY CONFUSED WITH:
Volume vs bind mount: a volume is managed by Docker, a bind mount is a host path you pick.
AVOID / DON'T:
Do not delete volumes without checking for needed data.
WRONG CODE:
docker run -v /var/lib/postgresql/data postgres:16
RIGHT CODE:
docker run -v pgdata:/var/lib/postgresql/data postgres:16
MEMORY TRICK:
Name before the colon makes it persist.
REAL LIFE: PROJECT / WORK:
Keeping the Postgres data in a named volume across container upgrades.
REAL LIFE: INTERVIEW / EXAM:
An interviewer may ask: How do you persist data in Docker?
REAL LIFE: DAILY LIFE:
It is like keeping valuables in a bank box, not your desk.</t>
        </is>
      </c>
      <c r="C26" s="29" t="inlineStr">
        <is>
          <t>04_Storage_and_Networking_Intermediate_DKR-025</t>
        </is>
      </c>
    </row>
    <row r="27" ht="409" customHeight="1">
      <c r="A27" s="29" t="inlineStr">
        <is>
          <t>Bind mounts
Which mount links a real folder on your computer into a container?
docker run --rm -v "$(pwd)":/app -w /app node:22 node index.js</t>
        </is>
      </c>
      <c r="B27" s="29" t="inlineStr">
        <is>
          <t>MEANING (SHORT):
A bind mount maps an exact host path into a container, so both see the same files.
CODE:
docker run --rm -v "$(pwd)":/app -w /app node:22 node index.js
OUTPUT:
The container runs index.js from your current folder, and edits on the host appear immediately inside.
EXPLANATION:
The host path must be absolute in the short -v form, which is why $(pwd) is used. Changes are shared both ways, so a container can modify your files. Add :ro to make it read-only. File ownership may differ between host and container, which can cause permission errors on Linux.
SIMPLE EXPLANATION (HINGLISH):
A bind mount shares one real host folder with the container. Great for development.
REAL-LIFE ANALOGY:
It is like a window that shows your own desk inside another room.
SYNTAX PATTERN:
docker run -v /host/path:/container/path[:ro] image
ANATOMY:
/host/path = real folder | /container/path = where it appears | :ro = read only
EXAMPLE 1:
docker run -v "$(pwd)":/site -p 8080:80 nginx
EXAMPLE 2:
docker run -v "$(pwd)"/conf:/etc/app:ro myapp
EXAMPLE 3:
docker run --mount type=bind,src="$(pwd)",dst=/app myapp
VARIATION:
volumes: ["./src:/app/src"]   // relative paths work in Compose files
USED WITH:
docker run, Compose, hot reload tools
RELATED CONCEPTS:
volumes, tmpfs, docker run
ALTERNATIVES:
Named volumes | docker cp for one-off copies
WHERE IT IS USED:
Local development | Config files | Live reload
MINI CONVERSATION:
A: My changes do not show up. | B: Bind mount the source folder so edits appear live.
COMMON MISTAKE:
✗ Bind mounts and volumes are the same thing → ✓ A bind mount uses a host path you choose, a volume is managed by Docker
COMMONLY CONFUSED WITH:
Bind mount vs volume: bind uses your path, volume uses Docker's storage.
AVOID / DON'T:
Do not bind mount sensitive host folders read-write.
WRONG CODE:
docker run -v app:/app myapp
RIGHT CODE:
docker run -v "$(pwd)":/app myapp
MEMORY TRICK:
A slash path means a real host folder.
REAL LIFE: PROJECT / WORK:
Mounting source code so the dev server reloaded on every save.
REAL LIFE: INTERVIEW / EXAM:
An interviewer may ask: When would you choose a bind mount?
REAL LIFE: DAILY LIFE:
It is like a window showing your own desk elsewhere.</t>
        </is>
      </c>
      <c r="C27" s="29" t="inlineStr">
        <is>
          <t>04_Storage_and_Networking_Intermediate_DKR-026</t>
        </is>
      </c>
    </row>
    <row r="28" ht="409" customHeight="1">
      <c r="A28" s="29" t="inlineStr">
        <is>
          <t>tmpfs mounts
Which mount keeps data only in memory and never writes it to disk?
docker run --rm --tmpfs /scratch:rw,size=64m alpine sh -c "echo hi &gt; /scratch/a &amp;&amp; ls /scratch"</t>
        </is>
      </c>
      <c r="B28" s="29" t="inlineStr">
        <is>
          <t>MEANING (SHORT):
A tmpfs mount stores data in the host memory, and it is deleted when the container stops.
CODE:
docker run --rm --tmpfs /scratch:rw,size=64m alpine sh -c "echo hi &gt; /scratch/a &amp;&amp; ls /scratch"
OUTPUT:
The file a is created and listed, and it disappears once the container exits.
EXPLANATION:
Data lives in RAM, so it is fast but limited by the size you set. Nothing persists after stop or restart. It works on Linux containers only. It pairs well with a read-only root file system, where the app still needs one writable scratch folder.
SIMPLE EXPLANATION (HINGLISH):
tmpfs is temporary memory storage that vanishes at stop.
REAL-LIFE ANALOGY:
It is like a whiteboard that clears itself when the room closes.
SYNTAX PATTERN:
docker run --tmpfs /path[:options] image
ANATOMY:
/path = mount point | size= = memory cap | rw = writable
EXAMPLE 1:
docker run --tmpfs /tmp alpine
EXAMPLE 2:
docker run --tmpfs /run:size=16m alpine
EXAMPLE 3:
docker run --read-only --tmpfs /tmp alpine
VARIATION:
docker run --mount type=tmpfs,dst=/tmp alpine   // the explicit form
USED WITH:
read-only containers, security hardening
RELATED CONCEPTS:
volumes, bind mounts, security and operations
ALTERNATIVES:
Volumes | Writable container layer
WHERE IT IS USED:
Temp files | Sensitive data | Hardened containers
MINI CONVERSATION:
A: My app needs to write temp files but the root is read-only. | B: Add a tmpfs at /tmp.
COMMON MISTAKE:
✗ tmpfs data survives a container restart → ✓ It is erased every time the container stops
COMMONLY CONFUSED WITH:
tmpfs vs volume: tmpfs is memory and temporary, a volume is disk and lasting.
AVOID / DON'T:
Do not store anything you need to keep in tmpfs.
WRONG CODE:
docker run -v tmp:/scratch alpine
RIGHT CODE:
docker run --tmpfs /scratch alpine
MEMORY TRICK:
Tmp in the name means temporary memory.
REAL LIFE: PROJECT / WORK:
Giving a read-only API container a small tmpfs for its temp files.
REAL LIFE: INTERVIEW / EXAM:
An interviewer may ask: Where would tmpfs help security?
REAL LIFE: DAILY LIFE:
It is like writing on a whiteboard that clears itself.</t>
        </is>
      </c>
      <c r="C28" s="29" t="inlineStr">
        <is>
          <t>04_Storage_and_Networking_Intermediate_DKR-027</t>
        </is>
      </c>
    </row>
    <row r="29" ht="409" customHeight="1">
      <c r="A29" s="29" t="inlineStr">
        <is>
          <t>Bridge networks
Which Docker network lets containers on one host talk to each other by name?
docker network create appnet
docker run -d --name db --network appnet -e POSTGRES_PASSWORD=example postgres:16
docker run --rm --network appnet alpine ping -c 1 db</t>
        </is>
      </c>
      <c r="B29" s="29" t="inlineStr">
        <is>
          <t>MEANING (SHORT):
A bridge network is a virtual switch on the host, and containers attached to the same user-defined bridge can reach one another by name.
CODE:
docker network create appnet
docker run -d --name db --network appnet -e POSTGRES_PASSWORD=example postgres:16
docker run --rm --network appnet alpine ping -c 1 db
OUTPUT:
The network is created, db starts on it, and the ping from the second container resolves db and replies.
EXPLANATION:
The default bridge does not give name lookup, but a user-defined bridge does. Containers on different networks cannot talk unless connected to both. docker network connect adds a running container to another network. Nothing is reachable from outside until you publish ports.
SIMPLE EXPLANATION (HINGLISH):
Put related containers on one custom network and use their names as addresses.
REAL-LIFE ANALOGY:
It is like an office hallway where every door has a name plate.
SYNTAX PATTERN:
docker network create name | docker run --network name image
ANATOMY:
create = new network | --network = attach | name = DNS name for the container
EXAMPLE 1:
docker network ls
EXAMPLE 2:
docker network inspect appnet
EXAMPLE 3:
docker network connect appnet web
VARIATION:
docker network create --internal backend   // no outside access
USED WITH:
container DNS, port mapping, Compose networks
RELATED CONCEPTS:
container DNS, port mapping, host network
ALTERNATIVES:
Host network | Compose default network
WHERE IT IS USED:
Multi-container apps | Isolation | Local stacks
MINI CONVERSATION:
A: My app cannot find the db host. | B: Put both on one user-defined network.
COMMON MISTAKE:
✗ All containers can always reach each other by name → ✓ Name lookup works only on a user-defined network they share
COMMONLY CONFUSED WITH:
Default bridge vs user-defined bridge: only the second gives DNS names.
AVOID / DON'T:
Do not rely on IP addresses that change between runs.
WRONG CODE:
docker run --link db myapp   # deprecated
RIGHT CODE:
docker run --network appnet myapp
MEMORY TRICK:
Custom network, custom names, easy calls.
REAL LIFE: PROJECT / WORK:
Putting the API and database on a private network away from the proxy.
REAL LIFE: INTERVIEW / EXAM:
An interviewer may ask: How do two containers talk to each other?
REAL LIFE: DAILY LIFE:
It is like an office hallway with name plates.</t>
        </is>
      </c>
      <c r="C29" s="29" t="inlineStr">
        <is>
          <t>04_Storage_and_Networking_Intermediate_DKR-028</t>
        </is>
      </c>
    </row>
    <row r="30" ht="409" customHeight="1">
      <c r="A30" s="29" t="inlineStr">
        <is>
          <t>Port mapping
Which option lets people outside the container reach a service inside it?
docker run -d -p 127.0.0.1:8080:80 --name site nginx</t>
        </is>
      </c>
      <c r="B30" s="29" t="inlineStr">
        <is>
          <t>MEANING (SHORT):
Port mapping publishes a container port on a host port so traffic to the host reaches the container.
CODE:
docker run -d -p 127.0.0.1:8080:80 --name site nginx
OUTPUT:
Visiting localhost on port 8080 shows the nginx page, but other computers cannot reach it.
EXPLANATION:
The format is host port first, then container port. Without a host address Docker listens on every interface, which can expose a service. -P publishes all exposed ports on random host ports. docker port shows the active mappings. Two containers cannot use the same host port.
SIMPLE EXPLANATION (HINGLISH):
-p host:container opens a door from the host to the container.
REAL-LIFE ANALOGY:
It is like a doorbell outside connected to a room inside.
SYNTAX PATTERN:
docker run -p [host_ip:]host_port:container_port image
ANATOMY:
host_ip = which address | host_port = outside number | container_port = inside number
EXAMPLE 1:
docker run -p 3000:3000 myapp
EXAMPLE 2:
docker run -p 5433:5432 postgres:16
EXAMPLE 3:
docker port site
VARIATION:
docker run -P nginx   // publish exposed ports on random host ports
USED WITH:
EXPOSE, docker ps, firewalls
RELATED CONCEPTS:
EXPOSE, bridge networks, network troubleshooting
ALTERNATIVES:
Reverse proxy | Host network
WHERE IT IS USED:
Local testing | Web services | Databases in development
MINI CONVERSATION:
A: Port 5432 is already in use. | B: Map a different host port such as 5433.
COMMON MISTAKE:
✗ EXPOSE in the Dockerfile opens the port on the host → ✓ Only -p or ports in Compose publishes it
COMMONLY CONFUSED WITH:
-p vs EXPOSE: -p publishes to the host, EXPOSE only documents.
AVOID / DON'T:
Do not publish database ports on all interfaces in production.
WRONG CODE:
docker run -p 80:8080 nginx
RIGHT CODE:
docker run -p 8080:80 nginx
MEMORY TRICK:
Host number first, container number second.
REAL LIFE: PROJECT / WORK:
Mapping the API to a free host port to avoid a clash with Postgres.
REAL LIFE: INTERVIEW / EXAM:
An interviewer may ask: How do you expose a container service?
REAL LIFE: DAILY LIFE:
It is like a doorbell outside wired to a room inside.</t>
        </is>
      </c>
      <c r="C30" s="29" t="inlineStr">
        <is>
          <t>04_Storage_and_Networking_Beginner_DKR-029</t>
        </is>
      </c>
    </row>
    <row r="31" ht="409" customHeight="1">
      <c r="A31" s="29" t="inlineStr">
        <is>
          <t>Container DNS
How does one container find another by simply using its name?
docker exec api getent hosts db
docker exec api sh -c "nc -zv db 5432"</t>
        </is>
      </c>
      <c r="B31" s="29" t="inlineStr">
        <is>
          <t>MEANING (SHORT):
Docker provides an embedded DNS server on user-defined networks that resolves container and service names to their current IP addresses.
CODE:
docker exec api getent hosts db
docker exec api sh -c "nc -zv db 5432"
OUTPUT:
The first command prints the address of db, and the second reports that port 5432 is open.
EXPLANATION:
The built-in resolver listens at 127.0.0.11 inside the container. It answers for container names, aliases and Compose service names on the shared network. A network alias gives extra names. If the name fails, the containers are probably on different networks.
SIMPLE EXPLANATION (HINGLISH):
Use the container or service name as the hostname, and Docker finds the address.
REAL-LIFE ANALOGY:
It is like a live phone book that updates itself.
SYNTAX PATTERN:
DB_HOST=db   // a container name used as the host
ANATOMY:
name = container or service | 127.0.0.11 = built-in resolver | alias = extra name
EXAMPLE 1:
DATABASE_URL=postgres://user:pw@db:5432/app
EXAMPLE 2:
docker run --network-alias cache --network appnet redis
EXAMPLE 3:
docker exec api nslookup db
VARIATION:
docker run --dns 1.1.1.1 myapp   // choose an external resolver
USED WITH:
bridge networks, Compose, connection strings
RELATED CONCEPTS:
bridge networks, Compose networks and volumes, network troubleshooting
ALTERNATIVES:
Hard-coded IPs, which are fragile
WHERE IT IS USED:
App to database links | Microservices | Compose
MINI CONVERSATION:
A: What host do I use for Postgres? | B: Use its service name, such as db.
COMMON MISTAKE:
✗ localhost inside a container reaches other containers → ✓ localhost is that container itself, so use the other container's name
COMMONLY CONFUSED WITH:
Container DNS vs host DNS: one resolves container names, the other resolves the internet.
AVOID / DON'T:
Do not use localhost to reach a different container.
WRONG CODE:
DATABASE_URL=postgres://user:pw@localhost:5432/app
RIGHT CODE:
DATABASE_URL=postgres://user:pw@db:5432/app
MEMORY TRICK:
Localhost means me, so use their name.
REAL LIFE: PROJECT / WORK:
Switching connection strings from localhost to the service name fixed the API.
REAL LIFE: INTERVIEW / EXAM:
An interviewer may ask: Why does localhost fail between containers?
REAL LIFE: DAILY LIFE:
It is like dialing a name from a live phone book.</t>
        </is>
      </c>
      <c r="C31" s="29" t="inlineStr">
        <is>
          <t>04_Storage_and_Networking_Intermediate_DKR-030</t>
        </is>
      </c>
    </row>
    <row r="32" ht="409" customHeight="1">
      <c r="A32" s="29" t="inlineStr">
        <is>
          <t>Host and none networks
Which network modes remove isolation, or all networking, from a container?
docker run -d --network host nginx
docker run --rm --network none alpine ip addr</t>
        </is>
      </c>
      <c r="B32" s="29" t="inlineStr">
        <is>
          <t>MEANING (SHORT):
Host mode shares the host's network stack directly, and none mode gives the container only a loopback interface.
CODE:
docker run -d --network host nginx
docker run --rm --network none alpine ip addr
OUTPUT:
Nginx listens directly on host port 80, and the second container shows only the loopback interface.
EXPLANATION:
With host mode, -p is ignored because there is no separate network, and port clashes with the host are possible. It works fully on Linux, with limits on Docker Desktop. None mode suits jobs that must have no network access, such as an offline batch tool.
SIMPLE EXPLANATION (HINGLISH):
host = share the host network, none = no network at all.
REAL-LIFE ANALOGY:
It is like a room with no walls versus a room with no doors.
SYNTAX PATTERN:
docker run --network host|none image
ANATOMY:
host = host stack | none = loopback only | bridge = default isolated
EXAMPLE 1:
docker run --network host myapp
EXAMPLE 2:
docker run --network none alpine
EXAMPLE 3:
docker network inspect bridge
VARIATION:
docker run --network container:web alpine   // share another container's network
USED WITH:
performance tuning, isolation, security
RELATED CONCEPTS:
bridge networks, port mapping, security and operations
ALTERNATIVES:
Bridge network with -p
WHERE IT IS USED:
Monitoring agents | Offline jobs | Performance tests
MINI CONVERSATION:
A: Do I need -p with host networking? | B: No, host mode ignores it.
COMMON MISTAKE:
✗ Host networking is the safe default → ✓ It removes isolation, so use it only when necessary
COMMONLY CONFUSED WITH:
Host network vs bridge: host shares the machine network, bridge isolates it.
AVOID / DON'T:
Do not run untrusted images on the host network.
WRONG CODE:
docker run --network host -p 80:80 nginx
RIGHT CODE:
docker run --network host nginx
MEMORY TRICK:
Host drops walls, none drops doors.
REAL LIFE: PROJECT / WORK:
Running a metrics agent on the host network to read machine interfaces.
REAL LIFE: INTERVIEW / EXAM:
An interviewer may ask: When would you use the none network?
REAL LIFE: DAILY LIFE:
It is like a room with no walls or no doors.</t>
        </is>
      </c>
      <c r="C32" s="29" t="inlineStr">
        <is>
          <t>04_Storage_and_Networking_Advanced_DKR-031</t>
        </is>
      </c>
    </row>
    <row r="33" ht="409" customHeight="1">
      <c r="A33" s="29" t="inlineStr">
        <is>
          <t>Network troubleshooting
Which steps do you take when one container cannot reach another?
docker network inspect appnet
docker exec api getent hosts db
docker exec api sh -c "nc -zv db 5432"
docker logs db --tail 20</t>
        </is>
      </c>
      <c r="B33" s="29" t="inlineStr">
        <is>
          <t>MEANING (SHORT):
Network troubleshooting is checking, in order, the name, the shared network, the listening port and the target process.
CODE:
docker network inspect appnet
docker exec api getent hosts db
docker exec api sh -c "nc -zv db 5432"
docker logs db --tail 20
OUTPUT:
You see both containers on appnet, the name resolves, the port answers, and the database log shows it is ready.
EXPLANATION:
Start with the name, then check both containers share a network. Next test the port from inside the caller. Then read the target's logs, since it may still be starting. Also check that the service listens on 0.0.0.0, not only 127.0.0.1, and that the right port number is used.
SIMPLE EXPLANATION (HINGLISH):
Check name, network, port, then the target's logs, all from inside the caller.
REAL-LIFE ANALOGY:
It is like tracing a phone call from the caller's own phone.
SYNTAX PATTERN:
docker exec caller nc -zv target port
ANATOMY:
network inspect = who is connected | getent = name check | nc -zv = port check | logs = target state
EXAMPLE 1:
docker exec api ping -c 1 db
EXAMPLE 2:
docker exec api cat /etc/resolv.conf
EXAMPLE 3:
docker exec db ss -ltn
VARIATION:
docker run --rm --network appnet nicolaka/netshoot   // a toolbox container for debugging
USED WITH:
docker exec, docker logs, bridge networks
RELATED CONCEPTS:
container DNS, port mapping, debugging a failing container
ALTERNATIVES:
A netshoot toolbox container
WHERE IT IS USED:
Connection errors | Compose stacks | Production incidents
MINI CONVERSATION:
A: The API says connection refused. | B: Check that the database listens on 0.0.0.0 and is on the same network.
COMMON MISTAKE:
✗ Connection refused always means a firewall → ✓ It often means nothing is listening, or the service binds only to localhost
COMMONLY CONFUSED WITH:
Refused vs timeout: refused means nobody is listening, timeout means traffic is blocked or lost.
AVOID / DON'T:
Do not guess the cause before testing from inside the caller.
WRONG CODE:
DB_HOST=127.0.0.1
RIGHT CODE:
DB_HOST=db
MEMORY TRICK:
Name, network, port, then logs.
REAL LIFE: PROJECT / WORK:
Finding that the service listened only on localhost, then binding it to all addresses.
REAL LIFE: INTERVIEW / EXAM:
An interviewer may ask: How do you debug a connection refused error?
REAL LIFE: DAILY LIFE:
It is like tracing a phone call from the caller's side.</t>
        </is>
      </c>
      <c r="C33" s="29" t="inlineStr">
        <is>
          <t>04_Storage_and_Networking_Advanced_DKR-032</t>
        </is>
      </c>
    </row>
    <row r="34" ht="409" customHeight="1">
      <c r="A34" s="29" t="inlineStr">
        <is>
          <t>The Compose file
Which file describes a whole multi-container application in one place?
services:
  web:
    build: .
    ports:
      - "8080:8000"
  db:
    image: postgres:16
    environment:
      POSTGRES_PASSWORD: example</t>
        </is>
      </c>
      <c r="B34" s="29" t="inlineStr">
        <is>
          <t>MEANING (SHORT):
A Compose file, usually compose.yaml, declares the services, networks and volumes of an application in YAML.
CODE:
services:
  web:
    build: .
    ports:
      - "8080:8000"
  db:
    image: postgres:16
    environment:
      POSTGRES_PASSWORD: example
OUTPUT:
Compose knows two services, builds web from the local Dockerfile, and pulls the postgres image for db.
EXPLANATION:
Each key under services becomes a container. The file name compose.yaml is the modern default, and docker-compose.yml still works. Indentation matters, as YAML uses spaces and not tabs. Compose creates a default network so services reach each other by service name.
SIMPLE EXPLANATION (HINGLISH):
Write the stack once in compose.yaml, then start it with docker compose up.
REAL-LIFE ANALOGY:
It is like a seating plan that places every guest in one go.
SYNTAX PATTERN:
services: name: image or build, ports, environment
ANATOMY:
services = containers | image = ready image | build = from Dockerfile | ports = published ports
EXAMPLE 1:
image: redis:7
EXAMPLE 2:
build: ./api
EXAMPLE 3:
restart: unless-stopped
VARIATION:
docker compose -f other.yaml up   // use a different file
USED WITH:
docker compose up, Dockerfile, .env files
RELATED CONCEPTS:
Compose commands, depends_on and health checks, env files
ALTERNATIVES:
Several docker run commands | Kubernetes manifests
WHERE IT IS USED:
Local stacks | Test setups | Small deployments
MINI CONVERSATION:
A: Setting up the app takes ten commands. | B: Put it in a Compose file and run one.
COMMON MISTAKE:
✗ Compose is only for production clusters → ✓ It is mostly used to define and run multi-container apps on one host
COMMONLY CONFUSED WITH:
Compose file vs Dockerfile: Compose describes many containers, a Dockerfile builds one image.
AVOID / DON'T:
Do not use tabs, YAML needs spaces.
WRONG CODE:
services:
	web:
	  image: nginx
RIGHT CODE:
services:
  web:
    image: nginx
MEMORY TRICK:
Services are the containers in one file.
REAL LIFE: PROJECT / WORK:
Replacing a README of setup commands with one compose.yaml for new developers.
REAL LIFE: INTERVIEW / EXAM:
An interviewer may ask: What problem does Docker Compose solve?
REAL LIFE: DAILY LIFE:
It is like one seating plan for a whole party.</t>
        </is>
      </c>
      <c r="C34" s="29" t="inlineStr">
        <is>
          <t>05_Docker_Compose_Intermediate_DKR-033</t>
        </is>
      </c>
    </row>
    <row r="35" ht="409" customHeight="1">
      <c r="A35" s="29" t="inlineStr">
        <is>
          <t>Compose commands
Which commands start, stop and inspect a Compose stack?
docker compose up -d --build
docker compose ps
docker compose logs -f web
docker compose down</t>
        </is>
      </c>
      <c r="B35" s="29" t="inlineStr">
        <is>
          <t>MEANING (SHORT):
docker compose up creates and starts the stack, down stops and removes it, and ps, logs and exec work per service.
CODE:
docker compose up -d --build
docker compose ps
docker compose logs -f web
docker compose down
OUTPUT:
Images are built, services start in the background, their state is listed, web logs stream, and everything is removed at the end.
EXPLANATION:
up builds missing images and starts services. --build forces a rebuild. down removes containers and networks but keeps named volumes unless you add -v. restart restarts a service, and pull downloads new images. Commands take a service name to act on just one.
SIMPLE EXPLANATION (HINGLISH):
up starts it, down removes it, logs and exec help you debug.
REAL-LIFE ANALOGY:
It is like opening and closing a shop with one key.
SYNTAX PATTERN:
docker compose up|down|ps|logs|exec [service]
ANATOMY:
up = create and start | down = stop and remove | ps = list | logs = output | exec = run inside
EXAMPLE 1:
docker compose up
EXAMPLE 2:
docker compose exec db psql -U postgres
EXAMPLE 3:
docker compose restart web
VARIATION:
docker compose up -d --scale worker=3   // run three copies of a service
USED WITH:
compose.yaml, docker logs, CI
RELATED CONCEPTS:
The Compose file, env files, profiles
ALTERNATIVES:
docker run for single containers
WHERE IT IS USED:
Daily development | CI tests | Demos
MINI CONVERSATION:
A: How do I rebuild after changing code? | B: Run docker compose up --build.
COMMON MISTAKE:
✗ docker compose down deletes the database data → ✓ Named volumes are kept unless you add -v
COMMONLY CONFUSED WITH:
compose stop vs down: stop stops the containers but keeps them, down removes them and the network.
AVOID / DON'T:
Do not run down -v on a stack holding data you need.
WRONG CODE:
docker compose start -d
RIGHT CODE:
docker compose up -d
MEMORY TRICK:
Up creates, down removes, stop only stops.
REAL LIFE: PROJECT / WORK:
Using compose up --build in CI to run integration tests then down.
REAL LIFE: INTERVIEW / EXAM:
An interviewer may ask: What is the difference between stop and down?
REAL LIFE: DAILY LIFE:
It is like opening and closing a shop with one key.</t>
        </is>
      </c>
      <c r="C35" s="29" t="inlineStr">
        <is>
          <t>05_Docker_Compose_Intermediate_DKR-034</t>
        </is>
      </c>
    </row>
    <row r="36" ht="409" customHeight="1">
      <c r="A36" s="29" t="inlineStr">
        <is>
          <t>Networks and volumes in Compose
How do you declare shared storage and private networks in a Compose file?
services:
  db:
    image: postgres:16
    environment:
      POSTGRES_PASSWORD: example
    volumes:
      - pgdata:/var/lib/postgresql/data
    networks: [backend]
volumes:
  pgdata:
networks:
  backend:</t>
        </is>
      </c>
      <c r="B36" s="29" t="inlineStr">
        <is>
          <t>MEANING (SHORT):
Top-level volumes and networks sections declare named resources that services then attach to by name.
CODE:
services:
  db:
    image: postgres:16
    environment:
      POSTGRES_PASSWORD: example
    volumes:
      - pgdata:/var/lib/postgresql/data
    networks: [backend]
volumes:
  pgdata:
networks:
  backend:
OUTPUT:
Compose creates the pgdata volume and the backend network, and attaches db to both.
EXPLANATION:
Without a networks section Compose makes one default network. Declaring several lets you separate public and private traffic. A volume named at the top level survives down unless you remove it. A bind mount is written as a path directly under a service.
SIMPLE EXPLANATION (HINGLISH):
Declare volumes and networks at the bottom, then list them under each service.
REAL-LIFE ANALOGY:
It is like shared rooms that services receive keys to.
SYNTAX PATTERN:
services: name: volumes: [vol:/path] networks: [net] then top-level volumes: and networks:
ANATOMY:
volumes = storage | networks = private links | service lists = which ones it uses
EXAMPLE 1:
volumes: [./src:/app/src]
EXAMPLE 2:
networks: [frontend, backend]
EXAMPLE 3:
external: true   // reuse a volume created outside
VARIATION:
networks: backend: internal: true   // no outside access
USED WITH:
depends_on, bridge networks, volumes
RELATED CONCEPTS:
volumes, bridge networks, depends_on and health checks
ALTERNATIVES:
Default network only
WHERE IT IS USED:
Databases | Multi-tier apps | Isolation
MINI CONVERSATION:
A: Can the proxy reach the database? | B: Not if they share no network.
COMMON MISTAKE:
✗ Every service in a Compose file needs its own network → ✓ All services share a default network unless you declare more
COMMONLY CONFUSED WITH:
Service volume list vs top-level volumes: one attaches, the other declares.
AVOID / DON'T:
Do not forget to declare a named volume at the top level.
WRONG CODE:
services:
  db:
    volumes: [pgdata:/data]
RIGHT CODE:
services:
  db:
    volumes: [pgdata:/data]
volumes:
  pgdata:
MEMORY TRICK:
Declare at the bottom, use at the top.
REAL LIFE: PROJECT / WORK:
Isolating the database on an internal network behind the API.
REAL LIFE: INTERVIEW / EXAM:
An interviewer may ask: How do you keep a database private in Compose?
REAL LIFE: DAILY LIFE:
It is like giving keys only to the services that need a room.</t>
        </is>
      </c>
      <c r="C36" s="29" t="inlineStr">
        <is>
          <t>05_Docker_Compose_Intermediate_DKR-035</t>
        </is>
      </c>
    </row>
    <row r="37" ht="409" customHeight="1">
      <c r="A37" s="29" t="inlineStr">
        <is>
          <t>depends_on and health checks
How do you make one service wait until another is truly ready?
services:
  db:
    image: postgres:16
    environment:
      POSTGRES_PASSWORD: example
    healthcheck:
      test: ["CMD-SHELL", "pg_isready -U postgres"]
      interval: 5s
      retries: 10
  api:
    build: .
    depends_on:
      db:
        condition: service_healthy</t>
        </is>
      </c>
      <c r="B37" s="29" t="inlineStr">
        <is>
          <t>MEANING (SHORT):
depends_on sets start order, and with condition service_healthy it waits until the dependency passes its health check.
CODE:
services:
  db:
    image: postgres:16
    environment:
      POSTGRES_PASSWORD: example
    healthcheck:
      test: ["CMD-SHELL", "pg_isready -U postgres"]
      interval: 5s
      retries: 10
  api:
    build: .
    depends_on:
      db:
        condition: service_healthy
OUTPUT:
The api container starts only after pg_isready reports that the database accepts connections.
EXPLANATION:
Plain depends_on only waits for the container to start, which may be long before the database is ready. A healthcheck defines a command that Docker runs repeatedly. Only when it succeeds is the service marked healthy. Your app should still retry connections, because a database can restart later.
SIMPLE EXPLANATION (HINGLISH):
Add a healthcheck to the dependency, then wait for service_healthy.
REAL-LIFE ANALOGY:
It is like a waiter holding a dish until the kitchen says it is ready.
SYNTAX PATTERN:
depends_on: service: condition: service_healthy
ANATOMY:
depends_on = order | condition = what to wait for | healthcheck = readiness test
EXAMPLE 1:
condition: service_started
EXAMPLE 2:
condition: service_completed_successfully
EXAMPLE 3:
healthcheck: test: ["CMD", "curl", "-f", "http://localhost/health"]
VARIATION:
start_period: 30s   // grace time before failures count
USED WITH:
healthchecks, restart policies, migrations
RELATED CONCEPTS:
HEALTHCHECK, Compose commands, debugging a failing container
ALTERNATIVES:
Retry logic in the app | Wait scripts
WHERE IT IS USED:
Databases | Migrations | Slow services
MINI CONVERSATION:
A: The API crashes because the database is not ready. | B: Wait for the health check.
COMMON MISTAKE:
✗ depends_on waits until the dependency is ready → ✓ By default it only waits until the container has started
COMMONLY CONFUSED WITH:
service_started vs service_healthy: started means running, healthy means passing its check.
AVOID / DON'T:
Do not depend on start order alone for readiness.
WRONG CODE:
depends_on: [db]
RIGHT CODE:
depends_on:
  db:
    condition: service_healthy
MEMORY TRICK:
Started is not the same as ready.
REAL LIFE: PROJECT / WORK:
Making migrations wait for Postgres to pass pg_isready.
REAL LIFE: INTERVIEW / EXAM:
An interviewer may ask: Why does depends_on not guarantee readiness?
REAL LIFE: DAILY LIFE:
It is like a waiter waiting for the kitchen's signal.</t>
        </is>
      </c>
      <c r="C37" s="29" t="inlineStr">
        <is>
          <t>05_Docker_Compose_Advanced_DKR-036</t>
        </is>
      </c>
    </row>
    <row r="38" ht="409" customHeight="1">
      <c r="A38" s="29" t="inlineStr">
        <is>
          <t>Environment and env files
How do you pass settings and secrets into Compose services without hard-coding them?
services:
  api:
    image: myapi:1.0
    env_file: [.env.api]
    environment:
      LOG_LEVEL: ${LOG_LEVEL:-info}</t>
        </is>
      </c>
      <c r="B38" s="29" t="inlineStr">
        <is>
          <t>MEANING (SHORT):
Compose passes variables to containers through environment and env_file, and substitutes ${VAR} values in the YAML from the shell or a .env file.
CODE:
services:
  api:
    image: myapi:1.0
    env_file: [.env.api]
    environment:
      LOG_LEVEL: ${LOG_LEVEL:-info}
OUTPUT:
Variables from .env.api are loaded, and LOG_LEVEL falls back to info if it is not set.
EXPLANATION:
A file named .env next to the compose file is used for substitution in the YAML. env_file loads variables into the container itself. The syntax ${VAR:-default} supplies a default, and ${VAR:?error} fails if it is missing. Values in environment override those from env_file.
SIMPLE EXPLANATION (HINGLISH):
Keep settings in an env file, reference them with ${NAME}, and ignore the file in Git.
REAL-LIFE ANALOGY:
It is like a sealed envelope of settings given to each container.
SYNTAX PATTERN:
env_file: [file] | environment: KEY: value | ${VAR:-default}
ANATOMY:
env_file = load file | environment = inline | ${VAR:-x} = default value
EXAMPLE 1:
DATABASE_URL=postgres://db:5432/app
EXAMPLE 2:
${PORT:-8000}
EXAMPLE 3:
${API_KEY:?API_KEY is required}
VARIATION:
docker compose --env-file prod.env up   // choose another env file
USED WITH:
.gitignore, secrets, CI variables
RELATED CONCEPTS:
ENV and ARG, secrets, override files
ALTERNATIVES:
Docker secrets | Secret managers
WHERE IT IS USED:
Configuration | Database URLs | Per-environment settings
MINI CONVERSATION:
A: Where do I put the database password? | B: In an ignored env file, not the YAML.
COMMON MISTAKE:
✗ An env file is secure storage → ✓ It is plain text, so keep it out of Git and image layers
COMMONLY CONFUSED WITH:
.env substitution vs env_file: one fills the YAML, the other feeds the container.
AVOID / DON'T:
Do not commit .env files with real secrets.
WRONG CODE:
environment:
  PASSWORD: hunter2
RIGHT CODE:
environment:
  PASSWORD: ${DB_PASSWORD:?set DB_PASSWORD}
MEMORY TRICK:
Commit the example, ignore the real one.
REAL LIFE: PROJECT / WORK:
Using a committed .env.example so new developers knew every needed variable.
REAL LIFE: INTERVIEW / EXAM:
An interviewer may ask: How do you keep secrets out of a Compose file?
REAL LIFE: DAILY LIFE:
It is like handing each person a sealed envelope.</t>
        </is>
      </c>
      <c r="C38" s="29" t="inlineStr">
        <is>
          <t>05_Docker_Compose_Intermediate_DKR-037</t>
        </is>
      </c>
    </row>
    <row r="39" ht="409" customHeight="1">
      <c r="A39" s="29" t="inlineStr">
        <is>
          <t>Compose profiles
How do you keep optional services from starting every time?
services:
  api:
    build: .
  adminer:
    image: adminer
    profiles: [tools]</t>
        </is>
      </c>
      <c r="B39" s="29" t="inlineStr">
        <is>
          <t>MEANING (SHORT):
A service with a profiles list starts only when that profile is activated, while services without profiles always start.
CODE:
services:
  api:
    build: .
  adminer:
    image: adminer
    profiles: [tools]
OUTPUT:
docker compose up starts only api, and docker compose --profile tools up also starts adminer.
EXPLANATION:
Services without a profile are always started. Activating a profile with --profile or the COMPOSE_PROFILES variable adds its services. This avoids separate files for small differences. A service named explicitly on the command line starts even if it has a profile.
SIMPLE EXPLANATION (HINGLISH):
Tag optional services with a profile and start them only when needed.
REAL-LIFE ANALOGY:
It is like optional guests who attend only by invitation.
SYNTAX PATTERN:
profiles: [name] | docker compose --profile name up
ANATOMY:
profiles = tags | --profile = activate | COMPOSE_PROFILES = environment way
EXAMPLE 1:
profiles: [debug]
EXAMPLE 2:
COMPOSE_PROFILES=tools docker compose up
EXAMPLE 3:
docker compose run adminer
VARIATION:
docker compose --profile tools --profile debug up   // activate two profiles
USED WITH:
Compose commands, override files, test helpers
RELATED CONCEPTS:
The Compose file, Compose commands, override files
ALTERNATIVES:
Separate Compose files
WHERE IT IS USED:
Admin tools | Debug services | Test jobs
MINI CONVERSATION:
A: Why does the stack start database admin tools? | B: Move them into a profile.
COMMON MISTAKE:
✗ Services with a profile always start → ✓ They start only when the profile is activated or the service is named
COMMONLY CONFUSED WITH:
Profiles vs override files: profiles toggle services, overrides change settings.
AVOID / DON'T:
Do not put essential services behind a profile.
WRONG CODE:
profile: tools
RIGHT CODE:
profiles: [tools]
MEMORY TRICK:
Profile means optional, invite only.
REAL LIFE: PROJECT / WORK:
Hiding a database admin UI behind a tools profile in the dev stack.
REAL LIFE: INTERVIEW / EXAM:
An interviewer may ask: How do you make a service optional in Compose?
REAL LIFE: DAILY LIFE:
It is like guests who come only by invitation.</t>
        </is>
      </c>
      <c r="C39" s="29" t="inlineStr">
        <is>
          <t>05_Docker_Compose_Intermediate_DKR-038</t>
        </is>
      </c>
    </row>
    <row r="40" ht="409" customHeight="1">
      <c r="A40" s="29" t="inlineStr">
        <is>
          <t>Override files
How do you change a Compose stack for development or production without copying the whole file?
docker compose -f compose.yaml -f compose.dev.yaml up
docker compose -f compose.yaml -f compose.prod.yaml config</t>
        </is>
      </c>
      <c r="B40" s="29" t="inlineStr">
        <is>
          <t>MEANING (SHORT):
Compose merges multiple files in order, and settings in later files override or extend those in earlier ones.
CODE:
docker compose -f compose.yaml -f compose.dev.yaml up
docker compose -f compose.yaml -f compose.prod.yaml config
OUTPUT:
The first command starts the merged development stack, and the second prints the final merged configuration for production.
EXPLANATION:
A file named compose.override.yaml is merged automatically with compose.yaml. Lists such as ports are combined, while single values like image are replaced. The config command shows the final result, which is the safest way to check what will run. Use it before deploying.
SIMPLE EXPLANATION (HINGLISH):
Put the common part in the base file and the differences in an override.
REAL-LIFE ANALOGY:
It is like laying a transparent sheet over a base drawing.
SYNTAX PATTERN:
docker compose -f base.yaml -f override.yaml up
ANATOMY:
-f = file | later file wins | config = show merged result
EXAMPLE 1:
docker compose config
EXAMPLE 2:
docker compose -f compose.yaml -f compose.test.yaml run tests
EXAMPLE 3:
docker compose config --services
VARIATION:
COMPOSE_FILE=compose.yaml:compose.dev.yaml   // set files through a variable
USED WITH:
env files, profiles, CI
RELATED CONCEPTS:
The Compose file, env files, Compose profiles
ALTERNATIVES:
Profiles | Separate full files
WHERE IT IS USED:
Dev versus prod | Test stacks | CI
MINI CONVERSATION:
A: Dev needs a bind mount but prod does not. | B: Add it in a dev override file.
COMMON MISTAKE:
✗ Override files must repeat the whole base file → ✓ They contain only the parts that differ
COMMONLY CONFUSED WITH:
Override files vs profiles: overrides change values, profiles select services.
AVOID / DON'T:
Do not guess the merged result, print it with config.
WRONG CODE:
docker compose -f compose.dev.yaml -f compose.yaml up
RIGHT CODE:
docker compose -f compose.yaml -f compose.dev.yaml up
MEMORY TRICK:
Base first, override last, last wins.
REAL LIFE: PROJECT / WORK:
Adding bind mounts and debug ports only in a dev override file.
REAL LIFE: INTERVIEW / EXAM:
An interviewer may ask: How do you manage dev and prod differences?
REAL LIFE: DAILY LIFE:
It is like laying a transparent sheet over a base drawing.</t>
        </is>
      </c>
      <c r="C40" s="29" t="inlineStr">
        <is>
          <t>05_Docker_Compose_Advanced_DKR-039</t>
        </is>
      </c>
    </row>
    <row r="41" ht="409" customHeight="1">
      <c r="A41" s="29" t="inlineStr">
        <is>
          <t>Compose watch and dev workflow
How do you get automatic updates in a running container while you edit code?
services:
  web:
    build: .
    develop:
      watch:
        - action: sync
          path: ./src
          target: /app/src
        - action: rebuild
          path: package.json</t>
        </is>
      </c>
      <c r="B41" s="29" t="inlineStr">
        <is>
          <t>MEANING (SHORT):
Compose watch monitors files and, based on rules in develop.watch, syncs them into the container, restarts it or rebuilds the image.
CODE:
services:
  web:
    build: .
    develop:
      watch:
        - action: sync
          path: ./src
          target: /app/src
        - action: rebuild
          path: package.json
OUTPUT:
Editing a file in src is copied into the container at once, and changing package.json triggers an image rebuild.
EXPLANATION:
Run docker compose watch, or up --watch. sync copies changed files, rebuild creates a new image, and sync+restart copies and restarts the process. Rules use paths relative to the Compose file. It avoids bind mounts, so host and container files stay separate.
SIMPLE EXPLANATION (HINGLISH):
Declare watch rules, run compose watch, and edit code freely.
REAL-LIFE ANALOGY:
It is like a helper who photographs each change and updates the room.
SYNTAX PATTERN:
develop: watch: - action: sync|rebuild|sync+restart path: target:
ANATOMY:
action = what to do | path = what to watch | target = where inside the container
EXAMPLE 1:
action: sync+restart
EXAMPLE 2:
ignore: [node_modules/]
EXAMPLE 3:
docker compose up --watch
VARIATION:
docker compose watch   // run only the watcher
USED WITH:
Dockerfile, bind mounts, hot reload tools
RELATED CONCEPTS:
Bind mounts, Compose commands, override files
ALTERNATIVES:
Bind mounts with a dev server
WHERE IT IS USED:
Local development | Frontend work | API work
MINI CONVERSATION:
A: Every change needs a rebuild. | B: Use compose watch so changes sync automatically.
COMMON MISTAKE:
✗ Compose watch replaces the Dockerfile → ✓ It only syncs or rebuilds around the Dockerfile you already have
COMMONLY CONFUSED WITH:
Watch vs bind mount: watch copies on change, a bind mount shares the folder.
AVOID / DON'T:
Do not watch huge folders such as node_modules.
WRONG CODE:
develop:
  watch: ./src
RIGHT CODE:
develop:
  watch:
    - action: sync
      path: ./src
      target: /app/src
MEMORY TRICK:
Sync for code, rebuild for dependencies.
REAL LIFE: PROJECT / WORK:
Syncing source into the dev container while rebuilding on lockfile changes.
REAL LIFE: INTERVIEW / EXAM:
An interviewer may ask: How do you speed up the dev loop with Compose?
REAL LIFE: DAILY LIFE:
It is like a helper updating the room after each change.</t>
        </is>
      </c>
      <c r="C41" s="29" t="inlineStr">
        <is>
          <t>05_Docker_Compose_Advanced_DKR-040</t>
        </is>
      </c>
    </row>
    <row r="42" ht="409" customHeight="1">
      <c r="A42" s="29" t="inlineStr">
        <is>
          <t>Image scanning
How do you find known vulnerabilities in an image before shipping it?
docker scout cves myapp:1.0
trivy image --severity HIGH,CRITICAL myapp:1.0</t>
        </is>
      </c>
      <c r="B42" s="29" t="inlineStr">
        <is>
          <t>MEANING (SHORT):
Image scanning lists the packages inside an image and reports those with known security vulnerabilities.
CODE:
docker scout cves myapp:1.0
trivy image --severity HIGH,CRITICAL myapp:1.0
OUTPUT:
A list of vulnerable packages is shown with severity, installed version and fixed version.
EXPLANATION:
Scanners read the layers and match packages against databases. Small base images have fewer packages and fewer findings. Rebuild regularly because new flaws are published daily. Some findings have no fix yet and need judgement. Docker Scout and Trivy are common tools.
SIMPLE EXPLANATION (HINGLISH):
Scan every image, fix what has a patch, and prefer small bases.
REAL-LIFE ANALOGY:
It is like an inspector checking an ingredient list for recalled items.
SYNTAX PATTERN:
trivy image [--severity levels] image
ANATOMY:
severity = how serious | fixed version = upgrade target | base image = main source of findings
EXAMPLE 1:
docker scout quickview myapp:1.0
EXAMPLE 2:
trivy image alpine:3.20
EXAMPLE 3:
trivy image --exit-code 1 --severity CRITICAL myapp:1.0
VARIATION:
trivy fs .   // scan project files instead of an image
USED WITH:
CI pipelines, base image choice, registries
RELATED CONCEPTS:
FROM, Docker in CI, secrets
ALTERNATIVES:
Registry built-in scanning
WHERE IT IS USED:
CI | Release checks | Audits
MINI CONVERSATION:
A: The scan lists forty issues. | B: Switch to a slim base and update packages first.
COMMON MISTAKE:
✗ A clean scan today stays clean forever → ✓ New vulnerabilities appear over time, so scan regularly
COMMONLY CONFUSED WITH:
Scanning vs testing: scanning finds known package flaws, testing checks your logic.
AVOID / DON'T:
Do not ignore critical findings that have a fix available.
WRONG CODE:
docker scan myapp --fix-everything
RIGHT CODE:
trivy image --severity HIGH,CRITICAL myapp:1.0
MEMORY TRICK:
Small image, short list, safer ship.
REAL LIFE: PROJECT / WORK:
Adding a scan step that failed the pipeline on critical fixable findings.
REAL LIFE: INTERVIEW / EXAM:
An interviewer may ask: How do you keep container images secure?
REAL LIFE: DAILY LIFE:
It is like an inspector checking for recalled ingredients.</t>
        </is>
      </c>
      <c r="C42" s="29" t="inlineStr">
        <is>
          <t>06_Security_and_Operations_Intermediate_DKR-041</t>
        </is>
      </c>
    </row>
    <row r="43" ht="409" customHeight="1">
      <c r="A43" s="29" t="inlineStr">
        <is>
          <t>Secrets
How should passwords and tokens reach a container without being baked into the image?
docker build --secret id=npmrc,src=$HOME/.npmrc -t myapp .
RUN --mount=type=secret,id=npmrc,target=/root/.npmrc npm ci</t>
        </is>
      </c>
      <c r="B43" s="29" t="inlineStr">
        <is>
          <t>MEANING (SHORT):
Secrets are sensitive values supplied at build or run time through secret mounts or files, so they never appear in image layers or history.
CODE:
docker build --secret id=npmrc,src=$HOME/.npmrc -t myapp .
RUN --mount=type=secret,id=npmrc,target=/root/.npmrc npm ci
OUTPUT:
The token is available only while that RUN step executes, and it does not appear in the final image.
EXPLANATION:
ENV and ARG values are visible in image history and metadata. A RUN secret mount exposes the value as a temporary file for one step. At run time Compose and Swarm can mount secrets as files under /run/secrets. Apps then read the file, which is safer than a plain environment variable.
SIMPLE EXPLANATION (HINGLISH):
Never put secrets in ENV, ARG or COPY. Mount them just in time.
REAL-LIFE ANALOGY:
It is like handing over a key at the door instead of carving it into the wall.
SYNTAX PATTERN:
RUN --mount=type=secret,id=name command
ANATOMY:
--secret = pass at build | --mount=type=secret = use in a step | /run/secrets = run-time file location
EXAMPLE 1:
docker build --secret id=token,env=TOKEN -t app .
EXAMPLE 2:
secrets: [db_password]
EXAMPLE 3:
cat /run/secrets/db_password
VARIATION:
docker history --no-trunc myapp   // shows build commands and ARG/ENV values, not file contents
USED WITH:
Compose secrets, CI variables, ENV and ARG
RELATED CONCEPTS:
ENV and ARG, env files, image scanning
ALTERNATIVES:
Cloud secret managers
WHERE IT IS USED:
Private packages | Database passwords | API keys
MINI CONVERSATION:
A: I used ARG for my token. | B: It is visible in the image history, so use a secret mount.
COMMON MISTAKE:
✗ Deleting a secret file in a later layer removes it → ✓ It stays in the earlier layer and can still be extracted
COMMONLY CONFUSED WITH:
Build secret vs ARG: a secret is not stored in layers, ARG values are recorded.
AVOID / DON'T:
Do not copy .env or key files into an image.
WRONG CODE:
ARG NPM_TOKEN
RUN npm config set //registry:_authToken=$NPM_TOKEN
RIGHT CODE:
RUN --mount=type=secret,id=npmrc,target=/root/.npmrc npm ci
MEMORY TRICK:
Layers remember everything you write.
REAL LIFE: PROJECT / WORK:
Replacing a build ARG token with a secret mount after finding it in history.
REAL LIFE: INTERVIEW / EXAM:
An interviewer may ask: Why is ARG unsafe for passwords?
REAL LIFE: DAILY LIFE:
It is like handing over a key at the door.</t>
        </is>
      </c>
      <c r="C43" s="29" t="inlineStr">
        <is>
          <t>06_Security_and_Operations_Intermediate_DKR-042</t>
        </is>
      </c>
    </row>
    <row r="44" ht="409" customHeight="1">
      <c r="A44" s="29" t="inlineStr">
        <is>
          <t>Resource limits
How do you stop one container from using all the memory or CPU of a machine?
docker run -d --memory 512m --cpus 1.5 --name api myapi
docker stats --no-stream api</t>
        </is>
      </c>
      <c r="B44" s="29" t="inlineStr">
        <is>
          <t>MEANING (SHORT):
Resource limits cap the memory and CPU a container may use, and a container that exceeds its memory limit is killed.
CODE:
docker run -d --memory 512m --cpus 1.5 --name api myapi
docker stats --no-stream api
OUTPUT:
The container starts with the caps, and stats shows its current CPU and memory use against the limit.
EXPLANATION:
--memory sets a hard ceiling, and going over it makes the kernel kill the process, which often shows as exit code 137 (confirm with docker inspect --format '{{.State.OOMKilled}}' api). --cpus limits CPU time. Without limits one container can use everything. In Compose, these live under deploy.resources or mem_limit.
SIMPLE EXPLANATION (HINGLISH):
Set memory and CPU limits, and watch stats to choose sensible values.
REAL-LIFE ANALOGY:
It is like portion sizes at a shared buffet.
SYNTAX PATTERN:
docker run --memory size --cpus number image
ANATOMY:
--memory = RAM cap | --cpus = CPU share | exit code 137 = killed for memory
EXAMPLE 1:
docker run --memory 256m alpine
EXAMPLE 2:
docker update --memory 1g api
EXAMPLE 3:
docker stats
VARIATION:
docker run --memory-reservation 256m myapi   // soft target
USED WITH:
monitoring, Compose, orchestrators
RELATED CONCEPTS:
docker ps, logging and monitoring, Kubernetes
ALTERNATIVES:
Orchestrator quotas
WHERE IT IS USED:
Production | Shared servers | Cost control
MINI CONVERSATION:
A: The container keeps dying with 137. | B: It hit its memory limit, so raise it or fix the leak.
COMMON MISTAKE:
✗ A container can only use what its image needs → ✓ Without limits it may use all host memory and CPU
COMMONLY CONFUSED WITH:
Memory limit vs reservation: the limit is a hard cap, a reservation is a soft target.
AVOID / DON'T:
Do not leave production containers without a memory limit.
WRONG CODE:
docker run --ram 512 myapi
RIGHT CODE:
docker run --memory 512m myapi
MEMORY TRICK:
137 means killed, often out of memory.
REAL LIFE: PROJECT / WORK:
Finding a leak because the API was repeatedly killed at its limit.
REAL LIFE: INTERVIEW / EXAM:
An interviewer may ask: What does exit code 137 mean?
REAL LIFE: DAILY LIFE:
It is like portion sizes at a shared buffet.</t>
        </is>
      </c>
      <c r="C44" s="29" t="inlineStr">
        <is>
          <t>06_Security_and_Operations_Intermediate_DKR-043</t>
        </is>
      </c>
    </row>
    <row r="45" ht="409" customHeight="1">
      <c r="A45" s="29" t="inlineStr">
        <is>
          <t>HEALTHCHECK
How does Docker know whether the app inside a running container is actually working?
HEALTHCHECK --interval=30s --timeout=3s --retries=3 CMD curl -f http://localhost:8000/health || exit 1</t>
        </is>
      </c>
      <c r="B45" s="29" t="inlineStr">
        <is>
          <t>MEANING (SHORT):
HEALTHCHECK defines a command that Docker runs periodically, and the container is marked healthy, unhealthy or starting based on the result.
CODE:
HEALTHCHECK --interval=30s --timeout=3s --retries=3 CMD curl -f http://localhost:8000/health || exit 1
OUTPUT:
After three failed checks the status becomes unhealthy, and docker ps shows it next to the container.
EXPLANATION:
Exit code 0 means healthy and 1 means unhealthy. Docker alone only reports the status, while Compose and orchestrators can act on it. The tool used in the check must exist in the image, so slim images may need wget or a small script. A start period gives slow apps time to boot.
SIMPLE EXPLANATION (HINGLISH):
Add a cheap command that proves the service answers, and Docker tracks the result.
REAL-LIFE ANALOGY:
It is like a doctor checking the pulse at regular intervals.
SYNTAX PATTERN:
HEALTHCHECK [--interval=t] [--timeout=t] [--retries=n] CMD command
ANATOMY:
--interval = how often | --timeout = limit per check | --retries = failures allowed | CMD = the test
EXAMPLE 1:
HEALTHCHECK CMD wget -q --spider http://localhost/ || exit 1
EXAMPLE 2:
HEALTHCHECK --start-period=20s CMD node healthcheck.js
EXAMPLE 3:
docker inspect --format "{{.State.Health.Status}}" web
VARIATION:
HEALTHCHECK NONE   // disable an inherited check
USED WITH:
depends_on, orchestrators, monitoring
RELATED CONCEPTS:
depends_on and health checks, docker ps, logging and monitoring
ALTERNATIVES:
Compose healthcheck | Orchestrator probes
WHERE IT IS USED:
Web services | Databases | Orchestrated platforms
MINI CONVERSATION:
A: The container is up but the app is stuck. | B: Add a health check so Docker flags it.
COMMON MISTAKE:
✗ A running container is always a working one → ✓ The process may be alive while the service is broken
COMMONLY CONFUSED WITH:
Running vs healthy: running means the process exists, healthy means it passes its check.
AVOID / DON'T:
Do not use a check that needs a tool missing from the image.
WRONG CODE:
HEALTHCHECK curl http://localhost/
RIGHT CODE:
HEALTHCHECK CMD curl -f http://localhost/ || exit 1
MEMORY TRICK:
Zero exit is healthy, one is not.
REAL LIFE: PROJECT / WORK:
Adding a health URL so the orchestrator restarted stuck API containers.
REAL LIFE: INTERVIEW / EXAM:
An interviewer may ask: How is a health check different from a running container?
REAL LIFE: DAILY LIFE:
It is like a doctor checking the pulse regularly.</t>
        </is>
      </c>
      <c r="C45" s="29" t="inlineStr">
        <is>
          <t>06_Security_and_Operations_Intermediate_DKR-044</t>
        </is>
      </c>
    </row>
    <row r="46" ht="409" customHeight="1">
      <c r="A46" s="29" t="inlineStr">
        <is>
          <t>Log drivers and rotation
How do you stop container logs from filling the disk or send them elsewhere?
docker run -d --log-driver json-file --log-opt max-size=10m --log-opt max-file=3 myapi</t>
        </is>
      </c>
      <c r="B46" s="29" t="inlineStr">
        <is>
          <t>MEANING (SHORT):
A log driver decides where container logs go, and options such as max-size and max-file cap and rotate the local files.
CODE:
docker run -d --log-driver json-file --log-opt max-size=10m --log-opt max-file=3 myapi
OUTPUT:
Logs are kept in at most three files of ten megabytes each, and the oldest is replaced when full.
EXPLANATION:
The default json-file driver keeps logs on disk without a cap. Setting the options globally in daemon.json protects every container. Other drivers send logs to syslog, journald or cloud services. With some remote drivers docker logs cannot read the output anymore.
SIMPLE EXPLANATION (HINGLISH):
Cap local logs or ship them to a central system.
REAL-LIFE ANALOGY:
It is like a notebook that discards the oldest page when full.
SYNTAX PATTERN:
docker run --log-driver driver --log-opt key=value image
ANATOMY:
--log-driver = destination | max-size = file size cap | max-file = number of files
EXAMPLE 1:
docker info --format "{{.LoggingDriver}}"
EXAMPLE 2:
docker run --log-driver none alpine
EXAMPLE 3:
logging: driver: json-file options: max-size: "10m"
VARIATION:
/etc/docker/daemon.json   // set defaults for all containers
USED WITH:
docker logs, monitoring, Compose
RELATED CONCEPTS:
docker logs, logging and monitoring, resource limits
ALTERNATIVES:
Sidecar log shippers
WHERE IT IS USED:
Servers | Production | Compliance
MINI CONVERSATION:
A: The server disk is full of container logs. | B: Set max-size and max-file.
COMMON MISTAKE:
✗ Container logs rotate automatically → ✓ The default driver keeps growing unless you set limits
COMMONLY CONFUSED WITH:
Log driver vs docker logs: the driver decides storage, the command only reads it.
AVOID / DON'T:
Do not leave log files uncapped on production servers.
WRONG CODE:
docker run --log-opt max=10m myapi
RIGHT CODE:
docker run --log-opt max-size=10m myapi
MEMORY TRICK:
Size and count keep the disk safe.
REAL LIFE: PROJECT / WORK:
Capping logs after a chatty service filled the server disk overnight.
REAL LIFE: INTERVIEW / EXAM:
An interviewer may ask: Why can container logs fill a disk?
REAL LIFE: DAILY LIFE:
It is like a notebook that drops its oldest page.</t>
        </is>
      </c>
      <c r="C46" s="29" t="inlineStr">
        <is>
          <t>06_Security_and_Operations_Intermediate_DKR-045</t>
        </is>
      </c>
    </row>
    <row r="47" ht="409" customHeight="1">
      <c r="A47" s="29" t="inlineStr">
        <is>
          <t>Cleaning up with prune
Which commands reclaim disk space from unused Docker objects?
docker system df
docker image prune -a
docker container prune
docker system prune --volumes</t>
        </is>
      </c>
      <c r="B47" s="29" t="inlineStr">
        <is>
          <t>MEANING (SHORT):
docker prune commands delete unused objects, such as stopped containers, dangling images, networks and optionally volumes.
CODE:
docker system df
docker image prune -a
docker container prune
docker system prune --volumes
OUTPUT:
Disk usage is shown, then unused images and containers are deleted, and the last command also removes unused volumes.
EXPLANATION:
system df shows how much space each object type uses. image prune removes only dangling images unless you add -a. system prune combines several cleanups. Adding --volumes also deletes unused volumes, which may contain data. Each command asks for confirmation unless -f is added.
SIMPLE EXPLANATION (HINGLISH):
Look with system df, then prune only what you understand.
REAL-LIFE ANALOGY:
It is like a gardener cutting dead branches and leaving living ones.
SYNTAX PATTERN:
docker system prune [-a] [--volumes] [-f]
ANATOMY:
-a = all unused images | --volumes = include volumes | -f = skip prompt | df = show usage
EXAMPLE 1:
docker builder prune
EXAMPLE 2:
docker network prune
EXAMPLE 3:
docker volume prune
VARIATION:
docker system prune --filter "until=24h"   // only objects older than a day
USED WITH:
docker images, docker ps, CI cleanup
RELATED CONCEPTS:
docker images, docker stop and rm, volumes
ALTERNATIVES:
Manual rm and rmi commands
WHERE IT IS USED:
Build servers | Developer laptops | CI runners
MINI CONVERSATION:
A: The CI runner is out of disk. | B: Prune old images and build cache.
COMMON MISTAKE:
✗ docker system prune is always safe → ✓ With --volumes it can delete data you still need
COMMONLY CONFUSED WITH:
image prune vs image prune -a: the first removes dangling images, the second all unused ones.
AVOID / DON'T:
Do not add --volumes on a machine that holds database data.
WRONG CODE:
docker system prune --all-data
RIGHT CODE:
docker system prune --volumes
MEMORY TRICK:
Look at df before you prune.
REAL LIFE: PROJECT / WORK:
Scheduling a nightly prune on the CI runner to avoid full disks.
REAL LIFE: INTERVIEW / EXAM:
An interviewer may ask: How do you reclaim disk space in Docker?
REAL LIFE: DAILY LIFE:
It is like a gardener removing only the dead branches.</t>
        </is>
      </c>
      <c r="C47" s="29" t="inlineStr">
        <is>
          <t>06_Security_and_Operations_Beginner_DKR-046</t>
        </is>
      </c>
    </row>
    <row r="48" ht="409" customHeight="1">
      <c r="A48" s="29" t="inlineStr">
        <is>
          <t>BuildKit and build cache
Which modern builder makes builds faster with parallel steps and cache mounts?
RUN --mount=type=cache,target=/root/.cache/pip pip install -r requirements.txt
docker buildx build --cache-from type=registry,ref=acme/api:cache -t acme/api .</t>
        </is>
      </c>
      <c r="B48" s="29" t="inlineStr">
        <is>
          <t>MEANING (SHORT):
BuildKit is Docker's modern build engine, which runs independent steps in parallel and supports cache mounts, secrets and better caching.
CODE:
RUN --mount=type=cache,target=/root/.cache/pip pip install -r requirements.txt
docker buildx build --cache-from type=registry,ref=acme/api:cache -t acme/api .
OUTPUT:
Pip downloads are reused between builds, and layers can also be reused from a registry cache.
EXPLANATION:
BuildKit is the default builder in current Docker. Stages that do not depend on each other build in parallel. A cache mount keeps a folder across builds without adding it to the image. Exporting the cache to a registry lets CI runners, which start empty, reuse earlier work.
SIMPLE EXPLANATION (HINGLISH):
Use cache mounts and a shared cache to make builds quick.
REAL-LIFE ANALOGY:
It is like a kitchen cooking independent dishes at the same time.
SYNTAX PATTERN:
RUN --mount=type=cache,target=/path command
ANATOMY:
--mount=type=cache = persistent folder | --cache-from = import cache | --cache-to = export cache
EXAMPLE 1:
RUN --mount=type=cache,target=/root/.npm npm ci
EXAMPLE 2:
docker buildx build --cache-to type=inline -t api .
EXAMPLE 3:
docker buildx ls
VARIATION:
DOCKER_BUILDKIT=1 docker build .   // enable on older versions
USED WITH:
multi-stage builds, CI, registries
RELATED CONCEPTS:
Layers and cache, multi-stage builds, Docker in CI
ALTERNATIVES:
Classic builder
WHERE IT IS USED:
CI pipelines | Large builds | Monorepos
MINI CONVERSATION:
A: CI always reinstalls everything. | B: Export and import a build cache.
COMMON MISTAKE:
✗ Cache mounts add data to the image → ✓ The mounted folder is kept outside the image layers
COMMONLY CONFUSED WITH:
Layer cache vs cache mount: one reuses finished layers, the other reuses a folder during a step.
AVOID / DON'T:
Do not put secrets in a shared build cache.
WRONG CODE:
RUN pip install --cache-mount /cache -r requirements.txt
RIGHT CODE:
RUN --mount=type=cache,target=/root/.cache/pip pip install -r requirements.txt
MEMORY TRICK:
Cache mount keeps downloads, not image size.
REAL LIFE: PROJECT / WORK:
Cutting CI build time by sharing a registry cache between runs.
REAL LIFE: INTERVIEW / EXAM:
An interviewer may ask: How do you speed up Docker builds in CI?
REAL LIFE: DAILY LIFE:
It is like a kitchen cooking many dishes at once.</t>
        </is>
      </c>
      <c r="C48" s="29" t="inlineStr">
        <is>
          <t>07_Advanced_Docker_Advanced_DKR-047</t>
        </is>
      </c>
    </row>
    <row r="49" ht="409" customHeight="1">
      <c r="A49" s="29" t="inlineStr">
        <is>
          <t>Multi-platform images
How do you build one image that runs on both Intel and ARM machines?
docker buildx build --platform linux/amd64,linux/arm64 -t acme/api:1.0 --push .
docker buildx imagetools inspect acme/api:1.0</t>
        </is>
      </c>
      <c r="B49" s="29" t="inlineStr">
        <is>
          <t>MEANING (SHORT):
A multi-platform image is a manifest list under one tag that points to separate builds for each CPU architecture.
CODE:
docker buildx build --platform linux/amd64,linux/arm64 -t acme/api:1.0 --push .
docker buildx imagetools inspect acme/api:1.0
OUTPUT:
Both variants are built and pushed under one tag, and inspect lists amd64 and arm64 entries.
EXPLANATION:
Docker pulls the variant matching the machine's architecture automatically. Building for a foreign CPU uses emulation, which is slow, or native builders. Multi-platform builds usually push straight to a registry, since the local image store holds one platform. Architecture errors often show as exec format error.
SIMPLE EXPLANATION (HINGLISH):
Build with buildx for several platforms and push under one tag.
REAL-LIFE ANALOGY:
It is like one doorway that sends visitors to the right room.
SYNTAX PATTERN:
docker buildx build --platform p1,p2 -t name --push .
ANATOMY:
--platform = target CPUs | --push = upload result | manifest = index of variants
EXAMPLE 1:
docker buildx build --platform linux/arm64 -t api:arm --load .
EXAMPLE 2:
docker run --platform linux/amd64 alpine uname -m
EXAMPLE 3:
docker buildx create --use
VARIATION:
FROM --platform=$BUILDPLATFORM golang AS build   // build natively then cross-compile
USED WITH:
registries, CI, BuildKit
RELATED CONCEPTS:
BuildKit and build cache, registries and Docker Hub, docker pull and push
ALTERNATIVES:
Separate tags per architecture
WHERE IT IS USED:
Apple silicon teams | ARM cloud servers | Public images
MINI CONVERSATION:
A: It fails with exec format error. | B: The image was built for another CPU, so build for both.
COMMON MISTAKE:
✗ An image built on a laptop runs on any server → ✓ It runs only on the architecture it was built for
COMMONLY CONFUSED WITH:
Platform vs OS: platform includes the CPU architecture, such as amd64 or arm64.
AVOID / DON'T:
Do not ship only an Apple silicon build to Intel servers.
WRONG CODE:
docker build --platform=all -t api .
RIGHT CODE:
docker buildx build --platform linux/amd64,linux/arm64 -t api --push .
MEMORY TRICK:
Exec format error means wrong CPU.
REAL LIFE: PROJECT / WORK:
Publishing both amd64 and arm64 so developers and servers pulled the same tag.
REAL LIFE: INTERVIEW / EXAM:
An interviewer may ask: What does exec format error mean?
REAL LIFE: DAILY LIFE:
It is like one doorway leading each visitor to the right room.</t>
        </is>
      </c>
      <c r="C49" s="29" t="inlineStr">
        <is>
          <t>07_Advanced_Docker_Advanced_DKR-048</t>
        </is>
      </c>
    </row>
    <row r="50" ht="409" customHeight="1">
      <c r="A50" s="29" t="inlineStr">
        <is>
          <t>Debugging a failing container
What is the step-by-step routine when a container will not start or keeps restarting?
docker ps -a
docker logs --tail 50 api
docker inspect --format "{{.State.ExitCode}} {{.State.Error}}" api
docker run --rm -it --entrypoint sh myapi</t>
        </is>
      </c>
      <c r="B50" s="29" t="inlineStr">
        <is>
          <t>MEANING (SHORT):
Debugging a failing container means checking its status and exit code, reading logs, inspecting its configuration, and then entering it or running it by hand.
CODE:
docker ps -a
docker logs --tail 50 api
docker inspect --format "{{.State.ExitCode}} {{.State.Error}}" api
docker run --rm -it --entrypoint sh myapi
OUTPUT:
You see the exit status, the last error lines, the exit code, and then an interactive shell in the same image.
EXPLANATION:
Exit code 0 means a clean stop, 1 an app error, 125 to 127 a Docker or command problem, 137 a kill often for memory, and 143 a normal termination signal. Overriding the entrypoint lets you explore an image that crashes on start. Compare the environment, mounts and ports with what you expect.
SIMPLE EXPLANATION (HINGLISH):
Status, exit code, logs, config, then a shell. Change one thing at a time.
REAL-LIFE ANALOGY:
It is like a detective checking the status, the diary and then the room.
SYNTAX PATTERN:
docker inspect --format "{{.State.ExitCode}}" container
ANATOMY:
ps -a = state | logs = last output | inspect = config and exit code | --entrypoint sh = explore
EXAMPLE 1:
docker events --since 10m
EXAMPLE 2:
docker inspect api
EXAMPLE 3:
docker diff api
VARIATION:
docker run --rm -it --entrypoint sh image   // explore a crashing image
USED WITH:
docker logs, docker exec, health checks
RELATED CONCEPTS:
docker logs, docker exec, resource limits
ALTERNATIVES:
Interactive debugging tools
WHERE IT IS USED:
Incidents | Failed deploys | Local testing
MINI CONVERSATION:
A: It restarts forever. | B: Read the exit code and last logs first.
COMMON MISTAKE:
✗ Restarting the container usually fixes the problem → ✓ It repeats the same failure until you find the cause
COMMONLY CONFUSED WITH:
Exit 137 vs 1: 137 is usually killed, 1 is an error from the application.
AVOID / DON'T:
Do not change several things at once while debugging.
WRONG CODE:
docker restart api &amp;&amp; docker restart api
RIGHT CODE:
docker logs --tail 50 api
MEMORY TRICK:
Status, logs, inspect, shell in order.
REAL LIFE: PROJECT / WORK:
Finding a missing variable from the last log line of a restart loop.
REAL LIFE: INTERVIEW / EXAM:
An interviewer may ask: Walk me through debugging a crashing container.
REAL LIFE: DAILY LIFE:
It is like a detective checking the diary first.</t>
        </is>
      </c>
      <c r="C50" s="29" t="inlineStr">
        <is>
          <t>07_Advanced_Docker_Advanced_DKR-049</t>
        </is>
      </c>
    </row>
    <row r="51" ht="409" customHeight="1">
      <c r="A51" s="29" t="inlineStr">
        <is>
          <t>Docker in CI
How do you build, scan and push images automatically in a pipeline?
docker build -t ghcr.io/acme/api:${GIT_SHA} .
trivy image --exit-code 1 --severity CRITICAL ghcr.io/acme/api:${GIT_SHA}
docker push ghcr.io/acme/api:${GIT_SHA}</t>
        </is>
      </c>
      <c r="B51" s="29" t="inlineStr">
        <is>
          <t>MEANING (SHORT):
Docker in CI means a pipeline that builds an image from each commit, tests and scans it, then pushes it to a registry with a traceable tag.
CODE:
docker build -t ghcr.io/acme/api:${GIT_SHA} .
trivy image --exit-code 1 --severity CRITICAL ghcr.io/acme/api:${GIT_SHA}
docker push ghcr.io/acme/api:${GIT_SHA}
OUTPUT:
The image is built with the commit tag, the pipeline fails on critical findings, and a clean image is pushed.
EXPLANATION:
Log in with a short-lived token stored as a pipeline secret. Use the cache to keep builds fast. Tag with the commit and optionally with a version, and avoid relying on latest for deploys. Run tests inside the built image, so what you test is what ships. Deploy by digest or exact tag.
SIMPLE EXPLANATION (HINGLISH):
Build once per commit, test and scan it, push with the commit tag, deploy that exact tag.
REAL-LIFE ANALOGY:
It is like a factory line that stamps every box with its commit number.
SYNTAX PATTERN:
docker build -t registry/repo:${GIT_SHA} .
ANATOMY:
GIT_SHA = commit id | scan = quality gate | push = publish | deploy = use the same tag
EXAMPLE 1:
docker run --rm acme/api:${GIT_SHA} pytest
EXAMPLE 2:
echo "$TOKEN" | docker login ghcr.io -u user --password-stdin
EXAMPLE 3:
docker pull acme/api:${GIT_SHA}
VARIATION:
docker buildx build --push --cache-to type=registry,ref=acme/api:cache .   // fast, cached CI build
USED WITH:
GitHub Actions, registries, scanning
RELATED CONCEPTS:
docker build and tag, image scanning, BuildKit and build cache
ALTERNATIVES:
Managed build services
WHERE IT IS USED:
GitHub Actions | GitLab CI | Release pipelines
MINI CONVERSATION:
A: Which version is running in production? | B: The tag is the commit hash, so we can trace it.
COMMON MISTAKE:
✗ Deploying the latest tag is the safest choice → ✓ A moving tag makes it unclear what is running, so use exact tags
COMMONLY CONFUSED WITH:
Build in CI vs build on a laptop: CI is repeatable and recorded.
AVOID / DON'T:
Do not store registry passwords in the repository.
WRONG CODE:
docker login -u user -p mypassword
RIGHT CODE:
echo "$TOKEN" | docker login ghcr.io -u user --password-stdin
MEMORY TRICK:
Commit tag makes every image traceable.
REAL LIFE: PROJECT / WORK:
Tagging images with the commit hash so rollbacks were one command.
REAL LIFE: INTERVIEW / EXAM:
An interviewer may ask: How do you tag images in a pipeline?
REAL LIFE: DAILY LIFE:
It is like stamping every box with its number.</t>
        </is>
      </c>
      <c r="C51" s="29" t="inlineStr">
        <is>
          <t>07_Advanced_Docker_Advanced_DKR-050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94.5" customHeight="1">
      <c r="A2" s="29" t="inlineStr">
        <is>
          <t>MCQ: What do containers on the same host share?
A) A guest operating system each B) Nothing at all C) The host kernel D) A hypervisor only
FILL: A virtual machine runs a full guest ____ system
APPLY: Which option starts faster and uses less memory for one app?</t>
        </is>
      </c>
      <c r="B2" s="29" t="inlineStr">
        <is>
          <t>MCQ answer: C  Containers are isolated processes running on the same host kernel.
Fill answer: operating
Apply: A container</t>
        </is>
      </c>
      <c r="C2" s="29" t="inlineStr">
        <is>
          <t>01_Basics_Beginner_DKR-001_quiz</t>
        </is>
      </c>
    </row>
    <row r="3" ht="94.5" customHeight="1">
      <c r="A3" s="29" t="inlineStr">
        <is>
          <t>MCQ: What is a container?
A) A running instance of an image B) A registry C) A network D) A file format
FILL: A container adds a writable ____ on top of the image layers
APPLY: How do you get a second copy of the same app running?</t>
        </is>
      </c>
      <c r="B3" s="29" t="inlineStr">
        <is>
          <t>MCQ answer: A  A container is created by running an image.
Fill answer: layer
Apply: Start another container from the same image</t>
        </is>
      </c>
      <c r="C3" s="29" t="inlineStr">
        <is>
          <t>01_Basics_Beginner_DKR-002_quiz</t>
        </is>
      </c>
    </row>
    <row r="4" ht="94.5" customHeight="1">
      <c r="A4" s="29" t="inlineStr">
        <is>
          <t>MCQ: Which component actually runs containers?
A) The Dockerfile B) The docker CLI C) The registry D) The Docker daemon
FILL: The Docker background service is called the ____
APPLY: Docker cannot connect to the daemon. What do you check first?</t>
        </is>
      </c>
      <c r="B4" s="29" t="inlineStr">
        <is>
          <t>MCQ answer: D  The daemon builds and runs containers, and the CLI only sends requests.
Fill answer: daemon
Apply: Whether the daemon is running and your user has access</t>
        </is>
      </c>
      <c r="C4" s="29" t="inlineStr">
        <is>
          <t>01_Basics_Beginner_DKR-003_quiz</t>
        </is>
      </c>
    </row>
    <row r="5" ht="94.5" customHeight="1">
      <c r="A5" s="29" t="inlineStr">
        <is>
          <t>MCQ: Which registry does Docker use when an image name has no registry?
A) None B) Docker Hub C) A local folder D) GitHub only
FILL: An image name has the form registry/repository: ____
APPLY: How does a server get a new image version?</t>
        </is>
      </c>
      <c r="B5" s="29" t="inlineStr">
        <is>
          <t>MCQ answer: B  Docker Hub is the default registry.
Fill answer: tag
Apply: It pulls the image from the registry</t>
        </is>
      </c>
      <c r="C5" s="29" t="inlineStr">
        <is>
          <t>01_Basics_Beginner_DKR-004_quiz</t>
        </is>
      </c>
    </row>
    <row r="6" ht="135" customHeight="1">
      <c r="A6" s="29" t="inlineStr">
        <is>
          <t>MCQ: What does a digest identify?
A) The exact image content B) The newest version C) The container name D) The registry
FILL: A tag such as latest is only a ____ name
HINDI TO TASK: Pull the python image with the 3.12-slim tag.
PRACTICE QUESTION: Which one never changes for a given image: a tag or a digest?</t>
        </is>
      </c>
      <c r="B6" s="29" t="inlineStr">
        <is>
          <t>MCQ answer: A  A digest is a hash of the image content.
Fill answer: default
Task answer:
docker pull python:3.12-slim
Practice answer:
A digest</t>
        </is>
      </c>
      <c r="C6" s="29" t="inlineStr">
        <is>
          <t>01_Basics_Beginner_DKR-005_quiz</t>
        </is>
      </c>
    </row>
    <row r="7" ht="121.5" customHeight="1">
      <c r="A7" s="29" t="inlineStr">
        <is>
          <t>MCQ: Which instruction sets the base image?
A) RUN B) COPY C) CMD D) FROM
FILL: A Dockerfile normally begins with the instruction ____
HINDI TO TASK: Start a Dockerfile from the node image version 20 with the alpine variant.
PRACTICE QUESTION: What does FROM scratch mean?</t>
        </is>
      </c>
      <c r="B7" s="29" t="inlineStr">
        <is>
          <t>MCQ answer: D  FROM names the image to build on.
Fill answer: FROM
Task answer:
FROM node:20-alpine
Practice answer:
Starting from an empty image with no base system.</t>
        </is>
      </c>
      <c r="C7" s="29" t="inlineStr">
        <is>
          <t>02_Dockerfile_Beginner_DKR-006_quiz</t>
        </is>
      </c>
    </row>
    <row r="8" ht="135" customHeight="1">
      <c r="A8" s="29" t="inlineStr">
        <is>
          <t>MCQ: When does RUN execute?
A) When it stops B) During the image build C) When it is pushed D) When the container starts
FILL: Each RUN instruction creates a new image ____
HINDI TO TASK: Write a RUN line that installs the Python packages from requirements.txt without a cache.
PRACTICE QUESTION: Why should cleanup happen in the same RUN?</t>
        </is>
      </c>
      <c r="B8" s="29" t="inlineStr">
        <is>
          <t>MCQ answer: B  RUN executes at build time.
Fill answer: layer
Task answer:
RUN pip install --no-cache-dir -r requirements.txt
Practice answer:
Because files deleted in a later layer still exist in the earlier layer.</t>
        </is>
      </c>
      <c r="C8" s="29" t="inlineStr">
        <is>
          <t>02_Dockerfile_Beginner_DKR-007_quiz</t>
        </is>
      </c>
    </row>
    <row r="9" ht="135" customHeight="1">
      <c r="A9" s="29" t="inlineStr">
        <is>
          <t>MCQ: Which instruction is the safer default for adding files?
A) ADD B) FROM C) COPY D) RUN
FILL: To pull files out of an earlier stage, COPY takes the flag --____=build
HINDI TO TASK: Copy requirements.txt into the /app folder of the image.
PRACTICE QUESTION: Which files can COPY use as sources?</t>
        </is>
      </c>
      <c r="B9" s="29" t="inlineStr">
        <is>
          <t>MCQ answer: C  COPY has simple, predictable behaviour.
Fill answer: from
Task answer:
COPY requirements.txt /app/
Practice answer:
Only files inside the build context.</t>
        </is>
      </c>
      <c r="C9" s="29" t="inlineStr">
        <is>
          <t>02_Dockerfile_Beginner_DKR-008_quiz</t>
        </is>
      </c>
    </row>
    <row r="10" ht="135" customHeight="1">
      <c r="A10" s="29" t="inlineStr">
        <is>
          <t>MCQ: Why does RUN cd not affect later instructions?
A) cd is not installed B) It only works on Windows C) Docker blocks it D) Each RUN starts in a fresh shell
FILL: WORKDIR creates the folder if it does not ____
HINDI TO TASK: Set the working folder to /srv/app.
PRACTICE QUESTION: What happens if the WORKDIR folder does not exist?</t>
        </is>
      </c>
      <c r="B10" s="29" t="inlineStr">
        <is>
          <t>MCQ answer: D  A directory change lasts only for that one instruction.
Fill answer: exist
Task answer:
WORKDIR /srv/app
Practice answer:
Docker creates it.</t>
        </is>
      </c>
      <c r="C10" s="29" t="inlineStr">
        <is>
          <t>02_Dockerfile_Beginner_DKR-009_quiz</t>
        </is>
      </c>
    </row>
    <row r="11" ht="121.5" customHeight="1">
      <c r="A11" s="29" t="inlineStr">
        <is>
          <t>MCQ: Which one is replaced by arguments given to docker run?
A) CMD B) FROM C) WORKDIR D) ENTRYPOINT
FILL: The ____ form of CMD uses a JSON array
HINDI TO TASK: Write a CMD that runs node server.js in the exec form.
PRACTICE QUESTION: Why use the exec form for services?</t>
        </is>
      </c>
      <c r="B11" s="29" t="inlineStr">
        <is>
          <t>MCQ answer: A  Arguments after the image name replace CMD.
Fill answer: exec
Task answer:
CMD ["node", "server.js"]
Practice answer:
So the program is the main process and receives stop signals.</t>
        </is>
      </c>
      <c r="C11" s="29" t="inlineStr">
        <is>
          <t>02_Dockerfile_Intermediate_DKR-010_quiz</t>
        </is>
      </c>
    </row>
    <row r="12" ht="135" customHeight="1">
      <c r="A12" s="29" t="inlineStr">
        <is>
          <t>MCQ: Which variable is available only during the build?
A) Both B) Neither C) ARG D) ENV
FILL: You give a value at build time with docker build --build-____ and a name=value pair
HINDI TO TASK: Define an environment variable LOG_LEVEL with the value info.
PRACTICE QUESTION: Can ARG values be read after the build?</t>
        </is>
      </c>
      <c r="B12" s="29" t="inlineStr">
        <is>
          <t>MCQ answer: C  ARG values exist at build time only.
Fill answer: arg
Task answer:
ENV LOG_LEVEL=info
Practice answer:
They can appear in the image history, so they are not safe for secrets.</t>
        </is>
      </c>
      <c r="C12" s="29" t="inlineStr">
        <is>
          <t>02_Dockerfile_Intermediate_DKR-011_quiz</t>
        </is>
      </c>
    </row>
    <row r="13" ht="148.5" customHeight="1">
      <c r="A13" s="29" t="inlineStr">
        <is>
          <t>MCQ: What does -p 8080:80 do?
A) Maps 80 to 8080 on the container B) Maps host port 8080 to container port 80 C) Exposes UDP only D) Deletes a port
FILL: EXPOSE only documents a port, and ____ publishes it
HINDI TO TASK: Run the image web and map host port 8080 to container port 80.
PRACTICE QUESTION: Which address must an app listen on inside a container to be reachable from outside?</t>
        </is>
      </c>
      <c r="B13" s="29" t="inlineStr">
        <is>
          <t>MCQ answer: B  The host port comes first and the container port second.
Fill answer: -p
Task answer:
docker run -p 8080:80 web
Practice answer:
0.0.0.0</t>
        </is>
      </c>
      <c r="C13" s="29" t="inlineStr">
        <is>
          <t>02_Dockerfile_Beginner_DKR-012_quiz</t>
        </is>
      </c>
    </row>
    <row r="14" ht="108" customHeight="1">
      <c r="A14" s="29" t="inlineStr">
        <is>
          <t>MCQ: What happens to later layers when an early layer changes?
A) They are merged B) They are deleted forever C) They are rebuilt D) They are kept
FILL: Instructions that change rarely should come ____ in the Dockerfile
APPLY: How do you keep dependency installs cached when code changes?</t>
        </is>
      </c>
      <c r="B14" s="29" t="inlineStr">
        <is>
          <t>MCQ answer: C  A changed layer invalidates all layers after it.
Fill answer: first
Apply: Copy the dependency file and install before copying the code</t>
        </is>
      </c>
      <c r="C14" s="29" t="inlineStr">
        <is>
          <t>02_Dockerfile_Intermediate_DKR-013_quiz</t>
        </is>
      </c>
    </row>
    <row r="15" ht="135" customHeight="1">
      <c r="A15" s="29" t="inlineStr">
        <is>
          <t>MCQ: What does .dockerignore control?
A) Which files enter the build context B) Which ports open C) Which users log in D) Which registry is used
FILL: The folder you pass to docker build is called the build ____
HINDI TO TASK: Write two .dockerignore lines to exclude node_modules and .env.
PRACTICE QUESTION: Why exclude .env files from the build context?</t>
        </is>
      </c>
      <c r="B15" s="29" t="inlineStr">
        <is>
          <t>MCQ answer: A  It excludes files from what is sent to the build.
Fill answer: context
Task answer:
node_modules
.env
Practice answer:
So secrets cannot be copied into the image by accident.</t>
        </is>
      </c>
      <c r="C15" s="29" t="inlineStr">
        <is>
          <t>02_Dockerfile_Beginner_DKR-014_quiz</t>
        </is>
      </c>
    </row>
    <row r="16" ht="135" customHeight="1">
      <c r="A16" s="29" t="inlineStr">
        <is>
          <t>MCQ: Which part of a multi-stage Dockerfile becomes the final image?
A) The base image only B) The last stage C) Every stage D) The first stage
FILL: COPY --from copies files from an earlier ____
HINDI TO TASK: Copy the folder /app/dist from the build stage into /usr/share/nginx/html.
PRACTICE QUESTION: Which option builds only up to a named stage?</t>
        </is>
      </c>
      <c r="B16" s="29" t="inlineStr">
        <is>
          <t>MCQ answer: B  The final image is built from the last stage unless another target is chosen.
Fill answer: stage
Task answer:
COPY --from=build /app/dist /usr/share/nginx/html
Practice answer:
--target</t>
        </is>
      </c>
      <c r="C16" s="29" t="inlineStr">
        <is>
          <t>02_Dockerfile_Advanced_DKR-015_quiz</t>
        </is>
      </c>
    </row>
    <row r="17" ht="121.5" customHeight="1">
      <c r="A17" s="29" t="inlineStr">
        <is>
          <t>MCQ: Which instruction makes later steps run as an unprivileged account?
A) FROM B) EXPOSE C) RUN D) USER
FILL: By default a container's process runs as ____
HINDI TO TASK: Switch to the user app before the start command.
PRACTICE QUESTION: Which option sets the user at run time?</t>
        </is>
      </c>
      <c r="B17" s="29" t="inlineStr">
        <is>
          <t>MCQ answer: D  USER sets the user that later instructions and the container run as.
Fill answer: root
Task answer:
USER app
Practice answer:
--user</t>
        </is>
      </c>
      <c r="C17" s="29" t="inlineStr">
        <is>
          <t>02_Dockerfile_Intermediate_DKR-016_quiz</t>
        </is>
      </c>
    </row>
    <row r="18" ht="135" customHeight="1">
      <c r="A18" s="29" t="inlineStr">
        <is>
          <t>MCQ: Where do the docker run options such as -d belong?
A) Before the image name B) In a separate file C) After the image name D) After the container ID
FILL: Use the flag ____ to remove the container automatically when it exits
HINDI TO TASK: Run nginx in the background on host port 8080.
PRACTICE QUESTION: What does -p 8080:80 mean?</t>
        </is>
      </c>
      <c r="B18" s="29" t="inlineStr">
        <is>
          <t>MCQ answer: A  Anything after the image name is passed to the container as its command.
Fill answer: --rm
Task answer:
docker run -d -p 8080:80 nginx
Practice answer:
Host port 8080 forwards to container port 80.</t>
        </is>
      </c>
      <c r="C18" s="29" t="inlineStr">
        <is>
          <t>03_Docker_CLI_Beginner_DKR-017_quiz</t>
        </is>
      </c>
    </row>
    <row r="19" ht="108" customHeight="1">
      <c r="A19" s="29" t="inlineStr">
        <is>
          <t>MCQ: Which option also shows stopped containers?
A) -q B) -f C) -d D) -a
FILL: To list only container IDs you add the flag ____
HINDI TO TASK: Show all containers including stopped ones.
PRACTICE QUESTION: What does docker ps -q print?</t>
        </is>
      </c>
      <c r="B19" s="29" t="inlineStr">
        <is>
          <t>MCQ answer: D  -a means all containers, not only running ones.
Fill answer: -q
Task answer:
docker ps -a
Practice answer:
Only the container IDs, one per line.</t>
        </is>
      </c>
      <c r="C19" s="29" t="inlineStr">
        <is>
          <t>03_Docker_CLI_Beginner_DKR-018_quiz</t>
        </is>
      </c>
    </row>
    <row r="20" ht="135" customHeight="1">
      <c r="A20" s="29" t="inlineStr">
        <is>
          <t>MCQ: What does docker logs read from?
A) The host system journal only B) The standard output and error of the main process C) The image layers D) Every file in the container
FILL: The flag ____ keeps streaming new lines as they appear
HINDI TO TASK: Show the last 20 lines of the container named api.
PRACTICE QUESTION: Why can docker logs be empty for a working service?</t>
        </is>
      </c>
      <c r="B20" s="29" t="inlineStr">
        <is>
          <t>MCQ answer: B  Docker records the main process output streams.
Fill answer: -f
Task answer:
docker logs --tail 20 api
Practice answer:
The service may write only to a file instead of stdout and stderr.</t>
        </is>
      </c>
      <c r="C20" s="29" t="inlineStr">
        <is>
          <t>03_Docker_CLI_Beginner_DKR-019_quiz</t>
        </is>
      </c>
    </row>
    <row r="21" ht="121.5" customHeight="1">
      <c r="A21" s="29" t="inlineStr">
        <is>
          <t>MCQ: Which flags give you an interactive shell with exec?
A) -rm B) -p C) -it D) -d
FILL: docker exec only works on a ____ container
HINDI TO TASK: Open a shell in the running container called api.
PRACTICE QUESTION: Why might docker exec web bash fail on a small image?</t>
        </is>
      </c>
      <c r="B21" s="29" t="inlineStr">
        <is>
          <t>MCQ answer: C  -i keeps input open and -t allocates a terminal.
Fill answer: running
Task answer:
docker exec -it api sh
Practice answer:
Slim images often have sh but not bash.</t>
        </is>
      </c>
      <c r="C21" s="29" t="inlineStr">
        <is>
          <t>03_Docker_CLI_Beginner_DKR-020_quiz</t>
        </is>
      </c>
    </row>
    <row r="22" ht="135" customHeight="1">
      <c r="A22" s="29" t="inlineStr">
        <is>
          <t>MCQ: What does docker rm refuse to do by default?
A) Delete a named image B) Print its name C) Delete a running container D) Delete a stopped container
FILL: docker stop first sends the signal ____ before force killing
HINDI TO TASK: Force remove the container called old-api.
PRACTICE QUESTION: Does removing a container delete its named volumes?</t>
        </is>
      </c>
      <c r="B22" s="29" t="inlineStr">
        <is>
          <t>MCQ answer: C  A running container must be stopped or forced with -f.
Fill answer: SIGTERM
Task answer:
docker rm -f old-api
Practice answer:
No, named volumes survive unless you delete them explicitly.</t>
        </is>
      </c>
      <c r="C22" s="29" t="inlineStr">
        <is>
          <t>03_Docker_CLI_Beginner_DKR-021_quiz</t>
        </is>
      </c>
    </row>
    <row r="23" ht="108" customHeight="1">
      <c r="A23" s="29" t="inlineStr">
        <is>
          <t>MCQ: Which command shows the size added by each layer?
A) docker logs B) docker ps C) docker top D) docker history
FILL: An image without any tag is called a ____ image
HINDI TO TASK: Delete the local image nginx:1.25.
PRACTICE QUESTION: What does docker image prune remove by default?</t>
        </is>
      </c>
      <c r="B23" s="29" t="inlineStr">
        <is>
          <t>MCQ answer: D  History lists every layer with the instruction and size.
Fill answer: dangling
Task answer:
docker image rm nginx:1.25
Practice answer:
Dangling images that have no tag.</t>
        </is>
      </c>
      <c r="C23" s="29" t="inlineStr">
        <is>
          <t>03_Docker_CLI_Beginner_DKR-022_quiz</t>
        </is>
      </c>
    </row>
    <row r="24" ht="121.5" customHeight="1">
      <c r="A24" s="29" t="inlineStr">
        <is>
          <t>MCQ: What decides which registry a push goes to?
A) The registry host in the image name B) The container name C) The current folder D) The host port
FILL: Before pushing to a private registry you must first ____
HINDI TO TASK: Download the image python 3.12-slim.
PRACTICE QUESTION: Why is a pull by digest safer than by tag?</t>
        </is>
      </c>
      <c r="B24" s="29" t="inlineStr">
        <is>
          <t>MCQ answer: A  The name prefix selects the registry and repository.
Fill answer: login
Task answer:
docker pull python:3.12-slim
Practice answer:
A digest always points to the same exact content.</t>
        </is>
      </c>
      <c r="C24" s="29" t="inlineStr">
        <is>
          <t>03_Docker_CLI_Intermediate_DKR-023_quiz</t>
        </is>
      </c>
    </row>
    <row r="25" ht="135" customHeight="1">
      <c r="A25" s="29" t="inlineStr">
        <is>
          <t>MCQ: What does the trailing dot in docker build mean?
A) Use the latest tag B) The current folder is the build context C) Build everything on disk D) Skip the cache
FILL: The flag ____ gives the built image a name and tag
HINDI TO TASK: Build an image named api with tag dev from this folder.
PRACTICE QUESTION: Does docker tag copy the image data?</t>
        </is>
      </c>
      <c r="B25" s="29" t="inlineStr">
        <is>
          <t>MCQ answer: B  The last argument is the context folder sent to Docker.
Fill answer: -t
Task answer:
docker build -t api:dev .
Practice answer:
No, it only adds another name to the same image.</t>
        </is>
      </c>
      <c r="C25" s="29" t="inlineStr">
        <is>
          <t>03_Docker_CLI_Intermediate_DKR-024_quiz</t>
        </is>
      </c>
    </row>
    <row r="26" ht="121.5" customHeight="1">
      <c r="A26" s="29" t="inlineStr">
        <is>
          <t>MCQ: What happens to a named volume when its container is removed?
A) It becomes read-only B) It moves into the image C) It stays until deleted D) It is deleted at once
FILL: A named volume is attached with the flag ____
HINDI TO TASK: Create a volume called appdata.
PRACTICE QUESTION: How do you list all volumes?</t>
        </is>
      </c>
      <c r="B26" s="29" t="inlineStr">
        <is>
          <t>MCQ answer: C  Volumes live independently of containers.
Fill answer: -v
Task answer:
docker volume create appdata
Practice answer:
docker volume ls</t>
        </is>
      </c>
      <c r="C26" s="29" t="inlineStr">
        <is>
          <t>04_Storage_and_Networking_Intermediate_DKR-025_quiz</t>
        </is>
      </c>
    </row>
    <row r="27" ht="108" customHeight="1">
      <c r="A27" s="29" t="inlineStr">
        <is>
          <t>MCQ: Which suffix makes a bind mount read-only?
A) :ls B) :ro C) :tmp D) :rw
FILL: A bind mount maps a folder from the ____ into the container
HINDI TO TASK: Mount the current folder to /app in a node container.
PRACTICE QUESTION: Why can a bind mount be risky?</t>
        </is>
      </c>
      <c r="B27" s="29" t="inlineStr">
        <is>
          <t>MCQ answer: B  The ro option stands for read only.
Fill answer: host
Task answer:
docker run -v "$(pwd)":/app node:22
Practice answer:
The container can change or delete real files on your host.</t>
        </is>
      </c>
      <c r="C27" s="29" t="inlineStr">
        <is>
          <t>04_Storage_and_Networking_Intermediate_DKR-026_quiz</t>
        </is>
      </c>
    </row>
    <row r="28" ht="135" customHeight="1">
      <c r="A28" s="29" t="inlineStr">
        <is>
          <t>MCQ: Where does tmpfs keep its data?
A) In host memory B) In a volume C) On a network drive D) In the image
FILL: The flag ____ sets a memory-only mount
HINDI TO TASK: Give an alpine container a memory-only /tmp.
PRACTICE QUESTION: What happens to tmpfs data when the container stops?</t>
        </is>
      </c>
      <c r="B28" s="29" t="inlineStr">
        <is>
          <t>MCQ answer: A  The data is in RAM and is lost on stop.
Fill answer: --tmpfs
Task answer:
docker run --tmpfs /tmp alpine
Practice answer:
It is erased.</t>
        </is>
      </c>
      <c r="C28" s="29" t="inlineStr">
        <is>
          <t>04_Storage_and_Networking_Intermediate_DKR-027_quiz</t>
        </is>
      </c>
    </row>
    <row r="29" ht="135" customHeight="1">
      <c r="A29" s="29" t="inlineStr">
        <is>
          <t>MCQ: Which network type gives containers name-based lookup?
A) The none driver B) No network C) The default bridge D) A user-defined bridge
FILL: A new network is made with docker network ____ followed by a name
HINDI TO TASK: Create a network named appnet.
PRACTICE QUESTION: Can two containers on different networks talk?</t>
        </is>
      </c>
      <c r="B29" s="29" t="inlineStr">
        <is>
          <t>MCQ answer: D  Only user-defined bridges provide built-in DNS by name.
Fill answer: create
Task answer:
docker network create appnet
Practice answer:
Not unless one is connected to both.</t>
        </is>
      </c>
      <c r="C29" s="29" t="inlineStr">
        <is>
          <t>04_Storage_and_Networking_Intermediate_DKR-028_quiz</t>
        </is>
      </c>
    </row>
    <row r="30" ht="121.5" customHeight="1">
      <c r="A30" s="29" t="inlineStr">
        <is>
          <t>MCQ: In -p 8080:80, which number is the container port?
A) Neither B) 80 C) 8080 D) Both
FILL: To restrict a port to this machine, bind it to ____
HINDI TO TASK: Map host port 3000 to container port 3000.
PRACTICE QUESTION: Which command shows the active port mappings of a container?</t>
        </is>
      </c>
      <c r="B30" s="29" t="inlineStr">
        <is>
          <t>MCQ answer: B  The format is host port, then container port.
Fill answer: 127.0.0.1
Task answer:
docker run -p 3000:3000 myapp
Practice answer:
docker port container</t>
        </is>
      </c>
      <c r="C30" s="29" t="inlineStr">
        <is>
          <t>04_Storage_and_Networking_Beginner_DKR-029_quiz</t>
        </is>
      </c>
    </row>
    <row r="31" ht="121.5" customHeight="1">
      <c r="A31" s="29" t="inlineStr">
        <is>
          <t>MCQ: What does localhost mean inside a container?
A) That same container B) The host machine C) The database container D) The registry
FILL: The built-in resolver address inside containers is ____
HINDI TO TASK: Check how the api container resolves the name db.
PRACTICE QUESTION: What usually causes a name lookup to fail?</t>
        </is>
      </c>
      <c r="B31" s="29" t="inlineStr">
        <is>
          <t>MCQ answer: A  Each container has its own network namespace.
Fill answer: 127.0.0.11
Task answer:
docker exec api getent hosts db
Practice answer:
The containers are on different networks, or the default bridge is used.</t>
        </is>
      </c>
      <c r="C31" s="29" t="inlineStr">
        <is>
          <t>04_Storage_and_Networking_Intermediate_DKR-030_quiz</t>
        </is>
      </c>
    </row>
    <row r="32" ht="135" customHeight="1">
      <c r="A32" s="29" t="inlineStr">
        <is>
          <t>MCQ: What does the none network give a container?
A) A public IP B) Full host access C) A VPN D) Only a loopback interface
FILL: To share the machine's own network stack you pass --network followed by ____
HINDI TO TASK: Run nginx sharing the host network.
PRACTICE QUESTION: Why is -p ignored in host mode?</t>
        </is>
      </c>
      <c r="B32" s="29" t="inlineStr">
        <is>
          <t>MCQ answer: D  Only the internal loopback is available.
Fill answer: host
Task answer:
docker run --network host nginx
Practice answer:
There is no separate container network to map from.</t>
        </is>
      </c>
      <c r="C32" s="29" t="inlineStr">
        <is>
          <t>04_Storage_and_Networking_Advanced_DKR-031_quiz</t>
        </is>
      </c>
    </row>
    <row r="33" ht="148.5" customHeight="1">
      <c r="A33" s="29" t="inlineStr">
        <is>
          <t>MCQ: Where should you test connectivity from?
A) From the registry B) Only from your laptop C) Inside the calling container D) From the image build
FILL: A server inside a container should listen on 0.0.0.0 rather than ____
HINDI TO TASK: Check whether the api container can reach db on port 5432.
PRACTICE QUESTION: What does connection refused usually mean?</t>
        </is>
      </c>
      <c r="B33" s="29" t="inlineStr">
        <is>
          <t>MCQ answer: C  The caller's own view decides whether it can connect.
Fill answer: 127.0.0.1
Task answer:
docker exec api sh -c "nc -zv db 5432"
Practice answer:
Nothing is listening on that port or address.</t>
        </is>
      </c>
      <c r="C33" s="29" t="inlineStr">
        <is>
          <t>04_Storage_and_Networking_Advanced_DKR-032_quiz</t>
        </is>
      </c>
    </row>
    <row r="34" ht="121.5" customHeight="1">
      <c r="A34" s="29" t="inlineStr">
        <is>
          <t>MCQ: What does each entry under services become?
A) A volume B) A registry C) An image tag D) A container
FILL: Compose files are written in the ____ format
HINDI TO TASK: Define a service called cache using the redis 7 image.
PRACTICE QUESTION: Why are tabs a problem in Compose files?</t>
        </is>
      </c>
      <c r="B34" s="29" t="inlineStr">
        <is>
          <t>MCQ answer: D  Every service is run as one or more containers.
Fill answer: YAML
Task answer:
services:
  cache:
    image: redis:7
Practice answer:
YAML requires spaces for indentation.</t>
        </is>
      </c>
      <c r="C34" s="29" t="inlineStr">
        <is>
          <t>05_Docker_Compose_Intermediate_DKR-033_quiz</t>
        </is>
      </c>
    </row>
    <row r="35" ht="108" customHeight="1">
      <c r="A35" s="29" t="inlineStr">
        <is>
          <t>MCQ: What does docker compose down keep by default?
A) Named volumes B) The network C) Running services D) Containers
FILL: The flag ____ runs the stack in the background
HINDI TO TASK: Start the stack in the background and rebuild images.
PRACTICE QUESTION: Which flag makes down delete volumes too?</t>
        </is>
      </c>
      <c r="B35" s="29" t="inlineStr">
        <is>
          <t>MCQ answer: A  Volumes are removed only with the -v flag.
Fill answer: -d
Task answer:
docker compose up -d --build
Practice answer:
-v</t>
        </is>
      </c>
      <c r="C35" s="29" t="inlineStr">
        <is>
          <t>05_Docker_Compose_Intermediate_DKR-034_quiz</t>
        </is>
      </c>
    </row>
    <row r="36" ht="121.5" customHeight="1">
      <c r="A36" s="29" t="inlineStr">
        <is>
          <t>MCQ: Where is a named volume declared in Compose?
A) In .dockerignore B) Inside the Dockerfile C) In the top-level volumes section D) In the image tag
FILL: A network that blocks outside access is marked ____
HINDI TO TASK: Attach a service to a network named backend.
PRACTICE QUESTION: What survives docker compose down?</t>
        </is>
      </c>
      <c r="B36" s="29" t="inlineStr">
        <is>
          <t>MCQ answer: C  Named volumes need a top-level declaration.
Fill answer: internal
Task answer:
networks: [backend]
Practice answer:
Named volumes, unless -v is used.</t>
        </is>
      </c>
      <c r="C36" s="29" t="inlineStr">
        <is>
          <t>05_Docker_Compose_Intermediate_DKR-035_quiz</t>
        </is>
      </c>
    </row>
    <row r="37" ht="135" customHeight="1">
      <c r="A37" s="29" t="inlineStr">
        <is>
          <t>MCQ: What does plain depends_on wait for?
A) The database to be healthy B) The container to start C) The image to be pushed D) The app to be ready
FILL: To wait for a passing check you use condition: service_____
HINDI TO TASK: Make api wait until db is healthy.
PRACTICE QUESTION: Why should the app still retry its database connection?</t>
        </is>
      </c>
      <c r="B37" s="29" t="inlineStr">
        <is>
          <t>MCQ answer: B  Without a condition only the start is awaited.
Fill answer: healthy
Task answer:
depends_on:
  db:
    condition: service_healthy
Practice answer:
The database can restart or become unavailable later.</t>
        </is>
      </c>
      <c r="C37" s="29" t="inlineStr">
        <is>
          <t>05_Docker_Compose_Advanced_DKR-036_quiz</t>
        </is>
      </c>
    </row>
    <row r="38" ht="121.5" customHeight="1">
      <c r="A38" s="29" t="inlineStr">
        <is>
          <t>MCQ: What does ${VAR:-info} do?
A) Uses info if VAR is unset B) Prints VAR C) Fails if VAR is unset D) Always uses info
FILL: Variables from a file are loaded into a container with ____
HINDI TO TASK: Load variables from .env.api into a service.
PRACTICE QUESTION: Which wins, environment or env_file?</t>
        </is>
      </c>
      <c r="B38" s="29" t="inlineStr">
        <is>
          <t>MCQ answer: A  The part after the colon dash is the default.
Fill answer: env_file
Task answer:
env_file: [.env.api]
Practice answer:
environment overrides env_file.</t>
        </is>
      </c>
      <c r="C38" s="29" t="inlineStr">
        <is>
          <t>05_Docker_Compose_Intermediate_DKR-037_quiz</t>
        </is>
      </c>
    </row>
    <row r="39" ht="121.5" customHeight="1">
      <c r="A39" s="29" t="inlineStr">
        <is>
          <t>MCQ: Which command-line option switches on a group of optional services?
A) --tags B) --only C) --profile D) --enable
FILL: Optional services get a ____ list in the file
HINDI TO TASK: Put the service adminer behind a profile named tools.
PRACTICE QUESTION: Do services without a profile start by default?</t>
        </is>
      </c>
      <c r="B39" s="29" t="inlineStr">
        <is>
          <t>MCQ answer: C  --profile name activates that group of services.
Fill answer: profiles
Task answer:
profiles: [tools]
Practice answer:
Yes, they always start.</t>
        </is>
      </c>
      <c r="C39" s="29" t="inlineStr">
        <is>
          <t>05_Docker_Compose_Intermediate_DKR-038_quiz</t>
        </is>
      </c>
    </row>
    <row r="40" ht="148.5" customHeight="1">
      <c r="A40" s="29" t="inlineStr">
        <is>
          <t>MCQ: Which command shows the final merged configuration?
A) docker compose logs B) docker compose config C) docker compose ps D) docker compose top
FILL: When files conflict, the ____ file listed wins
HINDI TO TASK: Start a stack using compose.yaml and compose.dev.yaml together.
PRACTICE QUESTION: What file name is merged automatically with compose.yaml?</t>
        </is>
      </c>
      <c r="B40" s="29" t="inlineStr">
        <is>
          <t>MCQ answer: B  config prints the merged and resolved file.
Fill answer: last
Task answer:
docker compose -f compose.yaml -f compose.dev.yaml up
Practice answer:
compose.override.yaml</t>
        </is>
      </c>
      <c r="C40" s="29" t="inlineStr">
        <is>
          <t>05_Docker_Compose_Advanced_DKR-039_quiz</t>
        </is>
      </c>
    </row>
    <row r="41" ht="108" customHeight="1">
      <c r="A41" s="29" t="inlineStr">
        <is>
          <t>MCQ: Which action is right when a dependency file changes?
A) sync B) stop C) ignore D) rebuild
FILL: Source files are copied into the container with action ____
HINDI TO TASK: Start the stack with file watching enabled.
PRACTICE QUESTION: What is the difference between sync and rebuild?</t>
        </is>
      </c>
      <c r="B41" s="29" t="inlineStr">
        <is>
          <t>MCQ answer: D  New dependencies need a freshly built image.
Fill answer: sync
Task answer:
docker compose up --watch
Practice answer:
Sync copies files, rebuild creates a new image.</t>
        </is>
      </c>
      <c r="C41" s="29" t="inlineStr">
        <is>
          <t>05_Docker_Compose_Advanced_DKR-040_quiz</t>
        </is>
      </c>
    </row>
    <row r="42" ht="135" customHeight="1">
      <c r="A42" s="29" t="inlineStr">
        <is>
          <t>MCQ: Which choice usually reduces the number of findings?
A) Running as root B) A larger base image C) Skipping updates D) A smaller base image
FILL: Scans compare image packages with a database of known ____
HINDI TO TASK: Scan myapp:1.0 for high and critical issues with Trivy.
PRACTICE QUESTION: Why rebuild images regularly?</t>
        </is>
      </c>
      <c r="B42" s="29" t="inlineStr">
        <is>
          <t>MCQ answer: D  Fewer packages mean fewer known vulnerabilities.
Fill answer: vulnerabilities
Task answer:
trivy image --severity HIGH,CRITICAL myapp:1.0
Practice answer:
New vulnerabilities are found and fixed in base images over time.</t>
        </is>
      </c>
      <c r="C42" s="29" t="inlineStr">
        <is>
          <t>06_Security_and_Operations_Intermediate_DKR-041_quiz</t>
        </is>
      </c>
    </row>
    <row r="43" ht="148.5" customHeight="1">
      <c r="A43" s="29" t="inlineStr">
        <is>
          <t>MCQ: Where do run-time secrets appear in a container file system?
A) /run/secrets B) /etc/passwd C) /tmp/image D) /usr/bin
FILL: A build step reads a sensitive value through a mount of type ____
HINDI TO TASK: Check the image history for secrets passed as ARG or ENV.
PRACTICE QUESTION: Why is deleting a file in a later layer not enough?</t>
        </is>
      </c>
      <c r="B43" s="29" t="inlineStr">
        <is>
          <t>MCQ answer: A  Secret files are mounted under /run/secrets.
Fill answer: secret
Task answer:
docker history --no-trunc myapp
Practice answer:
Earlier layers still contain it.</t>
        </is>
      </c>
      <c r="C43" s="29" t="inlineStr">
        <is>
          <t>06_Security_and_Operations_Intermediate_DKR-042_quiz</t>
        </is>
      </c>
    </row>
    <row r="44" ht="108" customHeight="1">
      <c r="A44" s="29" t="inlineStr">
        <is>
          <t>MCQ: What happens when a container exceeds its memory limit?
A) It slows down B) It is killed C) Nothing D) It gets more memory
FILL: Live usage numbers are shown by docker ____
HINDI TO TASK: Run api with a 512 MB memory limit.
PRACTICE QUESTION: Which exit code often means a memory kill?</t>
        </is>
      </c>
      <c r="B44" s="29" t="inlineStr">
        <is>
          <t>MCQ answer: B  The kernel stops the process at the hard cap.
Fill answer: stats
Task answer:
docker run -d --memory 512m myapi
Practice answer:
137</t>
        </is>
      </c>
      <c r="C44" s="29" t="inlineStr">
        <is>
          <t>06_Security_and_Operations_Intermediate_DKR-043_quiz</t>
        </is>
      </c>
    </row>
    <row r="45" ht="135" customHeight="1">
      <c r="A45" s="29" t="inlineStr">
        <is>
          <t>MCQ: Which exit code marks a health check as passed?
A) 1 B) 2 C) 0 D) 137
FILL: The status of a failing check is called ____
HINDI TO TASK: Add a health check that requests /health every 30 seconds.
PRACTICE QUESTION: Why can a health check fail even if the app is fine?</t>
        </is>
      </c>
      <c r="B45" s="29" t="inlineStr">
        <is>
          <t>MCQ answer: C  Zero means success, one means failure.
Fill answer: unhealthy
Task answer:
HEALTHCHECK --interval=30s CMD curl -f http://localhost:8000/health || exit 1
Practice answer:
The check tool, such as curl, may be missing from the image.</t>
        </is>
      </c>
      <c r="C45" s="29" t="inlineStr">
        <is>
          <t>06_Security_and_Operations_Intermediate_DKR-044_quiz</t>
        </is>
      </c>
    </row>
    <row r="46" ht="108" customHeight="1">
      <c r="A46" s="29" t="inlineStr">
        <is>
          <t>MCQ: Which option limits the size of each log file?
A) max-lines B) max-age C) max-size D) max-count
FILL: The default local log driver is called ____
HINDI TO TASK: Run myapi with three log files of 10 MB each.
PRACTICE QUESTION: Where do you set log defaults for all containers?</t>
        </is>
      </c>
      <c r="B46" s="29" t="inlineStr">
        <is>
          <t>MCQ answer: C  max-size caps one file, max-file caps how many.
Fill answer: json-file
Task answer:
docker run -d --log-opt max-size=10m --log-opt max-file=3 myapi
Practice answer:
In daemon.json.</t>
        </is>
      </c>
      <c r="C46" s="29" t="inlineStr">
        <is>
          <t>06_Security_and_Operations_Intermediate_DKR-045_quiz</t>
        </is>
      </c>
    </row>
    <row r="47" ht="121.5" customHeight="1">
      <c r="A47" s="29" t="inlineStr">
        <is>
          <t>MCQ: Which option makes the combined cleanup command also delete unused storage areas?
A) --volumes B) --force C) --all D) --deep
FILL: Disk usage by object type is shown by docker system ____
HINDI TO TASK: Show how much space Docker is using.
PRACTICE QUESTION: What does image prune remove without -a?</t>
        </is>
      </c>
      <c r="B47" s="29" t="inlineStr">
        <is>
          <t>MCQ answer: A  Volumes are skipped unless that flag is given.
Fill answer: df
Task answer:
docker system df
Practice answer:
Only dangling images.</t>
        </is>
      </c>
      <c r="C47" s="29" t="inlineStr">
        <is>
          <t>06_Security_and_Operations_Beginner_DKR-046_quiz</t>
        </is>
      </c>
    </row>
    <row r="48" ht="121.5" customHeight="1">
      <c r="A48" s="29" t="inlineStr">
        <is>
          <t>MCQ: What does a cache mount do for the image size?
A) Adds all packages B) Adds nothing to it C) Removes layers D) Doubles it
FILL: Independent build stages are built in ____ by BuildKit
HINDI TO TASK: Install pip packages using a cache mount.
PRACTICE QUESTION: Why does CI need an exported cache?</t>
        </is>
      </c>
      <c r="B48" s="29" t="inlineStr">
        <is>
          <t>MCQ answer: B  The cache folder lives outside the final image.
Fill answer: parallel
Task answer:
RUN --mount=type=cache,target=/root/.cache/pip pip install -r requirements.txt
Practice answer:
Fresh runners start empty and would rebuild every layer.</t>
        </is>
      </c>
      <c r="C48" s="29" t="inlineStr">
        <is>
          <t>07_Advanced_Docker_Advanced_DKR-047_quiz</t>
        </is>
      </c>
    </row>
    <row r="49" ht="121.5" customHeight="1">
      <c r="A49" s="29" t="inlineStr">
        <is>
          <t>MCQ: What does exec format error usually indicate?
A) A full disk B) A missing volume C) A syntax error D) An image built for a different CPU
FILL: Multi-platform builds use the docker ____ command
HINDI TO TASK: Build for amd64 and arm64 and push.
PRACTICE QUESTION: What is a manifest list?</t>
        </is>
      </c>
      <c r="B49" s="29" t="inlineStr">
        <is>
          <t>MCQ answer: D  The binary cannot run on that architecture.
Fill answer: buildx
Task answer:
docker buildx build --platform linux/amd64,linux/arm64 -t acme/api:1.0 --push .
Practice answer:
An index that maps one tag to builds for several platforms.</t>
        </is>
      </c>
      <c r="C49" s="29" t="inlineStr">
        <is>
          <t>07_Advanced_Docker_Advanced_DKR-048_quiz</t>
        </is>
      </c>
    </row>
    <row r="50" ht="121.5" customHeight="1">
      <c r="A50" s="29" t="inlineStr">
        <is>
          <t>MCQ: Which exit code commonly means the container was killed for memory?
A) 2 B) 0 C) 126 D) 137
FILL: To explore a crashing image you override its ____ with a shell
HINDI TO TASK: Show the exit code of the stopped container api.
PRACTICE QUESTION: What does exit code 0 mean?</t>
        </is>
      </c>
      <c r="B50" s="29" t="inlineStr">
        <is>
          <t>MCQ answer: D  137 means killed by signal nine, often out of memory.
Fill answer: entrypoint
Task answer:
docker inspect --format "{{.State.ExitCode}}" api
Practice answer:
The process finished successfully and stopped cleanly.</t>
        </is>
      </c>
      <c r="C50" s="29" t="inlineStr">
        <is>
          <t>07_Advanced_Docker_Advanced_DKR-049_quiz</t>
        </is>
      </c>
    </row>
    <row r="51" ht="135" customHeight="1">
      <c r="A51" s="29" t="inlineStr">
        <is>
          <t>MCQ: Which tag makes a deployed image easy to trace?
A) latest B) The Git commit hash C) new D) test
FILL: A safe login passes the token on standard input with --password-____
HINDI TO TASK: Build an image tagged with the commit hash in GIT_SHA.
PRACTICE QUESTION: Why avoid deploying the latest tag?</t>
        </is>
      </c>
      <c r="B51" s="29" t="inlineStr">
        <is>
          <t>MCQ answer: B  The hash points to exactly one commit.
Fill answer: stdin
Task answer:
docker build -t ghcr.io/acme/api:${GIT_SHA} .
Practice answer:
It changes over time, so you cannot tell what version is running.</t>
        </is>
      </c>
      <c r="C51" s="29" t="inlineStr">
        <is>
          <t>07_Advanced_Docker_Advanced_DKR-050_quiz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45</v>
      </c>
    </row>
    <row r="3">
      <c r="A3" t="inlineStr">
        <is>
          <t>Topic (56-pt)</t>
        </is>
      </c>
      <c r="B3" t="n">
        <v>5</v>
      </c>
    </row>
    <row r="5">
      <c r="A5" s="21" t="inlineStr">
        <is>
          <t>Cards by topic</t>
        </is>
      </c>
    </row>
    <row r="6">
      <c r="A6" t="inlineStr">
        <is>
          <t>02 Dockerfile</t>
        </is>
      </c>
      <c r="B6" t="n">
        <v>11</v>
      </c>
    </row>
    <row r="7">
      <c r="A7" t="inlineStr">
        <is>
          <t>03 Docker CLI</t>
        </is>
      </c>
      <c r="B7" t="n">
        <v>8</v>
      </c>
    </row>
    <row r="8">
      <c r="A8" t="inlineStr">
        <is>
          <t>04 Storage and Networking</t>
        </is>
      </c>
      <c r="B8" t="n">
        <v>8</v>
      </c>
    </row>
    <row r="9">
      <c r="A9" t="inlineStr">
        <is>
          <t>05 Docker Compose</t>
        </is>
      </c>
      <c r="B9" t="n">
        <v>8</v>
      </c>
    </row>
    <row r="10">
      <c r="A10" t="inlineStr">
        <is>
          <t>06 Security and Operations</t>
        </is>
      </c>
      <c r="B10" t="n">
        <v>6</v>
      </c>
    </row>
    <row r="11">
      <c r="A11" t="inlineStr">
        <is>
          <t>01 Basics</t>
        </is>
      </c>
      <c r="B11" t="n">
        <v>5</v>
      </c>
    </row>
    <row r="12">
      <c r="A12" t="inlineStr">
        <is>
          <t>07 Advanced Docker</t>
        </is>
      </c>
      <c r="B12" t="n">
        <v>4</v>
      </c>
    </row>
    <row r="14">
      <c r="A14" s="21" t="inlineStr">
        <is>
          <t>Cards by level</t>
        </is>
      </c>
    </row>
    <row r="15">
      <c r="A15" t="inlineStr">
        <is>
          <t>Intermediate</t>
        </is>
      </c>
      <c r="B15" t="n">
        <v>21</v>
      </c>
    </row>
    <row r="16">
      <c r="A16" t="inlineStr">
        <is>
          <t>Beginner</t>
        </is>
      </c>
      <c r="B16" t="n">
        <v>19</v>
      </c>
    </row>
    <row r="17">
      <c r="A17" t="inlineStr">
        <is>
          <t>Advanced</t>
        </is>
      </c>
      <c r="B17" t="n">
        <v>10</v>
      </c>
    </row>
    <row r="19">
      <c r="A19" s="21" t="inlineStr">
        <is>
          <t>Cards by source</t>
        </is>
      </c>
    </row>
    <row r="20">
      <c r="A20" t="inlineStr">
        <is>
          <t>Claude knowledge</t>
        </is>
      </c>
      <c r="B20" t="n">
        <v>50</v>
      </c>
    </row>
    <row r="22">
      <c r="A22" s="21" t="inlineStr">
        <is>
          <t>Error check</t>
        </is>
      </c>
    </row>
    <row r="23">
      <c r="A23"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2026-10-07T16:53:56Z</dcterms:created>
  <dcterms:modified xmlns:dcterms="http://purl.org/dc/terms/" xmlns:xsi="http://www.w3.org/2001/XMLSchema-instance" xsi:type="dcterms:W3CDTF">2026-10-07T16:53:56Z</dcterms:modified>
</cp:coreProperties>
</file>