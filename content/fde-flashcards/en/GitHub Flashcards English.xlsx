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cards'!$A$2:$BN$46</definedName>
    <definedName name="_xlnm._FilterDatabase" localSheetId="3" hidden="1">'Topic (56-pt) cards'!$A$2:$BB$24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GitHub – Beginner to Advanced Flashcards</t>
        </is>
      </c>
    </row>
    <row r="2">
      <c r="A2" s="2" t="inlineStr">
        <is>
          <t>Subject: Git &amp; GitHub   ·   Learner: Self learner, English   ·   Cards: 66</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67.5" customHeight="1">
      <c r="A3" s="17" t="inlineStr">
        <is>
          <t>GIT-003</t>
        </is>
      </c>
      <c r="B3" s="17" t="inlineStr">
        <is>
          <t>01 Basics</t>
        </is>
      </c>
      <c r="C3" s="17" t="inlineStr">
        <is>
          <t>Beginner</t>
        </is>
      </c>
      <c r="D3" s="17" t="n">
        <v>3</v>
      </c>
      <c r="E3" s="17" t="inlineStr">
        <is>
          <t>Claude knowledge</t>
        </is>
      </c>
      <c r="F3" s="18" t="inlineStr">
        <is>
          <t>git config</t>
        </is>
      </c>
      <c r="G3" s="18" t="inlineStr">
        <is>
          <t>Which setting do you have to make once so that your name and email appear on every commit?</t>
        </is>
      </c>
      <c r="H3" s="17" t="n"/>
      <c r="I3" s="18" t="inlineStr">
        <is>
          <t>Git command</t>
        </is>
      </c>
      <c r="J3" s="18" t="inlineStr">
        <is>
          <t>High</t>
        </is>
      </c>
      <c r="K3" s="18" t="n">
        <v>5</v>
      </c>
      <c r="L3" s="18" t="inlineStr">
        <is>
          <t>Git stamps each commit with an author name and email, so it asks for them first, and the config command saves them to a settings file.</t>
        </is>
      </c>
      <c r="M3" s="18" t="inlineStr">
        <is>
          <t>Set it once with --global and every repo on your computer will use the same name and email.</t>
        </is>
      </c>
      <c r="N3" s="17" t="n"/>
      <c r="O3" s="18" t="inlineStr">
        <is>
          <t>The first time you visit a shop you write your name in its register, and git config is that first page.</t>
        </is>
      </c>
      <c r="P3" s="18" t="inlineStr">
        <is>
          <t>A register where every page carries a stamp with the same name and email.</t>
        </is>
      </c>
      <c r="Q3" s="18" t="inlineStr">
        <is>
          <t>The pride of seeing your own name on your very first commit.</t>
        </is>
      </c>
      <c r="R3" s="18" t="inlineStr">
        <is>
          <t>git config sets or shows Git settings such as your name and email.</t>
        </is>
      </c>
      <c r="S3" s="17" t="n"/>
      <c r="T3" s="19" t="inlineStr">
        <is>
          <t>git config --global user.name "Asha Verma"
git config --global user.email "asha@example.com"
git config --global init.defaultBranch main</t>
        </is>
      </c>
      <c r="U3" s="19" t="inlineStr">
        <is>
          <t>(no output; the settings are saved in ~/.gitconfig)</t>
        </is>
      </c>
      <c r="V3" s="18" t="inlineStr">
        <is>
          <t>Config exists at three levels: system, global (for your user) and local (for one repository). A narrower level overrides a wider one. The name and email are stored on each commit as its author.</t>
        </is>
      </c>
      <c r="W3" s="18" t="inlineStr">
        <is>
          <t>This tells Git who you are. Write it once with --global and every project on your computer will show the same name on commits.</t>
        </is>
      </c>
      <c r="X3" s="18" t="inlineStr">
        <is>
          <t>It is like entering your name and account when you set up a new phone.</t>
        </is>
      </c>
      <c r="Y3" s="19" t="inlineStr">
        <is>
          <t>git config [--global|--local|--system] &lt;key&gt; &lt;value&gt;</t>
        </is>
      </c>
      <c r="Z3" s="18" t="inlineStr">
        <is>
          <t>git config = command | --global = for all repos | user.name = key | "Asha Verma" = value</t>
        </is>
      </c>
      <c r="AA3" s="19" t="inlineStr">
        <is>
          <t>git config --global user.name "Asha Verma"</t>
        </is>
      </c>
      <c r="AB3" s="19" t="inlineStr">
        <is>
          <t>git config --local user.email "asha@office.com"</t>
        </is>
      </c>
      <c r="AC3" s="19" t="inlineStr">
        <is>
          <t>git config --list --show-origin</t>
        </is>
      </c>
      <c r="AD3" s="19" t="inlineStr">
        <is>
          <t>git config user.name   # show only the name
git config --global --edit   # open the file in an editor</t>
        </is>
      </c>
      <c r="AE3" s="18" t="inlineStr">
        <is>
          <t>--global, --local, user.name, user.email</t>
        </is>
      </c>
      <c r="AF3" s="18" t="inlineStr">
        <is>
          <t>.gitconfig, git init, git commit</t>
        </is>
      </c>
      <c r="AG3" s="18" t="inlineStr">
        <is>
          <t>Editing the ~/.gitconfig file directly</t>
        </is>
      </c>
      <c r="AH3" s="18" t="inlineStr">
        <is>
          <t>git config, git init, git clone, git remote, git status</t>
        </is>
      </c>
      <c r="AI3" s="18" t="inlineStr">
        <is>
          <t>Setting up a new computer | Keeping work and personal email separate | CI machines</t>
        </is>
      </c>
      <c r="AJ3" s="18" t="inlineStr">
        <is>
          <t>A: My commits show the wrong name. | B: Check git config user.name and set the correct name.</t>
        </is>
      </c>
      <c r="AK3" s="18" t="inlineStr">
        <is>
          <t>✗ git config --global applies to only one repo → ✓ --global applies to every repo for your user account, and --local is the one for a single repo</t>
        </is>
      </c>
      <c r="AL3" s="18" t="inlineStr">
        <is>
          <t>--global vs --local: global applies to all repositories, local applies to the current repository only.</t>
        </is>
      </c>
      <c r="AM3" s="18" t="inlineStr">
        <is>
          <t>Do not commit with your personal email in a work repo without thinking.</t>
        </is>
      </c>
      <c r="AN3" s="19" t="inlineStr">
        <is>
          <t>git config user.name = Asha</t>
        </is>
      </c>
      <c r="AO3" s="19" t="inlineStr">
        <is>
          <t>git config --global user.name "Asha"</t>
        </is>
      </c>
      <c r="AP3" s="18" t="inlineStr">
        <is>
          <t>Global is the whole house, local is just one room.</t>
        </is>
      </c>
      <c r="AQ3" s="18" t="inlineStr">
        <is>
          <t>Setting the name, email and default branch on a new laptop so commits carry the right author.</t>
        </is>
      </c>
      <c r="AR3" s="18" t="inlineStr">
        <is>
          <t>An interviewer may ask: What are the three levels of git config?</t>
        </is>
      </c>
      <c r="AS3" s="18" t="inlineStr">
        <is>
          <t>It is like setting your name and account once on a new phone.</t>
        </is>
      </c>
      <c r="AT3" s="18" t="inlineStr">
        <is>
          <t>Which command sets the email for the current repository only?</t>
        </is>
      </c>
      <c r="AU3" s="18" t="inlineStr">
        <is>
          <t>A) git config --local user.email x B) git config --global user.email x C) git push user.email x D) git init user.email x</t>
        </is>
      </c>
      <c r="AV3" s="18" t="inlineStr">
        <is>
          <t>A</t>
        </is>
      </c>
      <c r="AW3" s="18" t="inlineStr">
        <is>
          <t>--local changes only the current repo, while --global applies to all of them.</t>
        </is>
      </c>
      <c r="AX3" s="19" t="inlineStr">
        <is>
          <t>To set your name for every repository on this computer, run git config ____ user.name "Asha" → --global</t>
        </is>
      </c>
      <c r="AY3" s="18" t="inlineStr">
        <is>
          <t>Set your name to Ravi for all repositories.</t>
        </is>
      </c>
      <c r="AZ3" s="19" t="inlineStr">
        <is>
          <t>git config --global user.name "Ravi"</t>
        </is>
      </c>
      <c r="BA3" s="18" t="inlineStr">
        <is>
          <t>Configure your name and email on your computer and check them with git config --list.</t>
        </is>
      </c>
      <c r="BB3" s="19" t="inlineStr">
        <is>
          <t>What does this command set? git config --global init.defaultBranch main</t>
        </is>
      </c>
      <c r="BC3" s="19" t="inlineStr">
        <is>
          <t>New repositories will start with a branch named main.</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54" customHeight="1">
      <c r="A4" s="17" t="inlineStr">
        <is>
          <t>GIT-004</t>
        </is>
      </c>
      <c r="B4" s="17" t="inlineStr">
        <is>
          <t>01 Basics</t>
        </is>
      </c>
      <c r="C4" s="17" t="inlineStr">
        <is>
          <t>Beginner</t>
        </is>
      </c>
      <c r="D4" s="17" t="n">
        <v>4</v>
      </c>
      <c r="E4" s="17" t="inlineStr">
        <is>
          <t>Claude knowledge</t>
        </is>
      </c>
      <c r="F4" s="18" t="inlineStr">
        <is>
          <t>git init</t>
        </is>
      </c>
      <c r="G4" s="18" t="inlineStr">
        <is>
          <t>Which command brings an ordinary folder under Git so it can start recording history?</t>
        </is>
      </c>
      <c r="H4" s="17" t="n"/>
      <c r="I4" s="18" t="inlineStr">
        <is>
          <t>Git command</t>
        </is>
      </c>
      <c r="J4" s="18" t="inlineStr">
        <is>
          <t>High</t>
        </is>
      </c>
      <c r="K4" s="18" t="n">
        <v>5</v>
      </c>
      <c r="L4" s="18" t="inlineStr">
        <is>
          <t>Init means initialize, and this command creates the hidden .git folder that turns a folder into a repository.</t>
        </is>
      </c>
      <c r="M4" s="18" t="inlineStr">
        <is>
          <t>Create a .gitignore right after git init in a new project folder.</t>
        </is>
      </c>
      <c r="N4" s="17" t="n"/>
      <c r="O4" s="18" t="inlineStr">
        <is>
          <t>Init opens a fresh register and writes on page one: history starts here.</t>
        </is>
      </c>
      <c r="P4" s="18" t="inlineStr">
        <is>
          <t>A hidden little locker suddenly appears inside an empty folder.</t>
        </is>
      </c>
      <c r="Q4" s="18" t="inlineStr">
        <is>
          <t>The freshness you feel before writing the first line of a new project.</t>
        </is>
      </c>
      <c r="R4" s="18" t="inlineStr">
        <is>
          <t>git init creates a new, empty Git repository in the current folder.</t>
        </is>
      </c>
      <c r="S4" s="17" t="n"/>
      <c r="T4" s="19" t="inlineStr">
        <is>
          <t>mkdir myapp
cd myapp
git init</t>
        </is>
      </c>
      <c r="U4" s="19" t="inlineStr">
        <is>
          <t>Initialized empty Git repository in /home/asha/myapp/.git/</t>
        </is>
      </c>
      <c r="V4" s="18" t="inlineStr">
        <is>
          <t>It creates a .git folder holding the config, objects and branches. Files are not tracked yet; you add them with git add and git commit.</t>
        </is>
      </c>
      <c r="W4" s="18" t="inlineStr">
        <is>
          <t>Run git init in a folder and Git starts watching it. But no file is tracked yet, so you still have to add your files.</t>
        </is>
      </c>
      <c r="X4" s="18" t="inlineStr">
        <is>
          <t>It is like buying a new diary and writing start on its first page.</t>
        </is>
      </c>
      <c r="Y4" s="19" t="inlineStr">
        <is>
          <t>git init [directory]</t>
        </is>
      </c>
      <c r="Z4" s="18" t="inlineStr">
        <is>
          <t>git init = command | [directory] = optional folder name</t>
        </is>
      </c>
      <c r="AA4" s="19" t="inlineStr">
        <is>
          <t>git init</t>
        </is>
      </c>
      <c r="AB4" s="19" t="inlineStr">
        <is>
          <t>git init website-project</t>
        </is>
      </c>
      <c r="AC4" s="19" t="inlineStr">
        <is>
          <t>git init --initial-branch=main</t>
        </is>
      </c>
      <c r="AD4" s="19" t="inlineStr">
        <is>
          <t>git init -b main   # name the branch main
git init --bare   # server repo with no working files</t>
        </is>
      </c>
      <c r="AE4" s="18" t="inlineStr">
        <is>
          <t>git add, git commit, git remote add</t>
        </is>
      </c>
      <c r="AF4" s="18" t="inlineStr">
        <is>
          <t>git clone, .git folder, git status</t>
        </is>
      </c>
      <c r="AG4" s="18" t="inlineStr">
        <is>
          <t>Create a repo on GitHub, then git clone it</t>
        </is>
      </c>
      <c r="AH4" s="18" t="inlineStr">
        <is>
          <t>git init, git clone, git add, git commit, git status</t>
        </is>
      </c>
      <c r="AI4" s="18" t="inlineStr">
        <is>
          <t>Starting a new project | Putting an old folder under version control | Tutorials and practice</t>
        </is>
      </c>
      <c r="AJ4" s="18" t="inlineStr">
        <is>
          <t>A: My folder gives an error when I run git status. | B: You probably never ran git init there, so run it first.</t>
        </is>
      </c>
      <c r="AK4" s="18" t="inlineStr">
        <is>
          <t>✗ After git init your files are tracked automatically → ✓ git init only creates an empty repository, and you track files with git add</t>
        </is>
      </c>
      <c r="AL4" s="18" t="inlineStr">
        <is>
          <t>git init vs git clone: init creates a new empty repo, clone copies an existing repo.</t>
        </is>
      </c>
      <c r="AM4" s="18" t="inlineStr">
        <is>
          <t>Do not run git init again inside a folder that is already a Git repository.</t>
        </is>
      </c>
      <c r="AN4" s="19" t="inlineStr">
        <is>
          <t>git init myapp.git push</t>
        </is>
      </c>
      <c r="AO4" s="19" t="inlineStr">
        <is>
          <t>git init myapp</t>
        </is>
      </c>
      <c r="AP4" s="18" t="inlineStr">
        <is>
          <t>Init is initialize, a brand new start.</t>
        </is>
      </c>
      <c r="AQ4" s="18" t="inlineStr">
        <is>
          <t>Running git init locally before putting a new side project on GitHub.</t>
        </is>
      </c>
      <c r="AR4" s="18" t="inlineStr">
        <is>
          <t>An interviewer may ask: What does git init create inside the .git folder?</t>
        </is>
      </c>
      <c r="AS4" s="18" t="inlineStr">
        <is>
          <t>It is like writing your name on page one of a new notebook.</t>
        </is>
      </c>
      <c r="AT4" s="18" t="inlineStr">
        <is>
          <t>Which command turns a brand new empty folder into a Git repository for the first time?</t>
        </is>
      </c>
      <c r="AU4" s="18" t="inlineStr">
        <is>
          <t>A) git merge B) git push C) git clone D) git init</t>
        </is>
      </c>
      <c r="AV4" s="18" t="inlineStr">
        <is>
          <t>D</t>
        </is>
      </c>
      <c r="AW4" s="18" t="inlineStr">
        <is>
          <t>Init creates a new empty repo, while clone copies an existing one.</t>
        </is>
      </c>
      <c r="AX4" s="19" t="inlineStr">
        <is>
          <t>git ____ myapp → init</t>
        </is>
      </c>
      <c r="AY4" s="18" t="inlineStr">
        <is>
          <t>Create a new Git repository named website.</t>
        </is>
      </c>
      <c r="AZ4" s="19" t="inlineStr">
        <is>
          <t>git init website</t>
        </is>
      </c>
      <c r="BA4" s="18" t="inlineStr">
        <is>
          <t>Make a test folder on your laptop, run git init in it, and look at the .git folder.</t>
        </is>
      </c>
      <c r="BB4" s="19" t="inlineStr">
        <is>
          <t>What will git status show right after git init?</t>
        </is>
      </c>
      <c r="BC4" s="19" t="inlineStr">
        <is>
          <t>It will say No commits yet and that no file is tracked.</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81" customHeight="1">
      <c r="A5" s="17" t="inlineStr">
        <is>
          <t>GIT-005</t>
        </is>
      </c>
      <c r="B5" s="17" t="inlineStr">
        <is>
          <t>01 Basics</t>
        </is>
      </c>
      <c r="C5" s="17" t="inlineStr">
        <is>
          <t>Beginner</t>
        </is>
      </c>
      <c r="D5" s="17" t="n">
        <v>5</v>
      </c>
      <c r="E5" s="17" t="inlineStr">
        <is>
          <t>Claude knowledge</t>
        </is>
      </c>
      <c r="F5" s="18" t="inlineStr">
        <is>
          <t>git clone</t>
        </is>
      </c>
      <c r="G5" s="18" t="inlineStr">
        <is>
          <t>How do you bring a whole project and its history from GitHub onto your own computer?</t>
        </is>
      </c>
      <c r="H5" s="17" t="n"/>
      <c r="I5" s="18" t="inlineStr">
        <is>
          <t>Git command</t>
        </is>
      </c>
      <c r="J5" s="18" t="inlineStr">
        <is>
          <t>Very high</t>
        </is>
      </c>
      <c r="K5" s="18" t="n">
        <v>5</v>
      </c>
      <c r="L5" s="18" t="inlineStr">
        <is>
          <t>A clone is a copy; this command makes a full copy of a remote repository with its history and sets the origin remote for you.</t>
        </is>
      </c>
      <c r="M5" s="18" t="inlineStr">
        <is>
          <t>For a huge repo use --depth 1 to take only the latest commit, which downloads much faster.</t>
        </is>
      </c>
      <c r="N5" s="17" t="n"/>
      <c r="O5" s="18" t="inlineStr">
        <is>
          <t>Put a whole book in a photocopier and copy every page, and that is a clone.</t>
        </is>
      </c>
      <c r="P5" s="18" t="inlineStr">
        <is>
          <t>A thick book sits on a table next to an identical second book.</t>
        </is>
      </c>
      <c r="Q5" s="18" t="inlineStr">
        <is>
          <t>The excitement of opening a new project and running it on your own machine.</t>
        </is>
      </c>
      <c r="R5" s="18" t="inlineStr">
        <is>
          <t>git clone makes a full local copy of a remote repository, history included.</t>
        </is>
      </c>
      <c r="S5" s="17" t="n"/>
      <c r="T5" s="19" t="inlineStr">
        <is>
          <t>git clone https://github.com/octocat/Hello-World.git
cd Hello-World
git log --oneline -3</t>
        </is>
      </c>
      <c r="U5" s="19" t="inlineStr">
        <is>
          <t>Cloning into 'Hello-World'...
remote: Enumerating objects: 13, done.
Receiving objects: 100% (13/13), done.
(then the three latest commits, one per line, as short hash and message)</t>
        </is>
      </c>
      <c r="V5" s="18" t="inlineStr">
        <is>
          <t>Clone creates a new folder, downloads all files and the .git history, and names the remote origin. You can start working straight away.</t>
        </is>
      </c>
      <c r="W5" s="18" t="inlineStr">
        <is>
          <t>Clone downloads the GitHub project to your laptop. The full history comes with it, and a remote named origin is set up automatically.</t>
        </is>
      </c>
      <c r="X5" s="18" t="inlineStr">
        <is>
          <t>It is like a photocopy of a friend's whole notebook, page by page.</t>
        </is>
      </c>
      <c r="Y5" s="19" t="inlineStr">
        <is>
          <t>git clone &lt;url&gt; [folder]</t>
        </is>
      </c>
      <c r="Z5" s="18" t="inlineStr">
        <is>
          <t>git clone = command | &lt;url&gt; = address of the repo | [folder] = optional new folder name</t>
        </is>
      </c>
      <c r="AA5" s="19" t="inlineStr">
        <is>
          <t>git clone https://github.com/octocat/Hello-World.git</t>
        </is>
      </c>
      <c r="AB5" s="19" t="inlineStr">
        <is>
          <t>git clone git@github.com:octocat/Hello-World.git my-copy</t>
        </is>
      </c>
      <c r="AC5" s="19" t="inlineStr">
        <is>
          <t>git clone --depth 1 https://github.com/torvalds/linux.git</t>
        </is>
      </c>
      <c r="AD5" s="19" t="inlineStr">
        <is>
          <t>git clone -b dev &lt;url&gt;   # check out dev first (all branches still downloaded)
git clone --single-branch -b dev &lt;url&gt;   # download only dev
git clone --depth 1 &lt;url&gt;   # only the latest commit</t>
        </is>
      </c>
      <c r="AE5" s="18" t="inlineStr">
        <is>
          <t>HTTPS, SSH, --depth, -b</t>
        </is>
      </c>
      <c r="AF5" s="18" t="inlineStr">
        <is>
          <t>git init, git fetch, git remote</t>
        </is>
      </c>
      <c r="AG5" s="18" t="inlineStr">
        <is>
          <t>Downloading a ZIP from GitHub (no history)</t>
        </is>
      </c>
      <c r="AH5" s="18" t="inlineStr">
        <is>
          <t>git clone, git init, git pull, git fetch, git remote</t>
        </is>
      </c>
      <c r="AI5" s="18" t="inlineStr">
        <is>
          <t>Joining a new project | Reading open-source code | Setting up a new laptop</t>
        </is>
      </c>
      <c r="AJ5" s="18" t="inlineStr">
        <is>
          <t>A: How do I get the project code? | B: Take the repo link, run git clone, and then cd into the folder.</t>
        </is>
      </c>
      <c r="AK5" s="18" t="inlineStr">
        <is>
          <t>✗ Downloading a ZIP and git clone are the same thing → ✓ A ZIP gives only the files, while a clone also brings the history and the remote connection</t>
        </is>
      </c>
      <c r="AL5" s="18" t="inlineStr">
        <is>
          <t>git clone vs git pull: clone brings a full copy the first time, pull brings new changes into an existing copy.</t>
        </is>
      </c>
      <c r="AM5" s="18" t="inlineStr">
        <is>
          <t>Do not clone a repository inside another cloned repository.</t>
        </is>
      </c>
      <c r="AN5" s="19" t="inlineStr">
        <is>
          <t>git clone octocat/Hello-World</t>
        </is>
      </c>
      <c r="AO5" s="19" t="inlineStr">
        <is>
          <t>git clone https://github.com/octocat/Hello-World.git</t>
        </is>
      </c>
      <c r="AP5" s="18" t="inlineStr">
        <is>
          <t>Clone means copy it all, then work on your own side.</t>
        </is>
      </c>
      <c r="AQ5" s="18" t="inlineStr">
        <is>
          <t>A new team member cloning the repo on day one to run the project locally.</t>
        </is>
      </c>
      <c r="AR5" s="18" t="inlineStr">
        <is>
          <t>An interviewer may ask: What is the difference between a clone and a fork?</t>
        </is>
      </c>
      <c r="AS5" s="18" t="inlineStr">
        <is>
          <t>It is like getting a full copy of a recipe book for your own kitchen.</t>
        </is>
      </c>
      <c r="AT5" s="18" t="inlineStr">
        <is>
          <t>Which command brings an existing GitHub repository to your computer for the first time?</t>
        </is>
      </c>
      <c r="AU5" s="18" t="inlineStr">
        <is>
          <t>A) git commit B) git clone C) git status D) git init</t>
        </is>
      </c>
      <c r="AV5" s="18" t="inlineStr">
        <is>
          <t>B</t>
        </is>
      </c>
      <c r="AW5" s="18" t="inlineStr">
        <is>
          <t>Clone copies the whole remote repo, whereas init creates a new empty one.</t>
        </is>
      </c>
      <c r="AX5" s="19" t="inlineStr">
        <is>
          <t>git ____ https://github.com/octocat/Hello-World.git → clone</t>
        </is>
      </c>
      <c r="AY5" s="18" t="inlineStr">
        <is>
          <t>Clone the Hello-World repository into a folder called demo.</t>
        </is>
      </c>
      <c r="AZ5" s="19" t="inlineStr">
        <is>
          <t>git clone https://github.com/octocat/Hello-World.git demo</t>
        </is>
      </c>
      <c r="BA5" s="18" t="inlineStr">
        <is>
          <t>Clone a small open-source repo, read its README, and say in one line what it does.</t>
        </is>
      </c>
      <c r="BB5" s="19" t="inlineStr">
        <is>
          <t>What happens when you run git clone &lt;url&gt; new-name?</t>
        </is>
      </c>
      <c r="BC5" s="19" t="inlineStr">
        <is>
          <t>The repo is cloned into a folder called new-name instead of the name taken from the URL.</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67.5" customHeight="1">
      <c r="A6" s="17" t="inlineStr">
        <is>
          <t>GIT-006</t>
        </is>
      </c>
      <c r="B6" s="17" t="inlineStr">
        <is>
          <t>01 Basics</t>
        </is>
      </c>
      <c r="C6" s="17" t="inlineStr">
        <is>
          <t>Beginner</t>
        </is>
      </c>
      <c r="D6" s="17" t="n">
        <v>6</v>
      </c>
      <c r="E6" s="17" t="inlineStr">
        <is>
          <t>Claude knowledge</t>
        </is>
      </c>
      <c r="F6" s="18" t="inlineStr">
        <is>
          <t>git status</t>
        </is>
      </c>
      <c r="G6" s="18" t="inlineStr">
        <is>
          <t>How do you see at a glance which files have changed and which are ready to be committed?</t>
        </is>
      </c>
      <c r="H6" s="17" t="n"/>
      <c r="I6" s="18" t="inlineStr">
        <is>
          <t>Git command</t>
        </is>
      </c>
      <c r="J6" s="18" t="inlineStr">
        <is>
          <t>Very high</t>
        </is>
      </c>
      <c r="K6" s="18" t="n">
        <v>5</v>
      </c>
      <c r="L6" s="18" t="inlineStr">
        <is>
          <t>Status means current condition; in Git it compares the working folder, the staging area and the last commit, which is why developers run it constantly.</t>
        </is>
      </c>
      <c r="M6" s="18" t="inlineStr">
        <is>
          <t>Make it a habit to run git status before every commit.</t>
        </is>
      </c>
      <c r="N6" s="17" t="n"/>
      <c r="O6" s="18" t="inlineStr">
        <is>
          <t>A doctor checks your condition before doing anything, and git status is that check before you do anything.</t>
        </is>
      </c>
      <c r="P6" s="18" t="inlineStr">
        <is>
          <t>A notice board where changed files are written in red and ready files in green.</t>
        </is>
      </c>
      <c r="Q6" s="18" t="inlineStr">
        <is>
          <t>The confidence of knowing everything is in order before you commit.</t>
        </is>
      </c>
      <c r="R6" s="18" t="inlineStr">
        <is>
          <t>git status tells you which files are modified, staged or untracked.</t>
        </is>
      </c>
      <c r="S6" s="17" t="n"/>
      <c r="T6" s="19" t="inlineStr">
        <is>
          <t>echo "hello" &gt; notes.txt
git status</t>
        </is>
      </c>
      <c r="U6" s="19" t="inlineStr">
        <is>
          <t>On branch main
Untracked files:
  (use "git add &lt;file&gt;..." to include in what will be committed)
        notes.txt</t>
        </is>
      </c>
      <c r="V6" s="18" t="inlineStr">
        <is>
          <t>Status shows three groups: staged (ready to commit), modified (changed but not staged) and untracked (Git does not know the file yet). It changes nothing; it only reports.</t>
        </is>
      </c>
      <c r="W6" s="18" t="inlineStr">
        <is>
          <t>git status is a report on which files are new, changed, or already added for the next commit. It changes nothing, so run it freely.</t>
        </is>
      </c>
      <c r="X6" s="18" t="inlineStr">
        <is>
          <t>It is like checking your admit card before an exam.</t>
        </is>
      </c>
      <c r="Y6" s="19" t="inlineStr">
        <is>
          <t>git status [-s]</t>
        </is>
      </c>
      <c r="Z6" s="18" t="inlineStr">
        <is>
          <t>git status = command | -s = short format</t>
        </is>
      </c>
      <c r="AA6" s="19" t="inlineStr">
        <is>
          <t>git status</t>
        </is>
      </c>
      <c r="AB6" s="19" t="inlineStr">
        <is>
          <t>git status -s</t>
        </is>
      </c>
      <c r="AC6" s="19" t="inlineStr">
        <is>
          <t>git status --branch --short</t>
        </is>
      </c>
      <c r="AD6" s="19" t="inlineStr">
        <is>
          <t>git status -sb   # short format with the branch
git status --ignored   # also show ignored files</t>
        </is>
      </c>
      <c r="AE6" s="18" t="inlineStr">
        <is>
          <t>git add, git commit, git diff</t>
        </is>
      </c>
      <c r="AF6" s="18" t="inlineStr">
        <is>
          <t>git diff, git add, .gitignore</t>
        </is>
      </c>
      <c r="AG6" s="18" t="inlineStr">
        <is>
          <t>The source control panel in your IDE</t>
        </is>
      </c>
      <c r="AH6" s="18" t="inlineStr">
        <is>
          <t>git status, git add, git diff, git log, git commit</t>
        </is>
      </c>
      <c r="AI6" s="18" t="inlineStr">
        <is>
          <t>Before every commit | After a merge | Whenever you are confused</t>
        </is>
      </c>
      <c r="AJ6" s="18" t="inlineStr">
        <is>
          <t>A: I do not know which file I changed. | B: Run git status and it will tell you everything.</t>
        </is>
      </c>
      <c r="AK6" s="18" t="inlineStr">
        <is>
          <t>✗ git status makes files ready to commit → ✓ git status only shows information, and you make files ready with git add</t>
        </is>
      </c>
      <c r="AL6" s="18" t="inlineStr">
        <is>
          <t>git status vs git log: status shows the current state, log shows past commits.</t>
        </is>
      </c>
      <c r="AM6" s="18" t="inlineStr">
        <is>
          <t>Do not run git add . without looking at the status first.</t>
        </is>
      </c>
      <c r="AN6" s="19" t="inlineStr">
        <is>
          <t>git status add notes.txt</t>
        </is>
      </c>
      <c r="AO6" s="19" t="inlineStr">
        <is>
          <t>git add notes.txt</t>
        </is>
      </c>
      <c r="AP6" s="18" t="inlineStr">
        <is>
          <t>Status means stop and look before you act.</t>
        </is>
      </c>
      <c r="AQ6" s="18" t="inlineStr">
        <is>
          <t>Spotting stray debug files with git status just before committing.</t>
        </is>
      </c>
      <c r="AR6" s="18" t="inlineStr">
        <is>
          <t>An interviewer may ask: What is the difference between untracked, modified and staged?</t>
        </is>
      </c>
      <c r="AS6" s="18" t="inlineStr">
        <is>
          <t>It is like checking your bag before you leave for a trip.</t>
        </is>
      </c>
      <c r="AT6" s="18" t="inlineStr">
        <is>
          <t>You create a new file that Git has never seen. In which category will git status show it?</t>
        </is>
      </c>
      <c r="AU6" s="18" t="inlineStr">
        <is>
          <t>A) Committed B) Ignored C) Staged D) Untracked</t>
        </is>
      </c>
      <c r="AV6" s="18" t="inlineStr">
        <is>
          <t>D</t>
        </is>
      </c>
      <c r="AW6" s="18" t="inlineStr">
        <is>
          <t>A file that was never added to Git is untracked.</t>
        </is>
      </c>
      <c r="AX6" s="19" t="inlineStr">
        <is>
          <t>git ____ -s → status</t>
        </is>
      </c>
      <c r="AY6" s="18" t="inlineStr">
        <is>
          <t>Show a short summary of the changes.</t>
        </is>
      </c>
      <c r="AZ6" s="19" t="inlineStr">
        <is>
          <t>git status -s</t>
        </is>
      </c>
      <c r="BA6" s="18" t="inlineStr">
        <is>
          <t>Create a new file, run git status, and write down in your own words which category it is in.</t>
        </is>
      </c>
      <c r="BB6" s="19" t="inlineStr">
        <is>
          <t>You git add a file and then change it again. How does git status show it?</t>
        </is>
      </c>
      <c r="BC6" s="19" t="inlineStr">
        <is>
          <t>Both ways: the old change as staged and the new change as modified.</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81" customHeight="1">
      <c r="A7" s="17" t="inlineStr">
        <is>
          <t>GIT-007</t>
        </is>
      </c>
      <c r="B7" s="17" t="inlineStr">
        <is>
          <t>01 Basics</t>
        </is>
      </c>
      <c r="C7" s="17" t="inlineStr">
        <is>
          <t>Beginner</t>
        </is>
      </c>
      <c r="D7" s="17" t="n">
        <v>7</v>
      </c>
      <c r="E7" s="17" t="inlineStr">
        <is>
          <t>Claude knowledge</t>
        </is>
      </c>
      <c r="F7" s="18" t="inlineStr">
        <is>
          <t>git add</t>
        </is>
      </c>
      <c r="G7" s="18" t="inlineStr">
        <is>
          <t>How do you put a changed file into the staging area so it is ready for the next commit?</t>
        </is>
      </c>
      <c r="H7" s="17" t="n"/>
      <c r="I7" s="18" t="inlineStr">
        <is>
          <t>Git command</t>
        </is>
      </c>
      <c r="J7" s="18" t="inlineStr">
        <is>
          <t>Very high</t>
        </is>
      </c>
      <c r="K7" s="18" t="n">
        <v>5</v>
      </c>
      <c r="L7" s="18" t="inlineStr">
        <is>
          <t>Git keeps a staging area before commit so you can choose exactly which changes to save, and git add is how you put changes into it.</t>
        </is>
      </c>
      <c r="M7" s="18" t="inlineStr">
        <is>
          <t>Use git add -p to look at each change and avoid committing unwanted things by mistake.</t>
        </is>
      </c>
      <c r="N7" s="17" t="n"/>
      <c r="O7" s="18" t="inlineStr">
        <is>
          <t>You put items in a shopping trolley and pay at the counter; add is the trolley and commit is the counter.</t>
        </is>
      </c>
      <c r="P7" s="18" t="inlineStr">
        <is>
          <t>A shopping trolley holding only a few chosen files while the rest stay on the shelf.</t>
        </is>
      </c>
      <c r="Q7" s="18" t="inlineStr">
        <is>
          <t>The sense of control as only the files you picked go into the trolley.</t>
        </is>
      </c>
      <c r="R7" s="18" t="inlineStr">
        <is>
          <t>git add puts changes into the staging area so they are included in the next commit.</t>
        </is>
      </c>
      <c r="S7" s="17" t="n"/>
      <c r="T7" s="19" t="inlineStr">
        <is>
          <t>git add index.html
git add src/
git status -s</t>
        </is>
      </c>
      <c r="U7" s="19" t="inlineStr">
        <is>
          <t>A  index.html
A  src/app.js</t>
        </is>
      </c>
      <c r="V7" s="18" t="inlineStr">
        <is>
          <t>The staging area is a middle place where you decide what goes into the commit. You can add one file, one folder, or everything with a dot. If a file changes after you add it, you must add it again.</t>
        </is>
      </c>
      <c r="W7" s="18" t="inlineStr">
        <is>
          <t>With git add you tell Git this change goes into the next commit. A file you did not add will not be committed, even if it changed.</t>
        </is>
      </c>
      <c r="X7" s="18" t="inlineStr">
        <is>
          <t>It is like a shop trolley: only what you put in it goes to the billing counter.</t>
        </is>
      </c>
      <c r="Y7" s="19" t="inlineStr">
        <is>
          <t>git add &lt;path&gt;</t>
        </is>
      </c>
      <c r="Z7" s="18" t="inlineStr">
        <is>
          <t>git add = command | &lt;path&gt; = file or folder | . = everything</t>
        </is>
      </c>
      <c r="AA7" s="19" t="inlineStr">
        <is>
          <t>git add index.html</t>
        </is>
      </c>
      <c r="AB7" s="19" t="inlineStr">
        <is>
          <t>git add src/ tests/</t>
        </is>
      </c>
      <c r="AC7" s="19" t="inlineStr">
        <is>
          <t>git add -p</t>
        </is>
      </c>
      <c r="AD7" s="19" t="inlineStr">
        <is>
          <t>git add .   # all changes
git add -A   # new, changed and deleted
git add *.js   # only js files</t>
        </is>
      </c>
      <c r="AE7" s="18" t="inlineStr">
        <is>
          <t>git status, git commit, -p, .</t>
        </is>
      </c>
      <c r="AF7" s="18" t="inlineStr">
        <is>
          <t>git commit, git restore --staged, .gitignore</t>
        </is>
      </c>
      <c r="AG7" s="18" t="inlineStr">
        <is>
          <t>git commit -a (only already tracked files)</t>
        </is>
      </c>
      <c r="AH7" s="18" t="inlineStr">
        <is>
          <t>git add, git status, git commit, git restore, git diff</t>
        </is>
      </c>
      <c r="AI7" s="18" t="inlineStr">
        <is>
          <t>Before every commit | Committing selected changes | Tracking a new file</t>
        </is>
      </c>
      <c r="AJ7" s="18" t="inlineStr">
        <is>
          <t>A: I changed the file but it did not go into the commit. | B: You did not run git add, so add it first and then commit.</t>
        </is>
      </c>
      <c r="AK7" s="18" t="inlineStr">
        <is>
          <t>✗ A changed file automatically goes into the next commit → ✓ Only changes that were staged with git add go into a commit</t>
        </is>
      </c>
      <c r="AL7" s="18" t="inlineStr">
        <is>
          <t>git add vs git commit: add puts changes in staging, commit writes them into history permanently.</t>
        </is>
      </c>
      <c r="AM7" s="18" t="inlineStr">
        <is>
          <t>Do not use git add . blindly, it may add secrets or large files.</t>
        </is>
      </c>
      <c r="AN7" s="19" t="inlineStr">
        <is>
          <t>git add commit index.html</t>
        </is>
      </c>
      <c r="AO7" s="19" t="inlineStr">
        <is>
          <t>git add index.html</t>
        </is>
      </c>
      <c r="AP7" s="18" t="inlineStr">
        <is>
          <t>Add means place it in the trolley.</t>
        </is>
      </c>
      <c r="AQ7" s="18" t="inlineStr">
        <is>
          <t>Using git add -p to split one piece of work into separate, clean commits.</t>
        </is>
      </c>
      <c r="AR7" s="18" t="inlineStr">
        <is>
          <t>An interviewer may ask: What is the staging area and why does it exist?</t>
        </is>
      </c>
      <c r="AS7" s="18" t="inlineStr">
        <is>
          <t>It is like packing items in a bag before the trip has started.</t>
        </is>
      </c>
      <c r="AT7" s="18" t="inlineStr">
        <is>
          <t>If you run git add and then edit the same file again, what goes into the next commit?</t>
        </is>
      </c>
      <c r="AU7" s="18" t="inlineStr">
        <is>
          <t>A) Only the first (staged) change B) Nothing C) Only the new change D) Both changes</t>
        </is>
      </c>
      <c r="AV7" s="18" t="inlineStr">
        <is>
          <t>A</t>
        </is>
      </c>
      <c r="AW7" s="18" t="inlineStr">
        <is>
          <t>A commit takes the version that was staged at the time of add; the new change needs another add.</t>
        </is>
      </c>
      <c r="AX7" s="19" t="inlineStr">
        <is>
          <t>git ____ index.html → add</t>
        </is>
      </c>
      <c r="AY7" s="18" t="inlineStr">
        <is>
          <t>Put only style.css into staging.</t>
        </is>
      </c>
      <c r="AZ7" s="19" t="inlineStr">
        <is>
          <t>git add style.css</t>
        </is>
      </c>
      <c r="BA7" s="18" t="inlineStr">
        <is>
          <t>Change two files, stage only one with git add, and confirm it with git status.</t>
        </is>
      </c>
      <c r="BB7" s="19" t="inlineStr">
        <is>
          <t>What does git add . do?</t>
        </is>
      </c>
      <c r="BC7" s="19" t="inlineStr">
        <is>
          <t>It stages all new and changed files in the current folder, except ignored ones.</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81" customHeight="1">
      <c r="A8" s="17" t="inlineStr">
        <is>
          <t>GIT-008</t>
        </is>
      </c>
      <c r="B8" s="17" t="inlineStr">
        <is>
          <t>01 Basics</t>
        </is>
      </c>
      <c r="C8" s="17" t="inlineStr">
        <is>
          <t>Beginner</t>
        </is>
      </c>
      <c r="D8" s="17" t="n">
        <v>8</v>
      </c>
      <c r="E8" s="17" t="inlineStr">
        <is>
          <t>Claude knowledge</t>
        </is>
      </c>
      <c r="F8" s="18" t="inlineStr">
        <is>
          <t>git commit</t>
        </is>
      </c>
      <c r="G8" s="18" t="inlineStr">
        <is>
          <t>How do you write staged changes into history as a permanent snapshot?</t>
        </is>
      </c>
      <c r="H8" s="17" t="n"/>
      <c r="I8" s="18" t="inlineStr">
        <is>
          <t>Git command</t>
        </is>
      </c>
      <c r="J8" s="18" t="inlineStr">
        <is>
          <t>Very high</t>
        </is>
      </c>
      <c r="K8" s="18" t="n">
        <v>5</v>
      </c>
      <c r="L8" s="18" t="inlineStr">
        <is>
          <t>A commit is a promise to save; Git stores each commit with a unique hash so you can return to that snapshot at any time.</t>
        </is>
      </c>
      <c r="M8" s="18" t="inlineStr">
        <is>
          <t>Keep commits small and about one thing, which makes review and revert easy.</t>
        </is>
      </c>
      <c r="N8" s="17" t="n"/>
      <c r="O8" s="18" t="inlineStr">
        <is>
          <t>A commit is like taking a photo: the project stays exactly as it looked at that moment, forever.</t>
        </is>
      </c>
      <c r="P8" s="18" t="inlineStr">
        <is>
          <t>A camera takes a picture of the project at each stage and sticks it into an album.</t>
        </is>
      </c>
      <c r="Q8" s="18" t="inlineStr">
        <is>
          <t>The relief of knowing a piece of your work is now safe.</t>
        </is>
      </c>
      <c r="R8" s="18" t="inlineStr">
        <is>
          <t>git commit saves staged changes into history as a snapshot with a message.</t>
        </is>
      </c>
      <c r="S8" s="17" t="n"/>
      <c r="T8" s="19" t="inlineStr">
        <is>
          <t>git add index.html
git commit -m "Add homepage heading"</t>
        </is>
      </c>
      <c r="U8" s="19" t="inlineStr">
        <is>
          <t>[main 3f2a9c1] Add homepage heading
 1 file changed, 1 insertion(+)</t>
        </is>
      </c>
      <c r="V8" s="18" t="inlineStr">
        <is>
          <t>A commit adds a snapshot of the staging area to history and gives it a hash. It exists only on your computer for now; pushing is what sends it to GitHub.</t>
        </is>
      </c>
      <c r="W8" s="18" t="inlineStr">
        <is>
          <t>A commit makes a save point of your work, with a message. It is on your laptop only, and you need a separate push to send it online.</t>
        </is>
      </c>
      <c r="X8" s="18" t="inlineStr">
        <is>
          <t>It is like a save point in a game that you can return to later.</t>
        </is>
      </c>
      <c r="Y8" s="19" t="inlineStr">
        <is>
          <t>git commit -m "&lt;message&gt;"</t>
        </is>
      </c>
      <c r="Z8" s="18" t="inlineStr">
        <is>
          <t>git commit = command | -m = write the message inline | "&lt;message&gt;" = short description of the change</t>
        </is>
      </c>
      <c r="AA8" s="19" t="inlineStr">
        <is>
          <t>git commit -m "Fix login redirect bug"</t>
        </is>
      </c>
      <c r="AB8" s="19" t="inlineStr">
        <is>
          <t>git commit -am "Update footer links"</t>
        </is>
      </c>
      <c r="AC8" s="19" t="inlineStr">
        <is>
          <t>git commit</t>
        </is>
      </c>
      <c r="AD8" s="19" t="inlineStr">
        <is>
          <t>git commit -am "msg"   # add tracked files and commit
git commit --amend   # change the last commit
git commit --allow-empty -m "trigger CI"</t>
        </is>
      </c>
      <c r="AE8" s="18" t="inlineStr">
        <is>
          <t>git add, -m, -a, --amend</t>
        </is>
      </c>
      <c r="AF8" s="18" t="inlineStr">
        <is>
          <t>git log, git push, git revert</t>
        </is>
      </c>
      <c r="AG8" s="18" t="inlineStr">
        <is>
          <t>The commit button in an IDE</t>
        </is>
      </c>
      <c r="AH8" s="18" t="inlineStr">
        <is>
          <t>git commit, git add, git log, git revert, git reset</t>
        </is>
      </c>
      <c r="AI8" s="18" t="inlineStr">
        <is>
          <t>Daily work | Small steps of a feature | Saving a bug fix</t>
        </is>
      </c>
      <c r="AJ8" s="18" t="inlineStr">
        <is>
          <t>A: I finished my work, what now? | B: Run git add and git commit, then push it.</t>
        </is>
      </c>
      <c r="AK8" s="18" t="inlineStr">
        <is>
          <t>✗ Running git commit sends the code to GitHub → ✓ A commit is saved only in your local repository, and you need git push to send it to GitHub</t>
        </is>
      </c>
      <c r="AL8" s="18" t="inlineStr">
        <is>
          <t>git commit vs git push: commit makes a local snapshot, push sends it to the remote.</t>
        </is>
      </c>
      <c r="AM8" s="18" t="inlineStr">
        <is>
          <t>Do not write useless messages like fix or asdf.</t>
        </is>
      </c>
      <c r="AN8" s="19" t="inlineStr">
        <is>
          <t>git commit "Add heading"</t>
        </is>
      </c>
      <c r="AO8" s="19" t="inlineStr">
        <is>
          <t>git commit -m "Add heading"</t>
        </is>
      </c>
      <c r="AP8" s="18" t="inlineStr">
        <is>
          <t>Commit is the camera click, push is sending the album.</t>
        </is>
      </c>
      <c r="AQ8" s="18" t="inlineStr">
        <is>
          <t>Committing each small step of a feature so review and rollback are easy.</t>
        </is>
      </c>
      <c r="AR8" s="18" t="inlineStr">
        <is>
          <t>An interviewer may ask: What is a commit hash?</t>
        </is>
      </c>
      <c r="AS8" s="18" t="inlineStr">
        <is>
          <t>It is like saving a checkpoint after finishing each level of a game.</t>
        </is>
      </c>
      <c r="AT8" s="18" t="inlineStr">
        <is>
          <t>After git commit, which step is still needed if you want the code on GitHub?</t>
        </is>
      </c>
      <c r="AU8" s="18" t="inlineStr">
        <is>
          <t>A) git config B) git init C) git push D) git add</t>
        </is>
      </c>
      <c r="AV8" s="18" t="inlineStr">
        <is>
          <t>C</t>
        </is>
      </c>
      <c r="AW8" s="18" t="inlineStr">
        <is>
          <t>A commit is local, and you need push to send it to the remote.</t>
        </is>
      </c>
      <c r="AX8" s="19" t="inlineStr">
        <is>
          <t>git ____ -m "Add header" → commit</t>
        </is>
      </c>
      <c r="AY8" s="18" t="inlineStr">
        <is>
          <t>Save the staged changes with the message Add navbar.</t>
        </is>
      </c>
      <c r="AZ8" s="19" t="inlineStr">
        <is>
          <t>git commit -m "Add navbar"</t>
        </is>
      </c>
      <c r="BA8" s="18" t="inlineStr">
        <is>
          <t>Change a file, add it, commit it, and look at your commit with git log.</t>
        </is>
      </c>
      <c r="BB8" s="19" t="inlineStr">
        <is>
          <t>Name one big difference between git commit -am "msg" and git add . followed by git commit -m "msg".</t>
        </is>
      </c>
      <c r="BC8" s="19" t="inlineStr">
        <is>
          <t>-am stages only already tracked files, so new untracked files are not added.</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81" customHeight="1">
      <c r="A9" s="17" t="inlineStr">
        <is>
          <t>GIT-010</t>
        </is>
      </c>
      <c r="B9" s="17" t="inlineStr">
        <is>
          <t>01 Basics</t>
        </is>
      </c>
      <c r="C9" s="17" t="inlineStr">
        <is>
          <t>Beginner</t>
        </is>
      </c>
      <c r="D9" s="17" t="n">
        <v>10</v>
      </c>
      <c r="E9" s="17" t="inlineStr">
        <is>
          <t>Claude knowledge</t>
        </is>
      </c>
      <c r="F9" s="18" t="inlineStr">
        <is>
          <t>git remote (origin)</t>
        </is>
      </c>
      <c r="G9" s="18" t="inlineStr">
        <is>
          <t>Which command and default name link your local repository to the repository on GitHub?</t>
        </is>
      </c>
      <c r="H9" s="17" t="n"/>
      <c r="I9" s="18" t="inlineStr">
        <is>
          <t>Git command</t>
        </is>
      </c>
      <c r="J9" s="18" t="inlineStr">
        <is>
          <t>High</t>
        </is>
      </c>
      <c r="K9" s="18" t="n">
        <v>5</v>
      </c>
      <c r="L9" s="18" t="inlineStr">
        <is>
          <t>Remote means far away; Git can connect one repository to many others, and after a clone the first remote is named origin by default.</t>
        </is>
      </c>
      <c r="M9" s="18" t="inlineStr">
        <is>
          <t>Always check with git remote -v where a push will go.</t>
        </is>
      </c>
      <c r="N9" s="17" t="n"/>
      <c r="O9" s="18" t="inlineStr">
        <is>
          <t>A remote is like a phone number linking your repo to GitHub, and origin is the name saved for that number.</t>
        </is>
      </c>
      <c r="P9" s="18" t="inlineStr">
        <is>
          <t>A cable runs from a laptop through the clouds to a big server.</t>
        </is>
      </c>
      <c r="Q9" s="18" t="inlineStr">
        <is>
          <t>The thrill of seeing your local and online repos connected for the first time.</t>
        </is>
      </c>
      <c r="R9" s="18" t="inlineStr">
        <is>
          <t>git remote manages the names and addresses that connect a local repository to online ones.</t>
        </is>
      </c>
      <c r="S9" s="17" t="n"/>
      <c r="T9" s="19" t="inlineStr">
        <is>
          <t>git remote add origin https://github.com/asha/notes.git
git remote -v</t>
        </is>
      </c>
      <c r="U9" s="19" t="inlineStr">
        <is>
          <t>origin  https://github.com/asha/notes.git (fetch)
origin  https://github.com/asha/notes.git (push)</t>
        </is>
      </c>
      <c r="V9" s="18" t="inlineStr">
        <is>
          <t>A remote is a name and URL pair. The name origin is only a convention and you can call it anything. Push and pull use the name to know where to go.</t>
        </is>
      </c>
      <c r="W9" s="18" t="inlineStr">
        <is>
          <t>A remote gives your local repo the address of the repo on GitHub. Origin is a short name for that address, so you do not type the full URL every time.</t>
        </is>
      </c>
      <c r="X9" s="18" t="inlineStr">
        <is>
          <t>It is like saving someone's number in your phone under the name Dad.</t>
        </is>
      </c>
      <c r="Y9" s="19" t="inlineStr">
        <is>
          <t>git remote add &lt;name&gt; &lt;url&gt;</t>
        </is>
      </c>
      <c r="Z9" s="18" t="inlineStr">
        <is>
          <t>git remote add = command | &lt;name&gt; = short name (usually origin) | &lt;url&gt; = address of the online repo</t>
        </is>
      </c>
      <c r="AA9" s="19" t="inlineStr">
        <is>
          <t>git remote add origin https://github.com/asha/notes.git</t>
        </is>
      </c>
      <c r="AB9" s="19" t="inlineStr">
        <is>
          <t>git remote set-url origin git@github.com:asha/notes.git</t>
        </is>
      </c>
      <c r="AC9" s="19" t="inlineStr">
        <is>
          <t>git remote rename origin github</t>
        </is>
      </c>
      <c r="AD9" s="19" t="inlineStr">
        <is>
          <t>git remote -v   # list all remotes
git remote remove old   # remove a remote</t>
        </is>
      </c>
      <c r="AE9" s="18" t="inlineStr">
        <is>
          <t>git push, git pull, git fetch, origin</t>
        </is>
      </c>
      <c r="AF9" s="18" t="inlineStr">
        <is>
          <t>git clone, git push, upstream</t>
        </is>
      </c>
      <c r="AG9" s="18" t="inlineStr">
        <is>
          <t>A clone sets the remote automatically</t>
        </is>
      </c>
      <c r="AH9" s="18" t="inlineStr">
        <is>
          <t>git remote, git push, git pull, git fetch, git clone</t>
        </is>
      </c>
      <c r="AI9" s="18" t="inlineStr">
        <is>
          <t>Connecting a new repo to GitHub | Changing the URL (HTTPS to SSH) | Adding upstream to a fork</t>
        </is>
      </c>
      <c r="AJ9" s="18" t="inlineStr">
        <is>
          <t>A: Push gives me a no remote error. | B: You have not added a remote, so run git remote add origin first.</t>
        </is>
      </c>
      <c r="AK9" s="18" t="inlineStr">
        <is>
          <t>✗ origin is a fixed Git word that cannot be changed → ✓ Origin is only a customary name that can be anything, and git remote rename can change it</t>
        </is>
      </c>
      <c r="AL9" s="18" t="inlineStr">
        <is>
          <t>origin vs upstream: origin is your own remote, upstream is usually the original project you forked.</t>
        </is>
      </c>
      <c r="AM9" s="18" t="inlineStr">
        <is>
          <t>Do not add a remote with the wrong URL, check it with git remote -v.</t>
        </is>
      </c>
      <c r="AN9" s="19" t="inlineStr">
        <is>
          <t>git remote origin https://github.com/asha/notes.git</t>
        </is>
      </c>
      <c r="AO9" s="19" t="inlineStr">
        <is>
          <t>git remote add origin https://github.com/asha/notes.git</t>
        </is>
      </c>
      <c r="AP9" s="18" t="inlineStr">
        <is>
          <t>Origin is the Online Route Into Github.</t>
        </is>
      </c>
      <c r="AQ9" s="18" t="inlineStr">
        <is>
          <t>Adding a remote before pushing a local project to GitHub for the first time.</t>
        </is>
      </c>
      <c r="AR9" s="18" t="inlineStr">
        <is>
          <t>An interviewer may ask: What is origin, and can it be renamed?</t>
        </is>
      </c>
      <c r="AS9" s="18" t="inlineStr">
        <is>
          <t>It is like saving a contact under a short name.</t>
        </is>
      </c>
      <c r="AT9" s="18" t="inlineStr">
        <is>
          <t>Which command lists all connected remotes with their URLs?</t>
        </is>
      </c>
      <c r="AU9" s="18" t="inlineStr">
        <is>
          <t>A) git remote -v B) git status -r C) git config -r D) git log -remote</t>
        </is>
      </c>
      <c r="AV9" s="18" t="inlineStr">
        <is>
          <t>A</t>
        </is>
      </c>
      <c r="AW9" s="18" t="inlineStr">
        <is>
          <t>git remote -v is the verbose list showing each remote's name and URL.</t>
        </is>
      </c>
      <c r="AX9" s="19" t="inlineStr">
        <is>
          <t>git remote ____ origin https://github.com/asha/notes.git → add</t>
        </is>
      </c>
      <c r="AY9" s="18" t="inlineStr">
        <is>
          <t>Connect https://github.com/asha/notes.git under the name origin.</t>
        </is>
      </c>
      <c r="AZ9" s="19" t="inlineStr">
        <is>
          <t>git remote add origin https://github.com/asha/notes.git</t>
        </is>
      </c>
      <c r="BA9" s="18" t="inlineStr">
        <is>
          <t>Run git remote -v in one of your repos and say what the fetch and push URLs are.</t>
        </is>
      </c>
      <c r="BB9" s="19" t="inlineStr">
        <is>
          <t>What is the command to change the URL of origin from HTTPS to SSH?</t>
        </is>
      </c>
      <c r="BC9" s="19" t="inlineStr">
        <is>
          <t>git remote set-url origin git@github.com:asha/notes.git</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67.5" customHeight="1">
      <c r="A10" s="17" t="inlineStr">
        <is>
          <t>GIT-011</t>
        </is>
      </c>
      <c r="B10" s="17" t="inlineStr">
        <is>
          <t>01 Basics</t>
        </is>
      </c>
      <c r="C10" s="17" t="inlineStr">
        <is>
          <t>Beginner</t>
        </is>
      </c>
      <c r="D10" s="17" t="n">
        <v>11</v>
      </c>
      <c r="E10" s="17" t="inlineStr">
        <is>
          <t>Claude knowledge</t>
        </is>
      </c>
      <c r="F10" s="18" t="inlineStr">
        <is>
          <t>git push</t>
        </is>
      </c>
      <c r="G10" s="18" t="inlineStr">
        <is>
          <t>Which command sends your local commits to the repository on GitHub?</t>
        </is>
      </c>
      <c r="H10" s="17" t="n"/>
      <c r="I10" s="18" t="inlineStr">
        <is>
          <t>Git command</t>
        </is>
      </c>
      <c r="J10" s="18" t="inlineStr">
        <is>
          <t>Very high</t>
        </is>
      </c>
      <c r="K10" s="18" t="n">
        <v>5</v>
      </c>
      <c r="L10" s="18" t="inlineStr">
        <is>
          <t>Push means to shove forward; the command shoves your local commits into the remote repository so others can see them.</t>
        </is>
      </c>
      <c r="M10" s="18" t="inlineStr">
        <is>
          <t>Run git push -u origin main the first time, and after that a plain git push is enough.</t>
        </is>
      </c>
      <c r="N10" s="17" t="n"/>
      <c r="O10" s="18" t="inlineStr">
        <is>
          <t>You hand your parcel over the counter and it travels to GitHub's warehouse.</t>
        </is>
      </c>
      <c r="P10" s="18" t="inlineStr">
        <is>
          <t>Boxes of commits ride a conveyor belt from a laptop up into the clouds.</t>
        </is>
      </c>
      <c r="Q10" s="18" t="inlineStr">
        <is>
          <t>The joy of seeing your work safe online.</t>
        </is>
      </c>
      <c r="R10" s="18" t="inlineStr">
        <is>
          <t>git push sends local commits to a remote repository.</t>
        </is>
      </c>
      <c r="S10" s="17" t="n"/>
      <c r="T10" s="19" t="inlineStr">
        <is>
          <t>git push -u origin main</t>
        </is>
      </c>
      <c r="U10" s="19" t="inlineStr">
        <is>
          <t>Enumerating objects: 5, done.
To https://github.com/asha/notes.git
 * [new branch]      main -&gt; main
branch 'main' set up to track 'origin/main'.</t>
        </is>
      </c>
      <c r="V10" s="18" t="inlineStr">
        <is>
          <t>Push sends only committed changes, never uncommitted ones. If the remote has new commits you do not have, the push is rejected and you must pull first. The -u flag links your branch with origin/main.</t>
        </is>
      </c>
      <c r="W10" s="18" t="inlineStr">
        <is>
          <t>Push sends your commits to GitHub. If someone pushed before you, Git stops you, so run git pull first and then push again.</t>
        </is>
      </c>
      <c r="X10" s="18" t="inlineStr">
        <is>
          <t>It is like sending the day's accounts to head office before closing the shop.</t>
        </is>
      </c>
      <c r="Y10" s="19" t="inlineStr">
        <is>
          <t>git push [-u] &lt;remote&gt; &lt;branch&gt;</t>
        </is>
      </c>
      <c r="Z10" s="18" t="inlineStr">
        <is>
          <t>git push = command | -u = set tracking | &lt;remote&gt; = origin | &lt;branch&gt; = main</t>
        </is>
      </c>
      <c r="AA10" s="19" t="inlineStr">
        <is>
          <t>git push -u origin main</t>
        </is>
      </c>
      <c r="AB10" s="19" t="inlineStr">
        <is>
          <t>git push origin feature/login</t>
        </is>
      </c>
      <c r="AC10" s="19" t="inlineStr">
        <is>
          <t>git push origin --delete old-branch</t>
        </is>
      </c>
      <c r="AD10" s="19" t="inlineStr">
        <is>
          <t>git push   # when tracking is set
git push --tags   # send all tags
git push origin HEAD   # send the current branch</t>
        </is>
      </c>
      <c r="AE10" s="18" t="inlineStr">
        <is>
          <t>origin, -u, --tags, --delete</t>
        </is>
      </c>
      <c r="AF10" s="18" t="inlineStr">
        <is>
          <t>git pull, git fetch, git commit</t>
        </is>
      </c>
      <c r="AG10" s="18" t="inlineStr">
        <is>
          <t>Committing directly in the GitHub web editor</t>
        </is>
      </c>
      <c r="AH10" s="18" t="inlineStr">
        <is>
          <t>git push, git pull, git fetch, git commit, git remote</t>
        </is>
      </c>
      <c r="AI10" s="18" t="inlineStr">
        <is>
          <t>Daily work | Before opening a pull request | Backup</t>
        </is>
      </c>
      <c r="AJ10" s="18" t="inlineStr">
        <is>
          <t>A: I pushed but it was rejected. | B: The remote has new commits, so pull them first and then push again.</t>
        </is>
      </c>
      <c r="AK10" s="18" t="inlineStr">
        <is>
          <t>✗ git push uploads all files at once even if I did not commit → ✓ Push sends only committed changes, and uncommitted work stays on your machine</t>
        </is>
      </c>
      <c r="AL10" s="18" t="inlineStr">
        <is>
          <t>git push vs git commit: commit makes a local snapshot, push sends it online.</t>
        </is>
      </c>
      <c r="AM10" s="18" t="inlineStr">
        <is>
          <t>Do not force push to a shared branch without thinking.</t>
        </is>
      </c>
      <c r="AN10" s="19" t="inlineStr">
        <is>
          <t>git push origin</t>
        </is>
      </c>
      <c r="AO10" s="19" t="inlineStr">
        <is>
          <t>git push origin main</t>
        </is>
      </c>
      <c r="AP10" s="18" t="inlineStr">
        <is>
          <t>Push means send the parcel upward.</t>
        </is>
      </c>
      <c r="AQ10" s="18" t="inlineStr">
        <is>
          <t>Pushing a feature branch and then opening a pull request.</t>
        </is>
      </c>
      <c r="AR10" s="18" t="inlineStr">
        <is>
          <t>An interviewer may ask: Why can a push be rejected and how do you fix it?</t>
        </is>
      </c>
      <c r="AS10" s="18" t="inlineStr">
        <is>
          <t>It is like sending the day's accounts to head office in the evening.</t>
        </is>
      </c>
      <c r="AT10" s="18" t="inlineStr">
        <is>
          <t>A push is rejected because the remote has new commits. What is the right next step?</t>
        </is>
      </c>
      <c r="AU10" s="18" t="inlineStr">
        <is>
          <t>A) git init B) Clone again C) Delete .git D) git pull, then push again</t>
        </is>
      </c>
      <c r="AV10" s="18" t="inlineStr">
        <is>
          <t>D</t>
        </is>
      </c>
      <c r="AW10" s="18" t="inlineStr">
        <is>
          <t>First bring in the remote's new commits and merge them with yours, then push.</t>
        </is>
      </c>
      <c r="AX10" s="19" t="inlineStr">
        <is>
          <t>git ____ -u origin main → push</t>
        </is>
      </c>
      <c r="AY10" s="18" t="inlineStr">
        <is>
          <t>Send the feature-login branch to origin.</t>
        </is>
      </c>
      <c r="AZ10" s="19" t="inlineStr">
        <is>
          <t>git push origin feature-login</t>
        </is>
      </c>
      <c r="BA10" s="18" t="inlineStr">
        <is>
          <t>Make a new commit, push it to your GitHub repo, and look at it in the browser.</t>
        </is>
      </c>
      <c r="BB10" s="19" t="inlineStr">
        <is>
          <t>What does the -u flag do in git push?</t>
        </is>
      </c>
      <c r="BC10" s="19" t="inlineStr">
        <is>
          <t>It links the local branch to the remote branch, so later a plain git push and git pull are enough.</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81" customHeight="1">
      <c r="A11" s="17" t="inlineStr">
        <is>
          <t>GIT-012</t>
        </is>
      </c>
      <c r="B11" s="17" t="inlineStr">
        <is>
          <t>01 Basics</t>
        </is>
      </c>
      <c r="C11" s="17" t="inlineStr">
        <is>
          <t>Beginner</t>
        </is>
      </c>
      <c r="D11" s="17" t="n">
        <v>12</v>
      </c>
      <c r="E11" s="17" t="inlineStr">
        <is>
          <t>Claude knowledge</t>
        </is>
      </c>
      <c r="F11" s="18" t="inlineStr">
        <is>
          <t>git pull</t>
        </is>
      </c>
      <c r="G11" s="18" t="inlineStr">
        <is>
          <t>How do you bring new commits from the remote into your current branch with a single command?</t>
        </is>
      </c>
      <c r="H11" s="17" t="n"/>
      <c r="I11" s="18" t="inlineStr">
        <is>
          <t>Git command</t>
        </is>
      </c>
      <c r="J11" s="18" t="inlineStr">
        <is>
          <t>Very high</t>
        </is>
      </c>
      <c r="K11" s="18" t="n">
        <v>5</v>
      </c>
      <c r="L11" s="18" t="inlineStr">
        <is>
          <t>Pull means to drag toward you; the command drags new remote commits and merges them into your current branch.</t>
        </is>
      </c>
      <c r="M11" s="18" t="inlineStr">
        <is>
          <t>Run git pull before you start work so you do not build on old code.</t>
        </is>
      </c>
      <c r="N11" s="17" t="n"/>
      <c r="O11" s="18" t="inlineStr">
        <is>
          <t>You tug a rope and your friend's latest work comes toward you.</t>
        </is>
      </c>
      <c r="P11" s="18" t="inlineStr">
        <is>
          <t>One end of a rope is tied to GitHub and you are pulling it toward yourself.</t>
        </is>
      </c>
      <c r="Q11" s="18" t="inlineStr">
        <is>
          <t>The comfort of having the team's latest work with you.</t>
        </is>
      </c>
      <c r="R11" s="18" t="inlineStr">
        <is>
          <t>git pull fetches new commits from the remote and merges them into the current branch.</t>
        </is>
      </c>
      <c r="S11" s="17" t="n"/>
      <c r="T11" s="19" t="inlineStr">
        <is>
          <t>git pull origin main</t>
        </is>
      </c>
      <c r="U11" s="19" t="inlineStr">
        <is>
          <t>From https://github.com/asha/notes
 * branch            main       -&gt; FETCH_HEAD
Updating 3f2a9c1..8b7d1e2
Fast-forward
 README.md | 2 ++</t>
        </is>
      </c>
      <c r="V11" s="18" t="inlineStr">
        <is>
          <t>Pull really does two jobs: first git fetch to get new commits, then git merge to combine them. If both sides changed the same file you may get a merge conflict.</t>
        </is>
      </c>
      <c r="W11" s="18" t="inlineStr">
        <is>
          <t>Pull brings GitHub's new commits to your laptop and mixes them with your work. If both of you changed the same line, you get a conflict that you fix by hand.</t>
        </is>
      </c>
      <c r="X11" s="18" t="inlineStr">
        <is>
          <t>It is like downloading the latest group notes and merging them with your own.</t>
        </is>
      </c>
      <c r="Y11" s="19" t="inlineStr">
        <is>
          <t>git pull [&lt;remote&gt; &lt;branch&gt;]</t>
        </is>
      </c>
      <c r="Z11" s="18" t="inlineStr">
        <is>
          <t>git pull = command | &lt;remote&gt; = origin | &lt;branch&gt; = main</t>
        </is>
      </c>
      <c r="AA11" s="19" t="inlineStr">
        <is>
          <t>git pull</t>
        </is>
      </c>
      <c r="AB11" s="19" t="inlineStr">
        <is>
          <t>git pull origin develop</t>
        </is>
      </c>
      <c r="AC11" s="19" t="inlineStr">
        <is>
          <t>git pull --rebase</t>
        </is>
      </c>
      <c r="AD11" s="19" t="inlineStr">
        <is>
          <t>git pull --rebase   # rebase instead of merge
git pull --ff-only   # only move straight ahead</t>
        </is>
      </c>
      <c r="AE11" s="18" t="inlineStr">
        <is>
          <t>git fetch, git merge, --rebase</t>
        </is>
      </c>
      <c r="AF11" s="18" t="inlineStr">
        <is>
          <t>git fetch, git merge, git push</t>
        </is>
      </c>
      <c r="AG11" s="18" t="inlineStr">
        <is>
          <t>Running git fetch and then git merge separately</t>
        </is>
      </c>
      <c r="AH11" s="18" t="inlineStr">
        <is>
          <t>git pull, git fetch, git merge, git push, git clone</t>
        </is>
      </c>
      <c r="AI11" s="18" t="inlineStr">
        <is>
          <t>Start of the day | Before pushing | Updating a branch</t>
        </is>
      </c>
      <c r="AJ11" s="18" t="inlineStr">
        <is>
          <t>A: My code does not show my friend's work. | B: Run git pull and it will arrive from the remote.</t>
        </is>
      </c>
      <c r="AK11" s="18" t="inlineStr">
        <is>
          <t>✗ git pull only looks at what is new and changes nothing → ✓ Pull brings the remote commits and also merges them into your branch, so your files change</t>
        </is>
      </c>
      <c r="AL11" s="18" t="inlineStr">
        <is>
          <t>git pull vs git fetch: pull fetches and merges, fetch only fetches.</t>
        </is>
      </c>
      <c r="AM11" s="18" t="inlineStr">
        <is>
          <t>Do not pull blindly with uncommitted changes.</t>
        </is>
      </c>
      <c r="AN11" s="19" t="inlineStr">
        <is>
          <t>git pull -u origin main</t>
        </is>
      </c>
      <c r="AO11" s="19" t="inlineStr">
        <is>
          <t>git pull origin main</t>
        </is>
      </c>
      <c r="AP11" s="18" t="inlineStr">
        <is>
          <t>Pull means pull it near and merge.</t>
        </is>
      </c>
      <c r="AQ11" s="18" t="inlineStr">
        <is>
          <t>Running git pull --rebase every morning so the history stays clean.</t>
        </is>
      </c>
      <c r="AR11" s="18" t="inlineStr">
        <is>
          <t>An interviewer may ask: What is the difference between git pull and git fetch?</t>
        </is>
      </c>
      <c r="AS11" s="18" t="inlineStr">
        <is>
          <t>It is like downloading group notes and combining them with yours.</t>
        </is>
      </c>
      <c r="AT11" s="18" t="inlineStr">
        <is>
          <t>Which two commands combined make up git pull?</t>
        </is>
      </c>
      <c r="AU11" s="18" t="inlineStr">
        <is>
          <t>A) clone and status B) init and add C) fetch and merge D) commit and push</t>
        </is>
      </c>
      <c r="AV11" s="18" t="inlineStr">
        <is>
          <t>C</t>
        </is>
      </c>
      <c r="AW11" s="18" t="inlineStr">
        <is>
          <t>Pull first fetches and then merges.</t>
        </is>
      </c>
      <c r="AX11" s="19" t="inlineStr">
        <is>
          <t>git ____ origin main → pull</t>
        </is>
      </c>
      <c r="AY11" s="18" t="inlineStr">
        <is>
          <t>Bring the new changes from origin's main branch.</t>
        </is>
      </c>
      <c r="AZ11" s="19" t="inlineStr">
        <is>
          <t>git pull origin main</t>
        </is>
      </c>
      <c r="BA11" s="18" t="inlineStr">
        <is>
          <t>Make a change on GitHub in your browser and bring it to your laptop with git pull.</t>
        </is>
      </c>
      <c r="BB11" s="19" t="inlineStr">
        <is>
          <t>What happens if both sides changed the same line during a pull?</t>
        </is>
      </c>
      <c r="BC11" s="19" t="inlineStr">
        <is>
          <t>A merge conflict appears and you must resolve it by hand.</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67.5" customHeight="1">
      <c r="A12" s="17" t="inlineStr">
        <is>
          <t>GIT-013</t>
        </is>
      </c>
      <c r="B12" s="17" t="inlineStr">
        <is>
          <t>01 Basics</t>
        </is>
      </c>
      <c r="C12" s="17" t="inlineStr">
        <is>
          <t>Beginner</t>
        </is>
      </c>
      <c r="D12" s="17" t="n">
        <v>13</v>
      </c>
      <c r="E12" s="17" t="inlineStr">
        <is>
          <t>Claude knowledge</t>
        </is>
      </c>
      <c r="F12" s="18" t="inlineStr">
        <is>
          <t>git log</t>
        </is>
      </c>
      <c r="G12" s="18" t="inlineStr">
        <is>
          <t>How do you see the list of all commits made so far, by whom and when?</t>
        </is>
      </c>
      <c r="H12" s="17" t="n"/>
      <c r="I12" s="18" t="inlineStr">
        <is>
          <t>Git command</t>
        </is>
      </c>
      <c r="J12" s="18" t="inlineStr">
        <is>
          <t>Very high</t>
        </is>
      </c>
      <c r="K12" s="18" t="n">
        <v>4</v>
      </c>
      <c r="L12" s="18" t="inlineStr">
        <is>
          <t>A log is a ledger; Git records every commit in its history and this command shows the whole record from newest to oldest.</t>
        </is>
      </c>
      <c r="M12" s="18" t="inlineStr">
        <is>
          <t>git log --oneline --graph --all shows a map of your branches at a glance.</t>
        </is>
      </c>
      <c r="N12" s="17" t="n"/>
      <c r="O12" s="18" t="inlineStr">
        <is>
          <t>It is like turning back the pages of a diary where every entry has a date and a name.</t>
        </is>
      </c>
      <c r="P12" s="18" t="inlineStr">
        <is>
          <t>A long list where each line shows a short code and a message.</t>
        </is>
      </c>
      <c r="Q12" s="18" t="inlineStr">
        <is>
          <t>The pleasure of reading the whole story of old work in one place.</t>
        </is>
      </c>
      <c r="R12" s="18" t="inlineStr">
        <is>
          <t>git log shows the commit history with authors and messages.</t>
        </is>
      </c>
      <c r="S12" s="17" t="n"/>
      <c r="T12" s="19" t="inlineStr">
        <is>
          <t>git log --oneline -3</t>
        </is>
      </c>
      <c r="U12" s="19" t="inlineStr">
        <is>
          <t>8b7d1e2 Fix refund rounding
3f2a9c1 Add homepage heading
a1c4e90 Initial commit</t>
        </is>
      </c>
      <c r="V12" s="18" t="inlineStr">
        <is>
          <t>Log starts from the newest commit. Each commit has a hash, an author, a date and a message. Options let you shorten the list, filter it, or draw it as a graph.</t>
        </is>
      </c>
      <c r="W12" s="18" t="inlineStr">
        <is>
          <t>git log shows who changed what in the project, and when. For a long list add --oneline so each commit takes just one line.</t>
        </is>
      </c>
      <c r="X12" s="18" t="inlineStr">
        <is>
          <t>It is like the entries in a bank passbook where every transaction is written.</t>
        </is>
      </c>
      <c r="Y12" s="19" t="inlineStr">
        <is>
          <t>git log [options]</t>
        </is>
      </c>
      <c r="Z12" s="18" t="inlineStr">
        <is>
          <t>git log = command | --oneline = one line per commit | -3 = only three commits</t>
        </is>
      </c>
      <c r="AA12" s="19" t="inlineStr">
        <is>
          <t>git log --oneline</t>
        </is>
      </c>
      <c r="AB12" s="19" t="inlineStr">
        <is>
          <t>git log --author="Asha" --since="2 weeks ago"</t>
        </is>
      </c>
      <c r="AC12" s="19" t="inlineStr">
        <is>
          <t>git log --graph --oneline --all</t>
        </is>
      </c>
      <c r="AD12" s="19" t="inlineStr">
        <is>
          <t>git log -p -2   # with the changes
git log -- src/app.js   # history of one file
git log --stat</t>
        </is>
      </c>
      <c r="AE12" s="18" t="inlineStr">
        <is>
          <t>--oneline, --graph, --author, -p</t>
        </is>
      </c>
      <c r="AF12" s="18" t="inlineStr">
        <is>
          <t>git blame, git show, git reflog</t>
        </is>
      </c>
      <c r="AG12" s="18" t="inlineStr">
        <is>
          <t>The Commits tab on GitHub</t>
        </is>
      </c>
      <c r="AH12" s="18" t="inlineStr">
        <is>
          <t>git log, git show, git diff, git blame, git reflog</t>
        </is>
      </c>
      <c r="AI12" s="18" t="inlineStr">
        <is>
          <t>Finding the source of a bug | Code review | Writing release notes</t>
        </is>
      </c>
      <c r="AJ12" s="18" t="inlineStr">
        <is>
          <t>A: When did this line change? | B: Run git log -p on that file and every change will show.</t>
        </is>
      </c>
      <c r="AK12" s="18" t="inlineStr">
        <is>
          <t>✗ git log shows the full history of every branch at once → ✓ git log shows only the current branch, and you need --all to include every branch</t>
        </is>
      </c>
      <c r="AL12" s="18" t="inlineStr">
        <is>
          <t>git log vs git reflog: log shows the commit history, reflog shows every move HEAD made, including lost commits.</t>
        </is>
      </c>
      <c r="AM12" s="18" t="inlineStr">
        <is>
          <t>Do not open the whole log of a huge repo without --oneline or -n.</t>
        </is>
      </c>
      <c r="AN12" s="19" t="inlineStr">
        <is>
          <t>git log --short</t>
        </is>
      </c>
      <c r="AO12" s="19" t="inlineStr">
        <is>
          <t>git log --oneline</t>
        </is>
      </c>
      <c r="AP12" s="18" t="inlineStr">
        <is>
          <t>Log means a ledger of the whole history.</t>
        </is>
      </c>
      <c r="AQ12" s="18" t="inlineStr">
        <is>
          <t>Making a list of new changes before a release with git log --oneline v1.0..HEAD.</t>
        </is>
      </c>
      <c r="AR12" s="18" t="inlineStr">
        <is>
          <t>An interviewer may ask: How do you see the full history of a single file?</t>
        </is>
      </c>
      <c r="AS12" s="18" t="inlineStr">
        <is>
          <t>It is like reading each entry of a passbook.</t>
        </is>
      </c>
      <c r="AT12" s="18" t="inlineStr">
        <is>
          <t>Which option shows each commit on a single line?</t>
        </is>
      </c>
      <c r="AU12" s="18" t="inlineStr">
        <is>
          <t>A) --all B) --oneline C) --stat D) --short</t>
        </is>
      </c>
      <c r="AV12" s="18" t="inlineStr">
        <is>
          <t>B</t>
        </is>
      </c>
      <c r="AW12" s="18" t="inlineStr">
        <is>
          <t>--oneline shows the hash and message on one line.</t>
        </is>
      </c>
      <c r="AX12" s="19" t="inlineStr">
        <is>
          <t>git log ____ -5 → --oneline</t>
        </is>
      </c>
      <c r="AY12" s="18" t="inlineStr">
        <is>
          <t>Show the last five commits, one per line.</t>
        </is>
      </c>
      <c r="AZ12" s="19" t="inlineStr">
        <is>
          <t>git log --oneline -5</t>
        </is>
      </c>
      <c r="BA12" s="18" t="inlineStr">
        <is>
          <t>Run git log --graph --oneline --all on your project and look at the map of your branches.</t>
        </is>
      </c>
      <c r="BB12" s="19" t="inlineStr">
        <is>
          <t>What command shows only Asha's commits?</t>
        </is>
      </c>
      <c r="BC12" s="19" t="inlineStr">
        <is>
          <t>git log --author="Asha"</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67.5" customHeight="1">
      <c r="A13" s="17" t="inlineStr">
        <is>
          <t>GIT-017</t>
        </is>
      </c>
      <c r="B13" s="17" t="inlineStr">
        <is>
          <t>02 Branching &amp; Merging</t>
        </is>
      </c>
      <c r="C13" s="17" t="inlineStr">
        <is>
          <t>Beginner</t>
        </is>
      </c>
      <c r="D13" s="17" t="n">
        <v>17</v>
      </c>
      <c r="E13" s="17" t="inlineStr">
        <is>
          <t>Claude knowledge</t>
        </is>
      </c>
      <c r="F13" s="18" t="inlineStr">
        <is>
          <t>Branch</t>
        </is>
      </c>
      <c r="G13" s="18" t="inlineStr">
        <is>
          <t>How do you create a separate line of history so you can build a new feature without breaking the main code?</t>
        </is>
      </c>
      <c r="H13" s="17" t="n"/>
      <c r="I13" s="18" t="inlineStr">
        <is>
          <t>Git concept</t>
        </is>
      </c>
      <c r="J13" s="18" t="inlineStr">
        <is>
          <t>Very high</t>
        </is>
      </c>
      <c r="K13" s="18" t="n">
        <v>5</v>
      </c>
      <c r="L13" s="18" t="inlineStr">
        <is>
          <t>A branch is a limb of a tree; in Git it is only a light label pointing at a commit, so creating and switching branches is very fast.</t>
        </is>
      </c>
      <c r="M13" s="18" t="inlineStr">
        <is>
          <t>Make a new branch for every piece of work and name it after the work, such as feature/login.</t>
        </is>
      </c>
      <c r="N13" s="17" t="n"/>
      <c r="O13" s="18" t="inlineStr">
        <is>
          <t>You try an experiment on a new limb of the tree and, if it works, you join it back to the trunk.</t>
        </is>
      </c>
      <c r="P13" s="18" t="inlineStr">
        <is>
          <t>A road that splits into two paths and later joins again.</t>
        </is>
      </c>
      <c r="Q13" s="18" t="inlineStr">
        <is>
          <t>The freedom to experiment without fear.</t>
        </is>
      </c>
      <c r="R13" s="18" t="inlineStr">
        <is>
          <t>A branch is a separate line of history where you can work without touching the main code.</t>
        </is>
      </c>
      <c r="S13" s="17" t="n"/>
      <c r="T13" s="19" t="inlineStr">
        <is>
          <t>git branch feature/login
git branch</t>
        </is>
      </c>
      <c r="U13" s="19" t="inlineStr">
        <is>
          <t>feature/login
* main</t>
        </is>
      </c>
      <c r="V13" s="18" t="inlineStr">
        <is>
          <t>A branch is a pointer to a commit, so it takes almost no time or space to create. HEAD says which branch you are on. A new commit moves only the current branch forward.</t>
        </is>
      </c>
      <c r="W13" s="18" t="inlineStr">
        <is>
          <t>A branch lets you work on a separate path. If something breaks there, main stays safe. When the work is good, you merge it back.</t>
        </is>
      </c>
      <c r="X13" s="18" t="inlineStr">
        <is>
          <t>It is like a rough draft of a book where you experiment while the final copy stays separate.</t>
        </is>
      </c>
      <c r="Y13" s="19" t="inlineStr">
        <is>
          <t>git branch [&lt;name&gt;]</t>
        </is>
      </c>
      <c r="Z13" s="18" t="inlineStr">
        <is>
          <t>git branch = command | &lt;name&gt; = name of the new branch | * = the branch you are on</t>
        </is>
      </c>
      <c r="AA13" s="19" t="inlineStr">
        <is>
          <t>git branch feature/login</t>
        </is>
      </c>
      <c r="AB13" s="19" t="inlineStr">
        <is>
          <t>git branch -a</t>
        </is>
      </c>
      <c r="AC13" s="19" t="inlineStr">
        <is>
          <t>git branch -d old-feature</t>
        </is>
      </c>
      <c r="AD13" s="19" t="inlineStr">
        <is>
          <t>git branch -m new-name   # rename
git branch -r   # remote branches
git branch -D feature   # force delete</t>
        </is>
      </c>
      <c r="AE13" s="18" t="inlineStr">
        <is>
          <t>git switch, git merge, HEAD, main</t>
        </is>
      </c>
      <c r="AF13" s="18" t="inlineStr">
        <is>
          <t>git switch, git merge, git checkout</t>
        </is>
      </c>
      <c r="AG13" s="18" t="inlineStr">
        <is>
          <t>git switch -c name (create and move at once)</t>
        </is>
      </c>
      <c r="AH13" s="18" t="inlineStr">
        <is>
          <t>git branch, git switch, git merge, git checkout, git rebase</t>
        </is>
      </c>
      <c r="AI13" s="18" t="inlineStr">
        <is>
          <t>A new feature | A bug fix | Experiments</t>
        </is>
      </c>
      <c r="AJ13" s="18" t="inlineStr">
        <is>
          <t>A: Where should I build the new feature? | B: Not on main, make a separate branch with git branch and work there.</t>
        </is>
      </c>
      <c r="AK13" s="18" t="inlineStr">
        <is>
          <t>✗ Running git branch name moves you onto that branch at once → ✓ git branch only creates the branch, and you need git switch to move onto it</t>
        </is>
      </c>
      <c r="AL13" s="18" t="inlineStr">
        <is>
          <t>git branch vs git switch -c: branch only creates, switch -c creates and moves.</t>
        </is>
      </c>
      <c r="AM13" s="18" t="inlineStr">
        <is>
          <t>Do not do experimental work directly on the main branch.</t>
        </is>
      </c>
      <c r="AN13" s="19" t="inlineStr">
        <is>
          <t>git branch -new feature/login</t>
        </is>
      </c>
      <c r="AO13" s="19" t="inlineStr">
        <is>
          <t>git branch feature/login</t>
        </is>
      </c>
      <c r="AP13" s="18" t="inlineStr">
        <is>
          <t>Branch means a new road and a new shade.</t>
        </is>
      </c>
      <c r="AQ13" s="18" t="inlineStr">
        <is>
          <t>Working on every ticket in its own branch and joining it to main through a pull request.</t>
        </is>
      </c>
      <c r="AR13" s="18" t="inlineStr">
        <is>
          <t>An interviewer may ask: What is a branch internally in Git?</t>
        </is>
      </c>
      <c r="AS13" s="18" t="inlineStr">
        <is>
          <t>It is like experimenting on a rough draft of a book.</t>
        </is>
      </c>
      <c r="AT13" s="18" t="inlineStr">
        <is>
          <t>Which command only creates a branch but does not move you onto it?</t>
        </is>
      </c>
      <c r="AU13" s="18" t="inlineStr">
        <is>
          <t>A) git switch -c x B) git merge x C) git branch x D) git checkout -b x</t>
        </is>
      </c>
      <c r="AV13" s="18" t="inlineStr">
        <is>
          <t>C</t>
        </is>
      </c>
      <c r="AW13" s="18" t="inlineStr">
        <is>
          <t>git branch x only creates the branch, while the others also move you or merge.</t>
        </is>
      </c>
      <c r="AX13" s="19" t="inlineStr">
        <is>
          <t>git ____ feature/login → branch</t>
        </is>
      </c>
      <c r="AY13" s="18" t="inlineStr">
        <is>
          <t>Create a new branch called fix-navbar.</t>
        </is>
      </c>
      <c r="AZ13" s="19" t="inlineStr">
        <is>
          <t>git branch fix-navbar</t>
        </is>
      </c>
      <c r="BA13" s="18" t="inlineStr">
        <is>
          <t>Make a test branch in your repo and look at the list with git branch.</t>
        </is>
      </c>
      <c r="BB13" s="19" t="inlineStr">
        <is>
          <t>What does git branch -a show?</t>
        </is>
      </c>
      <c r="BC13" s="19" t="inlineStr">
        <is>
          <t>The list of local and remote branches together.</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54" customHeight="1">
      <c r="A14" s="17" t="inlineStr">
        <is>
          <t>GIT-018</t>
        </is>
      </c>
      <c r="B14" s="17" t="inlineStr">
        <is>
          <t>02 Branching &amp; Merging</t>
        </is>
      </c>
      <c r="C14" s="17" t="inlineStr">
        <is>
          <t>Beginner</t>
        </is>
      </c>
      <c r="D14" s="17" t="n">
        <v>18</v>
      </c>
      <c r="E14" s="17" t="inlineStr">
        <is>
          <t>Claude knowledge</t>
        </is>
      </c>
      <c r="F14" s="18" t="inlineStr">
        <is>
          <t>git switch / git checkout</t>
        </is>
      </c>
      <c r="G14" s="18" t="inlineStr">
        <is>
          <t>How do you move from one branch to another to work there?</t>
        </is>
      </c>
      <c r="H14" s="17" t="n"/>
      <c r="I14" s="18" t="inlineStr">
        <is>
          <t>Git command</t>
        </is>
      </c>
      <c r="J14" s="18" t="inlineStr">
        <is>
          <t>Very high</t>
        </is>
      </c>
      <c r="K14" s="18" t="n">
        <v>5</v>
      </c>
      <c r="L14" s="18" t="inlineStr">
        <is>
          <t>Everything used to be done with git checkout, which did too many jobs, so newer Git added the clearer git switch just for changing branches.</t>
        </is>
      </c>
      <c r="M14" s="18" t="inlineStr">
        <is>
          <t>Use git switch -c name to create a new branch and move onto it in one step.</t>
        </is>
      </c>
      <c r="N14" s="17" t="n"/>
      <c r="O14" s="18" t="inlineStr">
        <is>
          <t>Switch is a light switch that takes you from one room to another.</t>
        </is>
      </c>
      <c r="P14" s="18" t="inlineStr">
        <is>
          <t>A railway points that turns a train from one track onto another.</t>
        </is>
      </c>
      <c r="Q14" s="18" t="inlineStr">
        <is>
          <t>The convenience of jumping to another task straight away.</t>
        </is>
      </c>
      <c r="R14" s="18" t="inlineStr">
        <is>
          <t>git switch moves your working folder onto another branch.</t>
        </is>
      </c>
      <c r="S14" s="17" t="n"/>
      <c r="T14" s="19" t="inlineStr">
        <is>
          <t>git switch -c feature/login
git switch main</t>
        </is>
      </c>
      <c r="U14" s="19" t="inlineStr">
        <is>
          <t>Switched to a new branch 'feature/login'
Switched to branch 'main'</t>
        </is>
      </c>
      <c r="V14" s="18" t="inlineStr">
        <is>
          <t>When you switch, the files in your working folder change to match that branch. If your uncommitted changes would conflict, Git stops you, and then you commit or stash first.</t>
        </is>
      </c>
      <c r="W14" s="18" t="inlineStr">
        <is>
          <t>git switch name puts you on that branch and the files change to match it. Adding -c creates the branch and moves onto it at once.</t>
        </is>
      </c>
      <c r="X14" s="18" t="inlineStr">
        <is>
          <t>It is like changing the decorated set in the same room.</t>
        </is>
      </c>
      <c r="Y14" s="19" t="inlineStr">
        <is>
          <t>git switch [-c] &lt;branch&gt;</t>
        </is>
      </c>
      <c r="Z14" s="18" t="inlineStr">
        <is>
          <t>git switch = command | -c = create it | &lt;branch&gt; = branch name</t>
        </is>
      </c>
      <c r="AA14" s="19" t="inlineStr">
        <is>
          <t>git switch main</t>
        </is>
      </c>
      <c r="AB14" s="19" t="inlineStr">
        <is>
          <t>git switch -c bugfix/cart</t>
        </is>
      </c>
      <c r="AC14" s="19" t="inlineStr">
        <is>
          <t>git switch -</t>
        </is>
      </c>
      <c r="AD14" s="19" t="inlineStr">
        <is>
          <t>git checkout main   # the old way
git checkout -b new   # the old switch -c
git switch --detach abc123</t>
        </is>
      </c>
      <c r="AE14" s="18" t="inlineStr">
        <is>
          <t>-c, git branch, git stash</t>
        </is>
      </c>
      <c r="AF14" s="18" t="inlineStr">
        <is>
          <t>git branch, git restore, git stash</t>
        </is>
      </c>
      <c r="AG14" s="18" t="inlineStr">
        <is>
          <t>git checkout &lt;branch&gt;</t>
        </is>
      </c>
      <c r="AH14" s="18" t="inlineStr">
        <is>
          <t>git switch, git checkout, git branch, git restore, git stash</t>
        </is>
      </c>
      <c r="AI14" s="18" t="inlineStr">
        <is>
          <t>Changing feature | Going to a bug fix | Opening someone's branch for review</t>
        </is>
      </c>
      <c r="AJ14" s="18" t="inlineStr">
        <is>
          <t>A: I need another branch but I have pending changes. | B: Commit or stash first, then run git switch.</t>
        </is>
      </c>
      <c r="AK14" s="18" t="inlineStr">
        <is>
          <t>✗ Changing branches always loses uncommitted changes → ✓ Git usually carries them along or stops you if there is a conflict, and git stash is the safe way</t>
        </is>
      </c>
      <c r="AL14" s="18" t="inlineStr">
        <is>
          <t>git switch vs git checkout: switch only changes branches, checkout also does file restoring and more.</t>
        </is>
      </c>
      <c r="AM14" s="18" t="inlineStr">
        <is>
          <t>Do not switch branches with pending changes without checking.</t>
        </is>
      </c>
      <c r="AN14" s="19" t="inlineStr">
        <is>
          <t>git switch feature/login -c</t>
        </is>
      </c>
      <c r="AO14" s="19" t="inlineStr">
        <is>
          <t>git switch -c feature/login</t>
        </is>
      </c>
      <c r="AP14" s="18" t="inlineStr">
        <is>
          <t>Switch goes straight to another branch.</t>
        </is>
      </c>
      <c r="AQ14" s="18" t="inlineStr">
        <is>
          <t>Opening a teammate's branch with git switch to run it for review.</t>
        </is>
      </c>
      <c r="AR14" s="18" t="inlineStr">
        <is>
          <t>An interviewer may ask: What is the difference between git checkout and git switch?</t>
        </is>
      </c>
      <c r="AS14" s="18" t="inlineStr">
        <is>
          <t>It is like pressing the switch to go from one room to another.</t>
        </is>
      </c>
      <c r="AT14" s="18" t="inlineStr">
        <is>
          <t>Which command creates a new branch and moves onto it at once?</t>
        </is>
      </c>
      <c r="AU14" s="18" t="inlineStr">
        <is>
          <t>A) git switch -c x B) git branch x C) git merge x D) git switch x</t>
        </is>
      </c>
      <c r="AV14" s="18" t="inlineStr">
        <is>
          <t>A</t>
        </is>
      </c>
      <c r="AW14" s="18" t="inlineStr">
        <is>
          <t>The -c flag creates the branch and also moves you onto it.</t>
        </is>
      </c>
      <c r="AX14" s="19" t="inlineStr">
        <is>
          <t>git switch ____ feature/login → -c</t>
        </is>
      </c>
      <c r="AY14" s="18" t="inlineStr">
        <is>
          <t>Go back to the main branch.</t>
        </is>
      </c>
      <c r="AZ14" s="19" t="inlineStr">
        <is>
          <t>git switch main</t>
        </is>
      </c>
      <c r="BA14" s="18" t="inlineStr">
        <is>
          <t>Create a new branch, change a file there, switch back to main, and see what the file looks like.</t>
        </is>
      </c>
      <c r="BB14" s="19" t="inlineStr">
        <is>
          <t>What does git switch - do?</t>
        </is>
      </c>
      <c r="BC14" s="19" t="inlineStr">
        <is>
          <t>It takes you back to the previous branch.</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81" customHeight="1">
      <c r="A15" s="17" t="inlineStr">
        <is>
          <t>GIT-019</t>
        </is>
      </c>
      <c r="B15" s="17" t="inlineStr">
        <is>
          <t>02 Branching &amp; Merging</t>
        </is>
      </c>
      <c r="C15" s="17" t="inlineStr">
        <is>
          <t>Beginner</t>
        </is>
      </c>
      <c r="D15" s="17" t="n">
        <v>19</v>
      </c>
      <c r="E15" s="17" t="inlineStr">
        <is>
          <t>Claude knowledge</t>
        </is>
      </c>
      <c r="F15" s="18" t="inlineStr">
        <is>
          <t>git diff</t>
        </is>
      </c>
      <c r="G15" s="18" t="inlineStr">
        <is>
          <t>Which command do you run before committing to see line by line what has changed?</t>
        </is>
      </c>
      <c r="H15" s="17" t="n"/>
      <c r="I15" s="18" t="inlineStr">
        <is>
          <t>Git command</t>
        </is>
      </c>
      <c r="J15" s="18" t="inlineStr">
        <is>
          <t>Very high</t>
        </is>
      </c>
      <c r="K15" s="18" t="n">
        <v>4</v>
      </c>
      <c r="L15" s="18" t="inlineStr">
        <is>
          <t>Diff is short for difference; this command comes from the old Unix diff tool and shows the difference between two versions line by line.</t>
        </is>
      </c>
      <c r="M15" s="18" t="inlineStr">
        <is>
          <t>Run git diff --staged before committing and review your own code once.</t>
        </is>
      </c>
      <c r="N15" s="17" t="n"/>
      <c r="O15" s="18" t="inlineStr">
        <is>
          <t>It is like a spot-the-difference game where Git circles the changes for you.</t>
        </is>
      </c>
      <c r="P15" s="18" t="inlineStr">
        <is>
          <t>Two versions sit side by side, green for what is new and red for what went.</t>
        </is>
      </c>
      <c r="Q15" s="18" t="inlineStr">
        <is>
          <t>The satisfaction of catching a mistake before it is committed.</t>
        </is>
      </c>
      <c r="R15" s="18" t="inlineStr">
        <is>
          <t>git diff shows the line-by-line changes between two versions.</t>
        </is>
      </c>
      <c r="S15" s="17" t="n"/>
      <c r="T15" s="19" t="inlineStr">
        <is>
          <t>git diff
git diff --staged</t>
        </is>
      </c>
      <c r="U15" s="19" t="inlineStr">
        <is>
          <t>-  &lt;h1&gt;Hello&lt;/h1&gt;
+  &lt;h1&gt;Hello, World&lt;/h1&gt;</t>
        </is>
      </c>
      <c r="V15" s="18" t="inlineStr">
        <is>
          <t>Plain git diff compares the working folder with the staging area. --staged compares the staging area with the last commit. A red minus line was removed and a green plus line was added.</t>
        </is>
      </c>
      <c r="W15" s="18" t="inlineStr">
        <is>
          <t>git diff shows which lines you removed and which you added. Doing this before you commit saves you from silly mistakes.</t>
        </is>
      </c>
      <c r="X15" s="18" t="inlineStr">
        <is>
          <t>It is like marking the difference between two fabrics with a highlighter.</t>
        </is>
      </c>
      <c r="Y15" s="19" t="inlineStr">
        <is>
          <t>git diff [--staged] [&lt;commit&gt;] [-- &lt;path&gt;]</t>
        </is>
      </c>
      <c r="Z15" s="18" t="inlineStr">
        <is>
          <t>git diff = command | --staged = staged changes | &lt;commit&gt; = compare with a commit | &lt;path&gt; = one file</t>
        </is>
      </c>
      <c r="AA15" s="19" t="inlineStr">
        <is>
          <t>git diff</t>
        </is>
      </c>
      <c r="AB15" s="19" t="inlineStr">
        <is>
          <t>git diff --staged</t>
        </is>
      </c>
      <c r="AC15" s="19" t="inlineStr">
        <is>
          <t>git diff main..feature/login</t>
        </is>
      </c>
      <c r="AD15" s="19" t="inlineStr">
        <is>
          <t>git diff HEAD~1   # against the previous commit
git diff --stat   # summary only
git diff -- src/app.js</t>
        </is>
      </c>
      <c r="AE15" s="18" t="inlineStr">
        <is>
          <t>--staged, --stat, HEAD, git add</t>
        </is>
      </c>
      <c r="AF15" s="18" t="inlineStr">
        <is>
          <t>git status, git log -p, git show</t>
        </is>
      </c>
      <c r="AG15" s="18" t="inlineStr">
        <is>
          <t>The diff view in your IDE</t>
        </is>
      </c>
      <c r="AH15" s="18" t="inlineStr">
        <is>
          <t>git diff, git status, git log, git show, git blame</t>
        </is>
      </c>
      <c r="AI15" s="18" t="inlineStr">
        <is>
          <t>Before committing | Code review | Comparing branches</t>
        </is>
      </c>
      <c r="AJ15" s="18" t="inlineStr">
        <is>
          <t>A: I forgot what I changed. | B: Run git diff and it will show line by line.</t>
        </is>
      </c>
      <c r="AK15" s="18" t="inlineStr">
        <is>
          <t>✗ git diff shows all changes, staged or not → ✓ Plain git diff shows only unstaged changes, and you need --staged to see staged ones</t>
        </is>
      </c>
      <c r="AL15" s="18" t="inlineStr">
        <is>
          <t>git diff vs git status: diff shows line-by-line changes, status only lists which files changed.</t>
        </is>
      </c>
      <c r="AM15" s="18" t="inlineStr">
        <is>
          <t>Do not commit everything without looking at the diff.</t>
        </is>
      </c>
      <c r="AN15" s="19" t="inlineStr">
        <is>
          <t>git diff --stage</t>
        </is>
      </c>
      <c r="AO15" s="19" t="inlineStr">
        <is>
          <t>git diff --staged</t>
        </is>
      </c>
      <c r="AP15" s="18" t="inlineStr">
        <is>
          <t>Diff dives into the difference.</t>
        </is>
      </c>
      <c r="AQ15" s="18" t="inlineStr">
        <is>
          <t>Reading your own full change with git diff main before opening a pull request.</t>
        </is>
      </c>
      <c r="AR15" s="18" t="inlineStr">
        <is>
          <t>An interviewer may ask: What is the difference between git diff and git diff --staged?</t>
        </is>
      </c>
      <c r="AS15" s="18" t="inlineStr">
        <is>
          <t>It is like finding the differences between two near-identical pictures.</t>
        </is>
      </c>
      <c r="AT15" s="18" t="inlineStr">
        <is>
          <t>A file has already been git added. Which command shows its change?</t>
        </is>
      </c>
      <c r="AU15" s="18" t="inlineStr">
        <is>
          <t>A) git diff B) git diff --staged C) git status -d D) git log -p -1</t>
        </is>
      </c>
      <c r="AV15" s="18" t="inlineStr">
        <is>
          <t>B</t>
        </is>
      </c>
      <c r="AW15" s="18" t="inlineStr">
        <is>
          <t>Plain git diff does not show staged changes, but --staged does.</t>
        </is>
      </c>
      <c r="AX15" s="19" t="inlineStr">
        <is>
          <t>git diff ____ → --staged</t>
        </is>
      </c>
      <c r="AY15" s="18" t="inlineStr">
        <is>
          <t>Show the difference of the staged changes.</t>
        </is>
      </c>
      <c r="AZ15" s="19" t="inlineStr">
        <is>
          <t>git diff --staged</t>
        </is>
      </c>
      <c r="BA15" s="18" t="inlineStr">
        <is>
          <t>Change a file and compare the output of git diff and git diff --staged.</t>
        </is>
      </c>
      <c r="BB15" s="19" t="inlineStr">
        <is>
          <t>How will a removed line look in a diff?</t>
        </is>
      </c>
      <c r="BC15" s="19" t="inlineStr">
        <is>
          <t>In red, with a minus sign in front.</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67.5" customHeight="1">
      <c r="A16" s="17" t="inlineStr">
        <is>
          <t>GIT-020</t>
        </is>
      </c>
      <c r="B16" s="17" t="inlineStr">
        <is>
          <t>02 Branching &amp; Merging</t>
        </is>
      </c>
      <c r="C16" s="17" t="inlineStr">
        <is>
          <t>Intermediate</t>
        </is>
      </c>
      <c r="D16" s="17" t="n">
        <v>20</v>
      </c>
      <c r="E16" s="17" t="inlineStr">
        <is>
          <t>Claude knowledge</t>
        </is>
      </c>
      <c r="F16" s="18" t="inlineStr">
        <is>
          <t>git merge</t>
        </is>
      </c>
      <c r="G16" s="18" t="inlineStr">
        <is>
          <t>Which command joins the work of one branch into another branch?</t>
        </is>
      </c>
      <c r="H16" s="17" t="n"/>
      <c r="I16" s="18" t="inlineStr">
        <is>
          <t>Git command</t>
        </is>
      </c>
      <c r="J16" s="18" t="inlineStr">
        <is>
          <t>Very high</t>
        </is>
      </c>
      <c r="K16" s="18" t="n">
        <v>5</v>
      </c>
      <c r="L16" s="18" t="inlineStr">
        <is>
          <t>Merge means to combine; Git joins the histories of two branches and makes a merge commit when both sides have new commits.</t>
        </is>
      </c>
      <c r="M16" s="18" t="inlineStr">
        <is>
          <t>Pull main into your branch before merging so conflicts show up early.</t>
        </is>
      </c>
      <c r="N16" s="17" t="n"/>
      <c r="O16" s="18" t="inlineStr">
        <is>
          <t>Two rivers flow together into one, and that is a merge.</t>
        </is>
      </c>
      <c r="P16" s="18" t="inlineStr">
        <is>
          <t>Two roads meet at a junction and become one wide road.</t>
        </is>
      </c>
      <c r="Q16" s="18" t="inlineStr">
        <is>
          <t>The satisfaction of separate pieces of work finally coming together.</t>
        </is>
      </c>
      <c r="R16" s="18" t="inlineStr">
        <is>
          <t>git merge brings the commits of another branch into the current branch.</t>
        </is>
      </c>
      <c r="S16" s="17" t="n"/>
      <c r="T16" s="19" t="inlineStr">
        <is>
          <t>git switch main
git merge feature/login</t>
        </is>
      </c>
      <c r="U16" s="19" t="inlineStr">
        <is>
          <t>Updating 3f2a9c1..8b7d1e2
Fast-forward
 login.js | 12 ++++++++++++</t>
        </is>
      </c>
      <c r="V16" s="18" t="inlineStr">
        <is>
          <t>If main has not moved ahead, Git simply moves the pointer forward (fast-forward). If both sides have new commits, Git creates a merge commit. If both changed the same line, a merge conflict appears.</t>
        </is>
      </c>
      <c r="W16" s="18" t="inlineStr">
        <is>
          <t>To merge, first move to the branch that should receive the work (usually main), then name the branch you want to bring in. Both sets of work become one.</t>
        </is>
      </c>
      <c r="X16" s="18" t="inlineStr">
        <is>
          <t>It is like two friends writing separate chapters and then putting them in one book.</t>
        </is>
      </c>
      <c r="Y16" s="19" t="inlineStr">
        <is>
          <t>git merge &lt;branch&gt;</t>
        </is>
      </c>
      <c r="Z16" s="18" t="inlineStr">
        <is>
          <t>git merge = command | &lt;branch&gt; = the branch to bring into the current one</t>
        </is>
      </c>
      <c r="AA16" s="19" t="inlineStr">
        <is>
          <t>git merge feature/login</t>
        </is>
      </c>
      <c r="AB16" s="19" t="inlineStr">
        <is>
          <t>git merge --no-ff feature/payment</t>
        </is>
      </c>
      <c r="AC16" s="19" t="inlineStr">
        <is>
          <t>git merge --squash bugfix/cart</t>
        </is>
      </c>
      <c r="AD16" s="19" t="inlineStr">
        <is>
          <t>git merge --abort   # stop the merge
git merge --no-ff x   # always make a merge commit
git merge --squash x   # stage all changes as one set, then commit yourself</t>
        </is>
      </c>
      <c r="AE16" s="18" t="inlineStr">
        <is>
          <t>git switch, --no-ff, --squash, --abort</t>
        </is>
      </c>
      <c r="AF16" s="18" t="inlineStr">
        <is>
          <t>git rebase, merge conflict, pull request</t>
        </is>
      </c>
      <c r="AG16" s="18" t="inlineStr">
        <is>
          <t>git rebase, the Merge button on GitHub</t>
        </is>
      </c>
      <c r="AH16" s="18" t="inlineStr">
        <is>
          <t>git merge, git rebase, git branch, git switch, git pull</t>
        </is>
      </c>
      <c r="AI16" s="18" t="inlineStr">
        <is>
          <t>When a feature is complete | Releases | Merging a pull request</t>
        </is>
      </c>
      <c r="AJ16" s="18" t="inlineStr">
        <is>
          <t>A: The feature is done, what next? | B: Go to main, run git merge feature, and then push.</t>
        </is>
      </c>
      <c r="AK16" s="18" t="inlineStr">
        <is>
          <t>✗ Running git merge feature brings main's work into feature → ✓ Merge brings the other branch's work into the current branch, so you must be on the branch that receives the work</t>
        </is>
      </c>
      <c r="AL16" s="18" t="inlineStr">
        <is>
          <t>merge vs rebase: merge joins the histories with a merge commit, rebase rewrites commits on a new base.</t>
        </is>
      </c>
      <c r="AM16" s="18" t="inlineStr">
        <is>
          <t>Do not merge into an outdated main without pulling first.</t>
        </is>
      </c>
      <c r="AN16" s="19" t="inlineStr">
        <is>
          <t>git merge feature --to main   # merge has no --to option; switch to main first</t>
        </is>
      </c>
      <c r="AO16" s="19" t="inlineStr">
        <is>
          <t>git merge feature</t>
        </is>
      </c>
      <c r="AP16" s="18" t="inlineStr">
        <is>
          <t>Merge means mix it into main.</t>
        </is>
      </c>
      <c r="AQ16" s="18" t="inlineStr">
        <is>
          <t>Merging a feature branch into main once its pull request is approved.</t>
        </is>
      </c>
      <c r="AR16" s="18" t="inlineStr">
        <is>
          <t>An interviewer may ask: What is a fast-forward merge?</t>
        </is>
      </c>
      <c r="AS16" s="18" t="inlineStr">
        <is>
          <t>It is like two rivers flowing into one.</t>
        </is>
      </c>
      <c r="AT16" s="18" t="inlineStr">
        <is>
          <t>You want a feature branch's work in main. On which branch should you run the merge command?</t>
        </is>
      </c>
      <c r="AU16" s="18" t="inlineStr">
        <is>
          <t>A) Only origin B) The feature branch C) Any branch D) The branch that should receive the work</t>
        </is>
      </c>
      <c r="AV16" s="18" t="inlineStr">
        <is>
          <t>D</t>
        </is>
      </c>
      <c r="AW16" s="18" t="inlineStr">
        <is>
          <t>Merge brings other work into the current branch, so you run it on the receiving branch.</t>
        </is>
      </c>
      <c r="AX16" s="19" t="inlineStr">
        <is>
          <t>git ____ feature/login → merge</t>
        </is>
      </c>
      <c r="AY16" s="18" t="inlineStr">
        <is>
          <t>Merge feature/login into the current branch.</t>
        </is>
      </c>
      <c r="AZ16" s="19" t="inlineStr">
        <is>
          <t>git merge feature/login</t>
        </is>
      </c>
      <c r="BA16" s="18" t="inlineStr">
        <is>
          <t>Make a commit on a test branch, merge it into main, and view it with git log.</t>
        </is>
      </c>
      <c r="BB16" s="19" t="inlineStr">
        <is>
          <t>Why does a fast-forward merge not create a new merge commit?</t>
        </is>
      </c>
      <c r="BC16" s="19" t="inlineStr">
        <is>
          <t>Because main made no new work, so Git just moves the pointer forward.</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67.5" customHeight="1">
      <c r="A17" s="17" t="inlineStr">
        <is>
          <t>GIT-022</t>
        </is>
      </c>
      <c r="B17" s="17" t="inlineStr">
        <is>
          <t>02 Branching &amp; Merging</t>
        </is>
      </c>
      <c r="C17" s="17" t="inlineStr">
        <is>
          <t>Intermediate</t>
        </is>
      </c>
      <c r="D17" s="17" t="n">
        <v>22</v>
      </c>
      <c r="E17" s="17" t="inlineStr">
        <is>
          <t>Claude knowledge</t>
        </is>
      </c>
      <c r="F17" s="18" t="inlineStr">
        <is>
          <t>git fetch</t>
        </is>
      </c>
      <c r="G17" s="18" t="inlineStr">
        <is>
          <t>Which command lets you see new remote commits without changing any of your own files?</t>
        </is>
      </c>
      <c r="H17" s="17" t="n"/>
      <c r="I17" s="18" t="inlineStr">
        <is>
          <t>Git command</t>
        </is>
      </c>
      <c r="J17" s="18" t="inlineStr">
        <is>
          <t>High</t>
        </is>
      </c>
      <c r="K17" s="18" t="n">
        <v>4</v>
      </c>
      <c r="L17" s="18" t="inlineStr">
        <is>
          <t>Fetch means to bring; Git downloads only new data from the remote into remote-tracking branches like origin/main and leaves your work alone.</t>
        </is>
      </c>
      <c r="M17" s="18" t="inlineStr">
        <is>
          <t>Fetch before a pull and run git log HEAD..origin/main to see what is coming.</t>
        </is>
      </c>
      <c r="N17" s="17" t="n"/>
      <c r="O17" s="18" t="inlineStr">
        <is>
          <t>Fetch is a postman who leaves the letters on your table without forcing you to open them.</t>
        </is>
      </c>
      <c r="P17" s="18" t="inlineStr">
        <is>
          <t>A delivery person leaves a parcel at the door and you open it later.</t>
        </is>
      </c>
      <c r="Q17" s="18" t="inlineStr">
        <is>
          <t>The safe relief of learning what is on the remote without touching your own work.</t>
        </is>
      </c>
      <c r="R17" s="18" t="inlineStr">
        <is>
          <t>git fetch downloads new commits from the remote but does not change your branch or files.</t>
        </is>
      </c>
      <c r="S17" s="17" t="n"/>
      <c r="T17" s="19" t="inlineStr">
        <is>
          <t>git fetch origin
git log HEAD..origin/main --oneline</t>
        </is>
      </c>
      <c r="U17" s="19" t="inlineStr">
        <is>
          <t>8b7d1e2 Fix refund rounding
5c3a2f0 Update README</t>
        </is>
      </c>
      <c r="V17" s="18" t="inlineStr">
        <is>
          <t>Fetch updates the remote-tracking branches. You can then look with git log or git diff, and decide whether to combine the changes with git merge or git rebase.</t>
        </is>
      </c>
      <c r="W17" s="18" t="inlineStr">
        <is>
          <t>Fetch only brings the news of what is new on the remote. Your files do not change until you merge yourself, so it is safer than pull.</t>
        </is>
      </c>
      <c r="X17" s="18" t="inlineStr">
        <is>
          <t>It is like visiting a shop to see whether new stock has arrived, without buying anything.</t>
        </is>
      </c>
      <c r="Y17" s="19" t="inlineStr">
        <is>
          <t>git fetch [&lt;remote&gt;]</t>
        </is>
      </c>
      <c r="Z17" s="18" t="inlineStr">
        <is>
          <t>git fetch = command | &lt;remote&gt; = origin | --all = all remotes</t>
        </is>
      </c>
      <c r="AA17" s="19" t="inlineStr">
        <is>
          <t>git fetch origin</t>
        </is>
      </c>
      <c r="AB17" s="19" t="inlineStr">
        <is>
          <t>git fetch --all</t>
        </is>
      </c>
      <c r="AC17" s="19" t="inlineStr">
        <is>
          <t>git fetch --prune</t>
        </is>
      </c>
      <c r="AD17" s="19" t="inlineStr">
        <is>
          <t>git fetch --prune   # clear deleted remote branches
git fetch origin pull/12/head   # the code of PR 12</t>
        </is>
      </c>
      <c r="AE17" s="18" t="inlineStr">
        <is>
          <t>git merge, git rebase, --prune, origin/main</t>
        </is>
      </c>
      <c r="AF17" s="18" t="inlineStr">
        <is>
          <t>git pull, git merge, git log</t>
        </is>
      </c>
      <c r="AG17" s="18" t="inlineStr">
        <is>
          <t>git pull (fetch plus merge)</t>
        </is>
      </c>
      <c r="AH17" s="18" t="inlineStr">
        <is>
          <t>git fetch, git pull, git merge, git remote, git push</t>
        </is>
      </c>
      <c r="AI17" s="18" t="inlineStr">
        <is>
          <t>Looking before a pull | Bringing a colleague's branch for review | CI scripts</t>
        </is>
      </c>
      <c r="AJ17" s="18" t="inlineStr">
        <is>
          <t>A: I am afraid pulling will break something. | B: Fetch first and check with log, then decide.</t>
        </is>
      </c>
      <c r="AK17" s="18" t="inlineStr">
        <is>
          <t>✗ After git fetch my files change to include the new commits → ✓ Fetch does not change files, and new commits sit in origin/main until you merge or rebase</t>
        </is>
      </c>
      <c r="AL17" s="18" t="inlineStr">
        <is>
          <t>git fetch vs git pull: fetch only downloads, pull downloads and merges.</t>
        </is>
      </c>
      <c r="AM17" s="18" t="inlineStr">
        <is>
          <t>Do not expect fetch to update your working files like pull does.</t>
        </is>
      </c>
      <c r="AN17" s="19" t="inlineStr">
        <is>
          <t>git fetch main origin</t>
        </is>
      </c>
      <c r="AO17" s="19" t="inlineStr">
        <is>
          <t>git fetch origin main</t>
        </is>
      </c>
      <c r="AP17" s="18" t="inlineStr">
        <is>
          <t>Fetch means just look, do not merge yet.</t>
        </is>
      </c>
      <c r="AQ17" s="18" t="inlineStr">
        <is>
          <t>Fetching before a merge to see which new commits are on the remote.</t>
        </is>
      </c>
      <c r="AR17" s="18" t="inlineStr">
        <is>
          <t>An interviewer may ask: What is the difference between fetch and pull?</t>
        </is>
      </c>
      <c r="AS17" s="18" t="inlineStr">
        <is>
          <t>It is like checking whether new stock has come in without buying.</t>
        </is>
      </c>
      <c r="AT17" s="18" t="inlineStr">
        <is>
          <t>Which command downloads new remote commits but does not change your current branch?</t>
        </is>
      </c>
      <c r="AU17" s="18" t="inlineStr">
        <is>
          <t>A) git clone B) git merge C) git fetch D) git pull</t>
        </is>
      </c>
      <c r="AV17" s="18" t="inlineStr">
        <is>
          <t>C</t>
        </is>
      </c>
      <c r="AW17" s="18" t="inlineStr">
        <is>
          <t>Fetch only downloads data, while pull also merges.</t>
        </is>
      </c>
      <c r="AX17" s="19" t="inlineStr">
        <is>
          <t>git ____ origin → fetch</t>
        </is>
      </c>
      <c r="AY17" s="18" t="inlineStr">
        <is>
          <t>Get the new data from origin but do not merge it.</t>
        </is>
      </c>
      <c r="AZ17" s="19" t="inlineStr">
        <is>
          <t>git fetch origin</t>
        </is>
      </c>
      <c r="BA17" s="18" t="inlineStr">
        <is>
          <t>After a git fetch, run git log HEAD..origin/main to see what is coming.</t>
        </is>
      </c>
      <c r="BB17" s="19" t="inlineStr">
        <is>
          <t>What does git fetch --prune do?</t>
        </is>
      </c>
      <c r="BC17" s="19" t="inlineStr">
        <is>
          <t>It removes stale references to remote branches that were deleted.</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81" customHeight="1">
      <c r="A18" s="17" t="inlineStr">
        <is>
          <t>GIT-028</t>
        </is>
      </c>
      <c r="B18" s="17" t="inlineStr">
        <is>
          <t>03 Collaboration</t>
        </is>
      </c>
      <c r="C18" s="17" t="inlineStr">
        <is>
          <t>Intermediate</t>
        </is>
      </c>
      <c r="D18" s="17" t="n">
        <v>28</v>
      </c>
      <c r="E18" s="17" t="inlineStr">
        <is>
          <t>Claude knowledge</t>
        </is>
      </c>
      <c r="F18" s="18" t="inlineStr">
        <is>
          <t>Syncing a fork with upstream</t>
        </is>
      </c>
      <c r="G18" s="18" t="inlineStr">
        <is>
          <t>How do you keep your fork up to date with the new commits of the original project?</t>
        </is>
      </c>
      <c r="H18" s="17" t="n"/>
      <c r="I18" s="18" t="inlineStr">
        <is>
          <t>Git workflow</t>
        </is>
      </c>
      <c r="J18" s="18" t="inlineStr">
        <is>
          <t>Medium</t>
        </is>
      </c>
      <c r="K18" s="18" t="n">
        <v>4</v>
      </c>
      <c r="L18" s="18" t="inlineStr">
        <is>
          <t>Once you fork, the original keeps moving ahead, so you add the original as an upstream remote and sync from it.</t>
        </is>
      </c>
      <c r="M18" s="18" t="inlineStr">
        <is>
          <t>Sync with upstream before you start new work to keep conflicts small.</t>
        </is>
      </c>
      <c r="N18" s="17" t="n"/>
      <c r="O18" s="18" t="inlineStr">
        <is>
          <t>Upstream is the spring from which your small stream keeps getting water.</t>
        </is>
      </c>
      <c r="P18" s="18" t="inlineStr">
        <is>
          <t>A big river with a small canal branching off it that keeps receiving fresh water.</t>
        </is>
      </c>
      <c r="Q18" s="18" t="inlineStr">
        <is>
          <t>The peace of working on the latest code instead of stale code.</t>
        </is>
      </c>
      <c r="R18" s="18" t="inlineStr">
        <is>
          <t>Syncing a fork means bringing the original repo's new commits into your fork.</t>
        </is>
      </c>
      <c r="S18" s="17" t="n"/>
      <c r="T18" s="19" t="inlineStr">
        <is>
          <t>git remote add upstream https://github.com/octocat/Hello-World.git
git fetch upstream
git switch main
git merge upstream/main
git push origin main</t>
        </is>
      </c>
      <c r="U18" s="19" t="inlineStr">
        <is>
          <t>From https://github.com/octocat/Hello-World
 * [new branch]      main -&gt; upstream/main
Fast-forward</t>
        </is>
      </c>
      <c r="V18" s="18" t="inlineStr">
        <is>
          <t>Origin is your fork and upstream is the original repo. You add upstream as a remote once, then fetch, merge into your main, and push to your fork whenever needed. GitHub's Sync fork button does the same.</t>
        </is>
      </c>
      <c r="W18" s="18" t="inlineStr">
        <is>
          <t>A fork is a one-time copy while the original keeps changing. So you add an upstream remote, fetch, merge, and push to your fork.</t>
        </is>
      </c>
      <c r="X18" s="18" t="inlineStr">
        <is>
          <t>It is like asking again for photocopies of the new pages in someone's notes.</t>
        </is>
      </c>
      <c r="Y18" s="19" t="inlineStr">
        <is>
          <t>git fetch upstream &amp;&amp; git merge upstream/main</t>
        </is>
      </c>
      <c r="Z18" s="18" t="inlineStr">
        <is>
          <t>upstream = remote of the original repo | origin = your fork | upstream/main = main branch of the original</t>
        </is>
      </c>
      <c r="AA18" s="19" t="inlineStr">
        <is>
          <t>git remote add upstream https://github.com/octocat/Hello-World.git</t>
        </is>
      </c>
      <c r="AB18" s="19" t="inlineStr">
        <is>
          <t>git fetch upstream</t>
        </is>
      </c>
      <c r="AC18" s="19" t="inlineStr">
        <is>
          <t>git merge upstream/main</t>
        </is>
      </c>
      <c r="AD18" s="19" t="inlineStr">
        <is>
          <t>git rebase upstream/main   # rebase instead of merge
git remote -v   # see both origin and upstream</t>
        </is>
      </c>
      <c r="AE18" s="18" t="inlineStr">
        <is>
          <t>git remote, git fetch, git merge, origin</t>
        </is>
      </c>
      <c r="AF18" s="18" t="inlineStr">
        <is>
          <t>fork, git remote, git fetch</t>
        </is>
      </c>
      <c r="AG18" s="18" t="inlineStr">
        <is>
          <t>The Sync fork button on GitHub</t>
        </is>
      </c>
      <c r="AH18" s="18" t="inlineStr">
        <is>
          <t>upstream, origin, fork, fetch, merge</t>
        </is>
      </c>
      <c r="AI18" s="18" t="inlineStr">
        <is>
          <t>Open-source contributions | Long-lived forks | Refreshing before a PR</t>
        </is>
      </c>
      <c r="AJ18" s="18" t="inlineStr">
        <is>
          <t>A: My fork has become outdated. | B: Add the upstream remote, fetch, merge, and push.</t>
        </is>
      </c>
      <c r="AK18" s="18" t="inlineStr">
        <is>
          <t>✗ A fork updates itself along with the original → ✓ A fork does not update itself, so you must fetch and merge from upstream or use the Sync fork button</t>
        </is>
      </c>
      <c r="AL18" s="18" t="inlineStr">
        <is>
          <t>origin vs upstream: origin is your fork, upstream is the original project you forked.</t>
        </is>
      </c>
      <c r="AM18" s="18" t="inlineStr">
        <is>
          <t>Do not try to push to the original project's main branch.</t>
        </is>
      </c>
      <c r="AN18" s="19" t="inlineStr">
        <is>
          <t>git remote add origin https://github.com/octocat/Hello-World.git</t>
        </is>
      </c>
      <c r="AO18" s="19" t="inlineStr">
        <is>
          <t>git remote add upstream https://github.com/octocat/Hello-World.git</t>
        </is>
      </c>
      <c r="AP18" s="18" t="inlineStr">
        <is>
          <t>Upstream is the spring at the top.</t>
        </is>
      </c>
      <c r="AQ18" s="18" t="inlineStr">
        <is>
          <t>Syncing your fork with upstream before opening an open-source PR.</t>
        </is>
      </c>
      <c r="AR18" s="18" t="inlineStr">
        <is>
          <t>An interviewer may ask: What is the difference between origin and upstream?</t>
        </is>
      </c>
      <c r="AS18" s="18" t="inlineStr">
        <is>
          <t>It is like asking for copies of the new pages of someone's notes.</t>
        </is>
      </c>
      <c r="AT18" s="18" t="inlineStr">
        <is>
          <t>In a fork workflow, what is the original project's remote usually named?</t>
        </is>
      </c>
      <c r="AU18" s="18" t="inlineStr">
        <is>
          <t>A) upstream B) origin C) backup D) master</t>
        </is>
      </c>
      <c r="AV18" s="18" t="inlineStr">
        <is>
          <t>A</t>
        </is>
      </c>
      <c r="AW18" s="18" t="inlineStr">
        <is>
          <t>Origin is your fork and upstream is the original repository.</t>
        </is>
      </c>
      <c r="AX18" s="19" t="inlineStr">
        <is>
          <t>git fetch ____ → upstream</t>
        </is>
      </c>
      <c r="AY18" s="18" t="inlineStr">
        <is>
          <t>Get the new commits of the original repo.</t>
        </is>
      </c>
      <c r="AZ18" s="19" t="inlineStr">
        <is>
          <t>git fetch upstream</t>
        </is>
      </c>
      <c r="BA18" s="18" t="inlineStr">
        <is>
          <t>Add an upstream remote to your fork, fetch, and look at git remote -v.</t>
        </is>
      </c>
      <c r="BB18" s="19" t="inlineStr">
        <is>
          <t>What command merges upstream/main into your main?</t>
        </is>
      </c>
      <c r="BC18" s="19" t="inlineStr">
        <is>
          <t>git merge upstream/main (while on the main branch)</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67.5" customHeight="1">
      <c r="A19" s="17" t="inlineStr">
        <is>
          <t>GIT-031</t>
        </is>
      </c>
      <c r="B19" s="17" t="inlineStr">
        <is>
          <t>04 Undo &amp; Fix Mistakes</t>
        </is>
      </c>
      <c r="C19" s="17" t="inlineStr">
        <is>
          <t>Intermediate</t>
        </is>
      </c>
      <c r="D19" s="17" t="n">
        <v>31</v>
      </c>
      <c r="E19" s="17" t="inlineStr">
        <is>
          <t>Claude knowledge</t>
        </is>
      </c>
      <c r="F19" s="18" t="inlineStr">
        <is>
          <t>git restore</t>
        </is>
      </c>
      <c r="G19" s="18" t="inlineStr">
        <is>
          <t>How do you put an accidentally changed file back to how it was in the last commit, or unstage a staged file?</t>
        </is>
      </c>
      <c r="H19" s="17" t="n"/>
      <c r="I19" s="18" t="inlineStr">
        <is>
          <t>Git command</t>
        </is>
      </c>
      <c r="J19" s="18" t="inlineStr">
        <is>
          <t>High</t>
        </is>
      </c>
      <c r="K19" s="18" t="n">
        <v>4</v>
      </c>
      <c r="L19" s="18" t="inlineStr">
        <is>
          <t>git checkout and git reset used to do many different jobs in one command, so newer Git added a clear, separate command, git restore, for bringing files back.</t>
        </is>
      </c>
      <c r="M19" s="18" t="inlineStr">
        <is>
          <t>Restore removes your change for good, so look at git diff first.</t>
        </is>
      </c>
      <c r="N19" s="17" t="n"/>
      <c r="O19" s="18" t="inlineStr">
        <is>
          <t>Restore is an undo button that puts the file back in its last clean condition.</t>
        </is>
      </c>
      <c r="P19" s="18" t="inlineStr">
        <is>
          <t>A smudge disappears from a damaged photo and it becomes clean again.</t>
        </is>
      </c>
      <c r="Q19" s="18" t="inlineStr">
        <is>
          <t>The relief of undoing a mistake with a single command.</t>
        </is>
      </c>
      <c r="R19" s="18" t="inlineStr">
        <is>
          <t>git restore puts a file back to the last commit or staged state.</t>
        </is>
      </c>
      <c r="S19" s="17" t="n"/>
      <c r="T19" s="19" t="inlineStr">
        <is>
          <t>git restore index.html
git restore --staged index.html</t>
        </is>
      </c>
      <c r="U19" s="19" t="inlineStr">
        <is>
          <t>(no output; the file is restored or unstaged)</t>
        </is>
      </c>
      <c r="V19" s="18" t="inlineStr">
        <is>
          <t>Without options, restore returns the working file to the staged or last committed version and throws away uncommitted changes. --staged takes the file out of the staging area but leaves its changes in the file.</t>
        </is>
      </c>
      <c r="W19" s="18" t="inlineStr">
        <is>
          <t>If a file got spoiled, git restore file makes it like the last commit again. Be careful, uncommitted changes do not come back.</t>
        </is>
      </c>
      <c r="X19" s="18" t="inlineStr">
        <is>
          <t>It is like erasing a pencil smudge and bringing the page back to clean.</t>
        </is>
      </c>
      <c r="Y19" s="19" t="inlineStr">
        <is>
          <t>git restore [--staged] &lt;path&gt;</t>
        </is>
      </c>
      <c r="Z19" s="18" t="inlineStr">
        <is>
          <t>git restore = command | --staged = remove from staging | &lt;path&gt; = the file</t>
        </is>
      </c>
      <c r="AA19" s="19" t="inlineStr">
        <is>
          <t>git restore style.css</t>
        </is>
      </c>
      <c r="AB19" s="19" t="inlineStr">
        <is>
          <t>git restore --staged style.css</t>
        </is>
      </c>
      <c r="AC19" s="19" t="inlineStr">
        <is>
          <t>git restore --source=HEAD~2 app.js</t>
        </is>
      </c>
      <c r="AD19" s="19" t="inlineStr">
        <is>
          <t>git restore .   # all changed files
git restore --source=&lt;commit&gt; &lt;file&gt;   # from an older version</t>
        </is>
      </c>
      <c r="AE19" s="18" t="inlineStr">
        <is>
          <t>--staged, --source, git status, git diff</t>
        </is>
      </c>
      <c r="AF19" s="18" t="inlineStr">
        <is>
          <t>git reset, git checkout, git stash</t>
        </is>
      </c>
      <c r="AG19" s="18" t="inlineStr">
        <is>
          <t>git checkout -- &lt;file&gt; (the old way)</t>
        </is>
      </c>
      <c r="AH19" s="18" t="inlineStr">
        <is>
          <t>git restore, git reset, git checkout, git revert, git stash</t>
        </is>
      </c>
      <c r="AI19" s="18" t="inlineStr">
        <is>
          <t>A file spoiled by mistake | Unstaging a file | Looking at an older version</t>
        </is>
      </c>
      <c r="AJ19" s="18" t="inlineStr">
        <is>
          <t>A: I messed up this file by accident. | B: Run git restore on it and it will match the last commit.</t>
        </is>
      </c>
      <c r="AK19" s="18" t="inlineStr">
        <is>
          <t>✗ git restore --staged also wipes the change out of the file → ✓ --staged only removes it from staging, and the change stays in the working file</t>
        </is>
      </c>
      <c r="AL19" s="18" t="inlineStr">
        <is>
          <t>git restore vs git revert: restore brings a file back, revert makes a new commit that undoes an old one.</t>
        </is>
      </c>
      <c r="AM19" s="18" t="inlineStr">
        <is>
          <t>Do not run git restore . without looking at the diff.</t>
        </is>
      </c>
      <c r="AN19" s="19" t="inlineStr">
        <is>
          <t>git restore --unstage index.html</t>
        </is>
      </c>
      <c r="AO19" s="19" t="inlineStr">
        <is>
          <t>git restore --staged index.html</t>
        </is>
      </c>
      <c r="AP19" s="18" t="inlineStr">
        <is>
          <t>Restore means Return to the previous clean version.</t>
        </is>
      </c>
      <c r="AQ19" s="18" t="inlineStr">
        <is>
          <t>Putting a config file that was changed by mistake back to the last commit.</t>
        </is>
      </c>
      <c r="AR19" s="18" t="inlineStr">
        <is>
          <t>An interviewer may ask: What is the difference between git restore and git reset?</t>
        </is>
      </c>
      <c r="AS19" s="18" t="inlineStr">
        <is>
          <t>It is like rubbing out a pencil smudge with an eraser.</t>
        </is>
      </c>
      <c r="AT19" s="18" t="inlineStr">
        <is>
          <t>Which command removes a file from staging but keeps its changes in the file?</t>
        </is>
      </c>
      <c r="AU19" s="18" t="inlineStr">
        <is>
          <t>A) git restore --staged file B) git revert file C) git restore file D) git clean file</t>
        </is>
      </c>
      <c r="AV19" s="18" t="inlineStr">
        <is>
          <t>A</t>
        </is>
      </c>
      <c r="AW19" s="18" t="inlineStr">
        <is>
          <t>The --staged flag only unstages it, and without it the change is erased.</t>
        </is>
      </c>
      <c r="AX19" s="19" t="inlineStr">
        <is>
          <t>git restore ____ style.css → --staged</t>
        </is>
      </c>
      <c r="AY19" s="18" t="inlineStr">
        <is>
          <t>Throw away the changes in app.js and make it like the last commit.</t>
        </is>
      </c>
      <c r="AZ19" s="19" t="inlineStr">
        <is>
          <t>git restore app.js</t>
        </is>
      </c>
      <c r="BA19" s="18" t="inlineStr">
        <is>
          <t>Change a file, undo it with git restore, and see what git status says.</t>
        </is>
      </c>
      <c r="BB19" s="19" t="inlineStr">
        <is>
          <t>What will git restore . do?</t>
        </is>
      </c>
      <c r="BC19" s="19" t="inlineStr">
        <is>
          <t>It discards the uncommitted changes of all tracked files.</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67.5" customHeight="1">
      <c r="A20" s="17" t="inlineStr">
        <is>
          <t>GIT-032</t>
        </is>
      </c>
      <c r="B20" s="17" t="inlineStr">
        <is>
          <t>04 Undo &amp; Fix Mistakes</t>
        </is>
      </c>
      <c r="C20" s="17" t="inlineStr">
        <is>
          <t>Intermediate</t>
        </is>
      </c>
      <c r="D20" s="17" t="n">
        <v>32</v>
      </c>
      <c r="E20" s="17" t="inlineStr">
        <is>
          <t>Claude knowledge</t>
        </is>
      </c>
      <c r="F20" s="18" t="inlineStr">
        <is>
          <t>git revert</t>
        </is>
      </c>
      <c r="G20" s="18" t="inlineStr">
        <is>
          <t>An earlier commit turned out to be wrong. What do you run to undo its effect without rewriting history?</t>
        </is>
      </c>
      <c r="H20" s="17" t="n"/>
      <c r="I20" s="18" t="inlineStr">
        <is>
          <t>Git command</t>
        </is>
      </c>
      <c r="J20" s="18" t="inlineStr">
        <is>
          <t>High</t>
        </is>
      </c>
      <c r="K20" s="18" t="n">
        <v>5</v>
      </c>
      <c r="L20" s="18" t="inlineStr">
        <is>
          <t>Rewriting history on a shared branch hurts other people, so Git added a safer way: a fresh commit doing the opposite of the old one while history stays intact.</t>
        </is>
      </c>
      <c r="M20" s="18" t="inlineStr">
        <is>
          <t>Use revert instead of reset for a commit that has already been pushed.</t>
        </is>
      </c>
      <c r="N20" s="17" t="n"/>
      <c r="O20" s="18" t="inlineStr">
        <is>
          <t>Revert is a new entry that says undo what was done, and the old entry is never erased.</t>
        </is>
      </c>
      <c r="P20" s="18" t="inlineStr">
        <is>
          <t>In a ledger, a mistaken entry is cancelled by a reverse entry written below it.</t>
        </is>
      </c>
      <c r="Q20" s="18" t="inlineStr">
        <is>
          <t>The comfort of fixing a mistake while history stays safe.</t>
        </is>
      </c>
      <c r="R20" s="18" t="inlineStr">
        <is>
          <t>git revert creates a new commit that undoes the effect of an earlier commit.</t>
        </is>
      </c>
      <c r="S20" s="17" t="n"/>
      <c r="T20" s="19" t="inlineStr">
        <is>
          <t>git revert 8b7d1e2
git log --oneline -2</t>
        </is>
      </c>
      <c r="U20" s="19" t="inlineStr">
        <is>
          <t>c4a8f19 Revert "Fix refund rounding"
8b7d1e2 Fix refund rounding</t>
        </is>
      </c>
      <c r="V20" s="18" t="inlineStr">
        <is>
          <t>Revert does not touch the old history. It adds a new commit doing the opposite of the old one, so it is safe for commits that were pushed. Reverting a merge commit needs the -m flag.</t>
        </is>
      </c>
      <c r="W20" s="18" t="inlineStr">
        <is>
          <t>Revert does not change history, it adds one more commit that cancels the bad change. Nobody else is disturbed.</t>
        </is>
      </c>
      <c r="X20" s="18" t="inlineStr">
        <is>
          <t>It is like writing a reverse entry under a wrong ledger entry.</t>
        </is>
      </c>
      <c r="Y20" s="19" t="inlineStr">
        <is>
          <t>git revert &lt;commit&gt;</t>
        </is>
      </c>
      <c r="Z20" s="18" t="inlineStr">
        <is>
          <t>git revert = command | &lt;commit&gt; = the commit to undo | -m 1 = parent for a merge commit</t>
        </is>
      </c>
      <c r="AA20" s="19" t="inlineStr">
        <is>
          <t>git revert 8b7d1e2</t>
        </is>
      </c>
      <c r="AB20" s="19" t="inlineStr">
        <is>
          <t>git revert HEAD</t>
        </is>
      </c>
      <c r="AC20" s="19" t="inlineStr">
        <is>
          <t>git revert -m 1 d9e0a31</t>
        </is>
      </c>
      <c r="AD20" s="19" t="inlineStr">
        <is>
          <t>git revert --no-commit HEAD~2..HEAD   # many commits into one
git revert --abort</t>
        </is>
      </c>
      <c r="AE20" s="18" t="inlineStr">
        <is>
          <t>git log, -m, --no-commit</t>
        </is>
      </c>
      <c r="AF20" s="18" t="inlineStr">
        <is>
          <t>git reset, git restore, git log</t>
        </is>
      </c>
      <c r="AG20" s="18" t="inlineStr">
        <is>
          <t>git reset (for local work only)</t>
        </is>
      </c>
      <c r="AH20" s="18" t="inlineStr">
        <is>
          <t>git revert, git reset, git restore, git commit, git log</t>
        </is>
      </c>
      <c r="AI20" s="18" t="inlineStr">
        <is>
          <t>A bad deploy in production | Fixing a shared branch | Release rollback</t>
        </is>
      </c>
      <c r="AJ20" s="18" t="inlineStr">
        <is>
          <t>A: A wrong commit went into main. | B: Undo it with git revert and the history stays safe.</t>
        </is>
      </c>
      <c r="AK20" s="18" t="inlineStr">
        <is>
          <t>✗ git revert deletes the commit from history → ✓ Revert does not delete history, it adds a new commit that has the opposite effect</t>
        </is>
      </c>
      <c r="AL20" s="18" t="inlineStr">
        <is>
          <t>git revert vs git reset: revert adds a reversing commit, reset pulls history backwards.</t>
        </is>
      </c>
      <c r="AM20" s="18" t="inlineStr">
        <is>
          <t>Do not use reset to rewrite a shared branch, use revert.</t>
        </is>
      </c>
      <c r="AN20" s="19" t="inlineStr">
        <is>
          <t>git revert 8b7d1e2 --delete</t>
        </is>
      </c>
      <c r="AO20" s="19" t="inlineStr">
        <is>
          <t>git revert 8b7d1e2</t>
        </is>
      </c>
      <c r="AP20" s="18" t="inlineStr">
        <is>
          <t>Revert means Reverse commit Recorded.</t>
        </is>
      </c>
      <c r="AQ20" s="18" t="inlineStr">
        <is>
          <t>Reverting the commit and pushing straight away after a bad production deploy.</t>
        </is>
      </c>
      <c r="AR20" s="18" t="inlineStr">
        <is>
          <t>An interviewer may ask: What is the difference between git revert and git reset?</t>
        </is>
      </c>
      <c r="AS20" s="18" t="inlineStr">
        <is>
          <t>It is like writing a reverse entry under a wrong ledger entry.</t>
        </is>
      </c>
      <c r="AT20" s="18" t="inlineStr">
        <is>
          <t>What is the safest way to undo a commit that has already been pushed?</t>
        </is>
      </c>
      <c r="AU20" s="18" t="inlineStr">
        <is>
          <t>A) git reset --hard B) git rm .git C) git revert D) git clean</t>
        </is>
      </c>
      <c r="AV20" s="18" t="inlineStr">
        <is>
          <t>C</t>
        </is>
      </c>
      <c r="AW20" s="18" t="inlineStr">
        <is>
          <t>Revert adds a new commit and does not change history.</t>
        </is>
      </c>
      <c r="AX20" s="19" t="inlineStr">
        <is>
          <t>git ____ HEAD → revert</t>
        </is>
      </c>
      <c r="AY20" s="18" t="inlineStr">
        <is>
          <t>Undo the effect of the last commit.</t>
        </is>
      </c>
      <c r="AZ20" s="19" t="inlineStr">
        <is>
          <t>git revert HEAD</t>
        </is>
      </c>
      <c r="BA20" s="18" t="inlineStr">
        <is>
          <t>Make a test commit, undo it with git revert, and look at git log.</t>
        </is>
      </c>
      <c r="BB20" s="19" t="inlineStr">
        <is>
          <t>Which flag is needed to revert a merge commit?</t>
        </is>
      </c>
      <c r="BC20" s="19" t="inlineStr">
        <is>
          <t>-m 1, which chooses the parent.</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94.5" customHeight="1">
      <c r="A21" s="17" t="inlineStr">
        <is>
          <t>GIT-033</t>
        </is>
      </c>
      <c r="B21" s="17" t="inlineStr">
        <is>
          <t>04 Undo &amp; Fix Mistakes</t>
        </is>
      </c>
      <c r="C21" s="17" t="inlineStr">
        <is>
          <t>Intermediate</t>
        </is>
      </c>
      <c r="D21" s="17" t="n">
        <v>33</v>
      </c>
      <c r="E21" s="17" t="inlineStr">
        <is>
          <t>Claude knowledge</t>
        </is>
      </c>
      <c r="F21" s="18" t="inlineStr">
        <is>
          <t>git reset</t>
        </is>
      </c>
      <c r="G21" s="18" t="inlineStr">
        <is>
          <t>Which command pulls HEAD back to undo commits or staging, and what are its three modes?</t>
        </is>
      </c>
      <c r="H21" s="17" t="n"/>
      <c r="I21" s="18" t="inlineStr">
        <is>
          <t>Git command</t>
        </is>
      </c>
      <c r="J21" s="18" t="inlineStr">
        <is>
          <t>Medium</t>
        </is>
      </c>
      <c r="K21" s="18" t="n">
        <v>4</v>
      </c>
      <c r="L21" s="18" t="inlineStr">
        <is>
          <t>Git keeps HEAD, the staging area and the working folder in three places, and reset moves them back, which is why it has --soft, --mixed and --hard modes.</t>
        </is>
      </c>
      <c r="M21" s="18" t="inlineStr">
        <is>
          <t>Before --hard, check git status and consider git stash, since uncommitted work does not come back.</t>
        </is>
      </c>
      <c r="N21" s="17" t="n"/>
      <c r="O21" s="18" t="inlineStr">
        <is>
          <t>Reset is a rewind button: soft rewinds only the commit, mixed also staging, hard everything.</t>
        </is>
      </c>
      <c r="P21" s="18" t="inlineStr">
        <is>
          <t>A video is dragged backwards at three different speeds, each leaving something behind.</t>
        </is>
      </c>
      <c r="Q21" s="18" t="inlineStr">
        <is>
          <t>The energy of leaving a mistake behind and starting afresh.</t>
        </is>
      </c>
      <c r="R21" s="18" t="inlineStr">
        <is>
          <t>git reset moves HEAD and the branch to an older commit and, depending on the mode, also changes staging and files.</t>
        </is>
      </c>
      <c r="S21" s="17" t="n"/>
      <c r="T21" s="19" t="inlineStr">
        <is>
          <t>git reset --soft HEAD~1   # keep changes staged
git reset --mixed HEAD~1   # keep changes unstaged
git reset --hard HEAD~1   # discard changes</t>
        </is>
      </c>
      <c r="U21" s="19" t="inlineStr">
        <is>
          <t>HEAD is now at 3f2a9c1 Add homepage heading</t>
        </is>
      </c>
      <c r="V21" s="18" t="inlineStr">
        <is>
          <t>--soft: the commit goes but the changes stay staged. --mixed (the default): the changes leave staging but stay in the files. --hard: the changes vanish from the files too. On pushed commits, reset rewrites history, so use it for local work only. These are three alternatives, so run only one of them.</t>
        </is>
      </c>
      <c r="W21" s="18" t="inlineStr">
        <is>
          <t>Reset takes your branch backwards. With soft your work stays staged, with mixed it stays in files, with hard it is wiped. Be careful with hard.</t>
        </is>
      </c>
      <c r="X21" s="18" t="inlineStr">
        <is>
          <t>It is like rewinding a video, where soft remembers the scene and hard forgets it all.</t>
        </is>
      </c>
      <c r="Y21" s="19" t="inlineStr">
        <is>
          <t>git reset [--soft|--mixed|--hard] &lt;commit&gt;</t>
        </is>
      </c>
      <c r="Z21" s="18" t="inlineStr">
        <is>
          <t>git reset = command | --soft/--mixed/--hard = mode | &lt;commit&gt; = where to go back to</t>
        </is>
      </c>
      <c r="AA21" s="19" t="inlineStr">
        <is>
          <t>git reset --soft HEAD~1</t>
        </is>
      </c>
      <c r="AB21" s="19" t="inlineStr">
        <is>
          <t>git reset HEAD~2</t>
        </is>
      </c>
      <c r="AC21" s="19" t="inlineStr">
        <is>
          <t>git reset --hard origin/main</t>
        </is>
      </c>
      <c r="AD21" s="19" t="inlineStr">
        <is>
          <t>git reset HEAD file.txt   # unstage a file
git reset --hard ORIG_HEAD   # undo a reset</t>
        </is>
      </c>
      <c r="AE21" s="18" t="inlineStr">
        <is>
          <t>HEAD~1, --soft, --hard, git reflog</t>
        </is>
      </c>
      <c r="AF21" s="18" t="inlineStr">
        <is>
          <t>git revert, git restore, git reflog</t>
        </is>
      </c>
      <c r="AG21" s="18" t="inlineStr">
        <is>
          <t>git revert (for shared branches)</t>
        </is>
      </c>
      <c r="AH21" s="18" t="inlineStr">
        <is>
          <t>git reset, git revert, git restore, git reflog, git stash</t>
        </is>
      </c>
      <c r="AI21" s="18" t="inlineStr">
        <is>
          <t>Changing the last local commit | Clearing the staging area | Making a branch match the remote</t>
        </is>
      </c>
      <c r="AJ21" s="18" t="inlineStr">
        <is>
          <t>A: I made a wrong commit but have not pushed yet. | B: Run git reset --soft HEAD~1 and your work stays staged.</t>
        </is>
      </c>
      <c r="AK21" s="18" t="inlineStr">
        <is>
          <t>✗ A commit erased with git reset --hard is lost forever → ✓ The commit can still be found in git reflog for a while and brought back, but uncommitted changes cannot</t>
        </is>
      </c>
      <c r="AL21" s="18" t="inlineStr">
        <is>
          <t>git reset vs git revert: reset pulls history backwards, revert adds a reversing commit.</t>
        </is>
      </c>
      <c r="AM21" s="18" t="inlineStr">
        <is>
          <t>Do not run git reset --hard on a pushed, shared branch.</t>
        </is>
      </c>
      <c r="AN21" s="19" t="inlineStr">
        <is>
          <t>git reset --hard HEAD~1 --keep-staged</t>
        </is>
      </c>
      <c r="AO21" s="19" t="inlineStr">
        <is>
          <t>git reset --soft HEAD~1</t>
        </is>
      </c>
      <c r="AP21" s="18" t="inlineStr">
        <is>
          <t>Soft keeps the work, Hard hurts the work.</t>
        </is>
      </c>
      <c r="AQ21" s="18" t="inlineStr">
        <is>
          <t>Soft-resetting a wrong last commit on a local feature branch and committing it again properly.</t>
        </is>
      </c>
      <c r="AR21" s="18" t="inlineStr">
        <is>
          <t>An interviewer may ask: What is the difference between soft, mixed and hard reset?</t>
        </is>
      </c>
      <c r="AS21" s="18" t="inlineStr">
        <is>
          <t>It is like rewinding a video to watch a scene again.</t>
        </is>
      </c>
      <c r="AT21" s="18" t="inlineStr">
        <is>
          <t>Which reset mode removes the commit but leaves the changes staged?</t>
        </is>
      </c>
      <c r="AU21" s="18" t="inlineStr">
        <is>
          <t>A) --soft B) --hard C) --mixed D) --keep</t>
        </is>
      </c>
      <c r="AV21" s="18" t="inlineStr">
        <is>
          <t>A</t>
        </is>
      </c>
      <c r="AW21" s="18" t="inlineStr">
        <is>
          <t>--soft moves only HEAD back, and staging and files remain.</t>
        </is>
      </c>
      <c r="AX21" s="19" t="inlineStr">
        <is>
          <t>git reset ____ HEAD~1 → --soft</t>
        </is>
      </c>
      <c r="AY21" s="18" t="inlineStr">
        <is>
          <t>Remove the last commit but keep the changes staged.</t>
        </is>
      </c>
      <c r="AZ21" s="19" t="inlineStr">
        <is>
          <t>git reset --soft HEAD~1</t>
        </is>
      </c>
      <c r="BA21" s="18" t="inlineStr">
        <is>
          <t>Try all three reset modes on a test branch and run git status each time.</t>
        </is>
      </c>
      <c r="BB21" s="19" t="inlineStr">
        <is>
          <t>What happens to uncommitted changes after git reset --hard HEAD~1?</t>
        </is>
      </c>
      <c r="BC21" s="19" t="inlineStr">
        <is>
          <t>They are lost for good.</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81" customHeight="1">
      <c r="A22" s="17" t="inlineStr">
        <is>
          <t>GIT-034</t>
        </is>
      </c>
      <c r="B22" s="17" t="inlineStr">
        <is>
          <t>04 Undo &amp; Fix Mistakes</t>
        </is>
      </c>
      <c r="C22" s="17" t="inlineStr">
        <is>
          <t>Intermediate</t>
        </is>
      </c>
      <c r="D22" s="17" t="n">
        <v>34</v>
      </c>
      <c r="E22" s="17" t="inlineStr">
        <is>
          <t>Claude knowledge</t>
        </is>
      </c>
      <c r="F22" s="18" t="inlineStr">
        <is>
          <t>git stash</t>
        </is>
      </c>
      <c r="G22" s="18" t="inlineStr">
        <is>
          <t>How do you set half-finished work aside without committing so you can switch branches?</t>
        </is>
      </c>
      <c r="H22" s="17" t="n"/>
      <c r="I22" s="18" t="inlineStr">
        <is>
          <t>Git command</t>
        </is>
      </c>
      <c r="J22" s="18" t="inlineStr">
        <is>
          <t>High</t>
        </is>
      </c>
      <c r="K22" s="18" t="n">
        <v>4</v>
      </c>
      <c r="L22" s="18" t="inlineStr">
        <is>
          <t>Stash means to hide away; developers often had to jump to another branch mid-task, so Git gave a way to tuck half-done work into a separate stack.</t>
        </is>
      </c>
      <c r="M22" s="18" t="inlineStr">
        <is>
          <t>Use git stash push -m "name" so you can recognise it later.</t>
        </is>
      </c>
      <c r="N22" s="17" t="n"/>
      <c r="O22" s="18" t="inlineStr">
        <is>
          <t>A stash is a drawer where you put an unfinished letter and take it out later.</t>
        </is>
      </c>
      <c r="P22" s="18" t="inlineStr">
        <is>
          <t>A heap of small slips on a pile, each slip a hidden piece of work.</t>
        </is>
      </c>
      <c r="Q22" s="18" t="inlineStr">
        <is>
          <t>The reassurance of not losing anything when switching tasks midway.</t>
        </is>
      </c>
      <c r="R22" s="18" t="inlineStr">
        <is>
          <t>git stash saves uncommitted changes onto a stack and cleans your working folder.</t>
        </is>
      </c>
      <c r="S22" s="17" t="n"/>
      <c r="T22" s="19" t="inlineStr">
        <is>
          <t>git stash push -m "wip login form"
git switch main
git stash pop</t>
        </is>
      </c>
      <c r="U22" s="19" t="inlineStr">
        <is>
          <t>Saved working directory and index state On feature/login: wip login form
On branch main
Dropped refs/stash@{0}</t>
        </is>
      </c>
      <c r="V22" s="18" t="inlineStr">
        <is>
          <t>Stash stores tracked changes (and with -u, untracked files too) on a stack. You list them with git stash list, bring one back and remove it with git stash pop, or bring it back and keep it with git stash apply.</t>
        </is>
      </c>
      <c r="W22" s="18" t="inlineStr">
        <is>
          <t>If another task suddenly arrives, stash your work, switch branches, do the other job, then come back and run git stash pop.</t>
        </is>
      </c>
      <c r="X22" s="18" t="inlineStr">
        <is>
          <t>It is like putting an unfinished letter in a drawer and taking it out later.</t>
        </is>
      </c>
      <c r="Y22" s="19" t="inlineStr">
        <is>
          <t>git stash [push|pop|apply|list]</t>
        </is>
      </c>
      <c r="Z22" s="18" t="inlineStr">
        <is>
          <t>git stash push = hide away | pop = bring back and remove | apply = bring back and keep | list = show the list</t>
        </is>
      </c>
      <c r="AA22" s="19" t="inlineStr">
        <is>
          <t>git stash</t>
        </is>
      </c>
      <c r="AB22" s="19" t="inlineStr">
        <is>
          <t>git stash push -m "wip search"</t>
        </is>
      </c>
      <c r="AC22" s="19" t="inlineStr">
        <is>
          <t>git stash apply stash@{1}</t>
        </is>
      </c>
      <c r="AD22" s="19" t="inlineStr">
        <is>
          <t>git stash -u   # include untracked files
git stash list   # the list
git stash drop stash@{0}   # remove one</t>
        </is>
      </c>
      <c r="AE22" s="18" t="inlineStr">
        <is>
          <t>pop, apply, list, -u</t>
        </is>
      </c>
      <c r="AF22" s="18" t="inlineStr">
        <is>
          <t>git switch, git restore, git commit</t>
        </is>
      </c>
      <c r="AG22" s="18" t="inlineStr">
        <is>
          <t>Making a WIP commit and amending it later</t>
        </is>
      </c>
      <c r="AH22" s="18" t="inlineStr">
        <is>
          <t>git stash, git stash pop, git stash apply, git switch, git restore</t>
        </is>
      </c>
      <c r="AI22" s="18" t="inlineStr">
        <is>
          <t>Before changing branches | Before a pull | For a sudden bug fix</t>
        </is>
      </c>
      <c r="AJ22" s="18" t="inlineStr">
        <is>
          <t>A: I am halfway through and need to fix a bug right now. | B: Stash your work, switch branches, and bring it back later with git stash pop.</t>
        </is>
      </c>
      <c r="AK22" s="18" t="inlineStr">
        <is>
          <t>✗ git stash also hides new untracked files automatically → ✓ Without the -u flag, stash saves only changes to tracked files</t>
        </is>
      </c>
      <c r="AL22" s="18" t="inlineStr">
        <is>
          <t>stash pop vs stash apply: pop restores the changes and removes the stash, apply restores them but keeps the stash.</t>
        </is>
      </c>
      <c r="AM22" s="18" t="inlineStr">
        <is>
          <t>Do not pile up many unnamed stashes.</t>
        </is>
      </c>
      <c r="AN22" s="19" t="inlineStr">
        <is>
          <t>git stash save pop</t>
        </is>
      </c>
      <c r="AO22" s="19" t="inlineStr">
        <is>
          <t>git stash pop</t>
        </is>
      </c>
      <c r="AP22" s="18" t="inlineStr">
        <is>
          <t>Stash tucks it away, Pop brings it back.</t>
        </is>
      </c>
      <c r="AQ22" s="18" t="inlineStr">
        <is>
          <t>Stashing half-done work to fix something on another branch after a review comment.</t>
        </is>
      </c>
      <c r="AR22" s="18" t="inlineStr">
        <is>
          <t>An interviewer may ask: What is the difference between git stash pop and git stash apply?</t>
        </is>
      </c>
      <c r="AS22" s="18" t="inlineStr">
        <is>
          <t>It is like putting an unfinished letter in a drawer.</t>
        </is>
      </c>
      <c r="AT22" s="18" t="inlineStr">
        <is>
          <t>Which command brings a stash back and removes it from the stack?</t>
        </is>
      </c>
      <c r="AU22" s="18" t="inlineStr">
        <is>
          <t>A) git stash list B) git stash pop C) git stash push D) git stash apply</t>
        </is>
      </c>
      <c r="AV22" s="18" t="inlineStr">
        <is>
          <t>B</t>
        </is>
      </c>
      <c r="AW22" s="18" t="inlineStr">
        <is>
          <t>Pop restores the changes and deletes that stash entry.</t>
        </is>
      </c>
      <c r="AX22" s="19" t="inlineStr">
        <is>
          <t>git stash ____ -m "wip" → push</t>
        </is>
      </c>
      <c r="AY22" s="18" t="inlineStr">
        <is>
          <t>Stash your changes under the name wip navbar.</t>
        </is>
      </c>
      <c r="AZ22" s="19" t="inlineStr">
        <is>
          <t>git stash push -m "wip navbar"</t>
        </is>
      </c>
      <c r="BA22" s="18" t="inlineStr">
        <is>
          <t>Stash a change, look at git stash list, and bring it back with pop.</t>
        </is>
      </c>
      <c r="BB22" s="19" t="inlineStr">
        <is>
          <t>What is the flag to stash untracked files too?</t>
        </is>
      </c>
      <c r="BC22" s="19" t="inlineStr">
        <is>
          <t>-u (or --include-untracked).</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row r="23" ht="67.5" customHeight="1">
      <c r="A23" s="17" t="inlineStr">
        <is>
          <t>GIT-035</t>
        </is>
      </c>
      <c r="B23" s="17" t="inlineStr">
        <is>
          <t>04 Undo &amp; Fix Mistakes</t>
        </is>
      </c>
      <c r="C23" s="17" t="inlineStr">
        <is>
          <t>Intermediate</t>
        </is>
      </c>
      <c r="D23" s="17" t="n">
        <v>35</v>
      </c>
      <c r="E23" s="17" t="inlineStr">
        <is>
          <t>Claude knowledge</t>
        </is>
      </c>
      <c r="F23" s="18" t="inlineStr">
        <is>
          <t>git commit --amend</t>
        </is>
      </c>
      <c r="G23" s="18" t="inlineStr">
        <is>
          <t>What lets you change the message of the commit you just made, or add a file you forgot to it?</t>
        </is>
      </c>
      <c r="H23" s="17" t="n"/>
      <c r="I23" s="18" t="inlineStr">
        <is>
          <t>Git command</t>
        </is>
      </c>
      <c r="J23" s="18" t="inlineStr">
        <is>
          <t>Medium</t>
        </is>
      </c>
      <c r="K23" s="18" t="n">
        <v>4</v>
      </c>
      <c r="L23" s="18" t="inlineStr">
        <is>
          <t>Right after committing you often spot a typo or a forgotten file, and instead of making a new commit, amend replaces the last commit.</t>
        </is>
      </c>
      <c r="M23" s="18" t="inlineStr">
        <is>
          <t>Amend only a commit that has not been pushed yet.</t>
        </is>
      </c>
      <c r="N23" s="17" t="n"/>
      <c r="O23" s="18" t="inlineStr">
        <is>
          <t>Amend is a correction pen that fixes the last line you just wrote.</t>
        </is>
      </c>
      <c r="P23" s="18" t="inlineStr">
        <is>
          <t>A written line is crossed out and a corrected word is written over it.</t>
        </is>
      </c>
      <c r="Q23" s="18" t="inlineStr">
        <is>
          <t>The relief of quietly fixing a small mistake.</t>
        </is>
      </c>
      <c r="R23" s="18" t="inlineStr">
        <is>
          <t>git commit --amend replaces the last commit with a new message or new changes.</t>
        </is>
      </c>
      <c r="S23" s="17" t="n"/>
      <c r="T23" s="19" t="inlineStr">
        <is>
          <t>git add forgotten.js
git commit --amend --no-edit</t>
        </is>
      </c>
      <c r="U23" s="19" t="inlineStr">
        <is>
          <t>[main 9d2c3b1] Add login form
 Date: Mon Oct 5 10:12:00 2026
 2 files changed, 20 insertions(+)</t>
        </is>
      </c>
      <c r="V23" s="18" t="inlineStr">
        <is>
          <t>Amend replaces the last commit with a new one, so the hash changes. If you amend a pushed commit, history changes and you would need a force push, which is wrong for a shared branch.</t>
        </is>
      </c>
      <c r="W23" s="18" t="inlineStr">
        <is>
          <t>If you spot a mistake right after committing, amend the same commit. Do it only when the commit has not been pushed.</t>
        </is>
      </c>
      <c r="X23" s="18" t="inlineStr">
        <is>
          <t>It is like rubbing out the last line and writing it again.</t>
        </is>
      </c>
      <c r="Y23" s="19" t="inlineStr">
        <is>
          <t>git commit --amend [-m "&lt;message&gt;"] [--no-edit]</t>
        </is>
      </c>
      <c r="Z23" s="18" t="inlineStr">
        <is>
          <t>--amend = change the last commit | -m = new message | --no-edit = keep the message</t>
        </is>
      </c>
      <c r="AA23" s="19" t="inlineStr">
        <is>
          <t>git commit --amend -m "Add login form validation"</t>
        </is>
      </c>
      <c r="AB23" s="19" t="inlineStr">
        <is>
          <t>git commit --amend --no-edit</t>
        </is>
      </c>
      <c r="AC23" s="19" t="inlineStr">
        <is>
          <t>git commit --amend --author="Asha &lt;asha@example.com&gt;"</t>
        </is>
      </c>
      <c r="AD23" s="19" t="inlineStr">
        <is>
          <t>git commit --amend --no-edit   # only add the newly staged file
git commit --amend --reset-author</t>
        </is>
      </c>
      <c r="AE23" s="18" t="inlineStr">
        <is>
          <t>git add, --no-edit, -m</t>
        </is>
      </c>
      <c r="AF23" s="18" t="inlineStr">
        <is>
          <t>git reset, git rebase -i, git push --force-with-lease</t>
        </is>
      </c>
      <c r="AG23" s="18" t="inlineStr">
        <is>
          <t>Making a new commit</t>
        </is>
      </c>
      <c r="AH23" s="18" t="inlineStr">
        <is>
          <t>git commit, git commit --amend, git reset, git rebase, git push</t>
        </is>
      </c>
      <c r="AI23" s="18" t="inlineStr">
        <is>
          <t>Right after a commit | A typo in the message | Adding a forgotten file</t>
        </is>
      </c>
      <c r="AJ23" s="18" t="inlineStr">
        <is>
          <t>A: I forgot a file in my commit. | B: Add the file and run git commit --amend --no-edit.</t>
        </is>
      </c>
      <c r="AK23" s="18" t="inlineStr">
        <is>
          <t>✗ It is safe to amend a pushed commit → ✓ Amending after a push rewrites history and needs a force push, which can trouble other people</t>
        </is>
      </c>
      <c r="AL23" s="18" t="inlineStr">
        <is>
          <t>amend vs a new commit: amend replaces the old one, a new commit adds another entry to history.</t>
        </is>
      </c>
      <c r="AM23" s="18" t="inlineStr">
        <is>
          <t>Do not amend and then force push on a shared branch.</t>
        </is>
      </c>
      <c r="AN23" s="19" t="inlineStr">
        <is>
          <t>git commit --amend -a --push</t>
        </is>
      </c>
      <c r="AO23" s="19" t="inlineStr">
        <is>
          <t>git commit --amend --no-edit</t>
        </is>
      </c>
      <c r="AP23" s="18" t="inlineStr">
        <is>
          <t>Amend means fix the last one and Move on.</t>
        </is>
      </c>
      <c r="AQ23" s="18" t="inlineStr">
        <is>
          <t>Fixing a typo in the message right after committing with amend.</t>
        </is>
      </c>
      <c r="AR23" s="18" t="inlineStr">
        <is>
          <t>An interviewer may ask: Why does the commit hash change after an amend?</t>
        </is>
      </c>
      <c r="AS23" s="18" t="inlineStr">
        <is>
          <t>It is like rubbing out the last line and writing it again.</t>
        </is>
      </c>
      <c r="AT23" s="18" t="inlineStr">
        <is>
          <t>Which command adds a forgotten file to the last commit and keeps the message?</t>
        </is>
      </c>
      <c r="AU23" s="18" t="inlineStr">
        <is>
          <t>A) git push --amend B) git reset --hard C) git revert HEAD D) git commit --amend --no-edit</t>
        </is>
      </c>
      <c r="AV23" s="18" t="inlineStr">
        <is>
          <t>D</t>
        </is>
      </c>
      <c r="AW23" s="18" t="inlineStr">
        <is>
          <t>Add the file and then amend --no-edit puts it in the last commit.</t>
        </is>
      </c>
      <c r="AX23" s="19" t="inlineStr">
        <is>
          <t>git commit ____ --no-edit → --amend</t>
        </is>
      </c>
      <c r="AY23" s="18" t="inlineStr">
        <is>
          <t>Change the last commit's message to Fix typo.</t>
        </is>
      </c>
      <c r="AZ23" s="19" t="inlineStr">
        <is>
          <t>git commit --amend -m "Fix typo"</t>
        </is>
      </c>
      <c r="BA23" s="18" t="inlineStr">
        <is>
          <t>Make a commit with a typo in the message and fix it with amend.</t>
        </is>
      </c>
      <c r="BB23" s="19" t="inlineStr">
        <is>
          <t>Does the commit hash change after an amend, or stay the same?</t>
        </is>
      </c>
      <c r="BC23" s="19" t="inlineStr">
        <is>
          <t>It changes, because a new commit is created.</t>
        </is>
      </c>
      <c r="BD23" s="17">
        <f>IF(K23="","",REPT("★",K23)&amp;REPT("☆",5-K23)&amp;" ("&amp;K23&amp;"/5)")</f>
        <v/>
      </c>
      <c r="BE23" s="17">
        <f>IF(S23="","","Meaning: "&amp;S23&amp;"  =  ______   (Answer: "&amp;F23&amp;")")</f>
        <v/>
      </c>
      <c r="BF23" s="17" t="inlineStr">
        <is>
          <t>New</t>
        </is>
      </c>
      <c r="BG23" s="17" t="n"/>
      <c r="BH23" s="17" t="n"/>
      <c r="BI23" s="17" t="n"/>
      <c r="BJ23" s="17" t="n"/>
      <c r="BK23" s="17" t="n"/>
      <c r="BL23" s="17" t="n"/>
      <c r="BM23" s="17" t="n"/>
      <c r="BN23" s="17" t="n"/>
    </row>
    <row r="24" ht="67.5" customHeight="1">
      <c r="A24" s="17" t="inlineStr">
        <is>
          <t>GIT-036</t>
        </is>
      </c>
      <c r="B24" s="17" t="inlineStr">
        <is>
          <t>05 Advanced Git</t>
        </is>
      </c>
      <c r="C24" s="17" t="inlineStr">
        <is>
          <t>Advanced</t>
        </is>
      </c>
      <c r="D24" s="17" t="n">
        <v>36</v>
      </c>
      <c r="E24" s="17" t="inlineStr">
        <is>
          <t>Claude knowledge</t>
        </is>
      </c>
      <c r="F24" s="18" t="inlineStr">
        <is>
          <t>git rebase</t>
        </is>
      </c>
      <c r="G24" s="18" t="inlineStr">
        <is>
          <t>How do you replay your branch's commits on top of another branch's latest work without creating a merge commit?</t>
        </is>
      </c>
      <c r="H24" s="17" t="n"/>
      <c r="I24" s="18" t="inlineStr">
        <is>
          <t>Git command</t>
        </is>
      </c>
      <c r="J24" s="18" t="inlineStr">
        <is>
          <t>High</t>
        </is>
      </c>
      <c r="K24" s="18" t="n">
        <v>4</v>
      </c>
      <c r="L24" s="18" t="inlineStr">
        <is>
          <t>A merge adds a joining commit and can tangle the history of long-lived branches, so rebase rewrites your commits onto a new base to keep history in one straight line.</t>
        </is>
      </c>
      <c r="M24" s="18" t="inlineStr">
        <is>
          <t>Rebase only a branch that is yours alone and has not been pushed.</t>
        </is>
      </c>
      <c r="N24" s="17" t="n"/>
      <c r="O24" s="18" t="inlineStr">
        <is>
          <t>Rebase picks up your commits and sets them down again on fresh ground.</t>
        </is>
      </c>
      <c r="P24" s="18" t="inlineStr">
        <is>
          <t>Train carriages are lifted off one track and coupled to the front of another.</t>
        </is>
      </c>
      <c r="Q24" s="18" t="inlineStr">
        <is>
          <t>The satisfaction of a neat, straight history.</t>
        </is>
      </c>
      <c r="R24" s="18" t="inlineStr">
        <is>
          <t>git rebase replays the commits of the current branch on top of another branch.</t>
        </is>
      </c>
      <c r="S24" s="17" t="n"/>
      <c r="T24" s="19" t="inlineStr">
        <is>
          <t>git switch feature/login
git rebase main</t>
        </is>
      </c>
      <c r="U24" s="19" t="inlineStr">
        <is>
          <t>Successfully rebased and updated refs/heads/feature/login.</t>
        </is>
      </c>
      <c r="V24" s="18" t="inlineStr">
        <is>
          <t>Rebase rebuilds each commit on the new base with a new hash. The history looks straight but the hashes change. Rebasing a pushed branch needs a force push, so do it only on private branches.</t>
        </is>
      </c>
      <c r="W24" s="18" t="inlineStr">
        <is>
          <t>Rebase makes your feature branch look as if you had started your work after main's latest code. The history is clean, but your commits are rewritten.</t>
        </is>
      </c>
      <c r="X24" s="18" t="inlineStr">
        <is>
          <t>It is like copying your own pages to the end of a newer book.</t>
        </is>
      </c>
      <c r="Y24" s="19" t="inlineStr">
        <is>
          <t>git rebase &lt;base-branch&gt;</t>
        </is>
      </c>
      <c r="Z24" s="18" t="inlineStr">
        <is>
          <t>git rebase = command | &lt;base-branch&gt; = the branch to place your commits on</t>
        </is>
      </c>
      <c r="AA24" s="19" t="inlineStr">
        <is>
          <t>git rebase main</t>
        </is>
      </c>
      <c r="AB24" s="19" t="inlineStr">
        <is>
          <t>git rebase --continue</t>
        </is>
      </c>
      <c r="AC24" s="19" t="inlineStr">
        <is>
          <t>git rebase --onto main old-base feature</t>
        </is>
      </c>
      <c r="AD24" s="19" t="inlineStr">
        <is>
          <t>git rebase --abort   # stop
git pull --rebase   # pull with rebase</t>
        </is>
      </c>
      <c r="AE24" s="18" t="inlineStr">
        <is>
          <t>--continue, --abort, git pull --rebase</t>
        </is>
      </c>
      <c r="AF24" s="18" t="inlineStr">
        <is>
          <t>git merge, git rebase -i, git reflog</t>
        </is>
      </c>
      <c r="AG24" s="18" t="inlineStr">
        <is>
          <t>git merge</t>
        </is>
      </c>
      <c r="AH24" s="18" t="inlineStr">
        <is>
          <t>git rebase, git merge, git cherry-pick, git reflog, git pull</t>
        </is>
      </c>
      <c r="AI24" s="18" t="inlineStr">
        <is>
          <t>Updating a feature branch from main | Keeping history clean | Before a PR</t>
        </is>
      </c>
      <c r="AJ24" s="18" t="inlineStr">
        <is>
          <t>A: My branch has fallen behind main. | B: Run git rebase main and your commits will sit on top of main.</t>
        </is>
      </c>
      <c r="AK24" s="18" t="inlineStr">
        <is>
          <t>✗ Rebase and merge give the same result → ✓ Rebase straightens history but changes the commit hashes, while merge keeps the original commits</t>
        </is>
      </c>
      <c r="AL24" s="18" t="inlineStr">
        <is>
          <t>rebase vs merge: merge joins histories, rebase rewrites commits on a new base.</t>
        </is>
      </c>
      <c r="AM24" s="18" t="inlineStr">
        <is>
          <t>Do not rebase a shared or already pushed branch.</t>
        </is>
      </c>
      <c r="AN24" s="19" t="inlineStr">
        <is>
          <t>git rebase feature main --push</t>
        </is>
      </c>
      <c r="AO24" s="19" t="inlineStr">
        <is>
          <t>git rebase main</t>
        </is>
      </c>
      <c r="AP24" s="18" t="inlineStr">
        <is>
          <t>Rebase means setting a new base.</t>
        </is>
      </c>
      <c r="AQ24" s="18" t="inlineStr">
        <is>
          <t>Rebasing a feature branch onto the latest main before the PR so the history stays straight.</t>
        </is>
      </c>
      <c r="AR24" s="18" t="inlineStr">
        <is>
          <t>An interviewer may ask: What is the golden rule of rebase?</t>
        </is>
      </c>
      <c r="AS24" s="18" t="inlineStr">
        <is>
          <t>It is like copying your own pages to the end of a new book.</t>
        </is>
      </c>
      <c r="AT24" s="18" t="inlineStr">
        <is>
          <t>On which kind of branch should you not rebase?</t>
        </is>
      </c>
      <c r="AU24" s="18" t="inlineStr">
        <is>
          <t>A) Only your own local branch B) A newly made branch C) A branch shared with others D) A branch before it is pushed</t>
        </is>
      </c>
      <c r="AV24" s="18" t="inlineStr">
        <is>
          <t>C</t>
        </is>
      </c>
      <c r="AW24" s="18" t="inlineStr">
        <is>
          <t>Rebasing a shared branch changes commit hashes and troubles other people.</t>
        </is>
      </c>
      <c r="AX24" s="19" t="inlineStr">
        <is>
          <t>git ____ main → rebase</t>
        </is>
      </c>
      <c r="AY24" s="18" t="inlineStr">
        <is>
          <t>Rebase the current branch onto main.</t>
        </is>
      </c>
      <c r="AZ24" s="19" t="inlineStr">
        <is>
          <t>git rebase main</t>
        </is>
      </c>
      <c r="BA24" s="18" t="inlineStr">
        <is>
          <t>Make a test branch, add a commit on main, rebase the branch, and look at git log --graph.</t>
        </is>
      </c>
      <c r="BB24" s="19" t="inlineStr">
        <is>
          <t>Why do the hashes of commits change after a rebase?</t>
        </is>
      </c>
      <c r="BC24" s="19" t="inlineStr">
        <is>
          <t>Because the commits are rebuilt on a new base.</t>
        </is>
      </c>
      <c r="BD24" s="17">
        <f>IF(K24="","",REPT("★",K24)&amp;REPT("☆",5-K24)&amp;" ("&amp;K24&amp;"/5)")</f>
        <v/>
      </c>
      <c r="BE24" s="17">
        <f>IF(S24="","","Meaning: "&amp;S24&amp;"  =  ______   (Answer: "&amp;F24&amp;")")</f>
        <v/>
      </c>
      <c r="BF24" s="17" t="inlineStr">
        <is>
          <t>New</t>
        </is>
      </c>
      <c r="BG24" s="17" t="n"/>
      <c r="BH24" s="17" t="n"/>
      <c r="BI24" s="17" t="n"/>
      <c r="BJ24" s="17" t="n"/>
      <c r="BK24" s="17" t="n"/>
      <c r="BL24" s="17" t="n"/>
      <c r="BM24" s="17" t="n"/>
      <c r="BN24" s="17" t="n"/>
    </row>
    <row r="25" ht="94.5" customHeight="1">
      <c r="A25" s="17" t="inlineStr">
        <is>
          <t>GIT-037</t>
        </is>
      </c>
      <c r="B25" s="17" t="inlineStr">
        <is>
          <t>05 Advanced Git</t>
        </is>
      </c>
      <c r="C25" s="17" t="inlineStr">
        <is>
          <t>Advanced</t>
        </is>
      </c>
      <c r="D25" s="17" t="n">
        <v>37</v>
      </c>
      <c r="E25" s="17" t="inlineStr">
        <is>
          <t>Claude knowledge</t>
        </is>
      </c>
      <c r="F25" s="18" t="inlineStr">
        <is>
          <t>git rebase -i (interactive rebase)</t>
        </is>
      </c>
      <c r="G25" s="18" t="inlineStr">
        <is>
          <t>Which rebase lets you combine several small commits, reword messages, or reorder them?</t>
        </is>
      </c>
      <c r="H25" s="17" t="n"/>
      <c r="I25" s="18" t="inlineStr">
        <is>
          <t>Git command</t>
        </is>
      </c>
      <c r="J25" s="18" t="inlineStr">
        <is>
          <t>Medium</t>
        </is>
      </c>
      <c r="K25" s="18" t="n">
        <v>4</v>
      </c>
      <c r="L25" s="18" t="inlineStr">
        <is>
          <t>History needs tidying before you send a PR, so interactive rebase opens an editor where you give each commit an instruction such as pick, squash or reword.</t>
        </is>
      </c>
      <c r="M25" s="18" t="inlineStr">
        <is>
          <t>Tidy history only on your own private branch, and remember git reflog as your safety net.</t>
        </is>
      </c>
      <c r="N25" s="17" t="n"/>
      <c r="O25" s="18" t="inlineStr">
        <is>
          <t>Interactive rebase is an editor table where you write beside each commit what should happen to it.</t>
        </is>
      </c>
      <c r="P25" s="18" t="inlineStr">
        <is>
          <t>A list where pick, squash or reword is written beside each commit.</t>
        </is>
      </c>
      <c r="Q25" s="18" t="inlineStr">
        <is>
          <t>The pride of handing over a polished history.</t>
        </is>
      </c>
      <c r="R25" s="18" t="inlineStr">
        <is>
          <t>git rebase -i lets you pick, squash, reword, drop or reorder commits in an editor.</t>
        </is>
      </c>
      <c r="S25" s="17" t="n"/>
      <c r="T25" s="19" t="inlineStr">
        <is>
          <t>git rebase -i HEAD~3</t>
        </is>
      </c>
      <c r="U25" s="19" t="inlineStr">
        <is>
          <t>pick 3f2a9c1 Add form
squash 8b7d1e2 Fix typo
reword 5c3a2f0 wip</t>
        </is>
      </c>
      <c r="V25" s="18" t="inlineStr">
        <is>
          <t>In the editor you write pick, reword, squash, fixup or drop beside each commit. squash joins a commit into the previous one, fixup does so without its message, reword changes the message, and drop removes the commit. The hashes change, so use it only on private branches.</t>
        </is>
      </c>
      <c r="W25" s="18" t="inlineStr">
        <is>
          <t>With interactive rebase you tidy your history before a PR: join small fix typo commits into the main one and write a good message.</t>
        </is>
      </c>
      <c r="X25" s="18" t="inlineStr">
        <is>
          <t>It is like editing a rough draft into a final copy.</t>
        </is>
      </c>
      <c r="Y25" s="19" t="inlineStr">
        <is>
          <t>git rebase -i &lt;commit&gt;</t>
        </is>
      </c>
      <c r="Z25" s="18" t="inlineStr">
        <is>
          <t>git rebase -i = interactive | &lt;commit&gt; = the point after which commits are edited | pick/squash/reword = instructions</t>
        </is>
      </c>
      <c r="AA25" s="19" t="inlineStr">
        <is>
          <t>git rebase -i HEAD~3</t>
        </is>
      </c>
      <c r="AB25" s="19" t="inlineStr">
        <is>
          <t>git rebase -i main</t>
        </is>
      </c>
      <c r="AC25" s="19" t="inlineStr">
        <is>
          <t>git rebase -i --autosquash main</t>
        </is>
      </c>
      <c r="AD25" s="19" t="inlineStr">
        <is>
          <t>git commit --fixup &lt;hash&gt;   # for autosquash later
git rebase --continue</t>
        </is>
      </c>
      <c r="AE25" s="18" t="inlineStr">
        <is>
          <t>HEAD~N, squash, fixup, reword</t>
        </is>
      </c>
      <c r="AF25" s="18" t="inlineStr">
        <is>
          <t>git rebase, git commit --amend, git reflog</t>
        </is>
      </c>
      <c r="AG25" s="18" t="inlineStr">
        <is>
          <t>Squash and merge on GitHub</t>
        </is>
      </c>
      <c r="AH25" s="18" t="inlineStr">
        <is>
          <t>git rebase -i, squash, fixup, reword, drop</t>
        </is>
      </c>
      <c r="AI25" s="18" t="inlineStr">
        <is>
          <t>Tidying before a PR | Joining small fix commits | Improving commit messages</t>
        </is>
      </c>
      <c r="AJ25" s="18" t="inlineStr">
        <is>
          <t>A: My PR has eight tiny fix commits. | B: Squash them into one or two clean commits with git rebase -i.</t>
        </is>
      </c>
      <c r="AK25" s="18" t="inlineStr">
        <is>
          <t>✗ Interactive rebase loses commits forever → ✓ The old commits stay in git reflog for a while, and git rebase --abort can stop it midway</t>
        </is>
      </c>
      <c r="AL25" s="18" t="inlineStr">
        <is>
          <t>squash vs fixup: squash also merges the message, fixup throws its message away.</t>
        </is>
      </c>
      <c r="AM25" s="18" t="inlineStr">
        <is>
          <t>Do not use interactive rebase on a shared branch.</t>
        </is>
      </c>
      <c r="AN25" s="19" t="inlineStr">
        <is>
          <t>git rebase -i squash HEAD~3</t>
        </is>
      </c>
      <c r="AO25" s="19" t="inlineStr">
        <is>
          <t>git rebase -i HEAD~3</t>
        </is>
      </c>
      <c r="AP25" s="18" t="inlineStr">
        <is>
          <t>Interactive means I Edit the todo list.</t>
        </is>
      </c>
      <c r="AQ25" s="18" t="inlineStr">
        <is>
          <t>Squashing fix typo commits before a PR to leave a clean history.</t>
        </is>
      </c>
      <c r="AR25" s="18" t="inlineStr">
        <is>
          <t>An interviewer may ask: What is the difference between squash and fixup?</t>
        </is>
      </c>
      <c r="AS25" s="18" t="inlineStr">
        <is>
          <t>It is like editing a rough draft into the final copy.</t>
        </is>
      </c>
      <c r="AT25" s="18" t="inlineStr">
        <is>
          <t>Which instruction joins a commit into the previous one but drops its message?</t>
        </is>
      </c>
      <c r="AU25" s="18" t="inlineStr">
        <is>
          <t>A) reword B) fixup C) drop D) pick</t>
        </is>
      </c>
      <c r="AV25" s="18" t="inlineStr">
        <is>
          <t>B</t>
        </is>
      </c>
      <c r="AW25" s="18" t="inlineStr">
        <is>
          <t>fixup joins the commit and discards its message, while squash keeps it.</t>
        </is>
      </c>
      <c r="AX25" s="19" t="inlineStr">
        <is>
          <t>git rebase ____ HEAD~3 → -i</t>
        </is>
      </c>
      <c r="AY25" s="18" t="inlineStr">
        <is>
          <t>Open the last four commits in interactive rebase.</t>
        </is>
      </c>
      <c r="AZ25" s="19" t="inlineStr">
        <is>
          <t>git rebase -i HEAD~4</t>
        </is>
      </c>
      <c r="BA25" s="18" t="inlineStr">
        <is>
          <t>Make three small commits on a test branch and squash them into one with interactive rebase.</t>
        </is>
      </c>
      <c r="BB25" s="19" t="inlineStr">
        <is>
          <t>What is the command to stop a rebase midway?</t>
        </is>
      </c>
      <c r="BC25" s="19" t="inlineStr">
        <is>
          <t>git rebase --abort</t>
        </is>
      </c>
      <c r="BD25" s="17">
        <f>IF(K25="","",REPT("★",K25)&amp;REPT("☆",5-K25)&amp;" ("&amp;K25&amp;"/5)")</f>
        <v/>
      </c>
      <c r="BE25" s="17">
        <f>IF(S25="","","Meaning: "&amp;S25&amp;"  =  ______   (Answer: "&amp;F25&amp;")")</f>
        <v/>
      </c>
      <c r="BF25" s="17" t="inlineStr">
        <is>
          <t>New</t>
        </is>
      </c>
      <c r="BG25" s="17" t="n"/>
      <c r="BH25" s="17" t="n"/>
      <c r="BI25" s="17" t="n"/>
      <c r="BJ25" s="17" t="n"/>
      <c r="BK25" s="17" t="n"/>
      <c r="BL25" s="17" t="n"/>
      <c r="BM25" s="17" t="n"/>
      <c r="BN25" s="17" t="n"/>
    </row>
    <row r="26" ht="54" customHeight="1">
      <c r="A26" s="17" t="inlineStr">
        <is>
          <t>GIT-038</t>
        </is>
      </c>
      <c r="B26" s="17" t="inlineStr">
        <is>
          <t>05 Advanced Git</t>
        </is>
      </c>
      <c r="C26" s="17" t="inlineStr">
        <is>
          <t>Advanced</t>
        </is>
      </c>
      <c r="D26" s="17" t="n">
        <v>38</v>
      </c>
      <c r="E26" s="17" t="inlineStr">
        <is>
          <t>Claude knowledge</t>
        </is>
      </c>
      <c r="F26" s="18" t="inlineStr">
        <is>
          <t>git cherry-pick</t>
        </is>
      </c>
      <c r="G26" s="18" t="inlineStr">
        <is>
          <t>How do you bring just one commit from another branch into your current branch?</t>
        </is>
      </c>
      <c r="H26" s="17" t="n"/>
      <c r="I26" s="18" t="inlineStr">
        <is>
          <t>Git command</t>
        </is>
      </c>
      <c r="J26" s="18" t="inlineStr">
        <is>
          <t>Medium</t>
        </is>
      </c>
      <c r="K26" s="18" t="n">
        <v>4</v>
      </c>
      <c r="L26" s="18" t="inlineStr">
        <is>
          <t>Sometimes you need only one bug-fix commit on another branch, not the whole branch, so cherry-pick selects that one commit and brings it over.</t>
        </is>
      </c>
      <c r="M26" s="18" t="inlineStr">
        <is>
          <t>Cherry-pick is very handy for bringing a hotfix to a release branch.</t>
        </is>
      </c>
      <c r="N26" s="17" t="n"/>
      <c r="O26" s="18" t="inlineStr">
        <is>
          <t>You do not take the whole basket, only one chosen cherry.</t>
        </is>
      </c>
      <c r="P26" s="18" t="inlineStr">
        <is>
          <t>A single red cherry is plucked from a branch and dropped into your basket.</t>
        </is>
      </c>
      <c r="Q26" s="18" t="inlineStr">
        <is>
          <t>The convenience of taking exactly the work you need.</t>
        </is>
      </c>
      <c r="R26" s="18" t="inlineStr">
        <is>
          <t>git cherry-pick applies one commit onto the current branch as a new commit.</t>
        </is>
      </c>
      <c r="S26" s="17" t="n"/>
      <c r="T26" s="19" t="inlineStr">
        <is>
          <t>git switch release/1.2
git cherry-pick 8b7d1e2</t>
        </is>
      </c>
      <c r="U26" s="19" t="inlineStr">
        <is>
          <t>[release/1.2 c9b12a3] Fix refund rounding
 1 file changed, 2 insertions(+)</t>
        </is>
      </c>
      <c r="V26" s="18" t="inlineStr">
        <is>
          <t>Cherry-pick applies that commit's change to the current branch as a new commit with a different hash. If there is a conflict, you resolve it and run git cherry-pick --continue.</t>
        </is>
      </c>
      <c r="W26" s="18" t="inlineStr">
        <is>
          <t>When you do not want to merge a whole branch but need a single fix, cherry-pick lifts that one commit and puts it on your branch.</t>
        </is>
      </c>
      <c r="X26" s="18" t="inlineStr">
        <is>
          <t>It is like taking just one sweet from someone else's plate.</t>
        </is>
      </c>
      <c r="Y26" s="19" t="inlineStr">
        <is>
          <t>git cherry-pick &lt;commit&gt;</t>
        </is>
      </c>
      <c r="Z26" s="18" t="inlineStr">
        <is>
          <t>git cherry-pick = command | &lt;commit&gt; = the commit to bring</t>
        </is>
      </c>
      <c r="AA26" s="19" t="inlineStr">
        <is>
          <t>git cherry-pick 8b7d1e2</t>
        </is>
      </c>
      <c r="AB26" s="19" t="inlineStr">
        <is>
          <t>git cherry-pick a1b2c3d e4f5a6b</t>
        </is>
      </c>
      <c r="AC26" s="19" t="inlineStr">
        <is>
          <t>git cherry-pick -x 8b7d1e2</t>
        </is>
      </c>
      <c r="AD26" s="19" t="inlineStr">
        <is>
          <t>git cherry-pick -x &lt;hash&gt;   # record the original hash in the message
git cherry-pick --abort</t>
        </is>
      </c>
      <c r="AE26" s="18" t="inlineStr">
        <is>
          <t>-x, --continue, --abort</t>
        </is>
      </c>
      <c r="AF26" s="18" t="inlineStr">
        <is>
          <t>git merge, git rebase, git revert</t>
        </is>
      </c>
      <c r="AG26" s="18" t="inlineStr">
        <is>
          <t>git merge (the whole branch)</t>
        </is>
      </c>
      <c r="AH26" s="18" t="inlineStr">
        <is>
          <t>git cherry-pick, git merge, git rebase, git revert, git log</t>
        </is>
      </c>
      <c r="AI26" s="18" t="inlineStr">
        <is>
          <t>Hotfix backports | One fix to another release | Moving a commit made on the wrong branch</t>
        </is>
      </c>
      <c r="AJ26" s="18" t="inlineStr">
        <is>
          <t>A: This bug fix is needed on the release branch too. | B: Take the commit hash from main and cherry-pick it onto release.</t>
        </is>
      </c>
      <c r="AK26" s="18" t="inlineStr">
        <is>
          <t>✗ Cherry-pick moves the commit and removes it from the old branch → ✓ Cherry-pick makes a copy, and the commit stays on the old branch with a new hash created</t>
        </is>
      </c>
      <c r="AL26" s="18" t="inlineStr">
        <is>
          <t>cherry-pick vs merge: cherry-pick copies one commit, merge joins a whole branch's history.</t>
        </is>
      </c>
      <c r="AM26" s="18" t="inlineStr">
        <is>
          <t>Do not cherry-pick the same commit onto many branches again and again, it creates duplicates.</t>
        </is>
      </c>
      <c r="AN26" s="19" t="inlineStr">
        <is>
          <t>git cherry-pick main</t>
        </is>
      </c>
      <c r="AO26" s="19" t="inlineStr">
        <is>
          <t>git cherry-pick 8b7d1e2</t>
        </is>
      </c>
      <c r="AP26" s="18" t="inlineStr">
        <is>
          <t>Cherry-pick means pick one commit and copy it.</t>
        </is>
      </c>
      <c r="AQ26" s="18" t="inlineStr">
        <is>
          <t>Cherry-picking a production hotfix onto the release branch.</t>
        </is>
      </c>
      <c r="AR26" s="18" t="inlineStr">
        <is>
          <t>An interviewer may ask: What is the difference between cherry-pick and merge?</t>
        </is>
      </c>
      <c r="AS26" s="18" t="inlineStr">
        <is>
          <t>It is like taking one sweet from someone's plate.</t>
        </is>
      </c>
      <c r="AT26" s="18" t="inlineStr">
        <is>
          <t>After a cherry-pick, what is the hash of the new commit like?</t>
        </is>
      </c>
      <c r="AU26" s="18" t="inlineStr">
        <is>
          <t>A) Empty B) The branch name C) The same as the old one D) A new one</t>
        </is>
      </c>
      <c r="AV26" s="18" t="inlineStr">
        <is>
          <t>D</t>
        </is>
      </c>
      <c r="AW26" s="18" t="inlineStr">
        <is>
          <t>A cherry-pick makes a new commit, so the hash is different.</t>
        </is>
      </c>
      <c r="AX26" s="19" t="inlineStr">
        <is>
          <t>git ____ 8b7d1e2 → cherry-pick</t>
        </is>
      </c>
      <c r="AY26" s="18" t="inlineStr">
        <is>
          <t>Bring commit a1b2c3d onto the current branch.</t>
        </is>
      </c>
      <c r="AZ26" s="19" t="inlineStr">
        <is>
          <t>git cherry-pick a1b2c3d</t>
        </is>
      </c>
      <c r="BA26" s="18" t="inlineStr">
        <is>
          <t>Make a commit on one branch and bring it to another with cherry-pick.</t>
        </is>
      </c>
      <c r="BB26" s="19" t="inlineStr">
        <is>
          <t>What command do you run after resolving a conflict in a cherry-pick?</t>
        </is>
      </c>
      <c r="BC26" s="19" t="inlineStr">
        <is>
          <t>git cherry-pick --continue</t>
        </is>
      </c>
      <c r="BD26" s="17">
        <f>IF(K26="","",REPT("★",K26)&amp;REPT("☆",5-K26)&amp;" ("&amp;K26&amp;"/5)")</f>
        <v/>
      </c>
      <c r="BE26" s="17">
        <f>IF(S26="","","Meaning: "&amp;S26&amp;"  =  ______   (Answer: "&amp;F26&amp;")")</f>
        <v/>
      </c>
      <c r="BF26" s="17" t="inlineStr">
        <is>
          <t>New</t>
        </is>
      </c>
      <c r="BG26" s="17" t="n"/>
      <c r="BH26" s="17" t="n"/>
      <c r="BI26" s="17" t="n"/>
      <c r="BJ26" s="17" t="n"/>
      <c r="BK26" s="17" t="n"/>
      <c r="BL26" s="17" t="n"/>
      <c r="BM26" s="17" t="n"/>
      <c r="BN26" s="17" t="n"/>
    </row>
    <row r="27" ht="67.5" customHeight="1">
      <c r="A27" s="17" t="inlineStr">
        <is>
          <t>GIT-039</t>
        </is>
      </c>
      <c r="B27" s="17" t="inlineStr">
        <is>
          <t>05 Advanced Git</t>
        </is>
      </c>
      <c r="C27" s="17" t="inlineStr">
        <is>
          <t>Advanced</t>
        </is>
      </c>
      <c r="D27" s="17" t="n">
        <v>39</v>
      </c>
      <c r="E27" s="17" t="inlineStr">
        <is>
          <t>Claude knowledge</t>
        </is>
      </c>
      <c r="F27" s="18" t="inlineStr">
        <is>
          <t>git reflog</t>
        </is>
      </c>
      <c r="G27" s="18" t="inlineStr">
        <is>
          <t>What is Git's hidden record that helps you find commits lost after a reset or rebase?</t>
        </is>
      </c>
      <c r="H27" s="17" t="n"/>
      <c r="I27" s="18" t="inlineStr">
        <is>
          <t>Git command</t>
        </is>
      </c>
      <c r="J27" s="18" t="inlineStr">
        <is>
          <t>Medium</t>
        </is>
      </c>
      <c r="K27" s="18" t="n">
        <v>5</v>
      </c>
      <c r="L27" s="18" t="inlineStr">
        <is>
          <t>Git writes every movement of HEAD into a separate record, so even a commit removed from a branch can be found for a while, and that record is called the reflog.</t>
        </is>
      </c>
      <c r="M27" s="18" t="inlineStr">
        <is>
          <t>If something seems lost, do not panic, look at git reflog first.</t>
        </is>
      </c>
      <c r="N27" s="17" t="n"/>
      <c r="O27" s="18" t="inlineStr">
        <is>
          <t>The reflog is a CCTV record that shows every move HEAD made, even for a lost commit.</t>
        </is>
      </c>
      <c r="P27" s="18" t="inlineStr">
        <is>
          <t>A long list showing a date and an action beside every step HEAD took.</t>
        </is>
      </c>
      <c r="Q27" s="18" t="inlineStr">
        <is>
          <t>The relief of getting back something you thought was lost.</t>
        </is>
      </c>
      <c r="R27" s="18" t="inlineStr">
        <is>
          <t>git reflog shows a local record of every change made to HEAD and branches.</t>
        </is>
      </c>
      <c r="S27" s="17" t="n"/>
      <c r="T27" s="19" t="inlineStr">
        <is>
          <t>git reflog
git reset --hard HEAD@{2}</t>
        </is>
      </c>
      <c r="U27" s="19" t="inlineStr">
        <is>
          <t>9d2c3b1 HEAD@{0}: reset: moving to HEAD~1
8b7d1e2 HEAD@{1}: commit: Fix refund rounding</t>
        </is>
      </c>
      <c r="V27" s="18" t="inlineStr">
        <is>
          <t>The reflog is local and lasts for some months by default. After a reset or rebase you can find the hash of the lost commit and bring it back with a branch or a reset. It does not exist on the remote.</t>
        </is>
      </c>
      <c r="W27" s="18" t="inlineStr">
        <is>
          <t>The reflog records HEAD's whole journey on your laptop. If a commit seems lost, find its hash here and bring it back.</t>
        </is>
      </c>
      <c r="X27" s="18" t="inlineStr">
        <is>
          <t>It is like CCTV footage where you can see who moved what and where.</t>
        </is>
      </c>
      <c r="Y27" s="19" t="inlineStr">
        <is>
          <t>git reflog [show] [&lt;ref&gt;]</t>
        </is>
      </c>
      <c r="Z27" s="18" t="inlineStr">
        <is>
          <t>git reflog = command | HEAD@{N} = where HEAD was N steps ago</t>
        </is>
      </c>
      <c r="AA27" s="19" t="inlineStr">
        <is>
          <t>git reflog</t>
        </is>
      </c>
      <c r="AB27" s="19" t="inlineStr">
        <is>
          <t>git branch recover 8b7d1e2</t>
        </is>
      </c>
      <c r="AC27" s="19" t="inlineStr">
        <is>
          <t>git reset --hard HEAD@{1}</t>
        </is>
      </c>
      <c r="AD27" s="19" t="inlineStr">
        <is>
          <t>git reflog show feature/login   # one branch's record
git reflog expire --expire=now --all   # clean up</t>
        </is>
      </c>
      <c r="AE27" s="18" t="inlineStr">
        <is>
          <t>git reset, git branch, HEAD@{N}</t>
        </is>
      </c>
      <c r="AF27" s="18" t="inlineStr">
        <is>
          <t>git reset, git rebase, git log</t>
        </is>
      </c>
      <c r="AG27" s="18" t="inlineStr">
        <is>
          <t>Nothing, it is Git's best safety net</t>
        </is>
      </c>
      <c r="AH27" s="18" t="inlineStr">
        <is>
          <t>git reflog, git reset, git rebase, git branch, git log</t>
        </is>
      </c>
      <c r="AI27" s="18" t="inlineStr">
        <is>
          <t>A reset or rebase mistake | A branch deleted by accident | Looking for a lost commit</t>
        </is>
      </c>
      <c r="AJ27" s="18" t="inlineStr">
        <is>
          <t>A: I ran reset --hard and lost a commit. | B: Look at git reflog, find the hash, and run git branch recover with it.</t>
        </is>
      </c>
      <c r="AK27" s="18" t="inlineStr">
        <is>
          <t>✗ After reset --hard the commit is gone forever → ✓ The commit can be found in git reflog for a while and brought back with a branch or reset</t>
        </is>
      </c>
      <c r="AL27" s="18" t="inlineStr">
        <is>
          <t>git reflog vs git log: log shows the commit history, reflog shows the moves of HEAD, including lost commits.</t>
        </is>
      </c>
      <c r="AM27" s="18" t="inlineStr">
        <is>
          <t>Do not treat the reflog as a long-term backup, it gets cleaned eventually.</t>
        </is>
      </c>
      <c r="AN27" s="19" t="inlineStr">
        <is>
          <t>git reflog --recover 8b7d1e2</t>
        </is>
      </c>
      <c r="AO27" s="19" t="inlineStr">
        <is>
          <t>git branch recover 8b7d1e2</t>
        </is>
      </c>
      <c r="AP27" s="18" t="inlineStr">
        <is>
          <t>Reflog is the record of the route.</t>
        </is>
      </c>
      <c r="AQ27" s="18" t="inlineStr">
        <is>
          <t>Getting back a commit lost in a rebase mistake through the reflog.</t>
        </is>
      </c>
      <c r="AR27" s="18" t="inlineStr">
        <is>
          <t>An interviewer may ask: How would you find a commit lost after reset --hard?</t>
        </is>
      </c>
      <c r="AS27" s="18" t="inlineStr">
        <is>
          <t>It is like watching CCTV footage to see where something went.</t>
        </is>
      </c>
      <c r="AT27" s="18" t="inlineStr">
        <is>
          <t>Which command helps you find the hash of a commit lost after reset --hard?</t>
        </is>
      </c>
      <c r="AU27" s="18" t="inlineStr">
        <is>
          <t>A) git status B) git diff C) git reflog D) git remote</t>
        </is>
      </c>
      <c r="AV27" s="18" t="inlineStr">
        <is>
          <t>C</t>
        </is>
      </c>
      <c r="AW27" s="18" t="inlineStr">
        <is>
          <t>The reflog shows every earlier position of HEAD.</t>
        </is>
      </c>
      <c r="AX27" s="19" t="inlineStr">
        <is>
          <t>To look for a lost commit, check git ____ → reflog</t>
        </is>
      </c>
      <c r="AY27" s="18" t="inlineStr">
        <is>
          <t>Show the last steps of HEAD.</t>
        </is>
      </c>
      <c r="AZ27" s="19" t="inlineStr">
        <is>
          <t>git reflog</t>
        </is>
      </c>
      <c r="BA27" s="18" t="inlineStr">
        <is>
          <t>Make a test commit, run reset --hard, and recover it with the reflog.</t>
        </is>
      </c>
      <c r="BB27" s="19" t="inlineStr">
        <is>
          <t>Does the reflog also exist on the remote?</t>
        </is>
      </c>
      <c r="BC27" s="19" t="inlineStr">
        <is>
          <t>No, it exists only in your local repository.</t>
        </is>
      </c>
      <c r="BD27" s="17">
        <f>IF(K27="","",REPT("★",K27)&amp;REPT("☆",5-K27)&amp;" ("&amp;K27&amp;"/5)")</f>
        <v/>
      </c>
      <c r="BE27" s="17">
        <f>IF(S27="","","Meaning: "&amp;S27&amp;"  =  ______   (Answer: "&amp;F27&amp;")")</f>
        <v/>
      </c>
      <c r="BF27" s="17" t="inlineStr">
        <is>
          <t>New</t>
        </is>
      </c>
      <c r="BG27" s="17" t="n"/>
      <c r="BH27" s="17" t="n"/>
      <c r="BI27" s="17" t="n"/>
      <c r="BJ27" s="17" t="n"/>
      <c r="BK27" s="17" t="n"/>
      <c r="BL27" s="17" t="n"/>
      <c r="BM27" s="17" t="n"/>
      <c r="BN27" s="17" t="n"/>
    </row>
    <row r="28" ht="81" customHeight="1">
      <c r="A28" s="17" t="inlineStr">
        <is>
          <t>GIT-040</t>
        </is>
      </c>
      <c r="B28" s="17" t="inlineStr">
        <is>
          <t>05 Advanced Git</t>
        </is>
      </c>
      <c r="C28" s="17" t="inlineStr">
        <is>
          <t>Advanced</t>
        </is>
      </c>
      <c r="D28" s="17" t="n">
        <v>40</v>
      </c>
      <c r="E28" s="17" t="inlineStr">
        <is>
          <t>Claude knowledge</t>
        </is>
      </c>
      <c r="F28" s="18" t="inlineStr">
        <is>
          <t>git bisect</t>
        </is>
      </c>
      <c r="G28" s="18" t="inlineStr">
        <is>
          <t>How do you find, with a binary search, which commit among many introduced a bug?</t>
        </is>
      </c>
      <c r="H28" s="17" t="n"/>
      <c r="I28" s="18" t="inlineStr">
        <is>
          <t>Git command</t>
        </is>
      </c>
      <c r="J28" s="18" t="inlineStr">
        <is>
          <t>Low</t>
        </is>
      </c>
      <c r="K28" s="18" t="n">
        <v>3</v>
      </c>
      <c r="L28" s="18" t="inlineStr">
        <is>
          <t>Finding when a bug appeared among thousands of commits is slow work, so bisect repeatedly tests the middle commit between a good and a bad one and finds the culprit in few steps.</t>
        </is>
      </c>
      <c r="M28" s="18" t="inlineStr">
        <is>
          <t>Run git bisect run with a test script and it finds the commit automatically.</t>
        </is>
      </c>
      <c r="N28" s="17" t="n"/>
      <c r="O28" s="18" t="inlineStr">
        <is>
          <t>Bisect is a halving game where you keep checking the commit in the middle to narrow the path.</t>
        </is>
      </c>
      <c r="P28" s="18" t="inlineStr">
        <is>
          <t>A long list where half the list is dropped each time and the middle commit is visited.</t>
        </is>
      </c>
      <c r="Q28" s="18" t="inlineStr">
        <is>
          <t>The thrill of finally finding the root of a bug.</t>
        </is>
      </c>
      <c r="R28" s="18" t="inlineStr">
        <is>
          <t>git bisect uses binary search between a good and a bad commit to find the commit that introduced a bug.</t>
        </is>
      </c>
      <c r="S28" s="17" t="n"/>
      <c r="T28" s="19" t="inlineStr">
        <is>
          <t>git bisect start
git bisect bad
git bisect good v1.0
git bisect reset</t>
        </is>
      </c>
      <c r="U28" s="19" t="inlineStr">
        <is>
          <t>Bisecting: 6 revisions left to test after this (roughly 3 steps)</t>
        </is>
      </c>
      <c r="V28" s="18" t="inlineStr">
        <is>
          <t>You mark one commit bad (now) and one good (old). Git checks out the middle commit, you test and mark it good or bad, and in a few steps the culprit commit appears. With git bisect run a script does it all.</t>
        </is>
      </c>
      <c r="W28" s="18" t="inlineStr">
        <is>
          <t>Bisect needs only about ten steps to find a bug in 1000 commits, because each time half of the commits are ruled out.</t>
        </is>
      </c>
      <c r="X28" s="18" t="inlineStr">
        <is>
          <t>It is like guessing a number where each guess cuts the range in half.</t>
        </is>
      </c>
      <c r="Y28" s="19" t="inlineStr">
        <is>
          <t>git bisect start|good|bad|reset|run</t>
        </is>
      </c>
      <c r="Z28" s="18" t="inlineStr">
        <is>
          <t>start = begin | bad/good = mark a commit | reset = go back | run = use a script</t>
        </is>
      </c>
      <c r="AA28" s="19" t="inlineStr">
        <is>
          <t>git bisect start HEAD v1.0</t>
        </is>
      </c>
      <c r="AB28" s="19" t="inlineStr">
        <is>
          <t>git bisect good</t>
        </is>
      </c>
      <c r="AC28" s="19" t="inlineStr">
        <is>
          <t>git bisect run npm test</t>
        </is>
      </c>
      <c r="AD28" s="19" t="inlineStr">
        <is>
          <t>git bisect skip   # skip this commit
git bisect log   # the record so far</t>
        </is>
      </c>
      <c r="AE28" s="18" t="inlineStr">
        <is>
          <t>good, bad, run, reset</t>
        </is>
      </c>
      <c r="AF28" s="18" t="inlineStr">
        <is>
          <t>git log, git blame, git checkout</t>
        </is>
      </c>
      <c r="AG28" s="18" t="inlineStr">
        <is>
          <t>git blame, checking commits one by one by hand</t>
        </is>
      </c>
      <c r="AH28" s="18" t="inlineStr">
        <is>
          <t>git bisect, git blame, git log, git checkout, git reset</t>
        </is>
      </c>
      <c r="AI28" s="18" t="inlineStr">
        <is>
          <t>Finding a regression | Projects with long history | Tracing a flaky bug</t>
        </is>
      </c>
      <c r="AJ28" s="18" t="inlineStr">
        <is>
          <t>A: This bug came in somewhere in 500 commits. | B: Mark a good and a bad commit with git bisect, and it will be found in nine steps.</t>
        </is>
      </c>
      <c r="AK28" s="18" t="inlineStr">
        <is>
          <t>✗ git bisect checks every commit one by one → ✓ Bisect uses a binary search, so even 1000 commits need only about 10 steps</t>
        </is>
      </c>
      <c r="AL28" s="18" t="inlineStr">
        <is>
          <t>git bisect vs git blame: bisect tells you which commit brought the bug, blame tells you who last wrote each line.</t>
        </is>
      </c>
      <c r="AM28" s="18" t="inlineStr">
        <is>
          <t>Do not forget to run git bisect reset when you finish.</t>
        </is>
      </c>
      <c r="AN28" s="19" t="inlineStr">
        <is>
          <t>git bisect find bad</t>
        </is>
      </c>
      <c r="AO28" s="19" t="inlineStr">
        <is>
          <t>git bisect bad</t>
        </is>
      </c>
      <c r="AP28" s="18" t="inlineStr">
        <is>
          <t>Bisect means check the middle commit.</t>
        </is>
      </c>
      <c r="AQ28" s="18" t="inlineStr">
        <is>
          <t>Using git bisect run to catch the commit that broke a test.</t>
        </is>
      </c>
      <c r="AR28" s="18" t="inlineStr">
        <is>
          <t>An interviewer may ask: How does git bisect work?</t>
        </is>
      </c>
      <c r="AS28" s="18" t="inlineStr">
        <is>
          <t>It is like a number guessing game where each guess halves the range.</t>
        </is>
      </c>
      <c r="AT28" s="18" t="inlineStr">
        <is>
          <t>Which algorithm makes bisect fast?</t>
        </is>
      </c>
      <c r="AU28" s="18" t="inlineStr">
        <is>
          <t>A) Binary search B) Random guess C) Bubble sort D) Linear search</t>
        </is>
      </c>
      <c r="AV28" s="18" t="inlineStr">
        <is>
          <t>A</t>
        </is>
      </c>
      <c r="AW28" s="18" t="inlineStr">
        <is>
          <t>Half the candidates are ruled out at each step.</t>
        </is>
      </c>
      <c r="AX28" s="19" t="inlineStr">
        <is>
          <t>To finish bisecting, run git bisect ____ → reset</t>
        </is>
      </c>
      <c r="AY28" s="18" t="inlineStr">
        <is>
          <t>Start a bisect.</t>
        </is>
      </c>
      <c r="AZ28" s="19" t="inlineStr">
        <is>
          <t>git bisect start</t>
        </is>
      </c>
      <c r="BA28" s="18" t="inlineStr">
        <is>
          <t>Write down the steps to find an old bug in a small repo with bisect.</t>
        </is>
      </c>
      <c r="BB28" s="19" t="inlineStr">
        <is>
          <t>Roughly how many steps does bisect take for 1000 commits?</t>
        </is>
      </c>
      <c r="BC28" s="19" t="inlineStr">
        <is>
          <t>About 10 steps.</t>
        </is>
      </c>
      <c r="BD28" s="17">
        <f>IF(K28="","",REPT("★",K28)&amp;REPT("☆",5-K28)&amp;" ("&amp;K28&amp;"/5)")</f>
        <v/>
      </c>
      <c r="BE28" s="17">
        <f>IF(S28="","","Meaning: "&amp;S28&amp;"  =  ______   (Answer: "&amp;F28&amp;")")</f>
        <v/>
      </c>
      <c r="BF28" s="17" t="inlineStr">
        <is>
          <t>New</t>
        </is>
      </c>
      <c r="BG28" s="17" t="n"/>
      <c r="BH28" s="17" t="n"/>
      <c r="BI28" s="17" t="n"/>
      <c r="BJ28" s="17" t="n"/>
      <c r="BK28" s="17" t="n"/>
      <c r="BL28" s="17" t="n"/>
      <c r="BM28" s="17" t="n"/>
      <c r="BN28" s="17" t="n"/>
    </row>
    <row r="29" ht="67.5" customHeight="1">
      <c r="A29" s="17" t="inlineStr">
        <is>
          <t>GIT-041</t>
        </is>
      </c>
      <c r="B29" s="17" t="inlineStr">
        <is>
          <t>05 Advanced Git</t>
        </is>
      </c>
      <c r="C29" s="17" t="inlineStr">
        <is>
          <t>Intermediate</t>
        </is>
      </c>
      <c r="D29" s="17" t="n">
        <v>41</v>
      </c>
      <c r="E29" s="17" t="inlineStr">
        <is>
          <t>Claude knowledge</t>
        </is>
      </c>
      <c r="F29" s="18" t="inlineStr">
        <is>
          <t>git tag</t>
        </is>
      </c>
      <c r="G29" s="18" t="inlineStr">
        <is>
          <t>What do you do to give a particular commit, such as release v1.0, a permanent name?</t>
        </is>
      </c>
      <c r="H29" s="17" t="n"/>
      <c r="I29" s="18" t="inlineStr">
        <is>
          <t>Git command</t>
        </is>
      </c>
      <c r="J29" s="18" t="inlineStr">
        <is>
          <t>Medium</t>
        </is>
      </c>
      <c r="K29" s="18" t="n">
        <v>4</v>
      </c>
      <c r="L29" s="18" t="inlineStr">
        <is>
          <t>A branch keeps moving while a release stops at one fixed point, so Git tags put a permanent label like v1.0.0 on a commit.</t>
        </is>
      </c>
      <c r="M29" s="18" t="inlineStr">
        <is>
          <t>Keep versions in semantic versioning form: MAJOR.MINOR.PATCH, such as v2.1.4.</t>
        </is>
      </c>
      <c r="N29" s="17" t="n"/>
      <c r="O29" s="18" t="inlineStr">
        <is>
          <t>A tag is a permanent stamp on a commit that never moves forward.</t>
        </is>
      </c>
      <c r="P29" s="18" t="inlineStr">
        <is>
          <t>A red sticky label with v1.0 written on it is stuck on one page of a book.</t>
        </is>
      </c>
      <c r="Q29" s="18" t="inlineStr">
        <is>
          <t>The comfort of a clear marker for a release.</t>
        </is>
      </c>
      <c r="R29" s="18" t="inlineStr">
        <is>
          <t>git tag puts a permanent name, usually a release version, on a commit.</t>
        </is>
      </c>
      <c r="S29" s="17" t="n"/>
      <c r="T29" s="19" t="inlineStr">
        <is>
          <t>git tag -a v1.0.0 -m "First release"
git push origin v1.0.0</t>
        </is>
      </c>
      <c r="U29" s="19" t="inlineStr">
        <is>
          <t>To https://github.com/asha/notes.git
 * [new tag]         v1.0.0 -&gt; v1.0.0</t>
        </is>
      </c>
      <c r="V29" s="18" t="inlineStr">
        <is>
          <t>A lightweight tag is just a name. An annotated tag (-a) also has a message, date and tagger, and is better for releases. Tags are not pushed automatically, you push them separately.</t>
        </is>
      </c>
      <c r="W29" s="18" t="inlineStr">
        <is>
          <t>A tag says this commit is version 1.0.0. Branches keep moving, but the tag stays on the same commit forever.</t>
        </is>
      </c>
      <c r="X29" s="18" t="inlineStr">
        <is>
          <t>It is like a red sticker that stays on one page of a book.</t>
        </is>
      </c>
      <c r="Y29" s="19" t="inlineStr">
        <is>
          <t>git tag [-a] &lt;name&gt; [-m "&lt;message&gt;"]</t>
        </is>
      </c>
      <c r="Z29" s="18" t="inlineStr">
        <is>
          <t>git tag = command | -a = annotated | &lt;name&gt; = version name | -m = message</t>
        </is>
      </c>
      <c r="AA29" s="19" t="inlineStr">
        <is>
          <t>git tag v1.0.0</t>
        </is>
      </c>
      <c r="AB29" s="19" t="inlineStr">
        <is>
          <t>git tag -a v1.1.0 -m "Add search"</t>
        </is>
      </c>
      <c r="AC29" s="19" t="inlineStr">
        <is>
          <t>git push origin --tags</t>
        </is>
      </c>
      <c r="AD29" s="19" t="inlineStr">
        <is>
          <t>git tag -d v1.0.0   # delete
git tag -l "v1.*"   # list</t>
        </is>
      </c>
      <c r="AE29" s="18" t="inlineStr">
        <is>
          <t>git push origin &lt;tag&gt;, --tags, -a, semantic versioning</t>
        </is>
      </c>
      <c r="AF29" s="18" t="inlineStr">
        <is>
          <t>GitHub Releases, git log, semantic versioning</t>
        </is>
      </c>
      <c r="AG29" s="18" t="inlineStr">
        <is>
          <t>Creating the tag together with a GitHub Release</t>
        </is>
      </c>
      <c r="AH29" s="18" t="inlineStr">
        <is>
          <t>git tag, release, version, git push, semver</t>
        </is>
      </c>
      <c r="AI29" s="18" t="inlineStr">
        <is>
          <t>Software releases | Rollback points | Package versions</t>
        </is>
      </c>
      <c r="AJ29" s="18" t="inlineStr">
        <is>
          <t>A: Which commit is version 1.0? | B: Look at the v1.0.0 tag, it sits on that very commit.</t>
        </is>
      </c>
      <c r="AK29" s="18" t="inlineStr">
        <is>
          <t>✗ git push also sends tags to the remote automatically → ✓ Tags must be pushed separately with git push origin v1.0.0 or git push --tags</t>
        </is>
      </c>
      <c r="AL29" s="18" t="inlineStr">
        <is>
          <t>tag vs branch: a tag is fixed to one commit, a branch moves forward with new commits.</t>
        </is>
      </c>
      <c r="AM29" s="18" t="inlineStr">
        <is>
          <t>Do not change a tag after pushing it, make a new version tag.</t>
        </is>
      </c>
      <c r="AN29" s="19" t="inlineStr">
        <is>
          <t>git tag v1.0.0 -push</t>
        </is>
      </c>
      <c r="AO29" s="19" t="inlineStr">
        <is>
          <t>git push origin v1.0.0</t>
        </is>
      </c>
      <c r="AP29" s="18" t="inlineStr">
        <is>
          <t>Tag means a Tiny label that stays.</t>
        </is>
      </c>
      <c r="AQ29" s="18" t="inlineStr">
        <is>
          <t>Tagging each release commit as vX.Y.Z and then creating a GitHub Release.</t>
        </is>
      </c>
      <c r="AR29" s="18" t="inlineStr">
        <is>
          <t>An interviewer may ask: What is the difference between a lightweight and an annotated tag?</t>
        </is>
      </c>
      <c r="AS29" s="18" t="inlineStr">
        <is>
          <t>It is like sticking a red sticker on a page of a book.</t>
        </is>
      </c>
      <c r="AT29" s="18" t="inlineStr">
        <is>
          <t>Which flag creates an annotated tag?</t>
        </is>
      </c>
      <c r="AU29" s="18" t="inlineStr">
        <is>
          <t>A) -d B) -l C) -a D) -r</t>
        </is>
      </c>
      <c r="AV29" s="18" t="inlineStr">
        <is>
          <t>C</t>
        </is>
      </c>
      <c r="AW29" s="18" t="inlineStr">
        <is>
          <t>-a creates an annotated tag with a message and date.</t>
        </is>
      </c>
      <c r="AX29" s="19" t="inlineStr">
        <is>
          <t>git tag ____ v1.0.0 -m "First release" → -a</t>
        </is>
      </c>
      <c r="AY29" s="18" t="inlineStr">
        <is>
          <t>Make a v2.0.0 tag and push it to origin.</t>
        </is>
      </c>
      <c r="AZ29" s="19" t="inlineStr">
        <is>
          <t>git tag v2.0.0 &amp;&amp; git push origin v2.0.0</t>
        </is>
      </c>
      <c r="BA29" s="18" t="inlineStr">
        <is>
          <t>Put a v0.1.0 tag on your repo and look at it on GitHub.</t>
        </is>
      </c>
      <c r="BB29" s="19" t="inlineStr">
        <is>
          <t>What command pushes all your local tags at once?</t>
        </is>
      </c>
      <c r="BC29" s="19" t="inlineStr">
        <is>
          <t>git push --tags</t>
        </is>
      </c>
      <c r="BD29" s="17">
        <f>IF(K29="","",REPT("★",K29)&amp;REPT("☆",5-K29)&amp;" ("&amp;K29&amp;"/5)")</f>
        <v/>
      </c>
      <c r="BE29" s="17">
        <f>IF(S29="","","Meaning: "&amp;S29&amp;"  =  ______   (Answer: "&amp;F29&amp;")")</f>
        <v/>
      </c>
      <c r="BF29" s="17" t="inlineStr">
        <is>
          <t>New</t>
        </is>
      </c>
      <c r="BG29" s="17" t="n"/>
      <c r="BH29" s="17" t="n"/>
      <c r="BI29" s="17" t="n"/>
      <c r="BJ29" s="17" t="n"/>
      <c r="BK29" s="17" t="n"/>
      <c r="BL29" s="17" t="n"/>
      <c r="BM29" s="17" t="n"/>
      <c r="BN29" s="17" t="n"/>
    </row>
    <row r="30" ht="81" customHeight="1">
      <c r="A30" s="17" t="inlineStr">
        <is>
          <t>GIT-042</t>
        </is>
      </c>
      <c r="B30" s="17" t="inlineStr">
        <is>
          <t>05 Advanced Git</t>
        </is>
      </c>
      <c r="C30" s="17" t="inlineStr">
        <is>
          <t>Advanced</t>
        </is>
      </c>
      <c r="D30" s="17" t="n">
        <v>42</v>
      </c>
      <c r="E30" s="17" t="inlineStr">
        <is>
          <t>Claude knowledge</t>
        </is>
      </c>
      <c r="F30" s="18" t="inlineStr">
        <is>
          <t>git push --force-with-lease</t>
        </is>
      </c>
      <c r="G30" s="18" t="inlineStr">
        <is>
          <t>How do you push safely after a rebase or amend has changed your history?</t>
        </is>
      </c>
      <c r="H30" s="17" t="n"/>
      <c r="I30" s="18" t="inlineStr">
        <is>
          <t>Git command</t>
        </is>
      </c>
      <c r="J30" s="18" t="inlineStr">
        <is>
          <t>Medium</t>
        </is>
      </c>
      <c r="K30" s="18" t="n">
        <v>4</v>
      </c>
      <c r="L30" s="18" t="inlineStr">
        <is>
          <t>A plain --force can wipe out other people's commits without looking, so Git added --force-with-lease, which forces only if the remote is what you last saw.</t>
        </is>
      </c>
      <c r="M30" s="18" t="inlineStr">
        <is>
          <t>For any force push, always use --force-with-lease and never plain --force.</t>
        </is>
      </c>
      <c r="N30" s="17" t="n"/>
      <c r="O30" s="18" t="inlineStr">
        <is>
          <t>A lease is a safe lock that opens only if nobody has changed anything in between.</t>
        </is>
      </c>
      <c r="P30" s="18" t="inlineStr">
        <is>
          <t>A safe that opens only if the contents are exactly as you left them.</t>
        </is>
      </c>
      <c r="Q30" s="18" t="inlineStr">
        <is>
          <t>Confidence that other people's work stays safe while you force.</t>
        </is>
      </c>
      <c r="R30" s="18" t="inlineStr">
        <is>
          <t>git push --force-with-lease overwrites the remote branch only if it holds no unexpected new commits.</t>
        </is>
      </c>
      <c r="S30" s="17" t="n"/>
      <c r="T30" s="19" t="inlineStr">
        <is>
          <t>git rebase main
git push --force-with-lease origin feature/login</t>
        </is>
      </c>
      <c r="U30" s="19" t="inlineStr">
        <is>
          <t>+ 3f2a9c1...9d2c3b1 feature/login -&gt; feature/login (forced update)</t>
        </is>
      </c>
      <c r="V30" s="18" t="inlineStr">
        <is>
          <t>After a rebase or amend your local history differs from the remote, so a normal push is rejected. --force-with-lease overwrites the remote only if it is still what you saw at your last fetch, and otherwise stops.</t>
        </is>
      </c>
      <c r="W30" s="18" t="inlineStr">
        <is>
          <t>A force push overwrites history. The lease version first checks that nobody pushed in the meantime, so other people's commits are not wiped out.</t>
        </is>
      </c>
      <c r="X30" s="18" t="inlineStr">
        <is>
          <t>It is like a safe that opens only if the contents are as you left them.</t>
        </is>
      </c>
      <c r="Y30" s="19" t="inlineStr">
        <is>
          <t>git push --force-with-lease &lt;remote&gt; &lt;branch&gt;</t>
        </is>
      </c>
      <c r="Z30" s="18" t="inlineStr">
        <is>
          <t>--force-with-lease = safe force | &lt;remote&gt; = origin | &lt;branch&gt; = branch name</t>
        </is>
      </c>
      <c r="AA30" s="19" t="inlineStr">
        <is>
          <t>git push --force-with-lease</t>
        </is>
      </c>
      <c r="AB30" s="19" t="inlineStr">
        <is>
          <t>git push --force-with-lease origin feature/login</t>
        </is>
      </c>
      <c r="AC30" s="19" t="inlineStr">
        <is>
          <t>git push --force-with-lease=feature/login:3f2a9c1</t>
        </is>
      </c>
      <c r="AD30" s="19" t="inlineStr">
        <is>
          <t>git push -f   # short for --force, dangerous</t>
        </is>
      </c>
      <c r="AE30" s="18" t="inlineStr">
        <is>
          <t>git rebase, git commit --amend, git fetch</t>
        </is>
      </c>
      <c r="AF30" s="18" t="inlineStr">
        <is>
          <t>git rebase, git commit --amend, git push</t>
        </is>
      </c>
      <c r="AG30" s="18" t="inlineStr">
        <is>
          <t>Making a new branch and a new PR</t>
        </is>
      </c>
      <c r="AH30" s="18" t="inlineStr">
        <is>
          <t>git push, --force, --force-with-lease, git rebase, git amend</t>
        </is>
      </c>
      <c r="AI30" s="18" t="inlineStr">
        <is>
          <t>After a rebase | After an amend | Cleaning a PR branch</t>
        </is>
      </c>
      <c r="AJ30" s="18" t="inlineStr">
        <is>
          <t>A: My push is rejected after the rebase. | B: If the branch is yours alone, push with --force-with-lease, not --force.</t>
        </is>
      </c>
      <c r="AK30" s="18" t="inlineStr">
        <is>
          <t>✗ --force and --force-with-lease are equally safe → ✓ --force overwrites without checking, while --force-with-lease overwrites only if the remote has no unexpected commits</t>
        </is>
      </c>
      <c r="AL30" s="18" t="inlineStr">
        <is>
          <t>--force vs --force-with-lease: force writes without checking, lease checks the remote first.</t>
        </is>
      </c>
      <c r="AM30" s="18" t="inlineStr">
        <is>
          <t>Do not force push to main or a shared branch.</t>
        </is>
      </c>
      <c r="AN30" s="19" t="inlineStr">
        <is>
          <t>git push --force-with-lease=true --push-all</t>
        </is>
      </c>
      <c r="AO30" s="19" t="inlineStr">
        <is>
          <t>git push --force-with-lease origin feature/login</t>
        </is>
      </c>
      <c r="AP30" s="18" t="inlineStr">
        <is>
          <t>Lease means Look before you overwrite.</t>
        </is>
      </c>
      <c r="AQ30" s="18" t="inlineStr">
        <is>
          <t>Updating a PR branch with --force-with-lease after a rebase.</t>
        </is>
      </c>
      <c r="AR30" s="18" t="inlineStr">
        <is>
          <t>An interviewer may ask: Why is force-with-lease better than force?</t>
        </is>
      </c>
      <c r="AS30" s="18" t="inlineStr">
        <is>
          <t>It is like a safe that opens only if the contents are as you left them.</t>
        </is>
      </c>
      <c r="AT30" s="18" t="inlineStr">
        <is>
          <t>Which push option stops when it finds an unexpected new commit on the remote?</t>
        </is>
      </c>
      <c r="AU30" s="18" t="inlineStr">
        <is>
          <t>A) -f B) --force C) --no-verify D) --force-with-lease</t>
        </is>
      </c>
      <c r="AV30" s="18" t="inlineStr">
        <is>
          <t>D</t>
        </is>
      </c>
      <c r="AW30" s="18" t="inlineStr">
        <is>
          <t>The lease checks that the remote is what you last saw.</t>
        </is>
      </c>
      <c r="AX30" s="19" t="inlineStr">
        <is>
          <t>git push ____ origin feature/login → --force-with-lease</t>
        </is>
      </c>
      <c r="AY30" s="18" t="inlineStr">
        <is>
          <t>Safely push feature/login after a rebase.</t>
        </is>
      </c>
      <c r="AZ30" s="19" t="inlineStr">
        <is>
          <t>git push --force-with-lease origin feature/login</t>
        </is>
      </c>
      <c r="BA30" s="18" t="inlineStr">
        <is>
          <t>Amend a commit on a test branch and push it with --force-with-lease.</t>
        </is>
      </c>
      <c r="BB30" s="19" t="inlineStr">
        <is>
          <t>When should you never force push?</t>
        </is>
      </c>
      <c r="BC30" s="19" t="inlineStr">
        <is>
          <t>On main or on a branch shared with others.</t>
        </is>
      </c>
      <c r="BD30" s="17">
        <f>IF(K30="","",REPT("★",K30)&amp;REPT("☆",5-K30)&amp;" ("&amp;K30&amp;"/5)")</f>
        <v/>
      </c>
      <c r="BE30" s="17">
        <f>IF(S30="","","Meaning: "&amp;S30&amp;"  =  ______   (Answer: "&amp;F30&amp;")")</f>
        <v/>
      </c>
      <c r="BF30" s="17" t="inlineStr">
        <is>
          <t>New</t>
        </is>
      </c>
      <c r="BG30" s="17" t="n"/>
      <c r="BH30" s="17" t="n"/>
      <c r="BI30" s="17" t="n"/>
      <c r="BJ30" s="17" t="n"/>
      <c r="BK30" s="17" t="n"/>
      <c r="BL30" s="17" t="n"/>
      <c r="BM30" s="17" t="n"/>
      <c r="BN30" s="17" t="n"/>
    </row>
    <row r="31" ht="81" customHeight="1">
      <c r="A31" s="17" t="inlineStr">
        <is>
          <t>GIT-043</t>
        </is>
      </c>
      <c r="B31" s="17" t="inlineStr">
        <is>
          <t>05 Advanced Git</t>
        </is>
      </c>
      <c r="C31" s="17" t="inlineStr">
        <is>
          <t>Advanced</t>
        </is>
      </c>
      <c r="D31" s="17" t="n">
        <v>43</v>
      </c>
      <c r="E31" s="17" t="inlineStr">
        <is>
          <t>Claude knowledge</t>
        </is>
      </c>
      <c r="F31" s="18" t="inlineStr">
        <is>
          <t>git worktree</t>
        </is>
      </c>
      <c r="G31" s="18" t="inlineStr">
        <is>
          <t>How do you open two branches of one repository in separate folders at the same time without cloning again?</t>
        </is>
      </c>
      <c r="H31" s="17" t="n"/>
      <c r="I31" s="18" t="inlineStr">
        <is>
          <t>Git command</t>
        </is>
      </c>
      <c r="J31" s="18" t="inlineStr">
        <is>
          <t>Low</t>
        </is>
      </c>
      <c r="K31" s="18" t="n">
        <v>3</v>
      </c>
      <c r="L31" s="18" t="inlineStr">
        <is>
          <t>Switching branches changes your files and interrupts work, so worktree opens another branch in a separate folder using the same .git, and no new clone is needed.</t>
        </is>
      </c>
      <c r="M31" s="18" t="inlineStr">
        <is>
          <t>Keep a separate worktree for main for reviews or hotfixes without pausing your own work.</t>
        </is>
      </c>
      <c r="N31" s="17" t="n"/>
      <c r="O31" s="18" t="inlineStr">
        <is>
          <t>Two counters of one shop open at the same time, both using the same warehouse.</t>
        </is>
      </c>
      <c r="P31" s="18" t="inlineStr">
        <is>
          <t>Two folders of the same repo sit side by side, each showing a different branch.</t>
        </is>
      </c>
      <c r="Q31" s="18" t="inlineStr">
        <is>
          <t>The freedom to look at another branch without stopping your work.</t>
        </is>
      </c>
      <c r="R31" s="18" t="inlineStr">
        <is>
          <t>git worktree opens another branch of the same repository in a separate folder.</t>
        </is>
      </c>
      <c r="S31" s="17" t="n"/>
      <c r="T31" s="19" t="inlineStr">
        <is>
          <t>git worktree add ../notes-hotfix hotfix/refund
git worktree list</t>
        </is>
      </c>
      <c r="U31" s="19" t="inlineStr">
        <is>
          <t>/home/asha/notes         3f2a9c1 [main]
/home/asha/notes-hotfix  8b7d1e2 [hotfix/refund]</t>
        </is>
      </c>
      <c r="V31" s="18" t="inlineStr">
        <is>
          <t>Each worktree has its own folder and files but all share one .git history. A branch can be open in only one worktree at a time. When the work is done, remove it with git worktree remove.</t>
        </is>
      </c>
      <c r="W31" s="18" t="inlineStr">
        <is>
          <t>Instead of stashing or switching, open the other branch in a new folder. Both stay open together and share one history.</t>
        </is>
      </c>
      <c r="X31" s="18" t="inlineStr">
        <is>
          <t>It is like two counters opened in one shop sharing the same warehouse.</t>
        </is>
      </c>
      <c r="Y31" s="19" t="inlineStr">
        <is>
          <t>git worktree add &lt;path&gt; &lt;branch&gt;</t>
        </is>
      </c>
      <c r="Z31" s="18" t="inlineStr">
        <is>
          <t>git worktree add = new worktree | &lt;path&gt; = the new folder | &lt;branch&gt; = which branch opens there</t>
        </is>
      </c>
      <c r="AA31" s="19" t="inlineStr">
        <is>
          <t>git worktree add ../notes-review feature/login</t>
        </is>
      </c>
      <c r="AB31" s="19" t="inlineStr">
        <is>
          <t>git worktree add -b hotfix/x ../notes-hotfix main</t>
        </is>
      </c>
      <c r="AC31" s="19" t="inlineStr">
        <is>
          <t>git worktree remove ../notes-review</t>
        </is>
      </c>
      <c r="AD31" s="19" t="inlineStr">
        <is>
          <t>git worktree list   # all the folders
git worktree prune   # remove stale ones</t>
        </is>
      </c>
      <c r="AE31" s="18" t="inlineStr">
        <is>
          <t>git branch, git switch, git stash</t>
        </is>
      </c>
      <c r="AF31" s="18" t="inlineStr">
        <is>
          <t>git switch, git stash, git clone</t>
        </is>
      </c>
      <c r="AG31" s="18" t="inlineStr">
        <is>
          <t>A second clone or git stash</t>
        </is>
      </c>
      <c r="AH31" s="18" t="inlineStr">
        <is>
          <t>git worktree, git switch, git stash, git branch, git clone</t>
        </is>
      </c>
      <c r="AI31" s="18" t="inlineStr">
        <is>
          <t>Reviewing a teammate's branch | Not pausing a feature during a hotfix | Running two versions together</t>
        </is>
      </c>
      <c r="AJ31" s="18" t="inlineStr">
        <is>
          <t>A: I want to review while keeping my own work open. | B: Open the review in a separate folder with git worktree add.</t>
        </is>
      </c>
      <c r="AK31" s="18" t="inlineStr">
        <is>
          <t>✗ git worktree add makes a full new clone of the repo → ✓ A worktree gives another folder but shares one .git and history, so it takes little space</t>
        </is>
      </c>
      <c r="AL31" s="18" t="inlineStr">
        <is>
          <t>git worktree vs git clone: a worktree shares the .git, a clone is a whole new copy.</t>
        </is>
      </c>
      <c r="AM31" s="18" t="inlineStr">
        <is>
          <t>Do not delete a worktree folder by hand, use git worktree remove.</t>
        </is>
      </c>
      <c r="AN31" s="19" t="inlineStr">
        <is>
          <t>git worktree open ../notes-hotfix</t>
        </is>
      </c>
      <c r="AO31" s="19" t="inlineStr">
        <is>
          <t>git worktree add ../notes-hotfix hotfix/refund</t>
        </is>
      </c>
      <c r="AP31" s="18" t="inlineStr">
        <is>
          <t>Worktree means one repo and many workspaces.</t>
        </is>
      </c>
      <c r="AQ31" s="18" t="inlineStr">
        <is>
          <t>Keeping your feature branch running in its own folder while you work on a hotfix.</t>
        </is>
      </c>
      <c r="AR31" s="18" t="inlineStr">
        <is>
          <t>An interviewer may ask: When is git worktree better than a clone?</t>
        </is>
      </c>
      <c r="AS31" s="18" t="inlineStr">
        <is>
          <t>It is like two counters in one shop that share a warehouse.</t>
        </is>
      </c>
      <c r="AT31" s="18" t="inlineStr">
        <is>
          <t>Which command opens two branches in separate folders at the same time?</t>
        </is>
      </c>
      <c r="AU31" s="18" t="inlineStr">
        <is>
          <t>A) git worktree add B) git bisect C) git stash D) git clone</t>
        </is>
      </c>
      <c r="AV31" s="18" t="inlineStr">
        <is>
          <t>A</t>
        </is>
      </c>
      <c r="AW31" s="18" t="inlineStr">
        <is>
          <t>A worktree opens another branch in a new folder without cloning again.</t>
        </is>
      </c>
      <c r="AX31" s="19" t="inlineStr">
        <is>
          <t>git ____ add ../review feature/login → worktree</t>
        </is>
      </c>
      <c r="AY31" s="18" t="inlineStr">
        <is>
          <t>Open the hotfix/x branch in the folder ../hotfix.</t>
        </is>
      </c>
      <c r="AZ31" s="19" t="inlineStr">
        <is>
          <t>git worktree add ../hotfix hotfix/x</t>
        </is>
      </c>
      <c r="BA31" s="18" t="inlineStr">
        <is>
          <t>Open two worktrees for two branches in a test repo and look at git worktree list.</t>
        </is>
      </c>
      <c r="BB31" s="19" t="inlineStr">
        <is>
          <t>What is the clean way to remove a worktree?</t>
        </is>
      </c>
      <c r="BC31" s="19" t="inlineStr">
        <is>
          <t>git worktree remove &lt;path&gt;</t>
        </is>
      </c>
      <c r="BD31" s="17">
        <f>IF(K31="","",REPT("★",K31)&amp;REPT("☆",5-K31)&amp;" ("&amp;K31&amp;"/5)")</f>
        <v/>
      </c>
      <c r="BE31" s="17">
        <f>IF(S31="","","Meaning: "&amp;S31&amp;"  =  ______   (Answer: "&amp;F31&amp;")")</f>
        <v/>
      </c>
      <c r="BF31" s="17" t="inlineStr">
        <is>
          <t>New</t>
        </is>
      </c>
      <c r="BG31" s="17" t="n"/>
      <c r="BH31" s="17" t="n"/>
      <c r="BI31" s="17" t="n"/>
      <c r="BJ31" s="17" t="n"/>
      <c r="BK31" s="17" t="n"/>
      <c r="BL31" s="17" t="n"/>
      <c r="BM31" s="17" t="n"/>
      <c r="BN31" s="17" t="n"/>
    </row>
    <row r="32" ht="54" customHeight="1">
      <c r="A32" s="17" t="inlineStr">
        <is>
          <t>GIT-044</t>
        </is>
      </c>
      <c r="B32" s="17" t="inlineStr">
        <is>
          <t>05 Advanced Git</t>
        </is>
      </c>
      <c r="C32" s="17" t="inlineStr">
        <is>
          <t>Intermediate</t>
        </is>
      </c>
      <c r="D32" s="17" t="n">
        <v>44</v>
      </c>
      <c r="E32" s="17" t="inlineStr">
        <is>
          <t>Claude knowledge</t>
        </is>
      </c>
      <c r="F32" s="18" t="inlineStr">
        <is>
          <t>git blame</t>
        </is>
      </c>
      <c r="G32" s="18" t="inlineStr">
        <is>
          <t>How do you see who wrote each line of a file and in which commit?</t>
        </is>
      </c>
      <c r="H32" s="17" t="n"/>
      <c r="I32" s="18" t="inlineStr">
        <is>
          <t>Git command</t>
        </is>
      </c>
      <c r="J32" s="18" t="inlineStr">
        <is>
          <t>Medium</t>
        </is>
      </c>
      <c r="K32" s="18" t="n">
        <v>3</v>
      </c>
      <c r="L32" s="18" t="inlineStr">
        <is>
          <t>An old line is often hard to understand and the writer may be unknown, so blame shows beside every line its commit, author and date.</t>
        </is>
      </c>
      <c r="M32" s="18" t="inlineStr">
        <is>
          <t>Use blame not to blame anyone but to learn the reason behind a line from its commit message.</t>
        </is>
      </c>
      <c r="N32" s="17" t="n"/>
      <c r="O32" s="18" t="inlineStr">
        <is>
          <t>Blame is an attendance register that notes beside each line which commit wrote it.</t>
        </is>
      </c>
      <c r="P32" s="18" t="inlineStr">
        <is>
          <t>Each line of a file has a short hash, a name and a date beside it.</t>
        </is>
      </c>
      <c r="Q32" s="18" t="inlineStr">
        <is>
          <t>The thrill of solving the mystery of an old line.</t>
        </is>
      </c>
      <c r="R32" s="18" t="inlineStr">
        <is>
          <t>git blame shows the author and commit for each line of a file.</t>
        </is>
      </c>
      <c r="S32" s="17" t="n"/>
      <c r="T32" s="19" t="inlineStr">
        <is>
          <t>git blame -L 10,15 src/app.js</t>
        </is>
      </c>
      <c r="U32" s="19" t="inlineStr">
        <is>
          <t>8b7d1e2 (Asha 2026-09-12 10:03) function total(cart) {
3f2a9c1 (Ravi 2026-08-30 17:21)   return sum(cart);</t>
        </is>
      </c>
      <c r="V32" s="18" t="inlineStr">
        <is>
          <t>Each line shows the commit hash, author and date. -L picks a range of lines. Run git show on that hash to see the full commit and its message.</t>
        </is>
      </c>
      <c r="W32" s="18" t="inlineStr">
        <is>
          <t>Blame lets you learn when and why a particular line was written. Then git show with that hash gives you the full reason.</t>
        </is>
      </c>
      <c r="X32" s="18" t="inlineStr">
        <is>
          <t>It is like seeing the writer's name and date beside every sentence of a book.</t>
        </is>
      </c>
      <c r="Y32" s="19" t="inlineStr">
        <is>
          <t>git blame [-L &lt;start&gt;,&lt;end&gt;] &lt;file&gt;</t>
        </is>
      </c>
      <c r="Z32" s="18" t="inlineStr">
        <is>
          <t>git blame = command | -L = range of lines | &lt;file&gt; = file name</t>
        </is>
      </c>
      <c r="AA32" s="19" t="inlineStr">
        <is>
          <t>git blame src/app.js</t>
        </is>
      </c>
      <c r="AB32" s="19" t="inlineStr">
        <is>
          <t>git blame -L 20,40 src/app.js</t>
        </is>
      </c>
      <c r="AC32" s="19" t="inlineStr">
        <is>
          <t>git blame -w -C src/app.js</t>
        </is>
      </c>
      <c r="AD32" s="19" t="inlineStr">
        <is>
          <t>git blame -w   # ignore whitespace
git blame -C   # detect copied lines</t>
        </is>
      </c>
      <c r="AE32" s="18" t="inlineStr">
        <is>
          <t>-L, -w, -C, git show</t>
        </is>
      </c>
      <c r="AF32" s="18" t="inlineStr">
        <is>
          <t>git log, git show, git bisect</t>
        </is>
      </c>
      <c r="AG32" s="18" t="inlineStr">
        <is>
          <t>The Blame button on GitHub</t>
        </is>
      </c>
      <c r="AH32" s="18" t="inlineStr">
        <is>
          <t>git blame, git log, git show, git bisect, git diff</t>
        </is>
      </c>
      <c r="AI32" s="18" t="inlineStr">
        <is>
          <t>The reason for an old line | Source of a bug | Understanding code</t>
        </is>
      </c>
      <c r="AJ32" s="18" t="inlineStr">
        <is>
          <t>A: Why was this odd line written? | B: Run git blame to find the commit and read its message.</t>
        </is>
      </c>
      <c r="AK32" s="18" t="inlineStr">
        <is>
          <t>✗ git blame tells you whose fault the mistake is → ✓ Blame only shows who wrote a line and when, and the commit message is where you learn the reason</t>
        </is>
      </c>
      <c r="AL32" s="18" t="inlineStr">
        <is>
          <t>git blame vs git log: blame shows the last commit for each line, log shows the whole commit history.</t>
        </is>
      </c>
      <c r="AM32" s="18" t="inlineStr">
        <is>
          <t>Do not use blame as a tool to blame people.</t>
        </is>
      </c>
      <c r="AN32" s="19" t="inlineStr">
        <is>
          <t>git blame file.js --line 10</t>
        </is>
      </c>
      <c r="AO32" s="19" t="inlineStr">
        <is>
          <t>git blame -L 10,10 file.js</t>
        </is>
      </c>
      <c r="AP32" s="18" t="inlineStr">
        <is>
          <t>Blame tells who wrote the line.</t>
        </is>
      </c>
      <c r="AQ32" s="18" t="inlineStr">
        <is>
          <t>Finding the commit behind a buggy line and understanding its reason.</t>
        </is>
      </c>
      <c r="AR32" s="18" t="inlineStr">
        <is>
          <t>An interviewer may ask: How would you find out when and why a line changed?</t>
        </is>
      </c>
      <c r="AS32" s="18" t="inlineStr">
        <is>
          <t>It is like seeing the writer's name beside every sentence of a book.</t>
        </is>
      </c>
      <c r="AT32" s="18" t="inlineStr">
        <is>
          <t>What does the -L flag do in blame?</t>
        </is>
      </c>
      <c r="AU32" s="18" t="inlineStr">
        <is>
          <t>A) Shows the log B) Chooses a range of lines C) Makes a branch D) Locks the file</t>
        </is>
      </c>
      <c r="AV32" s="18" t="inlineStr">
        <is>
          <t>B</t>
        </is>
      </c>
      <c r="AW32" s="18" t="inlineStr">
        <is>
          <t>-L start,end shows only those lines.</t>
        </is>
      </c>
      <c r="AX32" s="19" t="inlineStr">
        <is>
          <t>git blame ____ 10,20 file.js → -L</t>
        </is>
      </c>
      <c r="AY32" s="18" t="inlineStr">
        <is>
          <t>Show the blame of lines 5 to 8 of file.js.</t>
        </is>
      </c>
      <c r="AZ32" s="19" t="inlineStr">
        <is>
          <t>git blame -L 5,8 file.js</t>
        </is>
      </c>
      <c r="BA32" s="18" t="inlineStr">
        <is>
          <t>Run git blame on a file in your project and read the commit message of one line.</t>
        </is>
      </c>
      <c r="BB32" s="19" t="inlineStr">
        <is>
          <t>What command shows the full commit after blame gives you a hash?</t>
        </is>
      </c>
      <c r="BC32" s="19" t="inlineStr">
        <is>
          <t>git show &lt;hash&gt;</t>
        </is>
      </c>
      <c r="BD32" s="17">
        <f>IF(K32="","",REPT("★",K32)&amp;REPT("☆",5-K32)&amp;" ("&amp;K32&amp;"/5)")</f>
        <v/>
      </c>
      <c r="BE32" s="17">
        <f>IF(S32="","","Meaning: "&amp;S32&amp;"  =  ______   (Answer: "&amp;F32&amp;")")</f>
        <v/>
      </c>
      <c r="BF32" s="17" t="inlineStr">
        <is>
          <t>New</t>
        </is>
      </c>
      <c r="BG32" s="17" t="n"/>
      <c r="BH32" s="17" t="n"/>
      <c r="BI32" s="17" t="n"/>
      <c r="BJ32" s="17" t="n"/>
      <c r="BK32" s="17" t="n"/>
      <c r="BL32" s="17" t="n"/>
      <c r="BM32" s="17" t="n"/>
      <c r="BN32" s="17" t="n"/>
    </row>
    <row r="33" ht="81" customHeight="1">
      <c r="A33" s="17" t="inlineStr">
        <is>
          <t>GIT-045</t>
        </is>
      </c>
      <c r="B33" s="17" t="inlineStr">
        <is>
          <t>06 Security &amp; Access</t>
        </is>
      </c>
      <c r="C33" s="17" t="inlineStr">
        <is>
          <t>Intermediate</t>
        </is>
      </c>
      <c r="D33" s="17" t="n">
        <v>45</v>
      </c>
      <c r="E33" s="17" t="inlineStr">
        <is>
          <t>Claude knowledge</t>
        </is>
      </c>
      <c r="F33" s="18" t="inlineStr">
        <is>
          <t>SSH key for GitHub</t>
        </is>
      </c>
      <c r="G33" s="18" t="inlineStr">
        <is>
          <t>Which pair of keys lets you connect to GitHub securely without typing a password every time?</t>
        </is>
      </c>
      <c r="H33" s="17" t="n"/>
      <c r="I33" s="18" t="inlineStr">
        <is>
          <t>Authentication method</t>
        </is>
      </c>
      <c r="J33" s="18" t="inlineStr">
        <is>
          <t>High</t>
        </is>
      </c>
      <c r="K33" s="18" t="n">
        <v>4</v>
      </c>
      <c r="L33" s="18" t="inlineStr">
        <is>
          <t>Typing a password again and again is tiring and risky, so SSH uses a pair of keys: you give GitHub the public key and keep the private key only for yourself.</t>
        </is>
      </c>
      <c r="M33" s="18" t="inlineStr">
        <is>
          <t>Make new keys of type ed25519 and never give your private key to anyone.</t>
        </is>
      </c>
      <c r="N33" s="17" t="n"/>
      <c r="O33" s="18" t="inlineStr">
        <is>
          <t>The public key is a lock you let GitHub fit on its door, and the private key is the key only you carry.</t>
        </is>
      </c>
      <c r="P33" s="18" t="inlineStr">
        <is>
          <t>A lock is fixed on GitHub's door while the key stays in your pocket.</t>
        </is>
      </c>
      <c r="Q33" s="18" t="inlineStr">
        <is>
          <t>The convenience of a secure connection with no password.</t>
        </is>
      </c>
      <c r="R33" s="18" t="inlineStr">
        <is>
          <t>An SSH key is a pair of keys that lets you log in to GitHub securely without a password.</t>
        </is>
      </c>
      <c r="S33" s="17" t="n"/>
      <c r="T33" s="19" t="inlineStr">
        <is>
          <t>ssh-keygen -t ed25519 -C "asha@example.com"
cat ~/.ssh/id_ed25519.pub
ssh -T git@github.com</t>
        </is>
      </c>
      <c r="U33" s="19" t="inlineStr">
        <is>
          <t>Hi asha! You've successfully authenticated, but GitHub does not provide shell access.</t>
        </is>
      </c>
      <c r="V33" s="18" t="inlineStr">
        <is>
          <t>ssh-keygen creates a private key (id_ed25519) and a public key (id_ed25519.pub). You add the public key under SSH keys in GitHub settings and never share the private one. Then you use remote URLs like git@github.com:user/repo.git.</t>
        </is>
      </c>
      <c r="W33" s="18" t="inlineStr">
        <is>
          <t>SSH makes a pair of keys. Give the public one to GitHub and keep the private one with you. After that GitHub recognises you without a password.</t>
        </is>
      </c>
      <c r="X33" s="18" t="inlineStr">
        <is>
          <t>It is like giving a shop a lock while you keep the key in your own pocket.</t>
        </is>
      </c>
      <c r="Y33" s="19" t="inlineStr">
        <is>
          <t>ssh-keygen -t ed25519 -C "&lt;email&gt;"</t>
        </is>
      </c>
      <c r="Z33" s="18" t="inlineStr">
        <is>
          <t>ssh-keygen = make keys | -t ed25519 = key type | -C = comment (your email)</t>
        </is>
      </c>
      <c r="AA33" s="19" t="inlineStr">
        <is>
          <t>ssh-keygen -t ed25519 -C "asha@example.com"</t>
        </is>
      </c>
      <c r="AB33" s="19" t="inlineStr">
        <is>
          <t>ssh -T git@github.com</t>
        </is>
      </c>
      <c r="AC33" s="19" t="inlineStr">
        <is>
          <t>git clone git@github.com:asha/notes.git</t>
        </is>
      </c>
      <c r="AD33" s="19" t="inlineStr">
        <is>
          <t>ssh-add ~/.ssh/id_ed25519   # add the key to the agent
cat ~/.ssh/id_ed25519.pub   # view the public key</t>
        </is>
      </c>
      <c r="AE33" s="18" t="inlineStr">
        <is>
          <t>ssh-agent, ssh-keygen, remote URL, passphrase</t>
        </is>
      </c>
      <c r="AF33" s="18" t="inlineStr">
        <is>
          <t>Personal Access Token, HTTPS, git remote</t>
        </is>
      </c>
      <c r="AG33" s="18" t="inlineStr">
        <is>
          <t>HTTPS with a token, or gh auth login</t>
        </is>
      </c>
      <c r="AH33" s="18" t="inlineStr">
        <is>
          <t>SSH, public key, private key, passphrase, ssh-agent</t>
        </is>
      </c>
      <c r="AI33" s="18" t="inlineStr">
        <is>
          <t>Daily push and pull | Deploying to servers | Automation</t>
        </is>
      </c>
      <c r="AJ33" s="18" t="inlineStr">
        <is>
          <t>A: It asks for my password every time. | B: Make an SSH key and add the public key to GitHub.</t>
        </is>
      </c>
      <c r="AK33" s="18" t="inlineStr">
        <is>
          <t>✗ Both the public and the private key must be given to GitHub → ✓ You give GitHub only the public key, and the private key must never be given to anyone</t>
        </is>
      </c>
      <c r="AL33" s="18" t="inlineStr">
        <is>
          <t>SSH key vs Personal Access Token: an SSH key is a key pair, a token is a long secret that works with HTTPS.</t>
        </is>
      </c>
      <c r="AM33" s="18" t="inlineStr">
        <is>
          <t>Never share or commit your private key (id_ed25519).</t>
        </is>
      </c>
      <c r="AN33" s="19" t="inlineStr">
        <is>
          <t>cat ~/.ssh/id_ed25519</t>
        </is>
      </c>
      <c r="AO33" s="19" t="inlineStr">
        <is>
          <t>cat ~/.ssh/id_ed25519.pub</t>
        </is>
      </c>
      <c r="AP33" s="18" t="inlineStr">
        <is>
          <t>Public is what you Present, Private is what you Protect.</t>
        </is>
      </c>
      <c r="AQ33" s="18" t="inlineStr">
        <is>
          <t>Adding your laptop's SSH public key to GitHub so you can push without a password.</t>
        </is>
      </c>
      <c r="AR33" s="18" t="inlineStr">
        <is>
          <t>An interviewer may ask: What is the role of the public and private key in SSH?</t>
        </is>
      </c>
      <c r="AS33" s="18" t="inlineStr">
        <is>
          <t>It is like handing over a lock but keeping the key in your pocket.</t>
        </is>
      </c>
      <c r="AT33" s="18" t="inlineStr">
        <is>
          <t>Which key do you add to GitHub?</t>
        </is>
      </c>
      <c r="AU33" s="18" t="inlineStr">
        <is>
          <t>A) The public key B) The private key C) The passphrase D) Both</t>
        </is>
      </c>
      <c r="AV33" s="18" t="inlineStr">
        <is>
          <t>A</t>
        </is>
      </c>
      <c r="AW33" s="18" t="inlineStr">
        <is>
          <t>The public key goes to GitHub and the private key stays only with you.</t>
        </is>
      </c>
      <c r="AX33" s="19" t="inlineStr">
        <is>
          <t>The command to make a key is ____ -t ed25519 → ssh-keygen</t>
        </is>
      </c>
      <c r="AY33" s="18" t="inlineStr">
        <is>
          <t>Check your SSH connection to GitHub.</t>
        </is>
      </c>
      <c r="AZ33" s="19" t="inlineStr">
        <is>
          <t>ssh -T git@github.com</t>
        </is>
      </c>
      <c r="BA33" s="18" t="inlineStr">
        <is>
          <t>Make an SSH key on your laptop, add the public key to GitHub, and test the connection.</t>
        </is>
      </c>
      <c r="BB33" s="19" t="inlineStr">
        <is>
          <t>Where do you add the public key in GitHub?</t>
        </is>
      </c>
      <c r="BC33" s="19" t="inlineStr">
        <is>
          <t>In Settings, under the SSH and GPG keys section.</t>
        </is>
      </c>
      <c r="BD33" s="17">
        <f>IF(K33="","",REPT("★",K33)&amp;REPT("☆",5-K33)&amp;" ("&amp;K33&amp;"/5)")</f>
        <v/>
      </c>
      <c r="BE33" s="17">
        <f>IF(S33="","","Meaning: "&amp;S33&amp;"  =  ______   (Answer: "&amp;F33&amp;")")</f>
        <v/>
      </c>
      <c r="BF33" s="17" t="inlineStr">
        <is>
          <t>New</t>
        </is>
      </c>
      <c r="BG33" s="17" t="n"/>
      <c r="BH33" s="17" t="n"/>
      <c r="BI33" s="17" t="n"/>
      <c r="BJ33" s="17" t="n"/>
      <c r="BK33" s="17" t="n"/>
      <c r="BL33" s="17" t="n"/>
      <c r="BM33" s="17" t="n"/>
      <c r="BN33" s="17" t="n"/>
    </row>
    <row r="34" ht="81" customHeight="1">
      <c r="A34" s="17" t="inlineStr">
        <is>
          <t>GIT-046</t>
        </is>
      </c>
      <c r="B34" s="17" t="inlineStr">
        <is>
          <t>06 Security &amp; Access</t>
        </is>
      </c>
      <c r="C34" s="17" t="inlineStr">
        <is>
          <t>Intermediate</t>
        </is>
      </c>
      <c r="D34" s="17" t="n">
        <v>46</v>
      </c>
      <c r="E34" s="17" t="inlineStr">
        <is>
          <t>Claude knowledge</t>
        </is>
      </c>
      <c r="F34" s="18" t="inlineStr">
        <is>
          <t>Personal Access Token (PAT)</t>
        </is>
      </c>
      <c r="G34" s="18" t="inlineStr">
        <is>
          <t>What long secret code replaces your password when you push over HTTPS?</t>
        </is>
      </c>
      <c r="H34" s="17" t="n"/>
      <c r="I34" s="18" t="inlineStr">
        <is>
          <t>Authentication method</t>
        </is>
      </c>
      <c r="J34" s="18" t="inlineStr">
        <is>
          <t>High</t>
        </is>
      </c>
      <c r="K34" s="18" t="n">
        <v>4</v>
      </c>
      <c r="L34" s="18" t="inlineStr">
        <is>
          <t>GitHub stopped accepting account passwords for Git over HTTPS because a stolen password risks the whole account, while a token has limited permissions and an expiry and can be revoked anytime.</t>
        </is>
      </c>
      <c r="M34" s="18" t="inlineStr">
        <is>
          <t>Give a token the minimum permissions and set an expiry.</t>
        </is>
      </c>
      <c r="N34" s="17" t="n"/>
      <c r="O34" s="18" t="inlineStr">
        <is>
          <t>A token is a visitor pass that says where you can go and until when.</t>
        </is>
      </c>
      <c r="P34" s="18" t="inlineStr">
        <is>
          <t>A pass hangs from a neck showing the allowed areas and an expiry date.</t>
        </is>
      </c>
      <c r="Q34" s="18" t="inlineStr">
        <is>
          <t>Relief at giving limited access while the password stays safe.</t>
        </is>
      </c>
      <c r="R34" s="18" t="inlineStr">
        <is>
          <t>A personal access token is a secret code with limited permissions and expiry that is used instead of a password.</t>
        </is>
      </c>
      <c r="S34" s="17" t="n"/>
      <c r="T34" s="19" t="inlineStr">
        <is>
          <t>git clone https://github.com/asha/private-notes.git
Username: asha
Password: &lt;your token&gt;</t>
        </is>
      </c>
      <c r="U34" s="19" t="inlineStr">
        <is>
          <t>Cloning into 'private-notes'...
remote: Counting objects: 42, done.</t>
        </is>
      </c>
      <c r="V34" s="18" t="inlineStr">
        <is>
          <t>You create a token under Developer settings in GitHub, choosing its permissions (scopes) and expiry. A fine-grained token can be limited to a single repo. Keep it in a password manager or credential helper, never in code.</t>
        </is>
      </c>
      <c r="W34" s="18" t="inlineStr">
        <is>
          <t>Over HTTPS Git asks for a token, not a password. In the token you decide what it can do and how long it works, and you can cancel it anytime.</t>
        </is>
      </c>
      <c r="X34" s="18" t="inlineStr">
        <is>
          <t>It is like a visitor pass that says which floor you can visit and until when.</t>
        </is>
      </c>
      <c r="Y34" s="19" t="inlineStr">
        <is>
          <t>git clone https://&lt;token&gt;@github.com/&lt;user&gt;/&lt;repo&gt;.git (safer way: a credential helper)</t>
        </is>
      </c>
      <c r="Z34" s="18" t="inlineStr">
        <is>
          <t>token = in place of the password | scopes = permissions | expiry = time limit</t>
        </is>
      </c>
      <c r="AA34" s="19" t="inlineStr">
        <is>
          <t>Creating a fine-grained token in Developer settings that has read-write Contents on one repo only.</t>
        </is>
      </c>
      <c r="AB34" s="19" t="inlineStr">
        <is>
          <t>git config --global credential.helper store (a helper to keep the token)</t>
        </is>
      </c>
      <c r="AC34" s="19" t="inlineStr">
        <is>
          <t>Keeping a token as a secret on a CI server.</t>
        </is>
      </c>
      <c r="AD34" s="19" t="inlineStr">
        <is>
          <t>Fine-grained token (limited to one repo) vs classic token (broader permissions)</t>
        </is>
      </c>
      <c r="AE34" s="18" t="inlineStr">
        <is>
          <t>HTTPS, credential helper, GitHub CLI, secrets</t>
        </is>
      </c>
      <c r="AF34" s="18" t="inlineStr">
        <is>
          <t>SSH key, GitHub CLI, secrets</t>
        </is>
      </c>
      <c r="AG34" s="18" t="inlineStr">
        <is>
          <t>SSH key, gh auth login</t>
        </is>
      </c>
      <c r="AH34" s="18" t="inlineStr">
        <is>
          <t>token, scope, expiry, credential helper, secret</t>
        </is>
      </c>
      <c r="AI34" s="18" t="inlineStr">
        <is>
          <t>Git over HTTPS | Scripts and CI | API calls</t>
        </is>
      </c>
      <c r="AJ34" s="18" t="inlineStr">
        <is>
          <t>A: Push says my password is wrong. | B: GitHub no longer accepts passwords, so make a personal access token and use it in its place.</t>
        </is>
      </c>
      <c r="AK34" s="18" t="inlineStr">
        <is>
          <t>✗ It is fine to keep a token in code or a README → ✓ A token is a secret like a password, so never keep it in code, and revoke it at once if it leaks</t>
        </is>
      </c>
      <c r="AL34" s="18" t="inlineStr">
        <is>
          <t>PAT vs SSH key: a PAT works over HTTPS as a token, an SSH key is a key pair.</t>
        </is>
      </c>
      <c r="AM34" s="18" t="inlineStr">
        <is>
          <t>Do not put a token in a screenshot, a chat or a commit.</t>
        </is>
      </c>
      <c r="AN34" s="19" t="inlineStr">
        <is>
          <t>git remote add origin https://asha:ghp_abc123@github.com/asha/notes.git</t>
        </is>
      </c>
      <c r="AO34" s="19" t="inlineStr">
        <is>
          <t>git remote add origin https://github.com/asha/notes.git</t>
        </is>
      </c>
      <c r="AP34" s="18" t="inlineStr">
        <is>
          <t>A token is a key with a time limit.</t>
        </is>
      </c>
      <c r="AQ34" s="18" t="inlineStr">
        <is>
          <t>Giving a CI job a read-only token for one repo.</t>
        </is>
      </c>
      <c r="AR34" s="18" t="inlineStr">
        <is>
          <t>An interviewer may ask: What is the difference between a fine-grained and a classic token?</t>
        </is>
      </c>
      <c r="AS34" s="18" t="inlineStr">
        <is>
          <t>It is like a visitor pass that fixes where you may go.</t>
        </is>
      </c>
      <c r="AT34" s="18" t="inlineStr">
        <is>
          <t>A token has leaked. What is the very first step?</t>
        </is>
      </c>
      <c r="AU34" s="18" t="inlineStr">
        <is>
          <t>A) Delete the repo B) Write it in the README C) Revoke it at once and make a new one D) Ignore it</t>
        </is>
      </c>
      <c r="AV34" s="18" t="inlineStr">
        <is>
          <t>C</t>
        </is>
      </c>
      <c r="AW34" s="18" t="inlineStr">
        <is>
          <t>Revoking makes the old token useless immediately.</t>
        </is>
      </c>
      <c r="AX34" s="19" t="inlineStr">
        <is>
          <t>If a token leaks, you ____ it → revoke</t>
        </is>
      </c>
      <c r="AY34" s="18" t="inlineStr">
        <is>
          <t>Name a helper that keeps your token safe for git.</t>
        </is>
      </c>
      <c r="AZ34" s="19" t="inlineStr">
        <is>
          <t>git config --global credential.helper manager</t>
        </is>
      </c>
      <c r="BA34" s="18" t="inlineStr">
        <is>
          <t>Make a fine-grained token that can read only one repo.</t>
        </is>
      </c>
      <c r="BB34" s="19" t="inlineStr">
        <is>
          <t>What is the risk of giving a token too many permissions?</t>
        </is>
      </c>
      <c r="BC34" s="19" t="inlineStr">
        <is>
          <t>If it leaks, an attacker can change many more repos and things.</t>
        </is>
      </c>
      <c r="BD34" s="17">
        <f>IF(K34="","",REPT("★",K34)&amp;REPT("☆",5-K34)&amp;" ("&amp;K34&amp;"/5)")</f>
        <v/>
      </c>
      <c r="BE34" s="17">
        <f>IF(S34="","","Meaning: "&amp;S34&amp;"  =  ______   (Answer: "&amp;F34&amp;")")</f>
        <v/>
      </c>
      <c r="BF34" s="17" t="inlineStr">
        <is>
          <t>New</t>
        </is>
      </c>
      <c r="BG34" s="17" t="n"/>
      <c r="BH34" s="17" t="n"/>
      <c r="BI34" s="17" t="n"/>
      <c r="BJ34" s="17" t="n"/>
      <c r="BK34" s="17" t="n"/>
      <c r="BL34" s="17" t="n"/>
      <c r="BM34" s="17" t="n"/>
      <c r="BN34" s="17" t="n"/>
    </row>
    <row r="35" ht="67.5" customHeight="1">
      <c r="A35" s="17" t="inlineStr">
        <is>
          <t>GIT-048</t>
        </is>
      </c>
      <c r="B35" s="17" t="inlineStr">
        <is>
          <t>06 Security &amp; Access</t>
        </is>
      </c>
      <c r="C35" s="17" t="inlineStr">
        <is>
          <t>Advanced</t>
        </is>
      </c>
      <c r="D35" s="17" t="n">
        <v>48</v>
      </c>
      <c r="E35" s="17" t="inlineStr">
        <is>
          <t>Claude knowledge</t>
        </is>
      </c>
      <c r="F35" s="18" t="inlineStr">
        <is>
          <t>Signed commits (GPG / SSH signing)</t>
        </is>
      </c>
      <c r="G35" s="18" t="inlineStr">
        <is>
          <t>How does the green Verified badge get onto a commit on GitHub?</t>
        </is>
      </c>
      <c r="H35" s="17" t="n"/>
      <c r="I35" s="18" t="inlineStr">
        <is>
          <t>Git feature</t>
        </is>
      </c>
      <c r="J35" s="18" t="inlineStr">
        <is>
          <t>Low</t>
        </is>
      </c>
      <c r="K35" s="18" t="n">
        <v>3</v>
      </c>
      <c r="L35" s="18" t="inlineStr">
        <is>
          <t>Anyone can write any author name in Git, so a digital signature was introduced to prove that the real person made a commit.</t>
        </is>
      </c>
      <c r="M35" s="18" t="inlineStr">
        <is>
          <t>Newer Git can sign commits with an SSH key, so GPG is not required.</t>
        </is>
      </c>
      <c r="N35" s="17" t="n"/>
      <c r="O35" s="18" t="inlineStr">
        <is>
          <t>A signature is the real autograph on a cheque that proves you made the commit.</t>
        </is>
      </c>
      <c r="P35" s="18" t="inlineStr">
        <is>
          <t>A small green Verified badge glows beside a commit.</t>
        </is>
      </c>
      <c r="Q35" s="18" t="inlineStr">
        <is>
          <t>Trust that your commit is proven to be yours.</t>
        </is>
      </c>
      <c r="R35" s="18" t="inlineStr">
        <is>
          <t>A signed commit carries a digital signature that proves the real author made it.</t>
        </is>
      </c>
      <c r="S35" s="17" t="n"/>
      <c r="T35" s="19" t="inlineStr">
        <is>
          <t>git config --global gpg.format ssh
git config --global user.signingkey ~/.ssh/id_ed25519.pub
git config --global commit.gpgsign true</t>
        </is>
      </c>
      <c r="U35" s="19" t="inlineStr">
        <is>
          <t>(the settings are saved; every commit will now be signed)</t>
        </is>
      </c>
      <c r="V35" s="18" t="inlineStr">
        <is>
          <t>You set a signing key and add the same public key to GitHub as a signing key. Each commit then carries a signature and GitHub shows Verified. Branch protection can require signed commits.</t>
        </is>
      </c>
      <c r="W35" s="18" t="inlineStr">
        <is>
          <t>A signed commit carries your signature, so nobody else can send commits in your name, and GitHub shows it as Verified.</t>
        </is>
      </c>
      <c r="X35" s="18" t="inlineStr">
        <is>
          <t>It is like a real signature on a cheque proving you issued it.</t>
        </is>
      </c>
      <c r="Y35" s="19" t="inlineStr">
        <is>
          <t>git commit -S -m "&lt;message&gt;"</t>
        </is>
      </c>
      <c r="Z35" s="18" t="inlineStr">
        <is>
          <t>-S = sign the commit | commit.gpgsign = always sign | user.signingkey = which key</t>
        </is>
      </c>
      <c r="AA35" s="19" t="inlineStr">
        <is>
          <t>git commit -S -m "Fix login"</t>
        </is>
      </c>
      <c r="AB35" s="19" t="inlineStr">
        <is>
          <t>git config --global commit.gpgsign true</t>
        </is>
      </c>
      <c r="AC35" s="19" t="inlineStr">
        <is>
          <t>git log --show-signature -1</t>
        </is>
      </c>
      <c r="AD35" s="19" t="inlineStr">
        <is>
          <t>git tag -s v1.0.0 -m "Release"   # sign a tag
git verify-commit HEAD</t>
        </is>
      </c>
      <c r="AE35" s="18" t="inlineStr">
        <is>
          <t>GPG, SSH, commit.gpgsign, signingkey</t>
        </is>
      </c>
      <c r="AF35" s="18" t="inlineStr">
        <is>
          <t>SSH key, branch protection, GPG</t>
        </is>
      </c>
      <c r="AG35" s="18" t="inlineStr">
        <is>
          <t>Vigilant mode, or signing with an SSH key alone</t>
        </is>
      </c>
      <c r="AH35" s="18" t="inlineStr">
        <is>
          <t>signed commit, GPG, signing key, Verified, vigilant mode</t>
        </is>
      </c>
      <c r="AI35" s="18" t="inlineStr">
        <is>
          <t>Open-source maintainers | Security-sensitive projects | Compliance</t>
        </is>
      </c>
      <c r="AJ35" s="18" t="inlineStr">
        <is>
          <t>A: My commit does not show Verified. | B: Add the signing key to GitHub and set commit.gpgsign to true.</t>
        </is>
      </c>
      <c r="AK35" s="18" t="inlineStr">
        <is>
          <t>✗ A name and email on a commit prove who the real author is → ✓ Anyone can write a name and email, and only a signature proves the author</t>
        </is>
      </c>
      <c r="AL35" s="18" t="inlineStr">
        <is>
          <t>Signed commit vs SSH login: SSH login identifies a connection, signing proves a commit's authenticity.</t>
        </is>
      </c>
      <c r="AM35" s="18" t="inlineStr">
        <is>
          <t>Do not share your private signing key with anyone.</t>
        </is>
      </c>
      <c r="AN35" s="19" t="inlineStr">
        <is>
          <t>git commit --sign-it -m "Fix"</t>
        </is>
      </c>
      <c r="AO35" s="19" t="inlineStr">
        <is>
          <t>git commit -S -m "Fix"</t>
        </is>
      </c>
      <c r="AP35" s="18" t="inlineStr">
        <is>
          <t>Sign means prove it is really me.</t>
        </is>
      </c>
      <c r="AQ35" s="18" t="inlineStr">
        <is>
          <t>Requiring signed commits for every maintainer in an open-source project.</t>
        </is>
      </c>
      <c r="AR35" s="18" t="inlineStr">
        <is>
          <t>An interviewer may ask: Why are signed commits important?</t>
        </is>
      </c>
      <c r="AS35" s="18" t="inlineStr">
        <is>
          <t>It is like proving a cheque is yours by a real signature.</t>
        </is>
      </c>
      <c r="AT35" s="18" t="inlineStr">
        <is>
          <t>When does GitHub show Verified on a commit?</t>
        </is>
      </c>
      <c r="AU35" s="18" t="inlineStr">
        <is>
          <t>A) When it is on main B) When the PR is merged C) When the commit is big D) When the commit is signed with a valid signature</t>
        </is>
      </c>
      <c r="AV35" s="18" t="inlineStr">
        <is>
          <t>D</t>
        </is>
      </c>
      <c r="AW35" s="18" t="inlineStr">
        <is>
          <t>GitHub checks the signature and then shows Verified.</t>
        </is>
      </c>
      <c r="AX35" s="19" t="inlineStr">
        <is>
          <t>The flag to sign a commit is ____ → -S</t>
        </is>
      </c>
      <c r="AY35" s="18" t="inlineStr">
        <is>
          <t>Sign the commit and save it with the message Fix login.</t>
        </is>
      </c>
      <c r="AZ35" s="19" t="inlineStr">
        <is>
          <t>git commit -S -m "Fix login"</t>
        </is>
      </c>
      <c r="BA35" s="18" t="inlineStr">
        <is>
          <t>Set up SSH signing on your laptop and make one signed commit.</t>
        </is>
      </c>
      <c r="BB35" s="19" t="inlineStr">
        <is>
          <t>How do you check the signature in git log?</t>
        </is>
      </c>
      <c r="BC35" s="19" t="inlineStr">
        <is>
          <t>git log --show-signature</t>
        </is>
      </c>
      <c r="BD35" s="17">
        <f>IF(K35="","",REPT("★",K35)&amp;REPT("☆",5-K35)&amp;" ("&amp;K35&amp;"/5)")</f>
        <v/>
      </c>
      <c r="BE35" s="17">
        <f>IF(S35="","","Meaning: "&amp;S35&amp;"  =  ______   (Answer: "&amp;F35&amp;")")</f>
        <v/>
      </c>
      <c r="BF35" s="17" t="inlineStr">
        <is>
          <t>New</t>
        </is>
      </c>
      <c r="BG35" s="17" t="n"/>
      <c r="BH35" s="17" t="n"/>
      <c r="BI35" s="17" t="n"/>
      <c r="BJ35" s="17" t="n"/>
      <c r="BK35" s="17" t="n"/>
      <c r="BL35" s="17" t="n"/>
      <c r="BM35" s="17" t="n"/>
      <c r="BN35" s="17" t="n"/>
    </row>
    <row r="36" ht="121.5" customHeight="1">
      <c r="A36" s="17" t="inlineStr">
        <is>
          <t>GIT-050</t>
        </is>
      </c>
      <c r="B36" s="17" t="inlineStr">
        <is>
          <t>07 GitHub Platform</t>
        </is>
      </c>
      <c r="C36" s="17" t="inlineStr">
        <is>
          <t>Advanced</t>
        </is>
      </c>
      <c r="D36" s="17" t="n">
        <v>50</v>
      </c>
      <c r="E36" s="17" t="inlineStr">
        <is>
          <t>Claude knowledge</t>
        </is>
      </c>
      <c r="F36" s="18" t="inlineStr">
        <is>
          <t>GitHub Actions</t>
        </is>
      </c>
      <c r="G36" s="18" t="inlineStr">
        <is>
          <t>Which GitHub feature runs your tests, builds and deployments automatically when you push or open a PR?</t>
        </is>
      </c>
      <c r="H36" s="17" t="n"/>
      <c r="I36" s="18" t="inlineStr">
        <is>
          <t>CI/CD platform</t>
        </is>
      </c>
      <c r="J36" s="18" t="inlineStr">
        <is>
          <t>Very high</t>
        </is>
      </c>
      <c r="K36" s="18" t="n">
        <v>5</v>
      </c>
      <c r="L36" s="18" t="inlineStr">
        <is>
          <t>Running tests and deployments by hand was slow and error-prone, so GitHub added workflows inside the repository that run on events.</t>
        </is>
      </c>
      <c r="M36" s="18" t="inlineStr">
        <is>
          <t>Start by writing one small test workflow and running it on a PR.</t>
        </is>
      </c>
      <c r="N36" s="17" t="n"/>
      <c r="O36" s="18" t="inlineStr">
        <is>
          <t>Actions is a robot that runs the tests the moment you push and hands you the receipt.</t>
        </is>
      </c>
      <c r="P36" s="18" t="inlineStr">
        <is>
          <t>A robot works through a line of tasks and sets a green or red mark on each push.</t>
        </is>
      </c>
      <c r="Q36" s="18" t="inlineStr">
        <is>
          <t>The calm of seeing tests run on their own for every PR.</t>
        </is>
      </c>
      <c r="R36" s="18" t="inlineStr">
        <is>
          <t>GitHub Actions runs automatic work from a workflow file when events happen in a repository.</t>
        </is>
      </c>
      <c r="S36" s="17" t="n"/>
      <c r="T36" s="19" t="inlineStr">
        <is>
          <t>name: CI
on: [push, pull_request]
jobs:
  test:
    runs-on: ubuntu-latest
    steps:
      - uses: actions/checkout@v4
      - run: npm ci
      - run: npm test</t>
        </is>
      </c>
      <c r="U36" s="19" t="inlineStr">
        <is>
          <t>This workflow runs on each push and shows pass or fail in the Actions tab.</t>
        </is>
      </c>
      <c r="V36" s="18" t="inlineStr">
        <is>
          <t>A workflow is a YAML file in .github/workflows/. It says on which event, which jobs and which steps. Jobs run on a runner machine such as ubuntu-latest. Secrets live in repository secrets. Check the Marketplace for the current checkout version.</t>
        </is>
      </c>
      <c r="W36" s="18" t="inlineStr">
        <is>
          <t>You write a YAML file in .github/workflows saying when and what to run. After that GitHub runs it by itself on every push.</t>
        </is>
      </c>
      <c r="X36" s="18" t="inlineStr">
        <is>
          <t>It is like a robot that checks each newly arrived item and hands you a receipt.</t>
        </is>
      </c>
      <c r="Y36" s="19" t="inlineStr">
        <is>
          <t>on: &lt;event&gt; → jobs: &lt;job&gt;: runs-on, steps</t>
        </is>
      </c>
      <c r="Z36" s="18" t="inlineStr">
        <is>
          <t>on = when it runs | jobs = the work | runs-on = which machine | steps = each command</t>
        </is>
      </c>
      <c r="AA36" s="19" t="inlineStr">
        <is>
          <t>on: push (run the tests on every push)</t>
        </is>
      </c>
      <c r="AB36" s="19" t="inlineStr">
        <is>
          <t>on: pull_request (check PRs)</t>
        </is>
      </c>
      <c r="AC36" s="19" t="inlineStr">
        <is>
          <t>on: schedule cron (a build every night)</t>
        </is>
      </c>
      <c r="AD36" s="19" t="inlineStr">
        <is>
          <t>on: workflow_dispatch   # run by hand
strategy: matrix   # test on many versions</t>
        </is>
      </c>
      <c r="AE36" s="18" t="inlineStr">
        <is>
          <t>YAML, secrets, runner, matrix</t>
        </is>
      </c>
      <c r="AF36" s="18" t="inlineStr">
        <is>
          <t>pull request, branch protection, secrets, releases</t>
        </is>
      </c>
      <c r="AG36" s="18" t="inlineStr">
        <is>
          <t>Jenkins, GitLab CI, CircleCI</t>
        </is>
      </c>
      <c r="AH36" s="18" t="inlineStr">
        <is>
          <t>workflow, job, step, runner, action</t>
        </is>
      </c>
      <c r="AI36" s="18" t="inlineStr">
        <is>
          <t>CI testing | Deploys | Release automation</t>
        </is>
      </c>
      <c r="AJ36" s="18" t="inlineStr">
        <is>
          <t>A: No tests run on my PR. | B: Add a workflow file under .github/workflows and it will run on each PR.</t>
        </is>
      </c>
      <c r="AK36" s="18" t="inlineStr">
        <is>
          <t>✗ GitHub Actions is only for building code → ✓ Actions can automate anything on any event: labels, releases, deploys, issue triage</t>
        </is>
      </c>
      <c r="AL36" s="18" t="inlineStr">
        <is>
          <t>workflow vs job: a workflow is the whole file, a job is a group of tasks inside it.</t>
        </is>
      </c>
      <c r="AM36" s="18" t="inlineStr">
        <is>
          <t>Do not write secrets in a workflow file, use repository secrets.</t>
        </is>
      </c>
      <c r="AN36" s="19" t="inlineStr">
        <is>
          <t>on push: runs-on ubuntu</t>
        </is>
      </c>
      <c r="AO36" s="19" t="inlineStr">
        <is>
          <t>on: push</t>
        </is>
      </c>
      <c r="AP36" s="18" t="inlineStr">
        <is>
          <t>Actions means things happen automatically for you.</t>
        </is>
      </c>
      <c r="AQ36" s="18" t="inlineStr">
        <is>
          <t>Running tests and lint on every PR and merging only when they pass.</t>
        </is>
      </c>
      <c r="AR36" s="18" t="inlineStr">
        <is>
          <t>An interviewer may ask: What is the difference between a workflow, a job and a step?</t>
        </is>
      </c>
      <c r="AS36" s="18" t="inlineStr">
        <is>
          <t>It is like a robot that checks every new item and hands over a receipt.</t>
        </is>
      </c>
      <c r="AT36" s="18" t="inlineStr">
        <is>
          <t>In which folder are workflow files kept in a repository?</t>
        </is>
      </c>
      <c r="AU36" s="18" t="inlineStr">
        <is>
          <t>A) .github/workflows B) .git/workflows C) workflows/ D) .actions/</t>
        </is>
      </c>
      <c r="AV36" s="18" t="inlineStr">
        <is>
          <t>A</t>
        </is>
      </c>
      <c r="AW36" s="18" t="inlineStr">
        <is>
          <t>GitHub runs the YAML files inside .github/workflows.</t>
        </is>
      </c>
      <c r="AX36" s="19" t="inlineStr">
        <is>
          <t>The key that says when a workflow runs is ____ → on</t>
        </is>
      </c>
      <c r="AY36" s="18" t="inlineStr">
        <is>
          <t>Write the line that runs a workflow on every push.</t>
        </is>
      </c>
      <c r="AZ36" s="19" t="inlineStr">
        <is>
          <t>on: push</t>
        </is>
      </c>
      <c r="BA36" s="18" t="inlineStr">
        <is>
          <t>Make a small workflow that runs echo hello on every push.</t>
        </is>
      </c>
      <c r="BB36" s="19" t="inlineStr">
        <is>
          <t>How do you use secrets safely in a workflow?</t>
        </is>
      </c>
      <c r="BC36" s="19" t="inlineStr">
        <is>
          <t>Keep them in repository secrets and read them with ${{ secrets.NAME }}.</t>
        </is>
      </c>
      <c r="BD36" s="17">
        <f>IF(K36="","",REPT("★",K36)&amp;REPT("☆",5-K36)&amp;" ("&amp;K36&amp;"/5)")</f>
        <v/>
      </c>
      <c r="BE36" s="17">
        <f>IF(S36="","","Meaning: "&amp;S36&amp;"  =  ______   (Answer: "&amp;F36&amp;")")</f>
        <v/>
      </c>
      <c r="BF36" s="17" t="inlineStr">
        <is>
          <t>New</t>
        </is>
      </c>
      <c r="BG36" s="17" t="n"/>
      <c r="BH36" s="17" t="n"/>
      <c r="BI36" s="17" t="n"/>
      <c r="BJ36" s="17" t="n"/>
      <c r="BK36" s="17" t="n"/>
      <c r="BL36" s="17" t="n"/>
      <c r="BM36" s="17" t="n"/>
      <c r="BN36" s="17" t="n"/>
    </row>
    <row r="37" ht="81" customHeight="1">
      <c r="A37" s="17" t="inlineStr">
        <is>
          <t>GIT-051</t>
        </is>
      </c>
      <c r="B37" s="17" t="inlineStr">
        <is>
          <t>07 GitHub Platform</t>
        </is>
      </c>
      <c r="C37" s="17" t="inlineStr">
        <is>
          <t>Intermediate</t>
        </is>
      </c>
      <c r="D37" s="17" t="n">
        <v>51</v>
      </c>
      <c r="E37" s="17" t="inlineStr">
        <is>
          <t>Claude knowledge</t>
        </is>
      </c>
      <c r="F37" s="18" t="inlineStr">
        <is>
          <t>GitHub Releases</t>
        </is>
      </c>
      <c r="G37" s="18" t="inlineStr">
        <is>
          <t>How do you officially publish a version on GitHub with a name, notes and downloadable files?</t>
        </is>
      </c>
      <c r="H37" s="17" t="n"/>
      <c r="I37" s="18" t="inlineStr">
        <is>
          <t>GitHub feature</t>
        </is>
      </c>
      <c r="J37" s="18" t="inlineStr">
        <is>
          <t>Medium</t>
        </is>
      </c>
      <c r="K37" s="18" t="n">
        <v>3</v>
      </c>
      <c r="L37" s="18" t="inlineStr">
        <is>
          <t>A tag alone does not tell users what is new, so GitHub Releases adds release notes and downloadable files on top of a tag.</t>
        </is>
      </c>
      <c r="M37" s="18" t="inlineStr">
        <is>
          <t>Write a changelog in each release and follow semantic versioning.</t>
        </is>
      </c>
      <c r="N37" s="17" t="n"/>
      <c r="O37" s="18" t="inlineStr">
        <is>
          <t>A release is the launch of a new product that arrives with a small note about what is inside.</t>
        </is>
      </c>
      <c r="P37" s="18" t="inlineStr">
        <is>
          <t>A page shows a version number, notes, and files to download below.</t>
        </is>
      </c>
      <c r="Q37" s="18" t="inlineStr">
        <is>
          <t>Pride at getting a new version into people's hands.</t>
        </is>
      </c>
      <c r="R37" s="18" t="inlineStr">
        <is>
          <t>A GitHub Release is a version page built on a tag with notes and files.</t>
        </is>
      </c>
      <c r="S37" s="17" t="n"/>
      <c r="T37" s="19" t="inlineStr">
        <is>
          <t>git tag -a v1.2.0 -m "Search added"
git push origin v1.2.0
gh release create v1.2.0 --generate-notes</t>
        </is>
      </c>
      <c r="U37" s="19" t="inlineStr">
        <is>
          <t>https://github.com/asha/notes/releases/tag/v1.2.0</t>
        </is>
      </c>
      <c r="V37" s="18" t="inlineStr">
        <is>
          <t>A release is a page attached to a tag. You can write the notes by hand or have GitHub generate them, and attach built files. You can mark a release as a pre-release for an early version.</t>
        </is>
      </c>
      <c r="W37" s="18" t="inlineStr">
        <is>
          <t>Put a tag and then build a release on it. Users see what is new in the notes and can download built files straight away.</t>
        </is>
      </c>
      <c r="X37" s="18" t="inlineStr">
        <is>
          <t>It is like launching a new product with a small note inside the box.</t>
        </is>
      </c>
      <c r="Y37" s="19" t="inlineStr">
        <is>
          <t>gh release create &lt;tag&gt; [--generate-notes]</t>
        </is>
      </c>
      <c r="Z37" s="18" t="inlineStr">
        <is>
          <t>gh release create = make a release | &lt;tag&gt; = the version tag | --generate-notes = write notes automatically</t>
        </is>
      </c>
      <c r="AA37" s="19" t="inlineStr">
        <is>
          <t>gh release create v1.0.0 --generate-notes</t>
        </is>
      </c>
      <c r="AB37" s="19" t="inlineStr">
        <is>
          <t>gh release create v1.1.0 dist/app.zip --notes "Bug fixes"</t>
        </is>
      </c>
      <c r="AC37" s="19" t="inlineStr">
        <is>
          <t>gh release create v2.0.0-beta.1 --prerelease</t>
        </is>
      </c>
      <c r="AD37" s="19" t="inlineStr">
        <is>
          <t>gh release list   # see releases
gh release delete v1.0.0</t>
        </is>
      </c>
      <c r="AE37" s="18" t="inlineStr">
        <is>
          <t>git tag, gh CLI, semantic versioning, changelog</t>
        </is>
      </c>
      <c r="AF37" s="18" t="inlineStr">
        <is>
          <t>git tag, GitHub Actions, changelog</t>
        </is>
      </c>
      <c r="AG37" s="18" t="inlineStr">
        <is>
          <t>A bare tag, or a package registry</t>
        </is>
      </c>
      <c r="AH37" s="18" t="inlineStr">
        <is>
          <t>release, tag, changelog, pre-release, asset</t>
        </is>
      </c>
      <c r="AI37" s="18" t="inlineStr">
        <is>
          <t>Software launches | Open-source libraries | Download links</t>
        </is>
      </c>
      <c r="AJ37" s="18" t="inlineStr">
        <is>
          <t>A: How do we tell users about the new version? | B: Make a GitHub Release with notes and files.</t>
        </is>
      </c>
      <c r="AK37" s="18" t="inlineStr">
        <is>
          <t>✗ A release and a tag are the same thing → ✓ A tag is just a label on a commit, while a release is a page on top of it with notes and files</t>
        </is>
      </c>
      <c r="AL37" s="18" t="inlineStr">
        <is>
          <t>tag vs release: a tag names a commit, a release is a page on it with notes and files.</t>
        </is>
      </c>
      <c r="AM37" s="18" t="inlineStr">
        <is>
          <t>Do not change a tag that has been pushed in order to make a release.</t>
        </is>
      </c>
      <c r="AN37" s="19" t="inlineStr">
        <is>
          <t>gh release v1.0.0</t>
        </is>
      </c>
      <c r="AO37" s="19" t="inlineStr">
        <is>
          <t>gh release create v1.0.0</t>
        </is>
      </c>
      <c r="AP37" s="18" t="inlineStr">
        <is>
          <t>A release is a tag with a receipt.</t>
        </is>
      </c>
      <c r="AQ37" s="18" t="inlineStr">
        <is>
          <t>Making an automatic release for every version with built files attached.</t>
        </is>
      </c>
      <c r="AR37" s="18" t="inlineStr">
        <is>
          <t>An interviewer may ask: What is the difference between a tag and a release?</t>
        </is>
      </c>
      <c r="AS37" s="18" t="inlineStr">
        <is>
          <t>It is like placing a small note inside a new product's box.</t>
        </is>
      </c>
      <c r="AT37" s="18" t="inlineStr">
        <is>
          <t>What does a release usually add that a tag does not have?</t>
        </is>
      </c>
      <c r="AU37" s="18" t="inlineStr">
        <is>
          <t>A) Collaborators B) Issues C) A branch D) Notes and downloadable files</t>
        </is>
      </c>
      <c r="AV37" s="18" t="inlineStr">
        <is>
          <t>D</t>
        </is>
      </c>
      <c r="AW37" s="18" t="inlineStr">
        <is>
          <t>A release adds notes and files on top of a tag.</t>
        </is>
      </c>
      <c r="AX37" s="19" t="inlineStr">
        <is>
          <t>A release marked as an early, not-final version is made with the ____ flag → --prerelease</t>
        </is>
      </c>
      <c r="AY37" s="18" t="inlineStr">
        <is>
          <t>Make a release for v1.0.0 with auto-generated notes.</t>
        </is>
      </c>
      <c r="AZ37" s="19" t="inlineStr">
        <is>
          <t>gh release create v1.0.0 --generate-notes</t>
        </is>
      </c>
      <c r="BA37" s="18" t="inlineStr">
        <is>
          <t>Put a tag on your repo and make a release from it.</t>
        </is>
      </c>
      <c r="BB37" s="19" t="inlineStr">
        <is>
          <t>How do you attach built files to a release?</t>
        </is>
      </c>
      <c r="BC37" s="19" t="inlineStr">
        <is>
          <t>Give the file path with gh release create, or upload them on the web page.</t>
        </is>
      </c>
      <c r="BD37" s="17">
        <f>IF(K37="","",REPT("★",K37)&amp;REPT("☆",5-K37)&amp;" ("&amp;K37&amp;"/5)")</f>
        <v/>
      </c>
      <c r="BE37" s="17">
        <f>IF(S37="","","Meaning: "&amp;S37&amp;"  =  ______   (Answer: "&amp;F37&amp;")")</f>
        <v/>
      </c>
      <c r="BF37" s="17" t="inlineStr">
        <is>
          <t>New</t>
        </is>
      </c>
      <c r="BG37" s="17" t="n"/>
      <c r="BH37" s="17" t="n"/>
      <c r="BI37" s="17" t="n"/>
      <c r="BJ37" s="17" t="n"/>
      <c r="BK37" s="17" t="n"/>
      <c r="BL37" s="17" t="n"/>
      <c r="BM37" s="17" t="n"/>
      <c r="BN37" s="17" t="n"/>
    </row>
    <row r="38" ht="67.5" customHeight="1">
      <c r="A38" s="17" t="inlineStr">
        <is>
          <t>GIT-052</t>
        </is>
      </c>
      <c r="B38" s="17" t="inlineStr">
        <is>
          <t>07 GitHub Platform</t>
        </is>
      </c>
      <c r="C38" s="17" t="inlineStr">
        <is>
          <t>Intermediate</t>
        </is>
      </c>
      <c r="D38" s="17" t="n">
        <v>52</v>
      </c>
      <c r="E38" s="17" t="inlineStr">
        <is>
          <t>Claude knowledge</t>
        </is>
      </c>
      <c r="F38" s="18" t="inlineStr">
        <is>
          <t>GitHub Pages</t>
        </is>
      </c>
      <c r="G38" s="18" t="inlineStr">
        <is>
          <t>Which GitHub feature hosts your static website for free straight from a repository?</t>
        </is>
      </c>
      <c r="H38" s="17" t="n"/>
      <c r="I38" s="18" t="inlineStr">
        <is>
          <t>GitHub feature</t>
        </is>
      </c>
      <c r="J38" s="18" t="inlineStr">
        <is>
          <t>Medium</t>
        </is>
      </c>
      <c r="K38" s="18" t="n">
        <v>3</v>
      </c>
      <c r="L38" s="18" t="inlineStr">
        <is>
          <t>Developers should not need a separate server for a small website or project docs, so GitHub lets files in a repository be served directly as a website.</t>
        </is>
      </c>
      <c r="M38" s="18" t="inlineStr">
        <is>
          <t>Create a repo named username.github.io for your portfolio.</t>
        </is>
      </c>
      <c r="N38" s="17" t="n"/>
      <c r="O38" s="18" t="inlineStr">
        <is>
          <t>Pages is a notice board that shows your repo files straight to the world.</t>
        </is>
      </c>
      <c r="P38" s="18" t="inlineStr">
        <is>
          <t>A repo folder turns directly into a website.</t>
        </is>
      </c>
      <c r="Q38" s="18" t="inlineStr">
        <is>
          <t>Pride at seeing your own website live.</t>
        </is>
      </c>
      <c r="R38" s="18" t="inlineStr">
        <is>
          <t>GitHub Pages hosts the static files (HTML, CSS, JS) of a repository as a website.</t>
        </is>
      </c>
      <c r="S38" s="17" t="n"/>
      <c r="T38" s="19" t="inlineStr">
        <is>
          <t>git switch -c gh-pages
git push origin gh-pages</t>
        </is>
      </c>
      <c r="U38" s="19" t="inlineStr">
        <is>
          <t>After you choose the gh-pages branch under Settings &gt; Pages, the site appears at https://asha.github.io/notes/</t>
        </is>
      </c>
      <c r="V38" s="18" t="inlineStr">
        <is>
          <t>In Settings under Pages you choose a branch and folder, and GitHub hosts those files on github.io. Only static files work, not server-side code. A custom domain can be added too.</t>
        </is>
      </c>
      <c r="W38" s="18" t="inlineStr">
        <is>
          <t>Put HTML files in a repo and turn on Pages. In a few minutes your website is live at username.github.io.</t>
        </is>
      </c>
      <c r="X38" s="18" t="inlineStr">
        <is>
          <t>It is like a signboard in front of a shop that everyone outside can see.</t>
        </is>
      </c>
      <c r="Y38" s="19" t="inlineStr">
        <is>
          <t>Settings → Pages → Source: choose a branch and folder</t>
        </is>
      </c>
      <c r="Z38" s="18" t="inlineStr">
        <is>
          <t>Source = which branch | folder = / or /docs | URL = username.github.io/repo</t>
        </is>
      </c>
      <c r="AA38" s="19" t="inlineStr">
        <is>
          <t>Hosting a personal portfolio at username.github.io.</t>
        </is>
      </c>
      <c r="AB38" s="19" t="inlineStr">
        <is>
          <t>Hosting a library's docs from the /docs folder.</t>
        </is>
      </c>
      <c r="AC38" s="19" t="inlineStr">
        <is>
          <t>Making a blog with Jekyll or another static site generator.</t>
        </is>
      </c>
      <c r="AD38" s="19" t="inlineStr">
        <is>
          <t>Custom domain: add a CNAME file or set the domain in Settings</t>
        </is>
      </c>
      <c r="AE38" s="18" t="inlineStr">
        <is>
          <t>HTML, Jekyll, custom domain, Actions</t>
        </is>
      </c>
      <c r="AF38" s="18" t="inlineStr">
        <is>
          <t>GitHub Actions, README, static site</t>
        </is>
      </c>
      <c r="AG38" s="18" t="inlineStr">
        <is>
          <t>Netlify, Vercel, Cloudflare Pages</t>
        </is>
      </c>
      <c r="AH38" s="18" t="inlineStr">
        <is>
          <t>Pages, static site, domain, deploy, Jekyll</t>
        </is>
      </c>
      <c r="AI38" s="18" t="inlineStr">
        <is>
          <t>Portfolios | Project docs | Small websites</t>
        </is>
      </c>
      <c r="AJ38" s="18" t="inlineStr">
        <is>
          <t>A: Where should I host my website? | B: Turn on GitHub Pages, it is free and easy.</t>
        </is>
      </c>
      <c r="AK38" s="18" t="inlineStr">
        <is>
          <t>✗ A backend with a database can run on GitHub Pages → ✓ Pages hosts only static files, and a server or database needs separate hosting</t>
        </is>
      </c>
      <c r="AL38" s="18" t="inlineStr">
        <is>
          <t>GitHub vs GitHub Pages: GitHub stores the code, Pages turns that code into a website.</t>
        </is>
      </c>
      <c r="AM38" s="18" t="inlineStr">
        <is>
          <t>Do not keep private or secret things in a Pages repo, the site can be public.</t>
        </is>
      </c>
      <c r="AN38" s="19" t="inlineStr">
        <is>
          <t>git push origin pages-site --host</t>
        </is>
      </c>
      <c r="AO38" s="19" t="inlineStr">
        <is>
          <t>git push origin gh-pages</t>
        </is>
      </c>
      <c r="AP38" s="18" t="inlineStr">
        <is>
          <t>Pages means a public website straight from the repo.</t>
        </is>
      </c>
      <c r="AQ38" s="18" t="inlineStr">
        <is>
          <t>Hosting a library's docs on GitHub Pages for free.</t>
        </is>
      </c>
      <c r="AR38" s="18" t="inlineStr">
        <is>
          <t>An interviewer may ask: What kind of content can GitHub Pages host?</t>
        </is>
      </c>
      <c r="AS38" s="18" t="inlineStr">
        <is>
          <t>It is like a signboard that everyone can see in front of a shop.</t>
        </is>
      </c>
      <c r="AT38" s="18" t="inlineStr">
        <is>
          <t>What kind of content can GitHub Pages host?</t>
        </is>
      </c>
      <c r="AU38" s="18" t="inlineStr">
        <is>
          <t>A) Only a database B) Static files (HTML, CSS, JS) C) A full backend server D) Only video</t>
        </is>
      </c>
      <c r="AV38" s="18" t="inlineStr">
        <is>
          <t>B</t>
        </is>
      </c>
      <c r="AW38" s="18" t="inlineStr">
        <is>
          <t>Pages serves only static files.</t>
        </is>
      </c>
      <c r="AX38" s="19" t="inlineStr">
        <is>
          <t>A Pages site usually appears at ____ .github.io → username</t>
        </is>
      </c>
      <c r="AY38" s="18" t="inlineStr">
        <is>
          <t>Push your gh-pages branch to GitHub.</t>
        </is>
      </c>
      <c r="AZ38" s="19" t="inlineStr">
        <is>
          <t>git push origin gh-pages</t>
        </is>
      </c>
      <c r="BA38" s="18" t="inlineStr">
        <is>
          <t>Make a small HTML page and put it live on GitHub Pages.</t>
        </is>
      </c>
      <c r="BB38" s="19" t="inlineStr">
        <is>
          <t>How do you add a custom domain to Pages?</t>
        </is>
      </c>
      <c r="BC38" s="19" t="inlineStr">
        <is>
          <t>Enter the domain in Settings and set a CNAME or A records in your DNS.</t>
        </is>
      </c>
      <c r="BD38" s="17">
        <f>IF(K38="","",REPT("★",K38)&amp;REPT("☆",5-K38)&amp;" ("&amp;K38&amp;"/5)")</f>
        <v/>
      </c>
      <c r="BE38" s="17">
        <f>IF(S38="","","Meaning: "&amp;S38&amp;"  =  ______   (Answer: "&amp;F38&amp;")")</f>
        <v/>
      </c>
      <c r="BF38" s="17" t="inlineStr">
        <is>
          <t>New</t>
        </is>
      </c>
      <c r="BG38" s="17" t="n"/>
      <c r="BH38" s="17" t="n"/>
      <c r="BI38" s="17" t="n"/>
      <c r="BJ38" s="17" t="n"/>
      <c r="BK38" s="17" t="n"/>
      <c r="BL38" s="17" t="n"/>
      <c r="BM38" s="17" t="n"/>
      <c r="BN38" s="17" t="n"/>
    </row>
    <row r="39" ht="67.5" customHeight="1">
      <c r="A39" s="17" t="inlineStr">
        <is>
          <t>GIT-053</t>
        </is>
      </c>
      <c r="B39" s="17" t="inlineStr">
        <is>
          <t>07 GitHub Platform</t>
        </is>
      </c>
      <c r="C39" s="17" t="inlineStr">
        <is>
          <t>Intermediate</t>
        </is>
      </c>
      <c r="D39" s="17" t="n">
        <v>53</v>
      </c>
      <c r="E39" s="17" t="inlineStr">
        <is>
          <t>Claude knowledge</t>
        </is>
      </c>
      <c r="F39" s="18" t="inlineStr">
        <is>
          <t>GitHub CLI (gh)</t>
        </is>
      </c>
      <c r="G39" s="18" t="inlineStr">
        <is>
          <t>Which official command-line tool lets you handle PRs, issues and releases from the terminal?</t>
        </is>
      </c>
      <c r="H39" s="17" t="n"/>
      <c r="I39" s="18" t="inlineStr">
        <is>
          <t>CLI tool</t>
        </is>
      </c>
      <c r="J39" s="18" t="inlineStr">
        <is>
          <t>Medium</t>
        </is>
      </c>
      <c r="K39" s="18" t="n">
        <v>4</v>
      </c>
      <c r="L39" s="18" t="inlineStr">
        <is>
          <t>Opening the browser again and again to make PRs and issues was slow, so GitHub made an official tool called gh to do the same work in the terminal.</t>
        </is>
      </c>
      <c r="M39" s="18" t="inlineStr">
        <is>
          <t>Run gh auth login once and the token hassle is over.</t>
        </is>
      </c>
      <c r="N39" s="17" t="n"/>
      <c r="O39" s="18" t="inlineStr">
        <is>
          <t>gh is a small remote control that runs the GitHub browser from the terminal.</t>
        </is>
      </c>
      <c r="P39" s="18" t="inlineStr">
        <is>
          <t>Typing gh pr create in the terminal makes a PR appear.</t>
        </is>
      </c>
      <c r="Q39" s="18" t="inlineStr">
        <is>
          <t>The speed of finishing work without leaving the terminal.</t>
        </is>
      </c>
      <c r="R39" s="18" t="inlineStr">
        <is>
          <t>gh is GitHub's command-line tool for handling PRs, issues and releases from the terminal.</t>
        </is>
      </c>
      <c r="S39" s="17" t="n"/>
      <c r="T39" s="19" t="inlineStr">
        <is>
          <t>gh auth login
gh repo clone asha/notes
gh pr create --title "Add search" --body "Adds search box"</t>
        </is>
      </c>
      <c r="U39" s="19" t="inlineStr">
        <is>
          <t>https://github.com/asha/notes/pull/17</t>
        </is>
      </c>
      <c r="V39" s="18" t="inlineStr">
        <is>
          <t>gh logs in to your GitHub account and can clone repos, open PRs, check out PRs, view issues and make releases. It does not replace git, it only brings GitHub features to the terminal.</t>
        </is>
      </c>
      <c r="W39" s="18" t="inlineStr">
        <is>
          <t>With gh you handle PRs and issues from the terminal instead of the browser. For commits you still use git.</t>
        </is>
      </c>
      <c r="X39" s="18" t="inlineStr">
        <is>
          <t>It is like a remote control that does many TV jobs without getting up.</t>
        </is>
      </c>
      <c r="Y39" s="19" t="inlineStr">
        <is>
          <t>gh &lt;command&gt; &lt;subcommand&gt; [flags]</t>
        </is>
      </c>
      <c r="Z39" s="18" t="inlineStr">
        <is>
          <t>gh = the tool | pr/issue/repo/release = the area | create/list = the action</t>
        </is>
      </c>
      <c r="AA39" s="19" t="inlineStr">
        <is>
          <t>gh pr create --fill</t>
        </is>
      </c>
      <c r="AB39" s="19" t="inlineStr">
        <is>
          <t>gh issue list --assignee @me</t>
        </is>
      </c>
      <c r="AC39" s="19" t="inlineStr">
        <is>
          <t>gh pr checkout 17</t>
        </is>
      </c>
      <c r="AD39" s="19" t="inlineStr">
        <is>
          <t>gh pr merge 17 --squash
gh run watch   # follow an Actions run</t>
        </is>
      </c>
      <c r="AE39" s="18" t="inlineStr">
        <is>
          <t>gh auth login, PR, issues, Actions</t>
        </is>
      </c>
      <c r="AF39" s="18" t="inlineStr">
        <is>
          <t>git, GitHub Actions, pull request</t>
        </is>
      </c>
      <c r="AG39" s="18" t="inlineStr">
        <is>
          <t>The browser, or GitHub Desktop</t>
        </is>
      </c>
      <c r="AH39" s="18" t="inlineStr">
        <is>
          <t>gh, git, pr, issue, release</t>
        </is>
      </c>
      <c r="AI39" s="18" t="inlineStr">
        <is>
          <t>Daily PR work | Scripts | CI automation</t>
        </is>
      </c>
      <c r="AJ39" s="18" t="inlineStr">
        <is>
          <t>A: I have to open the browser every time. | B: Run gh pr create and it is done from the terminal.</t>
        </is>
      </c>
      <c r="AK39" s="18" t="inlineStr">
        <is>
          <t>✗ gh is the new name of git and replaces it → ✓ gh is for GitHub features, and you still use git for commits</t>
        </is>
      </c>
      <c r="AL39" s="18" t="inlineStr">
        <is>
          <t>git vs gh: git is version control, gh is a tool for GitHub features such as PRs and issues.</t>
        </is>
      </c>
      <c r="AM39" s="18" t="inlineStr">
        <is>
          <t>Do not paste your login token into a screenshot.</t>
        </is>
      </c>
      <c r="AN39" s="19" t="inlineStr">
        <is>
          <t>gh commit -m "Add search"</t>
        </is>
      </c>
      <c r="AO39" s="19" t="inlineStr">
        <is>
          <t>git commit -m "Add search"</t>
        </is>
      </c>
      <c r="AP39" s="18" t="inlineStr">
        <is>
          <t>gh is GitHub operated by your hand.</t>
        </is>
      </c>
      <c r="AQ39" s="18" t="inlineStr">
        <is>
          <t>Listing open issues every night with a script.</t>
        </is>
      </c>
      <c r="AR39" s="18" t="inlineStr">
        <is>
          <t>An interviewer may ask: What is the difference between git and gh?</t>
        </is>
      </c>
      <c r="AS39" s="18" t="inlineStr">
        <is>
          <t>It is like a remote that does many TV jobs without getting up.</t>
        </is>
      </c>
      <c r="AT39" s="18" t="inlineStr">
        <is>
          <t>Which command opens a PR from the terminal?</t>
        </is>
      </c>
      <c r="AU39" s="18" t="inlineStr">
        <is>
          <t>A) gh pr create B) git pr open C) gh commit pr D) git push pr</t>
        </is>
      </c>
      <c r="AV39" s="18" t="inlineStr">
        <is>
          <t>A</t>
        </is>
      </c>
      <c r="AW39" s="18" t="inlineStr">
        <is>
          <t>gh pr create opens a new PR.</t>
        </is>
      </c>
      <c r="AX39" s="19" t="inlineStr">
        <is>
          <t>gh ____ create --fill → pr</t>
        </is>
      </c>
      <c r="AY39" s="18" t="inlineStr">
        <is>
          <t>Check out the code of PR 17 from the terminal.</t>
        </is>
      </c>
      <c r="AZ39" s="19" t="inlineStr">
        <is>
          <t>gh pr checkout 17</t>
        </is>
      </c>
      <c r="BA39" s="18" t="inlineStr">
        <is>
          <t>Log in with gh auth login and look at an issue with gh issue list.</t>
        </is>
      </c>
      <c r="BB39" s="19" t="inlineStr">
        <is>
          <t>How do you squash-merge a PR with gh?</t>
        </is>
      </c>
      <c r="BC39" s="19" t="inlineStr">
        <is>
          <t>gh pr merge &lt;number&gt; --squash</t>
        </is>
      </c>
      <c r="BD39" s="17">
        <f>IF(K39="","",REPT("★",K39)&amp;REPT("☆",5-K39)&amp;" ("&amp;K39&amp;"/5)")</f>
        <v/>
      </c>
      <c r="BE39" s="17">
        <f>IF(S39="","","Meaning: "&amp;S39&amp;"  =  ______   (Answer: "&amp;F39&amp;")")</f>
        <v/>
      </c>
      <c r="BF39" s="17" t="inlineStr">
        <is>
          <t>New</t>
        </is>
      </c>
      <c r="BG39" s="17" t="n"/>
      <c r="BH39" s="17" t="n"/>
      <c r="BI39" s="17" t="n"/>
      <c r="BJ39" s="17" t="n"/>
      <c r="BK39" s="17" t="n"/>
      <c r="BL39" s="17" t="n"/>
      <c r="BM39" s="17" t="n"/>
      <c r="BN39" s="17" t="n"/>
    </row>
    <row r="40" ht="67.5" customHeight="1">
      <c r="A40" s="17" t="inlineStr">
        <is>
          <t>GIT-056</t>
        </is>
      </c>
      <c r="B40" s="17" t="inlineStr">
        <is>
          <t>02 Branching &amp; Merging</t>
        </is>
      </c>
      <c r="C40" s="17" t="inlineStr">
        <is>
          <t>Beginner</t>
        </is>
      </c>
      <c r="D40" s="17" t="n">
        <v>56</v>
      </c>
      <c r="E40" s="17" t="inlineStr">
        <is>
          <t>Claude knowledge</t>
        </is>
      </c>
      <c r="F40" s="18" t="inlineStr">
        <is>
          <t>git show</t>
        </is>
      </c>
      <c r="G40" s="18" t="inlineStr">
        <is>
          <t>Which command shows one commit's message, author and full change together?</t>
        </is>
      </c>
      <c r="H40" s="17" t="n"/>
      <c r="I40" s="18" t="inlineStr">
        <is>
          <t>Git command</t>
        </is>
      </c>
      <c r="J40" s="18" t="inlineStr">
        <is>
          <t>High</t>
        </is>
      </c>
      <c r="K40" s="18" t="n">
        <v>4</v>
      </c>
      <c r="L40" s="18" t="inlineStr">
        <is>
          <t>Log gives only a list and diff only a difference, so Git added show to see the whole picture of a single commit in one place.</t>
        </is>
      </c>
      <c r="M40" s="18" t="inlineStr">
        <is>
          <t>You can write HEAD or HEAD~2 instead of a commit hash.</t>
        </is>
      </c>
      <c r="N40" s="17" t="n"/>
      <c r="O40" s="18" t="inlineStr">
        <is>
          <t>Show is a shopkeeper who opens one box and lays out everything inside.</t>
        </is>
      </c>
      <c r="P40" s="18" t="inlineStr">
        <is>
          <t>One commit box lies open showing its message, name and changes together.</t>
        </is>
      </c>
      <c r="Q40" s="18" t="inlineStr">
        <is>
          <t>The satisfaction of grasping a whole commit's story at a glance.</t>
        </is>
      </c>
      <c r="R40" s="18" t="inlineStr">
        <is>
          <t>git show displays one commit's message, author, date and its full change.</t>
        </is>
      </c>
      <c r="S40" s="17" t="n"/>
      <c r="T40" s="19" t="inlineStr">
        <is>
          <t>git show 8b7d1e2
git show HEAD~1 --stat</t>
        </is>
      </c>
      <c r="U40" s="19" t="inlineStr">
        <is>
          <t>commit 8b7d1e2
Author: Asha &lt;asha@example.com&gt;
    Fix refund rounding
-  return round(total)
+  return round(total, 2)</t>
        </is>
      </c>
      <c r="V40" s="18" t="inlineStr">
        <is>
          <t>Show prints the commit's header (hash, author, date, message) and its diff. --stat gives only a summary. With a file path it shows that file as it was in that commit.</t>
        </is>
      </c>
      <c r="W40" s="18" t="inlineStr">
        <is>
          <t>Pick a commit from the log and read its whole story with show: who wrote it, why, and what changed.</t>
        </is>
      </c>
      <c r="X40" s="18" t="inlineStr">
        <is>
          <t>It is like opening one envelope and reading the letter and every page with it.</t>
        </is>
      </c>
      <c r="Y40" s="19" t="inlineStr">
        <is>
          <t>git show [&lt;commit&gt;] [--stat]</t>
        </is>
      </c>
      <c r="Z40" s="18" t="inlineStr">
        <is>
          <t>git show = command | &lt;commit&gt; = which commit | --stat = summary only</t>
        </is>
      </c>
      <c r="AA40" s="19" t="inlineStr">
        <is>
          <t>git show 8b7d1e2</t>
        </is>
      </c>
      <c r="AB40" s="19" t="inlineStr">
        <is>
          <t>git show HEAD~2 --stat</t>
        </is>
      </c>
      <c r="AC40" s="19" t="inlineStr">
        <is>
          <t>git show v1.0.0:README.md</t>
        </is>
      </c>
      <c r="AD40" s="19" t="inlineStr">
        <is>
          <t>git show --name-only HEAD   # file names only
git show main:src/app.js   # a file on a branch</t>
        </is>
      </c>
      <c r="AE40" s="18" t="inlineStr">
        <is>
          <t>HEAD, --stat, git log, tags</t>
        </is>
      </c>
      <c r="AF40" s="18" t="inlineStr">
        <is>
          <t>git log, git diff, git blame</t>
        </is>
      </c>
      <c r="AG40" s="18" t="inlineStr">
        <is>
          <t>The commit page on GitHub</t>
        </is>
      </c>
      <c r="AH40" s="18" t="inlineStr">
        <is>
          <t>git show, git log, git diff, git blame, git tag</t>
        </is>
      </c>
      <c r="AI40" s="18" t="inlineStr">
        <is>
          <t>Understanding why a commit was made | Code review | Finding bugs</t>
        </is>
      </c>
      <c r="AJ40" s="18" t="inlineStr">
        <is>
          <t>A: What did this commit change? | B: Run git show with the hash and you will see the message and the change.</t>
        </is>
      </c>
      <c r="AK40" s="18" t="inlineStr">
        <is>
          <t>✗ git show displays only the commit message → ✓ git show shows the message and also the full change (diff) of that commit</t>
        </is>
      </c>
      <c r="AL40" s="18" t="inlineStr">
        <is>
          <t>git show vs git log: show gives full details of one commit, log lists many commits.</t>
        </is>
      </c>
      <c r="AM40" s="18" t="inlineStr">
        <is>
          <t>Do not open a huge commit without --stat.</t>
        </is>
      </c>
      <c r="AN40" s="19" t="inlineStr">
        <is>
          <t>git show commit 8b7d1e2</t>
        </is>
      </c>
      <c r="AO40" s="19" t="inlineStr">
        <is>
          <t>git show 8b7d1e2</t>
        </is>
      </c>
      <c r="AP40" s="18" t="inlineStr">
        <is>
          <t>Show means display one commit fully.</t>
        </is>
      </c>
      <c r="AQ40" s="18" t="inlineStr">
        <is>
          <t>Reading the suspect commit with git show while hunting a bug.</t>
        </is>
      </c>
      <c r="AR40" s="18" t="inlineStr">
        <is>
          <t>An interviewer may ask: What is the difference between git show and git log -p?</t>
        </is>
      </c>
      <c r="AS40" s="18" t="inlineStr">
        <is>
          <t>It is like opening one envelope and reading every page together.</t>
        </is>
      </c>
      <c r="AT40" s="18" t="inlineStr">
        <is>
          <t>Which command shows one commit's message and full change together?</t>
        </is>
      </c>
      <c r="AU40" s="18" t="inlineStr">
        <is>
          <t>A) git remote B) git status C) git fetch D) git show</t>
        </is>
      </c>
      <c r="AV40" s="18" t="inlineStr">
        <is>
          <t>D</t>
        </is>
      </c>
      <c r="AW40" s="18" t="inlineStr">
        <is>
          <t>show gives both the header and the diff of a commit.</t>
        </is>
      </c>
      <c r="AX40" s="19" t="inlineStr">
        <is>
          <t>git ____ HEAD~1 --stat → show</t>
        </is>
      </c>
      <c r="AY40" s="18" t="inlineStr">
        <is>
          <t>Show a summary of the last commit.</t>
        </is>
      </c>
      <c r="AZ40" s="19" t="inlineStr">
        <is>
          <t>git show HEAD --stat</t>
        </is>
      </c>
      <c r="BA40" s="18" t="inlineStr">
        <is>
          <t>Pick an old commit in your project, run git show, and write its reason in your own words.</t>
        </is>
      </c>
      <c r="BB40" s="19" t="inlineStr">
        <is>
          <t>What command shows a file as it was at a tag?</t>
        </is>
      </c>
      <c r="BC40" s="19" t="inlineStr">
        <is>
          <t>git show v1.0.0:README.md</t>
        </is>
      </c>
      <c r="BD40" s="17">
        <f>IF(K40="","",REPT("★",K40)&amp;REPT("☆",5-K40)&amp;" ("&amp;K40&amp;"/5)")</f>
        <v/>
      </c>
      <c r="BE40" s="17">
        <f>IF(S40="","","Meaning: "&amp;S40&amp;"  =  ______   (Answer: "&amp;F40&amp;")")</f>
        <v/>
      </c>
      <c r="BF40" s="17" t="inlineStr">
        <is>
          <t>New</t>
        </is>
      </c>
      <c r="BG40" s="17" t="n"/>
      <c r="BH40" s="17" t="n"/>
      <c r="BI40" s="17" t="n"/>
      <c r="BJ40" s="17" t="n"/>
      <c r="BK40" s="17" t="n"/>
      <c r="BL40" s="17" t="n"/>
      <c r="BM40" s="17" t="n"/>
      <c r="BN40" s="17" t="n"/>
    </row>
    <row r="41" ht="67.5" customHeight="1">
      <c r="A41" s="17" t="inlineStr">
        <is>
          <t>GIT-057</t>
        </is>
      </c>
      <c r="B41" s="17" t="inlineStr">
        <is>
          <t>04 Undo &amp; Fix Mistakes</t>
        </is>
      </c>
      <c r="C41" s="17" t="inlineStr">
        <is>
          <t>Beginner</t>
        </is>
      </c>
      <c r="D41" s="17" t="n">
        <v>57</v>
      </c>
      <c r="E41" s="17" t="inlineStr">
        <is>
          <t>Claude knowledge</t>
        </is>
      </c>
      <c r="F41" s="18" t="inlineStr">
        <is>
          <t>git rm and git mv</t>
        </is>
      </c>
      <c r="G41" s="18" t="inlineStr">
        <is>
          <t>How do you tell Git that you removed or renamed a tracked file?</t>
        </is>
      </c>
      <c r="H41" s="17" t="n"/>
      <c r="I41" s="18" t="inlineStr">
        <is>
          <t>Git command</t>
        </is>
      </c>
      <c r="J41" s="18" t="inlineStr">
        <is>
          <t>Medium</t>
        </is>
      </c>
      <c r="K41" s="18" t="n">
        <v>4</v>
      </c>
      <c r="L41" s="18" t="inlineStr">
        <is>
          <t>Removing a file by hand made you tell Git separately, so rm and mv do the job and stage it straight away.</t>
        </is>
      </c>
      <c r="M41" s="18" t="inlineStr">
        <is>
          <t>Use git rm --cached when you want Git to stop tracking a file but keep it on disk.</t>
        </is>
      </c>
      <c r="N41" s="17" t="n"/>
      <c r="O41" s="18" t="inlineStr">
        <is>
          <t>rm takes out the rubbish and notes it in the ledger, and mv renames and corrects the entry.</t>
        </is>
      </c>
      <c r="P41" s="18" t="inlineStr">
        <is>
          <t>One file gets a new name tag and another goes into a bin, both stamped by Git.</t>
        </is>
      </c>
      <c r="Q41" s="18" t="inlineStr">
        <is>
          <t>The comfort that history stays tidy while you clean up.</t>
        </is>
      </c>
      <c r="R41" s="18" t="inlineStr">
        <is>
          <t>git rm removes a tracked file and git mv renames or moves it, and both are staged.</t>
        </is>
      </c>
      <c r="S41" s="17" t="n"/>
      <c r="T41" s="19" t="inlineStr">
        <is>
          <t>git rm old.txt
git mv draft.md notes.md
git status -s</t>
        </is>
      </c>
      <c r="U41" s="19" t="inlineStr">
        <is>
          <t>D  old.txt
R  draft.md -&gt; notes.md</t>
        </is>
      </c>
      <c r="V41" s="18" t="inlineStr">
        <is>
          <t>git rm deletes the file from the folder and stages the removal. --cached removes it only from Git and leaves the file on disk. git mv renames the file and Git shows it as a rename, which makes history easier to follow.</t>
        </is>
      </c>
      <c r="W41" s="18" t="inlineStr">
        <is>
          <t>Use git rm instead of deleting by hand and Git knows at once. Use git mv to rename so history stays clean.</t>
        </is>
      </c>
      <c r="X41" s="18" t="inlineStr">
        <is>
          <t>It is like removing an entry from the ledger or correcting a name, and noting that down too.</t>
        </is>
      </c>
      <c r="Y41" s="19" t="inlineStr">
        <is>
          <t>git rm [--cached] &lt;file&gt;  |  git mv &lt;old&gt; &lt;new&gt;</t>
        </is>
      </c>
      <c r="Z41" s="18" t="inlineStr">
        <is>
          <t>git rm = remove | --cached = only from Git | git mv = rename or move</t>
        </is>
      </c>
      <c r="AA41" s="19" t="inlineStr">
        <is>
          <t>git rm old.txt</t>
        </is>
      </c>
      <c r="AB41" s="19" t="inlineStr">
        <is>
          <t>git rm --cached .env</t>
        </is>
      </c>
      <c r="AC41" s="19" t="inlineStr">
        <is>
          <t>git mv draft.md notes.md</t>
        </is>
      </c>
      <c r="AD41" s="19" t="inlineStr">
        <is>
          <t>git rm -r build/   # a whole folder
git rm -f file.txt   # even with changes</t>
        </is>
      </c>
      <c r="AE41" s="18" t="inlineStr">
        <is>
          <t>--cached, -r, git commit, .gitignore</t>
        </is>
      </c>
      <c r="AF41" s="18" t="inlineStr">
        <is>
          <t>.gitignore, git restore, git add</t>
        </is>
      </c>
      <c r="AG41" s="18" t="inlineStr">
        <is>
          <t>Delete by hand and run git add -A</t>
        </is>
      </c>
      <c r="AH41" s="18" t="inlineStr">
        <is>
          <t>git rm, git mv, git add, git commit, git restore</t>
        </is>
      </c>
      <c r="AI41" s="18" t="inlineStr">
        <is>
          <t>Cleaning up | Removing a file committed by mistake | Renaming a file</t>
        </is>
      </c>
      <c r="AJ41" s="18" t="inlineStr">
        <is>
          <t>A: I committed .env, how do I ignore it now? | B: Run git rm --cached .env and add it to .gitignore.</t>
        </is>
      </c>
      <c r="AK41" s="18" t="inlineStr">
        <is>
          <t>✗ git rm --cached also deletes the file from the folder → ✓ --cached only stops Git tracking it, and the file stays in the folder</t>
        </is>
      </c>
      <c r="AL41" s="18" t="inlineStr">
        <is>
          <t>git rm vs git rm --cached: rm deletes the file, --cached only removes it from Git.</t>
        </is>
      </c>
      <c r="AM41" s="18" t="inlineStr">
        <is>
          <t>Do not use git rm -f carelessly on a file with changes.</t>
        </is>
      </c>
      <c r="AN41" s="19" t="inlineStr">
        <is>
          <t>git rm --untrack .env</t>
        </is>
      </c>
      <c r="AO41" s="19" t="inlineStr">
        <is>
          <t>git rm --cached .env</t>
        </is>
      </c>
      <c r="AP41" s="18" t="inlineStr">
        <is>
          <t>With --cached, stop tracking but keep the file.</t>
        </is>
      </c>
      <c r="AQ41" s="18" t="inlineStr">
        <is>
          <t>Taking a secrets file committed by mistake out of Git with git rm --cached and adding it to .gitignore.</t>
        </is>
      </c>
      <c r="AR41" s="18" t="inlineStr">
        <is>
          <t>An interviewer may ask: How do you remove a file from Git without deleting it?</t>
        </is>
      </c>
      <c r="AS41" s="18" t="inlineStr">
        <is>
          <t>It is like striking an entry out of the ledger while the goods stay where they are.</t>
        </is>
      </c>
      <c r="AT41" s="18" t="inlineStr">
        <is>
          <t>Which option keeps the file in the folder and removes it only from Git tracking?</t>
        </is>
      </c>
      <c r="AU41" s="18" t="inlineStr">
        <is>
          <t>A) git rm -f B) git clean C) git rm --cached D) git mv</t>
        </is>
      </c>
      <c r="AV41" s="18" t="inlineStr">
        <is>
          <t>C</t>
        </is>
      </c>
      <c r="AW41" s="18" t="inlineStr">
        <is>
          <t>--cached removes it only from Git's record, not the file.</t>
        </is>
      </c>
      <c r="AX41" s="19" t="inlineStr">
        <is>
          <t>git rm ____ .env → --cached</t>
        </is>
      </c>
      <c r="AY41" s="18" t="inlineStr">
        <is>
          <t>Rename draft.md to notes.md.</t>
        </is>
      </c>
      <c r="AZ41" s="19" t="inlineStr">
        <is>
          <t>git mv draft.md notes.md</t>
        </is>
      </c>
      <c r="BA41" s="18" t="inlineStr">
        <is>
          <t>Make a test file, stop tracking it with git rm --cached, and look at git status.</t>
        </is>
      </c>
      <c r="BB41" s="19" t="inlineStr">
        <is>
          <t>What is the difference between git mv and renaming by hand and running git add -A?</t>
        </is>
      </c>
      <c r="BC41" s="19" t="inlineStr">
        <is>
          <t>The result is nearly the same; git mv stages the rename in one step.</t>
        </is>
      </c>
      <c r="BD41" s="17">
        <f>IF(K41="","",REPT("★",K41)&amp;REPT("☆",5-K41)&amp;" ("&amp;K41&amp;"/5)")</f>
        <v/>
      </c>
      <c r="BE41" s="17">
        <f>IF(S41="","","Meaning: "&amp;S41&amp;"  =  ______   (Answer: "&amp;F41&amp;")")</f>
        <v/>
      </c>
      <c r="BF41" s="17" t="inlineStr">
        <is>
          <t>New</t>
        </is>
      </c>
      <c r="BG41" s="17" t="n"/>
      <c r="BH41" s="17" t="n"/>
      <c r="BI41" s="17" t="n"/>
      <c r="BJ41" s="17" t="n"/>
      <c r="BK41" s="17" t="n"/>
      <c r="BL41" s="17" t="n"/>
      <c r="BM41" s="17" t="n"/>
      <c r="BN41" s="17" t="n"/>
    </row>
    <row r="42" ht="67.5" customHeight="1">
      <c r="A42" s="17" t="inlineStr">
        <is>
          <t>GIT-058</t>
        </is>
      </c>
      <c r="B42" s="17" t="inlineStr">
        <is>
          <t>04 Undo &amp; Fix Mistakes</t>
        </is>
      </c>
      <c r="C42" s="17" t="inlineStr">
        <is>
          <t>Intermediate</t>
        </is>
      </c>
      <c r="D42" s="17" t="n">
        <v>58</v>
      </c>
      <c r="E42" s="17" t="inlineStr">
        <is>
          <t>Claude knowledge</t>
        </is>
      </c>
      <c r="F42" s="18" t="inlineStr">
        <is>
          <t>git clean</t>
        </is>
      </c>
      <c r="G42" s="18" t="inlineStr">
        <is>
          <t>How do you remove a pile of unwanted untracked files from your folder in one go?</t>
        </is>
      </c>
      <c r="H42" s="17" t="n"/>
      <c r="I42" s="18" t="inlineStr">
        <is>
          <t>Git command</t>
        </is>
      </c>
      <c r="J42" s="18" t="inlineStr">
        <is>
          <t>Low</t>
        </is>
      </c>
      <c r="K42" s="18" t="n">
        <v>3</v>
      </c>
      <c r="L42" s="18" t="inlineStr">
        <is>
          <t>Builds and experiments leave untracked files behind that restore cannot remove, so clean exists to delete them.</t>
        </is>
      </c>
      <c r="M42" s="18" t="inlineStr">
        <is>
          <t>Run git clean -n first to see what will go, and then -f.</t>
        </is>
      </c>
      <c r="N42" s="17" t="n"/>
      <c r="O42" s="18" t="inlineStr">
        <is>
          <t>Clean is a broom that sweeps away everything not tracked and leaves your tracked things.</t>
        </is>
      </c>
      <c r="P42" s="18" t="inlineStr">
        <is>
          <t>A broom sweeps scattered scraps out of a folder.</t>
        </is>
      </c>
      <c r="Q42" s="18" t="inlineStr">
        <is>
          <t>The freshness of a clean folder.</t>
        </is>
      </c>
      <c r="R42" s="18" t="inlineStr">
        <is>
          <t>git clean deletes untracked files from the working folder.</t>
        </is>
      </c>
      <c r="S42" s="17" t="n"/>
      <c r="T42" s="19" t="inlineStr">
        <is>
          <t>git clean -n
git clean -fd</t>
        </is>
      </c>
      <c r="U42" s="19" t="inlineStr">
        <is>
          <t>Would remove build.log
Removing build.log
Removing tmp/</t>
        </is>
      </c>
      <c r="V42" s="18" t="inlineStr">
        <is>
          <t>Clean removes only untracked files. -n is a dry run that deletes nothing, -f is required, -d also removes folders, and -x also removes ignored files. It deletes for good, there is no recycle bin.</t>
        </is>
      </c>
      <c r="W42" s="18" t="inlineStr">
        <is>
          <t>First see what will go with -n, then add -f. Remember that these files do not come back.</t>
        </is>
      </c>
      <c r="X42" s="18" t="inlineStr">
        <is>
          <t>It is like a broom that sweeps only the scraps and not your belongings.</t>
        </is>
      </c>
      <c r="Y42" s="19" t="inlineStr">
        <is>
          <t>git clean [-n] [-f] [-d] [-x]</t>
        </is>
      </c>
      <c r="Z42" s="18" t="inlineStr">
        <is>
          <t>-n = only show | -f = force | -d = folders too | -x = ignored files too</t>
        </is>
      </c>
      <c r="AA42" s="19" t="inlineStr">
        <is>
          <t>git clean -n</t>
        </is>
      </c>
      <c r="AB42" s="19" t="inlineStr">
        <is>
          <t>git clean -fd</t>
        </is>
      </c>
      <c r="AC42" s="19" t="inlineStr">
        <is>
          <t>git clean -fdx</t>
        </is>
      </c>
      <c r="AD42" s="19" t="inlineStr">
        <is>
          <t>git clean -i   # ask one by one</t>
        </is>
      </c>
      <c r="AE42" s="18" t="inlineStr">
        <is>
          <t>-n, -f, -d, -x</t>
        </is>
      </c>
      <c r="AF42" s="18" t="inlineStr">
        <is>
          <t>git restore, git rm, .gitignore</t>
        </is>
      </c>
      <c r="AG42" s="18" t="inlineStr">
        <is>
          <t>Deleting by hand</t>
        </is>
      </c>
      <c r="AH42" s="18" t="inlineStr">
        <is>
          <t>git clean, git restore, git rm, git stash, git status</t>
        </is>
      </c>
      <c r="AI42" s="18" t="inlineStr">
        <is>
          <t>Build leftovers | A fresh start | Cleaning up after tests</t>
        </is>
      </c>
      <c r="AJ42" s="18" t="inlineStr">
        <is>
          <t>A: My folder is full of useless files. | B: Run git clean -n first, and if it looks fine, then -fd.</t>
        </is>
      </c>
      <c r="AK42" s="18" t="inlineStr">
        <is>
          <t>✗ git clean also wipes the changes of tracked files → ✓ git clean removes only untracked files, and git restore is for changes in tracked files</t>
        </is>
      </c>
      <c r="AL42" s="18" t="inlineStr">
        <is>
          <t>git clean vs git restore: clean removes untracked files, restore brings back a tracked file.</t>
        </is>
      </c>
      <c r="AM42" s="18" t="inlineStr">
        <is>
          <t>Do not run git clean -fdx without a -n look first.</t>
        </is>
      </c>
      <c r="AN42" s="19" t="inlineStr">
        <is>
          <t>git clean -r</t>
        </is>
      </c>
      <c r="AO42" s="19" t="inlineStr">
        <is>
          <t>git clean -fd</t>
        </is>
      </c>
      <c r="AP42" s="18" t="inlineStr">
        <is>
          <t>Clean means check first with -n, then clean.</t>
        </is>
      </c>
      <c r="AQ42" s="18" t="inlineStr">
        <is>
          <t>Clearing leftover temp folders after a build before a fresh test run.</t>
        </is>
      </c>
      <c r="AR42" s="18" t="inlineStr">
        <is>
          <t>An interviewer may ask: What does git clean -n do?</t>
        </is>
      </c>
      <c r="AS42" s="18" t="inlineStr">
        <is>
          <t>It is like sweeping the scraps off the floor with a broom.</t>
        </is>
      </c>
      <c r="AT42" s="18" t="inlineStr">
        <is>
          <t>Which flag of git clean only shows what would be removed?</t>
        </is>
      </c>
      <c r="AU42" s="18" t="inlineStr">
        <is>
          <t>A) -x B) -n C) -d D) -f</t>
        </is>
      </c>
      <c r="AV42" s="18" t="inlineStr">
        <is>
          <t>B</t>
        </is>
      </c>
      <c r="AW42" s="18" t="inlineStr">
        <is>
          <t>-n is a dry run and removes nothing.</t>
        </is>
      </c>
      <c r="AX42" s="19" t="inlineStr">
        <is>
          <t>git clean ____ → -n</t>
        </is>
      </c>
      <c r="AY42" s="18" t="inlineStr">
        <is>
          <t>Remove untracked files and folders after a dry run.</t>
        </is>
      </c>
      <c r="AZ42" s="19" t="inlineStr">
        <is>
          <t>git clean -fd</t>
        </is>
      </c>
      <c r="BA42" s="18" t="inlineStr">
        <is>
          <t>Make a few files in a test folder and look at them with git clean -n.</t>
        </is>
      </c>
      <c r="BB42" s="19" t="inlineStr">
        <is>
          <t>Which flag also removes ignored files?</t>
        </is>
      </c>
      <c r="BC42" s="19" t="inlineStr">
        <is>
          <t>-x</t>
        </is>
      </c>
      <c r="BD42" s="17">
        <f>IF(K42="","",REPT("★",K42)&amp;REPT("☆",5-K42)&amp;" ("&amp;K42&amp;"/5)")</f>
        <v/>
      </c>
      <c r="BE42" s="17">
        <f>IF(S42="","","Meaning: "&amp;S42&amp;"  =  ______   (Answer: "&amp;F42&amp;")")</f>
        <v/>
      </c>
      <c r="BF42" s="17" t="inlineStr">
        <is>
          <t>New</t>
        </is>
      </c>
      <c r="BG42" s="17" t="n"/>
      <c r="BH42" s="17" t="n"/>
      <c r="BI42" s="17" t="n"/>
      <c r="BJ42" s="17" t="n"/>
      <c r="BK42" s="17" t="n"/>
      <c r="BL42" s="17" t="n"/>
      <c r="BM42" s="17" t="n"/>
      <c r="BN42" s="17" t="n"/>
    </row>
    <row r="43" ht="67.5" customHeight="1">
      <c r="A43" s="17" t="inlineStr">
        <is>
          <t>GIT-059</t>
        </is>
      </c>
      <c r="B43" s="17" t="inlineStr">
        <is>
          <t>05 Advanced Git</t>
        </is>
      </c>
      <c r="C43" s="17" t="inlineStr">
        <is>
          <t>Advanced</t>
        </is>
      </c>
      <c r="D43" s="17" t="n">
        <v>59</v>
      </c>
      <c r="E43" s="17" t="inlineStr">
        <is>
          <t>Claude knowledge</t>
        </is>
      </c>
      <c r="F43" s="18" t="inlineStr">
        <is>
          <t>Git LFS (Large File Storage)</t>
        </is>
      </c>
      <c r="G43" s="18" t="inlineStr">
        <is>
          <t>How do you track large files such as videos or designs without bloating the repository?</t>
        </is>
      </c>
      <c r="H43" s="17" t="n"/>
      <c r="I43" s="18" t="inlineStr">
        <is>
          <t>Git extension</t>
        </is>
      </c>
      <c r="J43" s="18" t="inlineStr">
        <is>
          <t>Low</t>
        </is>
      </c>
      <c r="K43" s="18" t="n">
        <v>3</v>
      </c>
      <c r="L43" s="18" t="inlineStr">
        <is>
          <t>Git keeps the full history of every file, so large binary files make a repo very heavy, and LFS stores the real file elsewhere and keeps only a small pointer in the repo.</t>
        </is>
      </c>
      <c r="M43" s="18" t="inlineStr">
        <is>
          <t>First tell it the pattern with git lfs track, and then add the files.</t>
        </is>
      </c>
      <c r="N43" s="17" t="n"/>
      <c r="O43" s="18" t="inlineStr">
        <is>
          <t>LFS is a warehouse receipt: the repo holds only the slip and the heavy goods sit in the warehouse.</t>
        </is>
      </c>
      <c r="P43" s="18" t="inlineStr">
        <is>
          <t>A small slip in the repo and a big warehouse far away holding the heavy goods.</t>
        </is>
      </c>
      <c r="Q43" s="18" t="inlineStr">
        <is>
          <t>Relief that the repo stays light despite heavy files.</t>
        </is>
      </c>
      <c r="R43" s="18" t="inlineStr">
        <is>
          <t>Git LFS stores large files separately and keeps a small pointer to them in the repo.</t>
        </is>
      </c>
      <c r="S43" s="17" t="n"/>
      <c r="T43" s="19" t="inlineStr">
        <is>
          <t>git lfs install
git lfs track "*.psd"
git add .gitattributes design.psd
git commit -m "Add design"</t>
        </is>
      </c>
      <c r="U43" s="19" t="inlineStr">
        <is>
          <t>Tracking "*.psd"</t>
        </is>
      </c>
      <c r="V43" s="18" t="inlineStr">
        <is>
          <t>The tracking rule is written into .gitattributes, so that file must be committed too. On push the real file goes to the LFS server. GitHub has limits and quotas for LFS, so check your plan.</t>
        </is>
      </c>
      <c r="W43" s="18" t="inlineStr">
        <is>
          <t>Putting big files straight into Git makes the repo heavy. LFS keeps the real file elsewhere and a pointer in the repo, so cloning stays fast.</t>
        </is>
      </c>
      <c r="X43" s="18" t="inlineStr">
        <is>
          <t>It is like heavy goods in a warehouse and only a slip at home.</t>
        </is>
      </c>
      <c r="Y43" s="19" t="inlineStr">
        <is>
          <t>git lfs track "&lt;pattern&gt;"</t>
        </is>
      </c>
      <c r="Z43" s="18" t="inlineStr">
        <is>
          <t>git lfs install = one-time setup | track = which files | .gitattributes = the rule file</t>
        </is>
      </c>
      <c r="AA43" s="19" t="inlineStr">
        <is>
          <t>git lfs track "*.psd"</t>
        </is>
      </c>
      <c r="AB43" s="19" t="inlineStr">
        <is>
          <t>git lfs track "videos/*.mp4"</t>
        </is>
      </c>
      <c r="AC43" s="19" t="inlineStr">
        <is>
          <t>git lfs ls-files</t>
        </is>
      </c>
      <c r="AD43" s="19" t="inlineStr">
        <is>
          <t>git lfs untrack "*.psd"   # stop tracking
git lfs pull   # fetch the real files</t>
        </is>
      </c>
      <c r="AE43" s="18" t="inlineStr">
        <is>
          <t>.gitattributes, git add, git push</t>
        </is>
      </c>
      <c r="AF43" s="18" t="inlineStr">
        <is>
          <t>.gitattributes, clone, repository size</t>
        </is>
      </c>
      <c r="AG43" s="18" t="inlineStr">
        <is>
          <t>Keeping large files outside the repo in cloud storage</t>
        </is>
      </c>
      <c r="AH43" s="18" t="inlineStr">
        <is>
          <t>LFS, pointer, .gitattributes, binary, track</t>
        </is>
      </c>
      <c r="AI43" s="18" t="inlineStr">
        <is>
          <t>Game assets | Design files | Machine learning models</t>
        </is>
      </c>
      <c r="AJ43" s="18" t="inlineStr">
        <is>
          <t>A: My repo has become 2 GB. | B: Track the large files with LFS so the repo stays light.</t>
        </is>
      </c>
      <c r="AK43" s="18" t="inlineStr">
        <is>
          <t>✗ LFS removes large files from the repo for good → ✓ LFS stores the real file separately and keeps a pointer in the repo, and the file comes back on clone</t>
        </is>
      </c>
      <c r="AL43" s="18" t="inlineStr">
        <is>
          <t>LFS vs .gitignore: gitignore does not track a file at all, LFS tracks it but stores it elsewhere.</t>
        </is>
      </c>
      <c r="AM43" s="18" t="inlineStr">
        <is>
          <t>Do not expect a file already committed to shrink the history just because you write an LFS rule.</t>
        </is>
      </c>
      <c r="AN43" s="19" t="inlineStr">
        <is>
          <t>git lfs add "*.psd"</t>
        </is>
      </c>
      <c r="AO43" s="19" t="inlineStr">
        <is>
          <t>git lfs track "*.psd"</t>
        </is>
      </c>
      <c r="AP43" s="18" t="inlineStr">
        <is>
          <t>LFS is a Large File's safe slip.</t>
        </is>
      </c>
      <c r="AQ43" s="18" t="inlineStr">
        <is>
          <t>Tracking a game's large texture files with LFS.</t>
        </is>
      </c>
      <c r="AR43" s="18" t="inlineStr">
        <is>
          <t>An interviewer may ask: How does LFS work?</t>
        </is>
      </c>
      <c r="AS43" s="18" t="inlineStr">
        <is>
          <t>It is like heavy goods in a warehouse and only a slip at home.</t>
        </is>
      </c>
      <c r="AT43" s="18" t="inlineStr">
        <is>
          <t>In which file does the LFS tracking rule get saved?</t>
        </is>
      </c>
      <c r="AU43" s="18" t="inlineStr">
        <is>
          <t>A) .gitattributes B) config.json C) .gitignore D) README.md</t>
        </is>
      </c>
      <c r="AV43" s="18" t="inlineStr">
        <is>
          <t>A</t>
        </is>
      </c>
      <c r="AW43" s="18" t="inlineStr">
        <is>
          <t>git lfs track writes its rules into .gitattributes.</t>
        </is>
      </c>
      <c r="AX43" s="19" t="inlineStr">
        <is>
          <t>git lfs ____ "*.psd" → track</t>
        </is>
      </c>
      <c r="AY43" s="18" t="inlineStr">
        <is>
          <t>Track all .mp4 files with LFS.</t>
        </is>
      </c>
      <c r="AZ43" s="19" t="inlineStr">
        <is>
          <t>git lfs track "*.mp4"</t>
        </is>
      </c>
      <c r="BA43" s="18" t="inlineStr">
        <is>
          <t>Install LFS in a small test repo and track one large file.</t>
        </is>
      </c>
      <c r="BB43" s="19" t="inlineStr">
        <is>
          <t>What stays in the repo with LFS, and where does the real file go?</t>
        </is>
      </c>
      <c r="BC43" s="19" t="inlineStr">
        <is>
          <t>A small pointer stays in the repo, and the real file goes to the LFS server.</t>
        </is>
      </c>
      <c r="BD43" s="17">
        <f>IF(K43="","",REPT("★",K43)&amp;REPT("☆",5-K43)&amp;" ("&amp;K43&amp;"/5)")</f>
        <v/>
      </c>
      <c r="BE43" s="17">
        <f>IF(S43="","","Meaning: "&amp;S43&amp;"  =  ______   (Answer: "&amp;F43&amp;")")</f>
        <v/>
      </c>
      <c r="BF43" s="17" t="inlineStr">
        <is>
          <t>New</t>
        </is>
      </c>
      <c r="BG43" s="17" t="n"/>
      <c r="BH43" s="17" t="n"/>
      <c r="BI43" s="17" t="n"/>
      <c r="BJ43" s="17" t="n"/>
      <c r="BK43" s="17" t="n"/>
      <c r="BL43" s="17" t="n"/>
      <c r="BM43" s="17" t="n"/>
      <c r="BN43" s="17" t="n"/>
    </row>
    <row r="44" ht="81" customHeight="1">
      <c r="A44" s="17" t="inlineStr">
        <is>
          <t>GIT-060</t>
        </is>
      </c>
      <c r="B44" s="17" t="inlineStr">
        <is>
          <t>05 Advanced Git</t>
        </is>
      </c>
      <c r="C44" s="17" t="inlineStr">
        <is>
          <t>Advanced</t>
        </is>
      </c>
      <c r="D44" s="17" t="n">
        <v>60</v>
      </c>
      <c r="E44" s="17" t="inlineStr">
        <is>
          <t>Claude knowledge</t>
        </is>
      </c>
      <c r="F44" s="18" t="inlineStr">
        <is>
          <t>git submodule</t>
        </is>
      </c>
      <c r="G44" s="18" t="inlineStr">
        <is>
          <t>How do you include another repository inside yours at one fixed version?</t>
        </is>
      </c>
      <c r="H44" s="17" t="n"/>
      <c r="I44" s="18" t="inlineStr">
        <is>
          <t>Git command</t>
        </is>
      </c>
      <c r="J44" s="18" t="inlineStr">
        <is>
          <t>Low</t>
        </is>
      </c>
      <c r="K44" s="18" t="n">
        <v>3</v>
      </c>
      <c r="L44" s="18" t="inlineStr">
        <is>
          <t>Sometimes a project needs another repo's code without keeping a copy, so a submodule pins that repo at one particular commit.</t>
        </is>
      </c>
      <c r="M44" s="18" t="inlineStr">
        <is>
          <t>Use --recurse-submodules when you clone, or the submodule folder will be empty.</t>
        </is>
      </c>
      <c r="N44" s="17" t="n"/>
      <c r="O44" s="18" t="inlineStr">
        <is>
          <t>A submodule is a reference in a book saying: see this edition of the other book.</t>
        </is>
      </c>
      <c r="P44" s="18" t="inlineStr">
        <is>
          <t>A small repo folder sits inside a repo folder with one fixed commit written on it.</t>
        </is>
      </c>
      <c r="Q44" s="18" t="inlineStr">
        <is>
          <t>The assurance of keeping a shared library on one version.</t>
        </is>
      </c>
      <c r="R44" s="18" t="inlineStr">
        <is>
          <t>git submodule includes another repository inside yours at a fixed commit.</t>
        </is>
      </c>
      <c r="S44" s="17" t="n"/>
      <c r="T44" s="19" t="inlineStr">
        <is>
          <t>git submodule add https://github.com/asha/ui-kit.git libs/ui-kit
git commit -m "Add ui-kit"</t>
        </is>
      </c>
      <c r="U44" s="19" t="inlineStr">
        <is>
          <t>Cloning into 'libs/ui-kit'...
done.</t>
        </is>
      </c>
      <c r="V44" s="18" t="inlineStr">
        <is>
          <t>The parent repo stores only the submodule's URL and a fixed commit hash. A clone needs --recurse-submodules or git submodule update --init. To move to a newer version you pull inside the submodule and commit the new pointer in the parent.</t>
        </is>
      </c>
      <c r="W44" s="18" t="inlineStr">
        <is>
          <t>A submodule pins another repo at a fixed version. The parent only remembers which commit it wants, and an update happens when you commit a new pointer.</t>
        </is>
      </c>
      <c r="X44" s="18" t="inlineStr">
        <is>
          <t>It is like a note in a book saying to read only that edition of another book.</t>
        </is>
      </c>
      <c r="Y44" s="19" t="inlineStr">
        <is>
          <t>git submodule add &lt;url&gt; &lt;path&gt;</t>
        </is>
      </c>
      <c r="Z44" s="18" t="inlineStr">
        <is>
          <t>git submodule add = include it | &lt;url&gt; = address of the other repo | &lt;path&gt; = folder in the parent</t>
        </is>
      </c>
      <c r="AA44" s="19" t="inlineStr">
        <is>
          <t>git submodule add https://github.com/asha/ui-kit.git libs/ui-kit</t>
        </is>
      </c>
      <c r="AB44" s="19" t="inlineStr">
        <is>
          <t>git clone --recurse-submodules https://github.com/asha/app.git</t>
        </is>
      </c>
      <c r="AC44" s="19" t="inlineStr">
        <is>
          <t>git submodule update --init --recursive</t>
        </is>
      </c>
      <c r="AD44" s="19" t="inlineStr">
        <is>
          <t>git submodule update --remote   # fetch the newer version
git submodule status</t>
        </is>
      </c>
      <c r="AE44" s="18" t="inlineStr">
        <is>
          <t>--recurse-submodules, update, .gitmodules</t>
        </is>
      </c>
      <c r="AF44" s="18" t="inlineStr">
        <is>
          <t>git clone, git subtree, package managers</t>
        </is>
      </c>
      <c r="AG44" s="18" t="inlineStr">
        <is>
          <t>git subtree, or a package manager (npm, pip)</t>
        </is>
      </c>
      <c r="AH44" s="18" t="inlineStr">
        <is>
          <t>submodule, .gitmodules, pointer, recurse, pin</t>
        </is>
      </c>
      <c r="AI44" s="18" t="inlineStr">
        <is>
          <t>Shared libraries | Large multi-repo projects | Pinning third-party code</t>
        </is>
      </c>
      <c r="AJ44" s="18" t="inlineStr">
        <is>
          <t>A: The libs folder is empty after cloning. | B: Run git submodule update --init, or clone with --recurse-submodules.</t>
        </is>
      </c>
      <c r="AK44" s="18" t="inlineStr">
        <is>
          <t>✗ A submodule always stays on its latest version → ✓ A submodule is pinned to one commit, and you must update the pointer by hand to get a newer version</t>
        </is>
      </c>
      <c r="AL44" s="18" t="inlineStr">
        <is>
          <t>submodule vs package manager: a submodule pins a git commit, a package manager handles versions and dependencies.</t>
        </is>
      </c>
      <c r="AM44" s="18" t="inlineStr">
        <is>
          <t>Do not forget to commit the new pointer in the parent after changing a submodule.</t>
        </is>
      </c>
      <c r="AN44" s="19" t="inlineStr">
        <is>
          <t>git submodule clone https://github.com/asha/ui-kit.git</t>
        </is>
      </c>
      <c r="AO44" s="19" t="inlineStr">
        <is>
          <t>git submodule add https://github.com/asha/ui-kit.git libs/ui-kit</t>
        </is>
      </c>
      <c r="AP44" s="18" t="inlineStr">
        <is>
          <t>Submodule means a sub-repo pinned to one commit.</t>
        </is>
      </c>
      <c r="AQ44" s="18" t="inlineStr">
        <is>
          <t>Sharing one UI library across two apps at the same version through a submodule.</t>
        </is>
      </c>
      <c r="AR44" s="18" t="inlineStr">
        <is>
          <t>An interviewer may ask: When would you use a submodule and when not?</t>
        </is>
      </c>
      <c r="AS44" s="18" t="inlineStr">
        <is>
          <t>It is like a note in a book to read only that edition of the other book.</t>
        </is>
      </c>
      <c r="AT44" s="18" t="inlineStr">
        <is>
          <t>After cloning, the submodule folder is empty. What should you do?</t>
        </is>
      </c>
      <c r="AU44" s="18" t="inlineStr">
        <is>
          <t>A) git reset B) git stash C) Delete the repo D) git submodule update --init</t>
        </is>
      </c>
      <c r="AV44" s="18" t="inlineStr">
        <is>
          <t>D</t>
        </is>
      </c>
      <c r="AW44" s="18" t="inlineStr">
        <is>
          <t>update --init fetches the submodule's code.</t>
        </is>
      </c>
      <c r="AX44" s="19" t="inlineStr">
        <is>
          <t>git clone ____ &lt;url&gt; → --recurse-submodules</t>
        </is>
      </c>
      <c r="AY44" s="18" t="inlineStr">
        <is>
          <t>Clone a repo along with its submodules.</t>
        </is>
      </c>
      <c r="AZ44" s="19" t="inlineStr">
        <is>
          <t>git clone --recurse-submodules https://github.com/asha/app.git</t>
        </is>
      </c>
      <c r="BA44" s="18" t="inlineStr">
        <is>
          <t>Add a small public repo to a test repo as a submodule.</t>
        </is>
      </c>
      <c r="BB44" s="19" t="inlineStr">
        <is>
          <t>What does the parent repo store about a submodule?</t>
        </is>
      </c>
      <c r="BC44" s="19" t="inlineStr">
        <is>
          <t>The submodule's URL and one fixed commit hash.</t>
        </is>
      </c>
      <c r="BD44" s="17">
        <f>IF(K44="","",REPT("★",K44)&amp;REPT("☆",5-K44)&amp;" ("&amp;K44&amp;"/5)")</f>
        <v/>
      </c>
      <c r="BE44" s="17">
        <f>IF(S44="","","Meaning: "&amp;S44&amp;"  =  ______   (Answer: "&amp;F44&amp;")")</f>
        <v/>
      </c>
      <c r="BF44" s="17" t="inlineStr">
        <is>
          <t>New</t>
        </is>
      </c>
      <c r="BG44" s="17" t="n"/>
      <c r="BH44" s="17" t="n"/>
      <c r="BI44" s="17" t="n"/>
      <c r="BJ44" s="17" t="n"/>
      <c r="BK44" s="17" t="n"/>
      <c r="BL44" s="17" t="n"/>
      <c r="BM44" s="17" t="n"/>
      <c r="BN44" s="17" t="n"/>
    </row>
    <row r="45" ht="81" customHeight="1">
      <c r="A45" s="17" t="inlineStr">
        <is>
          <t>GIT-064</t>
        </is>
      </c>
      <c r="B45" s="17" t="inlineStr">
        <is>
          <t>05 Advanced Git</t>
        </is>
      </c>
      <c r="C45" s="17" t="inlineStr">
        <is>
          <t>Advanced</t>
        </is>
      </c>
      <c r="D45" s="17" t="n">
        <v>64</v>
      </c>
      <c r="E45" s="17" t="inlineStr">
        <is>
          <t>Claude knowledge</t>
        </is>
      </c>
      <c r="F45" s="18" t="inlineStr">
        <is>
          <t>Git hooks (pre-commit)</t>
        </is>
      </c>
      <c r="G45" s="18" t="inlineStr">
        <is>
          <t>What does Git offer to run a script automatically before a commit or push?</t>
        </is>
      </c>
      <c r="H45" s="17" t="n"/>
      <c r="I45" s="18" t="inlineStr">
        <is>
          <t>Git feature</t>
        </is>
      </c>
      <c r="J45" s="18" t="inlineStr">
        <is>
          <t>Medium</t>
        </is>
      </c>
      <c r="K45" s="18" t="n">
        <v>3</v>
      </c>
      <c r="L45" s="18" t="inlineStr">
        <is>
          <t>Teams needed to stop badly formatted or failing commits, so Git added scripts that run on certain events, called hooks.</t>
        </is>
      </c>
      <c r="M45" s="18" t="inlineStr">
        <is>
          <t>Share hooks with the team through a tool such as Husky or pre-commit.</t>
        </is>
      </c>
      <c r="N45" s="17" t="n"/>
      <c r="O45" s="18" t="inlineStr">
        <is>
          <t>A hook is a guard at the commit door who lets you through only after a check.</t>
        </is>
      </c>
      <c r="P45" s="18" t="inlineStr">
        <is>
          <t>A script guard stands at the commit door, runs the tests, and shows a green flag.</t>
        </is>
      </c>
      <c r="Q45" s="18" t="inlineStr">
        <is>
          <t>Trust that bad commits get stopped.</t>
        </is>
      </c>
      <c r="R45" s="18" t="inlineStr">
        <is>
          <t>A Git hook is a script that runs automatically before or after an event such as a commit or push.</t>
        </is>
      </c>
      <c r="S45" s="17" t="n"/>
      <c r="T45" s="19" t="inlineStr">
        <is>
          <t>printf '#!/bin/sh\nnpm test\n' &gt; .git/hooks/pre-commit
chmod +x .git/hooks/pre-commit</t>
        </is>
      </c>
      <c r="U45" s="19" t="inlineStr">
        <is>
          <t>(npm test will now run before every commit)</t>
        </is>
      </c>
      <c r="V45" s="18" t="inlineStr">
        <is>
          <t>Hooks live in .git/hooks and must be executable. If pre-commit fails, the commit is stopped. The .git folder is not committed, so hooks do not reach the team on their own; share them with Husky or the pre-commit framework.</t>
        </is>
      </c>
      <c r="W45" s="18" t="inlineStr">
        <is>
          <t>A hook lets you run tests or formatting before each commit. If it fails, the commit does not happen.</t>
        </is>
      </c>
      <c r="X45" s="18" t="inlineStr">
        <is>
          <t>It is like a guard at a door who lets you in only after checking.</t>
        </is>
      </c>
      <c r="Y45" s="19" t="inlineStr">
        <is>
          <t>.git/hooks/&lt;hook-name&gt; (an executable script)</t>
        </is>
      </c>
      <c r="Z45" s="18" t="inlineStr">
        <is>
          <t>pre-commit = before a commit | pre-push = before a push | commit-msg = checks the message</t>
        </is>
      </c>
      <c r="AA45" s="19" t="inlineStr">
        <is>
          <t>Running lint in pre-commit</t>
        </is>
      </c>
      <c r="AB45" s="19" t="inlineStr">
        <is>
          <t>Checking the message format in commit-msg</t>
        </is>
      </c>
      <c r="AC45" s="19" t="inlineStr">
        <is>
          <t>Running tests in pre-push</t>
        </is>
      </c>
      <c r="AD45" s="19" t="inlineStr">
        <is>
          <t>git commit --no-verify   # skip the hooks</t>
        </is>
      </c>
      <c r="AE45" s="18" t="inlineStr">
        <is>
          <t>.git/hooks, chmod, Husky, pre-commit framework</t>
        </is>
      </c>
      <c r="AF45" s="18" t="inlineStr">
        <is>
          <t>GitHub Actions, linting, CI</t>
        </is>
      </c>
      <c r="AG45" s="18" t="inlineStr">
        <is>
          <t>Running the same checks in CI</t>
        </is>
      </c>
      <c r="AH45" s="18" t="inlineStr">
        <is>
          <t>hook, pre-commit, pre-push, commit-msg, Husky</t>
        </is>
      </c>
      <c r="AI45" s="18" t="inlineStr">
        <is>
          <t>Lint and format | Message rules | Local tests</t>
        </is>
      </c>
      <c r="AJ45" s="18" t="inlineStr">
        <is>
          <t>A: Badly formatted code keeps getting committed. | B: Run a formatter in a pre-commit hook and the commit will stop on failure.</t>
        </is>
      </c>
      <c r="AK45" s="18" t="inlineStr">
        <is>
          <t>✗ A hook in .git applies automatically to everyone on the team → ✓ The .git folder is not cloned, so hooks must be shared with a tool such as Husky</t>
        </is>
      </c>
      <c r="AL45" s="18" t="inlineStr">
        <is>
          <t>hook vs CI: a hook runs on your own machine, CI runs on GitHub's servers.</t>
        </is>
      </c>
      <c r="AM45" s="18" t="inlineStr">
        <is>
          <t>Do not make --no-verify a habit.</t>
        </is>
      </c>
      <c r="AN45" s="19" t="inlineStr">
        <is>
          <t>echo "npm test" &gt; .git/hooks/pre-commit</t>
        </is>
      </c>
      <c r="AO45" s="19" t="inlineStr">
        <is>
          <t>printf '#!/bin/sh\nnpm test\n' &gt; .git/hooks/pre-commit</t>
        </is>
      </c>
      <c r="AP45" s="18" t="inlineStr">
        <is>
          <t>A hook holds the commit until the check passes.</t>
        </is>
      </c>
      <c r="AQ45" s="18" t="inlineStr">
        <is>
          <t>Running lint and format on every pre-commit through Husky.</t>
        </is>
      </c>
      <c r="AR45" s="18" t="inlineStr">
        <is>
          <t>An interviewer may ask: What is the difference between a hook and CI?</t>
        </is>
      </c>
      <c r="AS45" s="18" t="inlineStr">
        <is>
          <t>It is like a guard at the door who checks everyone coming in.</t>
        </is>
      </c>
      <c r="AT45" s="18" t="inlineStr">
        <is>
          <t>What should a pre-commit hook do to stop a commit?</t>
        </is>
      </c>
      <c r="AU45" s="18" t="inlineStr">
        <is>
          <t>A) Exit with non-zero B) Exit with zero C) Delete a file D) Print something</t>
        </is>
      </c>
      <c r="AV45" s="18" t="inlineStr">
        <is>
          <t>A</t>
        </is>
      </c>
      <c r="AW45" s="18" t="inlineStr">
        <is>
          <t>A non-zero exit code counts as failure and the commit stops.</t>
        </is>
      </c>
      <c r="AX45" s="19" t="inlineStr">
        <is>
          <t>To make a hook runnable you use ____ +x → chmod</t>
        </is>
      </c>
      <c r="AY45" s="18" t="inlineStr">
        <is>
          <t>Make the pre-commit hook executable.</t>
        </is>
      </c>
      <c r="AZ45" s="19" t="inlineStr">
        <is>
          <t>chmod +x .git/hooks/pre-commit</t>
        </is>
      </c>
      <c r="BA45" s="18" t="inlineStr">
        <is>
          <t>Make a small pre-commit hook that prints checking before a commit.</t>
        </is>
      </c>
      <c r="BB45" s="19" t="inlineStr">
        <is>
          <t>What is the flag to skip hooks once?</t>
        </is>
      </c>
      <c r="BC45" s="19" t="inlineStr">
        <is>
          <t>--no-verify</t>
        </is>
      </c>
      <c r="BD45" s="17">
        <f>IF(K45="","",REPT("★",K45)&amp;REPT("☆",5-K45)&amp;" ("&amp;K45&amp;"/5)")</f>
        <v/>
      </c>
      <c r="BE45" s="17">
        <f>IF(S45="","","Meaning: "&amp;S45&amp;"  =  ______   (Answer: "&amp;F45&amp;")")</f>
        <v/>
      </c>
      <c r="BF45" s="17" t="inlineStr">
        <is>
          <t>New</t>
        </is>
      </c>
      <c r="BG45" s="17" t="n"/>
      <c r="BH45" s="17" t="n"/>
      <c r="BI45" s="17" t="n"/>
      <c r="BJ45" s="17" t="n"/>
      <c r="BK45" s="17" t="n"/>
      <c r="BL45" s="17" t="n"/>
      <c r="BM45" s="17" t="n"/>
      <c r="BN45" s="17" t="n"/>
    </row>
    <row r="46" ht="67.5" customHeight="1">
      <c r="A46" s="17" t="inlineStr">
        <is>
          <t>GIT-066</t>
        </is>
      </c>
      <c r="B46" s="17" t="inlineStr">
        <is>
          <t>01 Basics</t>
        </is>
      </c>
      <c r="C46" s="17" t="inlineStr">
        <is>
          <t>Intermediate</t>
        </is>
      </c>
      <c r="D46" s="17" t="n">
        <v>66</v>
      </c>
      <c r="E46" s="17" t="inlineStr">
        <is>
          <t>Claude knowledge</t>
        </is>
      </c>
      <c r="F46" s="18" t="inlineStr">
        <is>
          <t>Git alias</t>
        </is>
      </c>
      <c r="G46" s="18" t="inlineStr">
        <is>
          <t>How do you run a long git command under a short name?</t>
        </is>
      </c>
      <c r="H46" s="17" t="n"/>
      <c r="I46" s="18" t="inlineStr">
        <is>
          <t>Git config</t>
        </is>
      </c>
      <c r="J46" s="18" t="inlineStr">
        <is>
          <t>Medium</t>
        </is>
      </c>
      <c r="K46" s="18" t="n">
        <v>3</v>
      </c>
      <c r="L46" s="18" t="inlineStr">
        <is>
          <t>Typing long commands every day is tiring, so Git lets you make short names, called aliases, in its config.</t>
        </is>
      </c>
      <c r="M46" s="18" t="inlineStr">
        <is>
          <t>Make an alias such as git lg that shows the log as a nice graph.</t>
        </is>
      </c>
      <c r="N46" s="17" t="n"/>
      <c r="O46" s="18" t="inlineStr">
        <is>
          <t>An alias is a shortcut name, like calling someone by a pet name.</t>
        </is>
      </c>
      <c r="P46" s="18" t="inlineStr">
        <is>
          <t>A long command shrinks into a name of two or three letters.</t>
        </is>
      </c>
      <c r="Q46" s="18" t="inlineStr">
        <is>
          <t>The comfort of typing much faster every day.</t>
        </is>
      </c>
      <c r="R46" s="18" t="inlineStr">
        <is>
          <t>A Git alias is a short name that stands for a long git command.</t>
        </is>
      </c>
      <c r="S46" s="17" t="n"/>
      <c r="T46" s="19" t="inlineStr">
        <is>
          <t>git config --global alias.st status
git config --global alias.lg "log --oneline --graph --all"
git lg</t>
        </is>
      </c>
      <c r="U46" s="19" t="inlineStr">
        <is>
          <t>* 8b7d1e2 (HEAD -&gt; main) Fix refund rounding
* 3f2a9c1 Add homepage heading</t>
        </is>
      </c>
      <c r="V46" s="18" t="inlineStr">
        <is>
          <t>Aliases are saved in the [alias] section of ~/.gitconfig. For a Git subcommand you write only the part after git, and for a shell command you start with an exclamation mark. It is only a shortcut, not a new feature.</t>
        </is>
      </c>
      <c r="W46" s="18" t="inlineStr">
        <is>
          <t>Give long commands a short name. Write it once in the config, and then typing git st runs git status.</t>
        </is>
      </c>
      <c r="X46" s="18" t="inlineStr">
        <is>
          <t>It is like calling someone with a long name by a pet name.</t>
        </is>
      </c>
      <c r="Y46" s="19" t="inlineStr">
        <is>
          <t>git config --global alias.&lt;short&gt; "&lt;command&gt;"</t>
        </is>
      </c>
      <c r="Z46" s="18" t="inlineStr">
        <is>
          <t>alias.st = the short name | "status" = the real command</t>
        </is>
      </c>
      <c r="AA46" s="19" t="inlineStr">
        <is>
          <t>git config --global alias.st status</t>
        </is>
      </c>
      <c r="AB46" s="19" t="inlineStr">
        <is>
          <t>git config --global alias.co switch</t>
        </is>
      </c>
      <c r="AC46" s="19" t="inlineStr">
        <is>
          <t>git config --global alias.lg "log --oneline --graph --all"</t>
        </is>
      </c>
      <c r="AD46" s="19" t="inlineStr">
        <is>
          <t>git config --global alias.last "log -1 HEAD"
git config --global --get-regexp alias   # list all aliases</t>
        </is>
      </c>
      <c r="AE46" s="18" t="inlineStr">
        <is>
          <t>git config, ~/.gitconfig, --global</t>
        </is>
      </c>
      <c r="AF46" s="18" t="inlineStr">
        <is>
          <t>git config, git log, shell alias</t>
        </is>
      </c>
      <c r="AG46" s="18" t="inlineStr">
        <is>
          <t>A shell alias (bash or zsh)</t>
        </is>
      </c>
      <c r="AH46" s="18" t="inlineStr">
        <is>
          <t>alias, shortcut, config, ~/.gitconfig</t>
        </is>
      </c>
      <c r="AI46" s="18" t="inlineStr">
        <is>
          <t>Daily work | Long log commands | Team shortcuts</t>
        </is>
      </c>
      <c r="AJ46" s="18" t="inlineStr">
        <is>
          <t>A: I keep typing that long git log command. | B: Make an alias such as git lg.</t>
        </is>
      </c>
      <c r="AK46" s="18" t="inlineStr">
        <is>
          <t>✗ Aliases give new features that Git does not have → ✓ An alias is only a shortcut for an existing command, not a new feature</t>
        </is>
      </c>
      <c r="AL46" s="18" t="inlineStr">
        <is>
          <t>git alias vs shell alias: a git alias works inside git, a shell alias works in the whole terminal.</t>
        </is>
      </c>
      <c r="AM46" s="18" t="inlineStr">
        <is>
          <t>Do not make an alias that clashes with a real git command name.</t>
        </is>
      </c>
      <c r="AN46" s="19" t="inlineStr">
        <is>
          <t>git alias st status</t>
        </is>
      </c>
      <c r="AO46" s="19" t="inlineStr">
        <is>
          <t>git config --global alias.st status</t>
        </is>
      </c>
      <c r="AP46" s="18" t="inlineStr">
        <is>
          <t>An alias is an Abbreviation for Long Instructions, Always Short.</t>
        </is>
      </c>
      <c r="AQ46" s="18" t="inlineStr">
        <is>
          <t>Sharing a git lg alias with the team so everyone sees the same graph.</t>
        </is>
      </c>
      <c r="AR46" s="18" t="inlineStr">
        <is>
          <t>An interviewer may ask: How do you make a git alias?</t>
        </is>
      </c>
      <c r="AS46" s="18" t="inlineStr">
        <is>
          <t>It is like calling a person with a long name by a pet name.</t>
        </is>
      </c>
      <c r="AT46" s="18" t="inlineStr">
        <is>
          <t>In which file and section is an alias saved?</t>
        </is>
      </c>
      <c r="AU46" s="18" t="inlineStr">
        <is>
          <t>A) The [alias] section of ~/.gitconfig B) .git/HEAD C) Inside .gitignore D) README.md</t>
        </is>
      </c>
      <c r="AV46" s="18" t="inlineStr">
        <is>
          <t>A</t>
        </is>
      </c>
      <c r="AW46" s="18" t="inlineStr">
        <is>
          <t>git config --global alias writes to the [alias] section of ~/.gitconfig.</t>
        </is>
      </c>
      <c r="AX46" s="19" t="inlineStr">
        <is>
          <t>git config --global ____.st status → alias</t>
        </is>
      </c>
      <c r="AY46" s="18" t="inlineStr">
        <is>
          <t>Make co a short name for switch.</t>
        </is>
      </c>
      <c r="AZ46" s="19" t="inlineStr">
        <is>
          <t>git config --global alias.co switch</t>
        </is>
      </c>
      <c r="BA46" s="18" t="inlineStr">
        <is>
          <t>Make an lg alias for yourself and run git lg.</t>
        </is>
      </c>
      <c r="BB46" s="19" t="inlineStr">
        <is>
          <t>What command lists all your aliases?</t>
        </is>
      </c>
      <c r="BC46" s="19" t="inlineStr">
        <is>
          <t>git config --global --get-regexp alias</t>
        </is>
      </c>
      <c r="BD46" s="17">
        <f>IF(K46="","",REPT("★",K46)&amp;REPT("☆",5-K46)&amp;" ("&amp;K46&amp;"/5)")</f>
        <v/>
      </c>
      <c r="BE46" s="17">
        <f>IF(S46="","","Meaning: "&amp;S46&amp;"  =  ______   (Answer: "&amp;F46&amp;")")</f>
        <v/>
      </c>
      <c r="BF46" s="17" t="inlineStr">
        <is>
          <t>New</t>
        </is>
      </c>
      <c r="BG46" s="17" t="n"/>
      <c r="BH46" s="17" t="n"/>
      <c r="BI46" s="17" t="n"/>
      <c r="BJ46" s="17" t="n"/>
      <c r="BK46" s="17" t="n"/>
      <c r="BL46" s="17" t="n"/>
      <c r="BM46" s="17" t="n"/>
      <c r="BN46" s="17" t="n"/>
    </row>
  </sheetData>
  <autoFilter ref="A2:BN46"/>
  <mergeCells count="6">
    <mergeCell ref="AT1:BC1"/>
    <mergeCell ref="BD1:BE1"/>
    <mergeCell ref="F1:Q1"/>
    <mergeCell ref="A1:E1"/>
    <mergeCell ref="BF1:BN1"/>
    <mergeCell ref="R1:AS1"/>
  </mergeCells>
  <dataValidations count="2">
    <dataValidation sqref="BF3:BF46" showDropDown="0" showInputMessage="0" showErrorMessage="0" allowBlank="1" type="list">
      <formula1>"New,Learning,Known"</formula1>
    </dataValidation>
    <dataValidation sqref="BM3:BM46"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GIT-003</t>
        </is>
      </c>
    </row>
    <row r="4">
      <c r="A4" s="23" t="inlineStr">
        <is>
          <t>FRONT · Recognition (pehchano)</t>
        </is>
      </c>
    </row>
    <row r="5" ht="30" customHeight="1">
      <c r="A5" s="24" t="inlineStr">
        <is>
          <t>ID</t>
        </is>
      </c>
      <c r="B5" s="17">
        <f>INDEX('Code concept (56-pt) cards'!$A$3:$BN$46,MATCH($B$2,'Code concept (56-pt) cards'!$A$3:$A$46,0),MATCH("ID",'Code concept (56-pt) cards'!$A$2:$BN$2,0))&amp;""</f>
        <v/>
      </c>
    </row>
    <row r="6" ht="30" customHeight="1">
      <c r="A6" s="24" t="inlineStr">
        <is>
          <t>Topic</t>
        </is>
      </c>
      <c r="B6" s="17">
        <f>INDEX('Code concept (56-pt) cards'!$A$3:$BN$46,MATCH($B$2,'Code concept (56-pt) cards'!$A$3:$A$46,0),MATCH("Topic",'Code concept (56-pt) cards'!$A$2:$BN$2,0))&amp;""</f>
        <v/>
      </c>
    </row>
    <row r="7" ht="30" customHeight="1">
      <c r="A7" s="24" t="inlineStr">
        <is>
          <t>Level</t>
        </is>
      </c>
      <c r="B7" s="17">
        <f>INDEX('Code concept (56-pt) cards'!$A$3:$BN$46,MATCH($B$2,'Code concept (56-pt) cards'!$A$3:$A$46,0),MATCH("Level",'Code concept (56-pt) cards'!$A$2:$BN$2,0))&amp;""</f>
        <v/>
      </c>
    </row>
    <row r="8" ht="30" customHeight="1">
      <c r="A8" s="24" t="inlineStr">
        <is>
          <t>Concept</t>
        </is>
      </c>
      <c r="B8" s="17">
        <f>INDEX('Code concept (56-pt) cards'!$A$3:$BN$46,MATCH($B$2,'Code concept (56-pt) cards'!$A$3:$A$46,0),MATCH("Concept",'Code concept (56-pt) cards'!$A$2:$BN$2,0))&amp;""</f>
        <v/>
      </c>
    </row>
    <row r="9" ht="30" customHeight="1">
      <c r="A9" s="24" t="inlineStr">
        <is>
          <t>Recall cue</t>
        </is>
      </c>
      <c r="B9" s="17">
        <f>INDEX('Code concept (56-pt) cards'!$A$3:$BN$46,MATCH($B$2,'Code concept (56-pt) cards'!$A$3:$A$46,0),MATCH("Recall cue",'Code concept (56-pt) cards'!$A$2:$BN$2,0))&amp;""</f>
        <v/>
      </c>
    </row>
    <row r="10" ht="30" customHeight="1">
      <c r="A10" s="24" t="inlineStr">
        <is>
          <t>Read aloud</t>
        </is>
      </c>
      <c r="B10" s="17">
        <f>INDEX('Code concept (56-pt) cards'!$A$3:$BN$46,MATCH($B$2,'Code concept (56-pt) cards'!$A$3:$A$46,0),MATCH("Read aloud",'Code concept (56-pt) cards'!$A$2:$BN$2,0))&amp;""</f>
        <v/>
      </c>
    </row>
    <row r="11" ht="30" customHeight="1">
      <c r="A11" s="24" t="inlineStr">
        <is>
          <t>Type</t>
        </is>
      </c>
      <c r="B11" s="17">
        <f>INDEX('Code concept (56-pt) cards'!$A$3:$BN$46,MATCH($B$2,'Code concept (56-pt) cards'!$A$3:$A$46,0),MATCH("Type",'Code concept (56-pt) cards'!$A$2:$BN$2,0))&amp;""</f>
        <v/>
      </c>
    </row>
    <row r="12" ht="30" customHeight="1">
      <c r="A12" s="24" t="inlineStr">
        <is>
          <t>How often used</t>
        </is>
      </c>
      <c r="B12" s="17">
        <f>INDEX('Code concept (56-pt) cards'!$A$3:$BN$46,MATCH($B$2,'Code concept (56-pt) cards'!$A$3:$A$46,0),MATCH("How often used",'Code concept (56-pt) cards'!$A$2:$BN$2,0))&amp;""</f>
        <v/>
      </c>
    </row>
    <row r="13" ht="30" customHeight="1">
      <c r="A13" s="24" t="inlineStr">
        <is>
          <t>Importance (1-5)</t>
        </is>
      </c>
      <c r="B13" s="17">
        <f>INDEX('Code concept (56-pt) cards'!$A$3:$BN$46,MATCH($B$2,'Code concept (56-pt) cards'!$A$3:$A$46,0),MATCH("Importance (1-5)",'Code concept (56-pt) cards'!$A$2:$BN$2,0))&amp;""</f>
        <v/>
      </c>
    </row>
    <row r="14" ht="30" customHeight="1">
      <c r="A14" s="24" t="inlineStr">
        <is>
          <t>Origin / why it exists</t>
        </is>
      </c>
      <c r="B14" s="17">
        <f>INDEX('Code concept (56-pt) cards'!$A$3:$BN$46,MATCH($B$2,'Code concept (56-pt) cards'!$A$3:$A$46,0),MATCH("Origin / why it exists",'Code concept (56-pt) cards'!$A$2:$BN$2,0))&amp;""</f>
        <v/>
      </c>
    </row>
    <row r="15" ht="30" customHeight="1">
      <c r="A15" s="24" t="inlineStr">
        <is>
          <t>Pro tip</t>
        </is>
      </c>
      <c r="B15" s="17">
        <f>INDEX('Code concept (56-pt) cards'!$A$3:$BN$46,MATCH($B$2,'Code concept (56-pt) cards'!$A$3:$A$46,0),MATCH("Pro tip",'Code concept (56-pt) cards'!$A$2:$BN$2,0))&amp;""</f>
        <v/>
      </c>
    </row>
    <row r="16" ht="30" customHeight="1">
      <c r="A16" s="24" t="inlineStr">
        <is>
          <t>Typing hint</t>
        </is>
      </c>
      <c r="B16" s="17">
        <f>INDEX('Code concept (56-pt) cards'!$A$3:$BN$46,MATCH($B$2,'Code concept (56-pt) cards'!$A$3:$A$46,0),MATCH("Typing hint",'Code concept (56-pt) cards'!$A$2:$BN$2,0))&amp;""</f>
        <v/>
      </c>
    </row>
    <row r="17" ht="30" customHeight="1">
      <c r="A17" s="24" t="inlineStr">
        <is>
          <t>Memory story</t>
        </is>
      </c>
      <c r="B17" s="17">
        <f>INDEX('Code concept (56-pt) cards'!$A$3:$BN$46,MATCH($B$2,'Code concept (56-pt) cards'!$A$3:$A$46,0),MATCH("Memory story",'Code concept (56-pt) cards'!$A$2:$BN$2,0))&amp;""</f>
        <v/>
      </c>
    </row>
    <row r="18" ht="30" customHeight="1">
      <c r="A18" s="24" t="inlineStr">
        <is>
          <t>Picture it</t>
        </is>
      </c>
      <c r="B18" s="17">
        <f>INDEX('Code concept (56-pt) cards'!$A$3:$BN$46,MATCH($B$2,'Code concept (56-pt) cards'!$A$3:$A$46,0),MATCH("Picture it",'Code concept (56-pt) cards'!$A$2:$BN$2,0))&amp;""</f>
        <v/>
      </c>
    </row>
    <row r="19" ht="30" customHeight="1">
      <c r="A19" s="24" t="inlineStr">
        <is>
          <t>Emotion hook</t>
        </is>
      </c>
      <c r="B19" s="17">
        <f>INDEX('Code concept (56-pt) cards'!$A$3:$BN$46,MATCH($B$2,'Code concept (56-pt) cards'!$A$3:$A$46,0),MATCH("Emotion hook",'Code concept (56-pt) cards'!$A$2:$BN$2,0))&amp;""</f>
        <v/>
      </c>
    </row>
    <row r="20" ht="30" customHeight="1">
      <c r="A20" s="24" t="inlineStr">
        <is>
          <t>Importance ★</t>
        </is>
      </c>
      <c r="B20" s="17">
        <f>INDEX('Code concept (56-pt) cards'!$A$3:$BN$46,MATCH($B$2,'Code concept (56-pt) cards'!$A$3:$A$46,0),MATCH("Importance ★",'Code concept (56-pt) cards'!$A$2:$BN$2,0))&amp;""</f>
        <v/>
      </c>
    </row>
    <row r="21">
      <c r="A21" s="25" t="inlineStr">
        <is>
          <t>BACK · Understanding (samjho)</t>
        </is>
      </c>
    </row>
    <row r="22" ht="30" customHeight="1">
      <c r="A22" s="24" t="inlineStr">
        <is>
          <t>Meaning (short)</t>
        </is>
      </c>
      <c r="B22" s="17">
        <f>INDEX('Code concept (56-pt) cards'!$A$3:$BN$46,MATCH($B$2,'Code concept (56-pt) cards'!$A$3:$A$46,0),MATCH("Meaning (short)",'Code concept (56-pt) cards'!$A$2:$BN$2,0))&amp;""</f>
        <v/>
      </c>
    </row>
    <row r="23" ht="30" customHeight="1">
      <c r="A23" s="24" t="inlineStr">
        <is>
          <t>Meaning in learner's language</t>
        </is>
      </c>
      <c r="B23" s="17">
        <f>INDEX('Code concept (56-pt) cards'!$A$3:$BN$46,MATCH($B$2,'Code concept (56-pt) cards'!$A$3:$A$46,0),MATCH("Meaning in learner's language",'Code concept (56-pt) cards'!$A$2:$BN$2,0))&amp;""</f>
        <v/>
      </c>
    </row>
    <row r="24" ht="121.5" customHeight="1">
      <c r="A24" s="24" t="inlineStr">
        <is>
          <t>Code</t>
        </is>
      </c>
      <c r="B24" s="26">
        <f>INDEX('Code concept (56-pt) cards'!$A$3:$BN$46,MATCH($B$2,'Code concept (56-pt) cards'!$A$3:$A$46,0),MATCH("Code",'Code concept (56-pt) cards'!$A$2:$BN$2,0))&amp;""</f>
        <v/>
      </c>
    </row>
    <row r="25" ht="54" customHeight="1">
      <c r="A25" s="24" t="inlineStr">
        <is>
          <t>Output</t>
        </is>
      </c>
      <c r="B25" s="26">
        <f>INDEX('Code concept (56-pt) cards'!$A$3:$BN$46,MATCH($B$2,'Code concept (56-pt) cards'!$A$3:$A$46,0),MATCH("Output",'Code concept (56-pt) cards'!$A$2:$BN$2,0))&amp;""</f>
        <v/>
      </c>
    </row>
    <row r="26" ht="40.5" customHeight="1">
      <c r="A26" s="24" t="inlineStr">
        <is>
          <t>Explanation</t>
        </is>
      </c>
      <c r="B26" s="17">
        <f>INDEX('Code concept (56-pt) cards'!$A$3:$BN$46,MATCH($B$2,'Code concept (56-pt) cards'!$A$3:$A$46,0),MATCH("Explanation",'Code concept (56-pt) cards'!$A$2:$BN$2,0))&amp;""</f>
        <v/>
      </c>
    </row>
    <row r="27" ht="30" customHeight="1">
      <c r="A27" s="24" t="inlineStr">
        <is>
          <t>Simple explanation (Hinglish)</t>
        </is>
      </c>
      <c r="B27" s="17">
        <f>INDEX('Code concept (56-pt) cards'!$A$3:$BN$46,MATCH($B$2,'Code concept (56-pt) cards'!$A$3:$A$46,0),MATCH("Simple explanation (Hinglish)",'Code concept (56-pt) cards'!$A$2:$BN$2,0))&amp;""</f>
        <v/>
      </c>
    </row>
    <row r="28" ht="30" customHeight="1">
      <c r="A28" s="24" t="inlineStr">
        <is>
          <t>Real-life analogy</t>
        </is>
      </c>
      <c r="B28" s="17">
        <f>INDEX('Code concept (56-pt) cards'!$A$3:$BN$46,MATCH($B$2,'Code concept (56-pt) cards'!$A$3:$A$46,0),MATCH("Real-life analogy",'Code concept (56-pt) cards'!$A$2:$BN$2,0))&amp;""</f>
        <v/>
      </c>
    </row>
    <row r="29" ht="30" customHeight="1">
      <c r="A29" s="24" t="inlineStr">
        <is>
          <t>Syntax pattern</t>
        </is>
      </c>
      <c r="B29" s="26">
        <f>INDEX('Code concept (56-pt) cards'!$A$3:$BN$46,MATCH($B$2,'Code concept (56-pt) cards'!$A$3:$A$46,0),MATCH("Syntax pattern",'Code concept (56-pt) cards'!$A$2:$BN$2,0))&amp;""</f>
        <v/>
      </c>
    </row>
    <row r="30" ht="30" customHeight="1">
      <c r="A30" s="24" t="inlineStr">
        <is>
          <t>Anatomy</t>
        </is>
      </c>
      <c r="B30" s="17">
        <f>INDEX('Code concept (56-pt) cards'!$A$3:$BN$46,MATCH($B$2,'Code concept (56-pt) cards'!$A$3:$A$46,0),MATCH("Anatomy",'Code concept (56-pt) cards'!$A$2:$BN$2,0))&amp;""</f>
        <v/>
      </c>
    </row>
    <row r="31" ht="30" customHeight="1">
      <c r="A31" s="24" t="inlineStr">
        <is>
          <t>Example 1</t>
        </is>
      </c>
      <c r="B31" s="26">
        <f>INDEX('Code concept (56-pt) cards'!$A$3:$BN$46,MATCH($B$2,'Code concept (56-pt) cards'!$A$3:$A$46,0),MATCH("Example 1",'Code concept (56-pt) cards'!$A$2:$BN$2,0))&amp;""</f>
        <v/>
      </c>
    </row>
    <row r="32" ht="30" customHeight="1">
      <c r="A32" s="24" t="inlineStr">
        <is>
          <t>Example 2</t>
        </is>
      </c>
      <c r="B32" s="26">
        <f>INDEX('Code concept (56-pt) cards'!$A$3:$BN$46,MATCH($B$2,'Code concept (56-pt) cards'!$A$3:$A$46,0),MATCH("Example 2",'Code concept (56-pt) cards'!$A$2:$BN$2,0))&amp;""</f>
        <v/>
      </c>
    </row>
    <row r="33" ht="30" customHeight="1">
      <c r="A33" s="24" t="inlineStr">
        <is>
          <t>Example 3</t>
        </is>
      </c>
      <c r="B33" s="26">
        <f>INDEX('Code concept (56-pt) cards'!$A$3:$BN$46,MATCH($B$2,'Code concept (56-pt) cards'!$A$3:$A$46,0),MATCH("Example 3",'Code concept (56-pt) cards'!$A$2:$BN$2,0))&amp;""</f>
        <v/>
      </c>
    </row>
    <row r="34" ht="40.5" customHeight="1">
      <c r="A34" s="24" t="inlineStr">
        <is>
          <t>Variation</t>
        </is>
      </c>
      <c r="B34" s="26">
        <f>INDEX('Code concept (56-pt) cards'!$A$3:$BN$46,MATCH($B$2,'Code concept (56-pt) cards'!$A$3:$A$46,0),MATCH("Variation",'Code concept (56-pt) cards'!$A$2:$BN$2,0))&amp;""</f>
        <v/>
      </c>
    </row>
    <row r="35" ht="30" customHeight="1">
      <c r="A35" s="24" t="inlineStr">
        <is>
          <t>Used with</t>
        </is>
      </c>
      <c r="B35" s="17">
        <f>INDEX('Code concept (56-pt) cards'!$A$3:$BN$46,MATCH($B$2,'Code concept (56-pt) cards'!$A$3:$A$46,0),MATCH("Used with",'Code concept (56-pt) cards'!$A$2:$BN$2,0))&amp;""</f>
        <v/>
      </c>
    </row>
    <row r="36" ht="30" customHeight="1">
      <c r="A36" s="24" t="inlineStr">
        <is>
          <t>Related concepts</t>
        </is>
      </c>
      <c r="B36" s="17">
        <f>INDEX('Code concept (56-pt) cards'!$A$3:$BN$46,MATCH($B$2,'Code concept (56-pt) cards'!$A$3:$A$46,0),MATCH("Related concepts",'Code concept (56-pt) cards'!$A$2:$BN$2,0))&amp;""</f>
        <v/>
      </c>
    </row>
    <row r="37" ht="30" customHeight="1">
      <c r="A37" s="24" t="inlineStr">
        <is>
          <t>Alternatives</t>
        </is>
      </c>
      <c r="B37" s="17">
        <f>INDEX('Code concept (56-pt) cards'!$A$3:$BN$46,MATCH($B$2,'Code concept (56-pt) cards'!$A$3:$A$46,0),MATCH("Alternatives",'Code concept (56-pt) cards'!$A$2:$BN$2,0))&amp;""</f>
        <v/>
      </c>
    </row>
    <row r="38" ht="30" customHeight="1">
      <c r="A38" s="24" t="inlineStr">
        <is>
          <t>Family / group</t>
        </is>
      </c>
      <c r="B38" s="17">
        <f>INDEX('Code concept (56-pt) cards'!$A$3:$BN$46,MATCH($B$2,'Code concept (56-pt) cards'!$A$3:$A$46,0),MATCH("Family / group",'Code concept (56-pt) cards'!$A$2:$BN$2,0))&amp;""</f>
        <v/>
      </c>
    </row>
    <row r="39" ht="30" customHeight="1">
      <c r="A39" s="24" t="inlineStr">
        <is>
          <t>Where it is used</t>
        </is>
      </c>
      <c r="B39" s="17">
        <f>INDEX('Code concept (56-pt) cards'!$A$3:$BN$46,MATCH($B$2,'Code concept (56-pt) cards'!$A$3:$A$46,0),MATCH("Where it is used",'Code concept (56-pt) cards'!$A$2:$BN$2,0))&amp;""</f>
        <v/>
      </c>
    </row>
    <row r="40" ht="30" customHeight="1">
      <c r="A40" s="24" t="inlineStr">
        <is>
          <t>Mini conversation</t>
        </is>
      </c>
      <c r="B40" s="17">
        <f>INDEX('Code concept (56-pt) cards'!$A$3:$BN$46,MATCH($B$2,'Code concept (56-pt) cards'!$A$3:$A$46,0),MATCH("Mini conversation",'Code concept (56-pt) cards'!$A$2:$BN$2,0))&amp;""</f>
        <v/>
      </c>
    </row>
    <row r="41" ht="30" customHeight="1">
      <c r="A41" s="24" t="inlineStr">
        <is>
          <t>Common mistake</t>
        </is>
      </c>
      <c r="B41" s="17">
        <f>INDEX('Code concept (56-pt) cards'!$A$3:$BN$46,MATCH($B$2,'Code concept (56-pt) cards'!$A$3:$A$46,0),MATCH("Common mistake",'Code concept (56-pt) cards'!$A$2:$BN$2,0))&amp;""</f>
        <v/>
      </c>
    </row>
    <row r="42" ht="30" customHeight="1">
      <c r="A42" s="24" t="inlineStr">
        <is>
          <t>Commonly confused with</t>
        </is>
      </c>
      <c r="B42" s="17">
        <f>INDEX('Code concept (56-pt) cards'!$A$3:$BN$46,MATCH($B$2,'Code concept (56-pt) cards'!$A$3:$A$46,0),MATCH("Commonly confused with",'Code concept (56-pt) cards'!$A$2:$BN$2,0))&amp;""</f>
        <v/>
      </c>
    </row>
    <row r="43" ht="30" customHeight="1">
      <c r="A43" s="24" t="inlineStr">
        <is>
          <t>Avoid / don't</t>
        </is>
      </c>
      <c r="B43" s="17">
        <f>INDEX('Code concept (56-pt) cards'!$A$3:$BN$46,MATCH($B$2,'Code concept (56-pt) cards'!$A$3:$A$46,0),MATCH("Avoid / don't",'Code concept (56-pt) cards'!$A$2:$BN$2,0))&amp;""</f>
        <v/>
      </c>
    </row>
    <row r="44" ht="30" customHeight="1">
      <c r="A44" s="24" t="inlineStr">
        <is>
          <t>Wrong code</t>
        </is>
      </c>
      <c r="B44" s="26">
        <f>INDEX('Code concept (56-pt) cards'!$A$3:$BN$46,MATCH($B$2,'Code concept (56-pt) cards'!$A$3:$A$46,0),MATCH("Wrong code",'Code concept (56-pt) cards'!$A$2:$BN$2,0))&amp;""</f>
        <v/>
      </c>
    </row>
    <row r="45" ht="30" customHeight="1">
      <c r="A45" s="24" t="inlineStr">
        <is>
          <t>Right code</t>
        </is>
      </c>
      <c r="B45" s="26">
        <f>INDEX('Code concept (56-pt) cards'!$A$3:$BN$46,MATCH($B$2,'Code concept (56-pt) cards'!$A$3:$A$46,0),MATCH("Right code",'Code concept (56-pt) cards'!$A$2:$BN$2,0))&amp;""</f>
        <v/>
      </c>
    </row>
    <row r="46" ht="30" customHeight="1">
      <c r="A46" s="24" t="inlineStr">
        <is>
          <t>Memory trick</t>
        </is>
      </c>
      <c r="B46" s="17">
        <f>INDEX('Code concept (56-pt) cards'!$A$3:$BN$46,MATCH($B$2,'Code concept (56-pt) cards'!$A$3:$A$46,0),MATCH("Memory trick",'Code concept (56-pt) cards'!$A$2:$BN$2,0))&amp;""</f>
        <v/>
      </c>
    </row>
    <row r="47" ht="30" customHeight="1">
      <c r="A47" s="24" t="inlineStr">
        <is>
          <t>Real life: project / work</t>
        </is>
      </c>
      <c r="B47" s="17">
        <f>INDEX('Code concept (56-pt) cards'!$A$3:$BN$46,MATCH($B$2,'Code concept (56-pt) cards'!$A$3:$A$46,0),MATCH("Real life: project / work",'Code concept (56-pt) cards'!$A$2:$BN$2,0))&amp;""</f>
        <v/>
      </c>
    </row>
    <row r="48" ht="30" customHeight="1">
      <c r="A48" s="24" t="inlineStr">
        <is>
          <t>Real life: interview / exam</t>
        </is>
      </c>
      <c r="B48" s="17">
        <f>INDEX('Code concept (56-pt) cards'!$A$3:$BN$46,MATCH($B$2,'Code concept (56-pt) cards'!$A$3:$A$46,0),MATCH("Real life: interview / exam",'Code concept (56-pt) cards'!$A$2:$BN$2,0))&amp;""</f>
        <v/>
      </c>
    </row>
    <row r="49" ht="30" customHeight="1">
      <c r="A49" s="24" t="inlineStr">
        <is>
          <t>Real life: daily life</t>
        </is>
      </c>
      <c r="B49" s="17">
        <f>INDEX('Code concept (56-pt) cards'!$A$3:$BN$46,MATCH($B$2,'Code concept (56-pt) cards'!$A$3:$A$46,0),MATCH("Real life: daily life",'Code concept (56-pt) cards'!$A$2:$BN$2,0))&amp;""</f>
        <v/>
      </c>
    </row>
    <row r="50">
      <c r="A50" s="27" t="inlineStr">
        <is>
          <t>PRACTICE · Khud karo</t>
        </is>
      </c>
    </row>
    <row r="51" ht="30" customHeight="1">
      <c r="A51" s="24" t="inlineStr">
        <is>
          <t>MCQ question</t>
        </is>
      </c>
      <c r="B51" s="17">
        <f>INDEX('Code concept (56-pt) cards'!$A$3:$BN$46,MATCH($B$2,'Code concept (56-pt) cards'!$A$3:$A$46,0),MATCH("MCQ question",'Code concept (56-pt) cards'!$A$2:$BN$2,0))&amp;""</f>
        <v/>
      </c>
    </row>
    <row r="52" ht="30" customHeight="1">
      <c r="A52" s="24" t="inlineStr">
        <is>
          <t>MCQ options</t>
        </is>
      </c>
      <c r="B52" s="17">
        <f>INDEX('Code concept (56-pt) cards'!$A$3:$BN$46,MATCH($B$2,'Code concept (56-pt) cards'!$A$3:$A$46,0),MATCH("MCQ options",'Code concept (56-pt) cards'!$A$2:$BN$2,0))&amp;""</f>
        <v/>
      </c>
    </row>
    <row r="53" ht="30" customHeight="1">
      <c r="A53" s="24" t="inlineStr">
        <is>
          <t>MCQ answer</t>
        </is>
      </c>
      <c r="B53" s="17">
        <f>INDEX('Code concept (56-pt) cards'!$A$3:$BN$46,MATCH($B$2,'Code concept (56-pt) cards'!$A$3:$A$46,0),MATCH("MCQ answer",'Code concept (56-pt) cards'!$A$2:$BN$2,0))&amp;""</f>
        <v/>
      </c>
    </row>
    <row r="54" ht="30" customHeight="1">
      <c r="A54" s="24" t="inlineStr">
        <is>
          <t>Why that answer</t>
        </is>
      </c>
      <c r="B54" s="17">
        <f>INDEX('Code concept (56-pt) cards'!$A$3:$BN$46,MATCH($B$2,'Code concept (56-pt) cards'!$A$3:$A$46,0),MATCH("Why that answer",'Code concept (56-pt) cards'!$A$2:$BN$2,0))&amp;""</f>
        <v/>
      </c>
    </row>
    <row r="55" ht="30" customHeight="1">
      <c r="A55" s="24" t="inlineStr">
        <is>
          <t>Fill the blank</t>
        </is>
      </c>
      <c r="B55" s="26">
        <f>INDEX('Code concept (56-pt) cards'!$A$3:$BN$46,MATCH($B$2,'Code concept (56-pt) cards'!$A$3:$A$46,0),MATCH("Fill the blank",'Code concept (56-pt) cards'!$A$2:$BN$2,0))&amp;""</f>
        <v/>
      </c>
    </row>
    <row r="56" ht="30" customHeight="1">
      <c r="A56" s="24" t="inlineStr">
        <is>
          <t>Try it yourself</t>
        </is>
      </c>
      <c r="B56" s="17">
        <f>INDEX('Code concept (56-pt) cards'!$A$3:$BN$46,MATCH($B$2,'Code concept (56-pt) cards'!$A$3:$A$46,0),MATCH("Try it yourself",'Code concept (56-pt) cards'!$A$2:$BN$2,0))&amp;""</f>
        <v/>
      </c>
    </row>
    <row r="57" ht="30" customHeight="1">
      <c r="A57" s="24" t="inlineStr">
        <is>
          <t>Task answer</t>
        </is>
      </c>
      <c r="B57" s="26">
        <f>INDEX('Code concept (56-pt) cards'!$A$3:$BN$46,MATCH($B$2,'Code concept (56-pt) cards'!$A$3:$A$46,0),MATCH("Task answer",'Code concept (56-pt) cards'!$A$2:$BN$2,0))&amp;""</f>
        <v/>
      </c>
    </row>
    <row r="58" ht="30" customHeight="1">
      <c r="A58" s="24" t="inlineStr">
        <is>
          <t>Write your own</t>
        </is>
      </c>
      <c r="B58" s="17">
        <f>INDEX('Code concept (56-pt) cards'!$A$3:$BN$46,MATCH($B$2,'Code concept (56-pt) cards'!$A$3:$A$46,0),MATCH("Write your own",'Code concept (56-pt) cards'!$A$2:$BN$2,0))&amp;""</f>
        <v/>
      </c>
    </row>
    <row r="59" ht="30" customHeight="1">
      <c r="A59" s="24" t="inlineStr">
        <is>
          <t>Practice question</t>
        </is>
      </c>
      <c r="B59" s="26">
        <f>INDEX('Code concept (56-pt) cards'!$A$3:$BN$46,MATCH($B$2,'Code concept (56-pt) cards'!$A$3:$A$46,0),MATCH("Practice question",'Code concept (56-pt) cards'!$A$2:$BN$2,0))&amp;""</f>
        <v/>
      </c>
    </row>
    <row r="60" ht="30" customHeight="1">
      <c r="A60" s="24" t="inlineStr">
        <is>
          <t>Practice answer</t>
        </is>
      </c>
      <c r="B60" s="26">
        <f>INDEX('Code concept (56-pt) cards'!$A$3:$BN$46,MATCH($B$2,'Code concept (56-pt) cards'!$A$3:$A$46,0),MATCH("Practice answer",'Code concept (56-pt) cards'!$A$2:$BN$2,0))&amp;""</f>
        <v/>
      </c>
    </row>
    <row r="61" ht="30" customHeight="1">
      <c r="A61" s="24" t="inlineStr">
        <is>
          <t>Quick recall (reverse)</t>
        </is>
      </c>
      <c r="B61" s="17">
        <f>INDEX('Code concept (56-pt) cards'!$A$3:$BN$46,MATCH($B$2,'Code concept (56-pt) cards'!$A$3:$A$46,0),MATCH("Quick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cards'!$A$3:$A$46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2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81" customHeight="1">
      <c r="A3" s="17" t="inlineStr">
        <is>
          <t>GIT-001</t>
        </is>
      </c>
      <c r="B3" s="17" t="inlineStr">
        <is>
          <t>01 Basics</t>
        </is>
      </c>
      <c r="C3" s="17" t="inlineStr">
        <is>
          <t>Beginner</t>
        </is>
      </c>
      <c r="D3" s="17" t="n">
        <v>1</v>
      </c>
      <c r="E3" s="17" t="inlineStr">
        <is>
          <t>Claude knowledge</t>
        </is>
      </c>
      <c r="F3" s="18" t="inlineStr">
        <is>
          <t>GitHub</t>
        </is>
      </c>
      <c r="G3" s="18" t="inlineStr">
        <is>
          <t>Which platform lets you store code online, share it, and work on it together with other people?</t>
        </is>
      </c>
      <c r="H3" s="18" t="inlineStr">
        <is>
          <t>Code hosting platform</t>
        </is>
      </c>
      <c r="I3" s="18" t="inlineStr">
        <is>
          <t>Very high</t>
        </is>
      </c>
      <c r="J3" s="18" t="n">
        <v>5</v>
      </c>
      <c r="K3" s="18" t="inlineStr">
        <is>
          <t>GitHub launched in 2008 to host Git repositories online, and Microsoft bought it in 2018.</t>
        </is>
      </c>
      <c r="L3" s="18" t="inlineStr">
        <is>
          <t>Create a repository even for small projects so old code is never lost.</t>
        </is>
      </c>
      <c r="M3" s="18" t="inlineStr">
        <is>
          <t>Git is a diary that remembers every change, and GitHub is the online cupboard where that diary is kept for others to read.</t>
        </is>
      </c>
      <c r="N3" s="18" t="inlineStr">
        <is>
          <t>A huge online locker room where every project has its own locker and friends enter with a key.</t>
        </is>
      </c>
      <c r="O3" s="18" t="inlineStr">
        <is>
          <t>The relief of finding your code safe even after your laptop breaks.</t>
        </is>
      </c>
      <c r="P3" s="18" t="inlineStr">
        <is>
          <t>GitHub is a website that stores Git repositories online so people can work on code together.</t>
        </is>
      </c>
      <c r="Q3" s="17" t="n"/>
      <c r="R3" s="18" t="inlineStr">
        <is>
          <t>Git keeps the history of your code on your own computer. GitHub keeps that history on the internet, so you have a backup and a team can collaborate through pull requests, issues and reviews.</t>
        </is>
      </c>
      <c r="S3" s="18" t="inlineStr">
        <is>
          <t>Git runs on your laptop and GitHub lives on the internet. You push your code there, and friends can read it or change it with your permission.</t>
        </is>
      </c>
      <c r="T3" s="18" t="inlineStr">
        <is>
          <t>It works like Google Drive, but built for code, with a record of every change and a way to review work.</t>
        </is>
      </c>
      <c r="U3" s="18" t="inlineStr">
        <is>
          <t>Local work (Git): commit → Send online (GitHub): push → Ask for review: pull request</t>
        </is>
      </c>
      <c r="V3" s="18" t="inlineStr">
        <is>
          <t>A student keeps a portfolio website on GitHub so recruiters can see it.</t>
        </is>
      </c>
      <c r="W3" s="18" t="inlineStr">
        <is>
          <t>A contributor fixes a bug in an open-source project and sends a pull request.</t>
        </is>
      </c>
      <c r="X3" s="18" t="inlineStr">
        <is>
          <t>A team builds separate features on branches and merges them after review.</t>
        </is>
      </c>
      <c r="Y3" s="18" t="inlineStr">
        <is>
          <t>Git, repository, branch, pull request</t>
        </is>
      </c>
      <c r="Z3" s="18" t="inlineStr">
        <is>
          <t>repository, commit, push, pull, fork, issue</t>
        </is>
      </c>
      <c r="AA3" s="18" t="inlineStr">
        <is>
          <t>Software teams | Open-source projects | Portfolios and job applications</t>
        </is>
      </c>
      <c r="AB3" s="18" t="inlineStr">
        <is>
          <t>A: My code is only on my laptop, how do I share it with the team? | B: Create a repository on GitHub, push your code, and send them the link.</t>
        </is>
      </c>
      <c r="AC3" s="18" t="inlineStr">
        <is>
          <t>✗ Git and GitHub are the same thing → ✓ Git is a tool that runs on your computer, while GitHub is a website built around it (GitLab and Bitbucket are alternatives)</t>
        </is>
      </c>
      <c r="AD3" s="18" t="inlineStr">
        <is>
          <t>GitHub vs Git: Git is the version control tool, GitHub is the online platform that hosts it.</t>
        </is>
      </c>
      <c r="AE3" s="18" t="inlineStr">
        <is>
          <t>Never commit passwords, API keys or private tokens to a repository.</t>
        </is>
      </c>
      <c r="AF3" s="18" t="inlineStr">
        <is>
          <t>Git keeps the history, and Hub is where everyone meets.</t>
        </is>
      </c>
      <c r="AG3" s="18" t="inlineStr">
        <is>
          <t>Keeping the team code on GitHub, reviewing it through pull requests, and then merging it into the main branch.</t>
        </is>
      </c>
      <c r="AH3" s="18" t="inlineStr">
        <is>
          <t>An interviewer may ask: What is the difference between Git and GitHub, and what is a pull request?</t>
        </is>
      </c>
      <c r="AI3" s="18" t="inlineStr">
        <is>
          <t>It is like a shared notebook that records who changed what.</t>
        </is>
      </c>
      <c r="AJ3" s="18" t="inlineStr">
        <is>
          <t>Which GitHub feature sends your bug fix to a project owner for review?</t>
        </is>
      </c>
      <c r="AK3" s="18" t="inlineStr">
        <is>
          <t>A) git init B) git status C) Pull request D) Fork delete</t>
        </is>
      </c>
      <c r="AL3" s="18" t="inlineStr">
        <is>
          <t>C</t>
        </is>
      </c>
      <c r="AM3" s="18" t="inlineStr">
        <is>
          <t>A pull request sends your changes to the owner for review and merging; the other options do not do that.</t>
        </is>
      </c>
      <c r="AN3" s="18" t="inlineStr">
        <is>
          <t>Git is a tool, and ____ is the online hosting service built around it → GitHub</t>
        </is>
      </c>
      <c r="AO3" s="18" t="inlineStr">
        <is>
          <t>What is the first step to put a project folder on GitHub? → Create a new repository on GitHub, then push your code</t>
        </is>
      </c>
      <c r="AP3" s="18" t="inlineStr">
        <is>
          <t>Explain the difference between Git and GitHub to a friend in three lines.</t>
        </is>
      </c>
      <c r="AQ3" s="18" t="inlineStr">
        <is>
          <t>Create a public repository under your name and write two lines about yourself in its README.md.</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67.5" customHeight="1">
      <c r="A4" s="17" t="inlineStr">
        <is>
          <t>GIT-002</t>
        </is>
      </c>
      <c r="B4" s="17" t="inlineStr">
        <is>
          <t>01 Basics</t>
        </is>
      </c>
      <c r="C4" s="17" t="inlineStr">
        <is>
          <t>Beginner</t>
        </is>
      </c>
      <c r="D4" s="17" t="n">
        <v>2</v>
      </c>
      <c r="E4" s="17" t="inlineStr">
        <is>
          <t>Claude knowledge</t>
        </is>
      </c>
      <c r="F4" s="18" t="inlineStr">
        <is>
          <t>Repository (repo)</t>
        </is>
      </c>
      <c r="G4" s="18" t="inlineStr">
        <is>
          <t>What do we call the place that holds all of a project's files together with the full history of their changes?</t>
        </is>
      </c>
      <c r="H4" s="18" t="inlineStr">
        <is>
          <t>Core concept</t>
        </is>
      </c>
      <c r="I4" s="18" t="inlineStr">
        <is>
          <t>Very high</t>
        </is>
      </c>
      <c r="J4" s="18" t="n">
        <v>5</v>
      </c>
      <c r="K4" s="18" t="inlineStr">
        <is>
          <t>A repository is a storehouse; in Git it is the project folder plus its full history, kept inside a hidden folder named .git.</t>
        </is>
      </c>
      <c r="L4" s="18" t="inlineStr">
        <is>
          <t>Keep one project per repository instead of mixing unrelated things together.</t>
        </is>
      </c>
      <c r="M4" s="18" t="inlineStr">
        <is>
          <t>A repo is a safe that holds not just your files but every earlier version of them, ready to be taken out at any time.</t>
        </is>
      </c>
      <c r="N4" s="18" t="inlineStr">
        <is>
          <t>A folder with a hidden folder inside it that holds a whole photo album of old versions.</t>
        </is>
      </c>
      <c r="O4" s="18" t="inlineStr">
        <is>
          <t>The comfort of knowing an old version can come back if you make a mistake.</t>
        </is>
      </c>
      <c r="P4" s="18" t="inlineStr">
        <is>
          <t>A repository is a project folder whose files and the record of all their changes are stored together by Git.</t>
        </is>
      </c>
      <c r="Q4" s="17" t="n"/>
      <c r="R4" s="18" t="inlineStr">
        <is>
          <t>A local repository lives on your computer and a remote repository lives on GitHub. You keep them in sync with push and pull. The hidden .git folder inside the project holds the complete history.</t>
        </is>
      </c>
      <c r="S4" s="18" t="inlineStr">
        <is>
          <t>A repository is your project folder as Git sees it. It holds your files and a record of every commit, so you can return to any earlier version.</t>
        </is>
      </c>
      <c r="T4" s="18" t="inlineStr">
        <is>
          <t>Like a book file that keeps a copy of every earlier edit of every page.</t>
        </is>
      </c>
      <c r="U4" s="18" t="inlineStr">
        <is>
          <t>Repository = project files + .git folder (history)</t>
        </is>
      </c>
      <c r="V4" s="18" t="inlineStr">
        <is>
          <t>A website folder containing index.html, style.css and a .git folder is a repository.</t>
        </is>
      </c>
      <c r="W4" s="18" t="inlineStr">
        <is>
          <t>The page github.com/username/notes is a remote repository.</t>
        </is>
      </c>
      <c r="X4" s="18" t="inlineStr">
        <is>
          <t>A clone of that page on your laptop is a local repository with the full history.</t>
        </is>
      </c>
      <c r="Y4" s="18" t="inlineStr">
        <is>
          <t>Git, .git folder, remote, clone</t>
        </is>
      </c>
      <c r="Z4" s="18" t="inlineStr">
        <is>
          <t>local repo, remote repo, bare repo, monorepo</t>
        </is>
      </c>
      <c r="AA4" s="18" t="inlineStr">
        <is>
          <t>Every software project | Open-source libraries | Documentation and notes</t>
        </is>
      </c>
      <c r="AB4" s="18" t="inlineStr">
        <is>
          <t>A: Where is the project code kept? | B: In a GitHub repository, I will send you the link so you can clone it.</t>
        </is>
      </c>
      <c r="AC4" s="18" t="inlineStr">
        <is>
          <t>✗ A repository is just a folder of files → ✓ A repository also holds the full commit history inside .git, so deleting .git erases the history</t>
        </is>
      </c>
      <c r="AD4" s="18" t="inlineStr">
        <is>
          <t>Folder vs repository: a folder holds only files, a repository holds files plus their complete history.</t>
        </is>
      </c>
      <c r="AE4" s="18" t="inlineStr">
        <is>
          <t>Do not edit or delete the hidden .git folder by hand.</t>
        </is>
      </c>
      <c r="AF4" s="18" t="inlineStr">
        <is>
          <t>Repo means Remembering Every Past Object.</t>
        </is>
      </c>
      <c r="AG4" s="18" t="inlineStr">
        <is>
          <t>Keeping each microservice in its own repository so different teams can release independently.</t>
        </is>
      </c>
      <c r="AH4" s="18" t="inlineStr">
        <is>
          <t>An interviewer may ask: What is the difference between a local and a remote repository?</t>
        </is>
      </c>
      <c r="AI4" s="18" t="inlineStr">
        <is>
          <t>It is like a family album where every year's photos are kept in order.</t>
        </is>
      </c>
      <c r="AJ4" s="18" t="inlineStr">
        <is>
          <t>What turns an ordinary folder into a Git repository?</t>
        </is>
      </c>
      <c r="AK4" s="18" t="inlineStr">
        <is>
          <t>A) Naming the folder repo B) The hidden .git folder C) A README.md file D) A .txt extension</t>
        </is>
      </c>
      <c r="AL4" s="18" t="inlineStr">
        <is>
          <t>B</t>
        </is>
      </c>
      <c r="AM4" s="18" t="inlineStr">
        <is>
          <t>The .git folder holds the history and settings; nothing else makes a folder a repository.</t>
        </is>
      </c>
      <c r="AN4" s="18" t="inlineStr">
        <is>
          <t>A repository keeps its full history inside the hidden ____ folder → .git</t>
        </is>
      </c>
      <c r="AO4" s="18" t="inlineStr">
        <is>
          <t>What happens if you delete the .git folder from a project? → The folder becomes ordinary again and the full commit history is lost</t>
        </is>
      </c>
      <c r="AP4" s="18" t="inlineStr">
        <is>
          <t>Explain the difference between a local and a remote repository to a friend.</t>
        </is>
      </c>
      <c r="AQ4" s="18" t="inlineStr">
        <is>
          <t>Write in your own words the steps to turn an old project folder into a repository.</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54" customHeight="1">
      <c r="A5" s="17" t="inlineStr">
        <is>
          <t>GIT-009</t>
        </is>
      </c>
      <c r="B5" s="17" t="inlineStr">
        <is>
          <t>01 Basics</t>
        </is>
      </c>
      <c r="C5" s="17" t="inlineStr">
        <is>
          <t>Beginner</t>
        </is>
      </c>
      <c r="D5" s="17" t="n">
        <v>9</v>
      </c>
      <c r="E5" s="17" t="inlineStr">
        <is>
          <t>Claude knowledge</t>
        </is>
      </c>
      <c r="F5" s="18" t="inlineStr">
        <is>
          <t>Commit message</t>
        </is>
      </c>
      <c r="G5" s="18" t="inlineStr">
        <is>
          <t>What is the short line written with every commit that explains why the change was made?</t>
        </is>
      </c>
      <c r="H5" s="18" t="inlineStr">
        <is>
          <t>Good practice</t>
        </is>
      </c>
      <c r="I5" s="18" t="inlineStr">
        <is>
          <t>Very high</t>
        </is>
      </c>
      <c r="J5" s="18" t="n">
        <v>4</v>
      </c>
      <c r="K5" s="18" t="inlineStr">
        <is>
          <t>Whoever reads the history, even you six months later, has to understand why a change happened, so Git asks for a message with every commit.</t>
        </is>
      </c>
      <c r="L5" s="18" t="inlineStr">
        <is>
          <t>Keep the first line under 50 characters and write it as a command, like Add login form.</t>
        </is>
      </c>
      <c r="M5" s="18" t="inlineStr">
        <is>
          <t>A commit message is the short note on a receipt that still explains the purchase a year later.</t>
        </is>
      </c>
      <c r="N5" s="18" t="inlineStr">
        <is>
          <t>A small label under every photo that makes the album easy to read.</t>
        </is>
      </c>
      <c r="O5" s="18" t="inlineStr">
        <is>
          <t>The relief of finding a clear message when you are hunting an old mistake.</t>
        </is>
      </c>
      <c r="P5" s="18" t="inlineStr">
        <is>
          <t>A commit message is a short text saying what changed in a commit and why.</t>
        </is>
      </c>
      <c r="Q5" s="17" t="n"/>
      <c r="R5" s="18" t="inlineStr">
        <is>
          <t>A good message states what changed on the first line and, when needed, explains why after a blank line. This makes git log, reviews and reverts far easier.</t>
        </is>
      </c>
      <c r="S5" s="18" t="inlineStr">
        <is>
          <t>Write the message as if explaining to the next developer. Messages like fix or update are useless, while Fix crash when cart is empty is a message that helps.</t>
        </is>
      </c>
      <c r="T5" s="18" t="inlineStr">
        <is>
          <t>It is like a diary line noting what happened on that day.</t>
        </is>
      </c>
      <c r="U5" s="18" t="inlineStr">
        <is>
          <t>First line (under 50 characters, as a command) → blank line → details (why)</t>
        </is>
      </c>
      <c r="V5" s="18" t="inlineStr">
        <is>
          <t>Fix crash when the cart is empty</t>
        </is>
      </c>
      <c r="W5" s="18" t="inlineStr">
        <is>
          <t>Add email validation to signup form</t>
        </is>
      </c>
      <c r="X5" s="18" t="inlineStr">
        <is>
          <t>Remove unused legacy payment code</t>
        </is>
      </c>
      <c r="Y5" s="18" t="inlineStr">
        <is>
          <t>git commit, git log, conventional commits</t>
        </is>
      </c>
      <c r="Z5" s="18" t="inlineStr">
        <is>
          <t>commit, subject line, body, changelog</t>
        </is>
      </c>
      <c r="AA5" s="18" t="inlineStr">
        <is>
          <t>Code review | Writing a changelog | Hunting bugs</t>
        </is>
      </c>
      <c r="AB5" s="18" t="inlineStr">
        <is>
          <t>A: Why was this commit made? | B: Read the message, it says it was made to fix the refund bug.</t>
        </is>
      </c>
      <c r="AC5" s="18" t="inlineStr">
        <is>
          <t>✗ Writing update or changes as the commit message is enough → ✓ The message should say what changed and why, such as Fix refund total rounding</t>
        </is>
      </c>
      <c r="AD5" s="18" t="inlineStr">
        <is>
          <t>Good vs bad message: a good message names the work, a bad one just says something changed.</t>
        </is>
      </c>
      <c r="AE5" s="18" t="inlineStr">
        <is>
          <t>Do not write angry or joking messages, they stay in the history forever.</t>
        </is>
      </c>
      <c r="AF5" s="18" t="inlineStr">
        <is>
          <t>Say what and why, short and as a command.</t>
        </is>
      </c>
      <c r="AG5" s="18" t="inlineStr">
        <is>
          <t>Agreeing a commit message format in the team so the changelog can be generated automatically.</t>
        </is>
      </c>
      <c r="AH5" s="18" t="inlineStr">
        <is>
          <t>An interviewer may ask: What does a good commit message look like?</t>
        </is>
      </c>
      <c r="AI5" s="18" t="inlineStr">
        <is>
          <t>It is like writing a note on why the fridge holds certain food.</t>
        </is>
      </c>
      <c r="AJ5" s="18" t="inlineStr">
        <is>
          <t>Which of these commit messages is the most useful?</t>
        </is>
      </c>
      <c r="AK5" s="18" t="inlineStr">
        <is>
          <t>A) changes done B) Fix crash on empty cart checkout C) update D) fixed stuff</t>
        </is>
      </c>
      <c r="AL5" s="18" t="inlineStr">
        <is>
          <t>B</t>
        </is>
      </c>
      <c r="AM5" s="18" t="inlineStr">
        <is>
          <t>It says what was fixed and where, while the others are very vague.</t>
        </is>
      </c>
      <c r="AN5" s="18" t="inlineStr">
        <is>
          <t>Keep the first line of a commit message in the imperative and under ____ characters → 50</t>
        </is>
      </c>
      <c r="AO5" s="18" t="inlineStr">
        <is>
          <t>Write a good commit message for adding a navbar. → Add responsive navbar to homepage</t>
        </is>
      </c>
      <c r="AP5" s="18" t="inlineStr">
        <is>
          <t>Explain in two lines why a good commit message matters.</t>
        </is>
      </c>
      <c r="AQ5" s="18" t="inlineStr">
        <is>
          <t>Read your last three commit messages and rewrite one of them to be better.</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54" customHeight="1">
      <c r="A6" s="17" t="inlineStr">
        <is>
          <t>GIT-014</t>
        </is>
      </c>
      <c r="B6" s="17" t="inlineStr">
        <is>
          <t>01 Basics</t>
        </is>
      </c>
      <c r="C6" s="17" t="inlineStr">
        <is>
          <t>Beginner</t>
        </is>
      </c>
      <c r="D6" s="17" t="n">
        <v>14</v>
      </c>
      <c r="E6" s="17" t="inlineStr">
        <is>
          <t>Claude knowledge</t>
        </is>
      </c>
      <c r="F6" s="18" t="inlineStr">
        <is>
          <t>README.md</t>
        </is>
      </c>
      <c r="G6" s="18" t="inlineStr">
        <is>
          <t>Which file shows first on a repository's home page and introduces the project?</t>
        </is>
      </c>
      <c r="H6" s="18" t="inlineStr">
        <is>
          <t>Documentation</t>
        </is>
      </c>
      <c r="I6" s="18" t="inlineStr">
        <is>
          <t>Very high</t>
        </is>
      </c>
      <c r="J6" s="18" t="n">
        <v>4</v>
      </c>
      <c r="K6" s="18" t="inlineStr">
        <is>
          <t>README means read me; by old tradition it was the first file in a project, and GitHub shows it automatically on the repo page.</t>
        </is>
      </c>
      <c r="L6" s="18" t="inlineStr">
        <is>
          <t>Always write what the project does, how to run it, and how to contribute.</t>
        </is>
      </c>
      <c r="M6" s="18" t="inlineStr">
        <is>
          <t>A README is the signboard outside a shop that tells you what is inside.</t>
        </is>
      </c>
      <c r="N6" s="18" t="inlineStr">
        <is>
          <t>A big board hangs at a shop door showing the shop's name and goods.</t>
        </is>
      </c>
      <c r="O6" s="18" t="inlineStr">
        <is>
          <t>The relief a new visitor feels when they understand the project at once.</t>
        </is>
      </c>
      <c r="P6" s="18" t="inlineStr">
        <is>
          <t>README.md is a Markdown file that introduces a project, explains how to install it, and shows how to use it.</t>
        </is>
      </c>
      <c r="Q6" s="17" t="n"/>
      <c r="R6" s="18" t="inlineStr">
        <is>
          <t>GitHub shows README.md on the repository home page automatically. In Markdown you can write headings, lists and code blocks. A good README saves new people a lot of time.</t>
        </is>
      </c>
      <c r="S6" s="18" t="inlineStr">
        <is>
          <t>The README is the first page of your project. Whoever opens the repo reads it first, so say what it is, how to run it, and how to help.</t>
        </is>
      </c>
      <c r="T6" s="18" t="inlineStr">
        <is>
          <t>It is like the signboard outside a shop or the cover of a book.</t>
        </is>
      </c>
      <c r="U6" s="18" t="inlineStr">
        <is>
          <t>README = Name + What it does + Install + Use + Contribute</t>
        </is>
      </c>
      <c r="V6" s="18" t="inlineStr">
        <is>
          <t>A calculator project's README says to run npm install and npm start.</t>
        </is>
      </c>
      <c r="W6" s="18" t="inlineStr">
        <is>
          <t>An open-source library's README shows a screenshot and usage code.</t>
        </is>
      </c>
      <c r="X6" s="18" t="inlineStr">
        <is>
          <t>A personal profile repository's README introduces its owner with links.</t>
        </is>
      </c>
      <c r="Y6" s="18" t="inlineStr">
        <is>
          <t>Markdown, LICENSE, CONTRIBUTING.md</t>
        </is>
      </c>
      <c r="Z6" s="18" t="inlineStr">
        <is>
          <t>README, LICENSE, CONTRIBUTING, CHANGELOG</t>
        </is>
      </c>
      <c r="AA6" s="18" t="inlineStr">
        <is>
          <t>Every repository | Open-source libraries | Portfolio projects</t>
        </is>
      </c>
      <c r="AB6" s="18" t="inlineStr">
        <is>
          <t>A: How do I run this project? | B: The README has the install and run steps, look there.</t>
        </is>
      </c>
      <c r="AC6" s="18" t="inlineStr">
        <is>
          <t>✗ A README is not needed because the code explains itself → ✓ Without a README a newcomer cannot understand the project, so even a short README should always be there</t>
        </is>
      </c>
      <c r="AD6" s="18" t="inlineStr">
        <is>
          <t>README vs code comments: a README introduces the whole project, comments explain only a piece of code.</t>
        </is>
      </c>
      <c r="AE6" s="18" t="inlineStr">
        <is>
          <t>Never write passwords or private keys in a README.</t>
        </is>
      </c>
      <c r="AF6" s="18" t="inlineStr">
        <is>
          <t>README says Read Everything About Documents Me first.</t>
        </is>
      </c>
      <c r="AG6" s="18" t="inlineStr">
        <is>
          <t>Giving a new developer the setup steps in the README for onboarding.</t>
        </is>
      </c>
      <c r="AH6" s="18" t="inlineStr">
        <is>
          <t>An interviewer may ask: What should a good README contain?</t>
        </is>
      </c>
      <c r="AI6" s="18" t="inlineStr">
        <is>
          <t>It is like the quick-start guide that comes with a new gadget.</t>
        </is>
      </c>
      <c r="AJ6" s="18" t="inlineStr">
        <is>
          <t>Which file does GitHub show automatically on the repository home page?</t>
        </is>
      </c>
      <c r="AK6" s="18" t="inlineStr">
        <is>
          <t>A) package.json B) .gitignore C) index.html D) README.md</t>
        </is>
      </c>
      <c r="AL6" s="18" t="inlineStr">
        <is>
          <t>D</t>
        </is>
      </c>
      <c r="AM6" s="18" t="inlineStr">
        <is>
          <t>GitHub renders README.md on the repo page.</t>
        </is>
      </c>
      <c r="AN6" s="18" t="inlineStr">
        <is>
          <t>A README is usually written in the ____ format → Markdown</t>
        </is>
      </c>
      <c r="AO6" s="18" t="inlineStr">
        <is>
          <t>How would you show install steps in a README? → Write the commands inside a code block with triple backticks</t>
        </is>
      </c>
      <c r="AP6" s="18" t="inlineStr">
        <is>
          <t>Tell a friend in three lines why a README matters.</t>
        </is>
      </c>
      <c r="AQ6" s="18" t="inlineStr">
        <is>
          <t>Write a five-line README for one of your projects: name, what it does, install, use, license.</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67.5" customHeight="1">
      <c r="A7" s="17" t="inlineStr">
        <is>
          <t>GIT-015</t>
        </is>
      </c>
      <c r="B7" s="17" t="inlineStr">
        <is>
          <t>01 Basics</t>
        </is>
      </c>
      <c r="C7" s="17" t="inlineStr">
        <is>
          <t>Beginner</t>
        </is>
      </c>
      <c r="D7" s="17" t="n">
        <v>15</v>
      </c>
      <c r="E7" s="17" t="inlineStr">
        <is>
          <t>Claude knowledge</t>
        </is>
      </c>
      <c r="F7" s="18" t="inlineStr">
        <is>
          <t>.gitignore</t>
        </is>
      </c>
      <c r="G7" s="18" t="inlineStr">
        <is>
          <t>Which file tells Git not to track certain files or folders?</t>
        </is>
      </c>
      <c r="H7" s="18" t="inlineStr">
        <is>
          <t>Config file</t>
        </is>
      </c>
      <c r="I7" s="18" t="inlineStr">
        <is>
          <t>Very high</t>
        </is>
      </c>
      <c r="J7" s="18" t="n">
        <v>5</v>
      </c>
      <c r="K7" s="18" t="inlineStr">
        <is>
          <t>Projects have files such as build output and secrets that must never enter history, so Git reads a .gitignore file listing patterns to skip.</t>
        </is>
      </c>
      <c r="L7" s="18" t="inlineStr">
        <is>
          <t>Add a .gitignore template for your language as soon as you create a repo.</t>
        </is>
      </c>
      <c r="M7" s="18" t="inlineStr">
        <is>
          <t>A .gitignore is a list of what is not wanted, and it stops those things at the gate.</t>
        </is>
      </c>
      <c r="N7" s="18" t="inlineStr">
        <is>
          <t>A guard at a gate holds a list of the files that may not enter.</t>
        </is>
      </c>
      <c r="O7" s="18" t="inlineStr">
        <is>
          <t>The peace of mind that secrets will not be committed by accident.</t>
        </is>
      </c>
      <c r="P7" s="18" t="inlineStr">
        <is>
          <t>.gitignore is a text file that lists patterns of files and folders Git will not track.</t>
        </is>
      </c>
      <c r="Q7" s="17" t="n"/>
      <c r="R7" s="18" t="inlineStr">
        <is>
          <t>You write entries such as *.log, node_modules/ or .env. It only affects untracked files; a file that is already committed needs git rm --cached first.</t>
        </is>
      </c>
      <c r="S7" s="18" t="inlineStr">
        <is>
          <t>In .gitignore you list the files Git must not look at, such as passwords, logs or huge folders. A file that was already committed is not ignored.</t>
        </is>
      </c>
      <c r="T7" s="18" t="inlineStr">
        <is>
          <t>It is like a list at the door of things not allowed inside.</t>
        </is>
      </c>
      <c r="U7" s="18" t="inlineStr">
        <is>
          <t>Write one pattern per line: *.log, build/, .env</t>
        </is>
      </c>
      <c r="V7" s="18" t="inlineStr">
        <is>
          <t>Writing node_modules/ ignores the whole dependency folder.</t>
        </is>
      </c>
      <c r="W7" s="18" t="inlineStr">
        <is>
          <t>Writing .env keeps your secrets file out of Git.</t>
        </is>
      </c>
      <c r="X7" s="18" t="inlineStr">
        <is>
          <t>Writing *.log ignores every log file in any folder.</t>
        </is>
      </c>
      <c r="Y7" s="18" t="inlineStr">
        <is>
          <t>git status, git rm --cached, .env</t>
        </is>
      </c>
      <c r="Z7" s="18" t="inlineStr">
        <is>
          <t>ignore, pattern, glob, untracked</t>
        </is>
      </c>
      <c r="AA7" s="18" t="inlineStr">
        <is>
          <t>Every project | Protecting secrets | Skipping large build folders</t>
        </is>
      </c>
      <c r="AB7" s="18" t="inlineStr">
        <is>
          <t>A: My .env file went to GitHub. | B: It should have been in .gitignore first, so now run git rm --cached .env and change your keys.</t>
        </is>
      </c>
      <c r="AC7" s="18" t="inlineStr">
        <is>
          <t>✗ Writing a file name in .gitignore also removes an already committed file from Git → ✓ .gitignore stops only untracked files, and you must run git rm --cached to stop tracking one already committed</t>
        </is>
      </c>
      <c r="AD7" s="18" t="inlineStr">
        <is>
          <t>.gitignore vs git rm: gitignore blocks new files, git rm stops tracking an existing one.</t>
        </is>
      </c>
      <c r="AE7" s="18" t="inlineStr">
        <is>
          <t>Do not rely on ignoring secrets after you have already committed them.</t>
        </is>
      </c>
      <c r="AF7" s="18" t="inlineStr">
        <is>
          <t>Ignore means keep it at the gate.</t>
        </is>
      </c>
      <c r="AG7" s="18" t="inlineStr">
        <is>
          <t>Ignoring node_modules and .env on day one of a new React project.</t>
        </is>
      </c>
      <c r="AH7" s="18" t="inlineStr">
        <is>
          <t>An interviewer may ask: How do you ignore a file that was already committed?</t>
        </is>
      </c>
      <c r="AI7" s="18" t="inlineStr">
        <is>
          <t>It is like a short list of what will not go in the travel bag.</t>
        </is>
      </c>
      <c r="AJ7" s="18" t="inlineStr">
        <is>
          <t>A file is already committed. What happens when you add it to .gitignore?</t>
        </is>
      </c>
      <c r="AK7" s="18" t="inlineStr">
        <is>
          <t>A) The file disappears from history B) Git crashes C) The file stays tracked D) The repo becomes private</t>
        </is>
      </c>
      <c r="AL7" s="18" t="inlineStr">
        <is>
          <t>C</t>
        </is>
      </c>
      <c r="AM7" s="18" t="inlineStr">
        <is>
          <t>.gitignore has no effect on a tracked file until you run git rm --cached.</t>
        </is>
      </c>
      <c r="AN7" s="18" t="inlineStr">
        <is>
          <t>To ignore your secrets file, write ____ in .gitignore → .env</t>
        </is>
      </c>
      <c r="AO7" s="18" t="inlineStr">
        <is>
          <t>What command stops tracking a committed .env file? → git rm --cached .env</t>
        </is>
      </c>
      <c r="AP7" s="18" t="inlineStr">
        <is>
          <t>Explain in three lines when .gitignore does not work.</t>
        </is>
      </c>
      <c r="AQ7" s="18" t="inlineStr">
        <is>
          <t>Make a .gitignore for your project that includes .env and the node_modules or build folder.</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81" customHeight="1">
      <c r="A8" s="17" t="inlineStr">
        <is>
          <t>GIT-016</t>
        </is>
      </c>
      <c r="B8" s="17" t="inlineStr">
        <is>
          <t>01 Basics</t>
        </is>
      </c>
      <c r="C8" s="17" t="inlineStr">
        <is>
          <t>Beginner</t>
        </is>
      </c>
      <c r="D8" s="17" t="n">
        <v>16</v>
      </c>
      <c r="E8" s="17" t="inlineStr">
        <is>
          <t>Claude knowledge</t>
        </is>
      </c>
      <c r="F8" s="18" t="inlineStr">
        <is>
          <t>Public vs Private repository</t>
        </is>
      </c>
      <c r="G8" s="18" t="inlineStr">
        <is>
          <t>Which setting decides whether a repo on GitHub can be seen by everyone or only by chosen people?</t>
        </is>
      </c>
      <c r="H8" s="18" t="inlineStr">
        <is>
          <t>Visibility setting</t>
        </is>
      </c>
      <c r="I8" s="18" t="inlineStr">
        <is>
          <t>High</t>
        </is>
      </c>
      <c r="J8" s="18" t="n">
        <v>4</v>
      </c>
      <c r="K8" s="18" t="inlineStr">
        <is>
          <t>Open source needs code that everybody can see, but companies and individuals also need to hide work, so GitHub lets a repository be public or private.</t>
        </is>
      </c>
      <c r="L8" s="18" t="inlineStr">
        <is>
          <t>Start private and go public only when ready, after checking for secrets.</t>
        </is>
      </c>
      <c r="M8" s="18" t="inlineStr">
        <is>
          <t>A public repo is a notice board at a crossroads, and a private repo is your own cupboard with the key in your pocket.</t>
        </is>
      </c>
      <c r="N8" s="18" t="inlineStr">
        <is>
          <t>A glass window everyone can look through, and a locked door only chosen people can enter.</t>
        </is>
      </c>
      <c r="O8" s="18" t="inlineStr">
        <is>
          <t>The control of choosing when to show your work.</t>
        </is>
      </c>
      <c r="P8" s="18" t="inlineStr">
        <is>
          <t>A public repo is visible to anyone, and a private repo is visible only to people the owner allows.</t>
        </is>
      </c>
      <c r="Q8" s="17" t="n"/>
      <c r="R8" s="18" t="inlineStr">
        <is>
          <t>Anyone can view and clone a public repo, but only people with permission can edit it. A private repo is visible only to the owner and collaborators. Visibility can be changed later, but once public the history is visible too.</t>
        </is>
      </c>
      <c r="S8" s="18" t="inlineStr">
        <is>
          <t>Public means anyone on the internet can read it. Private means only people you allow. Before making it public, check that no secrets are in the history.</t>
        </is>
      </c>
      <c r="T8" s="18" t="inlineStr">
        <is>
          <t>It is the difference between a public notice board and a locked cupboard.</t>
        </is>
      </c>
      <c r="U8" s="18" t="inlineStr">
        <is>
          <t>Public = everyone can see, Private = only allowed people</t>
        </is>
      </c>
      <c r="V8" s="18" t="inlineStr">
        <is>
          <t>An open-source library is public so the world can use it.</t>
        </is>
      </c>
      <c r="W8" s="18" t="inlineStr">
        <is>
          <t>A company backend is private and visible only to employees.</t>
        </is>
      </c>
      <c r="X8" s="18" t="inlineStr">
        <is>
          <t>A student keeps an assignment private until it is submitted.</t>
        </is>
      </c>
      <c r="Y8" s="18" t="inlineStr">
        <is>
          <t>collaborators, fork, secrets, open-source</t>
        </is>
      </c>
      <c r="Z8" s="18" t="inlineStr">
        <is>
          <t>public, private, internal, visibility</t>
        </is>
      </c>
      <c r="AA8" s="18" t="inlineStr">
        <is>
          <t>Open-source | Company code | Personal projects</t>
        </is>
      </c>
      <c r="AB8" s="18" t="inlineStr">
        <is>
          <t>A: Can anyone see my repo? | B: Check the visibility in Settings, if it is public then yes.</t>
        </is>
      </c>
      <c r="AC8" s="18" t="inlineStr">
        <is>
          <t>✗ A public repo lets anyone edit it → ✓ A public repo lets everyone read and clone it, but changes need permission or a reviewed pull request</t>
        </is>
      </c>
      <c r="AD8" s="18" t="inlineStr">
        <is>
          <t>Public vs private: public is visible to all, private only to allowed people.</t>
        </is>
      </c>
      <c r="AE8" s="18" t="inlineStr">
        <is>
          <t>Do not make a repo public by accident while it still holds secrets.</t>
        </is>
      </c>
      <c r="AF8" s="18" t="inlineStr">
        <is>
          <t>Public is for the whole world, Private is for people I permit.</t>
        </is>
      </c>
      <c r="AG8" s="18" t="inlineStr">
        <is>
          <t>Building a new product in a private repo and later making only the library part public.</t>
        </is>
      </c>
      <c r="AH8" s="18" t="inlineStr">
        <is>
          <t>An interviewer may ask: What would you do if a secret was committed to a public repo?</t>
        </is>
      </c>
      <c r="AI8" s="18" t="inlineStr">
        <is>
          <t>It is like the difference between a notice board and a locked cupboard.</t>
        </is>
      </c>
      <c r="AJ8" s="18" t="inlineStr">
        <is>
          <t>A repo is public. What can a random stranger do with it?</t>
        </is>
      </c>
      <c r="AK8" s="18" t="inlineStr">
        <is>
          <t>A) View, clone and fork it B) Remove collaborators C) Edit the main branch directly D) Change the settings</t>
        </is>
      </c>
      <c r="AL8" s="18" t="inlineStr">
        <is>
          <t>A</t>
        </is>
      </c>
      <c r="AM8" s="18" t="inlineStr">
        <is>
          <t>A public repo lets everyone read and fork it, but not edit it.</t>
        </is>
      </c>
      <c r="AN8" s="18" t="inlineStr">
        <is>
          <t>A repo visible only to allowed people is called ____ → private</t>
        </is>
      </c>
      <c r="AO8" s="18" t="inlineStr">
        <is>
          <t>What do you check before making a repo public? → That no secrets or keys are in the history</t>
        </is>
      </c>
      <c r="AP8" s="18" t="inlineStr">
        <is>
          <t>Explain the difference between a public and a private repo in two lines.</t>
        </is>
      </c>
      <c r="AQ8" s="18" t="inlineStr">
        <is>
          <t>Check the visibility of one of your repos and write whether it should be public and why.</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67.5" customHeight="1">
      <c r="A9" s="17" t="inlineStr">
        <is>
          <t>GIT-021</t>
        </is>
      </c>
      <c r="B9" s="17" t="inlineStr">
        <is>
          <t>02 Branching &amp; Merging</t>
        </is>
      </c>
      <c r="C9" s="17" t="inlineStr">
        <is>
          <t>Intermediate</t>
        </is>
      </c>
      <c r="D9" s="17" t="n">
        <v>21</v>
      </c>
      <c r="E9" s="17" t="inlineStr">
        <is>
          <t>Claude knowledge</t>
        </is>
      </c>
      <c r="F9" s="18" t="inlineStr">
        <is>
          <t>Merge conflict</t>
        </is>
      </c>
      <c r="G9" s="18" t="inlineStr">
        <is>
          <t>When two branches changed the same line differently, what does Git report while merging, and what must you do?</t>
        </is>
      </c>
      <c r="H9" s="18" t="inlineStr">
        <is>
          <t>Git situation</t>
        </is>
      </c>
      <c r="I9" s="18" t="inlineStr">
        <is>
          <t>High</t>
        </is>
      </c>
      <c r="J9" s="18" t="n">
        <v>5</v>
      </c>
      <c r="K9" s="18" t="inlineStr">
        <is>
          <t>Git cannot choose between two different edits to the same place, so it stops and asks a human to decide.</t>
        </is>
      </c>
      <c r="L9" s="18" t="inlineStr">
        <is>
          <t>Do not panic: open the file, keep the right part between &lt;&lt;&lt;&lt;&lt;&lt;&lt; and &gt;&gt;&gt;&gt;&gt;&gt;&gt;, and delete the markers.</t>
        </is>
      </c>
      <c r="M9" s="18" t="inlineStr">
        <is>
          <t>Two cooks add different amounts of salt to one dish and Git asks which version to keep.</t>
        </is>
      </c>
      <c r="N9" s="18" t="inlineStr">
        <is>
          <t>A file where two different versions sit between &lt;&lt;&lt;&lt;&lt;&lt;&lt;, ======= and &gt;&gt;&gt;&gt;&gt;&gt;&gt; markers.</t>
        </is>
      </c>
      <c r="O9" s="18" t="inlineStr">
        <is>
          <t>A scary first look and a calm feeling once it is resolved.</t>
        </is>
      </c>
      <c r="P9" s="18" t="inlineStr">
        <is>
          <t>A merge conflict happens when two branches changed the same part of a file and Git cannot decide which change to keep.</t>
        </is>
      </c>
      <c r="Q9" s="17" t="n"/>
      <c r="R9" s="18" t="inlineStr">
        <is>
          <t>Git writes markers into the file with the current branch's code on one side and the incoming code on the other. You keep the right code, remove the markers, run git add, and then git commit to finish the merge.</t>
        </is>
      </c>
      <c r="S9" s="18" t="inlineStr">
        <is>
          <t>A conflict means Git threw up its hands. Open the file, decide which code stays, remove the markers, add it, and commit.</t>
        </is>
      </c>
      <c r="T9" s="18" t="inlineStr">
        <is>
          <t>It is like two people writing different dates on one wedding card, so one must be chosen.</t>
        </is>
      </c>
      <c r="U9" s="18" t="inlineStr">
        <is>
          <t>Conflict → open the file → pick code and remove markers → git add → git commit</t>
        </is>
      </c>
      <c r="V9" s="18" t="inlineStr">
        <is>
          <t>Both people renamed the same function differently.</t>
        </is>
      </c>
      <c r="W9" s="18" t="inlineStr">
        <is>
          <t>One person deleted a line and the other edited that same line.</t>
        </is>
      </c>
      <c r="X9" s="18" t="inlineStr">
        <is>
          <t>Both set a different version number in package.json.</t>
        </is>
      </c>
      <c r="Y9" s="18" t="inlineStr">
        <is>
          <t>git merge, git status, git merge --abort</t>
        </is>
      </c>
      <c r="Z9" s="18" t="inlineStr">
        <is>
          <t>conflict, marker, resolve, abort</t>
        </is>
      </c>
      <c r="AA9" s="18" t="inlineStr">
        <is>
          <t>Pull | Merge | Rebase</t>
        </is>
      </c>
      <c r="AB9" s="18" t="inlineStr">
        <is>
          <t>A: I got CONFLICT as soon as I pulled. | B: Check the file with git status, keep the right code, then add and commit.</t>
        </is>
      </c>
      <c r="AC9" s="18" t="inlineStr">
        <is>
          <t>✗ A merge conflict means the repo is broken and everything is lost → ✓ A conflict is a normal situation where nothing is lost, and git merge --abort can return you to how it was</t>
        </is>
      </c>
      <c r="AD9" s="18" t="inlineStr">
        <is>
          <t>Conflict vs error: a conflict is a normal state you resolve by hand, an error is a command failing.</t>
        </is>
      </c>
      <c r="AE9" s="18" t="inlineStr">
        <is>
          <t>Never commit with the &lt;&lt;&lt;&lt;&lt;&lt;&lt; markers still in the code.</t>
        </is>
      </c>
      <c r="AF9" s="18" t="inlineStr">
        <is>
          <t>Conflict means Choose and Complete.</t>
        </is>
      </c>
      <c r="AG9" s="18" t="inlineStr">
        <is>
          <t>Resolving a pull request conflict locally and pushing again.</t>
        </is>
      </c>
      <c r="AH9" s="18" t="inlineStr">
        <is>
          <t>An interviewer may ask: When does a merge conflict occur and how do you resolve it?</t>
        </is>
      </c>
      <c r="AI9" s="18" t="inlineStr">
        <is>
          <t>It is like two meetings being booked at the same time.</t>
        </is>
      </c>
      <c r="AJ9" s="18" t="inlineStr">
        <is>
          <t>Which two commands finish a merge after you resolve the conflict?</t>
        </is>
      </c>
      <c r="AK9" s="18" t="inlineStr">
        <is>
          <t>A) git init and git push B) git add and git commit C) git clone and git pull D) git reset and git stash</t>
        </is>
      </c>
      <c r="AL9" s="18" t="inlineStr">
        <is>
          <t>B</t>
        </is>
      </c>
      <c r="AM9" s="18" t="inlineStr">
        <is>
          <t>You add the resolved file and commit to complete the merge.</t>
        </is>
      </c>
      <c r="AN9" s="18" t="inlineStr">
        <is>
          <t>To stop a merge, run git merge ____ → --abort</t>
        </is>
      </c>
      <c r="AO9" s="18" t="inlineStr">
        <is>
          <t>What does the ======= line show in a conflict? → The boundary between the two versions</t>
        </is>
      </c>
      <c r="AP9" s="18" t="inlineStr">
        <is>
          <t>Explain the steps to resolve a conflict in three lines.</t>
        </is>
      </c>
      <c r="AQ9" s="18" t="inlineStr">
        <is>
          <t>Create a conflict on purpose in a test repo and resolve it.</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67.5" customHeight="1">
      <c r="A10" s="17" t="inlineStr">
        <is>
          <t>GIT-023</t>
        </is>
      </c>
      <c r="B10" s="17" t="inlineStr">
        <is>
          <t>03 Collaboration</t>
        </is>
      </c>
      <c r="C10" s="17" t="inlineStr">
        <is>
          <t>Beginner</t>
        </is>
      </c>
      <c r="D10" s="17" t="n">
        <v>23</v>
      </c>
      <c r="E10" s="17" t="inlineStr">
        <is>
          <t>Claude knowledge</t>
        </is>
      </c>
      <c r="F10" s="18" t="inlineStr">
        <is>
          <t>Fork</t>
        </is>
      </c>
      <c r="G10" s="18" t="inlineStr">
        <is>
          <t>How do you make your own copy of someone else's repository on GitHub so you can change it without touching the original?</t>
        </is>
      </c>
      <c r="H10" s="18" t="inlineStr">
        <is>
          <t>GitHub feature</t>
        </is>
      </c>
      <c r="I10" s="18" t="inlineStr">
        <is>
          <t>High</t>
        </is>
      </c>
      <c r="J10" s="18" t="n">
        <v>5</v>
      </c>
      <c r="K10" s="18" t="inlineStr">
        <is>
          <t>In open source, many people want to change a project but not all can write to it, so GitHub offers fork, which makes your own separate copy.</t>
        </is>
      </c>
      <c r="L10" s="18" t="inlineStr">
        <is>
          <t>After forking, add the original as an upstream remote so you can keep your copy updated.</t>
        </is>
      </c>
      <c r="M10" s="18" t="inlineStr">
        <is>
          <t>A fork is a bend in the road where you make your own path while the original road stays known.</t>
        </is>
      </c>
      <c r="N10" s="18" t="inlineStr">
        <is>
          <t>A big tree with one branch cut off and planted in your own garden.</t>
        </is>
      </c>
      <c r="O10" s="18" t="inlineStr">
        <is>
          <t>The freedom to tinker with someone else's code without fear.</t>
        </is>
      </c>
      <c r="P10" s="18" t="inlineStr">
        <is>
          <t>A fork is a full copy of a repository in your own GitHub account that you can change without touching the original.</t>
        </is>
      </c>
      <c r="Q10" s="17" t="n"/>
      <c r="R10" s="18" t="inlineStr">
        <is>
          <t>A fork is a server-side copy. You clone the fork, make changes, push them, and then send a pull request to the original. A link between fork and original is kept.</t>
        </is>
      </c>
      <c r="S10" s="18" t="inlineStr">
        <is>
          <t>A fork gives you your own copy of someone's project in which you can write. Then you send a pull request asking the owner to take your changes.</t>
        </is>
      </c>
      <c r="T10" s="18" t="inlineStr">
        <is>
          <t>It is like photocopying someone's book, writing your own notes, and sending suggestions to the author.</t>
        </is>
      </c>
      <c r="U10" s="18" t="inlineStr">
        <is>
          <t>Fork → clone → branch → commit → push → pull request</t>
        </is>
      </c>
      <c r="V10" s="18" t="inlineStr">
        <is>
          <t>Forking a small library first to fix a typo in it.</t>
        </is>
      </c>
      <c r="W10" s="18" t="inlineStr">
        <is>
          <t>Working on a fork to add a new feature to an open-source tool.</t>
        </is>
      </c>
      <c r="X10" s="18" t="inlineStr">
        <is>
          <t>Keeping an abandoned project alive in your own copy.</t>
        </is>
      </c>
      <c r="Y10" s="18" t="inlineStr">
        <is>
          <t>clone, pull request, upstream, origin</t>
        </is>
      </c>
      <c r="Z10" s="18" t="inlineStr">
        <is>
          <t>fork, clone, upstream, origin, pull request</t>
        </is>
      </c>
      <c r="AA10" s="18" t="inlineStr">
        <is>
          <t>Open-source contribution | Experiments | Continuing an old project</t>
        </is>
      </c>
      <c r="AB10" s="18" t="inlineStr">
        <is>
          <t>A: I want to fix a bug in this library but I have no permission. | B: Fork it first, fix it in your fork, and send a pull request.</t>
        </is>
      </c>
      <c r="AC10" s="18" t="inlineStr">
        <is>
          <t>✗ Fork and clone are the same thing → ✓ A fork is a copy on GitHub in your account, while a clone brings a copy onto your computer</t>
        </is>
      </c>
      <c r="AD10" s="18" t="inlineStr">
        <is>
          <t>Fork vs clone: a fork makes a copy on GitHub, a clone brings a copy to your computer.</t>
        </is>
      </c>
      <c r="AE10" s="18" t="inlineStr">
        <is>
          <t>Do not let your fork drift away, keep syncing it with upstream.</t>
        </is>
      </c>
      <c r="AF10" s="18" t="inlineStr">
        <is>
          <t>Fork means a Fresh copy of my own.</t>
        </is>
      </c>
      <c r="AG10" s="18" t="inlineStr">
        <is>
          <t>Forking an open-source library to fix a bug and sending a pull request.</t>
        </is>
      </c>
      <c r="AH10" s="18" t="inlineStr">
        <is>
          <t>An interviewer may ask: What is the difference between a fork and a clone?</t>
        </is>
      </c>
      <c r="AI10" s="18" t="inlineStr">
        <is>
          <t>It is like photocopying a book and writing your own notes in it.</t>
        </is>
      </c>
      <c r="AJ10" s="18" t="inlineStr">
        <is>
          <t>You are not a collaborator on someone's public repo. What is the right first step to send them a change?</t>
        </is>
      </c>
      <c r="AK10" s="18" t="inlineStr">
        <is>
          <t>A) Ask for their password B) Push directly C) Delete the repo D) Fork it</t>
        </is>
      </c>
      <c r="AL10" s="18" t="inlineStr">
        <is>
          <t>D</t>
        </is>
      </c>
      <c r="AM10" s="18" t="inlineStr">
        <is>
          <t>Without collaborator permission you cannot push, and a fork gives you your own copy.</t>
        </is>
      </c>
      <c r="AN10" s="18" t="inlineStr">
        <is>
          <t>After forking, you ask the original owner to take your change by opening a ____ → pull request</t>
        </is>
      </c>
      <c r="AO10" s="18" t="inlineStr">
        <is>
          <t>How do you bring your fork to your computer? → Use git clone with your fork's URL</t>
        </is>
      </c>
      <c r="AP10" s="18" t="inlineStr">
        <is>
          <t>Explain the difference between a fork and a clone to a friend in three lines.</t>
        </is>
      </c>
      <c r="AQ10" s="18" t="inlineStr">
        <is>
          <t>Fork a small open-source repo and write down the link to your fork.</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67.5" customHeight="1">
      <c r="A11" s="17" t="inlineStr">
        <is>
          <t>GIT-024</t>
        </is>
      </c>
      <c r="B11" s="17" t="inlineStr">
        <is>
          <t>03 Collaboration</t>
        </is>
      </c>
      <c r="C11" s="17" t="inlineStr">
        <is>
          <t>Intermediate</t>
        </is>
      </c>
      <c r="D11" s="17" t="n">
        <v>24</v>
      </c>
      <c r="E11" s="17" t="inlineStr">
        <is>
          <t>Claude knowledge</t>
        </is>
      </c>
      <c r="F11" s="18" t="inlineStr">
        <is>
          <t>Pull request (PR)</t>
        </is>
      </c>
      <c r="G11" s="18" t="inlineStr">
        <is>
          <t>What is GitHub's way of asking teammates to review your branch before it is merged into main?</t>
        </is>
      </c>
      <c r="H11" s="18" t="inlineStr">
        <is>
          <t>GitHub feature</t>
        </is>
      </c>
      <c r="I11" s="18" t="inlineStr">
        <is>
          <t>Very high</t>
        </is>
      </c>
      <c r="J11" s="18" t="n">
        <v>5</v>
      </c>
      <c r="K11" s="18" t="inlineStr">
        <is>
          <t>Changes used to be mailed around as patches, and GitHub turned that into one page where discussion, review and merging all happen together.</t>
        </is>
      </c>
      <c r="L11" s="18" t="inlineStr">
        <is>
          <t>Keep a PR small and write in its description what, why, and how you tested it.</t>
        </is>
      </c>
      <c r="M11" s="18" t="inlineStr">
        <is>
          <t>A PR is a request form where you say: look at my work and take it into main.</t>
        </is>
      </c>
      <c r="N11" s="18" t="inlineStr">
        <is>
          <t>A page showing the list of changes, comments, and a green Merge button at the bottom.</t>
        </is>
      </c>
      <c r="O11" s="18" t="inlineStr">
        <is>
          <t>The pleasure of seeing your work accepted in front of everyone after review.</t>
        </is>
      </c>
      <c r="P11" s="18" t="inlineStr">
        <is>
          <t>A pull request is a GitHub request asking for the commits on your branch to be merged into another branch after review.</t>
        </is>
      </c>
      <c r="Q11" s="17" t="n"/>
      <c r="R11" s="18" t="inlineStr">
        <is>
          <t>A PR contains commits, a diff, comments, checks and reviews. Reviewers approve and then the Merge, Squash or Rebase button brings the work into main. Commits you push to the branch afterwards join the same PR.</t>
        </is>
      </c>
      <c r="S11" s="18" t="inlineStr">
        <is>
          <t>In a PR you say what you changed and why. Teammates look, suggest fixes, and when all is good the work merges into main.</t>
        </is>
      </c>
      <c r="T11" s="18" t="inlineStr">
        <is>
          <t>It is like submitting an assignment that the teacher checks before giving marks.</t>
        </is>
      </c>
      <c r="U11" s="18" t="inlineStr">
        <is>
          <t>Make a branch → commits → push → open a PR → review → merge</t>
        </is>
      </c>
      <c r="V11" s="18" t="inlineStr">
        <is>
          <t>A developer opens a PR for a login feature and two teammates approve it.</t>
        </is>
      </c>
      <c r="W11" s="18" t="inlineStr">
        <is>
          <t>An open-source contributor sends a PR with a typo fix from a fork.</t>
        </is>
      </c>
      <c r="X11" s="18" t="inlineStr">
        <is>
          <t>A team waits for CI checks to pass on a bug-fix PR.</t>
        </is>
      </c>
      <c r="Y11" s="18" t="inlineStr">
        <is>
          <t>branch, code review, merge, issue</t>
        </is>
      </c>
      <c r="Z11" s="18" t="inlineStr">
        <is>
          <t>PR, review, approve, merge, squash</t>
        </is>
      </c>
      <c r="AA11" s="18" t="inlineStr">
        <is>
          <t>Team development | Open-source | Code quality checks</t>
        </is>
      </c>
      <c r="AB11" s="18" t="inlineStr">
        <is>
          <t>A: The feature is built, how does it get into main? | B: Push the branch and open a PR, and it merges after review.</t>
        </is>
      </c>
      <c r="AC11" s="18" t="inlineStr">
        <is>
          <t>✗ A pull request means pulling your code toward you → ✓ A pull request is a request to merge your changes into another branch, so the name is old but it works like a merge request</t>
        </is>
      </c>
      <c r="AD11" s="18" t="inlineStr">
        <is>
          <t>PR vs git pull: a PR is a review request on GitHub, git pull is a command that fetches remote code.</t>
        </is>
      </c>
      <c r="AE11" s="18" t="inlineStr">
        <is>
          <t>Do not open huge PRs, they tire the reviewers.</t>
        </is>
      </c>
      <c r="AF11" s="18" t="inlineStr">
        <is>
          <t>PR simply means Please Review it.</t>
        </is>
      </c>
      <c r="AG11" s="18" t="inlineStr">
        <is>
          <t>Getting every feature reviewed through a PR before it enters main.</t>
        </is>
      </c>
      <c r="AH11" s="18" t="inlineStr">
        <is>
          <t>An interviewer may ask: What is the difference between merge, squash and rebase merge?</t>
        </is>
      </c>
      <c r="AI11" s="18" t="inlineStr">
        <is>
          <t>It is like handing in an assignment and getting it marked.</t>
        </is>
      </c>
      <c r="AJ11" s="18" t="inlineStr">
        <is>
          <t>CI checks fail on your PR. What is the right step?</t>
        </is>
      </c>
      <c r="AK11" s="18" t="inlineStr">
        <is>
          <t>A) Push a fix commit to the branch B) Create a new repo C) Close the PR D) Remove the reviewer</t>
        </is>
      </c>
      <c r="AL11" s="18" t="inlineStr">
        <is>
          <t>A</t>
        </is>
      </c>
      <c r="AM11" s="18" t="inlineStr">
        <is>
          <t>New commits join the same PR and the checks run again.</t>
        </is>
      </c>
      <c r="AN11" s="18" t="inlineStr">
        <is>
          <t>The option that joins all PR commits into one is called ____ merge → squash</t>
        </is>
      </c>
      <c r="AO11" s="18" t="inlineStr">
        <is>
          <t>How do you add a fix after opening a PR? → Commit on the same branch and push</t>
        </is>
      </c>
      <c r="AP11" s="18" t="inlineStr">
        <is>
          <t>Explain in three lines why pull requests are used.</t>
        </is>
      </c>
      <c r="AQ11" s="18" t="inlineStr">
        <is>
          <t>Open a PR for a small change and write in the description what, why, and how you tested it.</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67.5" customHeight="1">
      <c r="A12" s="17" t="inlineStr">
        <is>
          <t>GIT-025</t>
        </is>
      </c>
      <c r="B12" s="17" t="inlineStr">
        <is>
          <t>03 Collaboration</t>
        </is>
      </c>
      <c r="C12" s="17" t="inlineStr">
        <is>
          <t>Intermediate</t>
        </is>
      </c>
      <c r="D12" s="17" t="n">
        <v>25</v>
      </c>
      <c r="E12" s="17" t="inlineStr">
        <is>
          <t>Claude knowledge</t>
        </is>
      </c>
      <c r="F12" s="18" t="inlineStr">
        <is>
          <t>Code review</t>
        </is>
      </c>
      <c r="G12" s="18" t="inlineStr">
        <is>
          <t>What is the process of reading a teammate's code in a PR, line by line, suggesting changes and approving it?</t>
        </is>
      </c>
      <c r="H12" s="18" t="inlineStr">
        <is>
          <t>Team practice</t>
        </is>
      </c>
      <c r="I12" s="18" t="inlineStr">
        <is>
          <t>Very high</t>
        </is>
      </c>
      <c r="J12" s="18" t="n">
        <v>4</v>
      </c>
      <c r="K12" s="18" t="inlineStr">
        <is>
          <t>One person finds it hard to see their own mistakes, so teams have others check bugs and design, and GitHub gives a direct tool for it in PRs.</t>
        </is>
      </c>
      <c r="L12" s="18" t="inlineStr">
        <is>
          <t>Read the PR description first, then the logic, then names and style.</t>
        </is>
      </c>
      <c r="M12" s="18" t="inlineStr">
        <is>
          <t>A review is a proofreader who spots the mistake you cannot see yourself.</t>
        </is>
      </c>
      <c r="N12" s="18" t="inlineStr">
        <is>
          <t>A small comment bubble sits on a line of a PR with a suggestion in it.</t>
        </is>
      </c>
      <c r="O12" s="18" t="inlineStr">
        <is>
          <t>Confidence that your work gets better through another pair of eyes.</t>
        </is>
      </c>
      <c r="P12" s="18" t="inlineStr">
        <is>
          <t>In a code review other developers read the change, suggest improvements and approve it when it looks good.</t>
        </is>
      </c>
      <c r="Q12" s="17" t="n"/>
      <c r="R12" s="18" t="inlineStr">
        <is>
          <t>GitHub reviews end in one of three ways: Comment, Approve, or Request changes. A reviewer can leave a suggestion on a line that the author applies with one click. Branch protection rules can require approvals.</t>
        </is>
      </c>
      <c r="S12" s="18" t="inlineStr">
        <is>
          <t>In a review you read your teammate's code carefully and say what is good and what should change. Keep your words clear and kind.</t>
        </is>
      </c>
      <c r="T12" s="18" t="inlineStr">
        <is>
          <t>It is like having someone else read your essay to find mistakes.</t>
        </is>
      </c>
      <c r="U12" s="18" t="inlineStr">
        <is>
          <t>Understand → check the logic → look at the tests → write clear comments</t>
        </is>
      </c>
      <c r="V12" s="18" t="inlineStr">
        <is>
          <t>A reviewer spots an off-by-one mistake in a loop and sends a suggestion.</t>
        </is>
      </c>
      <c r="W12" s="18" t="inlineStr">
        <is>
          <t>A reviewer points out that a function name does not show what it does.</t>
        </is>
      </c>
      <c r="X12" s="18" t="inlineStr">
        <is>
          <t>A reviewer notes a security gap because input was not validated.</t>
        </is>
      </c>
      <c r="Y12" s="18" t="inlineStr">
        <is>
          <t>pull request, approve, branch protection, CODEOWNERS</t>
        </is>
      </c>
      <c r="Z12" s="18" t="inlineStr">
        <is>
          <t>review, approve, request changes, suggestion</t>
        </is>
      </c>
      <c r="AA12" s="18" t="inlineStr">
        <is>
          <t>Team development | Open-source | Security checks</t>
        </is>
      </c>
      <c r="AB12" s="18" t="inlineStr">
        <is>
          <t>A: My PR is stuck. | B: The reviewer asked for changes, so read the comments and push a fix.</t>
        </is>
      </c>
      <c r="AC12" s="18" t="inlineStr">
        <is>
          <t>✗ Review is only for finding mistakes → ✓ Review also gives praise for good work, suggestions and learning, not just criticism</t>
        </is>
      </c>
      <c r="AD12" s="18" t="inlineStr">
        <is>
          <t>Review vs testing: review checks logic and design through human eyes, testing runs the code to check the result.</t>
        </is>
      </c>
      <c r="AE12" s="18" t="inlineStr">
        <is>
          <t>Do not make personal remarks, speak only about the code.</t>
        </is>
      </c>
      <c r="AF12" s="18" t="inlineStr">
        <is>
          <t>Review means a Reader Verifies and helps You grow.</t>
        </is>
      </c>
      <c r="AG12" s="18" t="inlineStr">
        <is>
          <t>Requiring at least one approval on every PR.</t>
        </is>
      </c>
      <c r="AH12" s="18" t="inlineStr">
        <is>
          <t>An interviewer may ask: What does a good code review comment look like?</t>
        </is>
      </c>
      <c r="AI12" s="18" t="inlineStr">
        <is>
          <t>It is like asking someone to read your essay and find mistakes.</t>
        </is>
      </c>
      <c r="AJ12" s="18" t="inlineStr">
        <is>
          <t>A reviewer chose Request changes on a PR. What should the author do next?</t>
        </is>
      </c>
      <c r="AK12" s="18" t="inlineStr">
        <is>
          <t>A) Remove the reviewer B) Fix as the comments say and push C) Switch the branch D) Delete the PR</t>
        </is>
      </c>
      <c r="AL12" s="18" t="inlineStr">
        <is>
          <t>B</t>
        </is>
      </c>
      <c r="AM12" s="18" t="inlineStr">
        <is>
          <t>Apply the suggestions and push to the same PR, then the reviewer looks again.</t>
        </is>
      </c>
      <c r="AN12" s="18" t="inlineStr">
        <is>
          <t>The feature that lets the author apply a reviewer's change in one click is called a ____ → suggestion</t>
        </is>
      </c>
      <c r="AO12" s="18" t="inlineStr">
        <is>
          <t>What should a code review comment focus on? → The logic, names, tests and security, not the person</t>
        </is>
      </c>
      <c r="AP12" s="18" t="inlineStr">
        <is>
          <t>Explain to a friend what the purpose of a review is.</t>
        </is>
      </c>
      <c r="AQ12" s="18" t="inlineStr">
        <is>
          <t>Read an open-source PR and write one good comment on it.</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67.5" customHeight="1">
      <c r="A13" s="17" t="inlineStr">
        <is>
          <t>GIT-026</t>
        </is>
      </c>
      <c r="B13" s="17" t="inlineStr">
        <is>
          <t>03 Collaboration</t>
        </is>
      </c>
      <c r="C13" s="17" t="inlineStr">
        <is>
          <t>Beginner</t>
        </is>
      </c>
      <c r="D13" s="17" t="n">
        <v>26</v>
      </c>
      <c r="E13" s="17" t="inlineStr">
        <is>
          <t>Claude knowledge</t>
        </is>
      </c>
      <c r="F13" s="18" t="inlineStr">
        <is>
          <t>GitHub Issues</t>
        </is>
      </c>
      <c r="G13" s="18" t="inlineStr">
        <is>
          <t>Which part of GitHub is used to record bugs, questions and feature ideas and discuss them?</t>
        </is>
      </c>
      <c r="H13" s="18" t="inlineStr">
        <is>
          <t>GitHub feature</t>
        </is>
      </c>
      <c r="I13" s="18" t="inlineStr">
        <is>
          <t>Very high</t>
        </is>
      </c>
      <c r="J13" s="18" t="n">
        <v>4</v>
      </c>
      <c r="K13" s="18" t="inlineStr">
        <is>
          <t>Big projects needed one place for their to-do list, so GitHub added issues where every bug or idea gets its own thread, label and owner.</t>
        </is>
      </c>
      <c r="L13" s="18" t="inlineStr">
        <is>
          <t>In an issue write what happened, what should have happened, and how to reproduce it.</t>
        </is>
      </c>
      <c r="M13" s="18" t="inlineStr">
        <is>
          <t>An issue is a complaint register where every complaint gets a number and an owner.</t>
        </is>
      </c>
      <c r="N13" s="18" t="inlineStr">
        <is>
          <t>A list in which each line has a number, a label, and Open or Closed beside it.</t>
        </is>
      </c>
      <c r="O13" s="18" t="inlineStr">
        <is>
          <t>The calm of knowing no task will get lost.</t>
        </is>
      </c>
      <c r="P13" s="18" t="inlineStr">
        <is>
          <t>An issue is a tracked record on GitHub of a bug, task or idea, with discussion and labels.</t>
        </is>
      </c>
      <c r="Q13" s="17" t="n"/>
      <c r="R13" s="18" t="inlineStr">
        <is>
          <t>An issue has a number such as #42. To link it to a PR, write Fixes #42 in the commit or PR, and the issue closes itself when the PR merges. Labels, assignees and milestones help organise work.</t>
        </is>
      </c>
      <c r="S13" s="18" t="inlineStr">
        <is>
          <t>In an issue you write what the problem is. Then someone works on it, writes Fixes #42 in the PR, and the issue closes when it merges.</t>
        </is>
      </c>
      <c r="T13" s="18" t="inlineStr">
        <is>
          <t>It is like an entry in a complaint register with a number and a person in charge.</t>
        </is>
      </c>
      <c r="U13" s="18" t="inlineStr">
        <is>
          <t>Open an issue → assign it → write Fixes #N in the PR → it closes on merge</t>
        </is>
      </c>
      <c r="V13" s="18" t="inlineStr">
        <is>
          <t>A user reports that the login button does not work.</t>
        </is>
      </c>
      <c r="W13" s="18" t="inlineStr">
        <is>
          <t>A maintainer adds a good first issue label to invite newcomers.</t>
        </is>
      </c>
      <c r="X13" s="18" t="inlineStr">
        <is>
          <t>A team puts ten issues into a milestone to plan a release.</t>
        </is>
      </c>
      <c r="Y13" s="18" t="inlineStr">
        <is>
          <t>pull request, labels, milestone, project board</t>
        </is>
      </c>
      <c r="Z13" s="18" t="inlineStr">
        <is>
          <t>issue, label, assignee, milestone, close</t>
        </is>
      </c>
      <c r="AA13" s="18" t="inlineStr">
        <is>
          <t>Bug tracking | Feature requests | Open-source onboarding</t>
        </is>
      </c>
      <c r="AB13" s="18" t="inlineStr">
        <is>
          <t>A: Where should I record this bug? | B: Open an issue on GitHub and write Fixes #12 in the PR.</t>
        </is>
      </c>
      <c r="AC13" s="18" t="inlineStr">
        <is>
          <t>✗ Issues are only for reporting bugs → ✓ Issues are also used for questions, new ideas, task lists and discussion</t>
        </is>
      </c>
      <c r="AD13" s="18" t="inlineStr">
        <is>
          <t>Issue vs PR: an issue records a problem or task, a PR is how you send a solution for it.</t>
        </is>
      </c>
      <c r="AE13" s="18" t="inlineStr">
        <is>
          <t>Do not put many unrelated problems into one issue.</t>
        </is>
      </c>
      <c r="AF13" s="18" t="inlineStr">
        <is>
          <t>Issue means Include the Situation clearly.</t>
        </is>
      </c>
      <c r="AG13" s="18" t="inlineStr">
        <is>
          <t>Opening an issue for every bug and writing Fixes #N in the PR.</t>
        </is>
      </c>
      <c r="AH13" s="18" t="inlineStr">
        <is>
          <t>An interviewer may ask: How do you link an issue to a PR?</t>
        </is>
      </c>
      <c r="AI13" s="18" t="inlineStr">
        <is>
          <t>It is like an entry in a complaint register with a number.</t>
        </is>
      </c>
      <c r="AJ13" s="18" t="inlineStr">
        <is>
          <t>Which phrase in a PR description closes issue 42 automatically when it merges?</t>
        </is>
      </c>
      <c r="AK13" s="18" t="inlineStr">
        <is>
          <t>A) Maybe #42 B) About #42 C) Fixes #42 D) See #42</t>
        </is>
      </c>
      <c r="AL13" s="18" t="inlineStr">
        <is>
          <t>C</t>
        </is>
      </c>
      <c r="AM13" s="18" t="inlineStr">
        <is>
          <t>Words such as Fixes, Closes or Resolves close the issue.</t>
        </is>
      </c>
      <c r="AN13" s="18" t="inlineStr">
        <is>
          <t>To close the issue, write ____ #42 in the PR → Fixes</t>
        </is>
      </c>
      <c r="AO13" s="18" t="inlineStr">
        <is>
          <t>How do newcomers find a good issue to start with? → Look for the good first issue label</t>
        </is>
      </c>
      <c r="AP13" s="18" t="inlineStr">
        <is>
          <t>Explain in three lines the difference between an issue and a pull request.</t>
        </is>
      </c>
      <c r="AQ13" s="18" t="inlineStr">
        <is>
          <t>Open an issue in your repo that says what happened, what should happen, and how to reproduce it.</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67.5" customHeight="1">
      <c r="A14" s="17" t="inlineStr">
        <is>
          <t>GIT-027</t>
        </is>
      </c>
      <c r="B14" s="17" t="inlineStr">
        <is>
          <t>03 Collaboration</t>
        </is>
      </c>
      <c r="C14" s="17" t="inlineStr">
        <is>
          <t>Intermediate</t>
        </is>
      </c>
      <c r="D14" s="17" t="n">
        <v>27</v>
      </c>
      <c r="E14" s="17" t="inlineStr">
        <is>
          <t>Claude knowledge</t>
        </is>
      </c>
      <c r="F14" s="18" t="inlineStr">
        <is>
          <t>Collaborators and roles</t>
        </is>
      </c>
      <c r="G14" s="18" t="inlineStr">
        <is>
          <t>Which system decides how much permission a person has on a repo, such as reading, writing or changing settings?</t>
        </is>
      </c>
      <c r="H14" s="18" t="inlineStr">
        <is>
          <t>Access control</t>
        </is>
      </c>
      <c r="I14" s="18" t="inlineStr">
        <is>
          <t>Medium</t>
        </is>
      </c>
      <c r="J14" s="18" t="n">
        <v>4</v>
      </c>
      <c r="K14" s="18" t="inlineStr">
        <is>
          <t>Letting everyone do everything is risky, so GitHub has separate permission levels so people can do only what their job needs.</t>
        </is>
      </c>
      <c r="L14" s="18" t="inlineStr">
        <is>
          <t>Give the least permission needed (least privilege) and use teams to assign roles.</t>
        </is>
      </c>
      <c r="M14" s="18" t="inlineStr">
        <is>
          <t>Roles are like key cards for a building: some open only the lobby and some open every floor.</t>
        </is>
      </c>
      <c r="N14" s="18" t="inlineStr">
        <is>
          <t>A badge with Read, Write or Admin printed on it.</t>
        </is>
      </c>
      <c r="O14" s="18" t="inlineStr">
        <is>
          <t>A safe feeling from giving the right people the right access.</t>
        </is>
      </c>
      <c r="P14" s="18" t="inlineStr">
        <is>
          <t>Collaborators are people given access to a repo, and the role (Read, Triage, Write, Maintain, Admin) sets what they can do.</t>
        </is>
      </c>
      <c r="Q14" s="17" t="n"/>
      <c r="R14" s="18" t="inlineStr">
        <is>
          <t>Read: view and clone. Triage: manage issues and PRs. Write: push. Maintain: run the repo without risky settings. Admin: everything, including delete. In an organisation you create teams to give roles together.</t>
        </is>
      </c>
      <c r="S14" s="18" t="inlineStr">
        <is>
          <t>Give each person only as much permission as their work needs. A new teammate may get Write, but Admin should go only to trusted people.</t>
        </is>
      </c>
      <c r="T14" s="18" t="inlineStr">
        <is>
          <t>It is like office key cards that open different rooms for different people.</t>
        </is>
      </c>
      <c r="U14" s="18" t="inlineStr">
        <is>
          <t>Read &lt; Triage &lt; Write &lt; Maintain &lt; Admin</t>
        </is>
      </c>
      <c r="V14" s="18" t="inlineStr">
        <is>
          <t>An intern gets the Read role so they can only look at the code.</t>
        </is>
      </c>
      <c r="W14" s="18" t="inlineStr">
        <is>
          <t>A developer gets the Write role so they can push branches.</t>
        </is>
      </c>
      <c r="X14" s="18" t="inlineStr">
        <is>
          <t>The project lead gets the Admin role to manage settings and collaborators.</t>
        </is>
      </c>
      <c r="Y14" s="18" t="inlineStr">
        <is>
          <t>organisation, team, branch protection, private repo</t>
        </is>
      </c>
      <c r="Z14" s="18" t="inlineStr">
        <is>
          <t>collaborator, role, permission, team</t>
        </is>
      </c>
      <c r="AA14" s="18" t="inlineStr">
        <is>
          <t>Company repos | Open-source maintainers | Student group projects</t>
        </is>
      </c>
      <c r="AB14" s="18" t="inlineStr">
        <is>
          <t>A: The new teammate cannot push. | B: Add them as a collaborator and give them the Write role.</t>
        </is>
      </c>
      <c r="AC14" s="18" t="inlineStr">
        <is>
          <t>✗ A collaborator is always the admin of the repo → ✓ Collaborators get different levels of access, and admin is only the highest role</t>
        </is>
      </c>
      <c r="AD14" s="18" t="inlineStr">
        <is>
          <t>Collaborator vs fork: a collaborator gets permission on the repo directly, while a forker works in their own copy and sends a PR.</t>
        </is>
      </c>
      <c r="AE14" s="18" t="inlineStr">
        <is>
          <t>Do not give everyone the Admin role.</t>
        </is>
      </c>
      <c r="AF14" s="18" t="inlineStr">
        <is>
          <t>Roles mean Rights only as much as the work.</t>
        </is>
      </c>
      <c r="AG14" s="18" t="inlineStr">
        <is>
          <t>Making teams in an organisation and giving each team only the Write role on its own repo.</t>
        </is>
      </c>
      <c r="AH14" s="18" t="inlineStr">
        <is>
          <t>An interviewer may ask: What are GitHub's permission levels?</t>
        </is>
      </c>
      <c r="AI14" s="18" t="inlineStr">
        <is>
          <t>It is like key cards that open different rooms for different people.</t>
        </is>
      </c>
      <c r="AJ14" s="18" t="inlineStr">
        <is>
          <t>Which role lets a person push to branches but not change repo settings?</t>
        </is>
      </c>
      <c r="AK14" s="18" t="inlineStr">
        <is>
          <t>A) Triage B) Read C) Admin D) Write</t>
        </is>
      </c>
      <c r="AL14" s="18" t="inlineStr">
        <is>
          <t>D</t>
        </is>
      </c>
      <c r="AM14" s="18" t="inlineStr">
        <is>
          <t>Write allows pushing, but changing settings needs Admin.</t>
        </is>
      </c>
      <c r="AN14" s="18" t="inlineStr">
        <is>
          <t>The highest role, which can even delete a repo, is called ____ → Admin</t>
        </is>
      </c>
      <c r="AO14" s="18" t="inlineStr">
        <is>
          <t>Which role would you give a new intern who should only view code? → Read</t>
        </is>
      </c>
      <c r="AP14" s="18" t="inlineStr">
        <is>
          <t>Explain what least privilege means in three lines.</t>
        </is>
      </c>
      <c r="AQ14" s="18" t="inlineStr">
        <is>
          <t>Write down the role each teammate in your group project should have.</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67.5" customHeight="1">
      <c r="A15" s="17" t="inlineStr">
        <is>
          <t>GIT-029</t>
        </is>
      </c>
      <c r="B15" s="17" t="inlineStr">
        <is>
          <t>03 Collaboration</t>
        </is>
      </c>
      <c r="C15" s="17" t="inlineStr">
        <is>
          <t>Advanced</t>
        </is>
      </c>
      <c r="D15" s="17" t="n">
        <v>29</v>
      </c>
      <c r="E15" s="17" t="inlineStr">
        <is>
          <t>Claude knowledge</t>
        </is>
      </c>
      <c r="F15" s="18" t="inlineStr">
        <is>
          <t>Branch protection and CODEOWNERS</t>
        </is>
      </c>
      <c r="G15" s="18" t="inlineStr">
        <is>
          <t>What GitHub feature blocks direct pushes to main and requires reviews or checks first?</t>
        </is>
      </c>
      <c r="H15" s="18" t="inlineStr">
        <is>
          <t>Repository governance</t>
        </is>
      </c>
      <c r="I15" s="18" t="inlineStr">
        <is>
          <t>Medium</t>
        </is>
      </c>
      <c r="J15" s="18" t="n">
        <v>4</v>
      </c>
      <c r="K15" s="18" t="inlineStr">
        <is>
          <t>One wrong push can break production, so GitHub has rules that stop important branches changing without review and checks, and a CODEOWNERS file says who reviews what.</t>
        </is>
      </c>
      <c r="L15" s="18" t="inlineStr">
        <is>
          <t>On main, require a pull request, require status checks, and require at least one approval.</t>
        </is>
      </c>
      <c r="M15" s="18" t="inlineStr">
        <is>
          <t>Branch protection is a double lock on a bank vault, with no single person holding the key.</t>
        </is>
      </c>
      <c r="N15" s="18" t="inlineStr">
        <is>
          <t>A door with two or three locks whose keys are held by different people.</t>
        </is>
      </c>
      <c r="O15" s="18" t="inlineStr">
        <is>
          <t>A firm sense that production stays safe.</t>
        </is>
      </c>
      <c r="P15" s="18" t="inlineStr">
        <is>
          <t>Branch protection rules stop force pushes, direct pushes and merges without review on branches like main, and CODEOWNERS says who reviews which files.</t>
        </is>
      </c>
      <c r="Q15" s="17" t="n"/>
      <c r="R15" s="18" t="inlineStr">
        <is>
          <t>Rules include required reviews, required status checks, linear history and blocking force pushes. In .github/CODEOWNERS you write a path followed by the users or teams whose review is requested automatically on a PR.</t>
        </is>
      </c>
      <c r="S15" s="18" t="inlineStr">
        <is>
          <t>These rules say nothing goes straight into main. You need a PR, passing checks and approval from the right people. CODEOWNERS says who owns which file.</t>
        </is>
      </c>
      <c r="T15" s="18" t="inlineStr">
        <is>
          <t>It is like a vault that needs two different people's keys to open.</t>
        </is>
      </c>
      <c r="U15" s="18" t="inlineStr">
        <is>
          <t>Main protected → PR + checks + approval → merge; CODEOWNERS: path @owner</t>
        </is>
      </c>
      <c r="V15" s="18" t="inlineStr">
        <is>
          <t>Main now needs at least one approval and CI passing.</t>
        </is>
      </c>
      <c r="W15" s="18" t="inlineStr">
        <is>
          <t>The docs team reviews /docs/, as written in CODEOWNERS.</t>
        </is>
      </c>
      <c r="X15" s="18" t="inlineStr">
        <is>
          <t>Force pushes and branch deletion are blocked to protect the history.</t>
        </is>
      </c>
      <c r="Y15" s="18" t="inlineStr">
        <is>
          <t>pull request, CI, code review, rulesets</t>
        </is>
      </c>
      <c r="Z15" s="18" t="inlineStr">
        <is>
          <t>protection, rule, ruleset, required check, owner</t>
        </is>
      </c>
      <c r="AA15" s="18" t="inlineStr">
        <is>
          <t>Production repos | Open-source maintainers | Security and compliance</t>
        </is>
      </c>
      <c r="AB15" s="18" t="inlineStr">
        <is>
          <t>A: I cannot push to main. | B: Branch protection is on, so open a PR and get approval.</t>
        </is>
      </c>
      <c r="AC15" s="18" t="inlineStr">
        <is>
          <t>✗ Branch protection does not apply to admins → ✓ Rules can apply to admins too, when the option to allow bypassing is turned off</t>
        </is>
      </c>
      <c r="AD15" s="18" t="inlineStr">
        <is>
          <t>Branch protection vs permissions: permissions say who can do what, protection puts rules on the branch however permitted the person is.</t>
        </is>
      </c>
      <c r="AE15" s="18" t="inlineStr">
        <is>
          <t>Do not leave main unprotected.</t>
        </is>
      </c>
      <c r="AF15" s="18" t="inlineStr">
        <is>
          <t>Protect means review first, then merge.</t>
        </is>
      </c>
      <c r="AG15" s="18" t="inlineStr">
        <is>
          <t>Putting required checks and one approval on the main branch.</t>
        </is>
      </c>
      <c r="AH15" s="18" t="inlineStr">
        <is>
          <t>An interviewer may ask: What does a CODEOWNERS file do?</t>
        </is>
      </c>
      <c r="AI15" s="18" t="inlineStr">
        <is>
          <t>It is like a vault with two locks and separate keys.</t>
        </is>
      </c>
      <c r="AJ15" s="18" t="inlineStr">
        <is>
          <t>Which file automatically adds the owner of a path as a reviewer on a PR?</t>
        </is>
      </c>
      <c r="AK15" s="18" t="inlineStr">
        <is>
          <t>A) package.json B) CODEOWNERS C) .gitignore D) README.md</t>
        </is>
      </c>
      <c r="AL15" s="18" t="inlineStr">
        <is>
          <t>B</t>
        </is>
      </c>
      <c r="AM15" s="18" t="inlineStr">
        <is>
          <t>CODEOWNERS maps paths to their owners.</t>
        </is>
      </c>
      <c r="AN15" s="18" t="inlineStr">
        <is>
          <t>To stop direct changes to main, you set up a ____ rule → branch protection</t>
        </is>
      </c>
      <c r="AO15" s="18" t="inlineStr">
        <is>
          <t>How do you stop merges to main without review? → Turn on required approvals and required status checks</t>
        </is>
      </c>
      <c r="AP15" s="18" t="inlineStr">
        <is>
          <t>Explain in three lines why CODEOWNERS is useful.</t>
        </is>
      </c>
      <c r="AQ15" s="18" t="inlineStr">
        <is>
          <t>Write two lines of a CODEOWNERS file for your repo.</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94.5" customHeight="1">
      <c r="A16" s="17" t="inlineStr">
        <is>
          <t>GIT-030</t>
        </is>
      </c>
      <c r="B16" s="17" t="inlineStr">
        <is>
          <t>03 Collaboration</t>
        </is>
      </c>
      <c r="C16" s="17" t="inlineStr">
        <is>
          <t>Advanced</t>
        </is>
      </c>
      <c r="D16" s="17" t="n">
        <v>30</v>
      </c>
      <c r="E16" s="17" t="inlineStr">
        <is>
          <t>Claude knowledge</t>
        </is>
      </c>
      <c r="F16" s="18" t="inlineStr">
        <is>
          <t>Git workflows (feature branch, GitFlow, trunk-based)</t>
        </is>
      </c>
      <c r="G16" s="18" t="inlineStr">
        <is>
          <t>What are the agreed ways teams create branches and decide when to merge called?</t>
        </is>
      </c>
      <c r="H16" s="18" t="inlineStr">
        <is>
          <t>Team process</t>
        </is>
      </c>
      <c r="I16" s="18" t="inlineStr">
        <is>
          <t>Medium</t>
        </is>
      </c>
      <c r="J16" s="18" t="n">
        <v>4</v>
      </c>
      <c r="K16" s="18" t="inlineStr">
        <is>
          <t>When many people work on one codebase without rules everything gets tangled, so teams created different ways of working such as GitFlow and trunk-based development to suit their release speed.</t>
        </is>
      </c>
      <c r="L16" s="18" t="inlineStr">
        <is>
          <t>Try a feature-branch workflow for a small team and trunk-based for frequent releases.</t>
        </is>
      </c>
      <c r="M16" s="18" t="inlineStr">
        <is>
          <t>A workflow is like traffic rules that decide who passes where and when.</t>
        </is>
      </c>
      <c r="N16" s="18" t="inlineStr">
        <is>
          <t>Three maps: one with a straight road, one with many short roads, one with a long release lane.</t>
        </is>
      </c>
      <c r="O16" s="18" t="inlineStr">
        <is>
          <t>The relief of a clear route instead of team confusion.</t>
        </is>
      </c>
      <c r="P16" s="18" t="inlineStr">
        <is>
          <t>A Git workflow is a set of rules for how branches are made, when they are merged and how releases are cut.</t>
        </is>
      </c>
      <c r="Q16" s="17" t="n"/>
      <c r="R16" s="18" t="inlineStr">
        <is>
          <t>Feature branch: a branch and PR for each task. GitFlow: main, develop, feature, release and hotfix branches. Trunk-based: small changes go straight to main (the trunk), with feature flags. The choice depends on team size and release speed.</t>
        </is>
      </c>
      <c r="S16" s="18" t="inlineStr">
        <is>
          <t>There are three main ways. Feature branch is the most common and simple. GitFlow suits big teams with scheduled releases. Trunk-based suits teams that release often.</t>
        </is>
      </c>
      <c r="T16" s="18" t="inlineStr">
        <is>
          <t>It is like different ways of cooking in one kitchen: in one pot, in many pots, or from a plan.</t>
        </is>
      </c>
      <c r="U16" s="18" t="inlineStr">
        <is>
          <t>Feature branch: main + feature/*; GitFlow: main + develop + feature + release + hotfix; Trunk-based: main + short branches</t>
        </is>
      </c>
      <c r="V16" s="18" t="inlineStr">
        <is>
          <t>A small team uses a feature branch and a PR for every task.</t>
        </is>
      </c>
      <c r="W16" s="18" t="inlineStr">
        <is>
          <t>Software with many versions uses GitFlow to manage release branches.</t>
        </is>
      </c>
      <c r="X16" s="18" t="inlineStr">
        <is>
          <t>A fast web company that deploys many times a day uses trunk-based development.</t>
        </is>
      </c>
      <c r="Y16" s="18" t="inlineStr">
        <is>
          <t>branch, pull request, release, feature flag</t>
        </is>
      </c>
      <c r="Z16" s="18" t="inlineStr">
        <is>
          <t>GitFlow, trunk-based, feature branch, release branch, hotfix</t>
        </is>
      </c>
      <c r="AA16" s="18" t="inlineStr">
        <is>
          <t>Team development | Release planning | CI/CD</t>
        </is>
      </c>
      <c r="AB16" s="18" t="inlineStr">
        <is>
          <t>A: Which workflow should our team use? | B: Start with feature branches if the team is small, and change when needed.</t>
        </is>
      </c>
      <c r="AC16" s="18" t="inlineStr">
        <is>
          <t>✗ GitFlow is the best workflow for every team → ✓ No single workflow is best, and GitFlow can be heavy for small or fast-releasing teams</t>
        </is>
      </c>
      <c r="AD16" s="18" t="inlineStr">
        <is>
          <t>GitFlow vs trunk-based: GitFlow has long-lived and release branches, trunk-based merges small work into main quickly.</t>
        </is>
      </c>
      <c r="AE16" s="18" t="inlineStr">
        <is>
          <t>Do not keep long-lived branches, they increase conflicts.</t>
        </is>
      </c>
      <c r="AF16" s="18" t="inlineStr">
        <is>
          <t>A small team needs a small road.</t>
        </is>
      </c>
      <c r="AG16" s="18" t="inlineStr">
        <is>
          <t>Writing the agreed workflow in the README so the whole team follows it.</t>
        </is>
      </c>
      <c r="AH16" s="18" t="inlineStr">
        <is>
          <t>An interviewer may ask: What is the difference between GitFlow and trunk-based development?</t>
        </is>
      </c>
      <c r="AI16" s="18" t="inlineStr">
        <is>
          <t>It is like the traffic rules that decide who goes where.</t>
        </is>
      </c>
      <c r="AJ16" s="18" t="inlineStr">
        <is>
          <t>Which workflow stresses merging small changes into main frequently?</t>
        </is>
      </c>
      <c r="AK16" s="18" t="inlineStr">
        <is>
          <t>A) GitFlow B) Fork-only C) Release-only D) Trunk-based</t>
        </is>
      </c>
      <c r="AL16" s="18" t="inlineStr">
        <is>
          <t>D</t>
        </is>
      </c>
      <c r="AM16" s="18" t="inlineStr">
        <is>
          <t>Trunk-based sends small commits into main (the trunk) quickly.</t>
        </is>
      </c>
      <c r="AN16" s="18" t="inlineStr">
        <is>
          <t>The approach with a separate branch and PR for each task is called the ____ workflow → feature branch</t>
        </is>
      </c>
      <c r="AO16" s="18" t="inlineStr">
        <is>
          <t>Which workflow would you choose for a team of three? → The feature branch workflow</t>
        </is>
      </c>
      <c r="AP16" s="18" t="inlineStr">
        <is>
          <t>Explain the difference between GitFlow and the feature branch workflow in three lines.</t>
        </is>
      </c>
      <c r="AQ16" s="18" t="inlineStr">
        <is>
          <t>Choose a workflow for your team and write three rules for it.</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81" customHeight="1">
      <c r="A17" s="17" t="inlineStr">
        <is>
          <t>GIT-047</t>
        </is>
      </c>
      <c r="B17" s="17" t="inlineStr">
        <is>
          <t>06 Security &amp; Access</t>
        </is>
      </c>
      <c r="C17" s="17" t="inlineStr">
        <is>
          <t>Advanced</t>
        </is>
      </c>
      <c r="D17" s="17" t="n">
        <v>47</v>
      </c>
      <c r="E17" s="17" t="inlineStr">
        <is>
          <t>Claude knowledge</t>
        </is>
      </c>
      <c r="F17" s="18" t="inlineStr">
        <is>
          <t>Leaked secret in a repository</t>
        </is>
      </c>
      <c r="G17" s="18" t="inlineStr">
        <is>
          <t>What is the first thing to do if you accidentally commit an API key or password?</t>
        </is>
      </c>
      <c r="H17" s="18" t="inlineStr">
        <is>
          <t>Security incident</t>
        </is>
      </c>
      <c r="I17" s="18" t="inlineStr">
        <is>
          <t>Medium</t>
        </is>
      </c>
      <c r="J17" s="18" t="n">
        <v>5</v>
      </c>
      <c r="K17" s="18" t="inlineStr">
        <is>
          <t>Git history keeps data forever and bots scanning public repos find keys within minutes, so after a leak the first job is to change the key.</t>
        </is>
      </c>
      <c r="L17" s="18" t="inlineStr">
        <is>
          <t>First rotate the key, and only then clean the history.</t>
        </is>
      </c>
      <c r="M17" s="18" t="inlineStr">
        <is>
          <t>After a break-in you change the lock first, then work out how the thief got in.</t>
        </is>
      </c>
      <c r="N17" s="18" t="inlineStr">
        <is>
          <t>A key whose copy has been made and a lock being changed straight away.</t>
        </is>
      </c>
      <c r="O17" s="18" t="inlineStr">
        <is>
          <t>Panic that turns into calm once you have a clear plan.</t>
        </is>
      </c>
      <c r="P17" s="18" t="inlineStr">
        <is>
          <t>A leaked secret is a password, token or key that was committed by mistake and is now in the history.</t>
        </is>
      </c>
      <c r="Q17" s="17" t="n"/>
      <c r="R17" s="18" t="inlineStr">
        <is>
          <t>Deleting the file leaves the secret in history. The right order: revoke or rotate the secret, clean history with git filter-repo or BFG, force push, and ask others to clone again. Prevent with .gitignore and secret scanning.</t>
        </is>
      </c>
      <c r="S17" s="18" t="inlineStr">
        <is>
          <t>When a secret leaks, first change its key, then clean the history. Just removing the file does nothing because old commits still hold it.</t>
        </is>
      </c>
      <c r="T17" s="18" t="inlineStr">
        <is>
          <t>It is like changing the lock first when your key is stolen, and investigating later.</t>
        </is>
      </c>
      <c r="U17" s="18" t="inlineStr">
        <is>
          <t>Rotate → clean history (filter-repo) → force push → tell the team</t>
        </is>
      </c>
      <c r="V17" s="18" t="inlineStr">
        <is>
          <t>A developer committed a .env file holding a database password.</t>
        </is>
      </c>
      <c r="W17" s="18" t="inlineStr">
        <is>
          <t>An AWS key put in a public repo was used by a bot within minutes.</t>
        </is>
      </c>
      <c r="X17" s="18" t="inlineStr">
        <is>
          <t>A test file with a hardcoded API token went through in a PR.</t>
        </is>
      </c>
      <c r="Y17" s="18" t="inlineStr">
        <is>
          <t>.gitignore, secret scanning, git filter-repo, push protection</t>
        </is>
      </c>
      <c r="Z17" s="18" t="inlineStr">
        <is>
          <t>secret, rotate, revoke, filter-repo, BFG</t>
        </is>
      </c>
      <c r="AA17" s="18" t="inlineStr">
        <is>
          <t>Security incidents | Public repos | CI pipelines</t>
        </is>
      </c>
      <c r="AB17" s="18" t="inlineStr">
        <is>
          <t>A: I accidentally committed an API key. | B: Revoke the key and make a new one first, then clean the history.</t>
        </is>
      </c>
      <c r="AC17" s="18" t="inlineStr">
        <is>
          <t>✗ Deleting the file and committing removes the secret for good → ✓ The secret stays in old commits, and the right step is to rotate the key and clean the history</t>
        </is>
      </c>
      <c r="AD17" s="18" t="inlineStr">
        <is>
          <t>Rotate vs cleaning history: rotating makes the secret useless, cleaning history removes its traces.</t>
        </is>
      </c>
      <c r="AE17" s="18" t="inlineStr">
        <is>
          <t>Do not relax after merely deleting the secret and making a new commit.</t>
        </is>
      </c>
      <c r="AF17" s="18" t="inlineStr">
        <is>
          <t>Rotate the key first, then purge history.</t>
        </is>
      </c>
      <c r="AG17" s="18" t="inlineStr">
        <is>
          <t>Rotating the key after a leak and turning on secret scanning.</t>
        </is>
      </c>
      <c r="AH17" s="18" t="inlineStr">
        <is>
          <t>An interviewer may ask: How would you handle a committed secret?</t>
        </is>
      </c>
      <c r="AI17" s="18" t="inlineStr">
        <is>
          <t>It is like changing the lock when your key is stolen.</t>
        </is>
      </c>
      <c r="AJ17" s="18" t="inlineStr">
        <is>
          <t>An API key was committed to a public repo. What is the very first step?</t>
        </is>
      </c>
      <c r="AK17" s="18" t="inlineStr">
        <is>
          <t>A) Change the commit message B) Rotate or revoke the key C) Rename the repo D) Delete the file</t>
        </is>
      </c>
      <c r="AL17" s="18" t="inlineStr">
        <is>
          <t>B</t>
        </is>
      </c>
      <c r="AM17" s="18" t="inlineStr">
        <is>
          <t>Rotating the key makes the old one useless at once.</t>
        </is>
      </c>
      <c r="AN17" s="18" t="inlineStr">
        <is>
          <t>After a leak you first ____ the secret → rotate</t>
        </is>
      </c>
      <c r="AO17" s="18" t="inlineStr">
        <is>
          <t>How do you remove the secret from history afterwards? → Clean it with git filter-repo or BFG and force push</t>
        </is>
      </c>
      <c r="AP17" s="18" t="inlineStr">
        <is>
          <t>Explain in three lines why deleting the file is not enough.</t>
        </is>
      </c>
      <c r="AQ17" s="18" t="inlineStr">
        <is>
          <t>Write a checklist you will follow when a secret leaks.</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67.5" customHeight="1">
      <c r="A18" s="17" t="inlineStr">
        <is>
          <t>GIT-049</t>
        </is>
      </c>
      <c r="B18" s="17" t="inlineStr">
        <is>
          <t>06 Security &amp; Access</t>
        </is>
      </c>
      <c r="C18" s="17" t="inlineStr">
        <is>
          <t>Advanced</t>
        </is>
      </c>
      <c r="D18" s="17" t="n">
        <v>49</v>
      </c>
      <c r="E18" s="17" t="inlineStr">
        <is>
          <t>Claude knowledge</t>
        </is>
      </c>
      <c r="F18" s="18" t="inlineStr">
        <is>
          <t>Secret scanning and Dependabot</t>
        </is>
      </c>
      <c r="G18" s="18" t="inlineStr">
        <is>
          <t>Which automatic GitHub safety tools catch leaked keys and outdated vulnerable libraries?</t>
        </is>
      </c>
      <c r="H18" s="18" t="inlineStr">
        <is>
          <t>GitHub security</t>
        </is>
      </c>
      <c r="I18" s="18" t="inlineStr">
        <is>
          <t>Medium</t>
        </is>
      </c>
      <c r="J18" s="18" t="n">
        <v>4</v>
      </c>
      <c r="K18" s="18" t="inlineStr">
        <is>
          <t>People commit secrets by accident and libraries keep getting security flaws, so GitHub built automatic checks, secret scanning and Dependabot.</t>
        </is>
      </c>
      <c r="L18" s="18" t="inlineStr">
        <is>
          <t>They are on for public repos, and for private repos you turn them on in settings.</t>
        </is>
      </c>
      <c r="M18" s="18" t="inlineStr">
        <is>
          <t>They are two guards: one catches stolen keys, the other warns about old unsafe libraries.</t>
        </is>
      </c>
      <c r="N18" s="18" t="inlineStr">
        <is>
          <t>Two guards stand at a gate, one checking a list of keys and the other a list of libraries.</t>
        </is>
      </c>
      <c r="O18" s="18" t="inlineStr">
        <is>
          <t>Comfort that flaws are caught without hunting for them.</t>
        </is>
      </c>
      <c r="P18" s="18" t="inlineStr">
        <is>
          <t>Secret scanning finds leaked keys, and Dependabot sends pull requests to update old or insecure libraries.</t>
        </is>
      </c>
      <c r="Q18" s="17" t="n"/>
      <c r="R18" s="18" t="inlineStr">
        <is>
          <t>Secret scanning looks for the key patterns of known providers, and push protection can stop a push before it happens. Dependabot alerts warn about vulnerabilities and Dependabot version updates open PRs automatically.</t>
        </is>
      </c>
      <c r="S18" s="18" t="inlineStr">
        <is>
          <t>Secret scanning tells you when you committed a key by mistake. Dependabot tells you a library is old and risky and sends a PR to update it.</t>
        </is>
      </c>
      <c r="T18" s="18" t="inlineStr">
        <is>
          <t>It is like a guard at the door who checks both the keys and the goods.</t>
        </is>
      </c>
      <c r="U18" s="18" t="inlineStr">
        <is>
          <t>Secret scanning = catch the leak, Dependabot = update the library</t>
        </is>
      </c>
      <c r="V18" s="18" t="inlineStr">
        <is>
          <t>Push protection blocks a push that holds an AWS key.</t>
        </is>
      </c>
      <c r="W18" s="18" t="inlineStr">
        <is>
          <t>Dependabot opens a PR with a security fix for an old library.</t>
        </is>
      </c>
      <c r="X18" s="18" t="inlineStr">
        <is>
          <t>Dependabot alerts tell the team about a dangerous dependency.</t>
        </is>
      </c>
      <c r="Y18" s="18" t="inlineStr">
        <is>
          <t>leaked secret, dependency, PR, GitHub Advanced Security</t>
        </is>
      </c>
      <c r="Z18" s="18" t="inlineStr">
        <is>
          <t>secret scanning, push protection, Dependabot, alert, dependency</t>
        </is>
      </c>
      <c r="AA18" s="18" t="inlineStr">
        <is>
          <t>Security checks | Open-source maintenance | Compliance</t>
        </is>
      </c>
      <c r="AB18" s="18" t="inlineStr">
        <is>
          <t>A: Our library has become outdated. | B: Look at Dependabot's PR, it brings the new version and the fix.</t>
        </is>
      </c>
      <c r="AC18" s="18" t="inlineStr">
        <is>
          <t>✗ Dependabot catches all the mistakes in your code → ✓ Dependabot covers only known flaws and updates in dependencies, and does not catch logic errors in your own code</t>
        </is>
      </c>
      <c r="AD18" s="18" t="inlineStr">
        <is>
          <t>Secret scanning vs Dependabot: one catches leaked keys, the other flaws in libraries.</t>
        </is>
      </c>
      <c r="AE18" s="18" t="inlineStr">
        <is>
          <t>Do not merge Dependabot PRs without running tests.</t>
        </is>
      </c>
      <c r="AF18" s="18" t="inlineStr">
        <is>
          <t>Two guards: one for Keys, one for Libraries.</t>
        </is>
      </c>
      <c r="AG18" s="18" t="inlineStr">
        <is>
          <t>Turning on Dependabot version updates so libraries stay fresh.</t>
        </is>
      </c>
      <c r="AH18" s="18" t="inlineStr">
        <is>
          <t>An interviewer may ask: What is push protection?</t>
        </is>
      </c>
      <c r="AI18" s="18" t="inlineStr">
        <is>
          <t>It is like a guard checking both the keys and the goods at the gate.</t>
        </is>
      </c>
      <c r="AJ18" s="18" t="inlineStr">
        <is>
          <t>Which tool opens a PR to update an outdated library on its own?</t>
        </is>
      </c>
      <c r="AK18" s="18" t="inlineStr">
        <is>
          <t>A) Secret scanning B) CODEOWNERS C) Dependabot D) Issues</t>
        </is>
      </c>
      <c r="AL18" s="18" t="inlineStr">
        <is>
          <t>C</t>
        </is>
      </c>
      <c r="AM18" s="18" t="inlineStr">
        <is>
          <t>Dependabot opens PRs to update dependencies.</t>
        </is>
      </c>
      <c r="AN18" s="18" t="inlineStr">
        <is>
          <t>The feature that stops a secret before it is pushed is called ____ → push protection</t>
        </is>
      </c>
      <c r="AO18" s="18" t="inlineStr">
        <is>
          <t>Which feature warns you about a library vulnerability? → Dependabot alerts</t>
        </is>
      </c>
      <c r="AP18" s="18" t="inlineStr">
        <is>
          <t>Explain the difference between secret scanning and Dependabot in three lines.</t>
        </is>
      </c>
      <c r="AQ18" s="18" t="inlineStr">
        <is>
          <t>Write two lines of config to turn on Dependabot version updates in your repo.</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67.5" customHeight="1">
      <c r="A19" s="17" t="inlineStr">
        <is>
          <t>GIT-054</t>
        </is>
      </c>
      <c r="B19" s="17" t="inlineStr">
        <is>
          <t>07 GitHub Platform</t>
        </is>
      </c>
      <c r="C19" s="17" t="inlineStr">
        <is>
          <t>Intermediate</t>
        </is>
      </c>
      <c r="D19" s="17" t="n">
        <v>54</v>
      </c>
      <c r="E19" s="17" t="inlineStr">
        <is>
          <t>Claude knowledge</t>
        </is>
      </c>
      <c r="F19" s="18" t="inlineStr">
        <is>
          <t>GitHub Projects</t>
        </is>
      </c>
      <c r="G19" s="18" t="inlineStr">
        <is>
          <t>Which part of GitHub lets you plan work by putting issues and PRs on a board or table?</t>
        </is>
      </c>
      <c r="H19" s="18" t="inlineStr">
        <is>
          <t>GitHub feature</t>
        </is>
      </c>
      <c r="I19" s="18" t="inlineStr">
        <is>
          <t>Medium</t>
        </is>
      </c>
      <c r="J19" s="18" t="n">
        <v>3</v>
      </c>
      <c r="K19" s="18" t="inlineStr">
        <is>
          <t>A long list of issues makes planning hard, so GitHub added a Kanban board and a table where the state of the work shows at a glance.</t>
        </is>
      </c>
      <c r="L19" s="18" t="inlineStr">
        <is>
          <t>Start with simple columns such as To do, In progress and Done.</t>
        </is>
      </c>
      <c r="M19" s="18" t="inlineStr">
        <is>
          <t>Projects is a big wall board where slips (issues) move from one column to the next.</t>
        </is>
      </c>
      <c r="N19" s="18" t="inlineStr">
        <is>
          <t>A board with three columns where slips slide from To do to Done.</t>
        </is>
      </c>
      <c r="O19" s="18" t="inlineStr">
        <is>
          <t>The clarity of seeing the state of the work at a glance.</t>
        </is>
      </c>
      <c r="P19" s="18" t="inlineStr">
        <is>
          <t>GitHub Projects puts issues and PRs on a board, table or roadmap to plan work and show its status.</t>
        </is>
      </c>
      <c r="Q19" s="17" t="n"/>
      <c r="R19" s="18" t="inlineStr">
        <is>
          <t>Projects supports custom fields (status, priority, iteration), filters and views. Items link to issues and PRs, and their status can update automatically. It works at organisation level across many repos.</t>
        </is>
      </c>
      <c r="S19" s="18" t="inlineStr">
        <is>
          <t>In Projects you place your issues on a board and move them from To do to Done, so the whole team can see the state of the work.</t>
        </is>
      </c>
      <c r="T19" s="18" t="inlineStr">
        <is>
          <t>It is like a wall of slips in a shop showing the state of each job.</t>
        </is>
      </c>
      <c r="U19" s="18" t="inlineStr">
        <is>
          <t>Issues → project board → change the status → Done</t>
        </is>
      </c>
      <c r="V19" s="18" t="inlineStr">
        <is>
          <t>Putting ten sprint issues on a board with an iteration field.</t>
        </is>
      </c>
      <c r="W19" s="18" t="inlineStr">
        <is>
          <t>Showing features by quarter in the roadmap view.</t>
        </is>
      </c>
      <c r="X19" s="18" t="inlineStr">
        <is>
          <t>Filtering work by priority and assignee in the table view.</t>
        </is>
      </c>
      <c r="Y19" s="18" t="inlineStr">
        <is>
          <t>issues, pull request, milestone, labels</t>
        </is>
      </c>
      <c r="Z19" s="18" t="inlineStr">
        <is>
          <t>project, board, view, field, iteration</t>
        </is>
      </c>
      <c r="AA19" s="18" t="inlineStr">
        <is>
          <t>Team planning | Sprint tracking | Open-source roadmaps</t>
        </is>
      </c>
      <c r="AB19" s="18" t="inlineStr">
        <is>
          <t>A: Where should we track all our work? | B: Make a board in GitHub Projects and add the issues.</t>
        </is>
      </c>
      <c r="AC19" s="18" t="inlineStr">
        <is>
          <t>✗ GitHub Projects can show issues from only one repo → ✓ Projects works at organisation level and can show issues and PRs of many repos on one board</t>
        </is>
      </c>
      <c r="AD19" s="18" t="inlineStr">
        <is>
          <t>Projects vs Issues: an issue records one piece of work, Projects plans many pieces and shows their status.</t>
        </is>
      </c>
      <c r="AE19" s="18" t="inlineStr">
        <is>
          <t>Do not clutter the board with too many columns and fields.</t>
        </is>
      </c>
      <c r="AF19" s="18" t="inlineStr">
        <is>
          <t>Projects is a board of slips.</t>
        </is>
      </c>
      <c r="AG19" s="18" t="inlineStr">
        <is>
          <t>Putting all the sprint's issues on one board and tracking their status.</t>
        </is>
      </c>
      <c r="AH19" s="18" t="inlineStr">
        <is>
          <t>An interviewer may ask: What is the difference between GitHub Projects and Issues?</t>
        </is>
      </c>
      <c r="AI19" s="18" t="inlineStr">
        <is>
          <t>It is like a wall of slips showing where each job stands.</t>
        </is>
      </c>
      <c r="AJ19" s="18" t="inlineStr">
        <is>
          <t>What style is the board view of Projects?</t>
        </is>
      </c>
      <c r="AK19" s="18" t="inlineStr">
        <is>
          <t>A) Email B) Kanban C) Terminal D) Spreadsheet-only</t>
        </is>
      </c>
      <c r="AL19" s="18" t="inlineStr">
        <is>
          <t>B</t>
        </is>
      </c>
      <c r="AM19" s="18" t="inlineStr">
        <is>
          <t>The board view is Kanban-like, with items moving between columns.</t>
        </is>
      </c>
      <c r="AN19" s="18" t="inlineStr">
        <is>
          <t>The state of work on a board is shown by the ____ field → status</t>
        </is>
      </c>
      <c r="AO19" s="18" t="inlineStr">
        <is>
          <t>How do you split work by time period? → Add an iteration field</t>
        </is>
      </c>
      <c r="AP19" s="18" t="inlineStr">
        <is>
          <t>Explain in three lines when Projects is useful.</t>
        </is>
      </c>
      <c r="AQ19" s="18" t="inlineStr">
        <is>
          <t>Put five issues of your repo on a board and sort them into To do, In progress and Done.</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81" customHeight="1">
      <c r="A20" s="17" t="inlineStr">
        <is>
          <t>GIT-055</t>
        </is>
      </c>
      <c r="B20" s="17" t="inlineStr">
        <is>
          <t>07 GitHub Platform</t>
        </is>
      </c>
      <c r="C20" s="17" t="inlineStr">
        <is>
          <t>Intermediate</t>
        </is>
      </c>
      <c r="D20" s="17" t="n">
        <v>55</v>
      </c>
      <c r="E20" s="17" t="inlineStr">
        <is>
          <t>Claude knowledge</t>
        </is>
      </c>
      <c r="F20" s="18" t="inlineStr">
        <is>
          <t>LICENSE and CONTRIBUTING.md</t>
        </is>
      </c>
      <c r="G20" s="18" t="inlineStr">
        <is>
          <t>Which two files in a public repo say how others may use the code and how they can contribute?</t>
        </is>
      </c>
      <c r="H20" s="18" t="inlineStr">
        <is>
          <t>Open-source files</t>
        </is>
      </c>
      <c r="I20" s="18" t="inlineStr">
        <is>
          <t>Medium</t>
        </is>
      </c>
      <c r="J20" s="18" t="n">
        <v>4</v>
      </c>
      <c r="K20" s="18" t="inlineStr">
        <is>
          <t>Without a licence all rights stay with the author, so open-source projects keep a LICENSE file and a CONTRIBUTING.md so people know what they may do.</t>
        </is>
      </c>
      <c r="L20" s="18" t="inlineStr">
        <is>
          <t>Choose a licence from GitHub as soon as you make a public repo, and MIT or Apache 2.0 are common.</t>
        </is>
      </c>
      <c r="M20" s="18" t="inlineStr">
        <is>
          <t>LICENSE is the shop's rule book on how to use the goods, and CONTRIBUTING says how to help.</t>
        </is>
      </c>
      <c r="N20" s="18" t="inlineStr">
        <is>
          <t>Two notices, one says what you may do and the other how to help.</t>
        </is>
      </c>
      <c r="O20" s="18" t="inlineStr">
        <is>
          <t>The honest feeling of giving others clear rules.</t>
        </is>
      </c>
      <c r="P20" s="18" t="inlineStr">
        <is>
          <t>LICENSE says how others may use your code, and CONTRIBUTING.md says what the rules for contributing are.</t>
        </is>
      </c>
      <c r="Q20" s="17" t="n"/>
      <c r="R20" s="18" t="inlineStr">
        <is>
          <t>MIT is very permissive, Apache 2.0 gives patent protection, and GPL is copyleft (changes must use the same licence). Without a licence nobody may use the code by default. CONTRIBUTING.md holds rules for branches, tests and PRs.</t>
        </is>
      </c>
      <c r="S20" s="18" t="inlineStr">
        <is>
          <t>Keep a licence in every public repo, or people cannot use the code properly. In CONTRIBUTING, say how a newcomer can help.</t>
        </is>
      </c>
      <c r="T20" s="18" t="inlineStr">
        <is>
          <t>It is like a shop's rule book plus a list of ways to help.</t>
        </is>
      </c>
      <c r="U20" s="18" t="inlineStr">
        <is>
          <t>Public repo = LICENSE + README + CONTRIBUTING</t>
        </is>
      </c>
      <c r="V20" s="18" t="inlineStr">
        <is>
          <t>An MIT-licensed library that any company can use.</t>
        </is>
      </c>
      <c r="W20" s="18" t="inlineStr">
        <is>
          <t>A GPL project whose changes must stay GPL.</t>
        </is>
      </c>
      <c r="X20" s="18" t="inlineStr">
        <is>
          <t>A CONTRIBUTING.md that says run the tests before a PR.</t>
        </is>
      </c>
      <c r="Y20" s="18" t="inlineStr">
        <is>
          <t>README, open-source, pull request, code of conduct</t>
        </is>
      </c>
      <c r="Z20" s="18" t="inlineStr">
        <is>
          <t>license, MIT, Apache, GPL, contributing</t>
        </is>
      </c>
      <c r="AA20" s="18" t="inlineStr">
        <is>
          <t>Open-source projects | Libraries | Community repos</t>
        </is>
      </c>
      <c r="AB20" s="18" t="inlineStr">
        <is>
          <t>A: Can I use this library in my product? | B: Check the LICENSE file, it says what is allowed.</t>
        </is>
      </c>
      <c r="AC20" s="18" t="inlineStr">
        <is>
          <t>✗ Code in a public repo can be used by anyone even with no licence → ✓ With no licence all rights stay with the author, so a licence is needed</t>
        </is>
      </c>
      <c r="AD20" s="18" t="inlineStr">
        <is>
          <t>MIT vs GPL: MIT is very permissive, GPL makes changes keep the same licence.</t>
        </is>
      </c>
      <c r="AE20" s="18" t="inlineStr">
        <is>
          <t>Do not use someone's code without reading its licence.</t>
        </is>
      </c>
      <c r="AF20" s="18" t="inlineStr">
        <is>
          <t>A licence is a written rule, and contributing is the path to help.</t>
        </is>
      </c>
      <c r="AG20" s="18" t="inlineStr">
        <is>
          <t>Adding an MIT licence and CONTRIBUTING.md to a new open-source library.</t>
        </is>
      </c>
      <c r="AH20" s="18" t="inlineStr">
        <is>
          <t>An interviewer may ask: What is the difference between the MIT and GPL licences?</t>
        </is>
      </c>
      <c r="AI20" s="18" t="inlineStr">
        <is>
          <t>It is like the rule book of a shop that says how goods may be used.</t>
        </is>
      </c>
      <c r="AJ20" s="18" t="inlineStr">
        <is>
          <t>Which licence forces changes to keep the same licence?</t>
        </is>
      </c>
      <c r="AK20" s="18" t="inlineStr">
        <is>
          <t>A) Apache B) BSD C) GPL D) MIT</t>
        </is>
      </c>
      <c r="AL20" s="18" t="inlineStr">
        <is>
          <t>C</t>
        </is>
      </c>
      <c r="AM20" s="18" t="inlineStr">
        <is>
          <t>GPL is a copyleft licence, so derived work is also GPL.</t>
        </is>
      </c>
      <c r="AN20" s="18" t="inlineStr">
        <is>
          <t>The rules for contributing are written in the ____ file → CONTRIBUTING.md</t>
        </is>
      </c>
      <c r="AO20" s="18" t="inlineStr">
        <is>
          <t>Which two files would you add at once to a new public repo? → LICENSE and README.md</t>
        </is>
      </c>
      <c r="AP20" s="18" t="inlineStr">
        <is>
          <t>Explain in three lines why a licence is needed.</t>
        </is>
      </c>
      <c r="AQ20" s="18" t="inlineStr">
        <is>
          <t>Choose a licence for one of your repos and write down why.</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81" customHeight="1">
      <c r="A21" s="17" t="inlineStr">
        <is>
          <t>GIT-061</t>
        </is>
      </c>
      <c r="B21" s="17" t="inlineStr">
        <is>
          <t>03 Collaboration</t>
        </is>
      </c>
      <c r="C21" s="17" t="inlineStr">
        <is>
          <t>Intermediate</t>
        </is>
      </c>
      <c r="D21" s="17" t="n">
        <v>61</v>
      </c>
      <c r="E21" s="17" t="inlineStr">
        <is>
          <t>Claude knowledge</t>
        </is>
      </c>
      <c r="F21" s="18" t="inlineStr">
        <is>
          <t>PR merge methods (Merge, Squash, Rebase)</t>
        </is>
      </c>
      <c r="G21" s="18" t="inlineStr">
        <is>
          <t>What are the three ways to join a PR into main on GitHub, and how does each affect history?</t>
        </is>
      </c>
      <c r="H21" s="18" t="inlineStr">
        <is>
          <t>GitHub feature</t>
        </is>
      </c>
      <c r="I21" s="18" t="inlineStr">
        <is>
          <t>High</t>
        </is>
      </c>
      <c r="J21" s="18" t="n">
        <v>4</v>
      </c>
      <c r="K21" s="18" t="inlineStr">
        <is>
          <t>Different teams want different shapes of history, so GitHub offers three ways to merge a PR and lets repo settings choose which are allowed.</t>
        </is>
      </c>
      <c r="L21" s="18" t="inlineStr">
        <is>
          <t>Squash suits small tasks, and pick a merge commit when you want long history.</t>
        </is>
      </c>
      <c r="M21" s="18" t="inlineStr">
        <is>
          <t>Three ways of packing the same goods: all in one box, kept separate, or placed in a line.</t>
        </is>
      </c>
      <c r="N21" s="18" t="inlineStr">
        <is>
          <t>Three small diagrams: all commits become one, commits stay apart, commits line up.</t>
        </is>
      </c>
      <c r="O21" s="18" t="inlineStr">
        <is>
          <t>The control of keeping the history your team prefers.</t>
        </is>
      </c>
      <c r="P21" s="18" t="inlineStr">
        <is>
          <t>A merge commit keeps all history, squash joins all commits into one, and rebase places the commits in a straight line.</t>
        </is>
      </c>
      <c r="Q21" s="17" t="n"/>
      <c r="R21" s="18" t="inlineStr">
        <is>
          <t>Create a merge commit: all commits stay and one merge commit is added. Squash and merge: all the PR's commits become one commit and history stays clean. Rebase and merge: commits arrive in a straight line without a merge commit.</t>
        </is>
      </c>
      <c r="S21" s="18" t="inlineStr">
        <is>
          <t>A merge commit gives the fullest history, squash the cleanest history, and rebase a straight line. Choose according to your team's rule.</t>
        </is>
      </c>
      <c r="T21" s="18" t="inlineStr">
        <is>
          <t>It is like three ways of packing goods: in one box, separately, or in a row.</t>
        </is>
      </c>
      <c r="U21" s="18" t="inlineStr">
        <is>
          <t>Merge = full history, Squash = one commit, Rebase = straight line</t>
        </is>
      </c>
      <c r="V21" s="18" t="inlineStr">
        <is>
          <t>Squashing a small bug-fix PR into one clean commit.</t>
        </is>
      </c>
      <c r="W21" s="18" t="inlineStr">
        <is>
          <t>Merging a long feature branch with a merge commit to keep its history.</t>
        </is>
      </c>
      <c r="X21" s="18" t="inlineStr">
        <is>
          <t>A team that wants a straight history picks rebase and merge.</t>
        </is>
      </c>
      <c r="Y21" s="18" t="inlineStr">
        <is>
          <t>pull request, git merge, git rebase</t>
        </is>
      </c>
      <c r="Z21" s="18" t="inlineStr">
        <is>
          <t>merge commit, squash, rebase, history, linear</t>
        </is>
      </c>
      <c r="AA21" s="18" t="inlineStr">
        <is>
          <t>Merging PRs | Release history | Changelogs</t>
        </is>
      </c>
      <c r="AB21" s="18" t="inlineStr">
        <is>
          <t>A: My PR has twelve small commits. | B: Use squash and merge to make one clean commit.</t>
        </is>
      </c>
      <c r="AC21" s="18" t="inlineStr">
        <is>
          <t>✗ Squash and merge makes the PR's commits disappear → ✓ The commits stay on the PR page, but only one squash commit lands on main</t>
        </is>
      </c>
      <c r="AD21" s="18" t="inlineStr">
        <is>
          <t>Squash vs rebase merge: squash turns all commits into one, rebase merge keeps each in a straight line.</t>
        </is>
      </c>
      <c r="AE21" s="18" t="inlineStr">
        <is>
          <t>Do not mix all three methods in one repo without a rule.</t>
        </is>
      </c>
      <c r="AF21" s="18" t="inlineStr">
        <is>
          <t>Merge for Memory, Squash for Spotless.</t>
        </is>
      </c>
      <c r="AG21" s="18" t="inlineStr">
        <is>
          <t>A team decided all PRs are squashed to keep main's history short.</t>
        </is>
      </c>
      <c r="AH21" s="18" t="inlineStr">
        <is>
          <t>An interviewer may ask: What is the difference between squash and rebase merge?</t>
        </is>
      </c>
      <c r="AI21" s="18" t="inlineStr">
        <is>
          <t>It is like three ways of packing the same goods.</t>
        </is>
      </c>
      <c r="AJ21" s="18" t="inlineStr">
        <is>
          <t>Which method makes all of a PR's commits one commit on main?</t>
        </is>
      </c>
      <c r="AK21" s="18" t="inlineStr">
        <is>
          <t>A) Rebase and merge B) Fast-forward C) Squash and merge D) Create a merge commit</t>
        </is>
      </c>
      <c r="AL21" s="18" t="inlineStr">
        <is>
          <t>C</t>
        </is>
      </c>
      <c r="AM21" s="18" t="inlineStr">
        <is>
          <t>Squash turns all the PR's commits into one commit.</t>
        </is>
      </c>
      <c r="AN21" s="18" t="inlineStr">
        <is>
          <t>For a straight history that keeps every PR commit you choose ____ and merge → rebase</t>
        </is>
      </c>
      <c r="AO21" s="18" t="inlineStr">
        <is>
          <t>Which method would you choose for a small team that wants clean history? → Squash and merge</t>
        </is>
      </c>
      <c r="AP21" s="18" t="inlineStr">
        <is>
          <t>Explain the difference between the three methods in three lines.</t>
        </is>
      </c>
      <c r="AQ21" s="18" t="inlineStr">
        <is>
          <t>Choose a merge method for your team and write why.</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67.5" customHeight="1">
      <c r="A22" s="17" t="inlineStr">
        <is>
          <t>GIT-062</t>
        </is>
      </c>
      <c r="B22" s="17" t="inlineStr">
        <is>
          <t>07 GitHub Platform</t>
        </is>
      </c>
      <c r="C22" s="17" t="inlineStr">
        <is>
          <t>Intermediate</t>
        </is>
      </c>
      <c r="D22" s="17" t="n">
        <v>62</v>
      </c>
      <c r="E22" s="17" t="inlineStr">
        <is>
          <t>Claude knowledge</t>
        </is>
      </c>
      <c r="F22" s="18" t="inlineStr">
        <is>
          <t>GitHub Codespaces</t>
        </is>
      </c>
      <c r="G22" s="18" t="inlineStr">
        <is>
          <t>Which GitHub cloud feature opens a full coding environment right in the browser?</t>
        </is>
      </c>
      <c r="H22" s="18" t="inlineStr">
        <is>
          <t>GitHub feature</t>
        </is>
      </c>
      <c r="I22" s="18" t="inlineStr">
        <is>
          <t>Low</t>
        </is>
      </c>
      <c r="J22" s="18" t="n">
        <v>3</v>
      </c>
      <c r="K22" s="18" t="inlineStr">
        <is>
          <t>Setting up a project used to take a new developer hours, so Codespaces opens a ready-made environment in the cloud together with the repository.</t>
        </is>
      </c>
      <c r="L22" s="18" t="inlineStr">
        <is>
          <t>Describe the setup in devcontainer.json so everyone gets the same environment.</t>
        </is>
      </c>
      <c r="M22" s="18" t="inlineStr">
        <is>
          <t>A codespace is a ready workshop whose key comes along with the repo.</t>
        </is>
      </c>
      <c r="N22" s="18" t="inlineStr">
        <is>
          <t>A full editor and terminal are open in a browser tab.</t>
        </is>
      </c>
      <c r="O22" s="18" t="inlineStr">
        <is>
          <t>The joy of starting work without any setup hassle.</t>
        </is>
      </c>
      <c r="P22" s="18" t="inlineStr">
        <is>
          <t>Codespaces is a development environment in the cloud that is built from a repository and opened in a browser or VS Code.</t>
        </is>
      </c>
      <c r="Q22" s="17" t="n"/>
      <c r="R22" s="18" t="inlineStr">
        <is>
          <t>The repo's devcontainer.json says which tools and extensions are needed. A codespace runs on a virtual machine with a terminal and an editor. It can be stopped or deleted, and plans give some free time.</t>
        </is>
      </c>
      <c r="S22" s="18" t="inlineStr">
        <is>
          <t>Open a codespace from a repo and a full environment is ready in moments. New contributors are spared the pain of setup.</t>
        </is>
      </c>
      <c r="T22" s="18" t="inlineStr">
        <is>
          <t>It is like a ready workshop with every tool already laid out.</t>
        </is>
      </c>
      <c r="U22" s="18" t="inlineStr">
        <is>
          <t>Repo + devcontainer.json → Codespace</t>
        </is>
      </c>
      <c r="V22" s="18" t="inlineStr">
        <is>
          <t>A new intern runs the project on day one with no setup.</t>
        </is>
      </c>
      <c r="W22" s="18" t="inlineStr">
        <is>
          <t>In a tutorial every student gets the same environment.</t>
        </is>
      </c>
      <c r="X22" s="18" t="inlineStr">
        <is>
          <t>Running a PR in the browser to check it.</t>
        </is>
      </c>
      <c r="Y22" s="18" t="inlineStr">
        <is>
          <t>devcontainer, VS Code, GitHub Actions</t>
        </is>
      </c>
      <c r="Z22" s="18" t="inlineStr">
        <is>
          <t>codespace, devcontainer, VM, extension</t>
        </is>
      </c>
      <c r="AA22" s="18" t="inlineStr">
        <is>
          <t>Onboarding | Tutorials | Quick bug fixes</t>
        </is>
      </c>
      <c r="AB22" s="18" t="inlineStr">
        <is>
          <t>A: A new teammate needs hours to set up. | B: Add a devcontainer.json and Codespaces will do it in one click.</t>
        </is>
      </c>
      <c r="AC22" s="18" t="inlineStr">
        <is>
          <t>✗ Codespaces is only an online editor and cannot run code → ✓ A codespace is a whole virtual machine where the terminal, tools and servers can run</t>
        </is>
      </c>
      <c r="AD22" s="18" t="inlineStr">
        <is>
          <t>Codespaces vs local setup: Codespaces lives in the cloud, a local setup lives on your laptop.</t>
        </is>
      </c>
      <c r="AE22" s="18" t="inlineStr">
        <is>
          <t>Delete old codespaces after use, they can eat your quota.</t>
        </is>
      </c>
      <c r="AF22" s="18" t="inlineStr">
        <is>
          <t>A codespace is a ready workspace in the cloud.</t>
        </is>
      </c>
      <c r="AG22" s="18" t="inlineStr">
        <is>
          <t>Keeping a devcontainer.json in an open-source project so contributors can start at once.</t>
        </is>
      </c>
      <c r="AH22" s="18" t="inlineStr">
        <is>
          <t>An interviewer may ask: What does devcontainer.json do?</t>
        </is>
      </c>
      <c r="AI22" s="18" t="inlineStr">
        <is>
          <t>It is like a ready workshop with every tool laid out.</t>
        </is>
      </c>
      <c r="AJ22" s="18" t="inlineStr">
        <is>
          <t>Which file defines a codespace's environment?</t>
        </is>
      </c>
      <c r="AK22" s="18" t="inlineStr">
        <is>
          <t>A) README.md B) devcontainer.json C) .gitignore D) LICENSE</t>
        </is>
      </c>
      <c r="AL22" s="18" t="inlineStr">
        <is>
          <t>B</t>
        </is>
      </c>
      <c r="AM22" s="18" t="inlineStr">
        <is>
          <t>devcontainer.json lists the tools and extensions.</t>
        </is>
      </c>
      <c r="AN22" s="18" t="inlineStr">
        <is>
          <t>Codespaces run in the cloud on a ____ → virtual machine</t>
        </is>
      </c>
      <c r="AO22" s="18" t="inlineStr">
        <is>
          <t>How would you make setup easy for new contributors? → Add devcontainer.json and enable Codespaces</t>
        </is>
      </c>
      <c r="AP22" s="18" t="inlineStr">
        <is>
          <t>Explain in three lines why Codespaces is useful.</t>
        </is>
      </c>
      <c r="AQ22" s="18" t="inlineStr">
        <is>
          <t>Open a codespace for one of your repos and see if the project runs.</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67.5" customHeight="1">
      <c r="A23" s="17" t="inlineStr">
        <is>
          <t>GIT-063</t>
        </is>
      </c>
      <c r="B23" s="17" t="inlineStr">
        <is>
          <t>07 GitHub Platform</t>
        </is>
      </c>
      <c r="C23" s="17" t="inlineStr">
        <is>
          <t>Beginner</t>
        </is>
      </c>
      <c r="D23" s="17" t="n">
        <v>63</v>
      </c>
      <c r="E23" s="17" t="inlineStr">
        <is>
          <t>Claude knowledge</t>
        </is>
      </c>
      <c r="F23" s="18" t="inlineStr">
        <is>
          <t>GitHub Gist</t>
        </is>
      </c>
      <c r="G23" s="18" t="inlineStr">
        <is>
          <t>What is GitHub's way of sharing a small snippet of code or a note quickly without creating a whole repo?</t>
        </is>
      </c>
      <c r="H23" s="18" t="inlineStr">
        <is>
          <t>GitHub feature</t>
        </is>
      </c>
      <c r="I23" s="18" t="inlineStr">
        <is>
          <t>Low</t>
        </is>
      </c>
      <c r="J23" s="18" t="n">
        <v>2</v>
      </c>
      <c r="K23" s="18" t="inlineStr">
        <is>
          <t>A whole repository felt heavy for a tiny snippet, so GitHub made the gist, a light git repo of one or a few files that can be shared by link.</t>
        </is>
      </c>
      <c r="L23" s="18" t="inlineStr">
        <is>
          <t>A secret gist can be seen by anyone with the link, so do not treat it as private.</t>
        </is>
      </c>
      <c r="M23" s="18" t="inlineStr">
        <is>
          <t>A gist is a small slip on which you write a bit of code and pass it on with a link.</t>
        </is>
      </c>
      <c r="N23" s="18" t="inlineStr">
        <is>
          <t>A small note holding a few lines of code and a share link.</t>
        </is>
      </c>
      <c r="O23" s="18" t="inlineStr">
        <is>
          <t>The ease of sending a snippet right away.</t>
        </is>
      </c>
      <c r="P23" s="18" t="inlineStr">
        <is>
          <t>A gist is a light git repo for sharing small code snippets or notes through a link.</t>
        </is>
      </c>
      <c r="Q23" s="17" t="n"/>
      <c r="R23" s="18" t="inlineStr">
        <is>
          <t>A gist can be public or secret. A secret gist does not show in search, but anyone with the link can view it, so it is not truly private. A gist keeps versions and comments, and can also be cloned with git.</t>
        </is>
      </c>
      <c r="S23" s="18" t="inlineStr">
        <is>
          <t>With a gist you share a few lines of code or notes through one link. You do not need a whole repo.</t>
        </is>
      </c>
      <c r="T23" s="18" t="inlineStr">
        <is>
          <t>It is like writing a snippet on a slip and handing it to a friend.</t>
        </is>
      </c>
      <c r="U23" s="18" t="inlineStr">
        <is>
          <t>Write the snippet → make a gist → share the link</t>
        </is>
      </c>
      <c r="V23" s="18" t="inlineStr">
        <is>
          <t>Sending a small script to a friend by link.</t>
        </is>
      </c>
      <c r="W23" s="18" t="inlineStr">
        <is>
          <t>Embedding a config snippet in a blog.</t>
        </is>
      </c>
      <c r="X23" s="18" t="inlineStr">
        <is>
          <t>Sharing an error log with a support team.</t>
        </is>
      </c>
      <c r="Y23" s="18" t="inlineStr">
        <is>
          <t>repository, snippets, embed</t>
        </is>
      </c>
      <c r="Z23" s="18" t="inlineStr">
        <is>
          <t>gist, snippet, secret, public</t>
        </is>
      </c>
      <c r="AA23" s="18" t="inlineStr">
        <is>
          <t>Snippet sharing | Bug reports | Blog posts</t>
        </is>
      </c>
      <c r="AB23" s="18" t="inlineStr">
        <is>
          <t>A: How do I send this little script? | B: Make a gist and send the link.</t>
        </is>
      </c>
      <c r="AC23" s="18" t="inlineStr">
        <is>
          <t>✗ A secret gist is private and only I can see it → ✓ A secret gist can be seen by anyone with the link, it is only hidden from search</t>
        </is>
      </c>
      <c r="AD23" s="18" t="inlineStr">
        <is>
          <t>Gist vs repo: a gist is light for small snippets, a repo is for a whole project.</t>
        </is>
      </c>
      <c r="AE23" s="18" t="inlineStr">
        <is>
          <t>Do not put secrets or passwords in a gist.</t>
        </is>
      </c>
      <c r="AF23" s="18" t="inlineStr">
        <is>
          <t>A gist is a quick-share fragment.</t>
        </is>
      </c>
      <c r="AG23" s="18" t="inlineStr">
        <is>
          <t>Putting a small config file in a gist and sending the link to support.</t>
        </is>
      </c>
      <c r="AH23" s="18" t="inlineStr">
        <is>
          <t>An interviewer may ask: What is the difference between a secret gist and a private repo?</t>
        </is>
      </c>
      <c r="AI23" s="18" t="inlineStr">
        <is>
          <t>It is like writing a snippet on a slip and handing it to a friend.</t>
        </is>
      </c>
      <c r="AJ23" s="18" t="inlineStr">
        <is>
          <t>Which statement about a secret gist is true?</t>
        </is>
      </c>
      <c r="AK23" s="18" t="inlineStr">
        <is>
          <t>A) Only I can see it B) Nobody can see it C) It shows to everyone in search D) Anyone with the link can see it</t>
        </is>
      </c>
      <c r="AL23" s="18" t="inlineStr">
        <is>
          <t>D</t>
        </is>
      </c>
      <c r="AM23" s="18" t="inlineStr">
        <is>
          <t>A secret gist is unlisted and opens through its link.</t>
        </is>
      </c>
      <c r="AN23" s="18" t="inlineStr">
        <is>
          <t>To share a small snippet without a repo, you make a ____ → gist</t>
        </is>
      </c>
      <c r="AO23" s="18" t="inlineStr">
        <is>
          <t>How do you share a config snippet without a repo? → Make a gist and send the link</t>
        </is>
      </c>
      <c r="AP23" s="18" t="inlineStr">
        <is>
          <t>Explain the difference between a gist and a repo in three lines.</t>
        </is>
      </c>
      <c r="AQ23" s="18" t="inlineStr">
        <is>
          <t>Put a small script in a gist and write down its link.</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67.5" customHeight="1">
      <c r="A24" s="17" t="inlineStr">
        <is>
          <t>GIT-065</t>
        </is>
      </c>
      <c r="B24" s="17" t="inlineStr">
        <is>
          <t>02 Branching &amp; Merging</t>
        </is>
      </c>
      <c r="C24" s="17" t="inlineStr">
        <is>
          <t>Advanced</t>
        </is>
      </c>
      <c r="D24" s="17" t="n">
        <v>65</v>
      </c>
      <c r="E24" s="17" t="inlineStr">
        <is>
          <t>Claude knowledge</t>
        </is>
      </c>
      <c r="F24" s="18" t="inlineStr">
        <is>
          <t>Detached HEAD</t>
        </is>
      </c>
      <c r="G24" s="18" t="inlineStr">
        <is>
          <t>Git says you are in detached HEAD state. What does it mean, and how do you save work done there?</t>
        </is>
      </c>
      <c r="H24" s="18" t="inlineStr">
        <is>
          <t>Git situation</t>
        </is>
      </c>
      <c r="I24" s="18" t="inlineStr">
        <is>
          <t>Medium</t>
        </is>
      </c>
      <c r="J24" s="18" t="n">
        <v>4</v>
      </c>
      <c r="K24" s="18" t="inlineStr">
        <is>
          <t>HEAD normally points to a branch, but going straight to an old commit or tag leaves HEAD on no branch, and that is called a detached HEAD.</t>
        </is>
      </c>
      <c r="L24" s="18" t="inlineStr">
        <is>
          <t>If you did work there, run git switch -c name at once to make a branch.</t>
        </is>
      </c>
      <c r="M24" s="18" t="inlineStr">
        <is>
          <t>A detached HEAD is a kite whose string was cut from the branch.</t>
        </is>
      </c>
      <c r="N24" s="18" t="inlineStr">
        <is>
          <t>A kite whose string is cut flies alone in the wind.</t>
        </is>
      </c>
      <c r="O24" s="18" t="inlineStr">
        <is>
          <t>A first scare that turns into a feeling of control once you understand.</t>
        </is>
      </c>
      <c r="P24" s="18" t="inlineStr">
        <is>
          <t>A detached HEAD is when HEAD points straight to a commit and not to a branch.</t>
        </is>
      </c>
      <c r="Q24" s="17" t="n"/>
      <c r="R24" s="18" t="inlineStr">
        <is>
          <t>New commits there belong to no branch, so you may forget them when you switch away. To save the work, run git switch -c new-name. For just looking, this state is perfectly fine. To return, run git switch main.</t>
        </is>
      </c>
      <c r="S24" s="18" t="inlineStr">
        <is>
          <t>Going to an old commit takes HEAD off the branch. Only look there or make a new branch, or new commits may be lost.</t>
        </is>
      </c>
      <c r="T24" s="18" t="inlineStr">
        <is>
          <t>It is like tying a kite whose string was cut to a post straight away.</t>
        </is>
      </c>
      <c r="U24" s="18" t="inlineStr">
        <is>
          <t>Work done in detached HEAD → git switch -c new-branch</t>
        </is>
      </c>
      <c r="V24" s="18" t="inlineStr">
        <is>
          <t>Viewing an old version with git switch --detach v1.0.0.</t>
        </is>
      </c>
      <c r="W24" s="18" t="inlineStr">
        <is>
          <t>Reaching a commit with git checkout 8b7d1e2.</t>
        </is>
      </c>
      <c r="X24" s="18" t="inlineStr">
        <is>
          <t>Committing in the detached state and saving it with git switch -c rescue.</t>
        </is>
      </c>
      <c r="Y24" s="18" t="inlineStr">
        <is>
          <t>HEAD, git switch, git reflog</t>
        </is>
      </c>
      <c r="Z24" s="18" t="inlineStr">
        <is>
          <t>HEAD, detached, checkout, switch, reflog</t>
        </is>
      </c>
      <c r="AA24" s="18" t="inlineStr">
        <is>
          <t>Viewing an old version | Bisect | Going to a tag</t>
        </is>
      </c>
      <c r="AB24" s="18" t="inlineStr">
        <is>
          <t>A: Git says detached HEAD and I already committed. | B: Run git switch -c rescue straight away so the commit is saved.</t>
        </is>
      </c>
      <c r="AC24" s="18" t="inlineStr">
        <is>
          <t>✗ Detached HEAD means the repo is broken → ✓ It is a normal state: look around freely, and make a new branch to keep any work</t>
        </is>
      </c>
      <c r="AD24" s="18" t="inlineStr">
        <is>
          <t>Detached HEAD vs being on a branch: on a branch new commits move the branch forward, in a detached state they move no branch.</t>
        </is>
      </c>
      <c r="AE24" s="18" t="inlineStr">
        <is>
          <t>Do not switch branches after committing in a detached state without making a branch first.</t>
        </is>
      </c>
      <c r="AF24" s="18" t="inlineStr">
        <is>
          <t>Detached means the string is cut, so make a branch.</t>
        </is>
      </c>
      <c r="AG24" s="18" t="inlineStr">
        <is>
          <t>Going to an old release tag in detached HEAD to reproduce a bug.</t>
        </is>
      </c>
      <c r="AH24" s="18" t="inlineStr">
        <is>
          <t>An interviewer may ask: How do you save work done in a detached HEAD?</t>
        </is>
      </c>
      <c r="AI24" s="18" t="inlineStr">
        <is>
          <t>It is like tying a loose kite to a post right away.</t>
        </is>
      </c>
      <c r="AJ24" s="18" t="inlineStr">
        <is>
          <t>How do you save a commit made in a detached HEAD?</t>
        </is>
      </c>
      <c r="AK24" s="18" t="inlineStr">
        <is>
          <t>A) git init B) git remote add C) git switch -c new-branch D) Delete the repo</t>
        </is>
      </c>
      <c r="AL24" s="18" t="inlineStr">
        <is>
          <t>C</t>
        </is>
      </c>
      <c r="AM24" s="18" t="inlineStr">
        <is>
          <t>A new branch makes the commit part of that branch.</t>
        </is>
      </c>
      <c r="AN24" s="18" t="inlineStr">
        <is>
          <t>To go back to main from a detached HEAD, run git ____ main → switch</t>
        </is>
      </c>
      <c r="AO24" s="18" t="inlineStr">
        <is>
          <t>What do you do if you only want to look at an old commit? → Look in detached HEAD and return with git switch main</t>
        </is>
      </c>
      <c r="AP24" s="18" t="inlineStr">
        <is>
          <t>Explain in three lines what a detached HEAD is.</t>
        </is>
      </c>
      <c r="AQ24" s="18" t="inlineStr">
        <is>
          <t>Go to an old commit, make a commit, and save it by making a branch.</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sheetData>
  <autoFilter ref="A2:BB24"/>
  <mergeCells count="6">
    <mergeCell ref="F1:O1"/>
    <mergeCell ref="AT1:BB1"/>
    <mergeCell ref="AR1:AS1"/>
    <mergeCell ref="A1:E1"/>
    <mergeCell ref="AJ1:AQ1"/>
    <mergeCell ref="P1:AI1"/>
  </mergeCells>
  <dataValidations count="2">
    <dataValidation sqref="AT3:AT24" showDropDown="0" showInputMessage="0" showErrorMessage="0" allowBlank="1" type="list">
      <formula1>"New,Learning,Known"</formula1>
    </dataValidation>
    <dataValidation sqref="BA3:BA24"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GIT-001</t>
        </is>
      </c>
    </row>
    <row r="4">
      <c r="A4" s="23" t="inlineStr">
        <is>
          <t>FRONT · Recognition (pehchano)</t>
        </is>
      </c>
    </row>
    <row r="5" ht="30" customHeight="1">
      <c r="A5" s="24" t="inlineStr">
        <is>
          <t>ID</t>
        </is>
      </c>
      <c r="B5" s="17">
        <f>INDEX('Topic (56-pt) cards'!$A$3:$BB$24,MATCH($B$2,'Topic (56-pt) cards'!$A$3:$A$24,0),MATCH("ID",'Topic (56-pt) cards'!$A$2:$BB$2,0))&amp;""</f>
        <v/>
      </c>
    </row>
    <row r="6" ht="30" customHeight="1">
      <c r="A6" s="24" t="inlineStr">
        <is>
          <t>Topic</t>
        </is>
      </c>
      <c r="B6" s="17">
        <f>INDEX('Topic (56-pt) cards'!$A$3:$BB$24,MATCH($B$2,'Topic (56-pt) cards'!$A$3:$A$24,0),MATCH("Topic",'Topic (56-pt) cards'!$A$2:$BB$2,0))&amp;""</f>
        <v/>
      </c>
    </row>
    <row r="7" ht="30" customHeight="1">
      <c r="A7" s="24" t="inlineStr">
        <is>
          <t>Level</t>
        </is>
      </c>
      <c r="B7" s="17">
        <f>INDEX('Topic (56-pt) cards'!$A$3:$BB$24,MATCH($B$2,'Topic (56-pt) cards'!$A$3:$A$24,0),MATCH("Level",'Topic (56-pt) cards'!$A$2:$BB$2,0))&amp;""</f>
        <v/>
      </c>
    </row>
    <row r="8" ht="30" customHeight="1">
      <c r="A8" s="24" t="inlineStr">
        <is>
          <t>Term / topic</t>
        </is>
      </c>
      <c r="B8" s="17">
        <f>INDEX('Topic (56-pt) cards'!$A$3:$BB$24,MATCH($B$2,'Topic (56-pt) cards'!$A$3:$A$24,0),MATCH("Term / topic",'Topic (56-pt) cards'!$A$2:$BB$2,0))&amp;""</f>
        <v/>
      </c>
    </row>
    <row r="9" ht="30" customHeight="1">
      <c r="A9" s="24" t="inlineStr">
        <is>
          <t>Recall cue</t>
        </is>
      </c>
      <c r="B9" s="17">
        <f>INDEX('Topic (56-pt) cards'!$A$3:$BB$24,MATCH($B$2,'Topic (56-pt) cards'!$A$3:$A$24,0),MATCH("Recall cue",'Topic (56-pt) cards'!$A$2:$BB$2,0))&amp;""</f>
        <v/>
      </c>
    </row>
    <row r="10" ht="30" customHeight="1">
      <c r="A10" s="24" t="inlineStr">
        <is>
          <t>Category</t>
        </is>
      </c>
      <c r="B10" s="17">
        <f>INDEX('Topic (56-pt) cards'!$A$3:$BB$24,MATCH($B$2,'Topic (56-pt) cards'!$A$3:$A$24,0),MATCH("Category",'Topic (56-pt) cards'!$A$2:$BB$2,0))&amp;""</f>
        <v/>
      </c>
    </row>
    <row r="11" ht="30" customHeight="1">
      <c r="A11" s="24" t="inlineStr">
        <is>
          <t>How often used</t>
        </is>
      </c>
      <c r="B11" s="17">
        <f>INDEX('Topic (56-pt) cards'!$A$3:$BB$24,MATCH($B$2,'Topic (56-pt) cards'!$A$3:$A$24,0),MATCH("How often used",'Topic (56-pt) cards'!$A$2:$BB$2,0))&amp;""</f>
        <v/>
      </c>
    </row>
    <row r="12" ht="30" customHeight="1">
      <c r="A12" s="24" t="inlineStr">
        <is>
          <t>Importance (1-5)</t>
        </is>
      </c>
      <c r="B12" s="17">
        <f>INDEX('Topic (56-pt) cards'!$A$3:$BB$24,MATCH($B$2,'Topic (56-pt) cards'!$A$3:$A$24,0),MATCH("Importance (1-5)",'Topic (56-pt) cards'!$A$2:$BB$2,0))&amp;""</f>
        <v/>
      </c>
    </row>
    <row r="13" ht="30" customHeight="1">
      <c r="A13" s="24" t="inlineStr">
        <is>
          <t>Origin / why it exists</t>
        </is>
      </c>
      <c r="B13" s="17">
        <f>INDEX('Topic (56-pt) cards'!$A$3:$BB$24,MATCH($B$2,'Topic (56-pt) cards'!$A$3:$A$24,0),MATCH("Origin / why it exists",'Topic (56-pt) cards'!$A$2:$BB$2,0))&amp;""</f>
        <v/>
      </c>
    </row>
    <row r="14" ht="30" customHeight="1">
      <c r="A14" s="24" t="inlineStr">
        <is>
          <t>Pro tip</t>
        </is>
      </c>
      <c r="B14" s="17">
        <f>INDEX('Topic (56-pt) cards'!$A$3:$BB$24,MATCH($B$2,'Topic (56-pt) cards'!$A$3:$A$24,0),MATCH("Pro tip",'Topic (56-pt) cards'!$A$2:$BB$2,0))&amp;""</f>
        <v/>
      </c>
    </row>
    <row r="15" ht="30" customHeight="1">
      <c r="A15" s="24" t="inlineStr">
        <is>
          <t>Memory story</t>
        </is>
      </c>
      <c r="B15" s="17">
        <f>INDEX('Topic (56-pt) cards'!$A$3:$BB$24,MATCH($B$2,'Topic (56-pt) cards'!$A$3:$A$24,0),MATCH("Memory story",'Topic (56-pt) cards'!$A$2:$BB$2,0))&amp;""</f>
        <v/>
      </c>
    </row>
    <row r="16" ht="30" customHeight="1">
      <c r="A16" s="24" t="inlineStr">
        <is>
          <t>Picture it</t>
        </is>
      </c>
      <c r="B16" s="17">
        <f>INDEX('Topic (56-pt) cards'!$A$3:$BB$24,MATCH($B$2,'Topic (56-pt) cards'!$A$3:$A$24,0),MATCH("Picture it",'Topic (56-pt) cards'!$A$2:$BB$2,0))&amp;""</f>
        <v/>
      </c>
    </row>
    <row r="17" ht="30" customHeight="1">
      <c r="A17" s="24" t="inlineStr">
        <is>
          <t>Emotion hook</t>
        </is>
      </c>
      <c r="B17" s="17">
        <f>INDEX('Topic (56-pt) cards'!$A$3:$BB$24,MATCH($B$2,'Topic (56-pt) cards'!$A$3:$A$24,0),MATCH("Emotion hook",'Topic (56-pt) cards'!$A$2:$BB$2,0))&amp;""</f>
        <v/>
      </c>
    </row>
    <row r="18" ht="30" customHeight="1">
      <c r="A18" s="24" t="inlineStr">
        <is>
          <t>Importance ★</t>
        </is>
      </c>
      <c r="B18" s="17">
        <f>INDEX('Topic (56-pt) cards'!$A$3:$BB$24,MATCH($B$2,'Topic (56-pt) cards'!$A$3:$A$24,0),MATCH("Importance ★",'Topic (56-pt) cards'!$A$2:$BB$2,0))&amp;""</f>
        <v/>
      </c>
    </row>
    <row r="19">
      <c r="A19" s="25" t="inlineStr">
        <is>
          <t>BACK · Understanding (samjho)</t>
        </is>
      </c>
    </row>
    <row r="20" ht="30" customHeight="1">
      <c r="A20" s="24" t="inlineStr">
        <is>
          <t>Definition (simple)</t>
        </is>
      </c>
      <c r="B20" s="17">
        <f>INDEX('Topic (56-pt) cards'!$A$3:$BB$24,MATCH($B$2,'Topic (56-pt) cards'!$A$3:$A$24,0),MATCH("Definition (simple)",'Topic (56-pt) cards'!$A$2:$BB$2,0))&amp;""</f>
        <v/>
      </c>
    </row>
    <row r="21" ht="30" customHeight="1">
      <c r="A21" s="24" t="inlineStr">
        <is>
          <t>Meaning in learner's language</t>
        </is>
      </c>
      <c r="B21" s="17">
        <f>INDEX('Topic (56-pt) cards'!$A$3:$BB$24,MATCH($B$2,'Topic (56-pt) cards'!$A$3:$A$24,0),MATCH("Meaning in learner's language",'Topic (56-pt) cards'!$A$2:$BB$2,0))&amp;""</f>
        <v/>
      </c>
    </row>
    <row r="22" ht="40.5" customHeight="1">
      <c r="A22" s="24" t="inlineStr">
        <is>
          <t>How / why it works</t>
        </is>
      </c>
      <c r="B22" s="17">
        <f>INDEX('Topic (56-pt) cards'!$A$3:$BB$24,MATCH($B$2,'Topic (56-pt) cards'!$A$3:$A$24,0),MATCH("How / why it works",'Topic (56-pt) cards'!$A$2:$BB$2,0))&amp;""</f>
        <v/>
      </c>
    </row>
    <row r="23" ht="30" customHeight="1">
      <c r="A23" s="24" t="inlineStr">
        <is>
          <t>Simple explanation (Hinglish)</t>
        </is>
      </c>
      <c r="B23" s="17">
        <f>INDEX('Topic (56-pt) cards'!$A$3:$BB$24,MATCH($B$2,'Topic (56-pt) cards'!$A$3:$A$24,0),MATCH("Simple explanation (Hinglish)",'Topic (56-pt) cards'!$A$2:$BB$2,0))&amp;""</f>
        <v/>
      </c>
    </row>
    <row r="24" ht="30" customHeight="1">
      <c r="A24" s="24" t="inlineStr">
        <is>
          <t>Real-life analogy</t>
        </is>
      </c>
      <c r="B24" s="17">
        <f>INDEX('Topic (56-pt) cards'!$A$3:$BB$24,MATCH($B$2,'Topic (56-pt) cards'!$A$3:$A$24,0),MATCH("Real-life analogy",'Topic (56-pt) cards'!$A$2:$BB$2,0))&amp;""</f>
        <v/>
      </c>
    </row>
    <row r="25" ht="30" customHeight="1">
      <c r="A25" s="24" t="inlineStr">
        <is>
          <t>Formula / rule</t>
        </is>
      </c>
      <c r="B25" s="17">
        <f>INDEX('Topic (56-pt) cards'!$A$3:$BB$24,MATCH($B$2,'Topic (56-pt) cards'!$A$3:$A$24,0),MATCH("Formula / rule",'Topic (56-pt) cards'!$A$2:$BB$2,0))&amp;""</f>
        <v/>
      </c>
    </row>
    <row r="26" ht="30" customHeight="1">
      <c r="A26" s="24" t="inlineStr">
        <is>
          <t>Example 1</t>
        </is>
      </c>
      <c r="B26" s="17">
        <f>INDEX('Topic (56-pt) cards'!$A$3:$BB$24,MATCH($B$2,'Topic (56-pt) cards'!$A$3:$A$24,0),MATCH("Example 1",'Topic (56-pt) cards'!$A$2:$BB$2,0))&amp;""</f>
        <v/>
      </c>
    </row>
    <row r="27" ht="30" customHeight="1">
      <c r="A27" s="24" t="inlineStr">
        <is>
          <t>Example 2</t>
        </is>
      </c>
      <c r="B27" s="17">
        <f>INDEX('Topic (56-pt) cards'!$A$3:$BB$24,MATCH($B$2,'Topic (56-pt) cards'!$A$3:$A$24,0),MATCH("Example 2",'Topic (56-pt) cards'!$A$2:$BB$2,0))&amp;""</f>
        <v/>
      </c>
    </row>
    <row r="28" ht="30" customHeight="1">
      <c r="A28" s="24" t="inlineStr">
        <is>
          <t>Example 3</t>
        </is>
      </c>
      <c r="B28" s="17">
        <f>INDEX('Topic (56-pt) cards'!$A$3:$BB$24,MATCH($B$2,'Topic (56-pt) cards'!$A$3:$A$24,0),MATCH("Example 3",'Topic (56-pt) cards'!$A$2:$BB$2,0))&amp;""</f>
        <v/>
      </c>
    </row>
    <row r="29" ht="30" customHeight="1">
      <c r="A29" s="24" t="inlineStr">
        <is>
          <t>Related concepts</t>
        </is>
      </c>
      <c r="B29" s="17">
        <f>INDEX('Topic (56-pt) cards'!$A$3:$BB$24,MATCH($B$2,'Topic (56-pt) cards'!$A$3:$A$24,0),MATCH("Related concepts",'Topic (56-pt) cards'!$A$2:$BB$2,0))&amp;""</f>
        <v/>
      </c>
    </row>
    <row r="30" ht="30" customHeight="1">
      <c r="A30" s="24" t="inlineStr">
        <is>
          <t>Family / group</t>
        </is>
      </c>
      <c r="B30" s="17">
        <f>INDEX('Topic (56-pt) cards'!$A$3:$BB$24,MATCH($B$2,'Topic (56-pt) cards'!$A$3:$A$24,0),MATCH("Family / group",'Topic (56-pt) cards'!$A$2:$BB$2,0))&amp;""</f>
        <v/>
      </c>
    </row>
    <row r="31" ht="30" customHeight="1">
      <c r="A31" s="24" t="inlineStr">
        <is>
          <t>Where it is used</t>
        </is>
      </c>
      <c r="B31" s="17">
        <f>INDEX('Topic (56-pt) cards'!$A$3:$BB$24,MATCH($B$2,'Topic (56-pt) cards'!$A$3:$A$24,0),MATCH("Where it is used",'Topic (56-pt) cards'!$A$2:$BB$2,0))&amp;""</f>
        <v/>
      </c>
    </row>
    <row r="32" ht="30" customHeight="1">
      <c r="A32" s="24" t="inlineStr">
        <is>
          <t>Mini conversation</t>
        </is>
      </c>
      <c r="B32" s="17">
        <f>INDEX('Topic (56-pt) cards'!$A$3:$BB$24,MATCH($B$2,'Topic (56-pt) cards'!$A$3:$A$24,0),MATCH("Mini conversation",'Topic (56-pt) cards'!$A$2:$BB$2,0))&amp;""</f>
        <v/>
      </c>
    </row>
    <row r="33" ht="30" customHeight="1">
      <c r="A33" s="24" t="inlineStr">
        <is>
          <t>Common mistake</t>
        </is>
      </c>
      <c r="B33" s="17">
        <f>INDEX('Topic (56-pt) cards'!$A$3:$BB$24,MATCH($B$2,'Topic (56-pt) cards'!$A$3:$A$24,0),MATCH("Common mistake",'Topic (56-pt) cards'!$A$2:$BB$2,0))&amp;""</f>
        <v/>
      </c>
    </row>
    <row r="34" ht="30" customHeight="1">
      <c r="A34" s="24" t="inlineStr">
        <is>
          <t>Don't confuse with</t>
        </is>
      </c>
      <c r="B34" s="17">
        <f>INDEX('Topic (56-pt) cards'!$A$3:$BB$24,MATCH($B$2,'Topic (56-pt) cards'!$A$3:$A$24,0),MATCH("Don't confuse with",'Topic (56-pt) cards'!$A$2:$BB$2,0))&amp;""</f>
        <v/>
      </c>
    </row>
    <row r="35" ht="30" customHeight="1">
      <c r="A35" s="24" t="inlineStr">
        <is>
          <t>Avoid / don't</t>
        </is>
      </c>
      <c r="B35" s="17">
        <f>INDEX('Topic (56-pt) cards'!$A$3:$BB$24,MATCH($B$2,'Topic (56-pt) cards'!$A$3:$A$24,0),MATCH("Avoid / don't",'Topic (56-pt) cards'!$A$2:$BB$2,0))&amp;""</f>
        <v/>
      </c>
    </row>
    <row r="36" ht="30" customHeight="1">
      <c r="A36" s="24" t="inlineStr">
        <is>
          <t>Memory trick</t>
        </is>
      </c>
      <c r="B36" s="17">
        <f>INDEX('Topic (56-pt) cards'!$A$3:$BB$24,MATCH($B$2,'Topic (56-pt) cards'!$A$3:$A$24,0),MATCH("Memory trick",'Topic (56-pt) cards'!$A$2:$BB$2,0))&amp;""</f>
        <v/>
      </c>
    </row>
    <row r="37" ht="30" customHeight="1">
      <c r="A37" s="24" t="inlineStr">
        <is>
          <t>Real life: project / work</t>
        </is>
      </c>
      <c r="B37" s="17">
        <f>INDEX('Topic (56-pt) cards'!$A$3:$BB$24,MATCH($B$2,'Topic (56-pt) cards'!$A$3:$A$24,0),MATCH("Real life: project / work",'Topic (56-pt) cards'!$A$2:$BB$2,0))&amp;""</f>
        <v/>
      </c>
    </row>
    <row r="38" ht="30" customHeight="1">
      <c r="A38" s="24" t="inlineStr">
        <is>
          <t>Real life: interview / exam</t>
        </is>
      </c>
      <c r="B38" s="17">
        <f>INDEX('Topic (56-pt) cards'!$A$3:$BB$24,MATCH($B$2,'Topic (56-pt) cards'!$A$3:$A$24,0),MATCH("Real life: interview / exam",'Topic (56-pt) cards'!$A$2:$BB$2,0))&amp;""</f>
        <v/>
      </c>
    </row>
    <row r="39" ht="30" customHeight="1">
      <c r="A39" s="24" t="inlineStr">
        <is>
          <t>Real life: daily life</t>
        </is>
      </c>
      <c r="B39" s="17">
        <f>INDEX('Topic (56-pt) cards'!$A$3:$BB$24,MATCH($B$2,'Topic (56-pt) cards'!$A$3:$A$24,0),MATCH("Real life: daily life",'Topic (56-pt) cards'!$A$2:$BB$2,0))&amp;""</f>
        <v/>
      </c>
    </row>
    <row r="40">
      <c r="A40" s="27" t="inlineStr">
        <is>
          <t>PRACTICE · Khud karo</t>
        </is>
      </c>
    </row>
    <row r="41" ht="30" customHeight="1">
      <c r="A41" s="24" t="inlineStr">
        <is>
          <t>MCQ question</t>
        </is>
      </c>
      <c r="B41" s="17">
        <f>INDEX('Topic (56-pt) cards'!$A$3:$BB$24,MATCH($B$2,'Topic (56-pt) cards'!$A$3:$A$24,0),MATCH("MCQ question",'Topic (56-pt) cards'!$A$2:$BB$2,0))&amp;""</f>
        <v/>
      </c>
    </row>
    <row r="42" ht="30" customHeight="1">
      <c r="A42" s="24" t="inlineStr">
        <is>
          <t>MCQ options</t>
        </is>
      </c>
      <c r="B42" s="17">
        <f>INDEX('Topic (56-pt) cards'!$A$3:$BB$24,MATCH($B$2,'Topic (56-pt) cards'!$A$3:$A$24,0),MATCH("MCQ options",'Topic (56-pt) cards'!$A$2:$BB$2,0))&amp;""</f>
        <v/>
      </c>
    </row>
    <row r="43" ht="30" customHeight="1">
      <c r="A43" s="24" t="inlineStr">
        <is>
          <t>MCQ answer</t>
        </is>
      </c>
      <c r="B43" s="17">
        <f>INDEX('Topic (56-pt) cards'!$A$3:$BB$24,MATCH($B$2,'Topic (56-pt) cards'!$A$3:$A$24,0),MATCH("MCQ answer",'Topic (56-pt) cards'!$A$2:$BB$2,0))&amp;""</f>
        <v/>
      </c>
    </row>
    <row r="44" ht="30" customHeight="1">
      <c r="A44" s="24" t="inlineStr">
        <is>
          <t>Why that answer</t>
        </is>
      </c>
      <c r="B44" s="17">
        <f>INDEX('Topic (56-pt) cards'!$A$3:$BB$24,MATCH($B$2,'Topic (56-pt) cards'!$A$3:$A$24,0),MATCH("Why that answer",'Topic (56-pt) cards'!$A$2:$BB$2,0))&amp;""</f>
        <v/>
      </c>
    </row>
    <row r="45" ht="30" customHeight="1">
      <c r="A45" s="24" t="inlineStr">
        <is>
          <t>Fill the blank</t>
        </is>
      </c>
      <c r="B45" s="17">
        <f>INDEX('Topic (56-pt) cards'!$A$3:$BB$24,MATCH($B$2,'Topic (56-pt) cards'!$A$3:$A$24,0),MATCH("Fill the blank",'Topic (56-pt) cards'!$A$2:$BB$2,0))&amp;""</f>
        <v/>
      </c>
    </row>
    <row r="46" ht="30" customHeight="1">
      <c r="A46" s="24" t="inlineStr">
        <is>
          <t>Apply it</t>
        </is>
      </c>
      <c r="B46" s="17">
        <f>INDEX('Topic (56-pt) cards'!$A$3:$BB$24,MATCH($B$2,'Topic (56-pt) cards'!$A$3:$A$24,0),MATCH("Apply it",'Topic (56-pt) cards'!$A$2:$BB$2,0))&amp;""</f>
        <v/>
      </c>
    </row>
    <row r="47" ht="30" customHeight="1">
      <c r="A47" s="24" t="inlineStr">
        <is>
          <t>Explain it yourself</t>
        </is>
      </c>
      <c r="B47" s="17">
        <f>INDEX('Topic (56-pt) cards'!$A$3:$BB$24,MATCH($B$2,'Topic (56-pt) cards'!$A$3:$A$24,0),MATCH("Explain it yourself",'Topic (56-pt) cards'!$A$2:$BB$2,0))&amp;""</f>
        <v/>
      </c>
    </row>
    <row r="48" ht="30" customHeight="1">
      <c r="A48" s="24" t="inlineStr">
        <is>
          <t>Write your own</t>
        </is>
      </c>
      <c r="B48" s="17">
        <f>INDEX('Topic (56-pt) cards'!$A$3:$BB$24,MATCH($B$2,'Topic (56-pt) cards'!$A$3:$A$24,0),MATCH("Write your own",'Topic (56-pt) cards'!$A$2:$BB$2,0))&amp;""</f>
        <v/>
      </c>
    </row>
    <row r="49" ht="30" customHeight="1">
      <c r="A49" s="24" t="inlineStr">
        <is>
          <t>Quick recall (reverse)</t>
        </is>
      </c>
      <c r="B49" s="17">
        <f>INDEX('Topic (56-pt) cards'!$A$3:$BB$24,MATCH($B$2,'Topic (56-pt) cards'!$A$3:$A$24,0),MATCH("Quick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cards'!$A$3:$A$24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7"/>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GitHub
Which platform lets you store code online, share it, and work on it together with other people?</t>
        </is>
      </c>
      <c r="B2" s="29" t="inlineStr">
        <is>
          <t>DEFINITION (SIMPLE):
GitHub is a website that stores Git repositories online so people can work on code together.
HOW / WHY IT WORKS:
Git keeps the history of your code on your own computer. GitHub keeps that history on the internet, so you have a backup and a team can collaborate through pull requests, issues and reviews.
SIMPLE EXPLANATION (HINGLISH):
Git runs on your laptop and GitHub lives on the internet. You push your code there, and friends can read it or change it with your permission.
REAL-LIFE ANALOGY:
It works like Google Drive, but built for code, with a record of every change and a way to review work.
FORMULA / RULE:
Local work (Git): commit → Send online (GitHub): push → Ask for review: pull request
EXAMPLE 1:
A student keeps a portfolio website on GitHub so recruiters can see it.
EXAMPLE 2:
A contributor fixes a bug in an open-source project and sends a pull request.
EXAMPLE 3:
A team builds separate features on branches and merges them after review.
RELATED CONCEPTS:
Git, repository, branch, pull request
FAMILY / GROUP:
repository, commit, push, pull, fork, issue
WHERE IT IS USED:
Software teams | Open-source projects | Portfolios and job applications
MINI CONVERSATION:
A: My code is only on my laptop, how do I share it with the team? | B: Create a repository on GitHub, push your code, and send them the link.
COMMON MISTAKE:
✗ Git and GitHub are the same thing → ✓ Git is a tool that runs on your computer, while GitHub is a website built around it (GitLab and Bitbucket are alternatives)
DON'T CONFUSE WITH:
GitHub vs Git: Git is the version control tool, GitHub is the online platform that hosts it.
AVOID / DON'T:
Never commit passwords, API keys or private tokens to a repository.
MEMORY TRICK:
Git keeps the history, and Hub is where everyone meets.
REAL LIFE: PROJECT / WORK:
Keeping the team code on GitHub, reviewing it through pull requests, and then merging it into the main branch.
REAL LIFE: INTERVIEW / EXAM:
An interviewer may ask: What is the difference between Git and GitHub, and what is a pull request?
REAL LIFE: DAILY LIFE:
It is like a shared notebook that records who changed what.</t>
        </is>
      </c>
      <c r="C2" s="29" t="inlineStr">
        <is>
          <t>01_Basics_Beginner_GIT-001</t>
        </is>
      </c>
    </row>
    <row r="3" ht="409" customHeight="1">
      <c r="A3" s="29" t="inlineStr">
        <is>
          <t>Repository (repo)
What do we call the place that holds all of a project's files together with the full history of their changes?</t>
        </is>
      </c>
      <c r="B3" s="29" t="inlineStr">
        <is>
          <t>DEFINITION (SIMPLE):
A repository is a project folder whose files and the record of all their changes are stored together by Git.
HOW / WHY IT WORKS:
A local repository lives on your computer and a remote repository lives on GitHub. You keep them in sync with push and pull. The hidden .git folder inside the project holds the complete history.
SIMPLE EXPLANATION (HINGLISH):
A repository is your project folder as Git sees it. It holds your files and a record of every commit, so you can return to any earlier version.
REAL-LIFE ANALOGY:
Like a book file that keeps a copy of every earlier edit of every page.
FORMULA / RULE:
Repository = project files + .git folder (history)
EXAMPLE 1:
A website folder containing index.html, style.css and a .git folder is a repository.
EXAMPLE 2:
The page github.com/username/notes is a remote repository.
EXAMPLE 3:
A clone of that page on your laptop is a local repository with the full history.
RELATED CONCEPTS:
Git, .git folder, remote, clone
FAMILY / GROUP:
local repo, remote repo, bare repo, monorepo
WHERE IT IS USED:
Every software project | Open-source libraries | Documentation and notes
MINI CONVERSATION:
A: Where is the project code kept? | B: In a GitHub repository, I will send you the link so you can clone it.
COMMON MISTAKE:
✗ A repository is just a folder of files → ✓ A repository also holds the full commit history inside .git, so deleting .git erases the history
DON'T CONFUSE WITH:
Folder vs repository: a folder holds only files, a repository holds files plus their complete history.
AVOID / DON'T:
Do not edit or delete the hidden .git folder by hand.
MEMORY TRICK:
Repo means Remembering Every Past Object.
REAL LIFE: PROJECT / WORK:
Keeping each microservice in its own repository so different teams can release independently.
REAL LIFE: INTERVIEW / EXAM:
An interviewer may ask: What is the difference between a local and a remote repository?
REAL LIFE: DAILY LIFE:
It is like a family album where every year's photos are kept in order.</t>
        </is>
      </c>
      <c r="C3" s="29" t="inlineStr">
        <is>
          <t>01_Basics_Beginner_GIT-002</t>
        </is>
      </c>
    </row>
    <row r="4" ht="409" customHeight="1">
      <c r="A4" s="29" t="inlineStr">
        <is>
          <t>git config
Which setting do you have to make once so that your name and email appear on every commit?
git config --global user.name "Asha Verma"
git config --global user.email "asha@example.com"
git config --global init.defaultBranch main</t>
        </is>
      </c>
      <c r="B4" s="29" t="inlineStr">
        <is>
          <t>MEANING (SHORT):
git config sets or shows Git settings such as your name and email.
CODE:
git config --global user.name "Asha Verma"
git config --global user.email "asha@example.com"
git config --global init.defaultBranch main
OUTPUT:
(no output; the settings are saved in ~/.gitconfig)
EXPLANATION:
Config exists at three levels: system, global (for your user) and local (for one repository). A narrower level overrides a wider one. The name and email are stored on each commit as its author.
SIMPLE EXPLANATION (HINGLISH):
This tells Git who you are. Write it once with --global and every project on your computer will show the same name on commits.
REAL-LIFE ANALOGY:
It is like entering your name and account when you set up a new phone.
SYNTAX PATTERN:
git config [--global|--local|--system] &lt;key&gt; &lt;value&gt;
ANATOMY:
git config = command | --global = for all repos | user.name = key | "Asha Verma" = value
EXAMPLE 1:
git config --global user.name "Asha Verma"
EXAMPLE 2:
git config --local user.email "asha@office.com"
EXAMPLE 3:
git config --list --show-origin
VARIATION:
git config user.name   # show only the name
git config --global --edit   # open the file in an editor
USED WITH:
--global, --local, user.name, user.email
RELATED CONCEPTS:
.gitconfig, git init, git commit
ALTERNATIVES:
Editing the ~/.gitconfig file directly
FAMILY / GROUP:
git config, git init, git clone, git remote, git status
WHERE IT IS USED:
Setting up a new computer | Keeping work and personal email separate | CI machines
MINI CONVERSATION:
A: My commits show the wrong name. | B: Check git config user.name and set the correct name.
COMMON MISTAKE:
✗ git config --global applies to only one repo → ✓ --global applies to every repo for your user account, and --local is the one for a single repo
COMMONLY CONFUSED WITH:
--global vs --local: global applies to all repositories, local applies to the current repository only.
AVOID / DON'T:
Do not commit with your personal email in a work repo without thinking.
WRONG CODE:
git config user.name = Asha
RIGHT CODE:
git config --global user.name "Asha"
MEMORY TRICK:
Global is the whole house, local is just one room.
REAL LIFE: PROJECT / WORK:
Setting the name, email and default branch on a new laptop so commits carry the right author.
REAL LIFE: INTERVIEW / EXAM:
An interviewer may ask: What are the three levels of git config?
REAL LIFE: DAILY LIFE:
It is like setting your name and account once on a new phone.</t>
        </is>
      </c>
      <c r="C4" s="29" t="inlineStr">
        <is>
          <t>01_Basics_Beginner_GIT-003</t>
        </is>
      </c>
    </row>
    <row r="5" ht="409" customHeight="1">
      <c r="A5" s="29" t="inlineStr">
        <is>
          <t>git init
Which command brings an ordinary folder under Git so it can start recording history?
mkdir myapp
cd myapp
git init</t>
        </is>
      </c>
      <c r="B5" s="29" t="inlineStr">
        <is>
          <t>MEANING (SHORT):
git init creates a new, empty Git repository in the current folder.
CODE:
mkdir myapp
cd myapp
git init
OUTPUT:
Initialized empty Git repository in /home/asha/myapp/.git/
EXPLANATION:
It creates a .git folder holding the config, objects and branches. Files are not tracked yet; you add them with git add and git commit.
SIMPLE EXPLANATION (HINGLISH):
Run git init in a folder and Git starts watching it. But no file is tracked yet, so you still have to add your files.
REAL-LIFE ANALOGY:
It is like buying a new diary and writing start on its first page.
SYNTAX PATTERN:
git init [directory]
ANATOMY:
git init = command | [directory] = optional folder name
EXAMPLE 1:
git init
EXAMPLE 2:
git init website-project
EXAMPLE 3:
git init --initial-branch=main
VARIATION:
git init -b main   # name the branch main
git init --bare   # server repo with no working files
USED WITH:
git add, git commit, git remote add
RELATED CONCEPTS:
git clone, .git folder, git status
ALTERNATIVES:
Create a repo on GitHub, then git clone it
FAMILY / GROUP:
git init, git clone, git add, git commit, git status
WHERE IT IS USED:
Starting a new project | Putting an old folder under version control | Tutorials and practice
MINI CONVERSATION:
A: My folder gives an error when I run git status. | B: You probably never ran git init there, so run it first.
COMMON MISTAKE:
✗ After git init your files are tracked automatically → ✓ git init only creates an empty repository, and you track files with git add
COMMONLY CONFUSED WITH:
git init vs git clone: init creates a new empty repo, clone copies an existing repo.
AVOID / DON'T:
Do not run git init again inside a folder that is already a Git repository.
WRONG CODE:
git init myapp.git push
RIGHT CODE:
git init myapp
MEMORY TRICK:
Init is initialize, a brand new start.
REAL LIFE: PROJECT / WORK:
Running git init locally before putting a new side project on GitHub.
REAL LIFE: INTERVIEW / EXAM:
An interviewer may ask: What does git init create inside the .git folder?
REAL LIFE: DAILY LIFE:
It is like writing your name on page one of a new notebook.</t>
        </is>
      </c>
      <c r="C5" s="29" t="inlineStr">
        <is>
          <t>01_Basics_Beginner_GIT-004</t>
        </is>
      </c>
    </row>
    <row r="6" ht="409" customHeight="1">
      <c r="A6" s="29" t="inlineStr">
        <is>
          <t>git clone
How do you bring a whole project and its history from GitHub onto your own computer?
git clone https://github.com/octocat/Hello-World.git
cd Hello-World
git log --oneline -3</t>
        </is>
      </c>
      <c r="B6" s="29" t="inlineStr">
        <is>
          <t>MEANING (SHORT):
git clone makes a full local copy of a remote repository, history included.
CODE:
git clone https://github.com/octocat/Hello-World.git
cd Hello-World
git log --oneline -3
OUTPUT:
Cloning into 'Hello-World'...
remote: Enumerating objects: 13, done.
Receiving objects: 100% (13/13), done.
(then the three latest commits, one per line, as short hash and message)
EXPLANATION:
Clone creates a new folder, downloads all files and the .git history, and names the remote origin. You can start working straight away.
SIMPLE EXPLANATION (HINGLISH):
Clone downloads the GitHub project to your laptop. The full history comes with it, and a remote named origin is set up automatically.
REAL-LIFE ANALOGY:
It is like a photocopy of a friend's whole notebook, page by page.
SYNTAX PATTERN:
git clone &lt;url&gt; [folder]
ANATOMY:
git clone = command | &lt;url&gt; = address of the repo | [folder] = optional new folder name
EXAMPLE 1:
git clone https://github.com/octocat/Hello-World.git
EXAMPLE 2:
git clone git@github.com:octocat/Hello-World.git my-copy
EXAMPLE 3:
git clone --depth 1 https://github.com/torvalds/linux.git
VARIATION:
git clone -b dev &lt;url&gt;   # check out dev first (all branches still downloaded)
git clone --single-branch -b dev &lt;url&gt;   # download only dev
git clone --depth 1 &lt;url&gt;   # only the latest commit
USED WITH:
HTTPS, SSH, --depth, -b
RELATED CONCEPTS:
git init, git fetch, git remote
ALTERNATIVES:
Downloading a ZIP from GitHub (no history)
FAMILY / GROUP:
git clone, git init, git pull, git fetch, git remote
WHERE IT IS USED:
Joining a new project | Reading open-source code | Setting up a new laptop
MINI CONVERSATION:
A: How do I get the project code? | B: Take the repo link, run git clone, and then cd into the folder.
COMMON MISTAKE:
✗ Downloading a ZIP and git clone are the same thing → ✓ A ZIP gives only the files, while a clone also brings the history and the remote connection
COMMONLY CONFUSED WITH:
git clone vs git pull: clone brings a full copy the first time, pull brings new changes into an existing copy.
AVOID / DON'T:
Do not clone a repository inside another cloned repository.
WRONG CODE:
git clone octocat/Hello-World
RIGHT CODE:
git clone https://github.com/octocat/Hello-World.git
MEMORY TRICK:
Clone means copy it all, then work on your own side.
REAL LIFE: PROJECT / WORK:
A new team member cloning the repo on day one to run the project locally.
REAL LIFE: INTERVIEW / EXAM:
An interviewer may ask: What is the difference between a clone and a fork?
REAL LIFE: DAILY LIFE:
It is like getting a full copy of a recipe book for your own kitchen.</t>
        </is>
      </c>
      <c r="C6" s="29" t="inlineStr">
        <is>
          <t>01_Basics_Beginner_GIT-005</t>
        </is>
      </c>
    </row>
    <row r="7" ht="409" customHeight="1">
      <c r="A7" s="29" t="inlineStr">
        <is>
          <t>git status
How do you see at a glance which files have changed and which are ready to be committed?
echo "hello" &gt; notes.txt
git status</t>
        </is>
      </c>
      <c r="B7" s="29" t="inlineStr">
        <is>
          <t>MEANING (SHORT):
git status tells you which files are modified, staged or untracked.
CODE:
echo "hello" &gt; notes.txt
git status
OUTPUT:
On branch main
Untracked files:
  (use "git add &lt;file&gt;..." to include in what will be committed)
        notes.txt
EXPLANATION:
Status shows three groups: staged (ready to commit), modified (changed but not staged) and untracked (Git does not know the file yet). It changes nothing; it only reports.
SIMPLE EXPLANATION (HINGLISH):
git status is a report on which files are new, changed, or already added for the next commit. It changes nothing, so run it freely.
REAL-LIFE ANALOGY:
It is like checking your admit card before an exam.
SYNTAX PATTERN:
git status [-s]
ANATOMY:
git status = command | -s = short format
EXAMPLE 1:
git status
EXAMPLE 2:
git status -s
EXAMPLE 3:
git status --branch --short
VARIATION:
git status -sb   # short format with the branch
git status --ignored   # also show ignored files
USED WITH:
git add, git commit, git diff
RELATED CONCEPTS:
git diff, git add, .gitignore
ALTERNATIVES:
The source control panel in your IDE
FAMILY / GROUP:
git status, git add, git diff, git log, git commit
WHERE IT IS USED:
Before every commit | After a merge | Whenever you are confused
MINI CONVERSATION:
A: I do not know which file I changed. | B: Run git status and it will tell you everything.
COMMON MISTAKE:
✗ git status makes files ready to commit → ✓ git status only shows information, and you make files ready with git add
COMMONLY CONFUSED WITH:
git status vs git log: status shows the current state, log shows past commits.
AVOID / DON'T:
Do not run git add . without looking at the status first.
WRONG CODE:
git status add notes.txt
RIGHT CODE:
git add notes.txt
MEMORY TRICK:
Status means stop and look before you act.
REAL LIFE: PROJECT / WORK:
Spotting stray debug files with git status just before committing.
REAL LIFE: INTERVIEW / EXAM:
An interviewer may ask: What is the difference between untracked, modified and staged?
REAL LIFE: DAILY LIFE:
It is like checking your bag before you leave for a trip.</t>
        </is>
      </c>
      <c r="C7" s="29" t="inlineStr">
        <is>
          <t>01_Basics_Beginner_GIT-006</t>
        </is>
      </c>
    </row>
    <row r="8" ht="409" customHeight="1">
      <c r="A8" s="29" t="inlineStr">
        <is>
          <t>git add
How do you put a changed file into the staging area so it is ready for the next commit?
git add index.html
git add src/
git status -s</t>
        </is>
      </c>
      <c r="B8" s="29" t="inlineStr">
        <is>
          <t>MEANING (SHORT):
git add puts changes into the staging area so they are included in the next commit.
CODE:
git add index.html
git add src/
git status -s
OUTPUT:
A  index.html
A  src/app.js
EXPLANATION:
The staging area is a middle place where you decide what goes into the commit. You can add one file, one folder, or everything with a dot. If a file changes after you add it, you must add it again.
SIMPLE EXPLANATION (HINGLISH):
With git add you tell Git this change goes into the next commit. A file you did not add will not be committed, even if it changed.
REAL-LIFE ANALOGY:
It is like a shop trolley: only what you put in it goes to the billing counter.
SYNTAX PATTERN:
git add &lt;path&gt;
ANATOMY:
git add = command | &lt;path&gt; = file or folder | . = everything
EXAMPLE 1:
git add index.html
EXAMPLE 2:
git add src/ tests/
EXAMPLE 3:
git add -p
VARIATION:
git add .   # all changes
git add -A   # new, changed and deleted
git add *.js   # only js files
USED WITH:
git status, git commit, -p, .
RELATED CONCEPTS:
git commit, git restore --staged, .gitignore
ALTERNATIVES:
git commit -a (only already tracked files)
FAMILY / GROUP:
git add, git status, git commit, git restore, git diff
WHERE IT IS USED:
Before every commit | Committing selected changes | Tracking a new file
MINI CONVERSATION:
A: I changed the file but it did not go into the commit. | B: You did not run git add, so add it first and then commit.
COMMON MISTAKE:
✗ A changed file automatically goes into the next commit → ✓ Only changes that were staged with git add go into a commit
COMMONLY CONFUSED WITH:
git add vs git commit: add puts changes in staging, commit writes them into history permanently.
AVOID / DON'T:
Do not use git add . blindly, it may add secrets or large files.
WRONG CODE:
git add commit index.html
RIGHT CODE:
git add index.html
MEMORY TRICK:
Add means place it in the trolley.
REAL LIFE: PROJECT / WORK:
Using git add -p to split one piece of work into separate, clean commits.
REAL LIFE: INTERVIEW / EXAM:
An interviewer may ask: What is the staging area and why does it exist?
REAL LIFE: DAILY LIFE:
It is like packing items in a bag before the trip has started.</t>
        </is>
      </c>
      <c r="C8" s="29" t="inlineStr">
        <is>
          <t>01_Basics_Beginner_GIT-007</t>
        </is>
      </c>
    </row>
    <row r="9" ht="409" customHeight="1">
      <c r="A9" s="29" t="inlineStr">
        <is>
          <t>git commit
How do you write staged changes into history as a permanent snapshot?
git add index.html
git commit -m "Add homepage heading"</t>
        </is>
      </c>
      <c r="B9" s="29" t="inlineStr">
        <is>
          <t>MEANING (SHORT):
git commit saves staged changes into history as a snapshot with a message.
CODE:
git add index.html
git commit -m "Add homepage heading"
OUTPUT:
[main 3f2a9c1] Add homepage heading
 1 file changed, 1 insertion(+)
EXPLANATION:
A commit adds a snapshot of the staging area to history and gives it a hash. It exists only on your computer for now; pushing is what sends it to GitHub.
SIMPLE EXPLANATION (HINGLISH):
A commit makes a save point of your work, with a message. It is on your laptop only, and you need a separate push to send it online.
REAL-LIFE ANALOGY:
It is like a save point in a game that you can return to later.
SYNTAX PATTERN:
git commit -m "&lt;message&gt;"
ANATOMY:
git commit = command | -m = write the message inline | "&lt;message&gt;" = short description of the change
EXAMPLE 1:
git commit -m "Fix login redirect bug"
EXAMPLE 2:
git commit -am "Update footer links"
EXAMPLE 3:
git commit
VARIATION:
git commit -am "msg"   # add tracked files and commit
git commit --amend   # change the last commit
git commit --allow-empty -m "trigger CI"
USED WITH:
git add, -m, -a, --amend
RELATED CONCEPTS:
git log, git push, git revert
ALTERNATIVES:
The commit button in an IDE
FAMILY / GROUP:
git commit, git add, git log, git revert, git reset
WHERE IT IS USED:
Daily work | Small steps of a feature | Saving a bug fix
MINI CONVERSATION:
A: I finished my work, what now? | B: Run git add and git commit, then push it.
COMMON MISTAKE:
✗ Running git commit sends the code to GitHub → ✓ A commit is saved only in your local repository, and you need git push to send it to GitHub
COMMONLY CONFUSED WITH:
git commit vs git push: commit makes a local snapshot, push sends it to the remote.
AVOID / DON'T:
Do not write useless messages like fix or asdf.
WRONG CODE:
git commit "Add heading"
RIGHT CODE:
git commit -m "Add heading"
MEMORY TRICK:
Commit is the camera click, push is sending the album.
REAL LIFE: PROJECT / WORK:
Committing each small step of a feature so review and rollback are easy.
REAL LIFE: INTERVIEW / EXAM:
An interviewer may ask: What is a commit hash?
REAL LIFE: DAILY LIFE:
It is like saving a checkpoint after finishing each level of a game.</t>
        </is>
      </c>
      <c r="C9" s="29" t="inlineStr">
        <is>
          <t>01_Basics_Beginner_GIT-008</t>
        </is>
      </c>
    </row>
    <row r="10" ht="409" customHeight="1">
      <c r="A10" s="29" t="inlineStr">
        <is>
          <t>Commit message
What is the short line written with every commit that explains why the change was made?</t>
        </is>
      </c>
      <c r="B10" s="29" t="inlineStr">
        <is>
          <t>DEFINITION (SIMPLE):
A commit message is a short text saying what changed in a commit and why.
HOW / WHY IT WORKS:
A good message states what changed on the first line and, when needed, explains why after a blank line. This makes git log, reviews and reverts far easier.
SIMPLE EXPLANATION (HINGLISH):
Write the message as if explaining to the next developer. Messages like fix or update are useless, while Fix crash when cart is empty is a message that helps.
REAL-LIFE ANALOGY:
It is like a diary line noting what happened on that day.
FORMULA / RULE:
First line (under 50 characters, as a command) → blank line → details (why)
EXAMPLE 1:
Fix crash when the cart is empty
EXAMPLE 2:
Add email validation to signup form
EXAMPLE 3:
Remove unused legacy payment code
RELATED CONCEPTS:
git commit, git log, conventional commits
FAMILY / GROUP:
commit, subject line, body, changelog
WHERE IT IS USED:
Code review | Writing a changelog | Hunting bugs
MINI CONVERSATION:
A: Why was this commit made? | B: Read the message, it says it was made to fix the refund bug.
COMMON MISTAKE:
✗ Writing update or changes as the commit message is enough → ✓ The message should say what changed and why, such as Fix refund total rounding
DON'T CONFUSE WITH:
Good vs bad message: a good message names the work, a bad one just says something changed.
AVOID / DON'T:
Do not write angry or joking messages, they stay in the history forever.
MEMORY TRICK:
Say what and why, short and as a command.
REAL LIFE: PROJECT / WORK:
Agreeing a commit message format in the team so the changelog can be generated automatically.
REAL LIFE: INTERVIEW / EXAM:
An interviewer may ask: What does a good commit message look like?
REAL LIFE: DAILY LIFE:
It is like writing a note on why the fridge holds certain food.</t>
        </is>
      </c>
      <c r="C10" s="29" t="inlineStr">
        <is>
          <t>01_Basics_Beginner_GIT-009</t>
        </is>
      </c>
    </row>
    <row r="11" ht="409" customHeight="1">
      <c r="A11" s="29" t="inlineStr">
        <is>
          <t>git remote (origin)
Which command and default name link your local repository to the repository on GitHub?
git remote add origin https://github.com/asha/notes.git
git remote -v</t>
        </is>
      </c>
      <c r="B11" s="29" t="inlineStr">
        <is>
          <t>MEANING (SHORT):
git remote manages the names and addresses that connect a local repository to online ones.
CODE:
git remote add origin https://github.com/asha/notes.git
git remote -v
OUTPUT:
origin  https://github.com/asha/notes.git (fetch)
origin  https://github.com/asha/notes.git (push)
EXPLANATION:
A remote is a name and URL pair. The name origin is only a convention and you can call it anything. Push and pull use the name to know where to go.
SIMPLE EXPLANATION (HINGLISH):
A remote gives your local repo the address of the repo on GitHub. Origin is a short name for that address, so you do not type the full URL every time.
REAL-LIFE ANALOGY:
It is like saving someone's number in your phone under the name Dad.
SYNTAX PATTERN:
git remote add &lt;name&gt; &lt;url&gt;
ANATOMY:
git remote add = command | &lt;name&gt; = short name (usually origin) | &lt;url&gt; = address of the online repo
EXAMPLE 1:
git remote add origin https://github.com/asha/notes.git
EXAMPLE 2:
git remote set-url origin git@github.com:asha/notes.git
EXAMPLE 3:
git remote rename origin github
VARIATION:
git remote -v   # list all remotes
git remote remove old   # remove a remote
USED WITH:
git push, git pull, git fetch, origin
RELATED CONCEPTS:
git clone, git push, upstream
ALTERNATIVES:
A clone sets the remote automatically
FAMILY / GROUP:
git remote, git push, git pull, git fetch, git clone
WHERE IT IS USED:
Connecting a new repo to GitHub | Changing the URL (HTTPS to SSH) | Adding upstream to a fork
MINI CONVERSATION:
A: Push gives me a no remote error. | B: You have not added a remote, so run git remote add origin first.
COMMON MISTAKE:
✗ origin is a fixed Git word that cannot be changed → ✓ Origin is only a customary name that can be anything, and git remote rename can change it
COMMONLY CONFUSED WITH:
origin vs upstream: origin is your own remote, upstream is usually the original project you forked.
AVOID / DON'T:
Do not add a remote with the wrong URL, check it with git remote -v.
WRONG CODE:
git remote origin https://github.com/asha/notes.git
RIGHT CODE:
git remote add origin https://github.com/asha/notes.git
MEMORY TRICK:
Origin is the Online Route Into Github.
REAL LIFE: PROJECT / WORK:
Adding a remote before pushing a local project to GitHub for the first time.
REAL LIFE: INTERVIEW / EXAM:
An interviewer may ask: What is origin, and can it be renamed?
REAL LIFE: DAILY LIFE:
It is like saving a contact under a short name.</t>
        </is>
      </c>
      <c r="C11" s="29" t="inlineStr">
        <is>
          <t>01_Basics_Beginner_GIT-010</t>
        </is>
      </c>
    </row>
    <row r="12" ht="409" customHeight="1">
      <c r="A12" s="29" t="inlineStr">
        <is>
          <t>git push
Which command sends your local commits to the repository on GitHub?
git push -u origin main</t>
        </is>
      </c>
      <c r="B12" s="29" t="inlineStr">
        <is>
          <t>MEANING (SHORT):
git push sends local commits to a remote repository.
CODE:
git push -u origin main
OUTPUT:
Enumerating objects: 5, done.
To https://github.com/asha/notes.git
 * [new branch]      main -&gt; main
branch 'main' set up to track 'origin/main'.
EXPLANATION:
Push sends only committed changes, never uncommitted ones. If the remote has new commits you do not have, the push is rejected and you must pull first. The -u flag links your branch with origin/main.
SIMPLE EXPLANATION (HINGLISH):
Push sends your commits to GitHub. If someone pushed before you, Git stops you, so run git pull first and then push again.
REAL-LIFE ANALOGY:
It is like sending the day's accounts to head office before closing the shop.
SYNTAX PATTERN:
git push [-u] &lt;remote&gt; &lt;branch&gt;
ANATOMY:
git push = command | -u = set tracking | &lt;remote&gt; = origin | &lt;branch&gt; = main
EXAMPLE 1:
git push -u origin main
EXAMPLE 2:
git push origin feature/login
EXAMPLE 3:
git push origin --delete old-branch
VARIATION:
git push   # when tracking is set
git push --tags   # send all tags
git push origin HEAD   # send the current branch
USED WITH:
origin, -u, --tags, --delete
RELATED CONCEPTS:
git pull, git fetch, git commit
ALTERNATIVES:
Committing directly in the GitHub web editor
FAMILY / GROUP:
git push, git pull, git fetch, git commit, git remote
WHERE IT IS USED:
Daily work | Before opening a pull request | Backup
MINI CONVERSATION:
A: I pushed but it was rejected. | B: The remote has new commits, so pull them first and then push again.
COMMON MISTAKE:
✗ git push uploads all files at once even if I did not commit → ✓ Push sends only committed changes, and uncommitted work stays on your machine
COMMONLY CONFUSED WITH:
git push vs git commit: commit makes a local snapshot, push sends it online.
AVOID / DON'T:
Do not force push to a shared branch without thinking.
WRONG CODE:
git push origin
RIGHT CODE:
git push origin main
MEMORY TRICK:
Push means send the parcel upward.
REAL LIFE: PROJECT / WORK:
Pushing a feature branch and then opening a pull request.
REAL LIFE: INTERVIEW / EXAM:
An interviewer may ask: Why can a push be rejected and how do you fix it?
REAL LIFE: DAILY LIFE:
It is like sending the day's accounts to head office in the evening.</t>
        </is>
      </c>
      <c r="C12" s="29" t="inlineStr">
        <is>
          <t>01_Basics_Beginner_GIT-011</t>
        </is>
      </c>
    </row>
    <row r="13" ht="409" customHeight="1">
      <c r="A13" s="29" t="inlineStr">
        <is>
          <t>git pull
How do you bring new commits from the remote into your current branch with a single command?
git pull origin main</t>
        </is>
      </c>
      <c r="B13" s="29" t="inlineStr">
        <is>
          <t>MEANING (SHORT):
git pull fetches new commits from the remote and merges them into the current branch.
CODE:
git pull origin main
OUTPUT:
From https://github.com/asha/notes
 * branch            main       -&gt; FETCH_HEAD
Updating 3f2a9c1..8b7d1e2
Fast-forward
 README.md | 2 ++
EXPLANATION:
Pull really does two jobs: first git fetch to get new commits, then git merge to combine them. If both sides changed the same file you may get a merge conflict.
SIMPLE EXPLANATION (HINGLISH):
Pull brings GitHub's new commits to your laptop and mixes them with your work. If both of you changed the same line, you get a conflict that you fix by hand.
REAL-LIFE ANALOGY:
It is like downloading the latest group notes and merging them with your own.
SYNTAX PATTERN:
git pull [&lt;remote&gt; &lt;branch&gt;]
ANATOMY:
git pull = command | &lt;remote&gt; = origin | &lt;branch&gt; = main
EXAMPLE 1:
git pull
EXAMPLE 2:
git pull origin develop
EXAMPLE 3:
git pull --rebase
VARIATION:
git pull --rebase   # rebase instead of merge
git pull --ff-only   # only move straight ahead
USED WITH:
git fetch, git merge, --rebase
RELATED CONCEPTS:
git fetch, git merge, git push
ALTERNATIVES:
Running git fetch and then git merge separately
FAMILY / GROUP:
git pull, git fetch, git merge, git push, git clone
WHERE IT IS USED:
Start of the day | Before pushing | Updating a branch
MINI CONVERSATION:
A: My code does not show my friend's work. | B: Run git pull and it will arrive from the remote.
COMMON MISTAKE:
✗ git pull only looks at what is new and changes nothing → ✓ Pull brings the remote commits and also merges them into your branch, so your files change
COMMONLY CONFUSED WITH:
git pull vs git fetch: pull fetches and merges, fetch only fetches.
AVOID / DON'T:
Do not pull blindly with uncommitted changes.
WRONG CODE:
git pull -u origin main
RIGHT CODE:
git pull origin main
MEMORY TRICK:
Pull means pull it near and merge.
REAL LIFE: PROJECT / WORK:
Running git pull --rebase every morning so the history stays clean.
REAL LIFE: INTERVIEW / EXAM:
An interviewer may ask: What is the difference between git pull and git fetch?
REAL LIFE: DAILY LIFE:
It is like downloading group notes and combining them with yours.</t>
        </is>
      </c>
      <c r="C13" s="29" t="inlineStr">
        <is>
          <t>01_Basics_Beginner_GIT-012</t>
        </is>
      </c>
    </row>
    <row r="14" ht="409" customHeight="1">
      <c r="A14" s="29" t="inlineStr">
        <is>
          <t>git log
How do you see the list of all commits made so far, by whom and when?
git log --oneline -3</t>
        </is>
      </c>
      <c r="B14" s="29" t="inlineStr">
        <is>
          <t>MEANING (SHORT):
git log shows the commit history with authors and messages.
CODE:
git log --oneline -3
OUTPUT:
8b7d1e2 Fix refund rounding
3f2a9c1 Add homepage heading
a1c4e90 Initial commit
EXPLANATION:
Log starts from the newest commit. Each commit has a hash, an author, a date and a message. Options let you shorten the list, filter it, or draw it as a graph.
SIMPLE EXPLANATION (HINGLISH):
git log shows who changed what in the project, and when. For a long list add --oneline so each commit takes just one line.
REAL-LIFE ANALOGY:
It is like the entries in a bank passbook where every transaction is written.
SYNTAX PATTERN:
git log [options]
ANATOMY:
git log = command | --oneline = one line per commit | -3 = only three commits
EXAMPLE 1:
git log --oneline
EXAMPLE 2:
git log --author="Asha" --since="2 weeks ago"
EXAMPLE 3:
git log --graph --oneline --all
VARIATION:
git log -p -2   # with the changes
git log -- src/app.js   # history of one file
git log --stat
USED WITH:
--oneline, --graph, --author, -p
RELATED CONCEPTS:
git blame, git show, git reflog
ALTERNATIVES:
The Commits tab on GitHub
FAMILY / GROUP:
git log, git show, git diff, git blame, git reflog
WHERE IT IS USED:
Finding the source of a bug | Code review | Writing release notes
MINI CONVERSATION:
A: When did this line change? | B: Run git log -p on that file and every change will show.
COMMON MISTAKE:
✗ git log shows the full history of every branch at once → ✓ git log shows only the current branch, and you need --all to include every branch
COMMONLY CONFUSED WITH:
git log vs git reflog: log shows the commit history, reflog shows every move HEAD made, including lost commits.
AVOID / DON'T:
Do not open the whole log of a huge repo without --oneline or -n.
WRONG CODE:
git log --short
RIGHT CODE:
git log --oneline
MEMORY TRICK:
Log means a ledger of the whole history.
REAL LIFE: PROJECT / WORK:
Making a list of new changes before a release with git log --oneline v1.0..HEAD.
REAL LIFE: INTERVIEW / EXAM:
An interviewer may ask: How do you see the full history of a single file?
REAL LIFE: DAILY LIFE:
It is like reading each entry of a passbook.</t>
        </is>
      </c>
      <c r="C14" s="29" t="inlineStr">
        <is>
          <t>01_Basics_Beginner_GIT-013</t>
        </is>
      </c>
    </row>
    <row r="15" ht="409" customHeight="1">
      <c r="A15" s="29" t="inlineStr">
        <is>
          <t>README.md
Which file shows first on a repository's home page and introduces the project?</t>
        </is>
      </c>
      <c r="B15" s="29" t="inlineStr">
        <is>
          <t>DEFINITION (SIMPLE):
README.md is a Markdown file that introduces a project, explains how to install it, and shows how to use it.
HOW / WHY IT WORKS:
GitHub shows README.md on the repository home page automatically. In Markdown you can write headings, lists and code blocks. A good README saves new people a lot of time.
SIMPLE EXPLANATION (HINGLISH):
The README is the first page of your project. Whoever opens the repo reads it first, so say what it is, how to run it, and how to help.
REAL-LIFE ANALOGY:
It is like the signboard outside a shop or the cover of a book.
FORMULA / RULE:
README = Name + What it does + Install + Use + Contribute
EXAMPLE 1:
A calculator project's README says to run npm install and npm start.
EXAMPLE 2:
An open-source library's README shows a screenshot and usage code.
EXAMPLE 3:
A personal profile repository's README introduces its owner with links.
RELATED CONCEPTS:
Markdown, LICENSE, CONTRIBUTING.md
FAMILY / GROUP:
README, LICENSE, CONTRIBUTING, CHANGELOG
WHERE IT IS USED:
Every repository | Open-source libraries | Portfolio projects
MINI CONVERSATION:
A: How do I run this project? | B: The README has the install and run steps, look there.
COMMON MISTAKE:
✗ A README is not needed because the code explains itself → ✓ Without a README a newcomer cannot understand the project, so even a short README should always be there
DON'T CONFUSE WITH:
README vs code comments: a README introduces the whole project, comments explain only a piece of code.
AVOID / DON'T:
Never write passwords or private keys in a README.
MEMORY TRICK:
README says Read Everything About Documents Me first.
REAL LIFE: PROJECT / WORK:
Giving a new developer the setup steps in the README for onboarding.
REAL LIFE: INTERVIEW / EXAM:
An interviewer may ask: What should a good README contain?
REAL LIFE: DAILY LIFE:
It is like the quick-start guide that comes with a new gadget.</t>
        </is>
      </c>
      <c r="C15" s="29" t="inlineStr">
        <is>
          <t>01_Basics_Beginner_GIT-014</t>
        </is>
      </c>
    </row>
    <row r="16" ht="409" customHeight="1">
      <c r="A16" s="29" t="inlineStr">
        <is>
          <t>.gitignore
Which file tells Git not to track certain files or folders?</t>
        </is>
      </c>
      <c r="B16" s="29" t="inlineStr">
        <is>
          <t>DEFINITION (SIMPLE):
.gitignore is a text file that lists patterns of files and folders Git will not track.
HOW / WHY IT WORKS:
You write entries such as *.log, node_modules/ or .env. It only affects untracked files; a file that is already committed needs git rm --cached first.
SIMPLE EXPLANATION (HINGLISH):
In .gitignore you list the files Git must not look at, such as passwords, logs or huge folders. A file that was already committed is not ignored.
REAL-LIFE ANALOGY:
It is like a list at the door of things not allowed inside.
FORMULA / RULE:
Write one pattern per line: *.log, build/, .env
EXAMPLE 1:
Writing node_modules/ ignores the whole dependency folder.
EXAMPLE 2:
Writing .env keeps your secrets file out of Git.
EXAMPLE 3:
Writing *.log ignores every log file in any folder.
RELATED CONCEPTS:
git status, git rm --cached, .env
FAMILY / GROUP:
ignore, pattern, glob, untracked
WHERE IT IS USED:
Every project | Protecting secrets | Skipping large build folders
MINI CONVERSATION:
A: My .env file went to GitHub. | B: It should have been in .gitignore first, so now run git rm --cached .env and change your keys.
COMMON MISTAKE:
✗ Writing a file name in .gitignore also removes an already committed file from Git → ✓ .gitignore stops only untracked files, and you must run git rm --cached to stop tracking one already committed
DON'T CONFUSE WITH:
.gitignore vs git rm: gitignore blocks new files, git rm stops tracking an existing one.
AVOID / DON'T:
Do not rely on ignoring secrets after you have already committed them.
MEMORY TRICK:
Ignore means keep it at the gate.
REAL LIFE: PROJECT / WORK:
Ignoring node_modules and .env on day one of a new React project.
REAL LIFE: INTERVIEW / EXAM:
An interviewer may ask: How do you ignore a file that was already committed?
REAL LIFE: DAILY LIFE:
It is like a short list of what will not go in the travel bag.</t>
        </is>
      </c>
      <c r="C16" s="29" t="inlineStr">
        <is>
          <t>01_Basics_Beginner_GIT-015</t>
        </is>
      </c>
    </row>
    <row r="17" ht="409" customHeight="1">
      <c r="A17" s="29" t="inlineStr">
        <is>
          <t>Public vs Private repository
Which setting decides whether a repo on GitHub can be seen by everyone or only by chosen people?</t>
        </is>
      </c>
      <c r="B17" s="29" t="inlineStr">
        <is>
          <t>DEFINITION (SIMPLE):
A public repo is visible to anyone, and a private repo is visible only to people the owner allows.
HOW / WHY IT WORKS:
Anyone can view and clone a public repo, but only people with permission can edit it. A private repo is visible only to the owner and collaborators. Visibility can be changed later, but once public the history is visible too.
SIMPLE EXPLANATION (HINGLISH):
Public means anyone on the internet can read it. Private means only people you allow. Before making it public, check that no secrets are in the history.
REAL-LIFE ANALOGY:
It is the difference between a public notice board and a locked cupboard.
FORMULA / RULE:
Public = everyone can see, Private = only allowed people
EXAMPLE 1:
An open-source library is public so the world can use it.
EXAMPLE 2:
A company backend is private and visible only to employees.
EXAMPLE 3:
A student keeps an assignment private until it is submitted.
RELATED CONCEPTS:
collaborators, fork, secrets, open-source
FAMILY / GROUP:
public, private, internal, visibility
WHERE IT IS USED:
Open-source | Company code | Personal projects
MINI CONVERSATION:
A: Can anyone see my repo? | B: Check the visibility in Settings, if it is public then yes.
COMMON MISTAKE:
✗ A public repo lets anyone edit it → ✓ A public repo lets everyone read and clone it, but changes need permission or a reviewed pull request
DON'T CONFUSE WITH:
Public vs private: public is visible to all, private only to allowed people.
AVOID / DON'T:
Do not make a repo public by accident while it still holds secrets.
MEMORY TRICK:
Public is for the whole world, Private is for people I permit.
REAL LIFE: PROJECT / WORK:
Building a new product in a private repo and later making only the library part public.
REAL LIFE: INTERVIEW / EXAM:
An interviewer may ask: What would you do if a secret was committed to a public repo?
REAL LIFE: DAILY LIFE:
It is like the difference between a notice board and a locked cupboard.</t>
        </is>
      </c>
      <c r="C17" s="29" t="inlineStr">
        <is>
          <t>01_Basics_Beginner_GIT-016</t>
        </is>
      </c>
    </row>
    <row r="18" ht="409" customHeight="1">
      <c r="A18" s="29" t="inlineStr">
        <is>
          <t>Branch
How do you create a separate line of history so you can build a new feature without breaking the main code?
git branch feature/login
git branch</t>
        </is>
      </c>
      <c r="B18" s="29" t="inlineStr">
        <is>
          <t>MEANING (SHORT):
A branch is a separate line of history where you can work without touching the main code.
CODE:
git branch feature/login
git branch
OUTPUT:
feature/login
* main
EXPLANATION:
A branch is a pointer to a commit, so it takes almost no time or space to create. HEAD says which branch you are on. A new commit moves only the current branch forward.
SIMPLE EXPLANATION (HINGLISH):
A branch lets you work on a separate path. If something breaks there, main stays safe. When the work is good, you merge it back.
REAL-LIFE ANALOGY:
It is like a rough draft of a book where you experiment while the final copy stays separate.
SYNTAX PATTERN:
git branch [&lt;name&gt;]
ANATOMY:
git branch = command | &lt;name&gt; = name of the new branch | * = the branch you are on
EXAMPLE 1:
git branch feature/login
EXAMPLE 2:
git branch -a
EXAMPLE 3:
git branch -d old-feature
VARIATION:
git branch -m new-name   # rename
git branch -r   # remote branches
git branch -D feature   # force delete
USED WITH:
git switch, git merge, HEAD, main
RELATED CONCEPTS:
git switch, git merge, git checkout
ALTERNATIVES:
git switch -c name (create and move at once)
FAMILY / GROUP:
git branch, git switch, git merge, git checkout, git rebase
WHERE IT IS USED:
A new feature | A bug fix | Experiments
MINI CONVERSATION:
A: Where should I build the new feature? | B: Not on main, make a separate branch with git branch and work there.
COMMON MISTAKE:
✗ Running git branch name moves you onto that branch at once → ✓ git branch only creates the branch, and you need git switch to move onto it
COMMONLY CONFUSED WITH:
git branch vs git switch -c: branch only creates, switch -c creates and moves.
AVOID / DON'T:
Do not do experimental work directly on the main branch.
WRONG CODE:
git branch -new feature/login
RIGHT CODE:
git branch feature/login
MEMORY TRICK:
Branch means a new road and a new shade.
REAL LIFE: PROJECT / WORK:
Working on every ticket in its own branch and joining it to main through a pull request.
REAL LIFE: INTERVIEW / EXAM:
An interviewer may ask: What is a branch internally in Git?
REAL LIFE: DAILY LIFE:
It is like experimenting on a rough draft of a book.</t>
        </is>
      </c>
      <c r="C18" s="29" t="inlineStr">
        <is>
          <t>02_Branching_&amp;_Merging_Beginner_GIT-017</t>
        </is>
      </c>
    </row>
    <row r="19" ht="409" customHeight="1">
      <c r="A19" s="29" t="inlineStr">
        <is>
          <t>git switch / git checkout
How do you move from one branch to another to work there?
git switch -c feature/login
git switch main</t>
        </is>
      </c>
      <c r="B19" s="29" t="inlineStr">
        <is>
          <t>MEANING (SHORT):
git switch moves your working folder onto another branch.
CODE:
git switch -c feature/login
git switch main
OUTPUT:
Switched to a new branch 'feature/login'
Switched to branch 'main'
EXPLANATION:
When you switch, the files in your working folder change to match that branch. If your uncommitted changes would conflict, Git stops you, and then you commit or stash first.
SIMPLE EXPLANATION (HINGLISH):
git switch name puts you on that branch and the files change to match it. Adding -c creates the branch and moves onto it at once.
REAL-LIFE ANALOGY:
It is like changing the decorated set in the same room.
SYNTAX PATTERN:
git switch [-c] &lt;branch&gt;
ANATOMY:
git switch = command | -c = create it | &lt;branch&gt; = branch name
EXAMPLE 1:
git switch main
EXAMPLE 2:
git switch -c bugfix/cart
EXAMPLE 3:
git switch -
VARIATION:
git checkout main   # the old way
git checkout -b new   # the old switch -c
git switch --detach abc123
USED WITH:
-c, git branch, git stash
RELATED CONCEPTS:
git branch, git restore, git stash
ALTERNATIVES:
git checkout &lt;branch&gt;
FAMILY / GROUP:
git switch, git checkout, git branch, git restore, git stash
WHERE IT IS USED:
Changing feature | Going to a bug fix | Opening someone's branch for review
MINI CONVERSATION:
A: I need another branch but I have pending changes. | B: Commit or stash first, then run git switch.
COMMON MISTAKE:
✗ Changing branches always loses uncommitted changes → ✓ Git usually carries them along or stops you if there is a conflict, and git stash is the safe way
COMMONLY CONFUSED WITH:
git switch vs git checkout: switch only changes branches, checkout also does file restoring and more.
AVOID / DON'T:
Do not switch branches with pending changes without checking.
WRONG CODE:
git switch feature/login -c
RIGHT CODE:
git switch -c feature/login
MEMORY TRICK:
Switch goes straight to another branch.
REAL LIFE: PROJECT / WORK:
Opening a teammate's branch with git switch to run it for review.
REAL LIFE: INTERVIEW / EXAM:
An interviewer may ask: What is the difference between git checkout and git switch?
REAL LIFE: DAILY LIFE:
It is like pressing the switch to go from one room to another.</t>
        </is>
      </c>
      <c r="C19" s="29" t="inlineStr">
        <is>
          <t>02_Branching_&amp;_Merging_Beginner_GIT-018</t>
        </is>
      </c>
    </row>
    <row r="20" ht="409" customHeight="1">
      <c r="A20" s="29" t="inlineStr">
        <is>
          <t>git diff
Which command do you run before committing to see line by line what has changed?
git diff
git diff --staged</t>
        </is>
      </c>
      <c r="B20" s="29" t="inlineStr">
        <is>
          <t>MEANING (SHORT):
git diff shows the line-by-line changes between two versions.
CODE:
git diff
git diff --staged
OUTPUT:
-  &lt;h1&gt;Hello&lt;/h1&gt;
+  &lt;h1&gt;Hello, World&lt;/h1&gt;
EXPLANATION:
Plain git diff compares the working folder with the staging area. --staged compares the staging area with the last commit. A red minus line was removed and a green plus line was added.
SIMPLE EXPLANATION (HINGLISH):
git diff shows which lines you removed and which you added. Doing this before you commit saves you from silly mistakes.
REAL-LIFE ANALOGY:
It is like marking the difference between two fabrics with a highlighter.
SYNTAX PATTERN:
git diff [--staged] [&lt;commit&gt;] [-- &lt;path&gt;]
ANATOMY:
git diff = command | --staged = staged changes | &lt;commit&gt; = compare with a commit | &lt;path&gt; = one file
EXAMPLE 1:
git diff
EXAMPLE 2:
git diff --staged
EXAMPLE 3:
git diff main..feature/login
VARIATION:
git diff HEAD~1   # against the previous commit
git diff --stat   # summary only
git diff -- src/app.js
USED WITH:
--staged, --stat, HEAD, git add
RELATED CONCEPTS:
git status, git log -p, git show
ALTERNATIVES:
The diff view in your IDE
FAMILY / GROUP:
git diff, git status, git log, git show, git blame
WHERE IT IS USED:
Before committing | Code review | Comparing branches
MINI CONVERSATION:
A: I forgot what I changed. | B: Run git diff and it will show line by line.
COMMON MISTAKE:
✗ git diff shows all changes, staged or not → ✓ Plain git diff shows only unstaged changes, and you need --staged to see staged ones
COMMONLY CONFUSED WITH:
git diff vs git status: diff shows line-by-line changes, status only lists which files changed.
AVOID / DON'T:
Do not commit everything without looking at the diff.
WRONG CODE:
git diff --stage
RIGHT CODE:
git diff --staged
MEMORY TRICK:
Diff dives into the difference.
REAL LIFE: PROJECT / WORK:
Reading your own full change with git diff main before opening a pull request.
REAL LIFE: INTERVIEW / EXAM:
An interviewer may ask: What is the difference between git diff and git diff --staged?
REAL LIFE: DAILY LIFE:
It is like finding the differences between two near-identical pictures.</t>
        </is>
      </c>
      <c r="C20" s="29" t="inlineStr">
        <is>
          <t>02_Branching_&amp;_Merging_Beginner_GIT-019</t>
        </is>
      </c>
    </row>
    <row r="21" ht="409" customHeight="1">
      <c r="A21" s="29" t="inlineStr">
        <is>
          <t>git merge
Which command joins the work of one branch into another branch?
git switch main
git merge feature/login</t>
        </is>
      </c>
      <c r="B21" s="29" t="inlineStr">
        <is>
          <t>MEANING (SHORT):
git merge brings the commits of another branch into the current branch.
CODE:
git switch main
git merge feature/login
OUTPUT:
Updating 3f2a9c1..8b7d1e2
Fast-forward
 login.js | 12 ++++++++++++
EXPLANATION:
If main has not moved ahead, Git simply moves the pointer forward (fast-forward). If both sides have new commits, Git creates a merge commit. If both changed the same line, a merge conflict appears.
SIMPLE EXPLANATION (HINGLISH):
To merge, first move to the branch that should receive the work (usually main), then name the branch you want to bring in. Both sets of work become one.
REAL-LIFE ANALOGY:
It is like two friends writing separate chapters and then putting them in one book.
SYNTAX PATTERN:
git merge &lt;branch&gt;
ANATOMY:
git merge = command | &lt;branch&gt; = the branch to bring into the current one
EXAMPLE 1:
git merge feature/login
EXAMPLE 2:
git merge --no-ff feature/payment
EXAMPLE 3:
git merge --squash bugfix/cart
VARIATION:
git merge --abort   # stop the merge
git merge --no-ff x   # always make a merge commit
git merge --squash x   # stage all changes as one set, then commit yourself
USED WITH:
git switch, --no-ff, --squash, --abort
RELATED CONCEPTS:
git rebase, merge conflict, pull request
ALTERNATIVES:
git rebase, the Merge button on GitHub
FAMILY / GROUP:
git merge, git rebase, git branch, git switch, git pull
WHERE IT IS USED:
When a feature is complete | Releases | Merging a pull request
MINI CONVERSATION:
A: The feature is done, what next? | B: Go to main, run git merge feature, and then push.
COMMON MISTAKE:
✗ Running git merge feature brings main's work into feature → ✓ Merge brings the other branch's work into the current branch, so you must be on the branch that receives the work
COMMONLY CONFUSED WITH:
merge vs rebase: merge joins the histories with a merge commit, rebase rewrites commits on a new base.
AVOID / DON'T:
Do not merge into an outdated main without pulling first.
WRONG CODE:
git merge feature --to main   # merge has no --to option; switch to main first
RIGHT CODE:
git merge feature
MEMORY TRICK:
Merge means mix it into main.
REAL LIFE: PROJECT / WORK:
Merging a feature branch into main once its pull request is approved.
REAL LIFE: INTERVIEW / EXAM:
An interviewer may ask: What is a fast-forward merge?
REAL LIFE: DAILY LIFE:
It is like two rivers flowing into one.</t>
        </is>
      </c>
      <c r="C21" s="29" t="inlineStr">
        <is>
          <t>02_Branching_&amp;_Merging_Intermediate_GIT-020</t>
        </is>
      </c>
    </row>
    <row r="22" ht="409" customHeight="1">
      <c r="A22" s="29" t="inlineStr">
        <is>
          <t>Merge conflict
When two branches changed the same line differently, what does Git report while merging, and what must you do?</t>
        </is>
      </c>
      <c r="B22" s="29" t="inlineStr">
        <is>
          <t>DEFINITION (SIMPLE):
A merge conflict happens when two branches changed the same part of a file and Git cannot decide which change to keep.
HOW / WHY IT WORKS:
Git writes markers into the file with the current branch's code on one side and the incoming code on the other. You keep the right code, remove the markers, run git add, and then git commit to finish the merge.
SIMPLE EXPLANATION (HINGLISH):
A conflict means Git threw up its hands. Open the file, decide which code stays, remove the markers, add it, and commit.
REAL-LIFE ANALOGY:
It is like two people writing different dates on one wedding card, so one must be chosen.
FORMULA / RULE:
Conflict → open the file → pick code and remove markers → git add → git commit
EXAMPLE 1:
Both people renamed the same function differently.
EXAMPLE 2:
One person deleted a line and the other edited that same line.
EXAMPLE 3:
Both set a different version number in package.json.
RELATED CONCEPTS:
git merge, git status, git merge --abort
FAMILY / GROUP:
conflict, marker, resolve, abort
WHERE IT IS USED:
Pull | Merge | Rebase
MINI CONVERSATION:
A: I got CONFLICT as soon as I pulled. | B: Check the file with git status, keep the right code, then add and commit.
COMMON MISTAKE:
✗ A merge conflict means the repo is broken and everything is lost → ✓ A conflict is a normal situation where nothing is lost, and git merge --abort can return you to how it was
DON'T CONFUSE WITH:
Conflict vs error: a conflict is a normal state you resolve by hand, an error is a command failing.
AVOID / DON'T:
Never commit with the &lt;&lt;&lt;&lt;&lt;&lt;&lt; markers still in the code.
MEMORY TRICK:
Conflict means Choose and Complete.
REAL LIFE: PROJECT / WORK:
Resolving a pull request conflict locally and pushing again.
REAL LIFE: INTERVIEW / EXAM:
An interviewer may ask: When does a merge conflict occur and how do you resolve it?
REAL LIFE: DAILY LIFE:
It is like two meetings being booked at the same time.</t>
        </is>
      </c>
      <c r="C22" s="29" t="inlineStr">
        <is>
          <t>02_Branching_&amp;_Merging_Intermediate_GIT-021</t>
        </is>
      </c>
    </row>
    <row r="23" ht="409" customHeight="1">
      <c r="A23" s="29" t="inlineStr">
        <is>
          <t>git fetch
Which command lets you see new remote commits without changing any of your own files?
git fetch origin
git log HEAD..origin/main --oneline</t>
        </is>
      </c>
      <c r="B23" s="29" t="inlineStr">
        <is>
          <t>MEANING (SHORT):
git fetch downloads new commits from the remote but does not change your branch or files.
CODE:
git fetch origin
git log HEAD..origin/main --oneline
OUTPUT:
8b7d1e2 Fix refund rounding
5c3a2f0 Update README
EXPLANATION:
Fetch updates the remote-tracking branches. You can then look with git log or git diff, and decide whether to combine the changes with git merge or git rebase.
SIMPLE EXPLANATION (HINGLISH):
Fetch only brings the news of what is new on the remote. Your files do not change until you merge yourself, so it is safer than pull.
REAL-LIFE ANALOGY:
It is like visiting a shop to see whether new stock has arrived, without buying anything.
SYNTAX PATTERN:
git fetch [&lt;remote&gt;]
ANATOMY:
git fetch = command | &lt;remote&gt; = origin | --all = all remotes
EXAMPLE 1:
git fetch origin
EXAMPLE 2:
git fetch --all
EXAMPLE 3:
git fetch --prune
VARIATION:
git fetch --prune   # clear deleted remote branches
git fetch origin pull/12/head   # the code of PR 12
USED WITH:
git merge, git rebase, --prune, origin/main
RELATED CONCEPTS:
git pull, git merge, git log
ALTERNATIVES:
git pull (fetch plus merge)
FAMILY / GROUP:
git fetch, git pull, git merge, git remote, git push
WHERE IT IS USED:
Looking before a pull | Bringing a colleague's branch for review | CI scripts
MINI CONVERSATION:
A: I am afraid pulling will break something. | B: Fetch first and check with log, then decide.
COMMON MISTAKE:
✗ After git fetch my files change to include the new commits → ✓ Fetch does not change files, and new commits sit in origin/main until you merge or rebase
COMMONLY CONFUSED WITH:
git fetch vs git pull: fetch only downloads, pull downloads and merges.
AVOID / DON'T:
Do not expect fetch to update your working files like pull does.
WRONG CODE:
git fetch main origin
RIGHT CODE:
git fetch origin main
MEMORY TRICK:
Fetch means just look, do not merge yet.
REAL LIFE: PROJECT / WORK:
Fetching before a merge to see which new commits are on the remote.
REAL LIFE: INTERVIEW / EXAM:
An interviewer may ask: What is the difference between fetch and pull?
REAL LIFE: DAILY LIFE:
It is like checking whether new stock has come in without buying.</t>
        </is>
      </c>
      <c r="C23" s="29" t="inlineStr">
        <is>
          <t>02_Branching_&amp;_Merging_Intermediate_GIT-022</t>
        </is>
      </c>
    </row>
    <row r="24" ht="409" customHeight="1">
      <c r="A24" s="29" t="inlineStr">
        <is>
          <t>Fork
How do you make your own copy of someone else's repository on GitHub so you can change it without touching the original?</t>
        </is>
      </c>
      <c r="B24" s="29" t="inlineStr">
        <is>
          <t>DEFINITION (SIMPLE):
A fork is a full copy of a repository in your own GitHub account that you can change without touching the original.
HOW / WHY IT WORKS:
A fork is a server-side copy. You clone the fork, make changes, push them, and then send a pull request to the original. A link between fork and original is kept.
SIMPLE EXPLANATION (HINGLISH):
A fork gives you your own copy of someone's project in which you can write. Then you send a pull request asking the owner to take your changes.
REAL-LIFE ANALOGY:
It is like photocopying someone's book, writing your own notes, and sending suggestions to the author.
FORMULA / RULE:
Fork → clone → branch → commit → push → pull request
EXAMPLE 1:
Forking a small library first to fix a typo in it.
EXAMPLE 2:
Working on a fork to add a new feature to an open-source tool.
EXAMPLE 3:
Keeping an abandoned project alive in your own copy.
RELATED CONCEPTS:
clone, pull request, upstream, origin
FAMILY / GROUP:
fork, clone, upstream, origin, pull request
WHERE IT IS USED:
Open-source contribution | Experiments | Continuing an old project
MINI CONVERSATION:
A: I want to fix a bug in this library but I have no permission. | B: Fork it first, fix it in your fork, and send a pull request.
COMMON MISTAKE:
✗ Fork and clone are the same thing → ✓ A fork is a copy on GitHub in your account, while a clone brings a copy onto your computer
DON'T CONFUSE WITH:
Fork vs clone: a fork makes a copy on GitHub, a clone brings a copy to your computer.
AVOID / DON'T:
Do not let your fork drift away, keep syncing it with upstream.
MEMORY TRICK:
Fork means a Fresh copy of my own.
REAL LIFE: PROJECT / WORK:
Forking an open-source library to fix a bug and sending a pull request.
REAL LIFE: INTERVIEW / EXAM:
An interviewer may ask: What is the difference between a fork and a clone?
REAL LIFE: DAILY LIFE:
It is like photocopying a book and writing your own notes in it.</t>
        </is>
      </c>
      <c r="C24" s="29" t="inlineStr">
        <is>
          <t>03_Collaboration_Beginner_GIT-023</t>
        </is>
      </c>
    </row>
    <row r="25" ht="409" customHeight="1">
      <c r="A25" s="29" t="inlineStr">
        <is>
          <t>Pull request (PR)
What is GitHub's way of asking teammates to review your branch before it is merged into main?</t>
        </is>
      </c>
      <c r="B25" s="29" t="inlineStr">
        <is>
          <t>DEFINITION (SIMPLE):
A pull request is a GitHub request asking for the commits on your branch to be merged into another branch after review.
HOW / WHY IT WORKS:
A PR contains commits, a diff, comments, checks and reviews. Reviewers approve and then the Merge, Squash or Rebase button brings the work into main. Commits you push to the branch afterwards join the same PR.
SIMPLE EXPLANATION (HINGLISH):
In a PR you say what you changed and why. Teammates look, suggest fixes, and when all is good the work merges into main.
REAL-LIFE ANALOGY:
It is like submitting an assignment that the teacher checks before giving marks.
FORMULA / RULE:
Make a branch → commits → push → open a PR → review → merge
EXAMPLE 1:
A developer opens a PR for a login feature and two teammates approve it.
EXAMPLE 2:
An open-source contributor sends a PR with a typo fix from a fork.
EXAMPLE 3:
A team waits for CI checks to pass on a bug-fix PR.
RELATED CONCEPTS:
branch, code review, merge, issue
FAMILY / GROUP:
PR, review, approve, merge, squash
WHERE IT IS USED:
Team development | Open-source | Code quality checks
MINI CONVERSATION:
A: The feature is built, how does it get into main? | B: Push the branch and open a PR, and it merges after review.
COMMON MISTAKE:
✗ A pull request means pulling your code toward you → ✓ A pull request is a request to merge your changes into another branch, so the name is old but it works like a merge request
DON'T CONFUSE WITH:
PR vs git pull: a PR is a review request on GitHub, git pull is a command that fetches remote code.
AVOID / DON'T:
Do not open huge PRs, they tire the reviewers.
MEMORY TRICK:
PR simply means Please Review it.
REAL LIFE: PROJECT / WORK:
Getting every feature reviewed through a PR before it enters main.
REAL LIFE: INTERVIEW / EXAM:
An interviewer may ask: What is the difference between merge, squash and rebase merge?
REAL LIFE: DAILY LIFE:
It is like handing in an assignment and getting it marked.</t>
        </is>
      </c>
      <c r="C25" s="29" t="inlineStr">
        <is>
          <t>03_Collaboration_Intermediate_GIT-024</t>
        </is>
      </c>
    </row>
    <row r="26" ht="409" customHeight="1">
      <c r="A26" s="29" t="inlineStr">
        <is>
          <t>Code review
What is the process of reading a teammate's code in a PR, line by line, suggesting changes and approving it?</t>
        </is>
      </c>
      <c r="B26" s="29" t="inlineStr">
        <is>
          <t>DEFINITION (SIMPLE):
In a code review other developers read the change, suggest improvements and approve it when it looks good.
HOW / WHY IT WORKS:
GitHub reviews end in one of three ways: Comment, Approve, or Request changes. A reviewer can leave a suggestion on a line that the author applies with one click. Branch protection rules can require approvals.
SIMPLE EXPLANATION (HINGLISH):
In a review you read your teammate's code carefully and say what is good and what should change. Keep your words clear and kind.
REAL-LIFE ANALOGY:
It is like having someone else read your essay to find mistakes.
FORMULA / RULE:
Understand → check the logic → look at the tests → write clear comments
EXAMPLE 1:
A reviewer spots an off-by-one mistake in a loop and sends a suggestion.
EXAMPLE 2:
A reviewer points out that a function name does not show what it does.
EXAMPLE 3:
A reviewer notes a security gap because input was not validated.
RELATED CONCEPTS:
pull request, approve, branch protection, CODEOWNERS
FAMILY / GROUP:
review, approve, request changes, suggestion
WHERE IT IS USED:
Team development | Open-source | Security checks
MINI CONVERSATION:
A: My PR is stuck. | B: The reviewer asked for changes, so read the comments and push a fix.
COMMON MISTAKE:
✗ Review is only for finding mistakes → ✓ Review also gives praise for good work, suggestions and learning, not just criticism
DON'T CONFUSE WITH:
Review vs testing: review checks logic and design through human eyes, testing runs the code to check the result.
AVOID / DON'T:
Do not make personal remarks, speak only about the code.
MEMORY TRICK:
Review means a Reader Verifies and helps You grow.
REAL LIFE: PROJECT / WORK:
Requiring at least one approval on every PR.
REAL LIFE: INTERVIEW / EXAM:
An interviewer may ask: What does a good code review comment look like?
REAL LIFE: DAILY LIFE:
It is like asking someone to read your essay and find mistakes.</t>
        </is>
      </c>
      <c r="C26" s="29" t="inlineStr">
        <is>
          <t>03_Collaboration_Intermediate_GIT-025</t>
        </is>
      </c>
    </row>
    <row r="27" ht="409" customHeight="1">
      <c r="A27" s="29" t="inlineStr">
        <is>
          <t>GitHub Issues
Which part of GitHub is used to record bugs, questions and feature ideas and discuss them?</t>
        </is>
      </c>
      <c r="B27" s="29" t="inlineStr">
        <is>
          <t>DEFINITION (SIMPLE):
An issue is a tracked record on GitHub of a bug, task or idea, with discussion and labels.
HOW / WHY IT WORKS:
An issue has a number such as #42. To link it to a PR, write Fixes #42 in the commit or PR, and the issue closes itself when the PR merges. Labels, assignees and milestones help organise work.
SIMPLE EXPLANATION (HINGLISH):
In an issue you write what the problem is. Then someone works on it, writes Fixes #42 in the PR, and the issue closes when it merges.
REAL-LIFE ANALOGY:
It is like an entry in a complaint register with a number and a person in charge.
FORMULA / RULE:
Open an issue → assign it → write Fixes #N in the PR → it closes on merge
EXAMPLE 1:
A user reports that the login button does not work.
EXAMPLE 2:
A maintainer adds a good first issue label to invite newcomers.
EXAMPLE 3:
A team puts ten issues into a milestone to plan a release.
RELATED CONCEPTS:
pull request, labels, milestone, project board
FAMILY / GROUP:
issue, label, assignee, milestone, close
WHERE IT IS USED:
Bug tracking | Feature requests | Open-source onboarding
MINI CONVERSATION:
A: Where should I record this bug? | B: Open an issue on GitHub and write Fixes #12 in the PR.
COMMON MISTAKE:
✗ Issues are only for reporting bugs → ✓ Issues are also used for questions, new ideas, task lists and discussion
DON'T CONFUSE WITH:
Issue vs PR: an issue records a problem or task, a PR is how you send a solution for it.
AVOID / DON'T:
Do not put many unrelated problems into one issue.
MEMORY TRICK:
Issue means Include the Situation clearly.
REAL LIFE: PROJECT / WORK:
Opening an issue for every bug and writing Fixes #N in the PR.
REAL LIFE: INTERVIEW / EXAM:
An interviewer may ask: How do you link an issue to a PR?
REAL LIFE: DAILY LIFE:
It is like an entry in a complaint register with a number.</t>
        </is>
      </c>
      <c r="C27" s="29" t="inlineStr">
        <is>
          <t>03_Collaboration_Beginner_GIT-026</t>
        </is>
      </c>
    </row>
    <row r="28" ht="409" customHeight="1">
      <c r="A28" s="29" t="inlineStr">
        <is>
          <t>Collaborators and roles
Which system decides how much permission a person has on a repo, such as reading, writing or changing settings?</t>
        </is>
      </c>
      <c r="B28" s="29" t="inlineStr">
        <is>
          <t>DEFINITION (SIMPLE):
Collaborators are people given access to a repo, and the role (Read, Triage, Write, Maintain, Admin) sets what they can do.
HOW / WHY IT WORKS:
Read: view and clone. Triage: manage issues and PRs. Write: push. Maintain: run the repo without risky settings. Admin: everything, including delete. In an organisation you create teams to give roles together.
SIMPLE EXPLANATION (HINGLISH):
Give each person only as much permission as their work needs. A new teammate may get Write, but Admin should go only to trusted people.
REAL-LIFE ANALOGY:
It is like office key cards that open different rooms for different people.
FORMULA / RULE:
Read &lt; Triage &lt; Write &lt; Maintain &lt; Admin
EXAMPLE 1:
An intern gets the Read role so they can only look at the code.
EXAMPLE 2:
A developer gets the Write role so they can push branches.
EXAMPLE 3:
The project lead gets the Admin role to manage settings and collaborators.
RELATED CONCEPTS:
organisation, team, branch protection, private repo
FAMILY / GROUP:
collaborator, role, permission, team
WHERE IT IS USED:
Company repos | Open-source maintainers | Student group projects
MINI CONVERSATION:
A: The new teammate cannot push. | B: Add them as a collaborator and give them the Write role.
COMMON MISTAKE:
✗ A collaborator is always the admin of the repo → ✓ Collaborators get different levels of access, and admin is only the highest role
DON'T CONFUSE WITH:
Collaborator vs fork: a collaborator gets permission on the repo directly, while a forker works in their own copy and sends a PR.
AVOID / DON'T:
Do not give everyone the Admin role.
MEMORY TRICK:
Roles mean Rights only as much as the work.
REAL LIFE: PROJECT / WORK:
Making teams in an organisation and giving each team only the Write role on its own repo.
REAL LIFE: INTERVIEW / EXAM:
An interviewer may ask: What are GitHub's permission levels?
REAL LIFE: DAILY LIFE:
It is like key cards that open different rooms for different people.</t>
        </is>
      </c>
      <c r="C28" s="29" t="inlineStr">
        <is>
          <t>03_Collaboration_Intermediate_GIT-027</t>
        </is>
      </c>
    </row>
    <row r="29" ht="409" customHeight="1">
      <c r="A29" s="29" t="inlineStr">
        <is>
          <t>Syncing a fork with upstream
How do you keep your fork up to date with the new commits of the original project?
git remote add upstream https://github.com/octocat/Hello-World.git
git fetch upstream
git switch main
git merge upstream/main
git push origin main</t>
        </is>
      </c>
      <c r="B29" s="29" t="inlineStr">
        <is>
          <t>MEANING (SHORT):
Syncing a fork means bringing the original repo's new commits into your fork.
CODE:
git remote add upstream https://github.com/octocat/Hello-World.git
git fetch upstream
git switch main
git merge upstream/main
git push origin main
OUTPUT:
From https://github.com/octocat/Hello-World
 * [new branch]      main -&gt; upstream/main
Fast-forward
EXPLANATION:
Origin is your fork and upstream is the original repo. You add upstream as a remote once, then fetch, merge into your main, and push to your fork whenever needed. GitHub's Sync fork button does the same.
SIMPLE EXPLANATION (HINGLISH):
A fork is a one-time copy while the original keeps changing. So you add an upstream remote, fetch, merge, and push to your fork.
REAL-LIFE ANALOGY:
It is like asking again for photocopies of the new pages in someone's notes.
SYNTAX PATTERN:
git fetch upstream &amp;&amp; git merge upstream/main
ANATOMY:
upstream = remote of the original repo | origin = your fork | upstream/main = main branch of the original
EXAMPLE 1:
git remote add upstream https://github.com/octocat/Hello-World.git
EXAMPLE 2:
git fetch upstream
EXAMPLE 3:
git merge upstream/main
VARIATION:
git rebase upstream/main   # rebase instead of merge
git remote -v   # see both origin and upstream
USED WITH:
git remote, git fetch, git merge, origin
RELATED CONCEPTS:
fork, git remote, git fetch
ALTERNATIVES:
The Sync fork button on GitHub
FAMILY / GROUP:
upstream, origin, fork, fetch, merge
WHERE IT IS USED:
Open-source contributions | Long-lived forks | Refreshing before a PR
MINI CONVERSATION:
A: My fork has become outdated. | B: Add the upstream remote, fetch, merge, and push.
COMMON MISTAKE:
✗ A fork updates itself along with the original → ✓ A fork does not update itself, so you must fetch and merge from upstream or use the Sync fork button
COMMONLY CONFUSED WITH:
origin vs upstream: origin is your fork, upstream is the original project you forked.
AVOID / DON'T:
Do not try to push to the original project's main branch.
WRONG CODE:
git remote add origin https://github.com/octocat/Hello-World.git
RIGHT CODE:
git remote add upstream https://github.com/octocat/Hello-World.git
MEMORY TRICK:
Upstream is the spring at the top.
REAL LIFE: PROJECT / WORK:
Syncing your fork with upstream before opening an open-source PR.
REAL LIFE: INTERVIEW / EXAM:
An interviewer may ask: What is the difference between origin and upstream?
REAL LIFE: DAILY LIFE:
It is like asking for copies of the new pages of someone's notes.</t>
        </is>
      </c>
      <c r="C29" s="29" t="inlineStr">
        <is>
          <t>03_Collaboration_Intermediate_GIT-028</t>
        </is>
      </c>
    </row>
    <row r="30" ht="409" customHeight="1">
      <c r="A30" s="29" t="inlineStr">
        <is>
          <t>Branch protection and CODEOWNERS
What GitHub feature blocks direct pushes to main and requires reviews or checks first?</t>
        </is>
      </c>
      <c r="B30" s="29" t="inlineStr">
        <is>
          <t>DEFINITION (SIMPLE):
Branch protection rules stop force pushes, direct pushes and merges without review on branches like main, and CODEOWNERS says who reviews which files.
HOW / WHY IT WORKS:
Rules include required reviews, required status checks, linear history and blocking force pushes. In .github/CODEOWNERS you write a path followed by the users or teams whose review is requested automatically on a PR.
SIMPLE EXPLANATION (HINGLISH):
These rules say nothing goes straight into main. You need a PR, passing checks and approval from the right people. CODEOWNERS says who owns which file.
REAL-LIFE ANALOGY:
It is like a vault that needs two different people's keys to open.
FORMULA / RULE:
Main protected → PR + checks + approval → merge; CODEOWNERS: path @owner
EXAMPLE 1:
Main now needs at least one approval and CI passing.
EXAMPLE 2:
The docs team reviews /docs/, as written in CODEOWNERS.
EXAMPLE 3:
Force pushes and branch deletion are blocked to protect the history.
RELATED CONCEPTS:
pull request, CI, code review, rulesets
FAMILY / GROUP:
protection, rule, ruleset, required check, owner
WHERE IT IS USED:
Production repos | Open-source maintainers | Security and compliance
MINI CONVERSATION:
A: I cannot push to main. | B: Branch protection is on, so open a PR and get approval.
COMMON MISTAKE:
✗ Branch protection does not apply to admins → ✓ Rules can apply to admins too, when the option to allow bypassing is turned off
DON'T CONFUSE WITH:
Branch protection vs permissions: permissions say who can do what, protection puts rules on the branch however permitted the person is.
AVOID / DON'T:
Do not leave main unprotected.
MEMORY TRICK:
Protect means review first, then merge.
REAL LIFE: PROJECT / WORK:
Putting required checks and one approval on the main branch.
REAL LIFE: INTERVIEW / EXAM:
An interviewer may ask: What does a CODEOWNERS file do?
REAL LIFE: DAILY LIFE:
It is like a vault with two locks and separate keys.</t>
        </is>
      </c>
      <c r="C30" s="29" t="inlineStr">
        <is>
          <t>03_Collaboration_Advanced_GIT-029</t>
        </is>
      </c>
    </row>
    <row r="31" ht="409" customHeight="1">
      <c r="A31" s="29" t="inlineStr">
        <is>
          <t>Git workflows (feature branch, GitFlow, trunk-based)
What are the agreed ways teams create branches and decide when to merge called?</t>
        </is>
      </c>
      <c r="B31" s="29" t="inlineStr">
        <is>
          <t>DEFINITION (SIMPLE):
A Git workflow is a set of rules for how branches are made, when they are merged and how releases are cut.
HOW / WHY IT WORKS:
Feature branch: a branch and PR for each task. GitFlow: main, develop, feature, release and hotfix branches. Trunk-based: small changes go straight to main (the trunk), with feature flags. The choice depends on team size and release speed.
SIMPLE EXPLANATION (HINGLISH):
There are three main ways. Feature branch is the most common and simple. GitFlow suits big teams with scheduled releases. Trunk-based suits teams that release often.
REAL-LIFE ANALOGY:
It is like different ways of cooking in one kitchen: in one pot, in many pots, or from a plan.
FORMULA / RULE:
Feature branch: main + feature/*; GitFlow: main + develop + feature + release + hotfix; Trunk-based: main + short branches
EXAMPLE 1:
A small team uses a feature branch and a PR for every task.
EXAMPLE 2:
Software with many versions uses GitFlow to manage release branches.
EXAMPLE 3:
A fast web company that deploys many times a day uses trunk-based development.
RELATED CONCEPTS:
branch, pull request, release, feature flag
FAMILY / GROUP:
GitFlow, trunk-based, feature branch, release branch, hotfix
WHERE IT IS USED:
Team development | Release planning | CI/CD
MINI CONVERSATION:
A: Which workflow should our team use? | B: Start with feature branches if the team is small, and change when needed.
COMMON MISTAKE:
✗ GitFlow is the best workflow for every team → ✓ No single workflow is best, and GitFlow can be heavy for small or fast-releasing teams
DON'T CONFUSE WITH:
GitFlow vs trunk-based: GitFlow has long-lived and release branches, trunk-based merges small work into main quickly.
AVOID / DON'T:
Do not keep long-lived branches, they increase conflicts.
MEMORY TRICK:
A small team needs a small road.
REAL LIFE: PROJECT / WORK:
Writing the agreed workflow in the README so the whole team follows it.
REAL LIFE: INTERVIEW / EXAM:
An interviewer may ask: What is the difference between GitFlow and trunk-based development?
REAL LIFE: DAILY LIFE:
It is like the traffic rules that decide who goes where.</t>
        </is>
      </c>
      <c r="C31" s="29" t="inlineStr">
        <is>
          <t>03_Collaboration_Advanced_GIT-030</t>
        </is>
      </c>
    </row>
    <row r="32" ht="409" customHeight="1">
      <c r="A32" s="29" t="inlineStr">
        <is>
          <t>git restore
How do you put an accidentally changed file back to how it was in the last commit, or unstage a staged file?
git restore index.html
git restore --staged index.html</t>
        </is>
      </c>
      <c r="B32" s="29" t="inlineStr">
        <is>
          <t>MEANING (SHORT):
git restore puts a file back to the last commit or staged state.
CODE:
git restore index.html
git restore --staged index.html
OUTPUT:
(no output; the file is restored or unstaged)
EXPLANATION:
Without options, restore returns the working file to the staged or last committed version and throws away uncommitted changes. --staged takes the file out of the staging area but leaves its changes in the file.
SIMPLE EXPLANATION (HINGLISH):
If a file got spoiled, git restore file makes it like the last commit again. Be careful, uncommitted changes do not come back.
REAL-LIFE ANALOGY:
It is like erasing a pencil smudge and bringing the page back to clean.
SYNTAX PATTERN:
git restore [--staged] &lt;path&gt;
ANATOMY:
git restore = command | --staged = remove from staging | &lt;path&gt; = the file
EXAMPLE 1:
git restore style.css
EXAMPLE 2:
git restore --staged style.css
EXAMPLE 3:
git restore --source=HEAD~2 app.js
VARIATION:
git restore .   # all changed files
git restore --source=&lt;commit&gt; &lt;file&gt;   # from an older version
USED WITH:
--staged, --source, git status, git diff
RELATED CONCEPTS:
git reset, git checkout, git stash
ALTERNATIVES:
git checkout -- &lt;file&gt; (the old way)
FAMILY / GROUP:
git restore, git reset, git checkout, git revert, git stash
WHERE IT IS USED:
A file spoiled by mistake | Unstaging a file | Looking at an older version
MINI CONVERSATION:
A: I messed up this file by accident. | B: Run git restore on it and it will match the last commit.
COMMON MISTAKE:
✗ git restore --staged also wipes the change out of the file → ✓ --staged only removes it from staging, and the change stays in the working file
COMMONLY CONFUSED WITH:
git restore vs git revert: restore brings a file back, revert makes a new commit that undoes an old one.
AVOID / DON'T:
Do not run git restore . without looking at the diff.
WRONG CODE:
git restore --unstage index.html
RIGHT CODE:
git restore --staged index.html
MEMORY TRICK:
Restore means Return to the previous clean version.
REAL LIFE: PROJECT / WORK:
Putting a config file that was changed by mistake back to the last commit.
REAL LIFE: INTERVIEW / EXAM:
An interviewer may ask: What is the difference between git restore and git reset?
REAL LIFE: DAILY LIFE:
It is like rubbing out a pencil smudge with an eraser.</t>
        </is>
      </c>
      <c r="C32" s="29" t="inlineStr">
        <is>
          <t>04_Undo_&amp;_Fix_Mistakes_Intermediate_GIT-031</t>
        </is>
      </c>
    </row>
    <row r="33" ht="409" customHeight="1">
      <c r="A33" s="29" t="inlineStr">
        <is>
          <t>git revert
An earlier commit turned out to be wrong. What do you run to undo its effect without rewriting history?
git revert 8b7d1e2
git log --oneline -2</t>
        </is>
      </c>
      <c r="B33" s="29" t="inlineStr">
        <is>
          <t>MEANING (SHORT):
git revert creates a new commit that undoes the effect of an earlier commit.
CODE:
git revert 8b7d1e2
git log --oneline -2
OUTPUT:
c4a8f19 Revert "Fix refund rounding"
8b7d1e2 Fix refund rounding
EXPLANATION:
Revert does not touch the old history. It adds a new commit doing the opposite of the old one, so it is safe for commits that were pushed. Reverting a merge commit needs the -m flag.
SIMPLE EXPLANATION (HINGLISH):
Revert does not change history, it adds one more commit that cancels the bad change. Nobody else is disturbed.
REAL-LIFE ANALOGY:
It is like writing a reverse entry under a wrong ledger entry.
SYNTAX PATTERN:
git revert &lt;commit&gt;
ANATOMY:
git revert = command | &lt;commit&gt; = the commit to undo | -m 1 = parent for a merge commit
EXAMPLE 1:
git revert 8b7d1e2
EXAMPLE 2:
git revert HEAD
EXAMPLE 3:
git revert -m 1 d9e0a31
VARIATION:
git revert --no-commit HEAD~2..HEAD   # many commits into one
git revert --abort
USED WITH:
git log, -m, --no-commit
RELATED CONCEPTS:
git reset, git restore, git log
ALTERNATIVES:
git reset (for local work only)
FAMILY / GROUP:
git revert, git reset, git restore, git commit, git log
WHERE IT IS USED:
A bad deploy in production | Fixing a shared branch | Release rollback
MINI CONVERSATION:
A: A wrong commit went into main. | B: Undo it with git revert and the history stays safe.
COMMON MISTAKE:
✗ git revert deletes the commit from history → ✓ Revert does not delete history, it adds a new commit that has the opposite effect
COMMONLY CONFUSED WITH:
git revert vs git reset: revert adds a reversing commit, reset pulls history backwards.
AVOID / DON'T:
Do not use reset to rewrite a shared branch, use revert.
WRONG CODE:
git revert 8b7d1e2 --delete
RIGHT CODE:
git revert 8b7d1e2
MEMORY TRICK:
Revert means Reverse commit Recorded.
REAL LIFE: PROJECT / WORK:
Reverting the commit and pushing straight away after a bad production deploy.
REAL LIFE: INTERVIEW / EXAM:
An interviewer may ask: What is the difference between git revert and git reset?
REAL LIFE: DAILY LIFE:
It is like writing a reverse entry under a wrong ledger entry.</t>
        </is>
      </c>
      <c r="C33" s="29" t="inlineStr">
        <is>
          <t>04_Undo_&amp;_Fix_Mistakes_Intermediate_GIT-032</t>
        </is>
      </c>
    </row>
    <row r="34" ht="409" customHeight="1">
      <c r="A34" s="29" t="inlineStr">
        <is>
          <t>git reset
Which command pulls HEAD back to undo commits or staging, and what are its three modes?
git reset --soft HEAD~1   # keep changes staged
git reset --mixed HEAD~1   # keep changes unstaged
git reset --hard HEAD~1   # discard changes</t>
        </is>
      </c>
      <c r="B34" s="29" t="inlineStr">
        <is>
          <t>MEANING (SHORT):
git reset moves HEAD and the branch to an older commit and, depending on the mode, also changes staging and files.
CODE:
git reset --soft HEAD~1   # keep changes staged
git reset --mixed HEAD~1   # keep changes unstaged
git reset --hard HEAD~1   # discard changes
OUTPUT:
HEAD is now at 3f2a9c1 Add homepage heading
EXPLANATION:
--soft: the commit goes but the changes stay staged. --mixed (the default): the changes leave staging but stay in the files. --hard: the changes vanish from the files too. On pushed commits, reset rewrites history, so use it for local work only. These are three alternatives, so run only one of them.
SIMPLE EXPLANATION (HINGLISH):
Reset takes your branch backwards. With soft your work stays staged, with mixed it stays in files, with hard it is wiped. Be careful with hard.
REAL-LIFE ANALOGY:
It is like rewinding a video, where soft remembers the scene and hard forgets it all.
SYNTAX PATTERN:
git reset [--soft|--mixed|--hard] &lt;commit&gt;
ANATOMY:
git reset = command | --soft/--mixed/--hard = mode | &lt;commit&gt; = where to go back to
EXAMPLE 1:
git reset --soft HEAD~1
EXAMPLE 2:
git reset HEAD~2
EXAMPLE 3:
git reset --hard origin/main
VARIATION:
git reset HEAD file.txt   # unstage a file
git reset --hard ORIG_HEAD   # undo a reset
USED WITH:
HEAD~1, --soft, --hard, git reflog
RELATED CONCEPTS:
git revert, git restore, git reflog
ALTERNATIVES:
git revert (for shared branches)
FAMILY / GROUP:
git reset, git revert, git restore, git reflog, git stash
WHERE IT IS USED:
Changing the last local commit | Clearing the staging area | Making a branch match the remote
MINI CONVERSATION:
A: I made a wrong commit but have not pushed yet. | B: Run git reset --soft HEAD~1 and your work stays staged.
COMMON MISTAKE:
✗ A commit erased with git reset --hard is lost forever → ✓ The commit can still be found in git reflog for a while and brought back, but uncommitted changes cannot
COMMONLY CONFUSED WITH:
git reset vs git revert: reset pulls history backwards, revert adds a reversing commit.
AVOID / DON'T:
Do not run git reset --hard on a pushed, shared branch.
WRONG CODE:
git reset --hard HEAD~1 --keep-staged
RIGHT CODE:
git reset --soft HEAD~1
MEMORY TRICK:
Soft keeps the work, Hard hurts the work.
REAL LIFE: PROJECT / WORK:
Soft-resetting a wrong last commit on a local feature branch and committing it again properly.
REAL LIFE: INTERVIEW / EXAM:
An interviewer may ask: What is the difference between soft, mixed and hard reset?
REAL LIFE: DAILY LIFE:
It is like rewinding a video to watch a scene again.</t>
        </is>
      </c>
      <c r="C34" s="29" t="inlineStr">
        <is>
          <t>04_Undo_&amp;_Fix_Mistakes_Intermediate_GIT-033</t>
        </is>
      </c>
    </row>
    <row r="35" ht="409" customHeight="1">
      <c r="A35" s="29" t="inlineStr">
        <is>
          <t>git stash
How do you set half-finished work aside without committing so you can switch branches?
git stash push -m "wip login form"
git switch main
git stash pop</t>
        </is>
      </c>
      <c r="B35" s="29" t="inlineStr">
        <is>
          <t>MEANING (SHORT):
git stash saves uncommitted changes onto a stack and cleans your working folder.
CODE:
git stash push -m "wip login form"
git switch main
git stash pop
OUTPUT:
Saved working directory and index state On feature/login: wip login form
On branch main
Dropped refs/stash@{0}
EXPLANATION:
Stash stores tracked changes (and with -u, untracked files too) on a stack. You list them with git stash list, bring one back and remove it with git stash pop, or bring it back and keep it with git stash apply.
SIMPLE EXPLANATION (HINGLISH):
If another task suddenly arrives, stash your work, switch branches, do the other job, then come back and run git stash pop.
REAL-LIFE ANALOGY:
It is like putting an unfinished letter in a drawer and taking it out later.
SYNTAX PATTERN:
git stash [push|pop|apply|list]
ANATOMY:
git stash push = hide away | pop = bring back and remove | apply = bring back and keep | list = show the list
EXAMPLE 1:
git stash
EXAMPLE 2:
git stash push -m "wip search"
EXAMPLE 3:
git stash apply stash@{1}
VARIATION:
git stash -u   # include untracked files
git stash list   # the list
git stash drop stash@{0}   # remove one
USED WITH:
pop, apply, list, -u
RELATED CONCEPTS:
git switch, git restore, git commit
ALTERNATIVES:
Making a WIP commit and amending it later
FAMILY / GROUP:
git stash, git stash pop, git stash apply, git switch, git restore
WHERE IT IS USED:
Before changing branches | Before a pull | For a sudden bug fix
MINI CONVERSATION:
A: I am halfway through and need to fix a bug right now. | B: Stash your work, switch branches, and bring it back later with git stash pop.
COMMON MISTAKE:
✗ git stash also hides new untracked files automatically → ✓ Without the -u flag, stash saves only changes to tracked files
COMMONLY CONFUSED WITH:
stash pop vs stash apply: pop restores the changes and removes the stash, apply restores them but keeps the stash.
AVOID / DON'T:
Do not pile up many unnamed stashes.
WRONG CODE:
git stash save pop
RIGHT CODE:
git stash pop
MEMORY TRICK:
Stash tucks it away, Pop brings it back.
REAL LIFE: PROJECT / WORK:
Stashing half-done work to fix something on another branch after a review comment.
REAL LIFE: INTERVIEW / EXAM:
An interviewer may ask: What is the difference between git stash pop and git stash apply?
REAL LIFE: DAILY LIFE:
It is like putting an unfinished letter in a drawer.</t>
        </is>
      </c>
      <c r="C35" s="29" t="inlineStr">
        <is>
          <t>04_Undo_&amp;_Fix_Mistakes_Intermediate_GIT-034</t>
        </is>
      </c>
    </row>
    <row r="36" ht="409" customHeight="1">
      <c r="A36" s="29" t="inlineStr">
        <is>
          <t>git commit --amend
What lets you change the message of the commit you just made, or add a file you forgot to it?
git add forgotten.js
git commit --amend --no-edit</t>
        </is>
      </c>
      <c r="B36" s="29" t="inlineStr">
        <is>
          <t>MEANING (SHORT):
git commit --amend replaces the last commit with a new message or new changes.
CODE:
git add forgotten.js
git commit --amend --no-edit
OUTPUT:
[main 9d2c3b1] Add login form
 Date: Mon Oct 5 10:12:00 2026
 2 files changed, 20 insertions(+)
EXPLANATION:
Amend replaces the last commit with a new one, so the hash changes. If you amend a pushed commit, history changes and you would need a force push, which is wrong for a shared branch.
SIMPLE EXPLANATION (HINGLISH):
If you spot a mistake right after committing, amend the same commit. Do it only when the commit has not been pushed.
REAL-LIFE ANALOGY:
It is like rubbing out the last line and writing it again.
SYNTAX PATTERN:
git commit --amend [-m "&lt;message&gt;"] [--no-edit]
ANATOMY:
--amend = change the last commit | -m = new message | --no-edit = keep the message
EXAMPLE 1:
git commit --amend -m "Add login form validation"
EXAMPLE 2:
git commit --amend --no-edit
EXAMPLE 3:
git commit --amend --author="Asha &lt;asha@example.com&gt;"
VARIATION:
git commit --amend --no-edit   # only add the newly staged file
git commit --amend --reset-author
USED WITH:
git add, --no-edit, -m
RELATED CONCEPTS:
git reset, git rebase -i, git push --force-with-lease
ALTERNATIVES:
Making a new commit
FAMILY / GROUP:
git commit, git commit --amend, git reset, git rebase, git push
WHERE IT IS USED:
Right after a commit | A typo in the message | Adding a forgotten file
MINI CONVERSATION:
A: I forgot a file in my commit. | B: Add the file and run git commit --amend --no-edit.
COMMON MISTAKE:
✗ It is safe to amend a pushed commit → ✓ Amending after a push rewrites history and needs a force push, which can trouble other people
COMMONLY CONFUSED WITH:
amend vs a new commit: amend replaces the old one, a new commit adds another entry to history.
AVOID / DON'T:
Do not amend and then force push on a shared branch.
WRONG CODE:
git commit --amend -a --push
RIGHT CODE:
git commit --amend --no-edit
MEMORY TRICK:
Amend means fix the last one and Move on.
REAL LIFE: PROJECT / WORK:
Fixing a typo in the message right after committing with amend.
REAL LIFE: INTERVIEW / EXAM:
An interviewer may ask: Why does the commit hash change after an amend?
REAL LIFE: DAILY LIFE:
It is like rubbing out the last line and writing it again.</t>
        </is>
      </c>
      <c r="C36" s="29" t="inlineStr">
        <is>
          <t>04_Undo_&amp;_Fix_Mistakes_Intermediate_GIT-035</t>
        </is>
      </c>
    </row>
    <row r="37" ht="409" customHeight="1">
      <c r="A37" s="29" t="inlineStr">
        <is>
          <t>git rebase
How do you replay your branch's commits on top of another branch's latest work without creating a merge commit?
git switch feature/login
git rebase main</t>
        </is>
      </c>
      <c r="B37" s="29" t="inlineStr">
        <is>
          <t>MEANING (SHORT):
git rebase replays the commits of the current branch on top of another branch.
CODE:
git switch feature/login
git rebase main
OUTPUT:
Successfully rebased and updated refs/heads/feature/login.
EXPLANATION:
Rebase rebuilds each commit on the new base with a new hash. The history looks straight but the hashes change. Rebasing a pushed branch needs a force push, so do it only on private branches.
SIMPLE EXPLANATION (HINGLISH):
Rebase makes your feature branch look as if you had started your work after main's latest code. The history is clean, but your commits are rewritten.
REAL-LIFE ANALOGY:
It is like copying your own pages to the end of a newer book.
SYNTAX PATTERN:
git rebase &lt;base-branch&gt;
ANATOMY:
git rebase = command | &lt;base-branch&gt; = the branch to place your commits on
EXAMPLE 1:
git rebase main
EXAMPLE 2:
git rebase --continue
EXAMPLE 3:
git rebase --onto main old-base feature
VARIATION:
git rebase --abort   # stop
git pull --rebase   # pull with rebase
USED WITH:
--continue, --abort, git pull --rebase
RELATED CONCEPTS:
git merge, git rebase -i, git reflog
ALTERNATIVES:
git merge
FAMILY / GROUP:
git rebase, git merge, git cherry-pick, git reflog, git pull
WHERE IT IS USED:
Updating a feature branch from main | Keeping history clean | Before a PR
MINI CONVERSATION:
A: My branch has fallen behind main. | B: Run git rebase main and your commits will sit on top of main.
COMMON MISTAKE:
✗ Rebase and merge give the same result → ✓ Rebase straightens history but changes the commit hashes, while merge keeps the original commits
COMMONLY CONFUSED WITH:
rebase vs merge: merge joins histories, rebase rewrites commits on a new base.
AVOID / DON'T:
Do not rebase a shared or already pushed branch.
WRONG CODE:
git rebase feature main --push
RIGHT CODE:
git rebase main
MEMORY TRICK:
Rebase means setting a new base.
REAL LIFE: PROJECT / WORK:
Rebasing a feature branch onto the latest main before the PR so the history stays straight.
REAL LIFE: INTERVIEW / EXAM:
An interviewer may ask: What is the golden rule of rebase?
REAL LIFE: DAILY LIFE:
It is like copying your own pages to the end of a new book.</t>
        </is>
      </c>
      <c r="C37" s="29" t="inlineStr">
        <is>
          <t>05_Advanced_Git_Advanced_GIT-036</t>
        </is>
      </c>
    </row>
    <row r="38" ht="409" customHeight="1">
      <c r="A38" s="29" t="inlineStr">
        <is>
          <t>git rebase -i (interactive rebase)
Which rebase lets you combine several small commits, reword messages, or reorder them?
git rebase -i HEAD~3</t>
        </is>
      </c>
      <c r="B38" s="29" t="inlineStr">
        <is>
          <t>MEANING (SHORT):
git rebase -i lets you pick, squash, reword, drop or reorder commits in an editor.
CODE:
git rebase -i HEAD~3
OUTPUT:
pick 3f2a9c1 Add form
squash 8b7d1e2 Fix typo
reword 5c3a2f0 wip
EXPLANATION:
In the editor you write pick, reword, squash, fixup or drop beside each commit. squash joins a commit into the previous one, fixup does so without its message, reword changes the message, and drop removes the commit. The hashes change, so use it only on private branches.
SIMPLE EXPLANATION (HINGLISH):
With interactive rebase you tidy your history before a PR: join small fix typo commits into the main one and write a good message.
REAL-LIFE ANALOGY:
It is like editing a rough draft into a final copy.
SYNTAX PATTERN:
git rebase -i &lt;commit&gt;
ANATOMY:
git rebase -i = interactive | &lt;commit&gt; = the point after which commits are edited | pick/squash/reword = instructions
EXAMPLE 1:
git rebase -i HEAD~3
EXAMPLE 2:
git rebase -i main
EXAMPLE 3:
git rebase -i --autosquash main
VARIATION:
git commit --fixup &lt;hash&gt;   # for autosquash later
git rebase --continue
USED WITH:
HEAD~N, squash, fixup, reword
RELATED CONCEPTS:
git rebase, git commit --amend, git reflog
ALTERNATIVES:
Squash and merge on GitHub
FAMILY / GROUP:
git rebase -i, squash, fixup, reword, drop
WHERE IT IS USED:
Tidying before a PR | Joining small fix commits | Improving commit messages
MINI CONVERSATION:
A: My PR has eight tiny fix commits. | B: Squash them into one or two clean commits with git rebase -i.
COMMON MISTAKE:
✗ Interactive rebase loses commits forever → ✓ The old commits stay in git reflog for a while, and git rebase --abort can stop it midway
COMMONLY CONFUSED WITH:
squash vs fixup: squash also merges the message, fixup throws its message away.
AVOID / DON'T:
Do not use interactive rebase on a shared branch.
WRONG CODE:
git rebase -i squash HEAD~3
RIGHT CODE:
git rebase -i HEAD~3
MEMORY TRICK:
Interactive means I Edit the todo list.
REAL LIFE: PROJECT / WORK:
Squashing fix typo commits before a PR to leave a clean history.
REAL LIFE: INTERVIEW / EXAM:
An interviewer may ask: What is the difference between squash and fixup?
REAL LIFE: DAILY LIFE:
It is like editing a rough draft into the final copy.</t>
        </is>
      </c>
      <c r="C38" s="29" t="inlineStr">
        <is>
          <t>05_Advanced_Git_Advanced_GIT-037</t>
        </is>
      </c>
    </row>
    <row r="39" ht="409" customHeight="1">
      <c r="A39" s="29" t="inlineStr">
        <is>
          <t>git cherry-pick
How do you bring just one commit from another branch into your current branch?
git switch release/1.2
git cherry-pick 8b7d1e2</t>
        </is>
      </c>
      <c r="B39" s="29" t="inlineStr">
        <is>
          <t>MEANING (SHORT):
git cherry-pick applies one commit onto the current branch as a new commit.
CODE:
git switch release/1.2
git cherry-pick 8b7d1e2
OUTPUT:
[release/1.2 c9b12a3] Fix refund rounding
 1 file changed, 2 insertions(+)
EXPLANATION:
Cherry-pick applies that commit's change to the current branch as a new commit with a different hash. If there is a conflict, you resolve it and run git cherry-pick --continue.
SIMPLE EXPLANATION (HINGLISH):
When you do not want to merge a whole branch but need a single fix, cherry-pick lifts that one commit and puts it on your branch.
REAL-LIFE ANALOGY:
It is like taking just one sweet from someone else's plate.
SYNTAX PATTERN:
git cherry-pick &lt;commit&gt;
ANATOMY:
git cherry-pick = command | &lt;commit&gt; = the commit to bring
EXAMPLE 1:
git cherry-pick 8b7d1e2
EXAMPLE 2:
git cherry-pick a1b2c3d e4f5a6b
EXAMPLE 3:
git cherry-pick -x 8b7d1e2
VARIATION:
git cherry-pick -x &lt;hash&gt;   # record the original hash in the message
git cherry-pick --abort
USED WITH:
-x, --continue, --abort
RELATED CONCEPTS:
git merge, git rebase, git revert
ALTERNATIVES:
git merge (the whole branch)
FAMILY / GROUP:
git cherry-pick, git merge, git rebase, git revert, git log
WHERE IT IS USED:
Hotfix backports | One fix to another release | Moving a commit made on the wrong branch
MINI CONVERSATION:
A: This bug fix is needed on the release branch too. | B: Take the commit hash from main and cherry-pick it onto release.
COMMON MISTAKE:
✗ Cherry-pick moves the commit and removes it from the old branch → ✓ Cherry-pick makes a copy, and the commit stays on the old branch with a new hash created
COMMONLY CONFUSED WITH:
cherry-pick vs merge: cherry-pick copies one commit, merge joins a whole branch's history.
AVOID / DON'T:
Do not cherry-pick the same commit onto many branches again and again, it creates duplicates.
WRONG CODE:
git cherry-pick main
RIGHT CODE:
git cherry-pick 8b7d1e2
MEMORY TRICK:
Cherry-pick means pick one commit and copy it.
REAL LIFE: PROJECT / WORK:
Cherry-picking a production hotfix onto the release branch.
REAL LIFE: INTERVIEW / EXAM:
An interviewer may ask: What is the difference between cherry-pick and merge?
REAL LIFE: DAILY LIFE:
It is like taking one sweet from someone's plate.</t>
        </is>
      </c>
      <c r="C39" s="29" t="inlineStr">
        <is>
          <t>05_Advanced_Git_Advanced_GIT-038</t>
        </is>
      </c>
    </row>
    <row r="40" ht="409" customHeight="1">
      <c r="A40" s="29" t="inlineStr">
        <is>
          <t>git reflog
What is Git's hidden record that helps you find commits lost after a reset or rebase?
git reflog
git reset --hard HEAD@{2}</t>
        </is>
      </c>
      <c r="B40" s="29" t="inlineStr">
        <is>
          <t>MEANING (SHORT):
git reflog shows a local record of every change made to HEAD and branches.
CODE:
git reflog
git reset --hard HEAD@{2}
OUTPUT:
9d2c3b1 HEAD@{0}: reset: moving to HEAD~1
8b7d1e2 HEAD@{1}: commit: Fix refund rounding
EXPLANATION:
The reflog is local and lasts for some months by default. After a reset or rebase you can find the hash of the lost commit and bring it back with a branch or a reset. It does not exist on the remote.
SIMPLE EXPLANATION (HINGLISH):
The reflog records HEAD's whole journey on your laptop. If a commit seems lost, find its hash here and bring it back.
REAL-LIFE ANALOGY:
It is like CCTV footage where you can see who moved what and where.
SYNTAX PATTERN:
git reflog [show] [&lt;ref&gt;]
ANATOMY:
git reflog = command | HEAD@{N} = where HEAD was N steps ago
EXAMPLE 1:
git reflog
EXAMPLE 2:
git branch recover 8b7d1e2
EXAMPLE 3:
git reset --hard HEAD@{1}
VARIATION:
git reflog show feature/login   # one branch's record
git reflog expire --expire=now --all   # clean up
USED WITH:
git reset, git branch, HEAD@{N}
RELATED CONCEPTS:
git reset, git rebase, git log
ALTERNATIVES:
Nothing, it is Git's best safety net
FAMILY / GROUP:
git reflog, git reset, git rebase, git branch, git log
WHERE IT IS USED:
A reset or rebase mistake | A branch deleted by accident | Looking for a lost commit
MINI CONVERSATION:
A: I ran reset --hard and lost a commit. | B: Look at git reflog, find the hash, and run git branch recover with it.
COMMON MISTAKE:
✗ After reset --hard the commit is gone forever → ✓ The commit can be found in git reflog for a while and brought back with a branch or reset
COMMONLY CONFUSED WITH:
git reflog vs git log: log shows the commit history, reflog shows the moves of HEAD, including lost commits.
AVOID / DON'T:
Do not treat the reflog as a long-term backup, it gets cleaned eventually.
WRONG CODE:
git reflog --recover 8b7d1e2
RIGHT CODE:
git branch recover 8b7d1e2
MEMORY TRICK:
Reflog is the record of the route.
REAL LIFE: PROJECT / WORK:
Getting back a commit lost in a rebase mistake through the reflog.
REAL LIFE: INTERVIEW / EXAM:
An interviewer may ask: How would you find a commit lost after reset --hard?
REAL LIFE: DAILY LIFE:
It is like watching CCTV footage to see where something went.</t>
        </is>
      </c>
      <c r="C40" s="29" t="inlineStr">
        <is>
          <t>05_Advanced_Git_Advanced_GIT-039</t>
        </is>
      </c>
    </row>
    <row r="41" ht="409" customHeight="1">
      <c r="A41" s="29" t="inlineStr">
        <is>
          <t>git bisect
How do you find, with a binary search, which commit among many introduced a bug?
git bisect start
git bisect bad
git bisect good v1.0
git bisect reset</t>
        </is>
      </c>
      <c r="B41" s="29" t="inlineStr">
        <is>
          <t>MEANING (SHORT):
git bisect uses binary search between a good and a bad commit to find the commit that introduced a bug.
CODE:
git bisect start
git bisect bad
git bisect good v1.0
git bisect reset
OUTPUT:
Bisecting: 6 revisions left to test after this (roughly 3 steps)
EXPLANATION:
You mark one commit bad (now) and one good (old). Git checks out the middle commit, you test and mark it good or bad, and in a few steps the culprit commit appears. With git bisect run a script does it all.
SIMPLE EXPLANATION (HINGLISH):
Bisect needs only about ten steps to find a bug in 1000 commits, because each time half of the commits are ruled out.
REAL-LIFE ANALOGY:
It is like guessing a number where each guess cuts the range in half.
SYNTAX PATTERN:
git bisect start|good|bad|reset|run
ANATOMY:
start = begin | bad/good = mark a commit | reset = go back | run = use a script
EXAMPLE 1:
git bisect start HEAD v1.0
EXAMPLE 2:
git bisect good
EXAMPLE 3:
git bisect run npm test
VARIATION:
git bisect skip   # skip this commit
git bisect log   # the record so far
USED WITH:
good, bad, run, reset
RELATED CONCEPTS:
git log, git blame, git checkout
ALTERNATIVES:
git blame, checking commits one by one by hand
FAMILY / GROUP:
git bisect, git blame, git log, git checkout, git reset
WHERE IT IS USED:
Finding a regression | Projects with long history | Tracing a flaky bug
MINI CONVERSATION:
A: This bug came in somewhere in 500 commits. | B: Mark a good and a bad commit with git bisect, and it will be found in nine steps.
COMMON MISTAKE:
✗ git bisect checks every commit one by one → ✓ Bisect uses a binary search, so even 1000 commits need only about 10 steps
COMMONLY CONFUSED WITH:
git bisect vs git blame: bisect tells you which commit brought the bug, blame tells you who last wrote each line.
AVOID / DON'T:
Do not forget to run git bisect reset when you finish.
WRONG CODE:
git bisect find bad
RIGHT CODE:
git bisect bad
MEMORY TRICK:
Bisect means check the middle commit.
REAL LIFE: PROJECT / WORK:
Using git bisect run to catch the commit that broke a test.
REAL LIFE: INTERVIEW / EXAM:
An interviewer may ask: How does git bisect work?
REAL LIFE: DAILY LIFE:
It is like a number guessing game where each guess halves the range.</t>
        </is>
      </c>
      <c r="C41" s="29" t="inlineStr">
        <is>
          <t>05_Advanced_Git_Advanced_GIT-040</t>
        </is>
      </c>
    </row>
    <row r="42" ht="409" customHeight="1">
      <c r="A42" s="29" t="inlineStr">
        <is>
          <t>git tag
What do you do to give a particular commit, such as release v1.0, a permanent name?
git tag -a v1.0.0 -m "First release"
git push origin v1.0.0</t>
        </is>
      </c>
      <c r="B42" s="29" t="inlineStr">
        <is>
          <t>MEANING (SHORT):
git tag puts a permanent name, usually a release version, on a commit.
CODE:
git tag -a v1.0.0 -m "First release"
git push origin v1.0.0
OUTPUT:
To https://github.com/asha/notes.git
 * [new tag]         v1.0.0 -&gt; v1.0.0
EXPLANATION:
A lightweight tag is just a name. An annotated tag (-a) also has a message, date and tagger, and is better for releases. Tags are not pushed automatically, you push them separately.
SIMPLE EXPLANATION (HINGLISH):
A tag says this commit is version 1.0.0. Branches keep moving, but the tag stays on the same commit forever.
REAL-LIFE ANALOGY:
It is like a red sticker that stays on one page of a book.
SYNTAX PATTERN:
git tag [-a] &lt;name&gt; [-m "&lt;message&gt;"]
ANATOMY:
git tag = command | -a = annotated | &lt;name&gt; = version name | -m = message
EXAMPLE 1:
git tag v1.0.0
EXAMPLE 2:
git tag -a v1.1.0 -m "Add search"
EXAMPLE 3:
git push origin --tags
VARIATION:
git tag -d v1.0.0   # delete
git tag -l "v1.*"   # list
USED WITH:
git push origin &lt;tag&gt;, --tags, -a, semantic versioning
RELATED CONCEPTS:
GitHub Releases, git log, semantic versioning
ALTERNATIVES:
Creating the tag together with a GitHub Release
FAMILY / GROUP:
git tag, release, version, git push, semver
WHERE IT IS USED:
Software releases | Rollback points | Package versions
MINI CONVERSATION:
A: Which commit is version 1.0? | B: Look at the v1.0.0 tag, it sits on that very commit.
COMMON MISTAKE:
✗ git push also sends tags to the remote automatically → ✓ Tags must be pushed separately with git push origin v1.0.0 or git push --tags
COMMONLY CONFUSED WITH:
tag vs branch: a tag is fixed to one commit, a branch moves forward with new commits.
AVOID / DON'T:
Do not change a tag after pushing it, make a new version tag.
WRONG CODE:
git tag v1.0.0 -push
RIGHT CODE:
git push origin v1.0.0
MEMORY TRICK:
Tag means a Tiny label that stays.
REAL LIFE: PROJECT / WORK:
Tagging each release commit as vX.Y.Z and then creating a GitHub Release.
REAL LIFE: INTERVIEW / EXAM:
An interviewer may ask: What is the difference between a lightweight and an annotated tag?
REAL LIFE: DAILY LIFE:
It is like sticking a red sticker on a page of a book.</t>
        </is>
      </c>
      <c r="C42" s="29" t="inlineStr">
        <is>
          <t>05_Advanced_Git_Intermediate_GIT-041</t>
        </is>
      </c>
    </row>
    <row r="43" ht="409" customHeight="1">
      <c r="A43" s="29" t="inlineStr">
        <is>
          <t>git push --force-with-lease
How do you push safely after a rebase or amend has changed your history?
git rebase main
git push --force-with-lease origin feature/login</t>
        </is>
      </c>
      <c r="B43" s="29" t="inlineStr">
        <is>
          <t>MEANING (SHORT):
git push --force-with-lease overwrites the remote branch only if it holds no unexpected new commits.
CODE:
git rebase main
git push --force-with-lease origin feature/login
OUTPUT:
+ 3f2a9c1...9d2c3b1 feature/login -&gt; feature/login (forced update)
EXPLANATION:
After a rebase or amend your local history differs from the remote, so a normal push is rejected. --force-with-lease overwrites the remote only if it is still what you saw at your last fetch, and otherwise stops.
SIMPLE EXPLANATION (HINGLISH):
A force push overwrites history. The lease version first checks that nobody pushed in the meantime, so other people's commits are not wiped out.
REAL-LIFE ANALOGY:
It is like a safe that opens only if the contents are as you left them.
SYNTAX PATTERN:
git push --force-with-lease &lt;remote&gt; &lt;branch&gt;
ANATOMY:
--force-with-lease = safe force | &lt;remote&gt; = origin | &lt;branch&gt; = branch name
EXAMPLE 1:
git push --force-with-lease
EXAMPLE 2:
git push --force-with-lease origin feature/login
EXAMPLE 3:
git push --force-with-lease=feature/login:3f2a9c1
VARIATION:
git push -f   # short for --force, dangerous
USED WITH:
git rebase, git commit --amend, git fetch
RELATED CONCEPTS:
git rebase, git commit --amend, git push
ALTERNATIVES:
Making a new branch and a new PR
FAMILY / GROUP:
git push, --force, --force-with-lease, git rebase, git amend
WHERE IT IS USED:
After a rebase | After an amend | Cleaning a PR branch
MINI CONVERSATION:
A: My push is rejected after the rebase. | B: If the branch is yours alone, push with --force-with-lease, not --force.
COMMON MISTAKE:
✗ --force and --force-with-lease are equally safe → ✓ --force overwrites without checking, while --force-with-lease overwrites only if the remote has no unexpected commits
COMMONLY CONFUSED WITH:
--force vs --force-with-lease: force writes without checking, lease checks the remote first.
AVOID / DON'T:
Do not force push to main or a shared branch.
WRONG CODE:
git push --force-with-lease=true --push-all
RIGHT CODE:
git push --force-with-lease origin feature/login
MEMORY TRICK:
Lease means Look before you overwrite.
REAL LIFE: PROJECT / WORK:
Updating a PR branch with --force-with-lease after a rebase.
REAL LIFE: INTERVIEW / EXAM:
An interviewer may ask: Why is force-with-lease better than force?
REAL LIFE: DAILY LIFE:
It is like a safe that opens only if the contents are as you left them.</t>
        </is>
      </c>
      <c r="C43" s="29" t="inlineStr">
        <is>
          <t>05_Advanced_Git_Advanced_GIT-042</t>
        </is>
      </c>
    </row>
    <row r="44" ht="409" customHeight="1">
      <c r="A44" s="29" t="inlineStr">
        <is>
          <t>git worktree
How do you open two branches of one repository in separate folders at the same time without cloning again?
git worktree add ../notes-hotfix hotfix/refund
git worktree list</t>
        </is>
      </c>
      <c r="B44" s="29" t="inlineStr">
        <is>
          <t>MEANING (SHORT):
git worktree opens another branch of the same repository in a separate folder.
CODE:
git worktree add ../notes-hotfix hotfix/refund
git worktree list
OUTPUT:
/home/asha/notes         3f2a9c1 [main]
/home/asha/notes-hotfix  8b7d1e2 [hotfix/refund]
EXPLANATION:
Each worktree has its own folder and files but all share one .git history. A branch can be open in only one worktree at a time. When the work is done, remove it with git worktree remove.
SIMPLE EXPLANATION (HINGLISH):
Instead of stashing or switching, open the other branch in a new folder. Both stay open together and share one history.
REAL-LIFE ANALOGY:
It is like two counters opened in one shop sharing the same warehouse.
SYNTAX PATTERN:
git worktree add &lt;path&gt; &lt;branch&gt;
ANATOMY:
git worktree add = new worktree | &lt;path&gt; = the new folder | &lt;branch&gt; = which branch opens there
EXAMPLE 1:
git worktree add ../notes-review feature/login
EXAMPLE 2:
git worktree add -b hotfix/x ../notes-hotfix main
EXAMPLE 3:
git worktree remove ../notes-review
VARIATION:
git worktree list   # all the folders
git worktree prune   # remove stale ones
USED WITH:
git branch, git switch, git stash
RELATED CONCEPTS:
git switch, git stash, git clone
ALTERNATIVES:
A second clone or git stash
FAMILY / GROUP:
git worktree, git switch, git stash, git branch, git clone
WHERE IT IS USED:
Reviewing a teammate's branch | Not pausing a feature during a hotfix | Running two versions together
MINI CONVERSATION:
A: I want to review while keeping my own work open. | B: Open the review in a separate folder with git worktree add.
COMMON MISTAKE:
✗ git worktree add makes a full new clone of the repo → ✓ A worktree gives another folder but shares one .git and history, so it takes little space
COMMONLY CONFUSED WITH:
git worktree vs git clone: a worktree shares the .git, a clone is a whole new copy.
AVOID / DON'T:
Do not delete a worktree folder by hand, use git worktree remove.
WRONG CODE:
git worktree open ../notes-hotfix
RIGHT CODE:
git worktree add ../notes-hotfix hotfix/refund
MEMORY TRICK:
Worktree means one repo and many workspaces.
REAL LIFE: PROJECT / WORK:
Keeping your feature branch running in its own folder while you work on a hotfix.
REAL LIFE: INTERVIEW / EXAM:
An interviewer may ask: When is git worktree better than a clone?
REAL LIFE: DAILY LIFE:
It is like two counters in one shop that share a warehouse.</t>
        </is>
      </c>
      <c r="C44" s="29" t="inlineStr">
        <is>
          <t>05_Advanced_Git_Advanced_GIT-043</t>
        </is>
      </c>
    </row>
    <row r="45" ht="409" customHeight="1">
      <c r="A45" s="29" t="inlineStr">
        <is>
          <t>git blame
How do you see who wrote each line of a file and in which commit?
git blame -L 10,15 src/app.js</t>
        </is>
      </c>
      <c r="B45" s="29" t="inlineStr">
        <is>
          <t>MEANING (SHORT):
git blame shows the author and commit for each line of a file.
CODE:
git blame -L 10,15 src/app.js
OUTPUT:
8b7d1e2 (Asha 2026-09-12 10:03) function total(cart) {
3f2a9c1 (Ravi 2026-08-30 17:21)   return sum(cart);
EXPLANATION:
Each line shows the commit hash, author and date. -L picks a range of lines. Run git show on that hash to see the full commit and its message.
SIMPLE EXPLANATION (HINGLISH):
Blame lets you learn when and why a particular line was written. Then git show with that hash gives you the full reason.
REAL-LIFE ANALOGY:
It is like seeing the writer's name and date beside every sentence of a book.
SYNTAX PATTERN:
git blame [-L &lt;start&gt;,&lt;end&gt;] &lt;file&gt;
ANATOMY:
git blame = command | -L = range of lines | &lt;file&gt; = file name
EXAMPLE 1:
git blame src/app.js
EXAMPLE 2:
git blame -L 20,40 src/app.js
EXAMPLE 3:
git blame -w -C src/app.js
VARIATION:
git blame -w   # ignore whitespace
git blame -C   # detect copied lines
USED WITH:
-L, -w, -C, git show
RELATED CONCEPTS:
git log, git show, git bisect
ALTERNATIVES:
The Blame button on GitHub
FAMILY / GROUP:
git blame, git log, git show, git bisect, git diff
WHERE IT IS USED:
The reason for an old line | Source of a bug | Understanding code
MINI CONVERSATION:
A: Why was this odd line written? | B: Run git blame to find the commit and read its message.
COMMON MISTAKE:
✗ git blame tells you whose fault the mistake is → ✓ Blame only shows who wrote a line and when, and the commit message is where you learn the reason
COMMONLY CONFUSED WITH:
git blame vs git log: blame shows the last commit for each line, log shows the whole commit history.
AVOID / DON'T:
Do not use blame as a tool to blame people.
WRONG CODE:
git blame file.js --line 10
RIGHT CODE:
git blame -L 10,10 file.js
MEMORY TRICK:
Blame tells who wrote the line.
REAL LIFE: PROJECT / WORK:
Finding the commit behind a buggy line and understanding its reason.
REAL LIFE: INTERVIEW / EXAM:
An interviewer may ask: How would you find out when and why a line changed?
REAL LIFE: DAILY LIFE:
It is like seeing the writer's name beside every sentence of a book.</t>
        </is>
      </c>
      <c r="C45" s="29" t="inlineStr">
        <is>
          <t>05_Advanced_Git_Intermediate_GIT-044</t>
        </is>
      </c>
    </row>
    <row r="46" ht="409" customHeight="1">
      <c r="A46" s="29" t="inlineStr">
        <is>
          <t>SSH key for GitHub
Which pair of keys lets you connect to GitHub securely without typing a password every time?
ssh-keygen -t ed25519 -C "asha@example.com"
cat ~/.ssh/id_ed25519.pub
ssh -T git@github.com</t>
        </is>
      </c>
      <c r="B46" s="29" t="inlineStr">
        <is>
          <t>MEANING (SHORT):
An SSH key is a pair of keys that lets you log in to GitHub securely without a password.
CODE:
ssh-keygen -t ed25519 -C "asha@example.com"
cat ~/.ssh/id_ed25519.pub
ssh -T git@github.com
OUTPUT:
Hi asha! You've successfully authenticated, but GitHub does not provide shell access.
EXPLANATION:
ssh-keygen creates a private key (id_ed25519) and a public key (id_ed25519.pub). You add the public key under SSH keys in GitHub settings and never share the private one. Then you use remote URLs like git@github.com:user/repo.git.
SIMPLE EXPLANATION (HINGLISH):
SSH makes a pair of keys. Give the public one to GitHub and keep the private one with you. After that GitHub recognises you without a password.
REAL-LIFE ANALOGY:
It is like giving a shop a lock while you keep the key in your own pocket.
SYNTAX PATTERN:
ssh-keygen -t ed25519 -C "&lt;email&gt;"
ANATOMY:
ssh-keygen = make keys | -t ed25519 = key type | -C = comment (your email)
EXAMPLE 1:
ssh-keygen -t ed25519 -C "asha@example.com"
EXAMPLE 2:
ssh -T git@github.com
EXAMPLE 3:
git clone git@github.com:asha/notes.git
VARIATION:
ssh-add ~/.ssh/id_ed25519   # add the key to the agent
cat ~/.ssh/id_ed25519.pub   # view the public key
USED WITH:
ssh-agent, ssh-keygen, remote URL, passphrase
RELATED CONCEPTS:
Personal Access Token, HTTPS, git remote
ALTERNATIVES:
HTTPS with a token, or gh auth login
FAMILY / GROUP:
SSH, public key, private key, passphrase, ssh-agent
WHERE IT IS USED:
Daily push and pull | Deploying to servers | Automation
MINI CONVERSATION:
A: It asks for my password every time. | B: Make an SSH key and add the public key to GitHub.
COMMON MISTAKE:
✗ Both the public and the private key must be given to GitHub → ✓ You give GitHub only the public key, and the private key must never be given to anyone
COMMONLY CONFUSED WITH:
SSH key vs Personal Access Token: an SSH key is a key pair, a token is a long secret that works with HTTPS.
AVOID / DON'T:
Never share or commit your private key (id_ed25519).
WRONG CODE:
cat ~/.ssh/id_ed25519
RIGHT CODE:
cat ~/.ssh/id_ed25519.pub
MEMORY TRICK:
Public is what you Present, Private is what you Protect.
REAL LIFE: PROJECT / WORK:
Adding your laptop's SSH public key to GitHub so you can push without a password.
REAL LIFE: INTERVIEW / EXAM:
An interviewer may ask: What is the role of the public and private key in SSH?
REAL LIFE: DAILY LIFE:
It is like handing over a lock but keeping the key in your pocket.</t>
        </is>
      </c>
      <c r="C46" s="29" t="inlineStr">
        <is>
          <t>06_Security_&amp;_Access_Intermediate_GIT-045</t>
        </is>
      </c>
    </row>
    <row r="47" ht="409" customHeight="1">
      <c r="A47" s="29" t="inlineStr">
        <is>
          <t>Personal Access Token (PAT)
What long secret code replaces your password when you push over HTTPS?
git clone https://github.com/asha/private-notes.git
Username: asha
Password: &lt;your token&gt;</t>
        </is>
      </c>
      <c r="B47" s="29" t="inlineStr">
        <is>
          <t>MEANING (SHORT):
A personal access token is a secret code with limited permissions and expiry that is used instead of a password.
CODE:
git clone https://github.com/asha/private-notes.git
Username: asha
Password: &lt;your token&gt;
OUTPUT:
Cloning into 'private-notes'...
remote: Counting objects: 42, done.
EXPLANATION:
You create a token under Developer settings in GitHub, choosing its permissions (scopes) and expiry. A fine-grained token can be limited to a single repo. Keep it in a password manager or credential helper, never in code.
SIMPLE EXPLANATION (HINGLISH):
Over HTTPS Git asks for a token, not a password. In the token you decide what it can do and how long it works, and you can cancel it anytime.
REAL-LIFE ANALOGY:
It is like a visitor pass that says which floor you can visit and until when.
SYNTAX PATTERN:
git clone https://&lt;token&gt;@github.com/&lt;user&gt;/&lt;repo&gt;.git (safer way: a credential helper)
ANATOMY:
token = in place of the password | scopes = permissions | expiry = time limit
EXAMPLE 1:
Creating a fine-grained token in Developer settings that has read-write Contents on one repo only.
EXAMPLE 2:
git config --global credential.helper store (a helper to keep the token)
EXAMPLE 3:
Keeping a token as a secret on a CI server.
VARIATION:
Fine-grained token (limited to one repo) vs classic token (broader permissions)
USED WITH:
HTTPS, credential helper, GitHub CLI, secrets
RELATED CONCEPTS:
SSH key, GitHub CLI, secrets
ALTERNATIVES:
SSH key, gh auth login
FAMILY / GROUP:
token, scope, expiry, credential helper, secret
WHERE IT IS USED:
Git over HTTPS | Scripts and CI | API calls
MINI CONVERSATION:
A: Push says my password is wrong. | B: GitHub no longer accepts passwords, so make a personal access token and use it in its place.
COMMON MISTAKE:
✗ It is fine to keep a token in code or a README → ✓ A token is a secret like a password, so never keep it in code, and revoke it at once if it leaks
COMMONLY CONFUSED WITH:
PAT vs SSH key: a PAT works over HTTPS as a token, an SSH key is a key pair.
AVOID / DON'T:
Do not put a token in a screenshot, a chat or a commit.
WRONG CODE:
git remote add origin https://asha:ghp_abc123@github.com/asha/notes.git
RIGHT CODE:
git remote add origin https://github.com/asha/notes.git
MEMORY TRICK:
A token is a key with a time limit.
REAL LIFE: PROJECT / WORK:
Giving a CI job a read-only token for one repo.
REAL LIFE: INTERVIEW / EXAM:
An interviewer may ask: What is the difference between a fine-grained and a classic token?
REAL LIFE: DAILY LIFE:
It is like a visitor pass that fixes where you may go.</t>
        </is>
      </c>
      <c r="C47" s="29" t="inlineStr">
        <is>
          <t>06_Security_&amp;_Access_Intermediate_GIT-046</t>
        </is>
      </c>
    </row>
    <row r="48" ht="409" customHeight="1">
      <c r="A48" s="29" t="inlineStr">
        <is>
          <t>Leaked secret in a repository
What is the first thing to do if you accidentally commit an API key or password?</t>
        </is>
      </c>
      <c r="B48" s="29" t="inlineStr">
        <is>
          <t>DEFINITION (SIMPLE):
A leaked secret is a password, token or key that was committed by mistake and is now in the history.
HOW / WHY IT WORKS:
Deleting the file leaves the secret in history. The right order: revoke or rotate the secret, clean history with git filter-repo or BFG, force push, and ask others to clone again. Prevent with .gitignore and secret scanning.
SIMPLE EXPLANATION (HINGLISH):
When a secret leaks, first change its key, then clean the history. Just removing the file does nothing because old commits still hold it.
REAL-LIFE ANALOGY:
It is like changing the lock first when your key is stolen, and investigating later.
FORMULA / RULE:
Rotate → clean history (filter-repo) → force push → tell the team
EXAMPLE 1:
A developer committed a .env file holding a database password.
EXAMPLE 2:
An AWS key put in a public repo was used by a bot within minutes.
EXAMPLE 3:
A test file with a hardcoded API token went through in a PR.
RELATED CONCEPTS:
.gitignore, secret scanning, git filter-repo, push protection
FAMILY / GROUP:
secret, rotate, revoke, filter-repo, BFG
WHERE IT IS USED:
Security incidents | Public repos | CI pipelines
MINI CONVERSATION:
A: I accidentally committed an API key. | B: Revoke the key and make a new one first, then clean the history.
COMMON MISTAKE:
✗ Deleting the file and committing removes the secret for good → ✓ The secret stays in old commits, and the right step is to rotate the key and clean the history
DON'T CONFUSE WITH:
Rotate vs cleaning history: rotating makes the secret useless, cleaning history removes its traces.
AVOID / DON'T:
Do not relax after merely deleting the secret and making a new commit.
MEMORY TRICK:
Rotate the key first, then purge history.
REAL LIFE: PROJECT / WORK:
Rotating the key after a leak and turning on secret scanning.
REAL LIFE: INTERVIEW / EXAM:
An interviewer may ask: How would you handle a committed secret?
REAL LIFE: DAILY LIFE:
It is like changing the lock when your key is stolen.</t>
        </is>
      </c>
      <c r="C48" s="29" t="inlineStr">
        <is>
          <t>06_Security_&amp;_Access_Advanced_GIT-047</t>
        </is>
      </c>
    </row>
    <row r="49" ht="409" customHeight="1">
      <c r="A49" s="29" t="inlineStr">
        <is>
          <t>Signed commits (GPG / SSH signing)
How does the green Verified badge get onto a commit on GitHub?
git config --global gpg.format ssh
git config --global user.signingkey ~/.ssh/id_ed25519.pub
git config --global commit.gpgsign true</t>
        </is>
      </c>
      <c r="B49" s="29" t="inlineStr">
        <is>
          <t>MEANING (SHORT):
A signed commit carries a digital signature that proves the real author made it.
CODE:
git config --global gpg.format ssh
git config --global user.signingkey ~/.ssh/id_ed25519.pub
git config --global commit.gpgsign true
OUTPUT:
(the settings are saved; every commit will now be signed)
EXPLANATION:
You set a signing key and add the same public key to GitHub as a signing key. Each commit then carries a signature and GitHub shows Verified. Branch protection can require signed commits.
SIMPLE EXPLANATION (HINGLISH):
A signed commit carries your signature, so nobody else can send commits in your name, and GitHub shows it as Verified.
REAL-LIFE ANALOGY:
It is like a real signature on a cheque proving you issued it.
SYNTAX PATTERN:
git commit -S -m "&lt;message&gt;"
ANATOMY:
-S = sign the commit | commit.gpgsign = always sign | user.signingkey = which key
EXAMPLE 1:
git commit -S -m "Fix login"
EXAMPLE 2:
git config --global commit.gpgsign true
EXAMPLE 3:
git log --show-signature -1
VARIATION:
git tag -s v1.0.0 -m "Release"   # sign a tag
git verify-commit HEAD
USED WITH:
GPG, SSH, commit.gpgsign, signingkey
RELATED CONCEPTS:
SSH key, branch protection, GPG
ALTERNATIVES:
Vigilant mode, or signing with an SSH key alone
FAMILY / GROUP:
signed commit, GPG, signing key, Verified, vigilant mode
WHERE IT IS USED:
Open-source maintainers | Security-sensitive projects | Compliance
MINI CONVERSATION:
A: My commit does not show Verified. | B: Add the signing key to GitHub and set commit.gpgsign to true.
COMMON MISTAKE:
✗ A name and email on a commit prove who the real author is → ✓ Anyone can write a name and email, and only a signature proves the author
COMMONLY CONFUSED WITH:
Signed commit vs SSH login: SSH login identifies a connection, signing proves a commit's authenticity.
AVOID / DON'T:
Do not share your private signing key with anyone.
WRONG CODE:
git commit --sign-it -m "Fix"
RIGHT CODE:
git commit -S -m "Fix"
MEMORY TRICK:
Sign means prove it is really me.
REAL LIFE: PROJECT / WORK:
Requiring signed commits for every maintainer in an open-source project.
REAL LIFE: INTERVIEW / EXAM:
An interviewer may ask: Why are signed commits important?
REAL LIFE: DAILY LIFE:
It is like proving a cheque is yours by a real signature.</t>
        </is>
      </c>
      <c r="C49" s="29" t="inlineStr">
        <is>
          <t>06_Security_&amp;_Access_Advanced_GIT-048</t>
        </is>
      </c>
    </row>
    <row r="50" ht="409" customHeight="1">
      <c r="A50" s="29" t="inlineStr">
        <is>
          <t>Secret scanning and Dependabot
Which automatic GitHub safety tools catch leaked keys and outdated vulnerable libraries?</t>
        </is>
      </c>
      <c r="B50" s="29" t="inlineStr">
        <is>
          <t>DEFINITION (SIMPLE):
Secret scanning finds leaked keys, and Dependabot sends pull requests to update old or insecure libraries.
HOW / WHY IT WORKS:
Secret scanning looks for the key patterns of known providers, and push protection can stop a push before it happens. Dependabot alerts warn about vulnerabilities and Dependabot version updates open PRs automatically.
SIMPLE EXPLANATION (HINGLISH):
Secret scanning tells you when you committed a key by mistake. Dependabot tells you a library is old and risky and sends a PR to update it.
REAL-LIFE ANALOGY:
It is like a guard at the door who checks both the keys and the goods.
FORMULA / RULE:
Secret scanning = catch the leak, Dependabot = update the library
EXAMPLE 1:
Push protection blocks a push that holds an AWS key.
EXAMPLE 2:
Dependabot opens a PR with a security fix for an old library.
EXAMPLE 3:
Dependabot alerts tell the team about a dangerous dependency.
RELATED CONCEPTS:
leaked secret, dependency, PR, GitHub Advanced Security
FAMILY / GROUP:
secret scanning, push protection, Dependabot, alert, dependency
WHERE IT IS USED:
Security checks | Open-source maintenance | Compliance
MINI CONVERSATION:
A: Our library has become outdated. | B: Look at Dependabot's PR, it brings the new version and the fix.
COMMON MISTAKE:
✗ Dependabot catches all the mistakes in your code → ✓ Dependabot covers only known flaws and updates in dependencies, and does not catch logic errors in your own code
DON'T CONFUSE WITH:
Secret scanning vs Dependabot: one catches leaked keys, the other flaws in libraries.
AVOID / DON'T:
Do not merge Dependabot PRs without running tests.
MEMORY TRICK:
Two guards: one for Keys, one for Libraries.
REAL LIFE: PROJECT / WORK:
Turning on Dependabot version updates so libraries stay fresh.
REAL LIFE: INTERVIEW / EXAM:
An interviewer may ask: What is push protection?
REAL LIFE: DAILY LIFE:
It is like a guard checking both the keys and the goods at the gate.</t>
        </is>
      </c>
      <c r="C50" s="29" t="inlineStr">
        <is>
          <t>06_Security_&amp;_Access_Advanced_GIT-049</t>
        </is>
      </c>
    </row>
    <row r="51" ht="409" customHeight="1">
      <c r="A51" s="29" t="inlineStr">
        <is>
          <t>GitHub Actions
Which GitHub feature runs your tests, builds and deployments automatically when you push or open a PR?
name: CI
on: [push, pull_request]
jobs:
  test:
    runs-on: ubuntu-latest
    steps:
      - uses: actions/checkout@v4
      - run: npm ci
      - run: npm test</t>
        </is>
      </c>
      <c r="B51" s="29" t="inlineStr">
        <is>
          <t>MEANING (SHORT):
GitHub Actions runs automatic work from a workflow file when events happen in a repository.
CODE:
name: CI
on: [push, pull_request]
jobs:
  test:
    runs-on: ubuntu-latest
    steps:
      - uses: actions/checkout@v4
      - run: npm ci
      - run: npm test
OUTPUT:
This workflow runs on each push and shows pass or fail in the Actions tab.
EXPLANATION:
A workflow is a YAML file in .github/workflows/. It says on which event, which jobs and which steps. Jobs run on a runner machine such as ubuntu-latest. Secrets live in repository secrets. Check the Marketplace for the current checkout version.
SIMPLE EXPLANATION (HINGLISH):
You write a YAML file in .github/workflows saying when and what to run. After that GitHub runs it by itself on every push.
REAL-LIFE ANALOGY:
It is like a robot that checks each newly arrived item and hands you a receipt.
SYNTAX PATTERN:
on: &lt;event&gt; → jobs: &lt;job&gt;: runs-on, steps
ANATOMY:
on = when it runs | jobs = the work | runs-on = which machine | steps = each command
EXAMPLE 1:
on: push (run the tests on every push)
EXAMPLE 2:
on: pull_request (check PRs)
EXAMPLE 3:
on: schedule cron (a build every night)
VARIATION:
on: workflow_dispatch   # run by hand
strategy: matrix   # test on many versions
USED WITH:
YAML, secrets, runner, matrix
RELATED CONCEPTS:
pull request, branch protection, secrets, releases
ALTERNATIVES:
Jenkins, GitLab CI, CircleCI
FAMILY / GROUP:
workflow, job, step, runner, action
WHERE IT IS USED:
CI testing | Deploys | Release automation
MINI CONVERSATION:
A: No tests run on my PR. | B: Add a workflow file under .github/workflows and it will run on each PR.
COMMON MISTAKE:
✗ GitHub Actions is only for building code → ✓ Actions can automate anything on any event: labels, releases, deploys, issue triage
COMMONLY CONFUSED WITH:
workflow vs job: a workflow is the whole file, a job is a group of tasks inside it.
AVOID / DON'T:
Do not write secrets in a workflow file, use repository secrets.
WRONG CODE:
on push: runs-on ubuntu
RIGHT CODE:
on: push
MEMORY TRICK:
Actions means things happen automatically for you.
REAL LIFE: PROJECT / WORK:
Running tests and lint on every PR and merging only when they pass.
REAL LIFE: INTERVIEW / EXAM:
An interviewer may ask: What is the difference between a workflow, a job and a step?
REAL LIFE: DAILY LIFE:
It is like a robot that checks every new item and hands over a receipt.</t>
        </is>
      </c>
      <c r="C51" s="29" t="inlineStr">
        <is>
          <t>07_GitHub_Platform_Advanced_GIT-050</t>
        </is>
      </c>
    </row>
    <row r="52" ht="409" customHeight="1">
      <c r="A52" s="29" t="inlineStr">
        <is>
          <t>GitHub Releases
How do you officially publish a version on GitHub with a name, notes and downloadable files?
git tag -a v1.2.0 -m "Search added"
git push origin v1.2.0
gh release create v1.2.0 --generate-notes</t>
        </is>
      </c>
      <c r="B52" s="29" t="inlineStr">
        <is>
          <t>MEANING (SHORT):
A GitHub Release is a version page built on a tag with notes and files.
CODE:
git tag -a v1.2.0 -m "Search added"
git push origin v1.2.0
gh release create v1.2.0 --generate-notes
OUTPUT:
https://github.com/asha/notes/releases/tag/v1.2.0
EXPLANATION:
A release is a page attached to a tag. You can write the notes by hand or have GitHub generate them, and attach built files. You can mark a release as a pre-release for an early version.
SIMPLE EXPLANATION (HINGLISH):
Put a tag and then build a release on it. Users see what is new in the notes and can download built files straight away.
REAL-LIFE ANALOGY:
It is like launching a new product with a small note inside the box.
SYNTAX PATTERN:
gh release create &lt;tag&gt; [--generate-notes]
ANATOMY:
gh release create = make a release | &lt;tag&gt; = the version tag | --generate-notes = write notes automatically
EXAMPLE 1:
gh release create v1.0.0 --generate-notes
EXAMPLE 2:
gh release create v1.1.0 dist/app.zip --notes "Bug fixes"
EXAMPLE 3:
gh release create v2.0.0-beta.1 --prerelease
VARIATION:
gh release list   # see releases
gh release delete v1.0.0
USED WITH:
git tag, gh CLI, semantic versioning, changelog
RELATED CONCEPTS:
git tag, GitHub Actions, changelog
ALTERNATIVES:
A bare tag, or a package registry
FAMILY / GROUP:
release, tag, changelog, pre-release, asset
WHERE IT IS USED:
Software launches | Open-source libraries | Download links
MINI CONVERSATION:
A: How do we tell users about the new version? | B: Make a GitHub Release with notes and files.
COMMON MISTAKE:
✗ A release and a tag are the same thing → ✓ A tag is just a label on a commit, while a release is a page on top of it with notes and files
COMMONLY CONFUSED WITH:
tag vs release: a tag names a commit, a release is a page on it with notes and files.
AVOID / DON'T:
Do not change a tag that has been pushed in order to make a release.
WRONG CODE:
gh release v1.0.0
RIGHT CODE:
gh release create v1.0.0
MEMORY TRICK:
A release is a tag with a receipt.
REAL LIFE: PROJECT / WORK:
Making an automatic release for every version with built files attached.
REAL LIFE: INTERVIEW / EXAM:
An interviewer may ask: What is the difference between a tag and a release?
REAL LIFE: DAILY LIFE:
It is like placing a small note inside a new product's box.</t>
        </is>
      </c>
      <c r="C52" s="29" t="inlineStr">
        <is>
          <t>07_GitHub_Platform_Intermediate_GIT-051</t>
        </is>
      </c>
    </row>
    <row r="53" ht="409" customHeight="1">
      <c r="A53" s="29" t="inlineStr">
        <is>
          <t>GitHub Pages
Which GitHub feature hosts your static website for free straight from a repository?
git switch -c gh-pages
git push origin gh-pages</t>
        </is>
      </c>
      <c r="B53" s="29" t="inlineStr">
        <is>
          <t>MEANING (SHORT):
GitHub Pages hosts the static files (HTML, CSS, JS) of a repository as a website.
CODE:
git switch -c gh-pages
git push origin gh-pages
OUTPUT:
After you choose the gh-pages branch under Settings &gt; Pages, the site appears at https://asha.github.io/notes/
EXPLANATION:
In Settings under Pages you choose a branch and folder, and GitHub hosts those files on github.io. Only static files work, not server-side code. A custom domain can be added too.
SIMPLE EXPLANATION (HINGLISH):
Put HTML files in a repo and turn on Pages. In a few minutes your website is live at username.github.io.
REAL-LIFE ANALOGY:
It is like a signboard in front of a shop that everyone outside can see.
SYNTAX PATTERN:
Settings → Pages → Source: choose a branch and folder
ANATOMY:
Source = which branch | folder = / or /docs | URL = username.github.io/repo
EXAMPLE 1:
Hosting a personal portfolio at username.github.io.
EXAMPLE 2:
Hosting a library's docs from the /docs folder.
EXAMPLE 3:
Making a blog with Jekyll or another static site generator.
VARIATION:
Custom domain: add a CNAME file or set the domain in Settings
USED WITH:
HTML, Jekyll, custom domain, Actions
RELATED CONCEPTS:
GitHub Actions, README, static site
ALTERNATIVES:
Netlify, Vercel, Cloudflare Pages
FAMILY / GROUP:
Pages, static site, domain, deploy, Jekyll
WHERE IT IS USED:
Portfolios | Project docs | Small websites
MINI CONVERSATION:
A: Where should I host my website? | B: Turn on GitHub Pages, it is free and easy.
COMMON MISTAKE:
✗ A backend with a database can run on GitHub Pages → ✓ Pages hosts only static files, and a server or database needs separate hosting
COMMONLY CONFUSED WITH:
GitHub vs GitHub Pages: GitHub stores the code, Pages turns that code into a website.
AVOID / DON'T:
Do not keep private or secret things in a Pages repo, the site can be public.
WRONG CODE:
git push origin pages-site --host
RIGHT CODE:
git push origin gh-pages
MEMORY TRICK:
Pages means a public website straight from the repo.
REAL LIFE: PROJECT / WORK:
Hosting a library's docs on GitHub Pages for free.
REAL LIFE: INTERVIEW / EXAM:
An interviewer may ask: What kind of content can GitHub Pages host?
REAL LIFE: DAILY LIFE:
It is like a signboard that everyone can see in front of a shop.</t>
        </is>
      </c>
      <c r="C53" s="29" t="inlineStr">
        <is>
          <t>07_GitHub_Platform_Intermediate_GIT-052</t>
        </is>
      </c>
    </row>
    <row r="54" ht="409" customHeight="1">
      <c r="A54" s="29" t="inlineStr">
        <is>
          <t>GitHub CLI (gh)
Which official command-line tool lets you handle PRs, issues and releases from the terminal?
gh auth login
gh repo clone asha/notes
gh pr create --title "Add search" --body "Adds search box"</t>
        </is>
      </c>
      <c r="B54" s="29" t="inlineStr">
        <is>
          <t>MEANING (SHORT):
gh is GitHub's command-line tool for handling PRs, issues and releases from the terminal.
CODE:
gh auth login
gh repo clone asha/notes
gh pr create --title "Add search" --body "Adds search box"
OUTPUT:
https://github.com/asha/notes/pull/17
EXPLANATION:
gh logs in to your GitHub account and can clone repos, open PRs, check out PRs, view issues and make releases. It does not replace git, it only brings GitHub features to the terminal.
SIMPLE EXPLANATION (HINGLISH):
With gh you handle PRs and issues from the terminal instead of the browser. For commits you still use git.
REAL-LIFE ANALOGY:
It is like a remote control that does many TV jobs without getting up.
SYNTAX PATTERN:
gh &lt;command&gt; &lt;subcommand&gt; [flags]
ANATOMY:
gh = the tool | pr/issue/repo/release = the area | create/list = the action
EXAMPLE 1:
gh pr create --fill
EXAMPLE 2:
gh issue list --assignee @me
EXAMPLE 3:
gh pr checkout 17
VARIATION:
gh pr merge 17 --squash
gh run watch   # follow an Actions run
USED WITH:
gh auth login, PR, issues, Actions
RELATED CONCEPTS:
git, GitHub Actions, pull request
ALTERNATIVES:
The browser, or GitHub Desktop
FAMILY / GROUP:
gh, git, pr, issue, release
WHERE IT IS USED:
Daily PR work | Scripts | CI automation
MINI CONVERSATION:
A: I have to open the browser every time. | B: Run gh pr create and it is done from the terminal.
COMMON MISTAKE:
✗ gh is the new name of git and replaces it → ✓ gh is for GitHub features, and you still use git for commits
COMMONLY CONFUSED WITH:
git vs gh: git is version control, gh is a tool for GitHub features such as PRs and issues.
AVOID / DON'T:
Do not paste your login token into a screenshot.
WRONG CODE:
gh commit -m "Add search"
RIGHT CODE:
git commit -m "Add search"
MEMORY TRICK:
gh is GitHub operated by your hand.
REAL LIFE: PROJECT / WORK:
Listing open issues every night with a script.
REAL LIFE: INTERVIEW / EXAM:
An interviewer may ask: What is the difference between git and gh?
REAL LIFE: DAILY LIFE:
It is like a remote that does many TV jobs without getting up.</t>
        </is>
      </c>
      <c r="C54" s="29" t="inlineStr">
        <is>
          <t>07_GitHub_Platform_Intermediate_GIT-053</t>
        </is>
      </c>
    </row>
    <row r="55" ht="409" customHeight="1">
      <c r="A55" s="29" t="inlineStr">
        <is>
          <t>GitHub Projects
Which part of GitHub lets you plan work by putting issues and PRs on a board or table?</t>
        </is>
      </c>
      <c r="B55" s="29" t="inlineStr">
        <is>
          <t>DEFINITION (SIMPLE):
GitHub Projects puts issues and PRs on a board, table or roadmap to plan work and show its status.
HOW / WHY IT WORKS:
Projects supports custom fields (status, priority, iteration), filters and views. Items link to issues and PRs, and their status can update automatically. It works at organisation level across many repos.
SIMPLE EXPLANATION (HINGLISH):
In Projects you place your issues on a board and move them from To do to Done, so the whole team can see the state of the work.
REAL-LIFE ANALOGY:
It is like a wall of slips in a shop showing the state of each job.
FORMULA / RULE:
Issues → project board → change the status → Done
EXAMPLE 1:
Putting ten sprint issues on a board with an iteration field.
EXAMPLE 2:
Showing features by quarter in the roadmap view.
EXAMPLE 3:
Filtering work by priority and assignee in the table view.
RELATED CONCEPTS:
issues, pull request, milestone, labels
FAMILY / GROUP:
project, board, view, field, iteration
WHERE IT IS USED:
Team planning | Sprint tracking | Open-source roadmaps
MINI CONVERSATION:
A: Where should we track all our work? | B: Make a board in GitHub Projects and add the issues.
COMMON MISTAKE:
✗ GitHub Projects can show issues from only one repo → ✓ Projects works at organisation level and can show issues and PRs of many repos on one board
DON'T CONFUSE WITH:
Projects vs Issues: an issue records one piece of work, Projects plans many pieces and shows their status.
AVOID / DON'T:
Do not clutter the board with too many columns and fields.
MEMORY TRICK:
Projects is a board of slips.
REAL LIFE: PROJECT / WORK:
Putting all the sprint's issues on one board and tracking their status.
REAL LIFE: INTERVIEW / EXAM:
An interviewer may ask: What is the difference between GitHub Projects and Issues?
REAL LIFE: DAILY LIFE:
It is like a wall of slips showing where each job stands.</t>
        </is>
      </c>
      <c r="C55" s="29" t="inlineStr">
        <is>
          <t>07_GitHub_Platform_Intermediate_GIT-054</t>
        </is>
      </c>
    </row>
    <row r="56" ht="409" customHeight="1">
      <c r="A56" s="29" t="inlineStr">
        <is>
          <t>LICENSE and CONTRIBUTING.md
Which two files in a public repo say how others may use the code and how they can contribute?</t>
        </is>
      </c>
      <c r="B56" s="29" t="inlineStr">
        <is>
          <t>DEFINITION (SIMPLE):
LICENSE says how others may use your code, and CONTRIBUTING.md says what the rules for contributing are.
HOW / WHY IT WORKS:
MIT is very permissive, Apache 2.0 gives patent protection, and GPL is copyleft (changes must use the same licence). Without a licence nobody may use the code by default. CONTRIBUTING.md holds rules for branches, tests and PRs.
SIMPLE EXPLANATION (HINGLISH):
Keep a licence in every public repo, or people cannot use the code properly. In CONTRIBUTING, say how a newcomer can help.
REAL-LIFE ANALOGY:
It is like a shop's rule book plus a list of ways to help.
FORMULA / RULE:
Public repo = LICENSE + README + CONTRIBUTING
EXAMPLE 1:
An MIT-licensed library that any company can use.
EXAMPLE 2:
A GPL project whose changes must stay GPL.
EXAMPLE 3:
A CONTRIBUTING.md that says run the tests before a PR.
RELATED CONCEPTS:
README, open-source, pull request, code of conduct
FAMILY / GROUP:
license, MIT, Apache, GPL, contributing
WHERE IT IS USED:
Open-source projects | Libraries | Community repos
MINI CONVERSATION:
A: Can I use this library in my product? | B: Check the LICENSE file, it says what is allowed.
COMMON MISTAKE:
✗ Code in a public repo can be used by anyone even with no licence → ✓ With no licence all rights stay with the author, so a licence is needed
DON'T CONFUSE WITH:
MIT vs GPL: MIT is very permissive, GPL makes changes keep the same licence.
AVOID / DON'T:
Do not use someone's code without reading its licence.
MEMORY TRICK:
A licence is a written rule, and contributing is the path to help.
REAL LIFE: PROJECT / WORK:
Adding an MIT licence and CONTRIBUTING.md to a new open-source library.
REAL LIFE: INTERVIEW / EXAM:
An interviewer may ask: What is the difference between the MIT and GPL licences?
REAL LIFE: DAILY LIFE:
It is like the rule book of a shop that says how goods may be used.</t>
        </is>
      </c>
      <c r="C56" s="29" t="inlineStr">
        <is>
          <t>07_GitHub_Platform_Intermediate_GIT-055</t>
        </is>
      </c>
    </row>
    <row r="57" ht="409" customHeight="1">
      <c r="A57" s="29" t="inlineStr">
        <is>
          <t>git show
Which command shows one commit's message, author and full change together?
git show 8b7d1e2
git show HEAD~1 --stat</t>
        </is>
      </c>
      <c r="B57" s="29" t="inlineStr">
        <is>
          <t>MEANING (SHORT):
git show displays one commit's message, author, date and its full change.
CODE:
git show 8b7d1e2
git show HEAD~1 --stat
OUTPUT:
commit 8b7d1e2
Author: Asha &lt;asha@example.com&gt;
    Fix refund rounding
-  return round(total)
+  return round(total, 2)
EXPLANATION:
Show prints the commit's header (hash, author, date, message) and its diff. --stat gives only a summary. With a file path it shows that file as it was in that commit.
SIMPLE EXPLANATION (HINGLISH):
Pick a commit from the log and read its whole story with show: who wrote it, why, and what changed.
REAL-LIFE ANALOGY:
It is like opening one envelope and reading the letter and every page with it.
SYNTAX PATTERN:
git show [&lt;commit&gt;] [--stat]
ANATOMY:
git show = command | &lt;commit&gt; = which commit | --stat = summary only
EXAMPLE 1:
git show 8b7d1e2
EXAMPLE 2:
git show HEAD~2 --stat
EXAMPLE 3:
git show v1.0.0:README.md
VARIATION:
git show --name-only HEAD   # file names only
git show main:src/app.js   # a file on a branch
USED WITH:
HEAD, --stat, git log, tags
RELATED CONCEPTS:
git log, git diff, git blame
ALTERNATIVES:
The commit page on GitHub
FAMILY / GROUP:
git show, git log, git diff, git blame, git tag
WHERE IT IS USED:
Understanding why a commit was made | Code review | Finding bugs
MINI CONVERSATION:
A: What did this commit change? | B: Run git show with the hash and you will see the message and the change.
COMMON MISTAKE:
✗ git show displays only the commit message → ✓ git show shows the message and also the full change (diff) of that commit
COMMONLY CONFUSED WITH:
git show vs git log: show gives full details of one commit, log lists many commits.
AVOID / DON'T:
Do not open a huge commit without --stat.
WRONG CODE:
git show commit 8b7d1e2
RIGHT CODE:
git show 8b7d1e2
MEMORY TRICK:
Show means display one commit fully.
REAL LIFE: PROJECT / WORK:
Reading the suspect commit with git show while hunting a bug.
REAL LIFE: INTERVIEW / EXAM:
An interviewer may ask: What is the difference between git show and git log -p?
REAL LIFE: DAILY LIFE:
It is like opening one envelope and reading every page together.</t>
        </is>
      </c>
      <c r="C57" s="29" t="inlineStr">
        <is>
          <t>02_Branching_&amp;_Merging_Beginner_GIT-056</t>
        </is>
      </c>
    </row>
    <row r="58" ht="409" customHeight="1">
      <c r="A58" s="29" t="inlineStr">
        <is>
          <t>git rm and git mv
How do you tell Git that you removed or renamed a tracked file?
git rm old.txt
git mv draft.md notes.md
git status -s</t>
        </is>
      </c>
      <c r="B58" s="29" t="inlineStr">
        <is>
          <t>MEANING (SHORT):
git rm removes a tracked file and git mv renames or moves it, and both are staged.
CODE:
git rm old.txt
git mv draft.md notes.md
git status -s
OUTPUT:
D  old.txt
R  draft.md -&gt; notes.md
EXPLANATION:
git rm deletes the file from the folder and stages the removal. --cached removes it only from Git and leaves the file on disk. git mv renames the file and Git shows it as a rename, which makes history easier to follow.
SIMPLE EXPLANATION (HINGLISH):
Use git rm instead of deleting by hand and Git knows at once. Use git mv to rename so history stays clean.
REAL-LIFE ANALOGY:
It is like removing an entry from the ledger or correcting a name, and noting that down too.
SYNTAX PATTERN:
git rm [--cached] &lt;file&gt;  |  git mv &lt;old&gt; &lt;new&gt;
ANATOMY:
git rm = remove | --cached = only from Git | git mv = rename or move
EXAMPLE 1:
git rm old.txt
EXAMPLE 2:
git rm --cached .env
EXAMPLE 3:
git mv draft.md notes.md
VARIATION:
git rm -r build/   # a whole folder
git rm -f file.txt   # even with changes
USED WITH:
--cached, -r, git commit, .gitignore
RELATED CONCEPTS:
.gitignore, git restore, git add
ALTERNATIVES:
Delete by hand and run git add -A
FAMILY / GROUP:
git rm, git mv, git add, git commit, git restore
WHERE IT IS USED:
Cleaning up | Removing a file committed by mistake | Renaming a file
MINI CONVERSATION:
A: I committed .env, how do I ignore it now? | B: Run git rm --cached .env and add it to .gitignore.
COMMON MISTAKE:
✗ git rm --cached also deletes the file from the folder → ✓ --cached only stops Git tracking it, and the file stays in the folder
COMMONLY CONFUSED WITH:
git rm vs git rm --cached: rm deletes the file, --cached only removes it from Git.
AVOID / DON'T:
Do not use git rm -f carelessly on a file with changes.
WRONG CODE:
git rm --untrack .env
RIGHT CODE:
git rm --cached .env
MEMORY TRICK:
With --cached, stop tracking but keep the file.
REAL LIFE: PROJECT / WORK:
Taking a secrets file committed by mistake out of Git with git rm --cached and adding it to .gitignore.
REAL LIFE: INTERVIEW / EXAM:
An interviewer may ask: How do you remove a file from Git without deleting it?
REAL LIFE: DAILY LIFE:
It is like striking an entry out of the ledger while the goods stay where they are.</t>
        </is>
      </c>
      <c r="C58" s="29" t="inlineStr">
        <is>
          <t>04_Undo_&amp;_Fix_Mistakes_Beginner_GIT-057</t>
        </is>
      </c>
    </row>
    <row r="59" ht="409" customHeight="1">
      <c r="A59" s="29" t="inlineStr">
        <is>
          <t>git clean
How do you remove a pile of unwanted untracked files from your folder in one go?
git clean -n
git clean -fd</t>
        </is>
      </c>
      <c r="B59" s="29" t="inlineStr">
        <is>
          <t>MEANING (SHORT):
git clean deletes untracked files from the working folder.
CODE:
git clean -n
git clean -fd
OUTPUT:
Would remove build.log
Removing build.log
Removing tmp/
EXPLANATION:
Clean removes only untracked files. -n is a dry run that deletes nothing, -f is required, -d also removes folders, and -x also removes ignored files. It deletes for good, there is no recycle bin.
SIMPLE EXPLANATION (HINGLISH):
First see what will go with -n, then add -f. Remember that these files do not come back.
REAL-LIFE ANALOGY:
It is like a broom that sweeps only the scraps and not your belongings.
SYNTAX PATTERN:
git clean [-n] [-f] [-d] [-x]
ANATOMY:
-n = only show | -f = force | -d = folders too | -x = ignored files too
EXAMPLE 1:
git clean -n
EXAMPLE 2:
git clean -fd
EXAMPLE 3:
git clean -fdx
VARIATION:
git clean -i   # ask one by one
USED WITH:
-n, -f, -d, -x
RELATED CONCEPTS:
git restore, git rm, .gitignore
ALTERNATIVES:
Deleting by hand
FAMILY / GROUP:
git clean, git restore, git rm, git stash, git status
WHERE IT IS USED:
Build leftovers | A fresh start | Cleaning up after tests
MINI CONVERSATION:
A: My folder is full of useless files. | B: Run git clean -n first, and if it looks fine, then -fd.
COMMON MISTAKE:
✗ git clean also wipes the changes of tracked files → ✓ git clean removes only untracked files, and git restore is for changes in tracked files
COMMONLY CONFUSED WITH:
git clean vs git restore: clean removes untracked files, restore brings back a tracked file.
AVOID / DON'T:
Do not run git clean -fdx without a -n look first.
WRONG CODE:
git clean -r
RIGHT CODE:
git clean -fd
MEMORY TRICK:
Clean means check first with -n, then clean.
REAL LIFE: PROJECT / WORK:
Clearing leftover temp folders after a build before a fresh test run.
REAL LIFE: INTERVIEW / EXAM:
An interviewer may ask: What does git clean -n do?
REAL LIFE: DAILY LIFE:
It is like sweeping the scraps off the floor with a broom.</t>
        </is>
      </c>
      <c r="C59" s="29" t="inlineStr">
        <is>
          <t>04_Undo_&amp;_Fix_Mistakes_Intermediate_GIT-058</t>
        </is>
      </c>
    </row>
    <row r="60" ht="409" customHeight="1">
      <c r="A60" s="29" t="inlineStr">
        <is>
          <t>Git LFS (Large File Storage)
How do you track large files such as videos or designs without bloating the repository?
git lfs install
git lfs track "*.psd"
git add .gitattributes design.psd
git commit -m "Add design"</t>
        </is>
      </c>
      <c r="B60" s="29" t="inlineStr">
        <is>
          <t>MEANING (SHORT):
Git LFS stores large files separately and keeps a small pointer to them in the repo.
CODE:
git lfs install
git lfs track "*.psd"
git add .gitattributes design.psd
git commit -m "Add design"
OUTPUT:
Tracking "*.psd"
EXPLANATION:
The tracking rule is written into .gitattributes, so that file must be committed too. On push the real file goes to the LFS server. GitHub has limits and quotas for LFS, so check your plan.
SIMPLE EXPLANATION (HINGLISH):
Putting big files straight into Git makes the repo heavy. LFS keeps the real file elsewhere and a pointer in the repo, so cloning stays fast.
REAL-LIFE ANALOGY:
It is like heavy goods in a warehouse and only a slip at home.
SYNTAX PATTERN:
git lfs track "&lt;pattern&gt;"
ANATOMY:
git lfs install = one-time setup | track = which files | .gitattributes = the rule file
EXAMPLE 1:
git lfs track "*.psd"
EXAMPLE 2:
git lfs track "videos/*.mp4"
EXAMPLE 3:
git lfs ls-files
VARIATION:
git lfs untrack "*.psd"   # stop tracking
git lfs pull   # fetch the real files
USED WITH:
.gitattributes, git add, git push
RELATED CONCEPTS:
.gitattributes, clone, repository size
ALTERNATIVES:
Keeping large files outside the repo in cloud storage
FAMILY / GROUP:
LFS, pointer, .gitattributes, binary, track
WHERE IT IS USED:
Game assets | Design files | Machine learning models
MINI CONVERSATION:
A: My repo has become 2 GB. | B: Track the large files with LFS so the repo stays light.
COMMON MISTAKE:
✗ LFS removes large files from the repo for good → ✓ LFS stores the real file separately and keeps a pointer in the repo, and the file comes back on clone
COMMONLY CONFUSED WITH:
LFS vs .gitignore: gitignore does not track a file at all, LFS tracks it but stores it elsewhere.
AVOID / DON'T:
Do not expect a file already committed to shrink the history just because you write an LFS rule.
WRONG CODE:
git lfs add "*.psd"
RIGHT CODE:
git lfs track "*.psd"
MEMORY TRICK:
LFS is a Large File's safe slip.
REAL LIFE: PROJECT / WORK:
Tracking a game's large texture files with LFS.
REAL LIFE: INTERVIEW / EXAM:
An interviewer may ask: How does LFS work?
REAL LIFE: DAILY LIFE:
It is like heavy goods in a warehouse and only a slip at home.</t>
        </is>
      </c>
      <c r="C60" s="29" t="inlineStr">
        <is>
          <t>05_Advanced_Git_Advanced_GIT-059</t>
        </is>
      </c>
    </row>
    <row r="61" ht="409" customHeight="1">
      <c r="A61" s="29" t="inlineStr">
        <is>
          <t>git submodule
How do you include another repository inside yours at one fixed version?
git submodule add https://github.com/asha/ui-kit.git libs/ui-kit
git commit -m "Add ui-kit"</t>
        </is>
      </c>
      <c r="B61" s="29" t="inlineStr">
        <is>
          <t>MEANING (SHORT):
git submodule includes another repository inside yours at a fixed commit.
CODE:
git submodule add https://github.com/asha/ui-kit.git libs/ui-kit
git commit -m "Add ui-kit"
OUTPUT:
Cloning into 'libs/ui-kit'...
done.
EXPLANATION:
The parent repo stores only the submodule's URL and a fixed commit hash. A clone needs --recurse-submodules or git submodule update --init. To move to a newer version you pull inside the submodule and commit the new pointer in the parent.
SIMPLE EXPLANATION (HINGLISH):
A submodule pins another repo at a fixed version. The parent only remembers which commit it wants, and an update happens when you commit a new pointer.
REAL-LIFE ANALOGY:
It is like a note in a book saying to read only that edition of another book.
SYNTAX PATTERN:
git submodule add &lt;url&gt; &lt;path&gt;
ANATOMY:
git submodule add = include it | &lt;url&gt; = address of the other repo | &lt;path&gt; = folder in the parent
EXAMPLE 1:
git submodule add https://github.com/asha/ui-kit.git libs/ui-kit
EXAMPLE 2:
git clone --recurse-submodules https://github.com/asha/app.git
EXAMPLE 3:
git submodule update --init --recursive
VARIATION:
git submodule update --remote   # fetch the newer version
git submodule status
USED WITH:
--recurse-submodules, update, .gitmodules
RELATED CONCEPTS:
git clone, git subtree, package managers
ALTERNATIVES:
git subtree, or a package manager (npm, pip)
FAMILY / GROUP:
submodule, .gitmodules, pointer, recurse, pin
WHERE IT IS USED:
Shared libraries | Large multi-repo projects | Pinning third-party code
MINI CONVERSATION:
A: The libs folder is empty after cloning. | B: Run git submodule update --init, or clone with --recurse-submodules.
COMMON MISTAKE:
✗ A submodule always stays on its latest version → ✓ A submodule is pinned to one commit, and you must update the pointer by hand to get a newer version
COMMONLY CONFUSED WITH:
submodule vs package manager: a submodule pins a git commit, a package manager handles versions and dependencies.
AVOID / DON'T:
Do not forget to commit the new pointer in the parent after changing a submodule.
WRONG CODE:
git submodule clone https://github.com/asha/ui-kit.git
RIGHT CODE:
git submodule add https://github.com/asha/ui-kit.git libs/ui-kit
MEMORY TRICK:
Submodule means a sub-repo pinned to one commit.
REAL LIFE: PROJECT / WORK:
Sharing one UI library across two apps at the same version through a submodule.
REAL LIFE: INTERVIEW / EXAM:
An interviewer may ask: When would you use a submodule and when not?
REAL LIFE: DAILY LIFE:
It is like a note in a book to read only that edition of the other book.</t>
        </is>
      </c>
      <c r="C61" s="29" t="inlineStr">
        <is>
          <t>05_Advanced_Git_Advanced_GIT-060</t>
        </is>
      </c>
    </row>
    <row r="62" ht="409" customHeight="1">
      <c r="A62" s="29" t="inlineStr">
        <is>
          <t>PR merge methods (Merge, Squash, Rebase)
What are the three ways to join a PR into main on GitHub, and how does each affect history?</t>
        </is>
      </c>
      <c r="B62" s="29" t="inlineStr">
        <is>
          <t>DEFINITION (SIMPLE):
A merge commit keeps all history, squash joins all commits into one, and rebase places the commits in a straight line.
HOW / WHY IT WORKS:
Create a merge commit: all commits stay and one merge commit is added. Squash and merge: all the PR's commits become one commit and history stays clean. Rebase and merge: commits arrive in a straight line without a merge commit.
SIMPLE EXPLANATION (HINGLISH):
A merge commit gives the fullest history, squash the cleanest history, and rebase a straight line. Choose according to your team's rule.
REAL-LIFE ANALOGY:
It is like three ways of packing goods: in one box, separately, or in a row.
FORMULA / RULE:
Merge = full history, Squash = one commit, Rebase = straight line
EXAMPLE 1:
Squashing a small bug-fix PR into one clean commit.
EXAMPLE 2:
Merging a long feature branch with a merge commit to keep its history.
EXAMPLE 3:
A team that wants a straight history picks rebase and merge.
RELATED CONCEPTS:
pull request, git merge, git rebase
FAMILY / GROUP:
merge commit, squash, rebase, history, linear
WHERE IT IS USED:
Merging PRs | Release history | Changelogs
MINI CONVERSATION:
A: My PR has twelve small commits. | B: Use squash and merge to make one clean commit.
COMMON MISTAKE:
✗ Squash and merge makes the PR's commits disappear → ✓ The commits stay on the PR page, but only one squash commit lands on main
DON'T CONFUSE WITH:
Squash vs rebase merge: squash turns all commits into one, rebase merge keeps each in a straight line.
AVOID / DON'T:
Do not mix all three methods in one repo without a rule.
MEMORY TRICK:
Merge for Memory, Squash for Spotless.
REAL LIFE: PROJECT / WORK:
A team decided all PRs are squashed to keep main's history short.
REAL LIFE: INTERVIEW / EXAM:
An interviewer may ask: What is the difference between squash and rebase merge?
REAL LIFE: DAILY LIFE:
It is like three ways of packing the same goods.</t>
        </is>
      </c>
      <c r="C62" s="29" t="inlineStr">
        <is>
          <t>03_Collaboration_Intermediate_GIT-061</t>
        </is>
      </c>
    </row>
    <row r="63" ht="409" customHeight="1">
      <c r="A63" s="29" t="inlineStr">
        <is>
          <t>GitHub Codespaces
Which GitHub cloud feature opens a full coding environment right in the browser?</t>
        </is>
      </c>
      <c r="B63" s="29" t="inlineStr">
        <is>
          <t>DEFINITION (SIMPLE):
Codespaces is a development environment in the cloud that is built from a repository and opened in a browser or VS Code.
HOW / WHY IT WORKS:
The repo's devcontainer.json says which tools and extensions are needed. A codespace runs on a virtual machine with a terminal and an editor. It can be stopped or deleted, and plans give some free time.
SIMPLE EXPLANATION (HINGLISH):
Open a codespace from a repo and a full environment is ready in moments. New contributors are spared the pain of setup.
REAL-LIFE ANALOGY:
It is like a ready workshop with every tool already laid out.
FORMULA / RULE:
Repo + devcontainer.json → Codespace
EXAMPLE 1:
A new intern runs the project on day one with no setup.
EXAMPLE 2:
In a tutorial every student gets the same environment.
EXAMPLE 3:
Running a PR in the browser to check it.
RELATED CONCEPTS:
devcontainer, VS Code, GitHub Actions
FAMILY / GROUP:
codespace, devcontainer, VM, extension
WHERE IT IS USED:
Onboarding | Tutorials | Quick bug fixes
MINI CONVERSATION:
A: A new teammate needs hours to set up. | B: Add a devcontainer.json and Codespaces will do it in one click.
COMMON MISTAKE:
✗ Codespaces is only an online editor and cannot run code → ✓ A codespace is a whole virtual machine where the terminal, tools and servers can run
DON'T CONFUSE WITH:
Codespaces vs local setup: Codespaces lives in the cloud, a local setup lives on your laptop.
AVOID / DON'T:
Delete old codespaces after use, they can eat your quota.
MEMORY TRICK:
A codespace is a ready workspace in the cloud.
REAL LIFE: PROJECT / WORK:
Keeping a devcontainer.json in an open-source project so contributors can start at once.
REAL LIFE: INTERVIEW / EXAM:
An interviewer may ask: What does devcontainer.json do?
REAL LIFE: DAILY LIFE:
It is like a ready workshop with every tool laid out.</t>
        </is>
      </c>
      <c r="C63" s="29" t="inlineStr">
        <is>
          <t>07_GitHub_Platform_Intermediate_GIT-062</t>
        </is>
      </c>
    </row>
    <row r="64" ht="409" customHeight="1">
      <c r="A64" s="29" t="inlineStr">
        <is>
          <t>GitHub Gist
What is GitHub's way of sharing a small snippet of code or a note quickly without creating a whole repo?</t>
        </is>
      </c>
      <c r="B64" s="29" t="inlineStr">
        <is>
          <t>DEFINITION (SIMPLE):
A gist is a light git repo for sharing small code snippets or notes through a link.
HOW / WHY IT WORKS:
A gist can be public or secret. A secret gist does not show in search, but anyone with the link can view it, so it is not truly private. A gist keeps versions and comments, and can also be cloned with git.
SIMPLE EXPLANATION (HINGLISH):
With a gist you share a few lines of code or notes through one link. You do not need a whole repo.
REAL-LIFE ANALOGY:
It is like writing a snippet on a slip and handing it to a friend.
FORMULA / RULE:
Write the snippet → make a gist → share the link
EXAMPLE 1:
Sending a small script to a friend by link.
EXAMPLE 2:
Embedding a config snippet in a blog.
EXAMPLE 3:
Sharing an error log with a support team.
RELATED CONCEPTS:
repository, snippets, embed
FAMILY / GROUP:
gist, snippet, secret, public
WHERE IT IS USED:
Snippet sharing | Bug reports | Blog posts
MINI CONVERSATION:
A: How do I send this little script? | B: Make a gist and send the link.
COMMON MISTAKE:
✗ A secret gist is private and only I can see it → ✓ A secret gist can be seen by anyone with the link, it is only hidden from search
DON'T CONFUSE WITH:
Gist vs repo: a gist is light for small snippets, a repo is for a whole project.
AVOID / DON'T:
Do not put secrets or passwords in a gist.
MEMORY TRICK:
A gist is a quick-share fragment.
REAL LIFE: PROJECT / WORK:
Putting a small config file in a gist and sending the link to support.
REAL LIFE: INTERVIEW / EXAM:
An interviewer may ask: What is the difference between a secret gist and a private repo?
REAL LIFE: DAILY LIFE:
It is like writing a snippet on a slip and handing it to a friend.</t>
        </is>
      </c>
      <c r="C64" s="29" t="inlineStr">
        <is>
          <t>07_GitHub_Platform_Beginner_GIT-063</t>
        </is>
      </c>
    </row>
    <row r="65" ht="409" customHeight="1">
      <c r="A65" s="29" t="inlineStr">
        <is>
          <t>Git hooks (pre-commit)
What does Git offer to run a script automatically before a commit or push?
printf '#!/bin/sh\nnpm test\n' &gt; .git/hooks/pre-commit
chmod +x .git/hooks/pre-commit</t>
        </is>
      </c>
      <c r="B65" s="29" t="inlineStr">
        <is>
          <t>MEANING (SHORT):
A Git hook is a script that runs automatically before or after an event such as a commit or push.
CODE:
printf '#!/bin/sh\nnpm test\n' &gt; .git/hooks/pre-commit
chmod +x .git/hooks/pre-commit
OUTPUT:
(npm test will now run before every commit)
EXPLANATION:
Hooks live in .git/hooks and must be executable. If pre-commit fails, the commit is stopped. The .git folder is not committed, so hooks do not reach the team on their own; share them with Husky or the pre-commit framework.
SIMPLE EXPLANATION (HINGLISH):
A hook lets you run tests or formatting before each commit. If it fails, the commit does not happen.
REAL-LIFE ANALOGY:
It is like a guard at a door who lets you in only after checking.
SYNTAX PATTERN:
.git/hooks/&lt;hook-name&gt; (an executable script)
ANATOMY:
pre-commit = before a commit | pre-push = before a push | commit-msg = checks the message
EXAMPLE 1:
Running lint in pre-commit
EXAMPLE 2:
Checking the message format in commit-msg
EXAMPLE 3:
Running tests in pre-push
VARIATION:
git commit --no-verify   # skip the hooks
USED WITH:
.git/hooks, chmod, Husky, pre-commit framework
RELATED CONCEPTS:
GitHub Actions, linting, CI
ALTERNATIVES:
Running the same checks in CI
FAMILY / GROUP:
hook, pre-commit, pre-push, commit-msg, Husky
WHERE IT IS USED:
Lint and format | Message rules | Local tests
MINI CONVERSATION:
A: Badly formatted code keeps getting committed. | B: Run a formatter in a pre-commit hook and the commit will stop on failure.
COMMON MISTAKE:
✗ A hook in .git applies automatically to everyone on the team → ✓ The .git folder is not cloned, so hooks must be shared with a tool such as Husky
COMMONLY CONFUSED WITH:
hook vs CI: a hook runs on your own machine, CI runs on GitHub's servers.
AVOID / DON'T:
Do not make --no-verify a habit.
WRONG CODE:
echo "npm test" &gt; .git/hooks/pre-commit
RIGHT CODE:
printf '#!/bin/sh\nnpm test\n' &gt; .git/hooks/pre-commit
MEMORY TRICK:
A hook holds the commit until the check passes.
REAL LIFE: PROJECT / WORK:
Running lint and format on every pre-commit through Husky.
REAL LIFE: INTERVIEW / EXAM:
An interviewer may ask: What is the difference between a hook and CI?
REAL LIFE: DAILY LIFE:
It is like a guard at the door who checks everyone coming in.</t>
        </is>
      </c>
      <c r="C65" s="29" t="inlineStr">
        <is>
          <t>05_Advanced_Git_Advanced_GIT-064</t>
        </is>
      </c>
    </row>
    <row r="66" ht="409" customHeight="1">
      <c r="A66" s="29" t="inlineStr">
        <is>
          <t>Detached HEAD
Git says you are in detached HEAD state. What does it mean, and how do you save work done there?</t>
        </is>
      </c>
      <c r="B66" s="29" t="inlineStr">
        <is>
          <t>DEFINITION (SIMPLE):
A detached HEAD is when HEAD points straight to a commit and not to a branch.
HOW / WHY IT WORKS:
New commits there belong to no branch, so you may forget them when you switch away. To save the work, run git switch -c new-name. For just looking, this state is perfectly fine. To return, run git switch main.
SIMPLE EXPLANATION (HINGLISH):
Going to an old commit takes HEAD off the branch. Only look there or make a new branch, or new commits may be lost.
REAL-LIFE ANALOGY:
It is like tying a kite whose string was cut to a post straight away.
FORMULA / RULE:
Work done in detached HEAD → git switch -c new-branch
EXAMPLE 1:
Viewing an old version with git switch --detach v1.0.0.
EXAMPLE 2:
Reaching a commit with git checkout 8b7d1e2.
EXAMPLE 3:
Committing in the detached state and saving it with git switch -c rescue.
RELATED CONCEPTS:
HEAD, git switch, git reflog
FAMILY / GROUP:
HEAD, detached, checkout, switch, reflog
WHERE IT IS USED:
Viewing an old version | Bisect | Going to a tag
MINI CONVERSATION:
A: Git says detached HEAD and I already committed. | B: Run git switch -c rescue straight away so the commit is saved.
COMMON MISTAKE:
✗ Detached HEAD means the repo is broken → ✓ It is a normal state: look around freely, and make a new branch to keep any work
DON'T CONFUSE WITH:
Detached HEAD vs being on a branch: on a branch new commits move the branch forward, in a detached state they move no branch.
AVOID / DON'T:
Do not switch branches after committing in a detached state without making a branch first.
MEMORY TRICK:
Detached means the string is cut, so make a branch.
REAL LIFE: PROJECT / WORK:
Going to an old release tag in detached HEAD to reproduce a bug.
REAL LIFE: INTERVIEW / EXAM:
An interviewer may ask: How do you save work done in a detached HEAD?
REAL LIFE: DAILY LIFE:
It is like tying a loose kite to a post right away.</t>
        </is>
      </c>
      <c r="C66" s="29" t="inlineStr">
        <is>
          <t>02_Branching_&amp;_Merging_Advanced_GIT-065</t>
        </is>
      </c>
    </row>
    <row r="67" ht="409" customHeight="1">
      <c r="A67" s="29" t="inlineStr">
        <is>
          <t>Git alias
How do you run a long git command under a short name?
git config --global alias.st status
git config --global alias.lg "log --oneline --graph --all"
git lg</t>
        </is>
      </c>
      <c r="B67" s="29" t="inlineStr">
        <is>
          <t>MEANING (SHORT):
A Git alias is a short name that stands for a long git command.
CODE:
git config --global alias.st status
git config --global alias.lg "log --oneline --graph --all"
git lg
OUTPUT:
* 8b7d1e2 (HEAD -&gt; main) Fix refund rounding
* 3f2a9c1 Add homepage heading
EXPLANATION:
Aliases are saved in the [alias] section of ~/.gitconfig. For a Git subcommand you write only the part after git, and for a shell command you start with an exclamation mark. It is only a shortcut, not a new feature.
SIMPLE EXPLANATION (HINGLISH):
Give long commands a short name. Write it once in the config, and then typing git st runs git status.
REAL-LIFE ANALOGY:
It is like calling someone with a long name by a pet name.
SYNTAX PATTERN:
git config --global alias.&lt;short&gt; "&lt;command&gt;"
ANATOMY:
alias.st = the short name | "status" = the real command
EXAMPLE 1:
git config --global alias.st status
EXAMPLE 2:
git config --global alias.co switch
EXAMPLE 3:
git config --global alias.lg "log --oneline --graph --all"
VARIATION:
git config --global alias.last "log -1 HEAD"
git config --global --get-regexp alias   # list all aliases
USED WITH:
git config, ~/.gitconfig, --global
RELATED CONCEPTS:
git config, git log, shell alias
ALTERNATIVES:
A shell alias (bash or zsh)
FAMILY / GROUP:
alias, shortcut, config, ~/.gitconfig
WHERE IT IS USED:
Daily work | Long log commands | Team shortcuts
MINI CONVERSATION:
A: I keep typing that long git log command. | B: Make an alias such as git lg.
COMMON MISTAKE:
✗ Aliases give new features that Git does not have → ✓ An alias is only a shortcut for an existing command, not a new feature
COMMONLY CONFUSED WITH:
git alias vs shell alias: a git alias works inside git, a shell alias works in the whole terminal.
AVOID / DON'T:
Do not make an alias that clashes with a real git command name.
WRONG CODE:
git alias st status
RIGHT CODE:
git config --global alias.st status
MEMORY TRICK:
An alias is an Abbreviation for Long Instructions, Always Short.
REAL LIFE: PROJECT / WORK:
Sharing a git lg alias with the team so everyone sees the same graph.
REAL LIFE: INTERVIEW / EXAM:
An interviewer may ask: How do you make a git alias?
REAL LIFE: DAILY LIFE:
It is like calling a person with a long name by a pet name.</t>
        </is>
      </c>
      <c r="C67" s="29" t="inlineStr">
        <is>
          <t>01_Basics_Intermediate_GIT-066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7"/>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08" customHeight="1">
      <c r="A2" s="29" t="inlineStr">
        <is>
          <t>MCQ: Which GitHub feature sends your bug fix to a project owner for review?
A) git init B) git status C) Pull request D) Fork delete
FILL: Git is a tool, and ____ is the online hosting service built around it
APPLY: What is the first step to put a project folder on GitHub?</t>
        </is>
      </c>
      <c r="B2" s="29" t="inlineStr">
        <is>
          <t>MCQ answer: C  A pull request sends your changes to the owner for review and merging; the other options do not do that.
Fill answer: GitHub
Apply: Create a new repository on GitHub, then push your code</t>
        </is>
      </c>
      <c r="C2" s="29" t="inlineStr">
        <is>
          <t>01_Basics_Beginner_GIT-001_quiz</t>
        </is>
      </c>
    </row>
    <row r="3" ht="108" customHeight="1">
      <c r="A3" s="29" t="inlineStr">
        <is>
          <t>MCQ: What turns an ordinary folder into a Git repository?
A) Naming the folder repo B) The hidden .git folder C) A README.md file D) A .txt extension
FILL: A repository keeps its full history inside the hidden ____ folder
APPLY: What happens if you delete the .git folder from a project?</t>
        </is>
      </c>
      <c r="B3" s="29" t="inlineStr">
        <is>
          <t>MCQ answer: B  The .git folder holds the history and settings; nothing else makes a folder a repository.
Fill answer: .git
Apply: The folder becomes ordinary again and the full commit history is lost</t>
        </is>
      </c>
      <c r="C3" s="29" t="inlineStr">
        <is>
          <t>01_Basics_Beginner_GIT-002_quiz</t>
        </is>
      </c>
    </row>
    <row r="4" ht="148.5" customHeight="1">
      <c r="A4" s="29" t="inlineStr">
        <is>
          <t>MCQ: Which command sets the email for the current repository only?
A) git config --local user.email x B) git config --global user.email x C) git push user.email x D) git init user.email x
FILL: To set your name for every repository on this computer, run git config ____ user.name "Asha"
HINDI TO TASK: Set your name to Ravi for all repositories.
PRACTICE QUESTION: What does this command set? git config --global init.defaultBranch main</t>
        </is>
      </c>
      <c r="B4" s="29" t="inlineStr">
        <is>
          <t>MCQ answer: A  --local changes only the current repo, while --global applies to all of them.
Fill answer: --global
Task answer:
git config --global user.name "Ravi"
Practice answer:
New repositories will start with a branch named main.</t>
        </is>
      </c>
      <c r="C4" s="29" t="inlineStr">
        <is>
          <t>01_Basics_Beginner_GIT-003_quiz</t>
        </is>
      </c>
    </row>
    <row r="5" ht="121.5" customHeight="1">
      <c r="A5" s="29" t="inlineStr">
        <is>
          <t>MCQ: Which command turns a brand new empty folder into a Git repository for the first time?
A) git merge B) git push C) git clone D) git init
FILL: git ____ myapp
HINDI TO TASK: Create a new Git repository named website.
PRACTICE QUESTION: What will git status show right after git init?</t>
        </is>
      </c>
      <c r="B5" s="29" t="inlineStr">
        <is>
          <t>MCQ answer: D  Init creates a new empty repo, while clone copies an existing one.
Fill answer: init
Task answer:
git init website
Practice answer:
It will say No commits yet and that no file is tracked.</t>
        </is>
      </c>
      <c r="C5" s="29" t="inlineStr">
        <is>
          <t>01_Basics_Beginner_GIT-004_quiz</t>
        </is>
      </c>
    </row>
    <row r="6" ht="148.5" customHeight="1">
      <c r="A6" s="29" t="inlineStr">
        <is>
          <t>MCQ: Which command brings an existing GitHub repository to your computer for the first time?
A) git commit B) git clone C) git status D) git init
FILL: git ____ https://github.com/octocat/Hello-World.git
HINDI TO TASK: Clone the Hello-World repository into a folder called demo.
PRACTICE QUESTION: What happens when you run git clone &lt;url&gt; new-name?</t>
        </is>
      </c>
      <c r="B6" s="29" t="inlineStr">
        <is>
          <t>MCQ answer: B  Clone copies the whole remote repo, whereas init creates a new empty one.
Fill answer: clone
Task answer:
git clone https://github.com/octocat/Hello-World.git demo
Practice answer:
The repo is cloned into a folder called new-name instead of the name taken from the URL.</t>
        </is>
      </c>
      <c r="C6" s="29" t="inlineStr">
        <is>
          <t>01_Basics_Beginner_GIT-005_quiz</t>
        </is>
      </c>
    </row>
    <row r="7" ht="135" customHeight="1">
      <c r="A7" s="29" t="inlineStr">
        <is>
          <t>MCQ: You create a new file that Git has never seen. In which category will git status show it?
A) Committed B) Ignored C) Staged D) Untracked
FILL: git ____ -s
HINDI TO TASK: Show a short summary of the changes.
PRACTICE QUESTION: You git add a file and then change it again. How does git status show it?</t>
        </is>
      </c>
      <c r="B7" s="29" t="inlineStr">
        <is>
          <t>MCQ answer: D  A file that was never added to Git is untracked.
Fill answer: status
Task answer:
git status -s
Practice answer:
Both ways: the old change as staged and the new change as modified.</t>
        </is>
      </c>
      <c r="C7" s="29" t="inlineStr">
        <is>
          <t>01_Basics_Beginner_GIT-006_quiz</t>
        </is>
      </c>
    </row>
    <row r="8" ht="135" customHeight="1">
      <c r="A8" s="29" t="inlineStr">
        <is>
          <t>MCQ: If you run git add and then edit the same file again, what goes into the next commit?
A) Only the first (staged) change B) Nothing C) Only the new change D) Both changes
FILL: git ____ index.html
HINDI TO TASK: Put only style.css into staging.
PRACTICE QUESTION: What does git add . do?</t>
        </is>
      </c>
      <c r="B8" s="29" t="inlineStr">
        <is>
          <t>MCQ answer: A  A commit takes the version that was staged at the time of add; the new change needs another add.
Fill answer: add
Task answer:
git add style.css
Practice answer:
It stages all new and changed files in the current folder, except ignored ones.</t>
        </is>
      </c>
      <c r="C8" s="29" t="inlineStr">
        <is>
          <t>01_Basics_Beginner_GIT-007_quiz</t>
        </is>
      </c>
    </row>
    <row r="9" ht="135" customHeight="1">
      <c r="A9" s="29" t="inlineStr">
        <is>
          <t>MCQ: After git commit, which step is still needed if you want the code on GitHub?
A) git config B) git init C) git push D) git add
FILL: git ____ -m "Add header"
HINDI TO TASK: Save the staged changes with the message Add navbar.
PRACTICE QUESTION: Name one big difference between git commit -am "msg" and git add . followed by git commit -m "msg".</t>
        </is>
      </c>
      <c r="B9" s="29" t="inlineStr">
        <is>
          <t>MCQ answer: C  A commit is local, and you need push to send it to the remote.
Fill answer: commit
Task answer:
git commit -m "Add navbar"
Practice answer:
-am stages only already tracked files, so new untracked files are not added.</t>
        </is>
      </c>
      <c r="C9" s="29" t="inlineStr">
        <is>
          <t>01_Basics_Beginner_GIT-008_quiz</t>
        </is>
      </c>
    </row>
    <row r="10" ht="108" customHeight="1">
      <c r="A10" s="29" t="inlineStr">
        <is>
          <t>MCQ: Which of these commit messages is the most useful?
A) changes done B) Fix crash on empty cart checkout C) update D) fixed stuff
FILL: Keep the first line of a commit message in the imperative and under ____ characters
APPLY: Write a good commit message for adding a navbar.</t>
        </is>
      </c>
      <c r="B10" s="29" t="inlineStr">
        <is>
          <t>MCQ answer: B  It says what was fixed and where, while the others are very vague.
Fill answer: 50
Apply: Add responsive navbar to homepage</t>
        </is>
      </c>
      <c r="C10" s="29" t="inlineStr">
        <is>
          <t>01_Basics_Beginner_GIT-009_quiz</t>
        </is>
      </c>
    </row>
    <row r="11" ht="148.5" customHeight="1">
      <c r="A11" s="29" t="inlineStr">
        <is>
          <t>MCQ: Which command lists all connected remotes with their URLs?
A) git remote -v B) git status -r C) git config -r D) git log -remote
FILL: git remote ____ origin https://github.com/asha/notes.git
HINDI TO TASK: Connect https://github.com/asha/notes.git under the name origin.
PRACTICE QUESTION: What is the command to change the URL of origin from HTTPS to SSH?</t>
        </is>
      </c>
      <c r="B11" s="29" t="inlineStr">
        <is>
          <t>MCQ answer: A  git remote -v is the verbose list showing each remote's name and URL.
Fill answer: add
Task answer:
git remote add origin https://github.com/asha/notes.git
Practice answer:
git remote set-url origin git@github.com:asha/notes.git</t>
        </is>
      </c>
      <c r="C11" s="29" t="inlineStr">
        <is>
          <t>01_Basics_Beginner_GIT-010_quiz</t>
        </is>
      </c>
    </row>
    <row r="12" ht="135" customHeight="1">
      <c r="A12" s="29" t="inlineStr">
        <is>
          <t>MCQ: A push is rejected because the remote has new commits. What is the right next step?
A) git init B) Clone again C) Delete .git D) git pull, then push again
FILL: git ____ -u origin main
HINDI TO TASK: Send the feature-login branch to origin.
PRACTICE QUESTION: What does the -u flag do in git push?</t>
        </is>
      </c>
      <c r="B12" s="29" t="inlineStr">
        <is>
          <t>MCQ answer: D  First bring in the remote's new commits and merge them with yours, then push.
Fill answer: push
Task answer:
git push origin feature-login
Practice answer:
It links the local branch to the remote branch, so later a plain git push and git pull are enough.</t>
        </is>
      </c>
      <c r="C12" s="29" t="inlineStr">
        <is>
          <t>01_Basics_Beginner_GIT-011_quiz</t>
        </is>
      </c>
    </row>
    <row r="13" ht="135" customHeight="1">
      <c r="A13" s="29" t="inlineStr">
        <is>
          <t>MCQ: Which two commands combined make up git pull?
A) clone and status B) init and add C) fetch and merge D) commit and push
FILL: git ____ origin main
HINDI TO TASK: Bring the new changes from origin's main branch.
PRACTICE QUESTION: What happens if both sides changed the same line during a pull?</t>
        </is>
      </c>
      <c r="B13" s="29" t="inlineStr">
        <is>
          <t>MCQ answer: C  Pull first fetches and then merges.
Fill answer: pull
Task answer:
git pull origin main
Practice answer:
A merge conflict appears and you must resolve it by hand.</t>
        </is>
      </c>
      <c r="C13" s="29" t="inlineStr">
        <is>
          <t>01_Basics_Beginner_GIT-012_quiz</t>
        </is>
      </c>
    </row>
    <row r="14" ht="108" customHeight="1">
      <c r="A14" s="29" t="inlineStr">
        <is>
          <t>MCQ: Which option shows each commit on a single line?
A) --all B) --oneline C) --stat D) --short
FILL: git log ____ -5
HINDI TO TASK: Show the last five commits, one per line.
PRACTICE QUESTION: What command shows only Asha's commits?</t>
        </is>
      </c>
      <c r="B14" s="29" t="inlineStr">
        <is>
          <t>MCQ answer: B  --oneline shows the hash and message on one line.
Fill answer: --oneline
Task answer:
git log --oneline -5
Practice answer:
git log --author="Asha"</t>
        </is>
      </c>
      <c r="C14" s="29" t="inlineStr">
        <is>
          <t>01_Basics_Beginner_GIT-013_quiz</t>
        </is>
      </c>
    </row>
    <row r="15" ht="94.5" customHeight="1">
      <c r="A15" s="29" t="inlineStr">
        <is>
          <t>MCQ: Which file does GitHub show automatically on the repository home page?
A) package.json B) .gitignore C) index.html D) README.md
FILL: A README is usually written in the ____ format
APPLY: How would you show install steps in a README?</t>
        </is>
      </c>
      <c r="B15" s="29" t="inlineStr">
        <is>
          <t>MCQ answer: D  GitHub renders README.md on the repo page.
Fill answer: Markdown
Apply: Write the commands inside a code block with triple backticks</t>
        </is>
      </c>
      <c r="C15" s="29" t="inlineStr">
        <is>
          <t>01_Basics_Beginner_GIT-014_quiz</t>
        </is>
      </c>
    </row>
    <row r="16" ht="108" customHeight="1">
      <c r="A16" s="29" t="inlineStr">
        <is>
          <t>MCQ: A file is already committed. What happens when you add it to .gitignore?
A) The file disappears from history B) Git crashes C) The file stays tracked D) The repo becomes private
FILL: To ignore your secrets file, write ____ in .gitignore
APPLY: What command stops tracking a committed .env file?</t>
        </is>
      </c>
      <c r="B16" s="29" t="inlineStr">
        <is>
          <t>MCQ answer: C  .gitignore has no effect on a tracked file until you run git rm --cached.
Fill answer: .env
Apply: git rm --cached .env</t>
        </is>
      </c>
      <c r="C16" s="29" t="inlineStr">
        <is>
          <t>01_Basics_Beginner_GIT-015_quiz</t>
        </is>
      </c>
    </row>
    <row r="17" ht="94.5" customHeight="1">
      <c r="A17" s="29" t="inlineStr">
        <is>
          <t>MCQ: A repo is public. What can a random stranger do with it?
A) View, clone and fork it B) Remove collaborators C) Edit the main branch directly D) Change the settings
FILL: A repo visible only to allowed people is called ____
APPLY: What do you check before making a repo public?</t>
        </is>
      </c>
      <c r="B17" s="29" t="inlineStr">
        <is>
          <t>MCQ answer: A  A public repo lets everyone read and fork it, but not edit it.
Fill answer: private
Apply: That no secrets or keys are in the history</t>
        </is>
      </c>
      <c r="C17" s="29" t="inlineStr">
        <is>
          <t>01_Basics_Beginner_GIT-016_quiz</t>
        </is>
      </c>
    </row>
    <row r="18" ht="135" customHeight="1">
      <c r="A18" s="29" t="inlineStr">
        <is>
          <t>MCQ: Which command only creates a branch but does not move you onto it?
A) git switch -c x B) git merge x C) git branch x D) git checkout -b x
FILL: git ____ feature/login
HINDI TO TASK: Create a new branch called fix-navbar.
PRACTICE QUESTION: What does git branch -a show?</t>
        </is>
      </c>
      <c r="B18" s="29" t="inlineStr">
        <is>
          <t>MCQ answer: C  git branch x only creates the branch, while the others also move you or merge.
Fill answer: branch
Task answer:
git branch fix-navbar
Practice answer:
The list of local and remote branches together.</t>
        </is>
      </c>
      <c r="C18" s="29" t="inlineStr">
        <is>
          <t>02_Branching_&amp;_Merging_Beginner_GIT-017_quiz</t>
        </is>
      </c>
    </row>
    <row r="19" ht="108" customHeight="1">
      <c r="A19" s="29" t="inlineStr">
        <is>
          <t>MCQ: Which command creates a new branch and moves onto it at once?
A) git switch -c x B) git branch x C) git merge x D) git switch x
FILL: git switch ____ feature/login
HINDI TO TASK: Go back to the main branch.
PRACTICE QUESTION: What does git switch - do?</t>
        </is>
      </c>
      <c r="B19" s="29" t="inlineStr">
        <is>
          <t>MCQ answer: A  The -c flag creates the branch and also moves you onto it.
Fill answer: -c
Task answer:
git switch main
Practice answer:
It takes you back to the previous branch.</t>
        </is>
      </c>
      <c r="C19" s="29" t="inlineStr">
        <is>
          <t>02_Branching_&amp;_Merging_Beginner_GIT-018_quiz</t>
        </is>
      </c>
    </row>
    <row r="20" ht="121.5" customHeight="1">
      <c r="A20" s="29" t="inlineStr">
        <is>
          <t>MCQ: A file has already been git added. Which command shows its change?
A) git diff B) git diff --staged C) git status -d D) git log -p -1
FILL: git diff ____
HINDI TO TASK: Show the difference of the staged changes.
PRACTICE QUESTION: How will a removed line look in a diff?</t>
        </is>
      </c>
      <c r="B20" s="29" t="inlineStr">
        <is>
          <t>MCQ answer: B  Plain git diff does not show staged changes, but --staged does.
Fill answer: --staged
Task answer:
git diff --staged
Practice answer:
In red, with a minus sign in front.</t>
        </is>
      </c>
      <c r="C20" s="29" t="inlineStr">
        <is>
          <t>02_Branching_&amp;_Merging_Beginner_GIT-019_quiz</t>
        </is>
      </c>
    </row>
    <row r="21" ht="148.5" customHeight="1">
      <c r="A21" s="29" t="inlineStr">
        <is>
          <t>MCQ: You want a feature branch's work in main. On which branch should you run the merge command?
A) Only origin B) The feature branch C) Any branch D) The branch that should receive the work
FILL: git ____ feature/login
HINDI TO TASK: Merge feature/login into the current branch.
PRACTICE QUESTION: Why does a fast-forward merge not create a new merge commit?</t>
        </is>
      </c>
      <c r="B21" s="29" t="inlineStr">
        <is>
          <t>MCQ answer: D  Merge brings other work into the current branch, so you run it on the receiving branch.
Fill answer: merge
Task answer:
git merge feature/login
Practice answer:
Because main made no new work, so Git just moves the pointer forward.</t>
        </is>
      </c>
      <c r="C21" s="29" t="inlineStr">
        <is>
          <t>02_Branching_&amp;_Merging_Intermediate_GIT-020_quiz</t>
        </is>
      </c>
    </row>
    <row r="22" ht="108" customHeight="1">
      <c r="A22" s="29" t="inlineStr">
        <is>
          <t>MCQ: Which two commands finish a merge after you resolve the conflict?
A) git init and git push B) git add and git commit C) git clone and git pull D) git reset and git stash
FILL: To stop a merge, run git merge ____
APPLY: What does the ======= line show in a conflict?</t>
        </is>
      </c>
      <c r="B22" s="29" t="inlineStr">
        <is>
          <t>MCQ answer: B  You add the resolved file and commit to complete the merge.
Fill answer: --abort
Apply: The boundary between the two versions</t>
        </is>
      </c>
      <c r="C22" s="29" t="inlineStr">
        <is>
          <t>02_Branching_&amp;_Merging_Intermediate_GIT-021_quiz</t>
        </is>
      </c>
    </row>
    <row r="23" ht="121.5" customHeight="1">
      <c r="A23" s="29" t="inlineStr">
        <is>
          <t>MCQ: Which command downloads new remote commits but does not change your current branch?
A) git clone B) git merge C) git fetch D) git pull
FILL: git ____ origin
HINDI TO TASK: Get the new data from origin but do not merge it.
PRACTICE QUESTION: What does git fetch --prune do?</t>
        </is>
      </c>
      <c r="B23" s="29" t="inlineStr">
        <is>
          <t>MCQ answer: C  Fetch only downloads data, while pull also merges.
Fill answer: fetch
Task answer:
git fetch origin
Practice answer:
It removes stale references to remote branches that were deleted.</t>
        </is>
      </c>
      <c r="C23" s="29" t="inlineStr">
        <is>
          <t>02_Branching_&amp;_Merging_Intermediate_GIT-022_quiz</t>
        </is>
      </c>
    </row>
    <row r="24" ht="121.5" customHeight="1">
      <c r="A24" s="29" t="inlineStr">
        <is>
          <t>MCQ: You are not a collaborator on someone's public repo. What is the right first step to send them a change?
A) Ask for their password B) Push directly C) Delete the repo D) Fork it
FILL: After forking, you ask the original owner to take your change by opening a ____
APPLY: How do you bring your fork to your computer?</t>
        </is>
      </c>
      <c r="B24" s="29" t="inlineStr">
        <is>
          <t>MCQ answer: D  Without collaborator permission you cannot push, and a fork gives you your own copy.
Fill answer: pull request
Apply: Use git clone with your fork's URL</t>
        </is>
      </c>
      <c r="C24" s="29" t="inlineStr">
        <is>
          <t>03_Collaboration_Beginner_GIT-023_quiz</t>
        </is>
      </c>
    </row>
    <row r="25" ht="108" customHeight="1">
      <c r="A25" s="29" t="inlineStr">
        <is>
          <t>MCQ: CI checks fail on your PR. What is the right step?
A) Push a fix commit to the branch B) Create a new repo C) Close the PR D) Remove the reviewer
FILL: The option that joins all PR commits into one is called ____ merge
APPLY: How do you add a fix after opening a PR?</t>
        </is>
      </c>
      <c r="B25" s="29" t="inlineStr">
        <is>
          <t>MCQ answer: A  New commits join the same PR and the checks run again.
Fill answer: squash
Apply: Commit on the same branch and push</t>
        </is>
      </c>
      <c r="C25" s="29" t="inlineStr">
        <is>
          <t>03_Collaboration_Intermediate_GIT-024_quiz</t>
        </is>
      </c>
    </row>
    <row r="26" ht="121.5" customHeight="1">
      <c r="A26" s="29" t="inlineStr">
        <is>
          <t>MCQ: A reviewer chose Request changes on a PR. What should the author do next?
A) Remove the reviewer B) Fix as the comments say and push C) Switch the branch D) Delete the PR
FILL: The feature that lets the author apply a reviewer's change in one click is called a ____
APPLY: What should a code review comment focus on?</t>
        </is>
      </c>
      <c r="B26" s="29" t="inlineStr">
        <is>
          <t>MCQ answer: B  Apply the suggestions and push to the same PR, then the reviewer looks again.
Fill answer: suggestion
Apply: The logic, names, tests and security, not the person</t>
        </is>
      </c>
      <c r="C26" s="29" t="inlineStr">
        <is>
          <t>03_Collaboration_Intermediate_GIT-025_quiz</t>
        </is>
      </c>
    </row>
    <row r="27" ht="94.5" customHeight="1">
      <c r="A27" s="29" t="inlineStr">
        <is>
          <t>MCQ: Which phrase in a PR description closes issue 42 automatically when it merges?
A) Maybe #42 B) About #42 C) Fixes #42 D) See #42
FILL: To close the issue, write ____ #42 in the PR
APPLY: How do newcomers find a good issue to start with?</t>
        </is>
      </c>
      <c r="B27" s="29" t="inlineStr">
        <is>
          <t>MCQ answer: C  Words such as Fixes, Closes or Resolves close the issue.
Fill answer: Fixes
Apply: Look for the good first issue label</t>
        </is>
      </c>
      <c r="C27" s="29" t="inlineStr">
        <is>
          <t>03_Collaboration_Beginner_GIT-026_quiz</t>
        </is>
      </c>
    </row>
    <row r="28" ht="108" customHeight="1">
      <c r="A28" s="29" t="inlineStr">
        <is>
          <t>MCQ: Which role lets a person push to branches but not change repo settings?
A) Triage B) Read C) Admin D) Write
FILL: The highest role, which can even delete a repo, is called ____
APPLY: Which role would you give a new intern who should only view code?</t>
        </is>
      </c>
      <c r="B28" s="29" t="inlineStr">
        <is>
          <t>MCQ answer: D  Write allows pushing, but changing settings needs Admin.
Fill answer: Admin
Apply: Read</t>
        </is>
      </c>
      <c r="C28" s="29" t="inlineStr">
        <is>
          <t>03_Collaboration_Intermediate_GIT-027_quiz</t>
        </is>
      </c>
    </row>
    <row r="29" ht="121.5" customHeight="1">
      <c r="A29" s="29" t="inlineStr">
        <is>
          <t>MCQ: In a fork workflow, what is the original project's remote usually named?
A) upstream B) origin C) backup D) master
FILL: git fetch ____
HINDI TO TASK: Get the new commits of the original repo.
PRACTICE QUESTION: What command merges upstream/main into your main?</t>
        </is>
      </c>
      <c r="B29" s="29" t="inlineStr">
        <is>
          <t>MCQ answer: A  Origin is your fork and upstream is the original repository.
Fill answer: upstream
Task answer:
git fetch upstream
Practice answer:
git merge upstream/main (while on the main branch)</t>
        </is>
      </c>
      <c r="C29" s="29" t="inlineStr">
        <is>
          <t>03_Collaboration_Intermediate_GIT-028_quiz</t>
        </is>
      </c>
    </row>
    <row r="30" ht="94.5" customHeight="1">
      <c r="A30" s="29" t="inlineStr">
        <is>
          <t>MCQ: Which file automatically adds the owner of a path as a reviewer on a PR?
A) package.json B) CODEOWNERS C) .gitignore D) README.md
FILL: To stop direct changes to main, you set up a ____ rule
APPLY: How do you stop merges to main without review?</t>
        </is>
      </c>
      <c r="B30" s="29" t="inlineStr">
        <is>
          <t>MCQ answer: B  CODEOWNERS maps paths to their owners.
Fill answer: branch protection
Apply: Turn on required approvals and required status checks</t>
        </is>
      </c>
      <c r="C30" s="29" t="inlineStr">
        <is>
          <t>03_Collaboration_Advanced_GIT-029_quiz</t>
        </is>
      </c>
    </row>
    <row r="31" ht="108" customHeight="1">
      <c r="A31" s="29" t="inlineStr">
        <is>
          <t>MCQ: Which workflow stresses merging small changes into main frequently?
A) GitFlow B) Fork-only C) Release-only D) Trunk-based
FILL: The approach with a separate branch and PR for each task is called the ____ workflow
APPLY: Which workflow would you choose for a team of three?</t>
        </is>
      </c>
      <c r="B31" s="29" t="inlineStr">
        <is>
          <t>MCQ answer: D  Trunk-based sends small commits into main (the trunk) quickly.
Fill answer: feature branch
Apply: The feature branch workflow</t>
        </is>
      </c>
      <c r="C31" s="29" t="inlineStr">
        <is>
          <t>03_Collaboration_Advanced_GIT-030_quiz</t>
        </is>
      </c>
    </row>
    <row r="32" ht="148.5" customHeight="1">
      <c r="A32" s="29" t="inlineStr">
        <is>
          <t>MCQ: Which command removes a file from staging but keeps its changes in the file?
A) git restore --staged file B) git revert file C) git restore file D) git clean file
FILL: git restore ____ style.css
HINDI TO TASK: Throw away the changes in app.js and make it like the last commit.
PRACTICE QUESTION: What will git restore . do?</t>
        </is>
      </c>
      <c r="B32" s="29" t="inlineStr">
        <is>
          <t>MCQ answer: A  The --staged flag only unstages it, and without it the change is erased.
Fill answer: --staged
Task answer:
git restore app.js
Practice answer:
It discards the uncommitted changes of all tracked files.</t>
        </is>
      </c>
      <c r="C32" s="29" t="inlineStr">
        <is>
          <t>04_Undo_&amp;_Fix_Mistakes_Intermediate_GIT-031_quiz</t>
        </is>
      </c>
    </row>
    <row r="33" ht="121.5" customHeight="1">
      <c r="A33" s="29" t="inlineStr">
        <is>
          <t>MCQ: What is the safest way to undo a commit that has already been pushed?
A) git reset --hard B) git rm .git C) git revert D) git clean
FILL: git ____ HEAD
HINDI TO TASK: Undo the effect of the last commit.
PRACTICE QUESTION: Which flag is needed to revert a merge commit?</t>
        </is>
      </c>
      <c r="B33" s="29" t="inlineStr">
        <is>
          <t>MCQ answer: C  Revert adds a new commit and does not change history.
Fill answer: revert
Task answer:
git revert HEAD
Practice answer:
-m 1, which chooses the parent.</t>
        </is>
      </c>
      <c r="C33" s="29" t="inlineStr">
        <is>
          <t>04_Undo_&amp;_Fix_Mistakes_Intermediate_GIT-032_quiz</t>
        </is>
      </c>
    </row>
    <row r="34" ht="135" customHeight="1">
      <c r="A34" s="29" t="inlineStr">
        <is>
          <t>MCQ: Which reset mode removes the commit but leaves the changes staged?
A) --soft B) --hard C) --mixed D) --keep
FILL: git reset ____ HEAD~1
HINDI TO TASK: Remove the last commit but keep the changes staged.
PRACTICE QUESTION: What happens to uncommitted changes after git reset --hard HEAD~1?</t>
        </is>
      </c>
      <c r="B34" s="29" t="inlineStr">
        <is>
          <t>MCQ answer: A  --soft moves only HEAD back, and staging and files remain.
Fill answer: --soft
Task answer:
git reset --soft HEAD~1
Practice answer:
They are lost for good.</t>
        </is>
      </c>
      <c r="C34" s="29" t="inlineStr">
        <is>
          <t>04_Undo_&amp;_Fix_Mistakes_Intermediate_GIT-033_quiz</t>
        </is>
      </c>
    </row>
    <row r="35" ht="135" customHeight="1">
      <c r="A35" s="29" t="inlineStr">
        <is>
          <t>MCQ: Which command brings a stash back and removes it from the stack?
A) git stash list B) git stash pop C) git stash push D) git stash apply
FILL: git stash ____ -m "wip"
HINDI TO TASK: Stash your changes under the name wip navbar.
PRACTICE QUESTION: What is the flag to stash untracked files too?</t>
        </is>
      </c>
      <c r="B35" s="29" t="inlineStr">
        <is>
          <t>MCQ answer: B  Pop restores the changes and deletes that stash entry.
Fill answer: push
Task answer:
git stash push -m "wip navbar"
Practice answer:
-u (or --include-untracked).</t>
        </is>
      </c>
      <c r="C35" s="29" t="inlineStr">
        <is>
          <t>04_Undo_&amp;_Fix_Mistakes_Intermediate_GIT-034_quiz</t>
        </is>
      </c>
    </row>
    <row r="36" ht="148.5" customHeight="1">
      <c r="A36" s="29" t="inlineStr">
        <is>
          <t>MCQ: Which command adds a forgotten file to the last commit and keeps the message?
A) git push --amend B) git reset --hard C) git revert HEAD D) git commit --amend --no-edit
FILL: git commit ____ --no-edit
HINDI TO TASK: Change the last commit's message to Fix typo.
PRACTICE QUESTION: Does the commit hash change after an amend, or stay the same?</t>
        </is>
      </c>
      <c r="B36" s="29" t="inlineStr">
        <is>
          <t>MCQ answer: D  Add the file and then amend --no-edit puts it in the last commit.
Fill answer: --amend
Task answer:
git commit --amend -m "Fix typo"
Practice answer:
It changes, because a new commit is created.</t>
        </is>
      </c>
      <c r="C36" s="29" t="inlineStr">
        <is>
          <t>04_Undo_&amp;_Fix_Mistakes_Intermediate_GIT-035_quiz</t>
        </is>
      </c>
    </row>
    <row r="37" ht="135" customHeight="1">
      <c r="A37" s="29" t="inlineStr">
        <is>
          <t>MCQ: On which kind of branch should you not rebase?
A) Only your own local branch B) A newly made branch C) A branch shared with others D) A branch before it is pushed
FILL: git ____ main
HINDI TO TASK: Rebase the current branch onto main.
PRACTICE QUESTION: Why do the hashes of commits change after a rebase?</t>
        </is>
      </c>
      <c r="B37" s="29" t="inlineStr">
        <is>
          <t>MCQ answer: C  Rebasing a shared branch changes commit hashes and troubles other people.
Fill answer: rebase
Task answer:
git rebase main
Practice answer:
Because the commits are rebuilt on a new base.</t>
        </is>
      </c>
      <c r="C37" s="29" t="inlineStr">
        <is>
          <t>05_Advanced_Git_Advanced_GIT-036_quiz</t>
        </is>
      </c>
    </row>
    <row r="38" ht="121.5" customHeight="1">
      <c r="A38" s="29" t="inlineStr">
        <is>
          <t>MCQ: Which instruction joins a commit into the previous one but drops its message?
A) reword B) fixup C) drop D) pick
FILL: git rebase ____ HEAD~3
HINDI TO TASK: Open the last four commits in interactive rebase.
PRACTICE QUESTION: What is the command to stop a rebase midway?</t>
        </is>
      </c>
      <c r="B38" s="29" t="inlineStr">
        <is>
          <t>MCQ answer: B  fixup joins the commit and discards its message, while squash keeps it.
Fill answer: -i
Task answer:
git rebase -i HEAD~4
Practice answer:
git rebase --abort</t>
        </is>
      </c>
      <c r="C38" s="29" t="inlineStr">
        <is>
          <t>05_Advanced_Git_Advanced_GIT-037_quiz</t>
        </is>
      </c>
    </row>
    <row r="39" ht="121.5" customHeight="1">
      <c r="A39" s="29" t="inlineStr">
        <is>
          <t>MCQ: After a cherry-pick, what is the hash of the new commit like?
A) Empty B) The branch name C) The same as the old one D) A new one
FILL: git ____ 8b7d1e2
HINDI TO TASK: Bring commit a1b2c3d onto the current branch.
PRACTICE QUESTION: What command do you run after resolving a conflict in a cherry-pick?</t>
        </is>
      </c>
      <c r="B39" s="29" t="inlineStr">
        <is>
          <t>MCQ answer: D  A cherry-pick makes a new commit, so the hash is different.
Fill answer: cherry-pick
Task answer:
git cherry-pick a1b2c3d
Practice answer:
git cherry-pick --continue</t>
        </is>
      </c>
      <c r="C39" s="29" t="inlineStr">
        <is>
          <t>05_Advanced_Git_Advanced_GIT-038_quiz</t>
        </is>
      </c>
    </row>
    <row r="40" ht="121.5" customHeight="1">
      <c r="A40" s="29" t="inlineStr">
        <is>
          <t>MCQ: Which command helps you find the hash of a commit lost after reset --hard?
A) git status B) git diff C) git reflog D) git remote
FILL: To look for a lost commit, check git ____
HINDI TO TASK: Show the last steps of HEAD.
PRACTICE QUESTION: Does the reflog also exist on the remote?</t>
        </is>
      </c>
      <c r="B40" s="29" t="inlineStr">
        <is>
          <t>MCQ answer: C  The reflog shows every earlier position of HEAD.
Fill answer: reflog
Task answer:
git reflog
Practice answer:
No, it exists only in your local repository.</t>
        </is>
      </c>
      <c r="C40" s="29" t="inlineStr">
        <is>
          <t>05_Advanced_Git_Advanced_GIT-039_quiz</t>
        </is>
      </c>
    </row>
    <row r="41" ht="121.5" customHeight="1">
      <c r="A41" s="29" t="inlineStr">
        <is>
          <t>MCQ: Which algorithm makes bisect fast?
A) Binary search B) Random guess C) Bubble sort D) Linear search
FILL: To finish bisecting, run git bisect ____
HINDI TO TASK: Start a bisect.
PRACTICE QUESTION: Roughly how many steps does bisect take for 1000 commits?</t>
        </is>
      </c>
      <c r="B41" s="29" t="inlineStr">
        <is>
          <t>MCQ answer: A  Half the candidates are ruled out at each step.
Fill answer: reset
Task answer:
git bisect start
Practice answer:
About 10 steps.</t>
        </is>
      </c>
      <c r="C41" s="29" t="inlineStr">
        <is>
          <t>05_Advanced_Git_Advanced_GIT-040_quiz</t>
        </is>
      </c>
    </row>
    <row r="42" ht="108" customHeight="1">
      <c r="A42" s="29" t="inlineStr">
        <is>
          <t>MCQ: Which flag creates an annotated tag?
A) -d B) -l C) -a D) -r
FILL: git tag ____ v1.0.0 -m "First release"
HINDI TO TASK: Make a v2.0.0 tag and push it to origin.
PRACTICE QUESTION: What command pushes all your local tags at once?</t>
        </is>
      </c>
      <c r="B42" s="29" t="inlineStr">
        <is>
          <t>MCQ answer: C  -a creates an annotated tag with a message and date.
Fill answer: -a
Task answer:
git tag v2.0.0 &amp;&amp; git push origin v2.0.0
Practice answer:
git push --tags</t>
        </is>
      </c>
      <c r="C42" s="29" t="inlineStr">
        <is>
          <t>05_Advanced_Git_Intermediate_GIT-041_quiz</t>
        </is>
      </c>
    </row>
    <row r="43" ht="121.5" customHeight="1">
      <c r="A43" s="29" t="inlineStr">
        <is>
          <t>MCQ: Which push option stops when it finds an unexpected new commit on the remote?
A) -f B) --force C) --no-verify D) --force-with-lease
FILL: git push ____ origin feature/login
HINDI TO TASK: Safely push feature/login after a rebase.
PRACTICE QUESTION: When should you never force push?</t>
        </is>
      </c>
      <c r="B43" s="29" t="inlineStr">
        <is>
          <t>MCQ answer: D  The lease checks that the remote is what you last saw.
Fill answer: --force-with-lease
Task answer:
git push --force-with-lease origin feature/login
Practice answer:
On main or on a branch shared with others.</t>
        </is>
      </c>
      <c r="C43" s="29" t="inlineStr">
        <is>
          <t>05_Advanced_Git_Advanced_GIT-042_quiz</t>
        </is>
      </c>
    </row>
    <row r="44" ht="121.5" customHeight="1">
      <c r="A44" s="29" t="inlineStr">
        <is>
          <t>MCQ: Which command opens two branches in separate folders at the same time?
A) git worktree add B) git bisect C) git stash D) git clone
FILL: git ____ add ../review feature/login
HINDI TO TASK: Open the hotfix/x branch in the folder ../hotfix.
PRACTICE QUESTION: What is the clean way to remove a worktree?</t>
        </is>
      </c>
      <c r="B44" s="29" t="inlineStr">
        <is>
          <t>MCQ answer: A  A worktree opens another branch in a new folder without cloning again.
Fill answer: worktree
Task answer:
git worktree add ../hotfix hotfix/x
Practice answer:
git worktree remove &lt;path&gt;</t>
        </is>
      </c>
      <c r="C44" s="29" t="inlineStr">
        <is>
          <t>05_Advanced_Git_Advanced_GIT-043_quiz</t>
        </is>
      </c>
    </row>
    <row r="45" ht="135" customHeight="1">
      <c r="A45" s="29" t="inlineStr">
        <is>
          <t>MCQ: What does the -L flag do in blame?
A) Shows the log B) Chooses a range of lines C) Makes a branch D) Locks the file
FILL: git blame ____ 10,20 file.js
HINDI TO TASK: Show the blame of lines 5 to 8 of file.js.
PRACTICE QUESTION: What command shows the full commit after blame gives you a hash?</t>
        </is>
      </c>
      <c r="B45" s="29" t="inlineStr">
        <is>
          <t>MCQ answer: B  -L start,end shows only those lines.
Fill answer: -L
Task answer:
git blame -L 5,8 file.js
Practice answer:
git show &lt;hash&gt;</t>
        </is>
      </c>
      <c r="C45" s="29" t="inlineStr">
        <is>
          <t>05_Advanced_Git_Intermediate_GIT-044_quiz</t>
        </is>
      </c>
    </row>
    <row r="46" ht="108" customHeight="1">
      <c r="A46" s="29" t="inlineStr">
        <is>
          <t>MCQ: Which key do you add to GitHub?
A) The public key B) The private key C) The passphrase D) Both
FILL: The command to make a key is ____ -t ed25519
HINDI TO TASK: Check your SSH connection to GitHub.
PRACTICE QUESTION: Where do you add the public key in GitHub?</t>
        </is>
      </c>
      <c r="B46" s="29" t="inlineStr">
        <is>
          <t>MCQ answer: A  The public key goes to GitHub and the private key stays only with you.
Fill answer: ssh-keygen
Task answer:
ssh -T git@github.com
Practice answer:
In Settings, under the SSH and GPG keys section.</t>
        </is>
      </c>
      <c r="C46" s="29" t="inlineStr">
        <is>
          <t>06_Security_&amp;_Access_Intermediate_GIT-045_quiz</t>
        </is>
      </c>
    </row>
    <row r="47" ht="135" customHeight="1">
      <c r="A47" s="29" t="inlineStr">
        <is>
          <t>MCQ: A token has leaked. What is the very first step?
A) Delete the repo B) Write it in the README C) Revoke it at once and make a new one D) Ignore it
FILL: If a token leaks, you ____ it
HINDI TO TASK: Name a helper that keeps your token safe for git.
PRACTICE QUESTION: What is the risk of giving a token too many permissions?</t>
        </is>
      </c>
      <c r="B47" s="29" t="inlineStr">
        <is>
          <t>MCQ answer: C  Revoking makes the old token useless immediately.
Fill answer: revoke
Task answer:
git config --global credential.helper manager
Practice answer:
If it leaks, an attacker can change many more repos and things.</t>
        </is>
      </c>
      <c r="C47" s="29" t="inlineStr">
        <is>
          <t>06_Security_&amp;_Access_Intermediate_GIT-046_quiz</t>
        </is>
      </c>
    </row>
    <row r="48" ht="108" customHeight="1">
      <c r="A48" s="29" t="inlineStr">
        <is>
          <t>MCQ: An API key was committed to a public repo. What is the very first step?
A) Change the commit message B) Rotate or revoke the key C) Rename the repo D) Delete the file
FILL: After a leak you first ____ the secret
APPLY: How do you remove the secret from history afterwards?</t>
        </is>
      </c>
      <c r="B48" s="29" t="inlineStr">
        <is>
          <t>MCQ answer: B  Rotating the key makes the old one useless at once.
Fill answer: rotate
Apply: Clean it with git filter-repo or BFG and force push</t>
        </is>
      </c>
      <c r="C48" s="29" t="inlineStr">
        <is>
          <t>06_Security_&amp;_Access_Advanced_GIT-047_quiz</t>
        </is>
      </c>
    </row>
    <row r="49" ht="135" customHeight="1">
      <c r="A49" s="29" t="inlineStr">
        <is>
          <t>MCQ: When does GitHub show Verified on a commit?
A) When it is on main B) When the PR is merged C) When the commit is big D) When the commit is signed with a valid signature
FILL: The flag to sign a commit is ____
HINDI TO TASK: Sign the commit and save it with the message Fix login.
PRACTICE QUESTION: How do you check the signature in git log?</t>
        </is>
      </c>
      <c r="B49" s="29" t="inlineStr">
        <is>
          <t>MCQ answer: D  GitHub checks the signature and then shows Verified.
Fill answer: -S
Task answer:
git commit -S -m "Fix login"
Practice answer:
git log --show-signature</t>
        </is>
      </c>
      <c r="C49" s="29" t="inlineStr">
        <is>
          <t>06_Security_&amp;_Access_Advanced_GIT-048_quiz</t>
        </is>
      </c>
    </row>
    <row r="50" ht="94.5" customHeight="1">
      <c r="A50" s="29" t="inlineStr">
        <is>
          <t>MCQ: Which tool opens a PR to update an outdated library on its own?
A) Secret scanning B) CODEOWNERS C) Dependabot D) Issues
FILL: The feature that stops a secret before it is pushed is called ____
APPLY: Which feature warns you about a library vulnerability?</t>
        </is>
      </c>
      <c r="B50" s="29" t="inlineStr">
        <is>
          <t>MCQ answer: C  Dependabot opens PRs to update dependencies.
Fill answer: push protection
Apply: Dependabot alerts</t>
        </is>
      </c>
      <c r="C50" s="29" t="inlineStr">
        <is>
          <t>06_Security_&amp;_Access_Advanced_GIT-049_quiz</t>
        </is>
      </c>
    </row>
    <row r="51" ht="108" customHeight="1">
      <c r="A51" s="29" t="inlineStr">
        <is>
          <t>MCQ: In which folder are workflow files kept in a repository?
A) .github/workflows B) .git/workflows C) workflows/ D) .actions/
FILL: The key that says when a workflow runs is ____
HINDI TO TASK: Write the line that runs a workflow on every push.
PRACTICE QUESTION: How do you use secrets safely in a workflow?</t>
        </is>
      </c>
      <c r="B51" s="29" t="inlineStr">
        <is>
          <t>MCQ answer: A  GitHub runs the YAML files inside .github/workflows.
Fill answer: on
Task answer:
on: push
Practice answer:
Keep them in repository secrets and read them with ${{ secrets.NAME }}.</t>
        </is>
      </c>
      <c r="C51" s="29" t="inlineStr">
        <is>
          <t>07_GitHub_Platform_Advanced_GIT-050_quiz</t>
        </is>
      </c>
    </row>
    <row r="52" ht="135" customHeight="1">
      <c r="A52" s="29" t="inlineStr">
        <is>
          <t>MCQ: What does a release usually add that a tag does not have?
A) Collaborators B) Issues C) A branch D) Notes and downloadable files
FILL: A release marked as an early, not-final version is made with the ____ flag
HINDI TO TASK: Make a release for v1.0.0 with auto-generated notes.
PRACTICE QUESTION: How do you attach built files to a release?</t>
        </is>
      </c>
      <c r="B52" s="29" t="inlineStr">
        <is>
          <t>MCQ answer: D  A release adds notes and files on top of a tag.
Fill answer: --prerelease
Task answer:
gh release create v1.0.0 --generate-notes
Practice answer:
Give the file path with gh release create, or upload them on the web page.</t>
        </is>
      </c>
      <c r="C52" s="29" t="inlineStr">
        <is>
          <t>07_GitHub_Platform_Intermediate_GIT-051_quiz</t>
        </is>
      </c>
    </row>
    <row r="53" ht="121.5" customHeight="1">
      <c r="A53" s="29" t="inlineStr">
        <is>
          <t>MCQ: What kind of content can GitHub Pages host?
A) Only a database B) Static files (HTML, CSS, JS) C) A full backend server D) Only video
FILL: A Pages site usually appears at ____ .github.io
HINDI TO TASK: Push your gh-pages branch to GitHub.
PRACTICE QUESTION: How do you add a custom domain to Pages?</t>
        </is>
      </c>
      <c r="B53" s="29" t="inlineStr">
        <is>
          <t>MCQ answer: B  Pages serves only static files.
Fill answer: username
Task answer:
git push origin gh-pages
Practice answer:
Enter the domain in Settings and set a CNAME or A records in your DNS.</t>
        </is>
      </c>
      <c r="C53" s="29" t="inlineStr">
        <is>
          <t>07_GitHub_Platform_Intermediate_GIT-052_quiz</t>
        </is>
      </c>
    </row>
    <row r="54" ht="108" customHeight="1">
      <c r="A54" s="29" t="inlineStr">
        <is>
          <t>MCQ: Which command opens a PR from the terminal?
A) gh pr create B) git pr open C) gh commit pr D) git push pr
FILL: gh ____ create --fill
HINDI TO TASK: Check out the code of PR 17 from the terminal.
PRACTICE QUESTION: How do you squash-merge a PR with gh?</t>
        </is>
      </c>
      <c r="B54" s="29" t="inlineStr">
        <is>
          <t>MCQ answer: A  gh pr create opens a new PR.
Fill answer: pr
Task answer:
gh pr checkout 17
Practice answer:
gh pr merge &lt;number&gt; --squash</t>
        </is>
      </c>
      <c r="C54" s="29" t="inlineStr">
        <is>
          <t>07_GitHub_Platform_Intermediate_GIT-053_quiz</t>
        </is>
      </c>
    </row>
    <row r="55" ht="81" customHeight="1">
      <c r="A55" s="29" t="inlineStr">
        <is>
          <t>MCQ: What style is the board view of Projects?
A) Email B) Kanban C) Terminal D) Spreadsheet-only
FILL: The state of work on a board is shown by the ____ field
APPLY: How do you split work by time period?</t>
        </is>
      </c>
      <c r="B55" s="29" t="inlineStr">
        <is>
          <t>MCQ answer: B  The board view is Kanban-like, with items moving between columns.
Fill answer: status
Apply: Add an iteration field</t>
        </is>
      </c>
      <c r="C55" s="29" t="inlineStr">
        <is>
          <t>07_GitHub_Platform_Intermediate_GIT-054_quiz</t>
        </is>
      </c>
    </row>
    <row r="56" ht="81" customHeight="1">
      <c r="A56" s="29" t="inlineStr">
        <is>
          <t>MCQ: Which licence forces changes to keep the same licence?
A) Apache B) BSD C) GPL D) MIT
FILL: The rules for contributing are written in the ____ file
APPLY: Which two files would you add at once to a new public repo?</t>
        </is>
      </c>
      <c r="B56" s="29" t="inlineStr">
        <is>
          <t>MCQ answer: C  GPL is a copyleft licence, so derived work is also GPL.
Fill answer: CONTRIBUTING.md
Apply: LICENSE and README.md</t>
        </is>
      </c>
      <c r="C56" s="29" t="inlineStr">
        <is>
          <t>07_GitHub_Platform_Intermediate_GIT-055_quiz</t>
        </is>
      </c>
    </row>
    <row r="57" ht="121.5" customHeight="1">
      <c r="A57" s="29" t="inlineStr">
        <is>
          <t>MCQ: Which command shows one commit's message and full change together?
A) git remote B) git status C) git fetch D) git show
FILL: git ____ HEAD~1 --stat
HINDI TO TASK: Show a summary of the last commit.
PRACTICE QUESTION: What command shows a file as it was at a tag?</t>
        </is>
      </c>
      <c r="B57" s="29" t="inlineStr">
        <is>
          <t>MCQ answer: D  show gives both the header and the diff of a commit.
Fill answer: show
Task answer:
git show HEAD --stat
Practice answer:
git show v1.0.0:README.md</t>
        </is>
      </c>
      <c r="C57" s="29" t="inlineStr">
        <is>
          <t>02_Branching_&amp;_Merging_Beginner_GIT-056_quiz</t>
        </is>
      </c>
    </row>
    <row r="58" ht="135" customHeight="1">
      <c r="A58" s="29" t="inlineStr">
        <is>
          <t>MCQ: Which option keeps the file in the folder and removes it only from Git tracking?
A) git rm -f B) git clean C) git rm --cached D) git mv
FILL: git rm ____ .env
HINDI TO TASK: Rename draft.md to notes.md.
PRACTICE QUESTION: What is the difference between git mv and renaming by hand and running git add -A?</t>
        </is>
      </c>
      <c r="B58" s="29" t="inlineStr">
        <is>
          <t>MCQ answer: C  --cached removes it only from Git's record, not the file.
Fill answer: --cached
Task answer:
git mv draft.md notes.md
Practice answer:
The result is nearly the same; git mv stages the rename in one step.</t>
        </is>
      </c>
      <c r="C58" s="29" t="inlineStr">
        <is>
          <t>04_Undo_&amp;_Fix_Mistakes_Beginner_GIT-057_quiz</t>
        </is>
      </c>
    </row>
    <row r="59" ht="108" customHeight="1">
      <c r="A59" s="29" t="inlineStr">
        <is>
          <t>MCQ: Which flag of git clean only shows what would be removed?
A) -x B) -n C) -d D) -f
FILL: git clean ____
HINDI TO TASK: Remove untracked files and folders after a dry run.
PRACTICE QUESTION: Which flag also removes ignored files?</t>
        </is>
      </c>
      <c r="B59" s="29" t="inlineStr">
        <is>
          <t>MCQ answer: B  -n is a dry run and removes nothing.
Fill answer: -n
Task answer:
git clean -fd
Practice answer:
-x</t>
        </is>
      </c>
      <c r="C59" s="29" t="inlineStr">
        <is>
          <t>04_Undo_&amp;_Fix_Mistakes_Intermediate_GIT-058_quiz</t>
        </is>
      </c>
    </row>
    <row r="60" ht="121.5" customHeight="1">
      <c r="A60" s="29" t="inlineStr">
        <is>
          <t>MCQ: In which file does the LFS tracking rule get saved?
A) .gitattributes B) config.json C) .gitignore D) README.md
FILL: git lfs ____ "*.psd"
HINDI TO TASK: Track all .mp4 files with LFS.
PRACTICE QUESTION: What stays in the repo with LFS, and where does the real file go?</t>
        </is>
      </c>
      <c r="B60" s="29" t="inlineStr">
        <is>
          <t>MCQ answer: A  git lfs track writes its rules into .gitattributes.
Fill answer: track
Task answer:
git lfs track "*.mp4"
Practice answer:
A small pointer stays in the repo, and the real file goes to the LFS server.</t>
        </is>
      </c>
      <c r="C60" s="29" t="inlineStr">
        <is>
          <t>05_Advanced_Git_Advanced_GIT-059_quiz</t>
        </is>
      </c>
    </row>
    <row r="61" ht="148.5" customHeight="1">
      <c r="A61" s="29" t="inlineStr">
        <is>
          <t>MCQ: After cloning, the submodule folder is empty. What should you do?
A) git reset B) git stash C) Delete the repo D) git submodule update --init
FILL: git clone ____ &lt;url&gt;
HINDI TO TASK: Clone a repo along with its submodules.
PRACTICE QUESTION: What does the parent repo store about a submodule?</t>
        </is>
      </c>
      <c r="B61" s="29" t="inlineStr">
        <is>
          <t>MCQ answer: D  update --init fetches the submodule's code.
Fill answer: --recurse-submodules
Task answer:
git clone --recurse-submodules https://github.com/asha/app.git
Practice answer:
The submodule's URL and one fixed commit hash.</t>
        </is>
      </c>
      <c r="C61" s="29" t="inlineStr">
        <is>
          <t>05_Advanced_Git_Advanced_GIT-060_quiz</t>
        </is>
      </c>
    </row>
    <row r="62" ht="121.5" customHeight="1">
      <c r="A62" s="29" t="inlineStr">
        <is>
          <t>MCQ: Which method makes all of a PR's commits one commit on main?
A) Rebase and merge B) Fast-forward C) Squash and merge D) Create a merge commit
FILL: For a straight history that keeps every PR commit you choose ____ and merge
APPLY: Which method would you choose for a small team that wants clean history?</t>
        </is>
      </c>
      <c r="B62" s="29" t="inlineStr">
        <is>
          <t>MCQ answer: C  Squash turns all the PR's commits into one commit.
Fill answer: rebase
Apply: Squash and merge</t>
        </is>
      </c>
      <c r="C62" s="29" t="inlineStr">
        <is>
          <t>03_Collaboration_Intermediate_GIT-061_quiz</t>
        </is>
      </c>
    </row>
    <row r="63" ht="81" customHeight="1">
      <c r="A63" s="29" t="inlineStr">
        <is>
          <t>MCQ: Which file defines a codespace's environment?
A) README.md B) devcontainer.json C) .gitignore D) LICENSE
FILL: Codespaces run in the cloud on a ____
APPLY: How would you make setup easy for new contributors?</t>
        </is>
      </c>
      <c r="B63" s="29" t="inlineStr">
        <is>
          <t>MCQ answer: B  devcontainer.json lists the tools and extensions.
Fill answer: virtual machine
Apply: Add devcontainer.json and enable Codespaces</t>
        </is>
      </c>
      <c r="C63" s="29" t="inlineStr">
        <is>
          <t>07_GitHub_Platform_Intermediate_GIT-062_quiz</t>
        </is>
      </c>
    </row>
    <row r="64" ht="94.5" customHeight="1">
      <c r="A64" s="29" t="inlineStr">
        <is>
          <t>MCQ: Which statement about a secret gist is true?
A) Only I can see it B) Nobody can see it C) It shows to everyone in search D) Anyone with the link can see it
FILL: To share a small snippet without a repo, you make a ____
APPLY: How do you share a config snippet without a repo?</t>
        </is>
      </c>
      <c r="B64" s="29" t="inlineStr">
        <is>
          <t>MCQ answer: D  A secret gist is unlisted and opens through its link.
Fill answer: gist
Apply: Make a gist and send the link</t>
        </is>
      </c>
      <c r="C64" s="29" t="inlineStr">
        <is>
          <t>07_GitHub_Platform_Beginner_GIT-063_quiz</t>
        </is>
      </c>
    </row>
    <row r="65" ht="121.5" customHeight="1">
      <c r="A65" s="29" t="inlineStr">
        <is>
          <t>MCQ: What should a pre-commit hook do to stop a commit?
A) Exit with non-zero B) Exit with zero C) Delete a file D) Print something
FILL: To make a hook runnable you use ____ +x
HINDI TO TASK: Make the pre-commit hook executable.
PRACTICE QUESTION: What is the flag to skip hooks once?</t>
        </is>
      </c>
      <c r="B65" s="29" t="inlineStr">
        <is>
          <t>MCQ answer: A  A non-zero exit code counts as failure and the commit stops.
Fill answer: chmod
Task answer:
chmod +x .git/hooks/pre-commit
Practice answer:
--no-verify</t>
        </is>
      </c>
      <c r="C65" s="29" t="inlineStr">
        <is>
          <t>05_Advanced_Git_Advanced_GIT-064_quiz</t>
        </is>
      </c>
    </row>
    <row r="66" ht="94.5" customHeight="1">
      <c r="A66" s="29" t="inlineStr">
        <is>
          <t>MCQ: How do you save a commit made in a detached HEAD?
A) git init B) git remote add C) git switch -c new-branch D) Delete the repo
FILL: To go back to main from a detached HEAD, run git ____ main
APPLY: What do you do if you only want to look at an old commit?</t>
        </is>
      </c>
      <c r="B66" s="29" t="inlineStr">
        <is>
          <t>MCQ answer: C  A new branch makes the commit part of that branch.
Fill answer: switch
Apply: Look in detached HEAD and return with git switch main</t>
        </is>
      </c>
      <c r="C66" s="29" t="inlineStr">
        <is>
          <t>02_Branching_&amp;_Merging_Advanced_GIT-065_quiz</t>
        </is>
      </c>
    </row>
    <row r="67" ht="121.5" customHeight="1">
      <c r="A67" s="29" t="inlineStr">
        <is>
          <t>MCQ: In which file and section is an alias saved?
A) The [alias] section of ~/.gitconfig B) .git/HEAD C) Inside .gitignore D) README.md
FILL: git config --global ____.st status
HINDI TO TASK: Make co a short name for switch.
PRACTICE QUESTION: What command lists all your aliases?</t>
        </is>
      </c>
      <c r="B67" s="29" t="inlineStr">
        <is>
          <t>MCQ answer: A  git config --global alias writes to the [alias] section of ~/.gitconfig.
Fill answer: alias
Task answer:
git config --global alias.co switch
Practice answer:
git config --global --get-regexp alias</t>
        </is>
      </c>
      <c r="C67" s="29" t="inlineStr">
        <is>
          <t>01_Basics_Intermediate_GIT-066_quiz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44</v>
      </c>
    </row>
    <row r="3">
      <c r="A3" t="inlineStr">
        <is>
          <t>Topic (56-pt)</t>
        </is>
      </c>
      <c r="B3" t="n">
        <v>22</v>
      </c>
    </row>
    <row r="5">
      <c r="A5" s="21" t="inlineStr">
        <is>
          <t>Cards by topic</t>
        </is>
      </c>
    </row>
    <row r="6">
      <c r="A6" t="inlineStr">
        <is>
          <t>01 Basics</t>
        </is>
      </c>
      <c r="B6" t="n">
        <v>17</v>
      </c>
    </row>
    <row r="7">
      <c r="A7" t="inlineStr">
        <is>
          <t>05 Advanced Git</t>
        </is>
      </c>
      <c r="B7" t="n">
        <v>12</v>
      </c>
    </row>
    <row r="8">
      <c r="A8" t="inlineStr">
        <is>
          <t>03 Collaboration</t>
        </is>
      </c>
      <c r="B8" t="n">
        <v>9</v>
      </c>
    </row>
    <row r="9">
      <c r="A9" t="inlineStr">
        <is>
          <t>02 Branching &amp; Merging</t>
        </is>
      </c>
      <c r="B9" t="n">
        <v>8</v>
      </c>
    </row>
    <row r="10">
      <c r="A10" t="inlineStr">
        <is>
          <t>07 GitHub Platform</t>
        </is>
      </c>
      <c r="B10" t="n">
        <v>8</v>
      </c>
    </row>
    <row r="11">
      <c r="A11" t="inlineStr">
        <is>
          <t>04 Undo &amp; Fix Mistakes</t>
        </is>
      </c>
      <c r="B11" t="n">
        <v>7</v>
      </c>
    </row>
    <row r="12">
      <c r="A12" t="inlineStr">
        <is>
          <t>06 Security &amp; Access</t>
        </is>
      </c>
      <c r="B12" t="n">
        <v>5</v>
      </c>
    </row>
    <row r="14">
      <c r="A14" s="21" t="inlineStr">
        <is>
          <t>Cards by level</t>
        </is>
      </c>
    </row>
    <row r="15">
      <c r="A15" t="inlineStr">
        <is>
          <t>Intermediate</t>
        </is>
      </c>
      <c r="B15" t="n">
        <v>25</v>
      </c>
    </row>
    <row r="16">
      <c r="A16" t="inlineStr">
        <is>
          <t>Beginner</t>
        </is>
      </c>
      <c r="B16" t="n">
        <v>24</v>
      </c>
    </row>
    <row r="17">
      <c r="A17" t="inlineStr">
        <is>
          <t>Advanced</t>
        </is>
      </c>
      <c r="B17" t="n">
        <v>17</v>
      </c>
    </row>
    <row r="19">
      <c r="A19" s="21" t="inlineStr">
        <is>
          <t>Cards by source</t>
        </is>
      </c>
    </row>
    <row r="20">
      <c r="A20" t="inlineStr">
        <is>
          <t>Claude knowledge</t>
        </is>
      </c>
      <c r="B20" t="n">
        <v>66</v>
      </c>
    </row>
    <row r="22">
      <c r="A22" s="21" t="inlineStr">
        <is>
          <t>Error check</t>
        </is>
      </c>
    </row>
    <row r="23">
      <c r="A23"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2026-10-07T16:54:29Z</dcterms:created>
  <dcterms:modified xmlns:dcterms="http://purl.org/dc/terms/" xmlns:xsi="http://www.w3.org/2001/XMLSchema-instance" xsi:type="dcterms:W3CDTF">2026-10-07T16:54:29Z</dcterms:modified>
</cp:coreProperties>
</file>