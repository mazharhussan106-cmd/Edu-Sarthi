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cards'!$A$2:$BN$22</definedName>
    <definedName name="_xlnm._FilterDatabase" localSheetId="3" hidden="1">'Topic (56-pt) cards'!$A$2:$BB$22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ETL and Data Pipelines – Beginner to Advanced Flashcards</t>
        </is>
      </c>
    </row>
    <row r="2">
      <c r="A2" s="2" t="inlineStr">
        <is>
          <t>Subject: ETL, ELT and data pipelines   ·   Learner: Self learner, English   ·   Cards: 40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62" customHeight="1">
      <c r="A3" s="17" t="inlineStr">
        <is>
          <t>ETL-007</t>
        </is>
      </c>
      <c r="B3" s="17" t="inlineStr">
        <is>
          <t>02 Extract</t>
        </is>
      </c>
      <c r="C3" s="17" t="inlineStr">
        <is>
          <t>Beginner</t>
        </is>
      </c>
      <c r="D3" s="17" t="n">
        <v>7</v>
      </c>
      <c r="E3" s="17" t="inlineStr">
        <is>
          <t>Claude knowledge</t>
        </is>
      </c>
      <c r="F3" s="18" t="inlineStr">
        <is>
          <t>Extracting from APIs</t>
        </is>
      </c>
      <c r="G3" s="18" t="inlineStr">
        <is>
          <t>How do you read data from a web API safely and completely?</t>
        </is>
      </c>
      <c r="H3" s="17" t="n"/>
      <c r="I3" s="18" t="inlineStr">
        <is>
          <t>Extraction method</t>
        </is>
      </c>
      <c r="J3" s="18" t="inlineStr">
        <is>
          <t>Very high</t>
        </is>
      </c>
      <c r="K3" s="18" t="n">
        <v>5</v>
      </c>
      <c r="L3" s="18" t="inlineStr">
        <is>
          <t>Many business systems expose data only through APIs, so pipelines call them page by page and store what comes back.</t>
        </is>
      </c>
      <c r="M3" s="18" t="inlineStr">
        <is>
          <t>Save the raw response before you transform it, so you can replay without calling again.</t>
        </is>
      </c>
      <c r="N3" s="17" t="n"/>
      <c r="O3" s="18" t="inlineStr">
        <is>
          <t>Extracting from an API is borrowing books through a librarian who hands them over a few at a time.</t>
        </is>
      </c>
      <c r="P3" s="18" t="inlineStr">
        <is>
          <t>A loop of requests returning pages of records.</t>
        </is>
      </c>
      <c r="Q3" s="18" t="inlineStr">
        <is>
          <t>The satisfaction of a clean, complete download.</t>
        </is>
      </c>
      <c r="R3" s="18" t="inlineStr">
        <is>
          <t>API extraction sends authenticated requests, follows pagination, handles errors and limits, and stores the returned records in a landing area.</t>
        </is>
      </c>
      <c r="S3" s="17" t="n"/>
      <c r="T3" s="19" t="inlineStr">
        <is>
          <t>import requests
rows, url = [], "https://api.example.com/orders?limit=100"
headers = {"Authorization": "Bearer TOKEN"}
while url:
    r = requests.get(url, headers=headers, timeout=30)
    r.raise_for_status()
    body = r.json()
    rows.extend(body["data"])
    url = body.get("next")
print(len(rows))</t>
        </is>
      </c>
      <c r="U3" s="19" t="inlineStr">
        <is>
          <t>Prints the total number of records collected across all pages.</t>
        </is>
      </c>
      <c r="V3" s="18" t="inlineStr">
        <is>
          <t>The loop follows a next link until it is empty. A timeout stops a hung call, and raise_for_status turns bad responses into errors. Real pipelines add retries with delays and respect rate limits. Store the raw JSON with a load timestamp before reshaping. Never print or log tokens.</t>
        </is>
      </c>
      <c r="W3" s="18" t="inlineStr">
        <is>
          <t>Call the API in a loop, follow the pages, handle errors, and keep the raw data.</t>
        </is>
      </c>
      <c r="X3" s="18" t="inlineStr">
        <is>
          <t>Extracting from an API is borrowing books through a librarian who hands them over a few at a time.</t>
        </is>
      </c>
      <c r="Y3" s="19" t="inlineStr">
        <is>
          <t>requests.get(url, headers=..., params=..., timeout=...)</t>
        </is>
      </c>
      <c r="Z3" s="18" t="inlineStr">
        <is>
          <t>headers = credentials | params = filters | timeout = safety | next = next page</t>
        </is>
      </c>
      <c r="AA3" s="19" t="inlineStr">
        <is>
          <t>requests.get(url, params={"updated_since": ts})</t>
        </is>
      </c>
      <c r="AB3" s="19" t="inlineStr">
        <is>
          <t>r.raise_for_status()</t>
        </is>
      </c>
      <c r="AC3" s="19" t="inlineStr">
        <is>
          <t>json.dump(body, open("raw/orders_1.json", "w"))</t>
        </is>
      </c>
      <c r="AD3" s="19" t="inlineStr">
        <is>
          <t>session = requests.Session()   // reuse the connection across pages</t>
        </is>
      </c>
      <c r="AE3" s="18" t="inlineStr">
        <is>
          <t>pagination, rate limits, credentials</t>
        </is>
      </c>
      <c r="AF3" s="18" t="inlineStr">
        <is>
          <t>pagination and rate limits, credentials, full vs incremental, retries</t>
        </is>
      </c>
      <c r="AG3" s="18" t="inlineStr">
        <is>
          <t>Official client libraries | Connectors</t>
        </is>
      </c>
      <c r="AH3" s="17" t="n"/>
      <c r="AI3" s="18" t="inlineStr">
        <is>
          <t>SaaS integrations | Customer data pulls | Backfills</t>
        </is>
      </c>
      <c r="AJ3" s="18" t="inlineStr">
        <is>
          <t>A: The job only got the first hundred records. | B: It ignored pagination, so follow the next links.</t>
        </is>
      </c>
      <c r="AK3" s="18" t="inlineStr">
        <is>
          <t>✗ One API call returns all the data → ✓ Responses are usually paged, so loop until the end</t>
        </is>
      </c>
      <c r="AL3" s="18" t="inlineStr">
        <is>
          <t>API extract vs database extract: an API is paged and limited, a database allows queries.</t>
        </is>
      </c>
      <c r="AM3" s="18" t="inlineStr">
        <is>
          <t>Do not call an API without a timeout.</t>
        </is>
      </c>
      <c r="AN3" s="19" t="inlineStr">
        <is>
          <t>r = requests.get(url)</t>
        </is>
      </c>
      <c r="AO3" s="19" t="inlineStr">
        <is>
          <t>r = requests.get(url, timeout=30); r.raise_for_status()</t>
        </is>
      </c>
      <c r="AP3" s="18" t="inlineStr">
        <is>
          <t>Follow the next link until none remains.</t>
        </is>
      </c>
      <c r="AQ3" s="18" t="inlineStr">
        <is>
          <t>Replaying from the raw layer recovered the lost records.</t>
        </is>
      </c>
      <c r="AR3" s="18" t="inlineStr">
        <is>
          <t>An interviewer may ask: How do you extract all records from a paged API?</t>
        </is>
      </c>
      <c r="AS3" s="18" t="inlineStr">
        <is>
          <t>It is like borrowing books a few at a time.</t>
        </is>
      </c>
      <c r="AT3" s="18" t="inlineStr">
        <is>
          <t>What should a pipeline do with a paged API?</t>
        </is>
      </c>
      <c r="AU3" s="18" t="inlineStr">
        <is>
          <t>A) Ignore limits B) Follow the pages until the end C) Read only the first page D) Call it once a year</t>
        </is>
      </c>
      <c r="AV3" s="18" t="inlineStr">
        <is>
          <t>B</t>
        </is>
      </c>
      <c r="AW3" s="18" t="inlineStr">
        <is>
          <t>Records are spread across pages.</t>
        </is>
      </c>
      <c r="AX3" s="19" t="inlineStr">
        <is>
          <t>A setting that stops a call from hanging forever is a ____ → timeout</t>
        </is>
      </c>
      <c r="AY3" s="18" t="inlineStr">
        <is>
          <t>Request a page of records with a bearer token.</t>
        </is>
      </c>
      <c r="AZ3" s="19" t="inlineStr">
        <is>
          <t>requests.get(url, headers={"Authorization": "Bearer TOKEN"}, timeout=30)</t>
        </is>
      </c>
      <c r="BA3" s="18" t="inlineStr">
        <is>
          <t>Extend the loop so it saves the raw response of each page.</t>
        </is>
      </c>
      <c r="BB3" s="19" t="inlineStr">
        <is>
          <t>Why keep the raw response?</t>
        </is>
      </c>
      <c r="BC3" s="19" t="inlineStr">
        <is>
          <t>It lets you replay transformations without calling the API again.</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35" customHeight="1">
      <c r="A4" s="17" t="inlineStr">
        <is>
          <t>ETL-008</t>
        </is>
      </c>
      <c r="B4" s="17" t="inlineStr">
        <is>
          <t>02 Extract</t>
        </is>
      </c>
      <c r="C4" s="17" t="inlineStr">
        <is>
          <t>Beginner</t>
        </is>
      </c>
      <c r="D4" s="17" t="n">
        <v>8</v>
      </c>
      <c r="E4" s="17" t="inlineStr">
        <is>
          <t>Claude knowledge</t>
        </is>
      </c>
      <c r="F4" s="18" t="inlineStr">
        <is>
          <t>Extracting from databases and files</t>
        </is>
      </c>
      <c r="G4" s="18" t="inlineStr">
        <is>
          <t>How do you read data from relational databases and from files such as CSV?</t>
        </is>
      </c>
      <c r="H4" s="17" t="n"/>
      <c r="I4" s="18" t="inlineStr">
        <is>
          <t>Extraction method</t>
        </is>
      </c>
      <c r="J4" s="18" t="inlineStr">
        <is>
          <t>Very high</t>
        </is>
      </c>
      <c r="K4" s="18" t="n">
        <v>5</v>
      </c>
      <c r="L4" s="18" t="inlineStr">
        <is>
          <t>Most business data sits in databases and exported files, so pipelines need safe ways to read both without disturbing the source.</t>
        </is>
      </c>
      <c r="M4" s="18" t="inlineStr">
        <is>
          <t>Read from a replica or off-peak, and select only the columns you need.</t>
        </is>
      </c>
      <c r="N4" s="17" t="n"/>
      <c r="O4" s="18" t="inlineStr">
        <is>
          <t>Reading a database is asking the librarian for a list, and reading a file is picking up a sealed parcel.</t>
        </is>
      </c>
      <c r="P4" s="18" t="inlineStr">
        <is>
          <t>A query on one side and a file on the other, both feeding the pipeline.</t>
        </is>
      </c>
      <c r="Q4" s="18" t="inlineStr">
        <is>
          <t>The comfort of a repeatable, polite extraction.</t>
        </is>
      </c>
      <c r="R4" s="18" t="inlineStr">
        <is>
          <t>Database extraction runs read-only queries, often by key or date ranges, and file extraction reads delimited or structured files from storage with explicit types and encodings.</t>
        </is>
      </c>
      <c r="S4" s="17" t="n"/>
      <c r="T4" s="19" t="inlineStr">
        <is>
          <t>SELECT order_id, customer_id, total, updated_at
FROM orders
WHERE updated_at &gt;= '2026-10-01' AND updated_at &lt; '2026-10-02'
ORDER BY order_id;
-- files in Python: pandas.read_csv("orders.csv", dtype={"order_id": "string"}, encoding="utf-8")</t>
        </is>
      </c>
      <c r="U4" s="19" t="inlineStr">
        <is>
          <t>Returns only the orders updated on that day, and the file read keeps order_id as text.</t>
        </is>
      </c>
      <c r="V4" s="18" t="inlineStr">
        <is>
          <t>Selecting needed columns and a time range keeps the load on the source small. Large tables should be read in chunks. For files, declare types so leading zeros and dates are not guessed wrongly. Check encoding, delimiter and header. A partially written file must not be read, so wait for a completion marker or use atomic moves.</t>
        </is>
      </c>
      <c r="W4" s="18" t="inlineStr">
        <is>
          <t>Query only what you need from databases, and declare types when reading files.</t>
        </is>
      </c>
      <c r="X4" s="18" t="inlineStr">
        <is>
          <t>Reading a database is asking the librarian for a list, and reading a file is picking up a sealed parcel.</t>
        </is>
      </c>
      <c r="Y4" s="19" t="inlineStr">
        <is>
          <t>SELECT columns FROM table WHERE range | read_csv(path, dtype=..., encoding=...)</t>
        </is>
      </c>
      <c r="Z4" s="18" t="inlineStr">
        <is>
          <t>WHERE range = limit rows | dtype = fixed types | chunks = bounded memory</t>
        </is>
      </c>
      <c r="AA4" s="19" t="inlineStr">
        <is>
          <t>SELECT * FROM events WHERE id &gt; 1000 ORDER BY id LIMIT 5000;</t>
        </is>
      </c>
      <c r="AB4" s="19" t="inlineStr">
        <is>
          <t>pandas.read_csv("big.csv", chunksize=100000)</t>
        </is>
      </c>
      <c r="AC4" s="19" t="inlineStr">
        <is>
          <t>df = pandas.read_parquet("part-0001.parquet")</t>
        </is>
      </c>
      <c r="AD4" s="19" t="inlineStr">
        <is>
          <t>COPY orders TO STDOUT WITH CSV   // fast bulk export in PostgreSQL</t>
        </is>
      </c>
      <c r="AE4" s="18" t="inlineStr">
        <is>
          <t>replicas, incremental loads, file formats</t>
        </is>
      </c>
      <c r="AF4" s="18" t="inlineStr">
        <is>
          <t>full vs incremental, file formats, credentials, change data capture</t>
        </is>
      </c>
      <c r="AG4" s="18" t="inlineStr">
        <is>
          <t>Database replicas | change data capture</t>
        </is>
      </c>
      <c r="AH4" s="17" t="n"/>
      <c r="AI4" s="18" t="inlineStr">
        <is>
          <t>Warehouse loads | Migrations | Reports</t>
        </is>
      </c>
      <c r="AJ4" s="18" t="inlineStr">
        <is>
          <t>A: The nightly export slows the live app. | B: Read from a replica and select only the columns we need.</t>
        </is>
      </c>
      <c r="AK4" s="18" t="inlineStr">
        <is>
          <t>✗ Reading from the source database is always safe → ✓ Heavy queries can slow production, so extract carefully</t>
        </is>
      </c>
      <c r="AL4" s="18" t="inlineStr">
        <is>
          <t>Chunked vs full read: chunks limit memory, a full read loads everything at once.</t>
        </is>
      </c>
      <c r="AM4" s="18" t="inlineStr">
        <is>
          <t>Do not run huge queries on a production primary at peak time.</t>
        </is>
      </c>
      <c r="AN4" s="19" t="inlineStr">
        <is>
          <t>SELECT * FROM orders;</t>
        </is>
      </c>
      <c r="AO4" s="19" t="inlineStr">
        <is>
          <t>SELECT order_id, total FROM orders WHERE updated_at &gt;= '2026-10-01';</t>
        </is>
      </c>
      <c r="AP4" s="18" t="inlineStr">
        <is>
          <t>Select less, read from a replica, declare types.</t>
        </is>
      </c>
      <c r="AQ4" s="18" t="inlineStr">
        <is>
          <t>Moving the nightly extract to a replica removed daytime slowdowns for the customer.</t>
        </is>
      </c>
      <c r="AR4" s="18" t="inlineStr">
        <is>
          <t>An interviewer may ask: How do you extract from a production database safely?</t>
        </is>
      </c>
      <c r="AS4" s="18" t="inlineStr">
        <is>
          <t>It is like asking a librarian for a list.</t>
        </is>
      </c>
      <c r="AT4" s="18" t="inlineStr">
        <is>
          <t>Why declare types when reading a CSV?</t>
        </is>
      </c>
      <c r="AU4" s="18" t="inlineStr">
        <is>
          <t>A) To rename the file B) To make the file smaller C) To avoid wrong guesses such as lost leading zeros D) To speed up the internet</t>
        </is>
      </c>
      <c r="AV4" s="18" t="inlineStr">
        <is>
          <t>C</t>
        </is>
      </c>
      <c r="AW4" s="18" t="inlineStr">
        <is>
          <t>Type guessing can corrupt identifiers and dates.</t>
        </is>
      </c>
      <c r="AX4" s="19" t="inlineStr">
        <is>
          <t>Reading a big file piece by piece is reading in ____ → chunks</t>
        </is>
      </c>
      <c r="AY4" s="18" t="inlineStr">
        <is>
          <t>Select only the orders updated on a given day.</t>
        </is>
      </c>
      <c r="AZ4" s="19" t="inlineStr">
        <is>
          <t>SELECT order_id, total FROM orders WHERE updated_at &gt;= '2026-10-01' AND updated_at &lt; '2026-10-02';</t>
        </is>
      </c>
      <c r="BA4" s="18" t="inlineStr">
        <is>
          <t>Write a query that reads a table in batches of five thousand rows by key.</t>
        </is>
      </c>
      <c r="BB4" s="19" t="inlineStr">
        <is>
          <t>Why read from a replica?</t>
        </is>
      </c>
      <c r="BC4" s="19" t="inlineStr">
        <is>
          <t>It avoids slowing the production database.</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08" customHeight="1">
      <c r="A5" s="17" t="inlineStr">
        <is>
          <t>ETL-009</t>
        </is>
      </c>
      <c r="B5" s="17" t="inlineStr">
        <is>
          <t>02 Extract</t>
        </is>
      </c>
      <c r="C5" s="17" t="inlineStr">
        <is>
          <t>Intermediate</t>
        </is>
      </c>
      <c r="D5" s="17" t="n">
        <v>9</v>
      </c>
      <c r="E5" s="17" t="inlineStr">
        <is>
          <t>Claude knowledge</t>
        </is>
      </c>
      <c r="F5" s="18" t="inlineStr">
        <is>
          <t>Full vs incremental loads</t>
        </is>
      </c>
      <c r="G5" s="18" t="inlineStr">
        <is>
          <t>Which two extraction styles differ in whether you copy everything or only what changed?</t>
        </is>
      </c>
      <c r="H5" s="17" t="n"/>
      <c r="I5" s="18" t="inlineStr">
        <is>
          <t>Extraction method</t>
        </is>
      </c>
      <c r="J5" s="18" t="inlineStr">
        <is>
          <t>Very high</t>
        </is>
      </c>
      <c r="K5" s="18" t="n">
        <v>5</v>
      </c>
      <c r="L5" s="18" t="inlineStr">
        <is>
          <t>Copying whole tables every night wastes time and money, so pipelines learned to move only new or changed rows.</t>
        </is>
      </c>
      <c r="M5" s="18" t="inlineStr">
        <is>
          <t>Keep a watermark of the last successful value and only advance it after the load succeeds.</t>
        </is>
      </c>
      <c r="N5" s="17" t="n"/>
      <c r="O5" s="18" t="inlineStr">
        <is>
          <t>Full load is photocopying the whole book, and incremental is copying only the new pages.</t>
        </is>
      </c>
      <c r="P5" s="18" t="inlineStr">
        <is>
          <t>A marker on a timeline showing what has been copied.</t>
        </is>
      </c>
      <c r="Q5" s="18" t="inlineStr">
        <is>
          <t>The relief of a fast nightly run.</t>
        </is>
      </c>
      <c r="R5" s="18" t="inlineStr">
        <is>
          <t>A full load copies the entire source each run, while an incremental load copies only rows newer than a stored watermark such as a timestamp or id.</t>
        </is>
      </c>
      <c r="S5" s="17" t="n"/>
      <c r="T5" s="19" t="inlineStr">
        <is>
          <t>-- state table holds the watermark
SELECT last_value FROM etl_state WHERE name = 'orders';
SELECT * FROM orders WHERE updated_at &gt; :last_value ORDER BY updated_at;
-- after a successful load
UPDATE etl_state SET last_value = :max_updated_at WHERE name = 'orders';</t>
        </is>
      </c>
      <c r="U5" s="19" t="inlineStr">
        <is>
          <t>Only rows changed since the last run are read, and the watermark moves forward after success.</t>
        </is>
      </c>
      <c r="V5" s="18" t="inlineStr">
        <is>
          <t>Incremental loads need a reliable change column, such as an updated timestamp or a rising id. Deletes are not visible with a simple watermark, so they need a soft delete flag or change data capture. Clock differences and late edits can be handled by re-reading a small overlap window. Full loads are simpler and fine for small tables.</t>
        </is>
      </c>
      <c r="W5" s="18" t="inlineStr">
        <is>
          <t>Store a watermark, read only newer rows, and move the watermark after success.</t>
        </is>
      </c>
      <c r="X5" s="18" t="inlineStr">
        <is>
          <t>Full load is photocopying the whole book, and incremental is copying only the new pages.</t>
        </is>
      </c>
      <c r="Y5" s="19" t="inlineStr">
        <is>
          <t>WHERE updated_at &gt; :watermark</t>
        </is>
      </c>
      <c r="Z5" s="18" t="inlineStr">
        <is>
          <t>watermark = last processed value | overlap = safety margin | state table = stored progress</t>
        </is>
      </c>
      <c r="AA5" s="19" t="inlineStr">
        <is>
          <t>SELECT * FROM events WHERE id &gt; 98200;</t>
        </is>
      </c>
      <c r="AB5" s="19" t="inlineStr">
        <is>
          <t>WHERE updated_at &gt; :last - INTERVAL '10 minutes'</t>
        </is>
      </c>
      <c r="AC5" s="19" t="inlineStr">
        <is>
          <t>TRUNCATE staging; INSERT ... SELECT * FROM source;</t>
        </is>
      </c>
      <c r="AD5" s="19" t="inlineStr">
        <is>
          <t>SELECT * FROM orders WHERE is_deleted = true AND updated_at &gt; :last;   // catch soft deletes</t>
        </is>
      </c>
      <c r="AE5" s="18" t="inlineStr">
        <is>
          <t>watermarks, upserts, change data capture</t>
        </is>
      </c>
      <c r="AF5" s="18" t="inlineStr">
        <is>
          <t>upserts, change data capture, idempotency, extract from databases</t>
        </is>
      </c>
      <c r="AG5" s="18" t="inlineStr">
        <is>
          <t>Change data capture | full refresh for small tables</t>
        </is>
      </c>
      <c r="AH5" s="17" t="n"/>
      <c r="AI5" s="18" t="inlineStr">
        <is>
          <t>Large tables | Frequent syncs | Cost control</t>
        </is>
      </c>
      <c r="AJ5" s="18" t="inlineStr">
        <is>
          <t>A: Why does the sync miss deleted rows? | B: A timestamp watermark cannot see deletes, so use soft deletes or CDC.</t>
        </is>
      </c>
      <c r="AK5" s="18" t="inlineStr">
        <is>
          <t>✗ Incremental loads always catch every change → ✓ Deletes and late edits can slip through without extra handling</t>
        </is>
      </c>
      <c r="AL5" s="18" t="inlineStr">
        <is>
          <t>Incremental vs full refresh: one moves changes, the other replaces everything.</t>
        </is>
      </c>
      <c r="AM5" s="18" t="inlineStr">
        <is>
          <t>Do not advance the watermark before the load succeeds.</t>
        </is>
      </c>
      <c r="AN5" s="19" t="inlineStr">
        <is>
          <t>UPDATE etl_state SET last_value = now();   -- before loading</t>
        </is>
      </c>
      <c r="AO5" s="19" t="inlineStr">
        <is>
          <t>UPDATE etl_state SET last_value = :max_updated_at;   -- after a successful load</t>
        </is>
      </c>
      <c r="AP5" s="18" t="inlineStr">
        <is>
          <t>Move the watermark only after success.</t>
        </is>
      </c>
      <c r="AQ5" s="18" t="inlineStr">
        <is>
          <t>Backfilling by partition made reruns much faster for the whole team.</t>
        </is>
      </c>
      <c r="AR5" s="18" t="inlineStr">
        <is>
          <t>An interviewer may ask: What is a watermark in a pipeline?</t>
        </is>
      </c>
      <c r="AS5" s="18" t="inlineStr">
        <is>
          <t>It is like copying only the new pages of a book.</t>
        </is>
      </c>
      <c r="AT5" s="18" t="inlineStr">
        <is>
          <t>When should the watermark advance?</t>
        </is>
      </c>
      <c r="AU5" s="18" t="inlineStr">
        <is>
          <t>A) Never B) Before the extract C) Randomly D) After a successful load</t>
        </is>
      </c>
      <c r="AV5" s="18" t="inlineStr">
        <is>
          <t>D</t>
        </is>
      </c>
      <c r="AW5" s="18" t="inlineStr">
        <is>
          <t>Advancing early can lose rows if the load fails.</t>
        </is>
      </c>
      <c r="AX5" s="19" t="inlineStr">
        <is>
          <t>A stored value marking progress is called a ____ → watermark</t>
        </is>
      </c>
      <c r="AY5" s="18" t="inlineStr">
        <is>
          <t>Read only rows changed after a stored time.</t>
        </is>
      </c>
      <c r="AZ5" s="19" t="inlineStr">
        <is>
          <t>SELECT * FROM orders WHERE updated_at &gt; :last_value;</t>
        </is>
      </c>
      <c r="BA5" s="18" t="inlineStr">
        <is>
          <t>Design how to capture deletes in an incremental load.</t>
        </is>
      </c>
      <c r="BB5" s="19" t="inlineStr">
        <is>
          <t>Why does a timestamp watermark miss deletes?</t>
        </is>
      </c>
      <c r="BC5" s="19" t="inlineStr">
        <is>
          <t>A deleted row no longer exists to show an updated time.</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175.5" customHeight="1">
      <c r="A6" s="17" t="inlineStr">
        <is>
          <t>ETL-011</t>
        </is>
      </c>
      <c r="B6" s="17" t="inlineStr">
        <is>
          <t>02 Extract</t>
        </is>
      </c>
      <c r="C6" s="17" t="inlineStr">
        <is>
          <t>Intermediate</t>
        </is>
      </c>
      <c r="D6" s="17" t="n">
        <v>11</v>
      </c>
      <c r="E6" s="17" t="inlineStr">
        <is>
          <t>Claude knowledge</t>
        </is>
      </c>
      <c r="F6" s="18" t="inlineStr">
        <is>
          <t>Pagination and rate limits</t>
        </is>
      </c>
      <c r="G6" s="18" t="inlineStr">
        <is>
          <t>How do you handle APIs that return data in pages and slow you down when you call too fast?</t>
        </is>
      </c>
      <c r="H6" s="17" t="n"/>
      <c r="I6" s="18" t="inlineStr">
        <is>
          <t>Extraction method</t>
        </is>
      </c>
      <c r="J6" s="18" t="inlineStr">
        <is>
          <t>Very high</t>
        </is>
      </c>
      <c r="K6" s="18" t="n">
        <v>5</v>
      </c>
      <c r="L6" s="18" t="inlineStr">
        <is>
          <t>Servers protect themselves by splitting results and limiting request rates, so clients must page politely and back off when told.</t>
        </is>
      </c>
      <c r="M6" s="18" t="inlineStr">
        <is>
          <t>Prefer cursor pagination over page numbers, since pages shift when data changes.</t>
        </is>
      </c>
      <c r="N6" s="17" t="n"/>
      <c r="O6" s="18" t="inlineStr">
        <is>
          <t>Pagination is taking a few trays from the buffet at a time, and rate limits are the waiter asking you to slow down.</t>
        </is>
      </c>
      <c r="P6" s="18" t="inlineStr">
        <is>
          <t>Requests spaced out with a waiting pause after a limit message.</t>
        </is>
      </c>
      <c r="Q6" s="18" t="inlineStr">
        <is>
          <t>The calm of a client that behaves politely.</t>
        </is>
      </c>
      <c r="R6" s="18" t="inlineStr">
        <is>
          <t>Pagination splits results by page number, offset or cursor, and rate limits cap requests per time, which clients meet by waiting and retrying with backoff.</t>
        </is>
      </c>
      <c r="S6" s="17" t="n"/>
      <c r="T6" s="19" t="inlineStr">
        <is>
          <t>import time, requests
def get(url, **kw):
    for attempt in range(5):
        r = requests.get(url, timeout=30, **kw)
        if r.status_code == 429:
            time.sleep(int(r.headers.get("Retry-After", 2 ** attempt)))
            continue
        r.raise_for_status()
        return r
    raise RuntimeError("Rate limit not lifting. Retry later or ask for a higher limit.")</t>
        </is>
      </c>
      <c r="U6" s="19" t="inlineStr">
        <is>
          <t>Returns the response, or waits and retries on a 429 status, and fails with a clear message after five tries.</t>
        </is>
      </c>
      <c r="V6" s="18" t="inlineStr">
        <is>
          <t>Offset pagination can skip or repeat rows when data changes during the run, while cursors point to a stable position. A 429 status means too many requests, and a Retry-After header says how long to wait. Exponential backoff doubles the wait on each try, and jitter adds randomness. Parallel callers share the same limit.</t>
        </is>
      </c>
      <c r="W6" s="18" t="inlineStr">
        <is>
          <t>Follow cursors, respect Retry-After, and back off when told to slow down.</t>
        </is>
      </c>
      <c r="X6" s="18" t="inlineStr">
        <is>
          <t>Pagination is taking a few trays at a time, and rate limits are the waiter asking you to slow down.</t>
        </is>
      </c>
      <c r="Y6" s="19" t="inlineStr">
        <is>
          <t>if r.status_code == 429: time.sleep(wait)</t>
        </is>
      </c>
      <c r="Z6" s="18" t="inlineStr">
        <is>
          <t>cursor = stable position | 429 = too many requests | Retry-After = seconds to wait | backoff = growing delay</t>
        </is>
      </c>
      <c r="AA6" s="19" t="inlineStr">
        <is>
          <t>?cursor=eyJpZCI6MTAwfQ</t>
        </is>
      </c>
      <c r="AB6" s="19" t="inlineStr">
        <is>
          <t>?page=3&amp;per_page=100</t>
        </is>
      </c>
      <c r="AC6" s="19" t="inlineStr">
        <is>
          <t>time.sleep(2 ** attempt + random.random())</t>
        </is>
      </c>
      <c r="AD6" s="19" t="inlineStr">
        <is>
          <t>requests_per_second = 5   // a client-side throttle</t>
        </is>
      </c>
      <c r="AE6" s="18" t="inlineStr">
        <is>
          <t>API extraction, retries, credentials</t>
        </is>
      </c>
      <c r="AF6" s="18" t="inlineStr">
        <is>
          <t>extract from APIs, retries, idempotency, error handling</t>
        </is>
      </c>
      <c r="AG6" s="18" t="inlineStr">
        <is>
          <t>Bulk export endpoints | webhooks</t>
        </is>
      </c>
      <c r="AH6" s="17" t="n"/>
      <c r="AI6" s="18" t="inlineStr">
        <is>
          <t>SaaS integrations | Backfills | Large pulls</t>
        </is>
      </c>
      <c r="AJ6" s="18" t="inlineStr">
        <is>
          <t>A: The API keeps returning 429. | B: Respect Retry-After and slow the request rate.</t>
        </is>
      </c>
      <c r="AK6" s="18" t="inlineStr">
        <is>
          <t>✗ Retrying immediately fixes a rate limit → ✓ It makes the problem worse, so wait and back off</t>
        </is>
      </c>
      <c r="AL6" s="18" t="inlineStr">
        <is>
          <t>Offset vs cursor: offset counts rows and can drift, a cursor marks a stable position.</t>
        </is>
      </c>
      <c r="AM6" s="18" t="inlineStr">
        <is>
          <t>Do not hammer an API without delays.</t>
        </is>
      </c>
      <c r="AN6" s="19" t="inlineStr">
        <is>
          <t>while True: r = requests.get(url)</t>
        </is>
      </c>
      <c r="AO6" s="19" t="inlineStr">
        <is>
          <t>time.sleep(int(r.headers.get("Retry-After", 2)))</t>
        </is>
      </c>
      <c r="AP6" s="18" t="inlineStr">
        <is>
          <t>Cursors beat offsets, waiting beats hammering.</t>
        </is>
      </c>
      <c r="AQ6" s="18" t="inlineStr">
        <is>
          <t>Adding backoff and cursors stopped duplicate and missing rows in a nightly sync.</t>
        </is>
      </c>
      <c r="AR6" s="18" t="inlineStr">
        <is>
          <t>An interviewer may ask: What does a 429 response mean?</t>
        </is>
      </c>
      <c r="AS6" s="18" t="inlineStr">
        <is>
          <t>It is like a waiter asking you to slow down.</t>
        </is>
      </c>
      <c r="AT6" s="18" t="inlineStr">
        <is>
          <t>Which status means too many requests?</t>
        </is>
      </c>
      <c r="AU6" s="18" t="inlineStr">
        <is>
          <t>A) 404 B) 429 C) 301 D) 500</t>
        </is>
      </c>
      <c r="AV6" s="18" t="inlineStr">
        <is>
          <t>B</t>
        </is>
      </c>
      <c r="AW6" s="18" t="inlineStr">
        <is>
          <t>The server is limiting the request rate.</t>
        </is>
      </c>
      <c r="AX6" s="19" t="inlineStr">
        <is>
          <t>Waiting longer after each failed try is exponential ____ → backoff</t>
        </is>
      </c>
      <c r="AY6" s="18" t="inlineStr">
        <is>
          <t>Wait the number of seconds the server asks for.</t>
        </is>
      </c>
      <c r="AZ6" s="19" t="inlineStr">
        <is>
          <t>time.sleep(int(r.headers.get("Retry-After", 2)))</t>
        </is>
      </c>
      <c r="BA6" s="18" t="inlineStr">
        <is>
          <t>Add random jitter to the backoff delay.</t>
        </is>
      </c>
      <c r="BB6" s="19" t="inlineStr">
        <is>
          <t>Why prefer cursors over offsets?</t>
        </is>
      </c>
      <c r="BC6" s="19" t="inlineStr">
        <is>
          <t>Offsets drift when data changes while paging.</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108" customHeight="1">
      <c r="A7" s="17" t="inlineStr">
        <is>
          <t>ETL-013</t>
        </is>
      </c>
      <c r="B7" s="17" t="inlineStr">
        <is>
          <t>03 Transform</t>
        </is>
      </c>
      <c r="C7" s="17" t="inlineStr">
        <is>
          <t>Beginner</t>
        </is>
      </c>
      <c r="D7" s="17" t="n">
        <v>13</v>
      </c>
      <c r="E7" s="17" t="inlineStr">
        <is>
          <t>Claude knowledge</t>
        </is>
      </c>
      <c r="F7" s="18" t="inlineStr">
        <is>
          <t>Cleaning data</t>
        </is>
      </c>
      <c r="G7" s="18" t="inlineStr">
        <is>
          <t>Which steps fix messy values such as extra spaces, mixed cases and bad formats?</t>
        </is>
      </c>
      <c r="H7" s="17" t="n"/>
      <c r="I7" s="18" t="inlineStr">
        <is>
          <t>Transform step</t>
        </is>
      </c>
      <c r="J7" s="18" t="inlineStr">
        <is>
          <t>Very high</t>
        </is>
      </c>
      <c r="K7" s="18" t="n">
        <v>5</v>
      </c>
      <c r="L7" s="18" t="inlineStr">
        <is>
          <t>Real data arrives with typos, stray spaces and inconsistent formats, so cleaning rules make values uniform before analysis.</t>
        </is>
      </c>
      <c r="M7" s="18" t="inlineStr">
        <is>
          <t>Clean in a staging layer and keep the raw copy untouched.</t>
        </is>
      </c>
      <c r="N7" s="17" t="n"/>
      <c r="O7" s="18" t="inlineStr">
        <is>
          <t>Cleaning is washing vegetables before cooking, and you keep the original sack in case you need it.</t>
        </is>
      </c>
      <c r="P7" s="18" t="inlineStr">
        <is>
          <t>A column of messy values turning into a tidy one.</t>
        </is>
      </c>
      <c r="Q7" s="18" t="inlineStr">
        <is>
          <t>The satisfaction of a column that finally groups correctly.</t>
        </is>
      </c>
      <c r="R7" s="18" t="inlineStr">
        <is>
          <t>Cleaning standardises text, trims whitespace, fixes formats, maps known variants and flags impossible values, without changing the raw source copy.</t>
        </is>
      </c>
      <c r="S7" s="17" t="n"/>
      <c r="T7" s="19" t="inlineStr">
        <is>
          <t>SELECT
  TRIM(LOWER(email)) AS email,
  UPPER(TRIM(country_code)) AS country_code,
  NULLIF(TRIM(phone), '') AS phone,
  CASE WHEN status IN ('Active','active','ACTIVE') THEN 'active' ELSE LOWER(status) END AS status
FROM raw_customers;</t>
        </is>
      </c>
      <c r="U7" s="19" t="inlineStr">
        <is>
          <t>Emails are lowercase and trimmed, country codes are uppercase, blank phones become null, and statuses are standardised.</t>
        </is>
      </c>
      <c r="V7" s="18" t="inlineStr">
        <is>
          <t>Typical steps are trimming, case standardisation, replacing empty strings with nulls, mapping synonyms and parsing dates. Do cleaning with rules that are written down and tested. Keep the original value in a raw table so mistakes can be undone. Do not silently drop rows, and instead route bad rows to a rejected table with a reason.</t>
        </is>
      </c>
      <c r="W7" s="18" t="inlineStr">
        <is>
          <t>Standardise values with clear rules, keep raw data safe, and quarantine what cannot be fixed.</t>
        </is>
      </c>
      <c r="X7" s="18" t="inlineStr">
        <is>
          <t>Cleaning is washing vegetables before cooking while keeping the original sack.</t>
        </is>
      </c>
      <c r="Y7" s="19" t="inlineStr">
        <is>
          <t>TRIM(x) | LOWER(x) | NULLIF(x, '') | CASE WHEN ... END</t>
        </is>
      </c>
      <c r="Z7" s="18" t="inlineStr">
        <is>
          <t>TRIM = remove spaces | NULLIF = blank to null | CASE = map values</t>
        </is>
      </c>
      <c r="AA7" s="19" t="inlineStr">
        <is>
          <t>SELECT REPLACE(phone, '-', '') FROM raw_customers;</t>
        </is>
      </c>
      <c r="AB7" s="19" t="inlineStr">
        <is>
          <t>SELECT COALESCE(city, 'unknown') FROM raw_customers;</t>
        </is>
      </c>
      <c r="AC7" s="19" t="inlineStr">
        <is>
          <t>INSERT INTO rejected_rows SELECT *, 'bad email' FROM raw_customers WHERE email NOT LIKE '%@%';</t>
        </is>
      </c>
      <c r="AD7" s="19" t="inlineStr">
        <is>
          <t>SELECT INITCAP(name) FROM raw_customers;   // capitalise words, in PostgreSQL</t>
        </is>
      </c>
      <c r="AE7" s="18" t="inlineStr">
        <is>
          <t>staging tables, data quality checks, joins</t>
        </is>
      </c>
      <c r="AF7" s="18" t="inlineStr">
        <is>
          <t>types and nulls, deduplication, data quality checks, SQL transforms</t>
        </is>
      </c>
      <c r="AG7" s="18" t="inlineStr">
        <is>
          <t>pandas string methods | dbt models</t>
        </is>
      </c>
      <c r="AH7" s="17" t="n"/>
      <c r="AI7" s="18" t="inlineStr">
        <is>
          <t>Staging layers | Customer data | Reports</t>
        </is>
      </c>
      <c r="AJ7" s="18" t="inlineStr">
        <is>
          <t>A: The same customer appears in three spellings. | B: Standardise case and spaces before grouping.</t>
        </is>
      </c>
      <c r="AK7" s="18" t="inlineStr">
        <is>
          <t>✗ Cleaning should delete every bad row → ✓ Bad rows should be quarantined with a reason, not silently lost</t>
        </is>
      </c>
      <c r="AL7" s="18" t="inlineStr">
        <is>
          <t>Cleaning vs validating: cleaning fixes values, validating checks them against rules.</t>
        </is>
      </c>
      <c r="AM7" s="18" t="inlineStr">
        <is>
          <t>Do not overwrite the raw source columns.</t>
        </is>
      </c>
      <c r="AN7" s="19" t="inlineStr">
        <is>
          <t>UPDATE raw_customers SET email = LOWER(email);</t>
        </is>
      </c>
      <c r="AO7" s="19" t="inlineStr">
        <is>
          <t>INSERT INTO stg_customers SELECT LOWER(TRIM(email)) FROM raw_customers;</t>
        </is>
      </c>
      <c r="AP7" s="18" t="inlineStr">
        <is>
          <t>Clean a copy, keep the raw data.</t>
        </is>
      </c>
      <c r="AQ7" s="18" t="inlineStr">
        <is>
          <t>Moving cleaning rules into a staging layer fixed duplicate customers caused by casing.</t>
        </is>
      </c>
      <c r="AR7" s="18" t="inlineStr">
        <is>
          <t>An interviewer may ask: How do you handle rows that cannot be cleaned?</t>
        </is>
      </c>
      <c r="AS7" s="18" t="inlineStr">
        <is>
          <t>It is like washing vegetables before cooking.</t>
        </is>
      </c>
      <c r="AT7" s="18" t="inlineStr">
        <is>
          <t>What should happen to rows that fail cleaning rules?</t>
        </is>
      </c>
      <c r="AU7" s="18" t="inlineStr">
        <is>
          <t>A) They are silently deleted B) They are ignored forever C) They go to a rejected table with a reason D) They overwrite raw data</t>
        </is>
      </c>
      <c r="AV7" s="18" t="inlineStr">
        <is>
          <t>C</t>
        </is>
      </c>
      <c r="AW7" s="18" t="inlineStr">
        <is>
          <t>Quarantined rows can be reviewed and fixed.</t>
        </is>
      </c>
      <c r="AX7" s="19" t="inlineStr">
        <is>
          <t>Turning blank text into a null uses the function ____ → NULLIF</t>
        </is>
      </c>
      <c r="AY7" s="18" t="inlineStr">
        <is>
          <t>Trim and lowercase the email column.</t>
        </is>
      </c>
      <c r="AZ7" s="19" t="inlineStr">
        <is>
          <t>SELECT TRIM(LOWER(email)) AS email FROM raw_customers;</t>
        </is>
      </c>
      <c r="BA7" s="18" t="inlineStr">
        <is>
          <t>Write a query that standardises a status column with three spellings.</t>
        </is>
      </c>
      <c r="BB7" s="19" t="inlineStr">
        <is>
          <t>Why keep the raw table?</t>
        </is>
      </c>
      <c r="BC7" s="19" t="inlineStr">
        <is>
          <t>So mistakes in cleaning can be reversed and replayed.</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108" customHeight="1">
      <c r="A8" s="17" t="inlineStr">
        <is>
          <t>ETL-014</t>
        </is>
      </c>
      <c r="B8" s="17" t="inlineStr">
        <is>
          <t>03 Transform</t>
        </is>
      </c>
      <c r="C8" s="17" t="inlineStr">
        <is>
          <t>Beginner</t>
        </is>
      </c>
      <c r="D8" s="17" t="n">
        <v>14</v>
      </c>
      <c r="E8" s="17" t="inlineStr">
        <is>
          <t>Claude knowledge</t>
        </is>
      </c>
      <c r="F8" s="18" t="inlineStr">
        <is>
          <t>Types and nulls</t>
        </is>
      </c>
      <c r="G8" s="18" t="inlineStr">
        <is>
          <t>Which two common sources of silent errors come from wrong data types and missing values?</t>
        </is>
      </c>
      <c r="H8" s="17" t="n"/>
      <c r="I8" s="18" t="inlineStr">
        <is>
          <t>Transform step</t>
        </is>
      </c>
      <c r="J8" s="18" t="inlineStr">
        <is>
          <t>Very high</t>
        </is>
      </c>
      <c r="K8" s="18" t="n">
        <v>5</v>
      </c>
      <c r="L8" s="18" t="inlineStr">
        <is>
          <t>Text exports lose type information and systems treat missing values differently, so careful typing and null handling prevent wrong results.</t>
        </is>
      </c>
      <c r="M8" s="18" t="inlineStr">
        <is>
          <t>Cast explicitly and decide what null means for each column.</t>
        </is>
      </c>
      <c r="N8" s="17" t="n"/>
      <c r="O8" s="18" t="inlineStr">
        <is>
          <t>Types are the right containers for each ingredient, and nulls are empty containers you must never count as zero.</t>
        </is>
      </c>
      <c r="P8" s="18" t="inlineStr">
        <is>
          <t>A column of text values being cast to numbers and dates.</t>
        </is>
      </c>
      <c r="Q8" s="18" t="inlineStr">
        <is>
          <t>The relief of numbers that add up correctly.</t>
        </is>
      </c>
      <c r="R8" s="18" t="inlineStr">
        <is>
          <t>Casting converts values to proper types, and null handling decides how missing values are treated in comparisons, sums and joins.</t>
        </is>
      </c>
      <c r="S8" s="17" t="n"/>
      <c r="T8" s="19" t="inlineStr">
        <is>
          <t>SELECT
  CAST(order_id AS BIGINT) AS order_id,
  CAST(total AS NUMERIC(12,2)) AS total,
  CAST(created_at AS TIMESTAMP) AS created_at,
  COALESCE(discount, 0) AS discount,
  total IS NULL AS total_missing
FROM stg_orders;</t>
        </is>
      </c>
      <c r="U8" s="19" t="inlineStr">
        <is>
          <t>Columns are typed, missing discounts become zero, and total_missing is true for rows with no total.</t>
        </is>
      </c>
      <c r="V8" s="18" t="inlineStr">
        <is>
          <t>Comparing with null using an equals sign never gives true, and you must use IS NULL. Sums ignore nulls, while arithmetic with null gives null. Counting a column ignores nulls but counting rows does not. Money should use exact decimal types, not floating point. Dates from text need an explicit format and a time zone.</t>
        </is>
      </c>
      <c r="W8" s="18" t="inlineStr">
        <is>
          <t>Cast on purpose, use IS NULL for nulls, and decide what missing means.</t>
        </is>
      </c>
      <c r="X8" s="18" t="inlineStr">
        <is>
          <t>Types are the right containers for each ingredient, and nulls are empty containers you must not count as zero.</t>
        </is>
      </c>
      <c r="Y8" s="19" t="inlineStr">
        <is>
          <t>CAST(x AS type) | COALESCE(x, default) | x IS NULL</t>
        </is>
      </c>
      <c r="Z8" s="18" t="inlineStr">
        <is>
          <t>CAST = change type | COALESCE = first non-null | IS NULL = null test</t>
        </is>
      </c>
      <c r="AA8" s="19" t="inlineStr">
        <is>
          <t>SELECT COUNT(*), COUNT(discount) FROM stg_orders;</t>
        </is>
      </c>
      <c r="AB8" s="19" t="inlineStr">
        <is>
          <t>SELECT SUM(total) FROM stg_orders WHERE total IS NOT NULL;</t>
        </is>
      </c>
      <c r="AC8" s="19" t="inlineStr">
        <is>
          <t>SELECT 5 + NULL;</t>
        </is>
      </c>
      <c r="AD8" s="19" t="inlineStr">
        <is>
          <t>SELECT total::numeric(12,2) FROM stg_orders;   // PostgreSQL cast shorthand</t>
        </is>
      </c>
      <c r="AE8" s="18" t="inlineStr">
        <is>
          <t>cleaning, joins, aggregations</t>
        </is>
      </c>
      <c r="AF8" s="18" t="inlineStr">
        <is>
          <t>cleaning data, aggregations, joins, schemas</t>
        </is>
      </c>
      <c r="AG8" s="18" t="inlineStr">
        <is>
          <t>Schema-enforced file formats</t>
        </is>
      </c>
      <c r="AH8" s="17" t="n"/>
      <c r="AI8" s="18" t="inlineStr">
        <is>
          <t>Staging | Finance data | Reports</t>
        </is>
      </c>
      <c r="AJ8" s="18" t="inlineStr">
        <is>
          <t>A: My filter on equals null returns nothing. | B: Null never equals anything, so use IS NULL.</t>
        </is>
      </c>
      <c r="AK8" s="18" t="inlineStr">
        <is>
          <t>✗ Null equals zero or empty text → ✓ Null means unknown, and it behaves differently in every operation</t>
        </is>
      </c>
      <c r="AL8" s="18" t="inlineStr">
        <is>
          <t>COUNT(*) vs COUNT(column): the first counts rows, the second skips nulls.</t>
        </is>
      </c>
      <c r="AM8" s="18" t="inlineStr">
        <is>
          <t>Do not store money in floating point types.</t>
        </is>
      </c>
      <c r="AN8" s="19" t="inlineStr">
        <is>
          <t>SELECT * FROM stg_orders WHERE discount = NULL;</t>
        </is>
      </c>
      <c r="AO8" s="19" t="inlineStr">
        <is>
          <t>SELECT * FROM stg_orders WHERE discount IS NULL;</t>
        </is>
      </c>
      <c r="AP8" s="18" t="inlineStr">
        <is>
          <t>Null is unknown, never equal to anything.</t>
        </is>
      </c>
      <c r="AQ8" s="18" t="inlineStr">
        <is>
          <t>Fixing a float column for money removed one-cent differences in a finance report.</t>
        </is>
      </c>
      <c r="AR8" s="18" t="inlineStr">
        <is>
          <t>An interviewer may ask: What is the difference between COUNT star and COUNT column?</t>
        </is>
      </c>
      <c r="AS8" s="18" t="inlineStr">
        <is>
          <t>It is like empty containers that must not be counted as zero.</t>
        </is>
      </c>
      <c r="AT8" s="18" t="inlineStr">
        <is>
          <t>How do you test for a missing value?</t>
        </is>
      </c>
      <c r="AU8" s="18" t="inlineStr">
        <is>
          <t>A) like null B) IS NULL C) is empty D) equals null</t>
        </is>
      </c>
      <c r="AV8" s="18" t="inlineStr">
        <is>
          <t>B</t>
        </is>
      </c>
      <c r="AW8" s="18" t="inlineStr">
        <is>
          <t>Comparison with equals never matches null.</t>
        </is>
      </c>
      <c r="AX8" s="19" t="inlineStr">
        <is>
          <t>The function that returns the first non-null value is ____ → COALESCE</t>
        </is>
      </c>
      <c r="AY8" s="18" t="inlineStr">
        <is>
          <t>Find rows where discount is missing.</t>
        </is>
      </c>
      <c r="AZ8" s="19" t="inlineStr">
        <is>
          <t>SELECT * FROM stg_orders WHERE discount IS NULL;</t>
        </is>
      </c>
      <c r="BA8" s="18" t="inlineStr">
        <is>
          <t>Write a query that casts text columns to number and date.</t>
        </is>
      </c>
      <c r="BB8" s="19" t="inlineStr">
        <is>
          <t>What does 5 plus null give?</t>
        </is>
      </c>
      <c r="BC8" s="19" t="inlineStr">
        <is>
          <t>Null.</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148.5" customHeight="1">
      <c r="A9" s="17" t="inlineStr">
        <is>
          <t>ETL-015</t>
        </is>
      </c>
      <c r="B9" s="17" t="inlineStr">
        <is>
          <t>03 Transform</t>
        </is>
      </c>
      <c r="C9" s="17" t="inlineStr">
        <is>
          <t>Intermediate</t>
        </is>
      </c>
      <c r="D9" s="17" t="n">
        <v>15</v>
      </c>
      <c r="E9" s="17" t="inlineStr">
        <is>
          <t>Claude knowledge</t>
        </is>
      </c>
      <c r="F9" s="18" t="inlineStr">
        <is>
          <t>Joins in pipelines</t>
        </is>
      </c>
      <c r="G9" s="18" t="inlineStr">
        <is>
          <t>How do you combine tables safely without losing or multiplying rows?</t>
        </is>
      </c>
      <c r="H9" s="17" t="n"/>
      <c r="I9" s="18" t="inlineStr">
        <is>
          <t>Transform step</t>
        </is>
      </c>
      <c r="J9" s="18" t="inlineStr">
        <is>
          <t>Very high</t>
        </is>
      </c>
      <c r="K9" s="18" t="n">
        <v>5</v>
      </c>
      <c r="L9" s="18" t="inlineStr">
        <is>
          <t>Facts and descriptions live in different tables, so pipelines join them, and a wrong join can silently inflate or drop rows.</t>
        </is>
      </c>
      <c r="M9" s="18" t="inlineStr">
        <is>
          <t>Check row counts before and after every join.</t>
        </is>
      </c>
      <c r="N9" s="17" t="n"/>
      <c r="O9" s="18" t="inlineStr">
        <is>
          <t>A join is matching name tags to guests, and a wrong tag can duplicate a guest.</t>
        </is>
      </c>
      <c r="P9" s="18" t="inlineStr">
        <is>
          <t>Two tables linked on a key with matching and unmatched rows.</t>
        </is>
      </c>
      <c r="Q9" s="18" t="inlineStr">
        <is>
          <t>The caution of checking the count after each join.</t>
        </is>
      </c>
      <c r="R9" s="18" t="inlineStr">
        <is>
          <t>A join matches rows from two tables on a key, where inner keeps matches only, left keeps all rows of the left table, and duplicate keys multiply rows.</t>
        </is>
      </c>
      <c r="S9" s="17" t="n"/>
      <c r="T9" s="19" t="inlineStr">
        <is>
          <t>SELECT o.order_id, o.total, c.name, c.country
FROM stg_orders o
LEFT JOIN dim_customers c ON c.customer_id = o.customer_id;
SELECT COUNT(*) FROM stg_orders;
SELECT COUNT(*) FROM (
  SELECT o.order_id FROM stg_orders o LEFT JOIN dim_customers c ON c.customer_id = o.customer_id
) x;</t>
        </is>
      </c>
      <c r="U9" s="19" t="inlineStr">
        <is>
          <t>Each order appears once with customer details, and both counts match, proving no row was multiplied.</t>
        </is>
      </c>
      <c r="V9" s="18" t="inlineStr">
        <is>
          <t>A left join keeps orders even without a customer, and the customer columns are null. If dim_customers has two rows for one id, each order appears twice. Always know the grain, meaning what one row represents, of each side. Test that keys are unique where you expect it. Anti joins find unmatched rows and help with quality checks.</t>
        </is>
      </c>
      <c r="W9" s="18" t="inlineStr">
        <is>
          <t>Know the grain of each table, test key uniqueness, and compare row counts after joining.</t>
        </is>
      </c>
      <c r="X9" s="18" t="inlineStr">
        <is>
          <t>A join is matching name tags to guests, and a wrong tag can duplicate a guest.</t>
        </is>
      </c>
      <c r="Y9" s="19" t="inlineStr">
        <is>
          <t>FROM a LEFT JOIN b ON a.key = b.key</t>
        </is>
      </c>
      <c r="Z9" s="18" t="inlineStr">
        <is>
          <t>INNER = matches only | LEFT = keep all left rows | ON = join condition | grain = what a row means</t>
        </is>
      </c>
      <c r="AA9" s="19" t="inlineStr">
        <is>
          <t>SELECT * FROM a INNER JOIN b ON a.id = b.a_id;</t>
        </is>
      </c>
      <c r="AB9" s="19" t="inlineStr">
        <is>
          <t>SELECT a.* FROM a LEFT JOIN b ON a.id = b.a_id WHERE b.a_id IS NULL;</t>
        </is>
      </c>
      <c r="AC9" s="19" t="inlineStr">
        <is>
          <t>SELECT customer_id, COUNT(*) FROM dim_customers GROUP BY 1 HAVING COUNT(*) &gt; 1;</t>
        </is>
      </c>
      <c r="AD9" s="19" t="inlineStr">
        <is>
          <t>SELECT * FROM a CROSS JOIN b;   // every combination, use with care</t>
        </is>
      </c>
      <c r="AE9" s="18" t="inlineStr">
        <is>
          <t>deduplication, aggregations, data quality checks</t>
        </is>
      </c>
      <c r="AF9" s="18" t="inlineStr">
        <is>
          <t>deduplication, aggregations, data quality checks, SQL transforms</t>
        </is>
      </c>
      <c r="AG9" s="18" t="inlineStr">
        <is>
          <t>Lookups in code</t>
        </is>
      </c>
      <c r="AH9" s="17" t="n"/>
      <c r="AI9" s="18" t="inlineStr">
        <is>
          <t>Warehouse models | Reports | Enrichment</t>
        </is>
      </c>
      <c r="AJ9" s="18" t="inlineStr">
        <is>
          <t>A: Revenue doubled after adding the join. | B: The dimension has duplicate keys, so rows multiplied.</t>
        </is>
      </c>
      <c r="AK9" s="18" t="inlineStr">
        <is>
          <t>✗ A left join never changes the number of left rows → ✓ Duplicate keys on the right side multiply them</t>
        </is>
      </c>
      <c r="AL9" s="18" t="inlineStr">
        <is>
          <t>Inner vs left join: inner drops unmatched rows, left keeps them.</t>
        </is>
      </c>
      <c r="AM9" s="18" t="inlineStr">
        <is>
          <t>Do not join on keys you have not tested for uniqueness.</t>
        </is>
      </c>
      <c r="AN9" s="19" t="inlineStr">
        <is>
          <t>SELECT * FROM orders o JOIN customers c ON o.name = c.name;</t>
        </is>
      </c>
      <c r="AO9" s="19" t="inlineStr">
        <is>
          <t>SELECT * FROM orders o JOIN customers c ON o.customer_id = c.customer_id;</t>
        </is>
      </c>
      <c r="AP9" s="18" t="inlineStr">
        <is>
          <t>Count rows before and after the join.</t>
        </is>
      </c>
      <c r="AQ9" s="18" t="inlineStr">
        <is>
          <t>Finding duplicate customer keys explained why a revenue total had doubled.</t>
        </is>
      </c>
      <c r="AR9" s="18" t="inlineStr">
        <is>
          <t>An interviewer may ask: Why might a left join increase row count?</t>
        </is>
      </c>
      <c r="AS9" s="18" t="inlineStr">
        <is>
          <t>It is like matching name tags to guests.</t>
        </is>
      </c>
      <c r="AT9" s="18" t="inlineStr">
        <is>
          <t>What multiplies rows in a join?</t>
        </is>
      </c>
      <c r="AU9" s="18" t="inlineStr">
        <is>
          <t>A) A where clause B) A comment C) A limit D) Duplicate keys on the joined side</t>
        </is>
      </c>
      <c r="AV9" s="18" t="inlineStr">
        <is>
          <t>D</t>
        </is>
      </c>
      <c r="AW9" s="18" t="inlineStr">
        <is>
          <t>Each match produces a row.</t>
        </is>
      </c>
      <c r="AX9" s="19" t="inlineStr">
        <is>
          <t>What one row of a table represents is its ____ → grain</t>
        </is>
      </c>
      <c r="AY9" s="18" t="inlineStr">
        <is>
          <t>Join orders to customers keeping all orders.</t>
        </is>
      </c>
      <c r="AZ9" s="19" t="inlineStr">
        <is>
          <t>SELECT * FROM orders o LEFT JOIN customers c ON c.customer_id = o.customer_id;</t>
        </is>
      </c>
      <c r="BA9" s="18" t="inlineStr">
        <is>
          <t>Write a query that finds duplicate keys in a lookup table.</t>
        </is>
      </c>
      <c r="BB9" s="19" t="inlineStr">
        <is>
          <t>What does a left join keep?</t>
        </is>
      </c>
      <c r="BC9" s="19" t="inlineStr">
        <is>
          <t>All rows of the left table.</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108" customHeight="1">
      <c r="A10" s="17" t="inlineStr">
        <is>
          <t>ETL-016</t>
        </is>
      </c>
      <c r="B10" s="17" t="inlineStr">
        <is>
          <t>03 Transform</t>
        </is>
      </c>
      <c r="C10" s="17" t="inlineStr">
        <is>
          <t>Intermediate</t>
        </is>
      </c>
      <c r="D10" s="17" t="n">
        <v>16</v>
      </c>
      <c r="E10" s="17" t="inlineStr">
        <is>
          <t>Claude knowledge</t>
        </is>
      </c>
      <c r="F10" s="18" t="inlineStr">
        <is>
          <t>Deduplication</t>
        </is>
      </c>
      <c r="G10" s="18" t="inlineStr">
        <is>
          <t>How do you keep exactly one row for each real-world record?</t>
        </is>
      </c>
      <c r="H10" s="17" t="n"/>
      <c r="I10" s="18" t="inlineStr">
        <is>
          <t>Transform step</t>
        </is>
      </c>
      <c r="J10" s="18" t="inlineStr">
        <is>
          <t>Very high</t>
        </is>
      </c>
      <c r="K10" s="18" t="n">
        <v>5</v>
      </c>
      <c r="L10" s="18" t="inlineStr">
        <is>
          <t>Retries, overlapping loads and messy sources create duplicates, so pipelines choose one winning row per key.</t>
        </is>
      </c>
      <c r="M10" s="18" t="inlineStr">
        <is>
          <t>Decide the rule for the winner first, such as the latest update.</t>
        </is>
      </c>
      <c r="N10" s="17" t="n"/>
      <c r="O10" s="18" t="inlineStr">
        <is>
          <t>Deduplication is keeping the newest copy of each form and shredding the older ones.</t>
        </is>
      </c>
      <c r="P10" s="18" t="inlineStr">
        <is>
          <t>Several rows with one key and an arrow pointing at the latest.</t>
        </is>
      </c>
      <c r="Q10" s="18" t="inlineStr">
        <is>
          <t>The satisfaction of a clean count.</t>
        </is>
      </c>
      <c r="R10" s="18" t="inlineStr">
        <is>
          <t>Deduplication keeps one row per key, often by numbering rows within each key and keeping the first by a chosen order.</t>
        </is>
      </c>
      <c r="S10" s="17" t="n"/>
      <c r="T10" s="19" t="inlineStr">
        <is>
          <t>SELECT * FROM (
  SELECT *,
    ROW_NUMBER() OVER (PARTITION BY customer_id ORDER BY updated_at DESC, load_id DESC) AS rn
  FROM stg_customers
) t
WHERE rn = 1;</t>
        </is>
      </c>
      <c r="U10" s="19" t="inlineStr">
        <is>
          <t>One row remains for each customer, the most recently updated.</t>
        </is>
      </c>
      <c r="V10" s="18" t="inlineStr">
        <is>
          <t>ROW_NUMBER with PARTITION BY the key and ORDER BY the preference gives a deterministic winner. Add a tie-breaker so reruns choose the same row. DISTINCT only removes fully identical rows. Decide whether to keep the latest, the first or merge fields. Count rows before and after, and log how many were removed.</t>
        </is>
      </c>
      <c r="W10" s="18" t="inlineStr">
        <is>
          <t>Number rows within each key by a rule, and keep number one.</t>
        </is>
      </c>
      <c r="X10" s="18" t="inlineStr">
        <is>
          <t>Deduplication is keeping the newest copy of each form and shredding the older ones.</t>
        </is>
      </c>
      <c r="Y10" s="19" t="inlineStr">
        <is>
          <t>ROW_NUMBER() OVER (PARTITION BY key ORDER BY rule) = 1</t>
        </is>
      </c>
      <c r="Z10" s="18" t="inlineStr">
        <is>
          <t>PARTITION BY = group per key | ORDER BY = winner rule | rn = 1 = keep first</t>
        </is>
      </c>
      <c r="AA10" s="19" t="inlineStr">
        <is>
          <t>SELECT DISTINCT customer_id FROM stg_orders;</t>
        </is>
      </c>
      <c r="AB10" s="19" t="inlineStr">
        <is>
          <t>SELECT customer_id, COUNT(*) FROM stg_customers GROUP BY 1 HAVING COUNT(*) &gt; 1;</t>
        </is>
      </c>
      <c r="AC10" s="19" t="inlineStr">
        <is>
          <t>DELETE FROM stg_customers WHERE ctid NOT IN (SELECT MIN(ctid) FROM stg_customers GROUP BY customer_id);</t>
        </is>
      </c>
      <c r="AD10" s="19" t="inlineStr">
        <is>
          <t>SELECT DISTINCT ON (customer_id) * FROM stg_customers ORDER BY customer_id, updated_at DESC;   // PostgreSQL shortcut</t>
        </is>
      </c>
      <c r="AE10" s="18" t="inlineStr">
        <is>
          <t>window functions, upserts, idempotency</t>
        </is>
      </c>
      <c r="AF10" s="18" t="inlineStr">
        <is>
          <t>joins, upserts, idempotency, data quality checks</t>
        </is>
      </c>
      <c r="AG10" s="18" t="inlineStr">
        <is>
          <t>Unique constraints | MERGE</t>
        </is>
      </c>
      <c r="AH10" s="17" t="n"/>
      <c r="AI10" s="18" t="inlineStr">
        <is>
          <t>Staging | Customer tables | Event data</t>
        </is>
      </c>
      <c r="AJ10" s="18" t="inlineStr">
        <is>
          <t>A: Two rows have the same updated time. | B: Add a tie-breaker so the winner is stable.</t>
        </is>
      </c>
      <c r="AK10" s="18" t="inlineStr">
        <is>
          <t>✗ DISTINCT removes all duplicates by key → ✓ It removes only rows identical in every column</t>
        </is>
      </c>
      <c r="AL10" s="18" t="inlineStr">
        <is>
          <t>DISTINCT vs ROW_NUMBER: DISTINCT compares whole rows, ROW_NUMBER picks by key and order.</t>
        </is>
      </c>
      <c r="AM10" s="18" t="inlineStr">
        <is>
          <t>Do not rely on arbitrary row order.</t>
        </is>
      </c>
      <c r="AN10" s="19" t="inlineStr">
        <is>
          <t>SELECT DISTINCT * FROM stg_customers;   -- keeps older versions</t>
        </is>
      </c>
      <c r="AO10" s="19" t="inlineStr">
        <is>
          <t>SELECT * FROM (SELECT *, ROW_NUMBER() OVER (PARTITION BY customer_id ORDER BY updated_at DESC) rn FROM stg_customers) t WHERE rn = 1;</t>
        </is>
      </c>
      <c r="AP10" s="18" t="inlineStr">
        <is>
          <t>Partition by key, order by newest, keep one.</t>
        </is>
      </c>
      <c r="AQ10" s="18" t="inlineStr">
        <is>
          <t>Replacing DISTINCT with a ranked pick removed stale customer versions from a report.</t>
        </is>
      </c>
      <c r="AR10" s="18" t="inlineStr">
        <is>
          <t>An interviewer may ask: How do you keep the latest row per key?</t>
        </is>
      </c>
      <c r="AS10" s="18" t="inlineStr">
        <is>
          <t>It is like keeping the newest form.</t>
        </is>
      </c>
      <c r="AT10" s="18" t="inlineStr">
        <is>
          <t>Which function numbers rows within a key?</t>
        </is>
      </c>
      <c r="AU10" s="18" t="inlineStr">
        <is>
          <t>A) ROW_NUMBER B) COUNT C) SUM D) AVG</t>
        </is>
      </c>
      <c r="AV10" s="18" t="inlineStr">
        <is>
          <t>A</t>
        </is>
      </c>
      <c r="AW10" s="18" t="inlineStr">
        <is>
          <t>It gives each row a position inside its partition.</t>
        </is>
      </c>
      <c r="AX10" s="19" t="inlineStr">
        <is>
          <t>A rule that settles equal sort values is a ____ → tie-breaker</t>
        </is>
      </c>
      <c r="AY10" s="18" t="inlineStr">
        <is>
          <t>Keep the latest row for each customer.</t>
        </is>
      </c>
      <c r="AZ10" s="19" t="inlineStr">
        <is>
          <t>SELECT * FROM (SELECT *, ROW_NUMBER() OVER (PARTITION BY customer_id ORDER BY updated_at DESC) rn FROM stg_customers) t WHERE rn = 1;</t>
        </is>
      </c>
      <c r="BA10" s="18" t="inlineStr">
        <is>
          <t>Add a tie-breaker to a deduplication query.</t>
        </is>
      </c>
      <c r="BB10" s="19" t="inlineStr">
        <is>
          <t>Why add a tie-breaker?</t>
        </is>
      </c>
      <c r="BC10" s="19" t="inlineStr">
        <is>
          <t>So reruns choose the same winning row.</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121.5" customHeight="1">
      <c r="A11" s="17" t="inlineStr">
        <is>
          <t>ETL-017</t>
        </is>
      </c>
      <c r="B11" s="17" t="inlineStr">
        <is>
          <t>03 Transform</t>
        </is>
      </c>
      <c r="C11" s="17" t="inlineStr">
        <is>
          <t>Beginner</t>
        </is>
      </c>
      <c r="D11" s="17" t="n">
        <v>17</v>
      </c>
      <c r="E11" s="17" t="inlineStr">
        <is>
          <t>Claude knowledge</t>
        </is>
      </c>
      <c r="F11" s="18" t="inlineStr">
        <is>
          <t>Aggregations</t>
        </is>
      </c>
      <c r="G11" s="18" t="inlineStr">
        <is>
          <t>How do you summarise many rows into counts, totals and averages?</t>
        </is>
      </c>
      <c r="H11" s="17" t="n"/>
      <c r="I11" s="18" t="inlineStr">
        <is>
          <t>Transform step</t>
        </is>
      </c>
      <c r="J11" s="18" t="inlineStr">
        <is>
          <t>Very high</t>
        </is>
      </c>
      <c r="K11" s="18" t="n">
        <v>5</v>
      </c>
      <c r="L11" s="18" t="inlineStr">
        <is>
          <t>Reports need totals by group rather than raw rows, so SQL groups rows and applies summary functions.</t>
        </is>
      </c>
      <c r="M11" s="18" t="inlineStr">
        <is>
          <t>Check that the grain of the result matches what the report expects.</t>
        </is>
      </c>
      <c r="N11" s="17" t="n"/>
      <c r="O11" s="18" t="inlineStr">
        <is>
          <t>Aggregation is sorting receipts into piles and totalling each pile.</t>
        </is>
      </c>
      <c r="P11" s="18" t="inlineStr">
        <is>
          <t>Rows collapsing into one row per group.</t>
        </is>
      </c>
      <c r="Q11" s="18" t="inlineStr">
        <is>
          <t>The pleasure of a summary that matches the finance sheet.</t>
        </is>
      </c>
      <c r="R11" s="18" t="inlineStr">
        <is>
          <t>Aggregation uses GROUP BY with functions such as COUNT, SUM, AVG, MIN and MAX to collapse rows into one result per group, and HAVING filters the groups.</t>
        </is>
      </c>
      <c r="S11" s="17" t="n"/>
      <c r="T11" s="19" t="inlineStr">
        <is>
          <t>SELECT customer_id,
  COUNT(*) AS orders,
  SUM(total) AS revenue,
  AVG(total) AS avg_order
FROM fct_orders
WHERE status = 'paid'
GROUP BY customer_id
HAVING SUM(total) &gt; 1000
ORDER BY revenue DESC;</t>
        </is>
      </c>
      <c r="U11" s="19" t="inlineStr">
        <is>
          <t>Customers with more than 1000 in paid orders, with counts, totals and averages.</t>
        </is>
      </c>
      <c r="V11" s="18" t="inlineStr">
        <is>
          <t>WHERE filters rows before grouping, and HAVING filters groups after. Every selected column must be in GROUP BY or inside an aggregate. Null values are skipped by aggregates other than COUNT star. Averages of averages are wrong unless weighted. Use exact types for money, and be careful with duplicate rows from joins.</t>
        </is>
      </c>
      <c r="W11" s="18" t="inlineStr">
        <is>
          <t>Group rows, apply summary functions, and filter groups with HAVING.</t>
        </is>
      </c>
      <c r="X11" s="18" t="inlineStr">
        <is>
          <t>Aggregation is sorting receipts into piles and totalling each pile.</t>
        </is>
      </c>
      <c r="Y11" s="19" t="inlineStr">
        <is>
          <t>SELECT key, SUM(x) FROM t GROUP BY key HAVING condition</t>
        </is>
      </c>
      <c r="Z11" s="18" t="inlineStr">
        <is>
          <t>GROUP BY = piles | SUM and COUNT = summaries | HAVING = filter piles | WHERE = filter rows</t>
        </is>
      </c>
      <c r="AA11" s="19" t="inlineStr">
        <is>
          <t>SELECT DATE(created_at), COUNT(*) FROM fct_orders GROUP BY 1;</t>
        </is>
      </c>
      <c r="AB11" s="19" t="inlineStr">
        <is>
          <t>SELECT country, AVG(total) FROM fct_orders GROUP BY country;</t>
        </is>
      </c>
      <c r="AC11" s="19" t="inlineStr">
        <is>
          <t>SELECT COUNT(DISTINCT customer_id) FROM fct_orders;</t>
        </is>
      </c>
      <c r="AD11" s="19" t="inlineStr">
        <is>
          <t>SELECT country, SUM(total) FILTER (WHERE status = 'paid') FROM fct_orders GROUP BY country;   // conditional totals</t>
        </is>
      </c>
      <c r="AE11" s="18" t="inlineStr">
        <is>
          <t>joins, dates, reports</t>
        </is>
      </c>
      <c r="AF11" s="18" t="inlineStr">
        <is>
          <t>joins, date handling, SQL transforms, data quality checks</t>
        </is>
      </c>
      <c r="AG11" s="18" t="inlineStr">
        <is>
          <t>pandas groupby | dbt metrics</t>
        </is>
      </c>
      <c r="AH11" s="17" t="n"/>
      <c r="AI11" s="18" t="inlineStr">
        <is>
          <t>Reports | Dashboards | Data marts</t>
        </is>
      </c>
      <c r="AJ11" s="18" t="inlineStr">
        <is>
          <t>A: The average is wrong by region. | B: You averaged averages, so compute total divided by count.</t>
        </is>
      </c>
      <c r="AK11" s="18" t="inlineStr">
        <is>
          <t>✗ WHERE and HAVING do the same thing → ✓ WHERE filters rows before grouping, HAVING filters groups after</t>
        </is>
      </c>
      <c r="AL11" s="18" t="inlineStr">
        <is>
          <t>WHERE vs HAVING: one acts on rows, the other on aggregated groups.</t>
        </is>
      </c>
      <c r="AM11" s="18" t="inlineStr">
        <is>
          <t>Do not average pre-averaged values.</t>
        </is>
      </c>
      <c r="AN11" s="19" t="inlineStr">
        <is>
          <t>SELECT customer_id, total FROM fct_orders GROUP BY customer_id;</t>
        </is>
      </c>
      <c r="AO11" s="19" t="inlineStr">
        <is>
          <t>SELECT customer_id, SUM(total) FROM fct_orders GROUP BY customer_id;</t>
        </is>
      </c>
      <c r="AP11" s="18" t="inlineStr">
        <is>
          <t>Where before groups, having after.</t>
        </is>
      </c>
      <c r="AQ11" s="18" t="inlineStr">
        <is>
          <t>Correcting a weighted average fixed a dashboard that disagreed with finance.</t>
        </is>
      </c>
      <c r="AR11" s="18" t="inlineStr">
        <is>
          <t>An interviewer may ask: What is the difference between WHERE and HAVING?</t>
        </is>
      </c>
      <c r="AS11" s="18" t="inlineStr">
        <is>
          <t>It is like sorting receipts into piles.</t>
        </is>
      </c>
      <c r="AT11" s="18" t="inlineStr">
        <is>
          <t>Which clause filters groups?</t>
        </is>
      </c>
      <c r="AU11" s="18" t="inlineStr">
        <is>
          <t>A) LIMIT B) HAVING C) ORDER BY D) WHERE</t>
        </is>
      </c>
      <c r="AV11" s="18" t="inlineStr">
        <is>
          <t>B</t>
        </is>
      </c>
      <c r="AW11" s="18" t="inlineStr">
        <is>
          <t>HAVING works on aggregated results.</t>
        </is>
      </c>
      <c r="AX11" s="19" t="inlineStr">
        <is>
          <t>The clause that creates the groups is GROUP ____ → BY</t>
        </is>
      </c>
      <c r="AY11" s="18" t="inlineStr">
        <is>
          <t>Count orders per customer.</t>
        </is>
      </c>
      <c r="AZ11" s="19" t="inlineStr">
        <is>
          <t>SELECT customer_id, COUNT(*) FROM fct_orders GROUP BY customer_id;</t>
        </is>
      </c>
      <c r="BA11" s="18" t="inlineStr">
        <is>
          <t>Write a daily revenue summary for paid orders.</t>
        </is>
      </c>
      <c r="BB11" s="19" t="inlineStr">
        <is>
          <t>Why is an average of averages risky?</t>
        </is>
      </c>
      <c r="BC11" s="19" t="inlineStr">
        <is>
          <t>Groups of different sizes need weighting.</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135" customHeight="1">
      <c r="A12" s="17" t="inlineStr">
        <is>
          <t>ETL-018</t>
        </is>
      </c>
      <c r="B12" s="17" t="inlineStr">
        <is>
          <t>03 Transform</t>
        </is>
      </c>
      <c r="C12" s="17" t="inlineStr">
        <is>
          <t>Intermediate</t>
        </is>
      </c>
      <c r="D12" s="17" t="n">
        <v>18</v>
      </c>
      <c r="E12" s="17" t="inlineStr">
        <is>
          <t>Claude knowledge</t>
        </is>
      </c>
      <c r="F12" s="18" t="inlineStr">
        <is>
          <t>Date and time handling</t>
        </is>
      </c>
      <c r="G12" s="18" t="inlineStr">
        <is>
          <t>How do you avoid wrong results from time zones, formats and date boundaries?</t>
        </is>
      </c>
      <c r="H12" s="17" t="n"/>
      <c r="I12" s="18" t="inlineStr">
        <is>
          <t>Transform step</t>
        </is>
      </c>
      <c r="J12" s="18" t="inlineStr">
        <is>
          <t>Very high</t>
        </is>
      </c>
      <c r="K12" s="18" t="n">
        <v>5</v>
      </c>
      <c r="L12" s="18" t="inlineStr">
        <is>
          <t>Time looks simple but hides zones, daylight saving and formats, so pipelines settle on rules to keep dates consistent.</t>
        </is>
      </c>
      <c r="M12" s="18" t="inlineStr">
        <is>
          <t>Store timestamps in UTC and convert only for display.</t>
        </is>
      </c>
      <c r="N12" s="17" t="n"/>
      <c r="O12" s="18" t="inlineStr">
        <is>
          <t>Time zones are different clocks on different walls, so choose one master clock for storage.</t>
        </is>
      </c>
      <c r="P12" s="18" t="inlineStr">
        <is>
          <t>Clocks in several zones pointing at the same moment.</t>
        </is>
      </c>
      <c r="Q12" s="18" t="inlineStr">
        <is>
          <t>The relief of reports that agree on what day it is.</t>
        </is>
      </c>
      <c r="R12" s="18" t="inlineStr">
        <is>
          <t>Date handling parses text into timestamps with a known format and zone, stores them in UTC, and truncates or converts them deliberately for reporting.</t>
        </is>
      </c>
      <c r="S12" s="17" t="n"/>
      <c r="T12" s="19" t="inlineStr">
        <is>
          <t>SELECT
  CAST(created_at AS TIMESTAMPTZ) AS created_utc,
  DATE_TRUNC('day', created_at AT TIME ZONE 'Asia/Kolkata') AS day_ist,
  created_at &gt;= '2026-10-01' AND created_at &lt; '2026-10-02' AS on_oct_1
FROM stg_orders;</t>
        </is>
      </c>
      <c r="U12" s="19" t="inlineStr">
        <is>
          <t>A UTC timestamp, the local business day, and a half-open range test for one day.</t>
        </is>
      </c>
      <c r="V12" s="18" t="inlineStr">
        <is>
          <t>Use half-open ranges, with greater than or equal to the start and less than the next day, to avoid missing the last second. Decide which time zone defines a business day. Daylight saving makes some hours repeat or vanish. Parse dates with an explicit format, since day-month and month-day order differ. Keep both the event time and the load time. AT TIME ZONE converts a timestamptz to local wall time, so created_at must be timestamptz.</t>
        </is>
      </c>
      <c r="W12" s="18" t="inlineStr">
        <is>
          <t>Store UTC, use half-open ranges, and convert to the business zone for daily reports.</t>
        </is>
      </c>
      <c r="X12" s="18" t="inlineStr">
        <is>
          <t>Time zones are clocks on different walls, so choose one master clock for storage.</t>
        </is>
      </c>
      <c r="Y12" s="19" t="inlineStr">
        <is>
          <t>ts AT TIME ZONE 'zone' | DATE_TRUNC('day', ts) | ts &gt;= start AND ts &lt; end</t>
        </is>
      </c>
      <c r="Z12" s="18" t="inlineStr">
        <is>
          <t>UTC = storage | AT TIME ZONE = convert | DATE_TRUNC = boundary | half-open range = safe filter</t>
        </is>
      </c>
      <c r="AA12" s="19" t="inlineStr">
        <is>
          <t>SELECT TO_TIMESTAMP('01/10/2026', 'DD/MM/YYYY');</t>
        </is>
      </c>
      <c r="AB12" s="19" t="inlineStr">
        <is>
          <t>SELECT NOW() - INTERVAL '7 days';</t>
        </is>
      </c>
      <c r="AC12" s="19" t="inlineStr">
        <is>
          <t>SELECT EXTRACT(DOW FROM created_at) FROM stg_orders;</t>
        </is>
      </c>
      <c r="AD12" s="19" t="inlineStr">
        <is>
          <t>WHERE created_at BETWEEN '2026-10-01' AND '2026-10-01 23:59:59'   // risky, misses fractions</t>
        </is>
      </c>
      <c r="AE12" s="18" t="inlineStr">
        <is>
          <t>aggregations, incremental loads, reports</t>
        </is>
      </c>
      <c r="AF12" s="18" t="inlineStr">
        <is>
          <t>aggregations, types and nulls, incremental loads, backfills</t>
        </is>
      </c>
      <c r="AG12" s="18" t="inlineStr">
        <is>
          <t>Date dimension tables</t>
        </is>
      </c>
      <c r="AH12" s="17" t="n"/>
      <c r="AI12" s="18" t="inlineStr">
        <is>
          <t>Daily reports | Event data | Backfills</t>
        </is>
      </c>
      <c r="AJ12" s="18" t="inlineStr">
        <is>
          <t>A: Orders near midnight land on the wrong day. | B: Convert to the business time zone before truncating.</t>
        </is>
      </c>
      <c r="AK12" s="18" t="inlineStr">
        <is>
          <t>✗ BETWEEN with an end of 23:59:59 covers the whole day → ✓ It misses fractions of a second, so use a half-open range</t>
        </is>
      </c>
      <c r="AL12" s="18" t="inlineStr">
        <is>
          <t>Event time vs load time: event time is when it happened, load time is when we saw it.</t>
        </is>
      </c>
      <c r="AM12" s="18" t="inlineStr">
        <is>
          <t>Do not mix local and UTC timestamps in one column.</t>
        </is>
      </c>
      <c r="AN12" s="19" t="inlineStr">
        <is>
          <t>WHERE created_at BETWEEN '2026-10-01' AND '2026-10-01 23:59:59'</t>
        </is>
      </c>
      <c r="AO12" s="19" t="inlineStr">
        <is>
          <t>WHERE created_at &gt;= '2026-10-01' AND created_at &lt; '2026-10-02'</t>
        </is>
      </c>
      <c r="AP12" s="18" t="inlineStr">
        <is>
          <t>Start inclusive, end exclusive, store UTC.</t>
        </is>
      </c>
      <c r="AQ12" s="18" t="inlineStr">
        <is>
          <t>Switching to half-open ranges and UTC fixed missing late-night orders in a report.</t>
        </is>
      </c>
      <c r="AR12" s="18" t="inlineStr">
        <is>
          <t>An interviewer may ask: Why store timestamps in UTC?</t>
        </is>
      </c>
      <c r="AS12" s="18" t="inlineStr">
        <is>
          <t>It is like choosing one master clock.</t>
        </is>
      </c>
      <c r="AT12" s="18" t="inlineStr">
        <is>
          <t>Which filter covers a whole day safely?</t>
        </is>
      </c>
      <c r="AU12" s="18" t="inlineStr">
        <is>
          <t>A) Like the date B) BETWEEN with 23:59:59 C) Greater than or equal to the start and less than the next day D) Equal to the date only</t>
        </is>
      </c>
      <c r="AV12" s="18" t="inlineStr">
        <is>
          <t>C</t>
        </is>
      </c>
      <c r="AW12" s="18" t="inlineStr">
        <is>
          <t>A half-open range includes every instant of the day.</t>
        </is>
      </c>
      <c r="AX12" s="19" t="inlineStr">
        <is>
          <t>Timestamps are best stored in ____ → UTC</t>
        </is>
      </c>
      <c r="AY12" s="18" t="inlineStr">
        <is>
          <t>Count orders on 1 October using a safe range.</t>
        </is>
      </c>
      <c r="AZ12" s="19" t="inlineStr">
        <is>
          <t>SELECT COUNT(*) FROM stg_orders WHERE created_at &gt;= '2026-10-01' AND created_at &lt; '2026-10-02';</t>
        </is>
      </c>
      <c r="BA12" s="18" t="inlineStr">
        <is>
          <t>Write a query that groups orders by business day in India time.</t>
        </is>
      </c>
      <c r="BB12" s="19" t="inlineStr">
        <is>
          <t>Why is BETWEEN with 23:59:59 risky?</t>
        </is>
      </c>
      <c r="BC12" s="19" t="inlineStr">
        <is>
          <t>It misses fractions of a second at the end of the day.</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75.5" customHeight="1">
      <c r="A13" s="17" t="inlineStr">
        <is>
          <t>ETL-019</t>
        </is>
      </c>
      <c r="B13" s="17" t="inlineStr">
        <is>
          <t>03 Transform</t>
        </is>
      </c>
      <c r="C13" s="17" t="inlineStr">
        <is>
          <t>Intermediate</t>
        </is>
      </c>
      <c r="D13" s="17" t="n">
        <v>19</v>
      </c>
      <c r="E13" s="17" t="inlineStr">
        <is>
          <t>Claude knowledge</t>
        </is>
      </c>
      <c r="F13" s="18" t="inlineStr">
        <is>
          <t>SQL transforms and window functions</t>
        </is>
      </c>
      <c r="G13" s="18" t="inlineStr">
        <is>
          <t>Which SQL tools reshape data for analysis, such as CTEs and window functions?</t>
        </is>
      </c>
      <c r="H13" s="17" t="n"/>
      <c r="I13" s="18" t="inlineStr">
        <is>
          <t>Transform step</t>
        </is>
      </c>
      <c r="J13" s="18" t="inlineStr">
        <is>
          <t>High</t>
        </is>
      </c>
      <c r="K13" s="18" t="n">
        <v>5</v>
      </c>
      <c r="L13" s="18" t="inlineStr">
        <is>
          <t>Warehouses run SQL fast, so most reshaping is written in SQL with clear steps using common table expressions and window functions.</t>
        </is>
      </c>
      <c r="M13" s="18" t="inlineStr">
        <is>
          <t>Break long queries into named CTEs that each do one thing.</t>
        </is>
      </c>
      <c r="N13" s="17" t="n"/>
      <c r="O13" s="18" t="inlineStr">
        <is>
          <t>CTEs are labelled work trays, and window functions look at neighbours without collapsing rows.</t>
        </is>
      </c>
      <c r="P13" s="18" t="inlineStr">
        <is>
          <t>Several named steps feeding one final select.</t>
        </is>
      </c>
      <c r="Q13" s="18" t="inlineStr">
        <is>
          <t>The calm of a long query that reads like a story.</t>
        </is>
      </c>
      <c r="R13" s="18" t="inlineStr">
        <is>
          <t>A CTE names an intermediate result for reuse in the same query, and a window function calculates over related rows while keeping every row.</t>
        </is>
      </c>
      <c r="S13" s="17" t="n"/>
      <c r="T13" s="19" t="inlineStr">
        <is>
          <t>WITH paid AS (
  SELECT * FROM fct_orders WHERE status = 'paid'
), ranked AS (
  SELECT customer_id, order_id, total,
    SUM(total) OVER (PARTITION BY customer_id ORDER BY created_at) AS running_total,
    LAG(total) OVER (PARTITION BY customer_id ORDER BY created_at) AS prev_total
  FROM paid
)
SELECT * FROM ranked WHERE running_total &gt; 500;</t>
        </is>
      </c>
      <c r="U13" s="19" t="inlineStr">
        <is>
          <t>Each paid order with the customer's running total and previous order amount, for running totals above 500.</t>
        </is>
      </c>
      <c r="V13" s="18" t="inlineStr">
        <is>
          <t>CTEs make queries readable and testable one step at a time. Window functions such as ROW_NUMBER, RANK, LAG, LEAD and running SUM use OVER with PARTITION BY and ORDER BY. They do not reduce rows like GROUP BY does. Views and models store such queries so others can reuse them.</t>
        </is>
      </c>
      <c r="W13" s="18" t="inlineStr">
        <is>
          <t>Use CTEs to name steps and window functions to compare rows without losing them.</t>
        </is>
      </c>
      <c r="X13" s="18" t="inlineStr">
        <is>
          <t>CTEs are labelled work trays, and window functions look at neighbours without collapsing rows.</t>
        </is>
      </c>
      <c r="Y13" s="19" t="inlineStr">
        <is>
          <t>WITH name AS (select) | func() OVER (PARTITION BY k ORDER BY o)</t>
        </is>
      </c>
      <c r="Z13" s="18" t="inlineStr">
        <is>
          <t>WITH = CTE | OVER = window | PARTITION BY = groups | ORDER BY = sequence</t>
        </is>
      </c>
      <c r="AA13" s="19" t="inlineStr">
        <is>
          <t>SELECT customer_id, RANK() OVER (ORDER BY total DESC) FROM fct_orders;</t>
        </is>
      </c>
      <c r="AB13" s="19" t="inlineStr">
        <is>
          <t>SELECT order_id, LEAD(created_at) OVER (PARTITION BY customer_id ORDER BY created_at) FROM fct_orders;</t>
        </is>
      </c>
      <c r="AC13" s="19" t="inlineStr">
        <is>
          <t>SELECT AVG(total) OVER (ORDER BY created_at ROWS BETWEEN 6 PRECEDING AND CURRENT ROW) FROM fct_orders;</t>
        </is>
      </c>
      <c r="AD13" s="19" t="inlineStr">
        <is>
          <t>CREATE VIEW paid_orders AS SELECT * FROM fct_orders WHERE status = 'paid';   // reuse a step</t>
        </is>
      </c>
      <c r="AE13" s="18" t="inlineStr">
        <is>
          <t>aggregations, deduplication, dbt models</t>
        </is>
      </c>
      <c r="AF13" s="18" t="inlineStr">
        <is>
          <t>aggregations, deduplication, dbt basics, joins</t>
        </is>
      </c>
      <c r="AG13" s="18" t="inlineStr">
        <is>
          <t>Subqueries | pandas</t>
        </is>
      </c>
      <c r="AH13" s="17" t="n"/>
      <c r="AI13" s="18" t="inlineStr">
        <is>
          <t>Analytics | Models | Reports</t>
        </is>
      </c>
      <c r="AJ13" s="18" t="inlineStr">
        <is>
          <t>A: How do I compare each order with the previous one? | B: Use LAG over the customer in time order.</t>
        </is>
      </c>
      <c r="AK13" s="18" t="inlineStr">
        <is>
          <t>✗ Window functions collapse rows like GROUP BY → ✓ They keep every row and add a calculated column</t>
        </is>
      </c>
      <c r="AL13" s="18" t="inlineStr">
        <is>
          <t>GROUP BY vs window: GROUP BY reduces rows, a window keeps them.</t>
        </is>
      </c>
      <c r="AM13" s="18" t="inlineStr">
        <is>
          <t>Do not nest many subqueries when CTEs would read better.</t>
        </is>
      </c>
      <c r="AN13" s="19" t="inlineStr">
        <is>
          <t>SELECT customer_id, SUM(total) OVER () FROM fct_orders GROUP BY customer_id;</t>
        </is>
      </c>
      <c r="AO13" s="19" t="inlineStr">
        <is>
          <t>SELECT customer_id, SUM(total) OVER (PARTITION BY customer_id) FROM fct_orders;</t>
        </is>
      </c>
      <c r="AP13" s="18" t="inlineStr">
        <is>
          <t>Windows keep rows, groups collapse them.</t>
        </is>
      </c>
      <c r="AQ13" s="18" t="inlineStr">
        <is>
          <t>Rewriting a nested query as CTEs let reviewers test each step.</t>
        </is>
      </c>
      <c r="AR13" s="18" t="inlineStr">
        <is>
          <t>An interviewer may ask: What is the difference between RANK and ROW_NUMBER?</t>
        </is>
      </c>
      <c r="AS13" s="18" t="inlineStr">
        <is>
          <t>It is like labelled work trays.</t>
        </is>
      </c>
      <c r="AT13" s="18" t="inlineStr">
        <is>
          <t>Which function reads the previous row's value?</t>
        </is>
      </c>
      <c r="AU13" s="18" t="inlineStr">
        <is>
          <t>A) LAG B) SUM C) COUNT D) LEAD</t>
        </is>
      </c>
      <c r="AV13" s="18" t="inlineStr">
        <is>
          <t>A</t>
        </is>
      </c>
      <c r="AW13" s="18" t="inlineStr">
        <is>
          <t>LAG looks backward in the window order.</t>
        </is>
      </c>
      <c r="AX13" s="19" t="inlineStr">
        <is>
          <t>A named temporary result in a query is a ____ → CTE</t>
        </is>
      </c>
      <c r="AY13" s="18" t="inlineStr">
        <is>
          <t>Add the previous order total next to each order.</t>
        </is>
      </c>
      <c r="AZ13" s="19" t="inlineStr">
        <is>
          <t>SELECT *, LAG(total) OVER (PARTITION BY customer_id ORDER BY created_at) AS prev_total FROM fct_orders;</t>
        </is>
      </c>
      <c r="BA13" s="18" t="inlineStr">
        <is>
          <t>Write a running total per customer using a window.</t>
        </is>
      </c>
      <c r="BB13" s="19" t="inlineStr">
        <is>
          <t>Do window functions reduce the number of rows?</t>
        </is>
      </c>
      <c r="BC13" s="19" t="inlineStr">
        <is>
          <t>No, every row is kept.</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162" customHeight="1">
      <c r="A14" s="17" t="inlineStr">
        <is>
          <t>ETL-020</t>
        </is>
      </c>
      <c r="B14" s="17" t="inlineStr">
        <is>
          <t>03 Transform</t>
        </is>
      </c>
      <c r="C14" s="17" t="inlineStr">
        <is>
          <t>Intermediate</t>
        </is>
      </c>
      <c r="D14" s="17" t="n">
        <v>20</v>
      </c>
      <c r="E14" s="17" t="inlineStr">
        <is>
          <t>Claude knowledge</t>
        </is>
      </c>
      <c r="F14" s="18" t="inlineStr">
        <is>
          <t>dbt basics</t>
        </is>
      </c>
      <c r="G14" s="18" t="inlineStr">
        <is>
          <t>Which tool turns SQL select statements into tested, documented warehouse models?</t>
        </is>
      </c>
      <c r="H14" s="17" t="n"/>
      <c r="I14" s="18" t="inlineStr">
        <is>
          <t>Tool</t>
        </is>
      </c>
      <c r="J14" s="18" t="inlineStr">
        <is>
          <t>High</t>
        </is>
      </c>
      <c r="K14" s="18" t="n">
        <v>4</v>
      </c>
      <c r="L14" s="18" t="inlineStr">
        <is>
          <t>SQL transformations grew into tangled scripts, so dbt applies software habits such as version control, tests and documentation to them.</t>
        </is>
      </c>
      <c r="M14" s="18" t="inlineStr">
        <is>
          <t>Build in layers, such as staging, intermediate and marts.</t>
        </is>
      </c>
      <c r="N14" s="17" t="n"/>
      <c r="O14" s="18" t="inlineStr">
        <is>
          <t>dbt is a build system that turns your SQL recipes into tables in the right order.</t>
        </is>
      </c>
      <c r="P14" s="18" t="inlineStr">
        <is>
          <t>A graph of models feeding each other.</t>
        </is>
      </c>
      <c r="Q14" s="18" t="inlineStr">
        <is>
          <t>The pride of a tested, documented transformation project.</t>
        </is>
      </c>
      <c r="R14" s="18" t="inlineStr">
        <is>
          <t>dbt compiles SQL models, runs them in dependency order inside the warehouse, and runs tests and documentation from simple configuration files.</t>
        </is>
      </c>
      <c r="S14" s="17" t="n"/>
      <c r="T14" s="19" t="inlineStr">
        <is>
          <t>-- models/staging/stg_orders.sql
select order_id, customer_id, cast(total as numeric) as total
from {{ source('shop', 'orders') }}
-- models/marts/fct_orders.sql
select o.*, c.country
from {{ ref('stg_orders') }} o
left join {{ ref('stg_customers') }} c using (customer_id)
-- schema.yml: tests: [unique, not_null] on order_id
-- run: dbt build</t>
        </is>
      </c>
      <c r="U14" s="19" t="inlineStr">
        <is>
          <t>Models run in dependency order, then tests check uniqueness and non-null order ids.</t>
        </is>
      </c>
      <c r="V14" s="18" t="inlineStr">
        <is>
          <t>ref links models and lets dbt order them, and source names raw tables. Materializations decide whether a model becomes a view, table or incremental table. Tests such as unique, not_null, relationships and accepted_values are declared in YAML. dbt docs generate documentation and lineage. dbt does the T of ELT only.</t>
        </is>
      </c>
      <c r="W14" s="18" t="inlineStr">
        <is>
          <t>Write select statements, link them with ref, add tests, and run dbt build.</t>
        </is>
      </c>
      <c r="X14" s="18" t="inlineStr">
        <is>
          <t>dbt is a build system that turns your SQL recipes into tables in the right order.</t>
        </is>
      </c>
      <c r="Y14" s="19" t="inlineStr">
        <is>
          <t>{{ ref('model') }} | {{ source('schema', 'table') }} | dbt build</t>
        </is>
      </c>
      <c r="Z14" s="18" t="inlineStr">
        <is>
          <t>model = one select | ref = dependency | test = quality check | materialization = how it is stored</t>
        </is>
      </c>
      <c r="AA14" s="19" t="inlineStr">
        <is>
          <t>{{ config(materialized='incremental') }}</t>
        </is>
      </c>
      <c r="AB14" s="19" t="inlineStr">
        <is>
          <t>dbt test --select stg_orders</t>
        </is>
      </c>
      <c r="AC14" s="19" t="inlineStr">
        <is>
          <t>dbt docs generate</t>
        </is>
      </c>
      <c r="AD14" s="19" t="inlineStr">
        <is>
          <t>dbt build --select +fct_orders   // run a model and its parents</t>
        </is>
      </c>
      <c r="AE14" s="18" t="inlineStr">
        <is>
          <t>warehouses, Git, CI</t>
        </is>
      </c>
      <c r="AF14" s="18" t="inlineStr">
        <is>
          <t>ETL vs ELT, SQL transforms, data quality checks, lineage</t>
        </is>
      </c>
      <c r="AG14" s="18" t="inlineStr">
        <is>
          <t>SQL scripts with an orchestrator | Dataform | SQLMesh</t>
        </is>
      </c>
      <c r="AH14" s="17" t="n"/>
      <c r="AI14" s="18" t="inlineStr">
        <is>
          <t>Analytics engineering | Warehouse projects | Data teams</t>
        </is>
      </c>
      <c r="AJ14" s="18" t="inlineStr">
        <is>
          <t>A: How do we know the model has no duplicate ids? | B: Add a unique test in the dbt schema file.</t>
        </is>
      </c>
      <c r="AK14" s="18" t="inlineStr">
        <is>
          <t>✗ dbt extracts and loads data too → ✓ It only transforms data that is already in the warehouse</t>
        </is>
      </c>
      <c r="AL14" s="18" t="inlineStr">
        <is>
          <t>ref vs source: ref points to another model, source points to a raw table.</t>
        </is>
      </c>
      <c r="AM14" s="18" t="inlineStr">
        <is>
          <t>Do not hard-code table names that ref could manage.</t>
        </is>
      </c>
      <c r="AN14" s="19" t="inlineStr">
        <is>
          <t>select * from analytics.stg_orders</t>
        </is>
      </c>
      <c r="AO14" s="19" t="inlineStr">
        <is>
          <t>select * from {{ ref('stg_orders') }}</t>
        </is>
      </c>
      <c r="AP14" s="18" t="inlineStr">
        <is>
          <t>Ref builds the order, tests keep it honest.</t>
        </is>
      </c>
      <c r="AQ14" s="18" t="inlineStr">
        <is>
          <t>Adding dbt tests caught a duplicated key before a dashboard broke.</t>
        </is>
      </c>
      <c r="AR14" s="18" t="inlineStr">
        <is>
          <t>An interviewer may ask: What does dbt do and not do?</t>
        </is>
      </c>
      <c r="AS14" s="18" t="inlineStr">
        <is>
          <t>It is like a build system for SQL recipes.</t>
        </is>
      </c>
      <c r="AT14" s="18" t="inlineStr">
        <is>
          <t>Which function links one dbt model to another?</t>
        </is>
      </c>
      <c r="AU14" s="18" t="inlineStr">
        <is>
          <t>A) config B) run C) source D) ref</t>
        </is>
      </c>
      <c r="AV14" s="18" t="inlineStr">
        <is>
          <t>D</t>
        </is>
      </c>
      <c r="AW14" s="18" t="inlineStr">
        <is>
          <t>ref declares a dependency between models.</t>
        </is>
      </c>
      <c r="AX14" s="19" t="inlineStr">
        <is>
          <t>dbt handles which letter of ELT, the ____ → T</t>
        </is>
      </c>
      <c r="AY14" s="18" t="inlineStr">
        <is>
          <t>Reference the staging orders model from another model.</t>
        </is>
      </c>
      <c r="AZ14" s="19" t="inlineStr">
        <is>
          <t>select * from {{ ref('stg_orders') }}</t>
        </is>
      </c>
      <c r="BA14" s="18" t="inlineStr">
        <is>
          <t>Write a not_null and unique test for an order id.</t>
        </is>
      </c>
      <c r="BB14" s="19" t="inlineStr">
        <is>
          <t>Does dbt extract data from sources?</t>
        </is>
      </c>
      <c r="BC14" s="19" t="inlineStr">
        <is>
          <t>No, it transforms data already in the warehouse.</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135" customHeight="1">
      <c r="A15" s="17" t="inlineStr">
        <is>
          <t>ETL-021</t>
        </is>
      </c>
      <c r="B15" s="17" t="inlineStr">
        <is>
          <t>04 Load</t>
        </is>
      </c>
      <c r="C15" s="17" t="inlineStr">
        <is>
          <t>Intermediate</t>
        </is>
      </c>
      <c r="D15" s="17" t="n">
        <v>21</v>
      </c>
      <c r="E15" s="17" t="inlineStr">
        <is>
          <t>Claude knowledge</t>
        </is>
      </c>
      <c r="F15" s="18" t="inlineStr">
        <is>
          <t>Upserts</t>
        </is>
      </c>
      <c r="G15" s="18" t="inlineStr">
        <is>
          <t>How do you insert new rows and update existing ones in a single step?</t>
        </is>
      </c>
      <c r="H15" s="17" t="n"/>
      <c r="I15" s="18" t="inlineStr">
        <is>
          <t>Load method</t>
        </is>
      </c>
      <c r="J15" s="18" t="inlineStr">
        <is>
          <t>Very high</t>
        </is>
      </c>
      <c r="K15" s="18" t="n">
        <v>5</v>
      </c>
      <c r="L15" s="18" t="inlineStr">
        <is>
          <t>Reloading the same record twice must not create duplicates, so loads use an update-or-insert operation keyed on a unique id.</t>
        </is>
      </c>
      <c r="M15" s="18" t="inlineStr">
        <is>
          <t>Make sure the key has a unique constraint, or upserts will not work reliably.</t>
        </is>
      </c>
      <c r="N15" s="17" t="n"/>
      <c r="O15" s="18" t="inlineStr">
        <is>
          <t>An upsert is a clerk who updates the card if it exists and files a new one if not.</t>
        </is>
      </c>
      <c r="P15" s="18" t="inlineStr">
        <is>
          <t>A new row either replacing a matching row or adding to the table.</t>
        </is>
      </c>
      <c r="Q15" s="18" t="inlineStr">
        <is>
          <t>The confidence that reruns will not duplicate data.</t>
        </is>
      </c>
      <c r="R15" s="18" t="inlineStr">
        <is>
          <t>An upsert inserts a row if its key is new and updates the existing row if the key already exists, using INSERT ON CONFLICT or MERGE.</t>
        </is>
      </c>
      <c r="S15" s="17" t="n"/>
      <c r="T15" s="19" t="inlineStr">
        <is>
          <t>INSERT INTO dim_customers (customer_id, name, email, updated_at)
SELECT customer_id, name, email, updated_at FROM stg_customers
ON CONFLICT (customer_id) DO UPDATE SET
  name = EXCLUDED.name,
  email = EXCLUDED.email,
  updated_at = EXCLUDED.updated_at
WHERE dim_customers.updated_at &lt; EXCLUDED.updated_at;</t>
        </is>
      </c>
      <c r="U15" s="19" t="inlineStr">
        <is>
          <t>New customers are added, existing ones are updated, and older versions never overwrite newer ones.</t>
        </is>
      </c>
      <c r="V15" s="18" t="inlineStr">
        <is>
          <t>ON CONFLICT needs a unique index on the key. The WHERE clause protects against late older rows overwriting newer data. MERGE offers the same in warehouses, with match and not-matched branches. Deletes need separate handling. Upserts make loads idempotent, which means reruns give the same result.</t>
        </is>
      </c>
      <c r="W15" s="18" t="inlineStr">
        <is>
          <t>Key the table, upsert on the key, and only overwrite with newer data.</t>
        </is>
      </c>
      <c r="X15" s="18" t="inlineStr">
        <is>
          <t>An upsert is a clerk who updates the card if it exists and files a new one if not.</t>
        </is>
      </c>
      <c r="Y15" s="19" t="inlineStr">
        <is>
          <t>INSERT ... ON CONFLICT (key) DO UPDATE SET col = EXCLUDED.col</t>
        </is>
      </c>
      <c r="Z15" s="18" t="inlineStr">
        <is>
          <t>ON CONFLICT = key clash | EXCLUDED = the incoming row | MERGE = warehouse form</t>
        </is>
      </c>
      <c r="AA15" s="19" t="inlineStr">
        <is>
          <t>INSERT INTO t VALUES (1, 'a') ON CONFLICT (id) DO NOTHING;</t>
        </is>
      </c>
      <c r="AB15" s="19" t="inlineStr">
        <is>
          <t>MERGE INTO dim_customers d USING stg_customers s ON d.customer_id = s.customer_id WHEN MATCHED THEN UPDATE SET name = s.name WHEN NOT MATCHED THEN INSERT (customer_id, name) VALUES (s.customer_id, s.name);</t>
        </is>
      </c>
      <c r="AC15" s="19" t="inlineStr">
        <is>
          <t>CREATE UNIQUE INDEX ON dim_customers (customer_id);</t>
        </is>
      </c>
      <c r="AD15" s="19" t="inlineStr">
        <is>
          <t>REPLACE INTO t SELECT ...   // MySQL, deletes and reinserts</t>
        </is>
      </c>
      <c r="AE15" s="18" t="inlineStr">
        <is>
          <t>idempotency, deduplication, incremental loads</t>
        </is>
      </c>
      <c r="AF15" s="18" t="inlineStr">
        <is>
          <t>idempotency, deduplication, full vs incremental, schemas</t>
        </is>
      </c>
      <c r="AG15" s="18" t="inlineStr">
        <is>
          <t>Delete and insert by partition | truncate and load</t>
        </is>
      </c>
      <c r="AH15" s="17" t="n"/>
      <c r="AI15" s="18" t="inlineStr">
        <is>
          <t>Dimension tables | Syncs | Reruns</t>
        </is>
      </c>
      <c r="AJ15" s="18" t="inlineStr">
        <is>
          <t>A: A rerun doubled our rows. | B: Load with an upsert keyed on the id so reruns are safe.</t>
        </is>
      </c>
      <c r="AK15" s="18" t="inlineStr">
        <is>
          <t>✗ An upsert works without any unique key → ✓ It needs a unique constraint or merge key to know what already exists</t>
        </is>
      </c>
      <c r="AL15" s="18" t="inlineStr">
        <is>
          <t>Upsert vs insert: insert always adds, upsert updates when the key exists.</t>
        </is>
      </c>
      <c r="AM15" s="18" t="inlineStr">
        <is>
          <t>Do not let older rows overwrite newer ones.</t>
        </is>
      </c>
      <c r="AN15" s="19" t="inlineStr">
        <is>
          <t>INSERT INTO dim_customers SELECT * FROM stg_customers;   -- duplicates on rerun</t>
        </is>
      </c>
      <c r="AO15" s="19" t="inlineStr">
        <is>
          <t>INSERT INTO dim_customers SELECT * FROM stg_customers ON CONFLICT (customer_id) DO NOTHING;</t>
        </is>
      </c>
      <c r="AP15" s="18" t="inlineStr">
        <is>
          <t>Unique key first, then upsert.</t>
        </is>
      </c>
      <c r="AQ15" s="18" t="inlineStr">
        <is>
          <t>Switching to upserts made nightly reruns safe after a partial failure.</t>
        </is>
      </c>
      <c r="AR15" s="18" t="inlineStr">
        <is>
          <t>An interviewer may ask: How do you make a load idempotent?</t>
        </is>
      </c>
      <c r="AS15" s="18" t="inlineStr">
        <is>
          <t>It is like a clerk who updates or files new.</t>
        </is>
      </c>
      <c r="AT15" s="18" t="inlineStr">
        <is>
          <t>What does an upsert need to work?</t>
        </is>
      </c>
      <c r="AU15" s="18" t="inlineStr">
        <is>
          <t>A) A cursor B) A unique key C) A view D) A comment</t>
        </is>
      </c>
      <c r="AV15" s="18" t="inlineStr">
        <is>
          <t>B</t>
        </is>
      </c>
      <c r="AW15" s="18" t="inlineStr">
        <is>
          <t>The key says whether a row already exists.</t>
        </is>
      </c>
      <c r="AX15" s="19" t="inlineStr">
        <is>
          <t>PostgreSQL's upsert clause is ON ____ → CONFLICT</t>
        </is>
      </c>
      <c r="AY15" s="18" t="inlineStr">
        <is>
          <t>Insert a customer and skip it if the id exists.</t>
        </is>
      </c>
      <c r="AZ15" s="19" t="inlineStr">
        <is>
          <t>INSERT INTO dim_customers (customer_id, name) VALUES (1, 'Asha') ON CONFLICT (customer_id) DO NOTHING;</t>
        </is>
      </c>
      <c r="BA15" s="18" t="inlineStr">
        <is>
          <t>Write an upsert that only updates when the incoming row is newer.</t>
        </is>
      </c>
      <c r="BB15" s="19" t="inlineStr">
        <is>
          <t>Why add a WHERE on updated_at to the upsert?</t>
        </is>
      </c>
      <c r="BC15" s="19" t="inlineStr">
        <is>
          <t>To stop older late rows overwriting newer data.</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148.5" customHeight="1">
      <c r="A16" s="17" t="inlineStr">
        <is>
          <t>ETL-022</t>
        </is>
      </c>
      <c r="B16" s="17" t="inlineStr">
        <is>
          <t>04 Load</t>
        </is>
      </c>
      <c r="C16" s="17" t="inlineStr">
        <is>
          <t>Intermediate</t>
        </is>
      </c>
      <c r="D16" s="17" t="n">
        <v>22</v>
      </c>
      <c r="E16" s="17" t="inlineStr">
        <is>
          <t>Claude knowledge</t>
        </is>
      </c>
      <c r="F16" s="18" t="inlineStr">
        <is>
          <t>Partitions</t>
        </is>
      </c>
      <c r="G16" s="18" t="inlineStr">
        <is>
          <t>How do you split large tables into parts so loads and queries touch less data?</t>
        </is>
      </c>
      <c r="H16" s="17" t="n"/>
      <c r="I16" s="18" t="inlineStr">
        <is>
          <t>Load method</t>
        </is>
      </c>
      <c r="J16" s="18" t="inlineStr">
        <is>
          <t>High</t>
        </is>
      </c>
      <c r="K16" s="18" t="n">
        <v>4</v>
      </c>
      <c r="L16" s="18" t="inlineStr">
        <is>
          <t>Scanning whole tables is slow and costly, so large tables are divided by a column, usually date, so queries read only the parts they need.</t>
        </is>
      </c>
      <c r="M16" s="18" t="inlineStr">
        <is>
          <t>Partition on the column most queries filter by, usually the event date.</t>
        </is>
      </c>
      <c r="N16" s="17" t="n"/>
      <c r="O16" s="18" t="inlineStr">
        <is>
          <t>Partitions are drawers in a filing cabinet labelled by month.</t>
        </is>
      </c>
      <c r="P16" s="18" t="inlineStr">
        <is>
          <t>A large table divided into several date-labelled chunks.</t>
        </is>
      </c>
      <c r="Q16" s="18" t="inlineStr">
        <is>
          <t>The thrill of a query that reads one drawer, not the whole cabinet.</t>
        </is>
      </c>
      <c r="R16" s="18" t="inlineStr">
        <is>
          <t>Partitioning divides a table into smaller physical pieces by a key such as date, so queries and loads can skip or replace whole pieces.</t>
        </is>
      </c>
      <c r="S16" s="17" t="n"/>
      <c r="T16" s="19" t="inlineStr">
        <is>
          <t>CREATE TABLE fct_events (event_id BIGINT, event_date DATE, user_id BIGINT, payload JSONB)
PARTITION BY RANGE (event_date);
CREATE TABLE fct_events_2026_10 PARTITION OF fct_events
  FOR VALUES FROM ('2026-10-01') TO ('2026-11-01');
SELECT COUNT(*) FROM fct_events WHERE event_date &gt;= '2026-10-01' AND event_date &lt; '2026-10-02';</t>
        </is>
      </c>
      <c r="U16" s="19" t="inlineStr">
        <is>
          <t>The count reads only the October partition, and old months can be dropped cheaply.</t>
        </is>
      </c>
      <c r="V16" s="18" t="inlineStr">
        <is>
          <t>Partition pruning skips pieces that cannot match the filter. A load can replace one partition completely, which is a clean and idempotent way to rerun a day. Too many tiny partitions hurt performance. Warehouses use similar ideas with partition or cluster keys. Choose a key that matches the common filter.</t>
        </is>
      </c>
      <c r="W16" s="18" t="inlineStr">
        <is>
          <t>Partition by date, filter by date, and replace whole partitions on reruns.</t>
        </is>
      </c>
      <c r="X16" s="18" t="inlineStr">
        <is>
          <t>Partitions are drawers in a filing cabinet labelled by month.</t>
        </is>
      </c>
      <c r="Y16" s="19" t="inlineStr">
        <is>
          <t>PARTITION BY RANGE (column)</t>
        </is>
      </c>
      <c r="Z16" s="18" t="inlineStr">
        <is>
          <t>partition key = date | pruning = skipped drawers | partition = one piece</t>
        </is>
      </c>
      <c r="AA16" s="19" t="inlineStr">
        <is>
          <t>ALTER TABLE fct_events DETACH PARTITION fct_events_2025_01;</t>
        </is>
      </c>
      <c r="AB16" s="19" t="inlineStr">
        <is>
          <t>DELETE FROM fct_events WHERE event_date = '2026-10-01'; INSERT INTO fct_events SELECT ... ;</t>
        </is>
      </c>
      <c r="AC16" s="19" t="inlineStr">
        <is>
          <t>PARTITION BY (DATE(event_ts))   // warehouse style</t>
        </is>
      </c>
      <c r="AD16" s="19" t="inlineStr">
        <is>
          <t>CLUSTER BY customer_id   // sort data to speed up filters in some warehouses</t>
        </is>
      </c>
      <c r="AE16" s="18" t="inlineStr">
        <is>
          <t>idempotency, backfills, file formats</t>
        </is>
      </c>
      <c r="AF16" s="18" t="inlineStr">
        <is>
          <t>idempotency, backfills, Parquet, cost and performance</t>
        </is>
      </c>
      <c r="AG16" s="18" t="inlineStr">
        <is>
          <t>Clustering | indexes</t>
        </is>
      </c>
      <c r="AH16" s="17" t="n"/>
      <c r="AI16" s="18" t="inlineStr">
        <is>
          <t>Event tables | Large facts | Retention</t>
        </is>
      </c>
      <c r="AJ16" s="18" t="inlineStr">
        <is>
          <t>A: The query scans the whole table for one day. | B: Filter on the partition column so the engine skips the rest.</t>
        </is>
      </c>
      <c r="AK16" s="18" t="inlineStr">
        <is>
          <t>✗ Partitioning always makes queries faster → ✓ It helps only when queries filter on the partition key</t>
        </is>
      </c>
      <c r="AL16" s="18" t="inlineStr">
        <is>
          <t>Partition vs index: partitions split storage, an index speeds lookups.</t>
        </is>
      </c>
      <c r="AM16" s="18" t="inlineStr">
        <is>
          <t>Do not create thousands of tiny partitions.</t>
        </is>
      </c>
      <c r="AN16" s="19" t="inlineStr">
        <is>
          <t>SELECT * FROM fct_events WHERE DATE_TRUNC('month', event_date) = '2026-10-01';   -- may defeat pruning</t>
        </is>
      </c>
      <c r="AO16" s="19" t="inlineStr">
        <is>
          <t>SELECT * FROM fct_events WHERE event_date &gt;= '2026-10-01' AND event_date &lt; '2026-10-02';</t>
        </is>
      </c>
      <c r="AP16" s="18" t="inlineStr">
        <is>
          <t>Filter on the partition key to skip drawers.</t>
        </is>
      </c>
      <c r="AQ16" s="18" t="inlineStr">
        <is>
          <t>Partitioning the events table by day cut the daily report scan to a fraction.</t>
        </is>
      </c>
      <c r="AR16" s="18" t="inlineStr">
        <is>
          <t>An interviewer may ask: What is partition pruning?</t>
        </is>
      </c>
      <c r="AS16" s="18" t="inlineStr">
        <is>
          <t>It is like filing drawers labelled by month.</t>
        </is>
      </c>
      <c r="AT16" s="18" t="inlineStr">
        <is>
          <t>When does partitioning help queries?</t>
        </is>
      </c>
      <c r="AU16" s="18" t="inlineStr">
        <is>
          <t>A) When they filter on the partition key B) Never C) Always D) Only for inserts</t>
        </is>
      </c>
      <c r="AV16" s="18" t="inlineStr">
        <is>
          <t>A</t>
        </is>
      </c>
      <c r="AW16" s="18" t="inlineStr">
        <is>
          <t>Pruning needs a filter on the key.</t>
        </is>
      </c>
      <c r="AX16" s="19" t="inlineStr">
        <is>
          <t>Skipping partitions that cannot match is called partition ____ → pruning</t>
        </is>
      </c>
      <c r="AY16" s="18" t="inlineStr">
        <is>
          <t>Count events for one day using the partition column.</t>
        </is>
      </c>
      <c r="AZ16" s="19" t="inlineStr">
        <is>
          <t>SELECT COUNT(*) FROM fct_events WHERE event_date = '2026-10-01';</t>
        </is>
      </c>
      <c r="BA16" s="18" t="inlineStr">
        <is>
          <t>Describe how to rerun one day by replacing its partition.</t>
        </is>
      </c>
      <c r="BB16" s="19" t="inlineStr">
        <is>
          <t>Why replace a partition on reruns?</t>
        </is>
      </c>
      <c r="BC16" s="19" t="inlineStr">
        <is>
          <t>It makes the rerun clean and idempotent.</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108" customHeight="1">
      <c r="A17" s="17" t="inlineStr">
        <is>
          <t>ETL-026</t>
        </is>
      </c>
      <c r="B17" s="17" t="inlineStr">
        <is>
          <t>05 Reliability</t>
        </is>
      </c>
      <c r="C17" s="17" t="inlineStr">
        <is>
          <t>Intermediate</t>
        </is>
      </c>
      <c r="D17" s="17" t="n">
        <v>26</v>
      </c>
      <c r="E17" s="17" t="inlineStr">
        <is>
          <t>Claude knowledge</t>
        </is>
      </c>
      <c r="F17" s="18" t="inlineStr">
        <is>
          <t>Idempotency</t>
        </is>
      </c>
      <c r="G17" s="18" t="inlineStr">
        <is>
          <t>Which property means running a job twice gives the same result as running it once?</t>
        </is>
      </c>
      <c r="H17" s="17" t="n"/>
      <c r="I17" s="18" t="inlineStr">
        <is>
          <t>Reliability principle</t>
        </is>
      </c>
      <c r="J17" s="18" t="inlineStr">
        <is>
          <t>Very high</t>
        </is>
      </c>
      <c r="K17" s="18" t="n">
        <v>5</v>
      </c>
      <c r="L17" s="18" t="inlineStr">
        <is>
          <t>Jobs fail halfway and get retried, so safe pipelines are designed so that repeating a run never duplicates or corrupts data.</t>
        </is>
      </c>
      <c r="M17" s="18" t="inlineStr">
        <is>
          <t>Replace by key or partition instead of appending blindly.</t>
        </is>
      </c>
      <c r="N17" s="17" t="n"/>
      <c r="O17" s="18" t="inlineStr">
        <is>
          <t>An idempotent job is a light switch, where pressing on twice still leaves the light on.</t>
        </is>
      </c>
      <c r="P17" s="18" t="inlineStr">
        <is>
          <t>Two identical runs leading to the same final table.</t>
        </is>
      </c>
      <c r="Q17" s="18" t="inlineStr">
        <is>
          <t>The confidence to rerun anything at three in the morning.</t>
        </is>
      </c>
      <c r="R17" s="18" t="inlineStr">
        <is>
          <t>An idempotent job produces the same final state however many times it runs with the same input, usually by upserting or replacing a partition.</t>
        </is>
      </c>
      <c r="S17" s="17" t="n"/>
      <c r="T17" s="19" t="inlineStr">
        <is>
          <t>BEGIN;
DELETE FROM fct_sales WHERE sale_date = DATE '2026-10-01';
INSERT INTO fct_sales SELECT * FROM stg_sales WHERE sale_date = DATE '2026-10-01';
COMMIT;</t>
        </is>
      </c>
      <c r="U17" s="19" t="inlineStr">
        <is>
          <t>Rerunning the block always leaves exactly one copy of that day's sales.</t>
        </is>
      </c>
      <c r="V17" s="18" t="inlineStr">
        <is>
          <t>Appending rows on every run creates duplicates after a retry. Delete and insert for one day inside a transaction, or write to a temporary table and swap, makes the run repeatable. Upserts by key give the same effect. Runs should depend on the logical date, not the current time. Side effects such as emails need their own guard.</t>
        </is>
      </c>
      <c r="W17" s="18" t="inlineStr">
        <is>
          <t>Make each run replace its own slice of data, so a retry changes nothing.</t>
        </is>
      </c>
      <c r="X17" s="18" t="inlineStr">
        <is>
          <t>An idempotent job is a light switch, where pressing on twice still leaves the light on.</t>
        </is>
      </c>
      <c r="Y17" s="19" t="inlineStr">
        <is>
          <t>DELETE slice; INSERT slice; inside one transaction</t>
        </is>
      </c>
      <c r="Z17" s="18" t="inlineStr">
        <is>
          <t>slice = day or partition | transaction = all or nothing | logical date = the run's input date</t>
        </is>
      </c>
      <c r="AA17" s="19" t="inlineStr">
        <is>
          <t>INSERT ... ON CONFLICT (id) DO UPDATE ...</t>
        </is>
      </c>
      <c r="AB17" s="19" t="inlineStr">
        <is>
          <t>TRUNCATE staging; INSERT INTO staging SELECT ...;</t>
        </is>
      </c>
      <c r="AC17" s="19" t="inlineStr">
        <is>
          <t>ALTER TABLE x EXCHANGE PARTITION p WITH TABLE y;</t>
        </is>
      </c>
      <c r="AD17" s="19" t="inlineStr">
        <is>
          <t>CREATE OR REPLACE TABLE report AS SELECT ...;   // rebuild the whole table</t>
        </is>
      </c>
      <c r="AE17" s="18" t="inlineStr">
        <is>
          <t>upserts, partitions, retries, backfills</t>
        </is>
      </c>
      <c r="AF17" s="18" t="inlineStr">
        <is>
          <t>upserts, retries, backfills, partitions</t>
        </is>
      </c>
      <c r="AG17" s="18" t="inlineStr">
        <is>
          <t>Upserts | exactly-once streaming</t>
        </is>
      </c>
      <c r="AH17" s="17" t="n"/>
      <c r="AI17" s="18" t="inlineStr">
        <is>
          <t>Every pipeline | Reruns | Backfills</t>
        </is>
      </c>
      <c r="AJ17" s="18" t="inlineStr">
        <is>
          <t>A: The retry doubled yesterday's data. | B: The load appended, so make it replace that day instead.</t>
        </is>
      </c>
      <c r="AK17" s="18" t="inlineStr">
        <is>
          <t>✗ Retrying a failed job is always safe → ✓ It is safe only if the job is idempotent</t>
        </is>
      </c>
      <c r="AL17" s="18" t="inlineStr">
        <is>
          <t>Idempotent vs atomic: idempotent means repeat-safe, atomic means all or nothing.</t>
        </is>
      </c>
      <c r="AM17" s="18" t="inlineStr">
        <is>
          <t>Do not append blindly in a job that may be retried.</t>
        </is>
      </c>
      <c r="AN17" s="19" t="inlineStr">
        <is>
          <t>INSERT INTO fct_sales SELECT * FROM stg_sales;</t>
        </is>
      </c>
      <c r="AO17" s="19" t="inlineStr">
        <is>
          <t>DELETE FROM fct_sales WHERE sale_date = :d; INSERT INTO fct_sales SELECT * FROM stg_sales WHERE sale_date = :d;</t>
        </is>
      </c>
      <c r="AP17" s="18" t="inlineStr">
        <is>
          <t>Replace the slice, never just append.</t>
        </is>
      </c>
      <c r="AQ17" s="18" t="inlineStr">
        <is>
          <t>Making loads idempotent let the team rerun failed nights without cleanup scripts.</t>
        </is>
      </c>
      <c r="AR17" s="18" t="inlineStr">
        <is>
          <t>An interviewer may ask: What does idempotent mean for a pipeline?</t>
        </is>
      </c>
      <c r="AS17" s="18" t="inlineStr">
        <is>
          <t>It is like pressing a light switch twice.</t>
        </is>
      </c>
      <c r="AT17" s="18" t="inlineStr">
        <is>
          <t>What makes a retry safe?</t>
        </is>
      </c>
      <c r="AU17" s="18" t="inlineStr">
        <is>
          <t>A) A bigger server B) A new schedule C) A longer name D) An idempotent job</t>
        </is>
      </c>
      <c r="AV17" s="18" t="inlineStr">
        <is>
          <t>D</t>
        </is>
      </c>
      <c r="AW17" s="18" t="inlineStr">
        <is>
          <t>Repeating gives the same final state.</t>
        </is>
      </c>
      <c r="AX17" s="19" t="inlineStr">
        <is>
          <t>Running a job again gives the same result when it is ____ → idempotent</t>
        </is>
      </c>
      <c r="AY17" s="18" t="inlineStr">
        <is>
          <t>Reload one day of sales without creating duplicates.</t>
        </is>
      </c>
      <c r="AZ17" s="19" t="inlineStr">
        <is>
          <t>DELETE FROM fct_sales WHERE sale_date = '2026-10-01'; INSERT INTO fct_sales SELECT * FROM stg_sales WHERE sale_date = '2026-10-01';</t>
        </is>
      </c>
      <c r="BA17" s="18" t="inlineStr">
        <is>
          <t>Rewrite an append-only daily load so reruns stay idempotent.</t>
        </is>
      </c>
      <c r="BB17" s="19" t="inlineStr">
        <is>
          <t>Why should a run depend on its logical date, not now?</t>
        </is>
      </c>
      <c r="BC17" s="19" t="inlineStr">
        <is>
          <t>So a rerun processes the same input as the original.</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148.5" customHeight="1">
      <c r="A18" s="17" t="inlineStr">
        <is>
          <t>ETL-027</t>
        </is>
      </c>
      <c r="B18" s="17" t="inlineStr">
        <is>
          <t>05 Reliability</t>
        </is>
      </c>
      <c r="C18" s="17" t="inlineStr">
        <is>
          <t>Intermediate</t>
        </is>
      </c>
      <c r="D18" s="17" t="n">
        <v>27</v>
      </c>
      <c r="E18" s="17" t="inlineStr">
        <is>
          <t>Claude knowledge</t>
        </is>
      </c>
      <c r="F18" s="18" t="inlineStr">
        <is>
          <t>Retries</t>
        </is>
      </c>
      <c r="G18" s="18" t="inlineStr">
        <is>
          <t>How should a pipeline respond to temporary failures such as network blips?</t>
        </is>
      </c>
      <c r="H18" s="17" t="n"/>
      <c r="I18" s="18" t="inlineStr">
        <is>
          <t>Reliability principle</t>
        </is>
      </c>
      <c r="J18" s="18" t="inlineStr">
        <is>
          <t>Very high</t>
        </is>
      </c>
      <c r="K18" s="18" t="n">
        <v>5</v>
      </c>
      <c r="L18" s="18" t="inlineStr">
        <is>
          <t>Many failures are short lived, so automatic retries with delays recover from them without waking anyone.</t>
        </is>
      </c>
      <c r="M18" s="18" t="inlineStr">
        <is>
          <t>Retry only temporary errors, and cap the number of tries.</t>
        </is>
      </c>
      <c r="N18" s="17" t="n"/>
      <c r="O18" s="18" t="inlineStr">
        <is>
          <t>A retry is knocking again after a pause, but not forever.</t>
        </is>
      </c>
      <c r="P18" s="18" t="inlineStr">
        <is>
          <t>Attempts spaced with growing gaps ending in success or failure.</t>
        </is>
      </c>
      <c r="Q18" s="18" t="inlineStr">
        <is>
          <t>The relief of jobs fixing themselves.</t>
        </is>
      </c>
      <c r="R18" s="18" t="inlineStr">
        <is>
          <t>A retry repeats a failed operation after a delay, usually with exponential backoff and a maximum count, and only for errors that may succeed later.</t>
        </is>
      </c>
      <c r="S18" s="17" t="n"/>
      <c r="T18" s="19" t="inlineStr">
        <is>
          <t>import time, random
def retry(fn, tries=4, base=1):
    for i in range(tries):
        try:
            return fn()
        except (ConnectionError, TimeoutError) as e:
            if i == tries - 1:
                raise
            time.sleep(base * 2 ** i + random.random())</t>
        </is>
      </c>
      <c r="U18" s="19" t="inlineStr">
        <is>
          <t>The call is repeated up to four times with growing delays, and the final error is raised if all fail.</t>
        </is>
      </c>
      <c r="V18" s="18" t="inlineStr">
        <is>
          <t>Transient errors include timeouts, connection resets and 503 responses. Permanent errors such as bad credentials or invalid data will fail again, so retrying them wastes time. Jitter prevents many jobs retrying at the same moment. Retries need idempotent operations. Orchestrators offer retries and delays as settings per task.</t>
        </is>
      </c>
      <c r="W18" s="18" t="inlineStr">
        <is>
          <t>Retry temporary errors with growing delays and a cap, and fail fast on permanent ones.</t>
        </is>
      </c>
      <c r="X18" s="18" t="inlineStr">
        <is>
          <t>A retry is knocking again after a pause, but not forever.</t>
        </is>
      </c>
      <c r="Y18" s="19" t="inlineStr">
        <is>
          <t>for attempt in range(n): try ... except Transient: sleep(backoff)</t>
        </is>
      </c>
      <c r="Z18" s="18" t="inlineStr">
        <is>
          <t>tries = cap | backoff = growing wait | jitter = random spread | raise = final failure</t>
        </is>
      </c>
      <c r="AA18" s="19" t="inlineStr">
        <is>
          <t>retries=3, retry_delay=timedelta(minutes=5)</t>
        </is>
      </c>
      <c r="AB18" s="19" t="inlineStr">
        <is>
          <t>except requests.HTTPError as e: if e.response.status_code &lt; 500: raise</t>
        </is>
      </c>
      <c r="AC18" s="19" t="inlineStr">
        <is>
          <t>time.sleep(min(60, 2 ** attempt))</t>
        </is>
      </c>
      <c r="AD18" s="19" t="inlineStr">
        <is>
          <t>@retry(stop=stop_after_attempt(5), wait=wait_exponential())   // a library decorator</t>
        </is>
      </c>
      <c r="AE18" s="18" t="inlineStr">
        <is>
          <t>idempotency, orchestration, alerts</t>
        </is>
      </c>
      <c r="AF18" s="18" t="inlineStr">
        <is>
          <t>idempotency, pagination and rate limits, error handling, alerts</t>
        </is>
      </c>
      <c r="AG18" s="18" t="inlineStr">
        <is>
          <t>Orchestrator retry settings | circuit breakers</t>
        </is>
      </c>
      <c r="AH18" s="17" t="n"/>
      <c r="AI18" s="18" t="inlineStr">
        <is>
          <t>API calls | Database connections | Orchestrators</t>
        </is>
      </c>
      <c r="AJ18" s="18" t="inlineStr">
        <is>
          <t>A: Should we retry the bad password error? | B: No, it is permanent, so fail and alert.</t>
        </is>
      </c>
      <c r="AK18" s="18" t="inlineStr">
        <is>
          <t>✗ Retrying forever eventually fixes everything → ✓ Permanent errors never succeed, so retries must be limited and selective</t>
        </is>
      </c>
      <c r="AL18" s="18" t="inlineStr">
        <is>
          <t>Transient vs permanent error: one may pass later, the other never will.</t>
        </is>
      </c>
      <c r="AM18" s="18" t="inlineStr">
        <is>
          <t>Do not retry without a maximum count.</t>
        </is>
      </c>
      <c r="AN18" s="19" t="inlineStr">
        <is>
          <t>while True:
    try:
        run()
    except Exception:
        pass</t>
        </is>
      </c>
      <c r="AO18" s="19" t="inlineStr">
        <is>
          <t># inside a function
for i in range(4):
    try:
        return run()
    except TimeoutError:
        time.sleep(2 ** i)</t>
        </is>
      </c>
      <c r="AP18" s="18" t="inlineStr">
        <is>
          <t>Retry the temporary, never the permanent.</t>
        </is>
      </c>
      <c r="AQ18" s="18" t="inlineStr">
        <is>
          <t>Limiting retries to timeouts stopped a bad-credential job from hammering a source.</t>
        </is>
      </c>
      <c r="AR18" s="18" t="inlineStr">
        <is>
          <t>An interviewer may ask: Which errors should you retry?</t>
        </is>
      </c>
      <c r="AS18" s="18" t="inlineStr">
        <is>
          <t>It is like knocking again after a pause.</t>
        </is>
      </c>
      <c r="AT18" s="18" t="inlineStr">
        <is>
          <t>Which error is worth retrying?</t>
        </is>
      </c>
      <c r="AU18" s="18" t="inlineStr">
        <is>
          <t>A) A connection timeout B) A wrong password C) A missing table D) A malformed query</t>
        </is>
      </c>
      <c r="AV18" s="18" t="inlineStr">
        <is>
          <t>A</t>
        </is>
      </c>
      <c r="AW18" s="18" t="inlineStr">
        <is>
          <t>Timeouts are often temporary.</t>
        </is>
      </c>
      <c r="AX18" s="19" t="inlineStr">
        <is>
          <t>Random extra delay that spreads retries is ____ → jitter</t>
        </is>
      </c>
      <c r="AY18" s="18" t="inlineStr">
        <is>
          <t>Retry a function up to three times with a growing pause.</t>
        </is>
      </c>
      <c r="AZ18" s="19" t="inlineStr">
        <is>
          <t># inside a function
for i in range(3):
    try:
        return fn()
    except TimeoutError:
        time.sleep(2 ** i)</t>
        </is>
      </c>
      <c r="BA18" s="18" t="inlineStr">
        <is>
          <t>List three temporary and three permanent errors for a data pipeline.</t>
        </is>
      </c>
      <c r="BB18" s="19" t="inlineStr">
        <is>
          <t>Why does a retry need an idempotent job?</t>
        </is>
      </c>
      <c r="BC18" s="19" t="inlineStr">
        <is>
          <t>A repeated run must not duplicate data.</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135" customHeight="1">
      <c r="A19" s="17" t="inlineStr">
        <is>
          <t>ETL-028</t>
        </is>
      </c>
      <c r="B19" s="17" t="inlineStr">
        <is>
          <t>05 Reliability</t>
        </is>
      </c>
      <c r="C19" s="17" t="inlineStr">
        <is>
          <t>Beginner</t>
        </is>
      </c>
      <c r="D19" s="17" t="n">
        <v>28</v>
      </c>
      <c r="E19" s="17" t="inlineStr">
        <is>
          <t>Claude knowledge</t>
        </is>
      </c>
      <c r="F19" s="18" t="inlineStr">
        <is>
          <t>Logging in pipelines</t>
        </is>
      </c>
      <c r="G19" s="18" t="inlineStr">
        <is>
          <t>What should a pipeline record so you can understand a failure later?</t>
        </is>
      </c>
      <c r="H19" s="17" t="n"/>
      <c r="I19" s="18" t="inlineStr">
        <is>
          <t>Reliability principle</t>
        </is>
      </c>
      <c r="J19" s="18" t="inlineStr">
        <is>
          <t>Very high</t>
        </is>
      </c>
      <c r="K19" s="18" t="n">
        <v>5</v>
      </c>
      <c r="L19" s="18" t="inlineStr">
        <is>
          <t>Jobs run unattended, so logs are the only witness when something goes wrong at night.</t>
        </is>
      </c>
      <c r="M19" s="18" t="inlineStr">
        <is>
          <t>Log counts and ids, never secrets or full personal data.</t>
        </is>
      </c>
      <c r="N19" s="17" t="n"/>
      <c r="O19" s="18" t="inlineStr">
        <is>
          <t>Logs are the flight recorder of a pipeline.</t>
        </is>
      </c>
      <c r="P19" s="18" t="inlineStr">
        <is>
          <t>Timestamped lines showing start, row counts and finish.</t>
        </is>
      </c>
      <c r="Q19" s="18" t="inlineStr">
        <is>
          <t>The comfort of a clear trail when something breaks.</t>
        </is>
      </c>
      <c r="R19" s="18" t="inlineStr">
        <is>
          <t>Pipeline logging records structured events such as start, end, row counts, parameters and errors, with a run id, and avoids sensitive data.</t>
        </is>
      </c>
      <c r="S19" s="17" t="n"/>
      <c r="T19" s="19" t="inlineStr">
        <is>
          <t>import logging, json
log = logging.getLogger("orders_load")
def load(run_id, rows):
    log.info(json.dumps({"event": "load_start", "run_id": run_id, "rows_in": len(rows)}))
    ...
    log.info(json.dumps({"event": "load_done", "run_id": run_id, "rows_out": 981, "rejected": 19}))</t>
        </is>
      </c>
      <c r="U19" s="19" t="inlineStr">
        <is>
          <t>Two structured log lines with the run id and row counts that can be searched.</t>
        </is>
      </c>
      <c r="V19" s="18" t="inlineStr">
        <is>
          <t>Row counts at each stage show where data disappears. A run id lets you follow one execution across jobs. Log levels separate normal events from warnings and errors. Structured logs, as JSON, are easy to search and alert on. Keep errors detailed with the failing key and the next step. Never write passwords, tokens or full personal records.</t>
        </is>
      </c>
      <c r="W19" s="18" t="inlineStr">
        <is>
          <t>Log start, end, counts, parameters and errors with a run id, and keep secrets out.</t>
        </is>
      </c>
      <c r="X19" s="18" t="inlineStr">
        <is>
          <t>Logs are the flight recorder of a pipeline.</t>
        </is>
      </c>
      <c r="Y19" s="19" t="inlineStr">
        <is>
          <t>log.info("event", extra={...})</t>
        </is>
      </c>
      <c r="Z19" s="18" t="inlineStr">
        <is>
          <t>run_id = one execution | rows_in and rows_out = counts | level = severity</t>
        </is>
      </c>
      <c r="AA19" s="19" t="inlineStr">
        <is>
          <t>log.warning("rejected rows: %s", n)</t>
        </is>
      </c>
      <c r="AB19" s="19" t="inlineStr">
        <is>
          <t>log.error("load failed for %s", partition, exc_info=True)</t>
        </is>
      </c>
      <c r="AC19" s="19" t="inlineStr">
        <is>
          <t>logging.basicConfig(level="INFO")</t>
        </is>
      </c>
      <c r="AD19" s="19" t="inlineStr">
        <is>
          <t>structlog   // a library for structured logging</t>
        </is>
      </c>
      <c r="AE19" s="18" t="inlineStr">
        <is>
          <t>alerts, data quality checks, orchestration</t>
        </is>
      </c>
      <c r="AF19" s="18" t="inlineStr">
        <is>
          <t>alerts, data quality checks, error handling, lineage</t>
        </is>
      </c>
      <c r="AG19" s="18" t="inlineStr">
        <is>
          <t>Orchestrator task logs | observability tools</t>
        </is>
      </c>
      <c r="AH19" s="17" t="n"/>
      <c r="AI19" s="18" t="inlineStr">
        <is>
          <t>Every pipeline | Incident response | Audits</t>
        </is>
      </c>
      <c r="AJ19" s="18" t="inlineStr">
        <is>
          <t>A: How many rows did last night's load reject? | B: Check the load_done line, which shows rows_out and rejected.</t>
        </is>
      </c>
      <c r="AK19" s="18" t="inlineStr">
        <is>
          <t>✗ More logging is always better → ✓ Noisy or sensitive logs hide the useful lines and create risk</t>
        </is>
      </c>
      <c r="AL19" s="18" t="inlineStr">
        <is>
          <t>Log vs metric: a log is a detailed event, a metric is a number over time.</t>
        </is>
      </c>
      <c r="AM19" s="18" t="inlineStr">
        <is>
          <t>Do not log secrets or personal data.</t>
        </is>
      </c>
      <c r="AN19" s="19" t="inlineStr">
        <is>
          <t>print(f"password={pwd}")</t>
        </is>
      </c>
      <c r="AO19" s="19" t="inlineStr">
        <is>
          <t>log.info("connected to %s", host)</t>
        </is>
      </c>
      <c r="AP19" s="18" t="inlineStr">
        <is>
          <t>Count rows at every stage.</t>
        </is>
      </c>
      <c r="AQ19" s="18" t="inlineStr">
        <is>
          <t>Adding row counts to logs exposed where a join was dropping a fifth of the data.</t>
        </is>
      </c>
      <c r="AR19" s="18" t="inlineStr">
        <is>
          <t>An interviewer may ask: What do you log in a data pipeline?</t>
        </is>
      </c>
      <c r="AS19" s="18" t="inlineStr">
        <is>
          <t>It is like a flight recorder.</t>
        </is>
      </c>
      <c r="AT19" s="18" t="inlineStr">
        <is>
          <t>What helps follow one execution across jobs?</t>
        </is>
      </c>
      <c r="AU19" s="18" t="inlineStr">
        <is>
          <t>A) A bigger disk B) A run id C) A password D) A colour</t>
        </is>
      </c>
      <c r="AV19" s="18" t="inlineStr">
        <is>
          <t>B</t>
        </is>
      </c>
      <c r="AW19" s="18" t="inlineStr">
        <is>
          <t>The same id ties related lines together.</t>
        </is>
      </c>
      <c r="AX19" s="19" t="inlineStr">
        <is>
          <t>Logs written as JSON are called ____ logs → structured</t>
        </is>
      </c>
      <c r="AY19" s="18" t="inlineStr">
        <is>
          <t>Write a log line that records how many rows were loaded.</t>
        </is>
      </c>
      <c r="AZ19" s="19" t="inlineStr">
        <is>
          <t>log.info("rows loaded: %s", n)</t>
        </is>
      </c>
      <c r="BA19" s="18" t="inlineStr">
        <is>
          <t>List five fields every pipeline log line should have.</t>
        </is>
      </c>
      <c r="BB19" s="19" t="inlineStr">
        <is>
          <t>Why log row counts at every stage?</t>
        </is>
      </c>
      <c r="BC19" s="19" t="inlineStr">
        <is>
          <t>To see where data disappears.</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148.5" customHeight="1">
      <c r="A20" s="17" t="inlineStr">
        <is>
          <t>ETL-030</t>
        </is>
      </c>
      <c r="B20" s="17" t="inlineStr">
        <is>
          <t>05 Reliability</t>
        </is>
      </c>
      <c r="C20" s="17" t="inlineStr">
        <is>
          <t>Intermediate</t>
        </is>
      </c>
      <c r="D20" s="17" t="n">
        <v>30</v>
      </c>
      <c r="E20" s="17" t="inlineStr">
        <is>
          <t>Claude knowledge</t>
        </is>
      </c>
      <c r="F20" s="18" t="inlineStr">
        <is>
          <t>Data quality checks</t>
        </is>
      </c>
      <c r="G20" s="18" t="inlineStr">
        <is>
          <t>Which automatic tests find missing, duplicate or impossible data before users do?</t>
        </is>
      </c>
      <c r="H20" s="17" t="n"/>
      <c r="I20" s="18" t="inlineStr">
        <is>
          <t>Reliability principle</t>
        </is>
      </c>
      <c r="J20" s="18" t="inlineStr">
        <is>
          <t>Very high</t>
        </is>
      </c>
      <c r="K20" s="18" t="n">
        <v>5</v>
      </c>
      <c r="L20" s="18" t="inlineStr">
        <is>
          <t>Pipelines can run successfully and still produce wrong data, so explicit checks test the data itself.</t>
        </is>
      </c>
      <c r="M20" s="18" t="inlineStr">
        <is>
          <t>Check freshness, volume, uniqueness, nulls and valid values on every run.</t>
        </is>
      </c>
      <c r="N20" s="17" t="n"/>
      <c r="O20" s="18" t="inlineStr">
        <is>
          <t>Quality checks are inspectors at the end of the conveyor belt.</t>
        </is>
      </c>
      <c r="P20" s="18" t="inlineStr">
        <is>
          <t>A list of checks with green and red results.</t>
        </is>
      </c>
      <c r="Q20" s="18" t="inlineStr">
        <is>
          <t>The trust that the numbers are right.</t>
        </is>
      </c>
      <c r="R20" s="18" t="inlineStr">
        <is>
          <t>Data quality checks are queries or tests that verify expectations such as no duplicate keys, no nulls in required columns, valid ranges and expected row counts, and they fail or alert when broken.</t>
        </is>
      </c>
      <c r="S20" s="17" t="n"/>
      <c r="T20" s="19" t="inlineStr">
        <is>
          <t>SELECT 'dup_keys' AS check, COUNT(*) AS bad FROM (SELECT order_id FROM fct_orders GROUP BY 1 HAVING COUNT(*) &gt; 1) d
UNION ALL SELECT 'null_customer', COUNT(*) FROM fct_orders WHERE customer_id IS NULL
UNION ALL SELECT 'negative_total', COUNT(*) FROM fct_orders WHERE total &lt; 0
UNION ALL SELECT 'stale', CASE WHEN MAX(loaded_at) &lt; NOW() - INTERVAL '26 hours' THEN 1 ELSE 0 END FROM fct_orders;</t>
        </is>
      </c>
      <c r="U20" s="19" t="inlineStr">
        <is>
          <t>Each check returns a count of bad rows, and any value above zero should stop or alert the pipeline.</t>
        </is>
      </c>
      <c r="V20" s="18" t="inlineStr">
        <is>
          <t>Typical checks are uniqueness, not null, accepted values, relationships between tables, freshness and volume changes compared with the past. Decide which failures block the load and which only warn. Store check results to see trends. Tools such as dbt tests and Great Expectations run these checks. Alerts must say what failed and what to do next.</t>
        </is>
      </c>
      <c r="W20" s="18" t="inlineStr">
        <is>
          <t>Write queries for expectations, run them every time, and block or alert on failures.</t>
        </is>
      </c>
      <c r="X20" s="18" t="inlineStr">
        <is>
          <t>Quality checks are inspectors at the end of the conveyor belt.</t>
        </is>
      </c>
      <c r="Y20" s="19" t="inlineStr">
        <is>
          <t>SELECT COUNT(*) FROM table WHERE rule_is_broken</t>
        </is>
      </c>
      <c r="Z20" s="18" t="inlineStr">
        <is>
          <t>uniqueness = no duplicates | not null = required | freshness = recent | volume = expected count</t>
        </is>
      </c>
      <c r="AA20" s="19" t="inlineStr">
        <is>
          <t>SELECT COUNT(*) FROM fct_orders o LEFT JOIN dim_customers c USING (customer_id) WHERE c.customer_id IS NULL;</t>
        </is>
      </c>
      <c r="AB20" s="19" t="inlineStr">
        <is>
          <t>SELECT COUNT(*) FROM fct_orders WHERE status NOT IN ('paid','refunded','open');</t>
        </is>
      </c>
      <c r="AC20" s="19" t="inlineStr">
        <is>
          <t>SELECT COUNT(*) FROM fct_orders WHERE loaded_at::date = CURRENT_DATE;</t>
        </is>
      </c>
      <c r="AD20" s="19" t="inlineStr">
        <is>
          <t>expect_column_values_to_not_be_null("customer_id")   // Great Expectations style</t>
        </is>
      </c>
      <c r="AE20" s="18" t="inlineStr">
        <is>
          <t>dbt tests, alerts, orchestrators</t>
        </is>
      </c>
      <c r="AF20" s="18" t="inlineStr">
        <is>
          <t>dbt basics, alerts, lineage, data contracts</t>
        </is>
      </c>
      <c r="AG20" s="18" t="inlineStr">
        <is>
          <t>dbt tests | Great Expectations | Soda</t>
        </is>
      </c>
      <c r="AH20" s="17" t="n"/>
      <c r="AI20" s="18" t="inlineStr">
        <is>
          <t>Every pipeline | Finance data | Dashboards</t>
        </is>
      </c>
      <c r="AJ20" s="18" t="inlineStr">
        <is>
          <t>A: The dashboard shows half the usual orders. | B: A volume check should have caught the load before it published.</t>
        </is>
      </c>
      <c r="AK20" s="18" t="inlineStr">
        <is>
          <t>✗ A job that finishes without errors has correct data → ✓ Only explicit checks prove that the data is right</t>
        </is>
      </c>
      <c r="AL20" s="18" t="inlineStr">
        <is>
          <t>Failing vs warning check: a failing check blocks the load, a warning only notifies.</t>
        </is>
      </c>
      <c r="AM20" s="18" t="inlineStr">
        <is>
          <t>Do not publish data that failed a critical check.</t>
        </is>
      </c>
      <c r="AN20" s="19" t="inlineStr">
        <is>
          <t>-- no checks, trust the run status</t>
        </is>
      </c>
      <c r="AO20" s="19" t="inlineStr">
        <is>
          <t>SELECT COUNT(*) FROM fct_orders WHERE customer_id IS NULL;   -- expect zero</t>
        </is>
      </c>
      <c r="AP20" s="18" t="inlineStr">
        <is>
          <t>A green job is not proof of good data.</t>
        </is>
      </c>
      <c r="AQ20" s="18" t="inlineStr">
        <is>
          <t>Adding freshness and volume checks caught a silent source outage before the morning report.</t>
        </is>
      </c>
      <c r="AR20" s="18" t="inlineStr">
        <is>
          <t>An interviewer may ask: What data quality checks do you run?</t>
        </is>
      </c>
      <c r="AS20" s="18" t="inlineStr">
        <is>
          <t>It is like inspectors at the end of the belt.</t>
        </is>
      </c>
      <c r="AT20" s="18" t="inlineStr">
        <is>
          <t>Which check finds a source that stopped sending data?</t>
        </is>
      </c>
      <c r="AU20" s="18" t="inlineStr">
        <is>
          <t>A) A uniqueness check B) A freshness check C) A style check D) A type check</t>
        </is>
      </c>
      <c r="AV20" s="18" t="inlineStr">
        <is>
          <t>B</t>
        </is>
      </c>
      <c r="AW20" s="18" t="inlineStr">
        <is>
          <t>Freshness compares the latest load time with the expected one.</t>
        </is>
      </c>
      <c r="AX20" s="19" t="inlineStr">
        <is>
          <t>A test that data is recent enough is a ____ check → freshness</t>
        </is>
      </c>
      <c r="AY20" s="18" t="inlineStr">
        <is>
          <t>Count orders with no customer id.</t>
        </is>
      </c>
      <c r="AZ20" s="19" t="inlineStr">
        <is>
          <t>SELECT COUNT(*) FROM fct_orders WHERE customer_id IS NULL;</t>
        </is>
      </c>
      <c r="BA20" s="18" t="inlineStr">
        <is>
          <t>Write four checks for an orders table.</t>
        </is>
      </c>
      <c r="BB20" s="19" t="inlineStr">
        <is>
          <t>Does a successful job prove the data is correct?</t>
        </is>
      </c>
      <c r="BC20" s="19" t="inlineStr">
        <is>
          <t>No, only checks on the data can show that.</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row r="21" ht="135" customHeight="1">
      <c r="A21" s="17" t="inlineStr">
        <is>
          <t>ETL-033</t>
        </is>
      </c>
      <c r="B21" s="17" t="inlineStr">
        <is>
          <t>05 Reliability</t>
        </is>
      </c>
      <c r="C21" s="17" t="inlineStr">
        <is>
          <t>Intermediate</t>
        </is>
      </c>
      <c r="D21" s="17" t="n">
        <v>33</v>
      </c>
      <c r="E21" s="17" t="inlineStr">
        <is>
          <t>Claude knowledge</t>
        </is>
      </c>
      <c r="F21" s="18" t="inlineStr">
        <is>
          <t>Testing pipelines</t>
        </is>
      </c>
      <c r="G21" s="18" t="inlineStr">
        <is>
          <t>How do you test transformations and pipelines before they run on real data?</t>
        </is>
      </c>
      <c r="H21" s="17" t="n"/>
      <c r="I21" s="18" t="inlineStr">
        <is>
          <t>Reliability principle</t>
        </is>
      </c>
      <c r="J21" s="18" t="inlineStr">
        <is>
          <t>High</t>
        </is>
      </c>
      <c r="K21" s="18" t="n">
        <v>4</v>
      </c>
      <c r="L21" s="18" t="inlineStr">
        <is>
          <t>Pipeline bugs are costly because they spread wrong data, so transformations are tested with small known inputs before deployment.</t>
        </is>
      </c>
      <c r="M21" s="18" t="inlineStr">
        <is>
          <t>Test business rules with tiny fixtures that contain tricky cases.</t>
        </is>
      </c>
      <c r="N21" s="17" t="n"/>
      <c r="O21" s="18" t="inlineStr">
        <is>
          <t>Testing a pipeline is rehearsing the recipe with a small pot before cooking for the whole village.</t>
        </is>
      </c>
      <c r="P21" s="18" t="inlineStr">
        <is>
          <t>A small input table and an expected output table compared by a test.</t>
        </is>
      </c>
      <c r="Q21" s="18" t="inlineStr">
        <is>
          <t>The confidence of shipping a tested change.</t>
        </is>
      </c>
      <c r="R21" s="18" t="inlineStr">
        <is>
          <t>Pipeline testing covers unit tests of transformation functions, data tests on outputs, and an end-to-end run on a small sample in a safe environment.</t>
        </is>
      </c>
      <c r="S21" s="17" t="n"/>
      <c r="T21" s="19" t="inlineStr">
        <is>
          <t>import pandas as pd
def dedupe_latest(df):
    return df.sort_values("updated_at").drop_duplicates("id", keep="last")
def test_dedupe_latest():
    df = pd.DataFrame({"id": [1, 1, 2], "updated_at": [1, 2, 1], "v": ["a", "b", "c"]})
    out = dedupe_latest(df).sort_values("id")
    assert out["v"].tolist() == ["b", "c"]</t>
        </is>
      </c>
      <c r="U21" s="19" t="inlineStr">
        <is>
          <t>The test passes when the newest row for each id is kept.</t>
        </is>
      </c>
      <c r="V21" s="18" t="inlineStr">
        <is>
          <t>Keep transformation logic in small functions that take and return data, so they are easy to test. Include edge cases such as nulls, duplicates and boundary dates. Run data tests such as uniqueness after each load. Use a staging copy or a sample for end-to-end checks. Run tests in CI on every change.</t>
        </is>
      </c>
      <c r="W21" s="18" t="inlineStr">
        <is>
          <t>Test small functions with tricky samples, test the outputs, and run it all in CI.</t>
        </is>
      </c>
      <c r="X21" s="18" t="inlineStr">
        <is>
          <t>Testing a pipeline is rehearsing the recipe with a small pot before cooking for the whole village.</t>
        </is>
      </c>
      <c r="Y21" s="19" t="inlineStr">
        <is>
          <t>def test_name(): assert actual == expected</t>
        </is>
      </c>
      <c r="Z21" s="18" t="inlineStr">
        <is>
          <t>fixture = small input | assert = expected result | CI = run on every change</t>
        </is>
      </c>
      <c r="AA21" s="19" t="inlineStr">
        <is>
          <t>assert out.shape[0] == 2</t>
        </is>
      </c>
      <c r="AB21" s="19" t="inlineStr">
        <is>
          <t>pytest tests/</t>
        </is>
      </c>
      <c r="AC21" s="19" t="inlineStr">
        <is>
          <t>dbt test --select state:modified</t>
        </is>
      </c>
      <c r="AD21" s="19" t="inlineStr">
        <is>
          <t>pytest.mark.parametrize("input,expected", cases)   // many cases in one test</t>
        </is>
      </c>
      <c r="AE21" s="18" t="inlineStr">
        <is>
          <t>pytest, dbt tests, CI</t>
        </is>
      </c>
      <c r="AF21" s="18" t="inlineStr">
        <is>
          <t>data quality checks, dbt basics, error handling, CI</t>
        </is>
      </c>
      <c r="AG21" s="18" t="inlineStr">
        <is>
          <t>dbt unit tests | sampling in staging</t>
        </is>
      </c>
      <c r="AH21" s="17" t="n"/>
      <c r="AI21" s="18" t="inlineStr">
        <is>
          <t>Pull requests | Releases | Refactors</t>
        </is>
      </c>
      <c r="AJ21" s="18" t="inlineStr">
        <is>
          <t>A: Can we change the dedup rule safely? | B: Add a test with tricky rows first, then change it.</t>
        </is>
      </c>
      <c r="AK21" s="18" t="inlineStr">
        <is>
          <t>✗ Testing on production data only is enough → ✓ Small controlled tests find rule bugs that large data hides</t>
        </is>
      </c>
      <c r="AL21" s="18" t="inlineStr">
        <is>
          <t>Unit test vs data test: a unit test checks logic with fixtures, a data test checks real output.</t>
        </is>
      </c>
      <c r="AM21" s="18" t="inlineStr">
        <is>
          <t>Do not skip tests for transformations that handle money.</t>
        </is>
      </c>
      <c r="AN21" s="19" t="inlineStr">
        <is>
          <t>def dedupe_latest(df): ...   # no test</t>
        </is>
      </c>
      <c r="AO21" s="19" t="inlineStr">
        <is>
          <t>def test_dedupe_latest(): assert ...</t>
        </is>
      </c>
      <c r="AP21" s="18" t="inlineStr">
        <is>
          <t>Tiny tricky inputs find big bugs.</t>
        </is>
      </c>
      <c r="AQ21" s="18" t="inlineStr">
        <is>
          <t>Adding fixture tests caught a boundary date bug before it reached finance.</t>
        </is>
      </c>
      <c r="AR21" s="18" t="inlineStr">
        <is>
          <t>An interviewer may ask: How do you test a data transformation?</t>
        </is>
      </c>
      <c r="AS21" s="18" t="inlineStr">
        <is>
          <t>It is like rehearsing with a small pot.</t>
        </is>
      </c>
      <c r="AT21" s="18" t="inlineStr">
        <is>
          <t>What makes a transformation easy to test?</t>
        </is>
      </c>
      <c r="AU21" s="18" t="inlineStr">
        <is>
          <t>A) No inputs B) Hidden state C) Small functions taking and returning data D) One huge script</t>
        </is>
      </c>
      <c r="AV21" s="18" t="inlineStr">
        <is>
          <t>C</t>
        </is>
      </c>
      <c r="AW21" s="18" t="inlineStr">
        <is>
          <t>Inputs and outputs can be controlled in tests.</t>
        </is>
      </c>
      <c r="AX21" s="19" t="inlineStr">
        <is>
          <t>A small hand-made input used in a test is a ____ → fixture</t>
        </is>
      </c>
      <c r="AY21" s="18" t="inlineStr">
        <is>
          <t>Write an assertion that a result has two rows.</t>
        </is>
      </c>
      <c r="AZ21" s="19" t="inlineStr">
        <is>
          <t>assert len(out) == 2</t>
        </is>
      </c>
      <c r="BA21" s="18" t="inlineStr">
        <is>
          <t>Write a test for a function that fills missing countries with unknown.</t>
        </is>
      </c>
      <c r="BB21" s="19" t="inlineStr">
        <is>
          <t>Why test with tricky edge cases?</t>
        </is>
      </c>
      <c r="BC21" s="19" t="inlineStr">
        <is>
          <t>They expose rule bugs that normal data hides.</t>
        </is>
      </c>
      <c r="BD21" s="17">
        <f>IF(K21="","",REPT("★",K21)&amp;REPT("☆",5-K21)&amp;" ("&amp;K21&amp;"/5)")</f>
        <v/>
      </c>
      <c r="BE21" s="17">
        <f>IF(S21="","","Meaning: "&amp;S21&amp;"  =  ______   (Answer: "&amp;F21&amp;")")</f>
        <v/>
      </c>
      <c r="BF21" s="17" t="inlineStr">
        <is>
          <t>New</t>
        </is>
      </c>
      <c r="BG21" s="17" t="n"/>
      <c r="BH21" s="17" t="n"/>
      <c r="BI21" s="17" t="n"/>
      <c r="BJ21" s="17" t="n"/>
      <c r="BK21" s="17" t="n"/>
      <c r="BL21" s="17" t="n"/>
      <c r="BM21" s="17" t="n"/>
      <c r="BN21" s="17" t="n"/>
    </row>
    <row r="22" ht="175.5" customHeight="1">
      <c r="A22" s="17" t="inlineStr">
        <is>
          <t>ETL-038</t>
        </is>
      </c>
      <c r="B22" s="17" t="inlineStr">
        <is>
          <t>06 Advanced</t>
        </is>
      </c>
      <c r="C22" s="17" t="inlineStr">
        <is>
          <t>Advanced</t>
        </is>
      </c>
      <c r="D22" s="17" t="n">
        <v>38</v>
      </c>
      <c r="E22" s="17" t="inlineStr">
        <is>
          <t>Claude knowledge</t>
        </is>
      </c>
      <c r="F22" s="18" t="inlineStr">
        <is>
          <t>Slowly changing data</t>
        </is>
      </c>
      <c r="G22" s="18" t="inlineStr">
        <is>
          <t>How do you keep history when attributes such as a customer's city change over time?</t>
        </is>
      </c>
      <c r="H22" s="17" t="n"/>
      <c r="I22" s="18" t="inlineStr">
        <is>
          <t>Modelling pattern</t>
        </is>
      </c>
      <c r="J22" s="18" t="inlineStr">
        <is>
          <t>Medium</t>
        </is>
      </c>
      <c r="K22" s="18" t="n">
        <v>4</v>
      </c>
      <c r="L22" s="18" t="inlineStr">
        <is>
          <t>Reports need to know what was true at the time, so dimension tables store old versions instead of overwriting them.</t>
        </is>
      </c>
      <c r="M22" s="18" t="inlineStr">
        <is>
          <t>Use type 2 history only for attributes whose past values matter.</t>
        </is>
      </c>
      <c r="N22" s="17" t="n"/>
      <c r="O22" s="18" t="inlineStr">
        <is>
          <t>Type 2 history is keeping every old address card in the drawer with the dates it was valid.</t>
        </is>
      </c>
      <c r="P22" s="18" t="inlineStr">
        <is>
          <t>Several rows for one customer with valid-from and valid-to dates.</t>
        </is>
      </c>
      <c r="Q22" s="18" t="inlineStr">
        <is>
          <t>The satisfaction of reports that match the past.</t>
        </is>
      </c>
      <c r="R22" s="18" t="inlineStr">
        <is>
          <t>Slowly changing dimensions manage changing attributes, where type 1 overwrites the value and type 2 adds a new row with valid-from and valid-to dates.</t>
        </is>
      </c>
      <c r="S22" s="17" t="n"/>
      <c r="T22" s="19" t="inlineStr">
        <is>
          <t>-- type 2 table
-- customer_key | customer_id | city | valid_from | valid_to | is_current
UPDATE dim_customers SET valid_to = NOW(), is_current = false
WHERE customer_id = 7 AND is_current AND city &lt;&gt; 'Pune';
INSERT INTO dim_customers (customer_id, city, valid_from, valid_to, is_current)
SELECT 7, 'Pune', NOW(), '9999-12-31', true
WHERE NOT EXISTS (SELECT 1 FROM dim_customers WHERE customer_id = 7 AND is_current AND city = 'Pune');</t>
        </is>
      </c>
      <c r="U22" s="19" t="inlineStr">
        <is>
          <t>The old city row is closed, and a new current row with Pune is added.</t>
        </is>
      </c>
      <c r="V22" s="18" t="inlineStr">
        <is>
          <t>Type 1 loses history but is simple. Type 2 keeps every version, and facts join to the version valid on the event date. A surrogate key identifies each version. Tools such as dbt snapshots automate type 2. History grows, so apply it only where it matters. Type 3 keeps only the previous value in a column.</t>
        </is>
      </c>
      <c r="W22" s="18" t="inlineStr">
        <is>
          <t>Overwrite when history does not matter, and add dated versions when it does.</t>
        </is>
      </c>
      <c r="X22" s="18" t="inlineStr">
        <is>
          <t>Type 2 history is keeping every old address card with the dates it was valid.</t>
        </is>
      </c>
      <c r="Y22" s="19" t="inlineStr">
        <is>
          <t>valid_from, valid_to, is_current columns</t>
        </is>
      </c>
      <c r="Z22" s="18" t="inlineStr">
        <is>
          <t>type 1 = overwrite | type 2 = new row | surrogate key = version id | is_current = latest flag</t>
        </is>
      </c>
      <c r="AA22" s="19" t="inlineStr">
        <is>
          <t>SELECT * FROM dim_customers WHERE customer_id = 7 AND is_current;</t>
        </is>
      </c>
      <c r="AB22" s="19" t="inlineStr">
        <is>
          <t>JOIN dim_customers d ON f.customer_id = d.customer_id AND f.order_date &gt;= d.valid_from AND f.order_date &lt; d.valid_to</t>
        </is>
      </c>
      <c r="AC22" s="19" t="inlineStr">
        <is>
          <t>dbt snapshot with strategy timestamp</t>
        </is>
      </c>
      <c r="AD22" s="19" t="inlineStr">
        <is>
          <t>UPDATE dim_customers SET city = 'Pune' WHERE customer_id = 7;   // type 1 overwrite</t>
        </is>
      </c>
      <c r="AE22" s="18" t="inlineStr">
        <is>
          <t>dimensional models, dbt snapshots, upserts</t>
        </is>
      </c>
      <c r="AF22" s="18" t="inlineStr">
        <is>
          <t>upserts, dbt basics, change data capture, joins</t>
        </is>
      </c>
      <c r="AG22" s="18" t="inlineStr">
        <is>
          <t>dbt snapshots | event history tables</t>
        </is>
      </c>
      <c r="AH22" s="17" t="n"/>
      <c r="AI22" s="18" t="inlineStr">
        <is>
          <t>Dimensions | Reporting | Audits</t>
        </is>
      </c>
      <c r="AJ22" s="18" t="inlineStr">
        <is>
          <t>A: Last year's sales show the customer's new city. | B: Use type 2 history and join by the date the order happened.</t>
        </is>
      </c>
      <c r="AK22" s="18" t="inlineStr">
        <is>
          <t>✗ Overwriting is always fine for dimensions → ✓ Overwriting loses history that reports may need</t>
        </is>
      </c>
      <c r="AL22" s="18" t="inlineStr">
        <is>
          <t>Type 1 vs type 2: type 1 overwrites, type 2 adds a dated version.</t>
        </is>
      </c>
      <c r="AM22" s="18" t="inlineStr">
        <is>
          <t>Do not keep history for attributes nobody needs.</t>
        </is>
      </c>
      <c r="AN22" s="19" t="inlineStr">
        <is>
          <t>UPDATE dim_customers SET city = 'Pune' WHERE customer_id = 7;   -- history lost</t>
        </is>
      </c>
      <c r="AO22" s="19" t="inlineStr">
        <is>
          <t>UPDATE ... SET valid_to = NOW(), is_current = false ...; INSERT ... new current row;</t>
        </is>
      </c>
      <c r="AP22" s="18" t="inlineStr">
        <is>
          <t>Type 1 overwrites, type 2 stacks versions.</t>
        </is>
      </c>
      <c r="AQ22" s="18" t="inlineStr">
        <is>
          <t>Type 2 customer history made old reports match what was true at the time.</t>
        </is>
      </c>
      <c r="AR22" s="18" t="inlineStr">
        <is>
          <t>An interviewer may ask: What is a slowly changing dimension?</t>
        </is>
      </c>
      <c r="AS22" s="18" t="inlineStr">
        <is>
          <t>It is like keeping every old address card.</t>
        </is>
      </c>
      <c r="AT22" s="18" t="inlineStr">
        <is>
          <t>Which type adds a new row for each change?</t>
        </is>
      </c>
      <c r="AU22" s="18" t="inlineStr">
        <is>
          <t>A) Type 0 B) Type 1 C) Type 2 D) Type 4 only</t>
        </is>
      </c>
      <c r="AV22" s="18" t="inlineStr">
        <is>
          <t>C</t>
        </is>
      </c>
      <c r="AW22" s="18" t="inlineStr">
        <is>
          <t>Type 2 keeps dated versions.</t>
        </is>
      </c>
      <c r="AX22" s="19" t="inlineStr">
        <is>
          <t>A key that identifies one version of a dimension row is a ____ key → surrogate</t>
        </is>
      </c>
      <c r="AY22" s="18" t="inlineStr">
        <is>
          <t>Fetch the current row for a customer.</t>
        </is>
      </c>
      <c r="AZ22" s="19" t="inlineStr">
        <is>
          <t>SELECT * FROM dim_customers WHERE customer_id = 7 AND is_current;</t>
        </is>
      </c>
      <c r="BA22" s="18" t="inlineStr">
        <is>
          <t>Write the join that links an order to the customer version valid on its date.</t>
        </is>
      </c>
      <c r="BB22" s="19" t="inlineStr">
        <is>
          <t>What is lost with type 1?</t>
        </is>
      </c>
      <c r="BC22" s="19" t="inlineStr">
        <is>
          <t>The history of earlier values.</t>
        </is>
      </c>
      <c r="BD22" s="17">
        <f>IF(K22="","",REPT("★",K22)&amp;REPT("☆",5-K22)&amp;" ("&amp;K22&amp;"/5)")</f>
        <v/>
      </c>
      <c r="BE22" s="17">
        <f>IF(S22="","","Meaning: "&amp;S22&amp;"  =  ______   (Answer: "&amp;F22&amp;")")</f>
        <v/>
      </c>
      <c r="BF22" s="17" t="inlineStr">
        <is>
          <t>New</t>
        </is>
      </c>
      <c r="BG22" s="17" t="n"/>
      <c r="BH22" s="17" t="n"/>
      <c r="BI22" s="17" t="n"/>
      <c r="BJ22" s="17" t="n"/>
      <c r="BK22" s="17" t="n"/>
      <c r="BL22" s="17" t="n"/>
      <c r="BM22" s="17" t="n"/>
      <c r="BN22" s="17" t="n"/>
    </row>
  </sheetData>
  <autoFilter ref="A2:BN22"/>
  <mergeCells count="6">
    <mergeCell ref="AT1:BC1"/>
    <mergeCell ref="BD1:BE1"/>
    <mergeCell ref="F1:Q1"/>
    <mergeCell ref="A1:E1"/>
    <mergeCell ref="BF1:BN1"/>
    <mergeCell ref="R1:AS1"/>
  </mergeCells>
  <dataValidations count="2">
    <dataValidation sqref="BF3:BF22" showDropDown="0" showInputMessage="0" showErrorMessage="0" allowBlank="1" type="list">
      <formula1>"New,Learning,Known"</formula1>
    </dataValidation>
    <dataValidation sqref="BM3:BM22"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ETL-007</t>
        </is>
      </c>
    </row>
    <row r="4">
      <c r="A4" s="23" t="inlineStr">
        <is>
          <t>FRONT · Recognition (pehchano)</t>
        </is>
      </c>
    </row>
    <row r="5" ht="30" customHeight="1">
      <c r="A5" s="24" t="inlineStr">
        <is>
          <t>ID</t>
        </is>
      </c>
      <c r="B5" s="17">
        <f>INDEX('Code concept (56-pt) cards'!$A$3:$BN$22,MATCH($B$2,'Code concept (56-pt) cards'!$A$3:$A$22,0),MATCH("ID",'Code concept (56-pt) cards'!$A$2:$BN$2,0))&amp;""</f>
        <v/>
      </c>
    </row>
    <row r="6" ht="30" customHeight="1">
      <c r="A6" s="24" t="inlineStr">
        <is>
          <t>Topic</t>
        </is>
      </c>
      <c r="B6" s="17">
        <f>INDEX('Code concept (56-pt) cards'!$A$3:$BN$22,MATCH($B$2,'Code concept (56-pt) cards'!$A$3:$A$22,0),MATCH("Topic",'Code concept (56-pt) cards'!$A$2:$BN$2,0))&amp;""</f>
        <v/>
      </c>
    </row>
    <row r="7" ht="30" customHeight="1">
      <c r="A7" s="24" t="inlineStr">
        <is>
          <t>Level</t>
        </is>
      </c>
      <c r="B7" s="17">
        <f>INDEX('Code concept (56-pt) cards'!$A$3:$BN$22,MATCH($B$2,'Code concept (56-pt) cards'!$A$3:$A$22,0),MATCH("Level",'Code concept (56-pt) cards'!$A$2:$BN$2,0))&amp;""</f>
        <v/>
      </c>
    </row>
    <row r="8" ht="30" customHeight="1">
      <c r="A8" s="24" t="inlineStr">
        <is>
          <t>Concept</t>
        </is>
      </c>
      <c r="B8" s="17">
        <f>INDEX('Code concept (56-pt) cards'!$A$3:$BN$22,MATCH($B$2,'Code concept (56-pt) cards'!$A$3:$A$22,0),MATCH("Concept",'Code concept (56-pt) cards'!$A$2:$BN$2,0))&amp;""</f>
        <v/>
      </c>
    </row>
    <row r="9" ht="30" customHeight="1">
      <c r="A9" s="24" t="inlineStr">
        <is>
          <t>Recall cue</t>
        </is>
      </c>
      <c r="B9" s="17">
        <f>INDEX('Code concept (56-pt) cards'!$A$3:$BN$22,MATCH($B$2,'Code concept (56-pt) cards'!$A$3:$A$22,0),MATCH("Recall cue",'Code concept (56-pt) cards'!$A$2:$BN$2,0))&amp;""</f>
        <v/>
      </c>
    </row>
    <row r="10" ht="30" customHeight="1">
      <c r="A10" s="24" t="inlineStr">
        <is>
          <t>Read aloud</t>
        </is>
      </c>
      <c r="B10" s="17">
        <f>INDEX('Code concept (56-pt) cards'!$A$3:$BN$22,MATCH($B$2,'Code concept (56-pt) cards'!$A$3:$A$22,0),MATCH("Read aloud",'Code concept (56-pt) cards'!$A$2:$BN$2,0))&amp;""</f>
        <v/>
      </c>
    </row>
    <row r="11" ht="30" customHeight="1">
      <c r="A11" s="24" t="inlineStr">
        <is>
          <t>Type</t>
        </is>
      </c>
      <c r="B11" s="17">
        <f>INDEX('Code concept (56-pt) cards'!$A$3:$BN$22,MATCH($B$2,'Code concept (56-pt) cards'!$A$3:$A$22,0),MATCH("Type",'Code concept (56-pt) cards'!$A$2:$BN$2,0))&amp;""</f>
        <v/>
      </c>
    </row>
    <row r="12" ht="30" customHeight="1">
      <c r="A12" s="24" t="inlineStr">
        <is>
          <t>How often used</t>
        </is>
      </c>
      <c r="B12" s="17">
        <f>INDEX('Code concept (56-pt) cards'!$A$3:$BN$22,MATCH($B$2,'Code concept (56-pt) cards'!$A$3:$A$22,0),MATCH("How often used",'Code concept (56-pt) cards'!$A$2:$BN$2,0))&amp;""</f>
        <v/>
      </c>
    </row>
    <row r="13" ht="30" customHeight="1">
      <c r="A13" s="24" t="inlineStr">
        <is>
          <t>Importance (1-5)</t>
        </is>
      </c>
      <c r="B13" s="17">
        <f>INDEX('Code concept (56-pt) cards'!$A$3:$BN$22,MATCH($B$2,'Code concept (56-pt) cards'!$A$3:$A$22,0),MATCH("Importance (1-5)",'Code concept (56-pt) cards'!$A$2:$BN$2,0))&amp;""</f>
        <v/>
      </c>
    </row>
    <row r="14" ht="30" customHeight="1">
      <c r="A14" s="24" t="inlineStr">
        <is>
          <t>Origin / why it exists</t>
        </is>
      </c>
      <c r="B14" s="17">
        <f>INDEX('Code concept (56-pt) cards'!$A$3:$BN$22,MATCH($B$2,'Code concept (56-pt) cards'!$A$3:$A$22,0),MATCH("Origin / why it exists",'Code concept (56-pt) cards'!$A$2:$BN$2,0))&amp;""</f>
        <v/>
      </c>
    </row>
    <row r="15" ht="30" customHeight="1">
      <c r="A15" s="24" t="inlineStr">
        <is>
          <t>Pro tip</t>
        </is>
      </c>
      <c r="B15" s="17">
        <f>INDEX('Code concept (56-pt) cards'!$A$3:$BN$22,MATCH($B$2,'Code concept (56-pt) cards'!$A$3:$A$22,0),MATCH("Pro tip",'Code concept (56-pt) cards'!$A$2:$BN$2,0))&amp;""</f>
        <v/>
      </c>
    </row>
    <row r="16" ht="30" customHeight="1">
      <c r="A16" s="24" t="inlineStr">
        <is>
          <t>Typing hint</t>
        </is>
      </c>
      <c r="B16" s="17">
        <f>INDEX('Code concept (56-pt) cards'!$A$3:$BN$22,MATCH($B$2,'Code concept (56-pt) cards'!$A$3:$A$22,0),MATCH("Typing hint",'Code concept (56-pt) cards'!$A$2:$BN$2,0))&amp;""</f>
        <v/>
      </c>
    </row>
    <row r="17" ht="30" customHeight="1">
      <c r="A17" s="24" t="inlineStr">
        <is>
          <t>Memory story</t>
        </is>
      </c>
      <c r="B17" s="17">
        <f>INDEX('Code concept (56-pt) cards'!$A$3:$BN$22,MATCH($B$2,'Code concept (56-pt) cards'!$A$3:$A$22,0),MATCH("Memory story",'Code concept (56-pt) cards'!$A$2:$BN$2,0))&amp;""</f>
        <v/>
      </c>
    </row>
    <row r="18" ht="30" customHeight="1">
      <c r="A18" s="24" t="inlineStr">
        <is>
          <t>Picture it</t>
        </is>
      </c>
      <c r="B18" s="17">
        <f>INDEX('Code concept (56-pt) cards'!$A$3:$BN$22,MATCH($B$2,'Code concept (56-pt) cards'!$A$3:$A$22,0),MATCH("Picture it",'Code concept (56-pt) cards'!$A$2:$BN$2,0))&amp;""</f>
        <v/>
      </c>
    </row>
    <row r="19" ht="30" customHeight="1">
      <c r="A19" s="24" t="inlineStr">
        <is>
          <t>Emotion hook</t>
        </is>
      </c>
      <c r="B19" s="17">
        <f>INDEX('Code concept (56-pt) cards'!$A$3:$BN$22,MATCH($B$2,'Code concept (56-pt) cards'!$A$3:$A$22,0),MATCH("Emotion hook",'Code concept (56-pt) cards'!$A$2:$BN$2,0))&amp;""</f>
        <v/>
      </c>
    </row>
    <row r="20" ht="30" customHeight="1">
      <c r="A20" s="24" t="inlineStr">
        <is>
          <t>Importance ★</t>
        </is>
      </c>
      <c r="B20" s="17">
        <f>INDEX('Code concept (56-pt) cards'!$A$3:$BN$22,MATCH($B$2,'Code concept (56-pt) cards'!$A$3:$A$22,0),MATCH("Importance ★",'Code concept (56-pt) cards'!$A$2:$BN$2,0))&amp;""</f>
        <v/>
      </c>
    </row>
    <row r="21">
      <c r="A21" s="25" t="inlineStr">
        <is>
          <t>BACK · Understanding (samjho)</t>
        </is>
      </c>
    </row>
    <row r="22" ht="30" customHeight="1">
      <c r="A22" s="24" t="inlineStr">
        <is>
          <t>Meaning (short)</t>
        </is>
      </c>
      <c r="B22" s="17">
        <f>INDEX('Code concept (56-pt) cards'!$A$3:$BN$22,MATCH($B$2,'Code concept (56-pt) cards'!$A$3:$A$22,0),MATCH("Meaning (short)",'Code concept (56-pt) cards'!$A$2:$BN$2,0))&amp;""</f>
        <v/>
      </c>
    </row>
    <row r="23" ht="30" customHeight="1">
      <c r="A23" s="24" t="inlineStr">
        <is>
          <t>Meaning in learner's language</t>
        </is>
      </c>
      <c r="B23" s="17">
        <f>INDEX('Code concept (56-pt) cards'!$A$3:$BN$22,MATCH($B$2,'Code concept (56-pt) cards'!$A$3:$A$22,0),MATCH("Meaning in learner's language",'Code concept (56-pt) cards'!$A$2:$BN$2,0))&amp;""</f>
        <v/>
      </c>
    </row>
    <row r="24" ht="94.5" customHeight="1">
      <c r="A24" s="24" t="inlineStr">
        <is>
          <t>Code</t>
        </is>
      </c>
      <c r="B24" s="26">
        <f>INDEX('Code concept (56-pt) cards'!$A$3:$BN$22,MATCH($B$2,'Code concept (56-pt) cards'!$A$3:$A$22,0),MATCH("Code",'Code concept (56-pt) cards'!$A$2:$BN$2,0))&amp;""</f>
        <v/>
      </c>
    </row>
    <row r="25" ht="30" customHeight="1">
      <c r="A25" s="24" t="inlineStr">
        <is>
          <t>Output</t>
        </is>
      </c>
      <c r="B25" s="26">
        <f>INDEX('Code concept (56-pt) cards'!$A$3:$BN$22,MATCH($B$2,'Code concept (56-pt) cards'!$A$3:$A$22,0),MATCH("Output",'Code concept (56-pt) cards'!$A$2:$BN$2,0))&amp;""</f>
        <v/>
      </c>
    </row>
    <row r="26" ht="67.5" customHeight="1">
      <c r="A26" s="24" t="inlineStr">
        <is>
          <t>Explanation</t>
        </is>
      </c>
      <c r="B26" s="17">
        <f>INDEX('Code concept (56-pt) cards'!$A$3:$BN$22,MATCH($B$2,'Code concept (56-pt) cards'!$A$3:$A$22,0),MATCH("Explanation",'Code concept (56-pt) cards'!$A$2:$BN$2,0))&amp;""</f>
        <v/>
      </c>
    </row>
    <row r="27" ht="30" customHeight="1">
      <c r="A27" s="24" t="inlineStr">
        <is>
          <t>Simple explanation (Hinglish)</t>
        </is>
      </c>
      <c r="B27" s="17">
        <f>INDEX('Code concept (56-pt) cards'!$A$3:$BN$22,MATCH($B$2,'Code concept (56-pt) cards'!$A$3:$A$22,0),MATCH("Simple explanation (Hinglish)",'Code concept (56-pt) cards'!$A$2:$BN$2,0))&amp;""</f>
        <v/>
      </c>
    </row>
    <row r="28" ht="30" customHeight="1">
      <c r="A28" s="24" t="inlineStr">
        <is>
          <t>Real-life analogy</t>
        </is>
      </c>
      <c r="B28" s="17">
        <f>INDEX('Code concept (56-pt) cards'!$A$3:$BN$22,MATCH($B$2,'Code concept (56-pt) cards'!$A$3:$A$22,0),MATCH("Real-life analogy",'Code concept (56-pt) cards'!$A$2:$BN$2,0))&amp;""</f>
        <v/>
      </c>
    </row>
    <row r="29" ht="30" customHeight="1">
      <c r="A29" s="24" t="inlineStr">
        <is>
          <t>Syntax pattern</t>
        </is>
      </c>
      <c r="B29" s="26">
        <f>INDEX('Code concept (56-pt) cards'!$A$3:$BN$22,MATCH($B$2,'Code concept (56-pt) cards'!$A$3:$A$22,0),MATCH("Syntax pattern",'Code concept (56-pt) cards'!$A$2:$BN$2,0))&amp;""</f>
        <v/>
      </c>
    </row>
    <row r="30" ht="30" customHeight="1">
      <c r="A30" s="24" t="inlineStr">
        <is>
          <t>Anatomy</t>
        </is>
      </c>
      <c r="B30" s="17">
        <f>INDEX('Code concept (56-pt) cards'!$A$3:$BN$22,MATCH($B$2,'Code concept (56-pt) cards'!$A$3:$A$22,0),MATCH("Anatomy",'Code concept (56-pt) cards'!$A$2:$BN$2,0))&amp;""</f>
        <v/>
      </c>
    </row>
    <row r="31" ht="30" customHeight="1">
      <c r="A31" s="24" t="inlineStr">
        <is>
          <t>Example 1</t>
        </is>
      </c>
      <c r="B31" s="26">
        <f>INDEX('Code concept (56-pt) cards'!$A$3:$BN$22,MATCH($B$2,'Code concept (56-pt) cards'!$A$3:$A$22,0),MATCH("Example 1",'Code concept (56-pt) cards'!$A$2:$BN$2,0))&amp;""</f>
        <v/>
      </c>
    </row>
    <row r="32" ht="30" customHeight="1">
      <c r="A32" s="24" t="inlineStr">
        <is>
          <t>Example 2</t>
        </is>
      </c>
      <c r="B32" s="26">
        <f>INDEX('Code concept (56-pt) cards'!$A$3:$BN$22,MATCH($B$2,'Code concept (56-pt) cards'!$A$3:$A$22,0),MATCH("Example 2",'Code concept (56-pt) cards'!$A$2:$BN$2,0))&amp;""</f>
        <v/>
      </c>
    </row>
    <row r="33" ht="30" customHeight="1">
      <c r="A33" s="24" t="inlineStr">
        <is>
          <t>Example 3</t>
        </is>
      </c>
      <c r="B33" s="26">
        <f>INDEX('Code concept (56-pt) cards'!$A$3:$BN$22,MATCH($B$2,'Code concept (56-pt) cards'!$A$3:$A$22,0),MATCH("Example 3",'Code concept (56-pt) cards'!$A$2:$BN$2,0))&amp;""</f>
        <v/>
      </c>
    </row>
    <row r="34" ht="30" customHeight="1">
      <c r="A34" s="24" t="inlineStr">
        <is>
          <t>Variation</t>
        </is>
      </c>
      <c r="B34" s="26">
        <f>INDEX('Code concept (56-pt) cards'!$A$3:$BN$22,MATCH($B$2,'Code concept (56-pt) cards'!$A$3:$A$22,0),MATCH("Variation",'Code concept (56-pt) cards'!$A$2:$BN$2,0))&amp;""</f>
        <v/>
      </c>
    </row>
    <row r="35" ht="30" customHeight="1">
      <c r="A35" s="24" t="inlineStr">
        <is>
          <t>Used with</t>
        </is>
      </c>
      <c r="B35" s="17">
        <f>INDEX('Code concept (56-pt) cards'!$A$3:$BN$22,MATCH($B$2,'Code concept (56-pt) cards'!$A$3:$A$22,0),MATCH("Used with",'Code concept (56-pt) cards'!$A$2:$BN$2,0))&amp;""</f>
        <v/>
      </c>
    </row>
    <row r="36" ht="30" customHeight="1">
      <c r="A36" s="24" t="inlineStr">
        <is>
          <t>Related concepts</t>
        </is>
      </c>
      <c r="B36" s="17">
        <f>INDEX('Code concept (56-pt) cards'!$A$3:$BN$22,MATCH($B$2,'Code concept (56-pt) cards'!$A$3:$A$22,0),MATCH("Related concepts",'Code concept (56-pt) cards'!$A$2:$BN$2,0))&amp;""</f>
        <v/>
      </c>
    </row>
    <row r="37" ht="30" customHeight="1">
      <c r="A37" s="24" t="inlineStr">
        <is>
          <t>Alternatives</t>
        </is>
      </c>
      <c r="B37" s="17">
        <f>INDEX('Code concept (56-pt) cards'!$A$3:$BN$22,MATCH($B$2,'Code concept (56-pt) cards'!$A$3:$A$22,0),MATCH("Alternatives",'Code concept (56-pt) cards'!$A$2:$BN$2,0))&amp;""</f>
        <v/>
      </c>
    </row>
    <row r="38" ht="30" customHeight="1">
      <c r="A38" s="24" t="inlineStr">
        <is>
          <t>Family / group</t>
        </is>
      </c>
      <c r="B38" s="17">
        <f>INDEX('Code concept (56-pt) cards'!$A$3:$BN$22,MATCH($B$2,'Code concept (56-pt) cards'!$A$3:$A$22,0),MATCH("Family / group",'Code concept (56-pt) cards'!$A$2:$BN$2,0))&amp;""</f>
        <v/>
      </c>
    </row>
    <row r="39" ht="30" customHeight="1">
      <c r="A39" s="24" t="inlineStr">
        <is>
          <t>Where it is used</t>
        </is>
      </c>
      <c r="B39" s="17">
        <f>INDEX('Code concept (56-pt) cards'!$A$3:$BN$22,MATCH($B$2,'Code concept (56-pt) cards'!$A$3:$A$22,0),MATCH("Where it is used",'Code concept (56-pt) cards'!$A$2:$BN$2,0))&amp;""</f>
        <v/>
      </c>
    </row>
    <row r="40" ht="30" customHeight="1">
      <c r="A40" s="24" t="inlineStr">
        <is>
          <t>Mini conversation</t>
        </is>
      </c>
      <c r="B40" s="17">
        <f>INDEX('Code concept (56-pt) cards'!$A$3:$BN$22,MATCH($B$2,'Code concept (56-pt) cards'!$A$3:$A$22,0),MATCH("Mini conversation",'Code concept (56-pt) cards'!$A$2:$BN$2,0))&amp;""</f>
        <v/>
      </c>
    </row>
    <row r="41" ht="30" customHeight="1">
      <c r="A41" s="24" t="inlineStr">
        <is>
          <t>Common mistake</t>
        </is>
      </c>
      <c r="B41" s="17">
        <f>INDEX('Code concept (56-pt) cards'!$A$3:$BN$22,MATCH($B$2,'Code concept (56-pt) cards'!$A$3:$A$22,0),MATCH("Common mistake",'Code concept (56-pt) cards'!$A$2:$BN$2,0))&amp;""</f>
        <v/>
      </c>
    </row>
    <row r="42" ht="30" customHeight="1">
      <c r="A42" s="24" t="inlineStr">
        <is>
          <t>Commonly confused with</t>
        </is>
      </c>
      <c r="B42" s="17">
        <f>INDEX('Code concept (56-pt) cards'!$A$3:$BN$22,MATCH($B$2,'Code concept (56-pt) cards'!$A$3:$A$22,0),MATCH("Commonly confused with",'Code concept (56-pt) cards'!$A$2:$BN$2,0))&amp;""</f>
        <v/>
      </c>
    </row>
    <row r="43" ht="30" customHeight="1">
      <c r="A43" s="24" t="inlineStr">
        <is>
          <t>Avoid / don't</t>
        </is>
      </c>
      <c r="B43" s="17">
        <f>INDEX('Code concept (56-pt) cards'!$A$3:$BN$22,MATCH($B$2,'Code concept (56-pt) cards'!$A$3:$A$22,0),MATCH("Avoid / don't",'Code concept (56-pt) cards'!$A$2:$BN$2,0))&amp;""</f>
        <v/>
      </c>
    </row>
    <row r="44" ht="30" customHeight="1">
      <c r="A44" s="24" t="inlineStr">
        <is>
          <t>Wrong code</t>
        </is>
      </c>
      <c r="B44" s="26">
        <f>INDEX('Code concept (56-pt) cards'!$A$3:$BN$22,MATCH($B$2,'Code concept (56-pt) cards'!$A$3:$A$22,0),MATCH("Wrong code",'Code concept (56-pt) cards'!$A$2:$BN$2,0))&amp;""</f>
        <v/>
      </c>
    </row>
    <row r="45" ht="30" customHeight="1">
      <c r="A45" s="24" t="inlineStr">
        <is>
          <t>Right code</t>
        </is>
      </c>
      <c r="B45" s="26">
        <f>INDEX('Code concept (56-pt) cards'!$A$3:$BN$22,MATCH($B$2,'Code concept (56-pt) cards'!$A$3:$A$22,0),MATCH("Right code",'Code concept (56-pt) cards'!$A$2:$BN$2,0))&amp;""</f>
        <v/>
      </c>
    </row>
    <row r="46" ht="30" customHeight="1">
      <c r="A46" s="24" t="inlineStr">
        <is>
          <t>Memory trick</t>
        </is>
      </c>
      <c r="B46" s="17">
        <f>INDEX('Code concept (56-pt) cards'!$A$3:$BN$22,MATCH($B$2,'Code concept (56-pt) cards'!$A$3:$A$22,0),MATCH("Memory trick",'Code concept (56-pt) cards'!$A$2:$BN$2,0))&amp;""</f>
        <v/>
      </c>
    </row>
    <row r="47" ht="30" customHeight="1">
      <c r="A47" s="24" t="inlineStr">
        <is>
          <t>Real life: project / work</t>
        </is>
      </c>
      <c r="B47" s="17">
        <f>INDEX('Code concept (56-pt) cards'!$A$3:$BN$22,MATCH($B$2,'Code concept (56-pt) cards'!$A$3:$A$22,0),MATCH("Real life: project / work",'Code concept (56-pt) cards'!$A$2:$BN$2,0))&amp;""</f>
        <v/>
      </c>
    </row>
    <row r="48" ht="30" customHeight="1">
      <c r="A48" s="24" t="inlineStr">
        <is>
          <t>Real life: interview / exam</t>
        </is>
      </c>
      <c r="B48" s="17">
        <f>INDEX('Code concept (56-pt) cards'!$A$3:$BN$22,MATCH($B$2,'Code concept (56-pt) cards'!$A$3:$A$22,0),MATCH("Real life: interview / exam",'Code concept (56-pt) cards'!$A$2:$BN$2,0))&amp;""</f>
        <v/>
      </c>
    </row>
    <row r="49" ht="30" customHeight="1">
      <c r="A49" s="24" t="inlineStr">
        <is>
          <t>Real life: daily life</t>
        </is>
      </c>
      <c r="B49" s="17">
        <f>INDEX('Code concept (56-pt) cards'!$A$3:$BN$22,MATCH($B$2,'Code concept (56-pt) cards'!$A$3:$A$22,0),MATCH("Real life: daily life",'Code concept (56-pt) cards'!$A$2:$BN$2,0))&amp;""</f>
        <v/>
      </c>
    </row>
    <row r="50">
      <c r="A50" s="27" t="inlineStr">
        <is>
          <t>PRACTICE · Khud karo</t>
        </is>
      </c>
    </row>
    <row r="51" ht="30" customHeight="1">
      <c r="A51" s="24" t="inlineStr">
        <is>
          <t>MCQ question</t>
        </is>
      </c>
      <c r="B51" s="17">
        <f>INDEX('Code concept (56-pt) cards'!$A$3:$BN$22,MATCH($B$2,'Code concept (56-pt) cards'!$A$3:$A$22,0),MATCH("MCQ question",'Code concept (56-pt) cards'!$A$2:$BN$2,0))&amp;""</f>
        <v/>
      </c>
    </row>
    <row r="52" ht="30" customHeight="1">
      <c r="A52" s="24" t="inlineStr">
        <is>
          <t>MCQ options</t>
        </is>
      </c>
      <c r="B52" s="17">
        <f>INDEX('Code concept (56-pt) cards'!$A$3:$BN$22,MATCH($B$2,'Code concept (56-pt) cards'!$A$3:$A$22,0),MATCH("MCQ options",'Code concept (56-pt) cards'!$A$2:$BN$2,0))&amp;""</f>
        <v/>
      </c>
    </row>
    <row r="53" ht="30" customHeight="1">
      <c r="A53" s="24" t="inlineStr">
        <is>
          <t>MCQ answer</t>
        </is>
      </c>
      <c r="B53" s="17">
        <f>INDEX('Code concept (56-pt) cards'!$A$3:$BN$22,MATCH($B$2,'Code concept (56-pt) cards'!$A$3:$A$22,0),MATCH("MCQ answer",'Code concept (56-pt) cards'!$A$2:$BN$2,0))&amp;""</f>
        <v/>
      </c>
    </row>
    <row r="54" ht="30" customHeight="1">
      <c r="A54" s="24" t="inlineStr">
        <is>
          <t>Why that answer</t>
        </is>
      </c>
      <c r="B54" s="17">
        <f>INDEX('Code concept (56-pt) cards'!$A$3:$BN$22,MATCH($B$2,'Code concept (56-pt) cards'!$A$3:$A$22,0),MATCH("Why that answer",'Code concept (56-pt) cards'!$A$2:$BN$2,0))&amp;""</f>
        <v/>
      </c>
    </row>
    <row r="55" ht="30" customHeight="1">
      <c r="A55" s="24" t="inlineStr">
        <is>
          <t>Fill the blank</t>
        </is>
      </c>
      <c r="B55" s="26">
        <f>INDEX('Code concept (56-pt) cards'!$A$3:$BN$22,MATCH($B$2,'Code concept (56-pt) cards'!$A$3:$A$22,0),MATCH("Fill the blank",'Code concept (56-pt) cards'!$A$2:$BN$2,0))&amp;""</f>
        <v/>
      </c>
    </row>
    <row r="56" ht="30" customHeight="1">
      <c r="A56" s="24" t="inlineStr">
        <is>
          <t>Try it yourself</t>
        </is>
      </c>
      <c r="B56" s="17">
        <f>INDEX('Code concept (56-pt) cards'!$A$3:$BN$22,MATCH($B$2,'Code concept (56-pt) cards'!$A$3:$A$22,0),MATCH("Try it yourself",'Code concept (56-pt) cards'!$A$2:$BN$2,0))&amp;""</f>
        <v/>
      </c>
    </row>
    <row r="57" ht="30" customHeight="1">
      <c r="A57" s="24" t="inlineStr">
        <is>
          <t>Task answer</t>
        </is>
      </c>
      <c r="B57" s="26">
        <f>INDEX('Code concept (56-pt) cards'!$A$3:$BN$22,MATCH($B$2,'Code concept (56-pt) cards'!$A$3:$A$22,0),MATCH("Task answer",'Code concept (56-pt) cards'!$A$2:$BN$2,0))&amp;""</f>
        <v/>
      </c>
    </row>
    <row r="58" ht="30" customHeight="1">
      <c r="A58" s="24" t="inlineStr">
        <is>
          <t>Write your own</t>
        </is>
      </c>
      <c r="B58" s="17">
        <f>INDEX('Code concept (56-pt) cards'!$A$3:$BN$22,MATCH($B$2,'Code concept (56-pt) cards'!$A$3:$A$22,0),MATCH("Write your own",'Code concept (56-pt) cards'!$A$2:$BN$2,0))&amp;""</f>
        <v/>
      </c>
    </row>
    <row r="59" ht="30" customHeight="1">
      <c r="A59" s="24" t="inlineStr">
        <is>
          <t>Practice question</t>
        </is>
      </c>
      <c r="B59" s="26">
        <f>INDEX('Code concept (56-pt) cards'!$A$3:$BN$22,MATCH($B$2,'Code concept (56-pt) cards'!$A$3:$A$22,0),MATCH("Practice question",'Code concept (56-pt) cards'!$A$2:$BN$2,0))&amp;""</f>
        <v/>
      </c>
    </row>
    <row r="60" ht="30" customHeight="1">
      <c r="A60" s="24" t="inlineStr">
        <is>
          <t>Practice answer</t>
        </is>
      </c>
      <c r="B60" s="26">
        <f>INDEX('Code concept (56-pt) cards'!$A$3:$BN$22,MATCH($B$2,'Code concept (56-pt) cards'!$A$3:$A$22,0),MATCH("Practice answer",'Code concept (56-pt) cards'!$A$2:$BN$2,0))&amp;""</f>
        <v/>
      </c>
    </row>
    <row r="61" ht="30" customHeight="1">
      <c r="A61" s="24" t="inlineStr">
        <is>
          <t>Quick recall (reverse)</t>
        </is>
      </c>
      <c r="B61" s="17">
        <f>INDEX('Code concept (56-pt) cards'!$A$3:$BN$22,MATCH($B$2,'Code concept (56-pt) cards'!$A$3:$A$22,0),MATCH("Quick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cards'!$A$3:$A$22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21.5" customHeight="1">
      <c r="A3" s="17" t="inlineStr">
        <is>
          <t>ETL-001</t>
        </is>
      </c>
      <c r="B3" s="17" t="inlineStr">
        <is>
          <t>01 Ideas</t>
        </is>
      </c>
      <c r="C3" s="17" t="inlineStr">
        <is>
          <t>Beginner</t>
        </is>
      </c>
      <c r="D3" s="17" t="n">
        <v>1</v>
      </c>
      <c r="E3" s="17" t="inlineStr">
        <is>
          <t>Claude knowledge</t>
        </is>
      </c>
      <c r="F3" s="18" t="inlineStr">
        <is>
          <t>ETL vs ELT</t>
        </is>
      </c>
      <c r="G3" s="18" t="inlineStr">
        <is>
          <t>Which two patterns differ in whether data is reshaped before or after it reaches the warehouse?</t>
        </is>
      </c>
      <c r="H3" s="18" t="inlineStr">
        <is>
          <t>Core concept</t>
        </is>
      </c>
      <c r="I3" s="18" t="inlineStr">
        <is>
          <t>Very high</t>
        </is>
      </c>
      <c r="J3" s="18" t="n">
        <v>5</v>
      </c>
      <c r="K3" s="18" t="inlineStr">
        <is>
          <t>Early warehouses had little computing power, so data was cleaned first, but cheap cloud warehouses made it practical to load first and transform later.</t>
        </is>
      </c>
      <c r="L3" s="18" t="inlineStr">
        <is>
          <t>Say where the transformation runs, because that is the real difference.</t>
        </is>
      </c>
      <c r="M3" s="18" t="inlineStr">
        <is>
          <t>ETL is cooking in the kitchen before serving, and ELT is bringing raw groceries to the table and cooking there.</t>
        </is>
      </c>
      <c r="N3" s="18" t="inlineStr">
        <is>
          <t>Two arrows, one transforming before the warehouse and one transforming inside it.</t>
        </is>
      </c>
      <c r="O3" s="18" t="inlineStr">
        <is>
          <t>The clarity of seeing why modern teams load raw data first.</t>
        </is>
      </c>
      <c r="P3" s="18" t="inlineStr">
        <is>
          <t>ETL extracts data, transforms it in a separate system, and then loads the result, while ELT extracts and loads raw data first and transforms it inside the warehouse.</t>
        </is>
      </c>
      <c r="Q3" s="17" t="n"/>
      <c r="R3" s="18" t="inlineStr">
        <is>
          <t>In ETL a processing server or tool cleans and reshapes data before loading, which suits strict targets and sensitive data. In ELT the warehouse does the heavy work using SQL, which scales well and keeps raw data for replays. Many teams use ELT with tools such as dbt, but still apply light cleaning on the way in. The choice depends on volume, cost, privacy rules and team skills.</t>
        </is>
      </c>
      <c r="S3" s="18" t="inlineStr">
        <is>
          <t>ETL transforms before loading, ELT loads first and transforms inside the warehouse.</t>
        </is>
      </c>
      <c r="T3" s="18" t="inlineStr">
        <is>
          <t>ETL is cooking in the kitchen before serving, and ELT is bringing raw groceries to the table and cooking there.</t>
        </is>
      </c>
      <c r="U3" s="18" t="inlineStr">
        <is>
          <t>ETL = transform, then load. ELT = load, then transform.</t>
        </is>
      </c>
      <c r="V3" s="18" t="inlineStr">
        <is>
          <t>A script cleaning a CSV and then inserting it into a database.</t>
        </is>
      </c>
      <c r="W3" s="18" t="inlineStr">
        <is>
          <t>Raw API data landed in a warehouse table and reshaped with SQL models.</t>
        </is>
      </c>
      <c r="X3" s="18" t="inlineStr">
        <is>
          <t>Masking personal data before loading because the target must never hold it.</t>
        </is>
      </c>
      <c r="Y3" s="18" t="inlineStr">
        <is>
          <t>warehouse vs lake, batch vs streaming, dbt basics, data contracts</t>
        </is>
      </c>
      <c r="Z3" s="18" t="inlineStr">
        <is>
          <t>extract, transform, load, staging, raw layer</t>
        </is>
      </c>
      <c r="AA3" s="18" t="inlineStr">
        <is>
          <t>Data platforms | Analytics projects | Customer integrations</t>
        </is>
      </c>
      <c r="AB3" s="18" t="inlineStr">
        <is>
          <t>A: Do we clean the data before it lands in the warehouse? | B: With ELT we load raw first and clean it there with SQL.</t>
        </is>
      </c>
      <c r="AC3" s="18" t="inlineStr">
        <is>
          <t>✗ ELT means no transformation is needed → ✓ It only moves the transformation into the warehouse</t>
        </is>
      </c>
      <c r="AD3" s="18" t="inlineStr">
        <is>
          <t>ETL vs ELT: ETL transforms outside the target before loading, ELT transforms inside the target after loading.</t>
        </is>
      </c>
      <c r="AE3" s="18" t="inlineStr">
        <is>
          <t>Do not load sensitive fields raw if the target must never hold them.</t>
        </is>
      </c>
      <c r="AF3" s="18" t="inlineStr">
        <is>
          <t>ETL cooks first, ELT cooks last.</t>
        </is>
      </c>
      <c r="AG3" s="18" t="inlineStr">
        <is>
          <t>Moving a customer pipeline from ETL to ELT cut nightly run time by loading raw data once.</t>
        </is>
      </c>
      <c r="AH3" s="18" t="inlineStr">
        <is>
          <t>An interviewer may ask: When would you choose ETL over ELT?</t>
        </is>
      </c>
      <c r="AI3" s="18" t="inlineStr">
        <is>
          <t>It is like cooking in a kitchen versus cooking at the table.</t>
        </is>
      </c>
      <c r="AJ3" s="18" t="inlineStr">
        <is>
          <t>Where does the transformation happen in ELT?</t>
        </is>
      </c>
      <c r="AK3" s="18" t="inlineStr">
        <is>
          <t>A) Nowhere B) Only in the browser C) On a separate server before loading D) Inside the warehouse</t>
        </is>
      </c>
      <c r="AL3" s="18" t="inlineStr">
        <is>
          <t>D</t>
        </is>
      </c>
      <c r="AM3" s="18" t="inlineStr">
        <is>
          <t>ELT loads raw data and transforms it in the target.</t>
        </is>
      </c>
      <c r="AN3" s="18" t="inlineStr">
        <is>
          <t>In ETL the letter T stands for ____ → transform</t>
        </is>
      </c>
      <c r="AO3" s="18" t="inlineStr">
        <is>
          <t>Personal data must never reach the warehouse unmasked. Which pattern fits? → ETL with masking before loading</t>
        </is>
      </c>
      <c r="AP3" s="18" t="inlineStr">
        <is>
          <t>Explain ETL and ELT in three lines.</t>
        </is>
      </c>
      <c r="AQ3" s="18" t="inlineStr">
        <is>
          <t>Choose a pattern for a small analytics project and give two reasons.</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108" customHeight="1">
      <c r="A4" s="17" t="inlineStr">
        <is>
          <t>ETL-002</t>
        </is>
      </c>
      <c r="B4" s="17" t="inlineStr">
        <is>
          <t>01 Ideas</t>
        </is>
      </c>
      <c r="C4" s="17" t="inlineStr">
        <is>
          <t>Beginner</t>
        </is>
      </c>
      <c r="D4" s="17" t="n">
        <v>2</v>
      </c>
      <c r="E4" s="17" t="inlineStr">
        <is>
          <t>Claude knowledge</t>
        </is>
      </c>
      <c r="F4" s="18" t="inlineStr">
        <is>
          <t>Sources and targets</t>
        </is>
      </c>
      <c r="G4" s="18" t="inlineStr">
        <is>
          <t>Which two ends of every pipeline say where data comes from and where it goes?</t>
        </is>
      </c>
      <c r="H4" s="18" t="inlineStr">
        <is>
          <t>Core concept</t>
        </is>
      </c>
      <c r="I4" s="18" t="inlineStr">
        <is>
          <t>Very high</t>
        </is>
      </c>
      <c r="J4" s="18" t="n">
        <v>5</v>
      </c>
      <c r="K4" s="18" t="inlineStr">
        <is>
          <t>Data lives in many systems, so every pipeline starts by naming the place it reads from and the place it writes to.</t>
        </is>
      </c>
      <c r="L4" s="18" t="inlineStr">
        <is>
          <t>Write down the owner, format and refresh rate of every source before building.</t>
        </is>
      </c>
      <c r="M4" s="18" t="inlineStr">
        <is>
          <t>A source is the tap and a target is the tank, with the pipeline as the pipe between them.</t>
        </is>
      </c>
      <c r="N4" s="18" t="inlineStr">
        <is>
          <t>Several sources on the left, a pipeline in the middle and one target on the right.</t>
        </is>
      </c>
      <c r="O4" s="18" t="inlineStr">
        <is>
          <t>The calm of knowing exactly where data starts and ends.</t>
        </is>
      </c>
      <c r="P4" s="18" t="inlineStr">
        <is>
          <t>A source is a system or file that provides data, such as an API, database or spreadsheet, and a target is the system that receives it, such as a warehouse, lake or application.</t>
        </is>
      </c>
      <c r="Q4" s="17" t="n"/>
      <c r="R4" s="18" t="inlineStr">
        <is>
          <t>Sources differ in format, speed, reliability and access rules, so each needs its own extraction method. Targets define the schema, the load method and who can read the data. A pipeline may have many sources and several targets. Documenting owners and expected behaviour prevents surprises when a source changes.</t>
        </is>
      </c>
      <c r="S4" s="18" t="inlineStr">
        <is>
          <t>Every pipeline reads from sources and writes to targets, so know both well.</t>
        </is>
      </c>
      <c r="T4" s="18" t="inlineStr">
        <is>
          <t>A source is the tap and a target is the tank, with the pipeline as the pipe.</t>
        </is>
      </c>
      <c r="U4" s="18" t="inlineStr">
        <is>
          <t>Source → pipeline → target.</t>
        </is>
      </c>
      <c r="V4" s="18" t="inlineStr">
        <is>
          <t>A payment API as a source and a warehouse table as a target.</t>
        </is>
      </c>
      <c r="W4" s="18" t="inlineStr">
        <is>
          <t>A shared spreadsheet as a source with unpredictable edits.</t>
        </is>
      </c>
      <c r="X4" s="18" t="inlineStr">
        <is>
          <t>A dashboard database as the target of a daily load.</t>
        </is>
      </c>
      <c r="Y4" s="18" t="inlineStr">
        <is>
          <t>extract from APIs, full vs incremental loads, schemas, data contracts</t>
        </is>
      </c>
      <c r="Z4" s="18" t="inlineStr">
        <is>
          <t>source, target, sink, system of record, upstream</t>
        </is>
      </c>
      <c r="AA4" s="18" t="inlineStr">
        <is>
          <t>Pipeline design | Documentation | Customer discovery</t>
        </is>
      </c>
      <c r="AB4" s="18" t="inlineStr">
        <is>
          <t>A: Who owns this source table? | B: The billing team does, so we must tell them before changing anything.</t>
        </is>
      </c>
      <c r="AC4" s="18" t="inlineStr">
        <is>
          <t>✗ A source is always clean and stable → ✓ Sources change, break and contain errors, so pipelines must expect that</t>
        </is>
      </c>
      <c r="AD4" s="18" t="inlineStr">
        <is>
          <t>Source vs target: a source provides data, a target receives it.</t>
        </is>
      </c>
      <c r="AE4" s="18" t="inlineStr">
        <is>
          <t>Do not build a pipeline without knowing the source owner.</t>
        </is>
      </c>
      <c r="AF4" s="18" t="inlineStr">
        <is>
          <t>Know both ends before you build the pipe.</t>
        </is>
      </c>
      <c r="AG4" s="18" t="inlineStr">
        <is>
          <t>Mapping every source and its owner before a migration exposed a spreadsheet nobody maintained.</t>
        </is>
      </c>
      <c r="AH4" s="18" t="inlineStr">
        <is>
          <t>An interviewer may ask: How do you document a new data source?</t>
        </is>
      </c>
      <c r="AI4" s="18" t="inlineStr">
        <is>
          <t>It is like knowing the tap and the tank.</t>
        </is>
      </c>
      <c r="AJ4" s="18" t="inlineStr">
        <is>
          <t>Which is a typical target?</t>
        </is>
      </c>
      <c r="AK4" s="18" t="inlineStr">
        <is>
          <t>A) A source CSV B) A data warehouse C) A keyboard D) A raw API</t>
        </is>
      </c>
      <c r="AL4" s="18" t="inlineStr">
        <is>
          <t>B</t>
        </is>
      </c>
      <c r="AM4" s="18" t="inlineStr">
        <is>
          <t>Targets receive and store the processed data.</t>
        </is>
      </c>
      <c r="AN4" s="18" t="inlineStr">
        <is>
          <t>A system upstream of the pipeline is called a ____ → source</t>
        </is>
      </c>
      <c r="AO4" s="18" t="inlineStr">
        <is>
          <t>A customer says their data comes from three systems. What do you document first? → Each source's owner and format</t>
        </is>
      </c>
      <c r="AP4" s="18" t="inlineStr">
        <is>
          <t>Explain sources and targets in three lines.</t>
        </is>
      </c>
      <c r="AQ4" s="18" t="inlineStr">
        <is>
          <t>Draw a pipeline with two sources and one target.</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08" customHeight="1">
      <c r="A5" s="17" t="inlineStr">
        <is>
          <t>ETL-003</t>
        </is>
      </c>
      <c r="B5" s="17" t="inlineStr">
        <is>
          <t>01 Ideas</t>
        </is>
      </c>
      <c r="C5" s="17" t="inlineStr">
        <is>
          <t>Beginner</t>
        </is>
      </c>
      <c r="D5" s="17" t="n">
        <v>3</v>
      </c>
      <c r="E5" s="17" t="inlineStr">
        <is>
          <t>Claude knowledge</t>
        </is>
      </c>
      <c r="F5" s="18" t="inlineStr">
        <is>
          <t>Batch vs streaming</t>
        </is>
      </c>
      <c r="G5" s="18" t="inlineStr">
        <is>
          <t>Which two ways of processing data differ in how often it moves?</t>
        </is>
      </c>
      <c r="H5" s="18" t="inlineStr">
        <is>
          <t>Core concept</t>
        </is>
      </c>
      <c r="I5" s="18" t="inlineStr">
        <is>
          <t>Very high</t>
        </is>
      </c>
      <c r="J5" s="18" t="n">
        <v>5</v>
      </c>
      <c r="K5" s="18" t="inlineStr">
        <is>
          <t>Some questions can wait for a nightly update, but others need data within seconds, so two processing styles exist.</t>
        </is>
      </c>
      <c r="L5" s="18" t="inlineStr">
        <is>
          <t>Start with batch unless the business truly needs data in seconds.</t>
        </is>
      </c>
      <c r="M5" s="18" t="inlineStr">
        <is>
          <t>Batch is the postman who delivers once a day, and streaming is a pipe that never stops flowing.</t>
        </is>
      </c>
      <c r="N5" s="18" t="inlineStr">
        <is>
          <t>Bundles of data moving at set times versus a continuous flow.</t>
        </is>
      </c>
      <c r="O5" s="18" t="inlineStr">
        <is>
          <t>The relief of choosing the simpler option that fits.</t>
        </is>
      </c>
      <c r="P5" s="18" t="inlineStr">
        <is>
          <t>Batch processing moves and transforms data in scheduled groups, while streaming processes each event or small piece continuously as it arrives.</t>
        </is>
      </c>
      <c r="Q5" s="17" t="n"/>
      <c r="R5" s="18" t="inlineStr">
        <is>
          <t>Batch is simpler, cheaper and easy to retry, and suits reports and daily loads. Streaming gives low delay for alerts, live dashboards and fraud checks, but it needs more careful design for ordering, duplicates and failures. Micro-batch sits between them with very small frequent batches. Many platforms use both.</t>
        </is>
      </c>
      <c r="S5" s="18" t="inlineStr">
        <is>
          <t>Batch runs on a schedule in groups, and streaming handles events as they arrive.</t>
        </is>
      </c>
      <c r="T5" s="18" t="inlineStr">
        <is>
          <t>Batch is a postman who delivers once a day, and streaming is a pipe that never stops flowing.</t>
        </is>
      </c>
      <c r="U5" s="18" t="inlineStr">
        <is>
          <t>Batch = groups on a schedule. Streaming = events as they happen.</t>
        </is>
      </c>
      <c r="V5" s="18" t="inlineStr">
        <is>
          <t>A nightly job that loads yesterday's orders.</t>
        </is>
      </c>
      <c r="W5" s="18" t="inlineStr">
        <is>
          <t>A stream that flags a suspicious payment within seconds.</t>
        </is>
      </c>
      <c r="X5" s="18" t="inlineStr">
        <is>
          <t>A micro-batch job running every five minutes.</t>
        </is>
      </c>
      <c r="Y5" s="18" t="inlineStr">
        <is>
          <t>pipelines vs jobs, Kafka basics, late-arriving data, orchestration</t>
        </is>
      </c>
      <c r="Z5" s="18" t="inlineStr">
        <is>
          <t>batch, stream, event, micro-batch, latency</t>
        </is>
      </c>
      <c r="AA5" s="18" t="inlineStr">
        <is>
          <t>Reporting | Alerts | Platform design</t>
        </is>
      </c>
      <c r="AB5" s="18" t="inlineStr">
        <is>
          <t>A: Do we need this dashboard live? | B: Hourly batches are enough, and much cheaper.</t>
        </is>
      </c>
      <c r="AC5" s="18" t="inlineStr">
        <is>
          <t>✗ Streaming is always better than batch → ✓ It is more complex, and batch is often the right answer</t>
        </is>
      </c>
      <c r="AD5" s="18" t="inlineStr">
        <is>
          <t>Batch vs streaming: batch is simple and delayed, streaming is complex and immediate.</t>
        </is>
      </c>
      <c r="AE5" s="18" t="inlineStr">
        <is>
          <t>Do not choose streaming without a real need for low delay.</t>
        </is>
      </c>
      <c r="AF5" s="18" t="inlineStr">
        <is>
          <t>Batch is bundles, streaming is a flow.</t>
        </is>
      </c>
      <c r="AG5" s="18" t="inlineStr">
        <is>
          <t>Replacing a streaming design with hourly batches saved cost and met the real need.</t>
        </is>
      </c>
      <c r="AH5" s="18" t="inlineStr">
        <is>
          <t>An interviewer may ask: When is streaming worth the extra complexity?</t>
        </is>
      </c>
      <c r="AI5" s="18" t="inlineStr">
        <is>
          <t>It is like daily post versus a running tap.</t>
        </is>
      </c>
      <c r="AJ5" s="18" t="inlineStr">
        <is>
          <t>Which suits a nightly sales report?</t>
        </is>
      </c>
      <c r="AK5" s="18" t="inlineStr">
        <is>
          <t>A) Both are required B) Streaming C) Batch D) Neither</t>
        </is>
      </c>
      <c r="AL5" s="18" t="inlineStr">
        <is>
          <t>C</t>
        </is>
      </c>
      <c r="AM5" s="18" t="inlineStr">
        <is>
          <t>The report can wait, so a schedule is enough.</t>
        </is>
      </c>
      <c r="AN5" s="18" t="inlineStr">
        <is>
          <t>Very small, frequent batches are called ____ → micro-batches</t>
        </is>
      </c>
      <c r="AO5" s="18" t="inlineStr">
        <is>
          <t>A bank must flag fraud within seconds. Which style? → Streaming</t>
        </is>
      </c>
      <c r="AP5" s="18" t="inlineStr">
        <is>
          <t>Explain batch and streaming in three lines.</t>
        </is>
      </c>
      <c r="AQ5" s="18" t="inlineStr">
        <is>
          <t>Give one use for each and say why.</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21.5" customHeight="1">
      <c r="A6" s="17" t="inlineStr">
        <is>
          <t>ETL-004</t>
        </is>
      </c>
      <c r="B6" s="17" t="inlineStr">
        <is>
          <t>01 Ideas</t>
        </is>
      </c>
      <c r="C6" s="17" t="inlineStr">
        <is>
          <t>Intermediate</t>
        </is>
      </c>
      <c r="D6" s="17" t="n">
        <v>4</v>
      </c>
      <c r="E6" s="17" t="inlineStr">
        <is>
          <t>Claude knowledge</t>
        </is>
      </c>
      <c r="F6" s="18" t="inlineStr">
        <is>
          <t>Warehouse vs lake vs lakehouse</t>
        </is>
      </c>
      <c r="G6" s="18" t="inlineStr">
        <is>
          <t>Which three storage designs hold analytics data, and how do they differ?</t>
        </is>
      </c>
      <c r="H6" s="18" t="inlineStr">
        <is>
          <t>Core concept</t>
        </is>
      </c>
      <c r="I6" s="18" t="inlineStr">
        <is>
          <t>High</t>
        </is>
      </c>
      <c r="J6" s="18" t="n">
        <v>4</v>
      </c>
      <c r="K6" s="18" t="inlineStr">
        <is>
          <t>Teams needed a place to analyse data, and the designs grew from structured warehouses to raw lakes to a blend of both.</t>
        </is>
      </c>
      <c r="L6" s="18" t="inlineStr">
        <is>
          <t>Match the design to the data shape and the people who will use it.</t>
        </is>
      </c>
      <c r="M6" s="18" t="inlineStr">
        <is>
          <t>A warehouse is a tidy shop with labelled shelves, a lake is a big pond of everything, and a lakehouse is a pond with shelves built in.</t>
        </is>
      </c>
      <c r="N6" s="18" t="inlineStr">
        <is>
          <t>Three containers, one organised, one open and one with organised zones.</t>
        </is>
      </c>
      <c r="O6" s="18" t="inlineStr">
        <is>
          <t>The clarity of choosing storage for a reason.</t>
        </is>
      </c>
      <c r="P6" s="18" t="inlineStr">
        <is>
          <t>A data warehouse stores structured, modelled data for SQL analytics, a data lake stores raw files of any type cheaply, and a lakehouse adds table features and SQL on top of lake storage.</t>
        </is>
      </c>
      <c r="Q6" s="17" t="n"/>
      <c r="R6" s="18" t="inlineStr">
        <is>
          <t>Warehouses give speed, governance and simple SQL but cost more per terabyte. Lakes hold structured, semi-structured and unstructured data cheaply, but need extra work to make it reliable. Lakehouse formats such as Delta, Iceberg and Hudi add transactions and schema control to files. Many organisations keep raw data in a lake and curated data in a warehouse.</t>
        </is>
      </c>
      <c r="S6" s="18" t="inlineStr">
        <is>
          <t>Warehouses are structured and fast, lakes are raw and cheap, and lakehouses try to give both.</t>
        </is>
      </c>
      <c r="T6" s="18" t="inlineStr">
        <is>
          <t>A warehouse is a tidy shop, a lake is a pond of everything, and a lakehouse is a pond with shelves.</t>
        </is>
      </c>
      <c r="U6" s="18" t="inlineStr">
        <is>
          <t>Warehouse = structured. Lake = raw. Lakehouse = raw with table features.</t>
        </is>
      </c>
      <c r="V6" s="18" t="inlineStr">
        <is>
          <t>Sales tables in a cloud warehouse for dashboards.</t>
        </is>
      </c>
      <c r="W6" s="18" t="inlineStr">
        <is>
          <t>Raw JSON logs stored as files in object storage.</t>
        </is>
      </c>
      <c r="X6" s="18" t="inlineStr">
        <is>
          <t>Parquet tables with transactions managed by a lakehouse format.</t>
        </is>
      </c>
      <c r="Y6" s="18" t="inlineStr">
        <is>
          <t>ETL vs ELT, file formats, schemas, cost and performance</t>
        </is>
      </c>
      <c r="Z6" s="18" t="inlineStr">
        <is>
          <t>warehouse, lake, lakehouse, Parquet, object storage</t>
        </is>
      </c>
      <c r="AA6" s="18" t="inlineStr">
        <is>
          <t>Architecture decisions | Customer platforms | Cost planning</t>
        </is>
      </c>
      <c r="AB6" s="18" t="inlineStr">
        <is>
          <t>A: Should the raw logs go in the warehouse? | B: Keep them in the lake, and load only cleaned tables.</t>
        </is>
      </c>
      <c r="AC6" s="18" t="inlineStr">
        <is>
          <t>✗ A lake replaces the need for a warehouse → ✓ Each has strengths, and many teams use both</t>
        </is>
      </c>
      <c r="AD6" s="18" t="inlineStr">
        <is>
          <t>Lake vs warehouse: a lake stores raw files cheaply, a warehouse stores modelled tables for fast SQL.</t>
        </is>
      </c>
      <c r="AE6" s="18" t="inlineStr">
        <is>
          <t>Do not let a lake turn into an unmanaged swamp.</t>
        </is>
      </c>
      <c r="AF6" s="18" t="inlineStr">
        <is>
          <t>Warehouse shelves, lake pond, lakehouse both.</t>
        </is>
      </c>
      <c r="AG6" s="18" t="inlineStr">
        <is>
          <t>Landing raw files in a lake kept a cheap replayable copy behind the warehouse.</t>
        </is>
      </c>
      <c r="AH6" s="18" t="inlineStr">
        <is>
          <t>An interviewer may ask: What problem does a lakehouse solve?</t>
        </is>
      </c>
      <c r="AI6" s="18" t="inlineStr">
        <is>
          <t>It is like a shop, a pond and a pond with shelves.</t>
        </is>
      </c>
      <c r="AJ6" s="18" t="inlineStr">
        <is>
          <t>Which stores raw files of any type cheaply?</t>
        </is>
      </c>
      <c r="AK6" s="18" t="inlineStr">
        <is>
          <t>A) A data lake B) A warehouse C) A cache D) A spreadsheet</t>
        </is>
      </c>
      <c r="AL6" s="18" t="inlineStr">
        <is>
          <t>A</t>
        </is>
      </c>
      <c r="AM6" s="18" t="inlineStr">
        <is>
          <t>Lakes keep raw data in cheap object storage.</t>
        </is>
      </c>
      <c r="AN6" s="18" t="inlineStr">
        <is>
          <t>A lake that has become messy and unusable is called a data ____ → swamp</t>
        </is>
      </c>
      <c r="AO6" s="18" t="inlineStr">
        <is>
          <t>You need cheap storage for raw logs and files. Which design? → A data lake</t>
        </is>
      </c>
      <c r="AP6" s="18" t="inlineStr">
        <is>
          <t>Explain warehouse, lake and lakehouse in three lines.</t>
        </is>
      </c>
      <c r="AQ6" s="18" t="inlineStr">
        <is>
          <t>Choose a design for a small startup and give two reasons.</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94.5" customHeight="1">
      <c r="A7" s="17" t="inlineStr">
        <is>
          <t>ETL-005</t>
        </is>
      </c>
      <c r="B7" s="17" t="inlineStr">
        <is>
          <t>01 Ideas</t>
        </is>
      </c>
      <c r="C7" s="17" t="inlineStr">
        <is>
          <t>Beginner</t>
        </is>
      </c>
      <c r="D7" s="17" t="n">
        <v>5</v>
      </c>
      <c r="E7" s="17" t="inlineStr">
        <is>
          <t>Claude knowledge</t>
        </is>
      </c>
      <c r="F7" s="18" t="inlineStr">
        <is>
          <t>Pipelines vs jobs</t>
        </is>
      </c>
      <c r="G7" s="18" t="inlineStr">
        <is>
          <t>Which two terms describe the whole flow and its individual runnable steps?</t>
        </is>
      </c>
      <c r="H7" s="18" t="inlineStr">
        <is>
          <t>Core concept</t>
        </is>
      </c>
      <c r="I7" s="18" t="inlineStr">
        <is>
          <t>High</t>
        </is>
      </c>
      <c r="J7" s="18" t="n">
        <v>4</v>
      </c>
      <c r="K7" s="18" t="inlineStr">
        <is>
          <t>Data work grew from single scripts into chains of steps, so the words pipeline and job separate the flow from the pieces.</t>
        </is>
      </c>
      <c r="L7" s="18" t="inlineStr">
        <is>
          <t>Keep each job small so a failure can be retried alone.</t>
        </is>
      </c>
      <c r="M7" s="18" t="inlineStr">
        <is>
          <t>A pipeline is a train line, and each job is one station where something is done.</t>
        </is>
      </c>
      <c r="N7" s="18" t="inlineStr">
        <is>
          <t>A chain of boxes where each box is one job.</t>
        </is>
      </c>
      <c r="O7" s="18" t="inlineStr">
        <is>
          <t>The tidiness of small, nameable steps.</t>
        </is>
      </c>
      <c r="P7" s="18" t="inlineStr">
        <is>
          <t>A job is one runnable unit of work such as extracting a table, and a pipeline is an ordered set of jobs with dependencies that together move data from sources to targets.</t>
        </is>
      </c>
      <c r="Q7" s="17" t="n"/>
      <c r="R7" s="18" t="inlineStr">
        <is>
          <t>Jobs have inputs, outputs and a status. Dependencies say which job must finish first. A scheduler or orchestrator runs the pipeline, retries failed jobs and records history. Small jobs are easier to test and rerun. Large jobs hide failures and are costly to repeat.</t>
        </is>
      </c>
      <c r="S7" s="18" t="inlineStr">
        <is>
          <t>A pipeline is the whole chain, and a job is one step in it.</t>
        </is>
      </c>
      <c r="T7" s="18" t="inlineStr">
        <is>
          <t>A pipeline is a train line, and a job is one station.</t>
        </is>
      </c>
      <c r="U7" s="18" t="inlineStr">
        <is>
          <t>Pipeline = jobs + order + schedule.</t>
        </is>
      </c>
      <c r="V7" s="18" t="inlineStr">
        <is>
          <t>Jobs for extract, clean and load inside one pipeline.</t>
        </is>
      </c>
      <c r="W7" s="18" t="inlineStr">
        <is>
          <t>A failed load job rerun without repeating the extract.</t>
        </is>
      </c>
      <c r="X7" s="18" t="inlineStr">
        <is>
          <t>A dependency saying report runs after load.</t>
        </is>
      </c>
      <c r="Y7" s="18" t="inlineStr">
        <is>
          <t>orchestration, idempotency, retries, Airflow tasks</t>
        </is>
      </c>
      <c r="Z7" s="18" t="inlineStr">
        <is>
          <t>job, task, pipeline, dependency, schedule</t>
        </is>
      </c>
      <c r="AA7" s="18" t="inlineStr">
        <is>
          <t>Orchestrators | Data platforms | Operations</t>
        </is>
      </c>
      <c r="AB7" s="18" t="inlineStr">
        <is>
          <t>A: One failure reran everything for three hours. | B: Split it into smaller jobs so only the failed one reruns.</t>
        </is>
      </c>
      <c r="AC7" s="18" t="inlineStr">
        <is>
          <t>✗ A pipeline should be one big script → ✓ Small jobs give clearer failures and cheaper retries</t>
        </is>
      </c>
      <c r="AD7" s="18" t="inlineStr">
        <is>
          <t>Job vs pipeline: a job is one step, a pipeline is the whole chain.</t>
        </is>
      </c>
      <c r="AE7" s="18" t="inlineStr">
        <is>
          <t>Do not put extract, clean and load in one unmonitored script.</t>
        </is>
      </c>
      <c r="AF7" s="18" t="inlineStr">
        <is>
          <t>Small jobs make safe pipelines.</t>
        </is>
      </c>
      <c r="AG7" s="18" t="inlineStr">
        <is>
          <t>Splitting one long script into jobs let operators rerun only the failed load.</t>
        </is>
      </c>
      <c r="AH7" s="18" t="inlineStr">
        <is>
          <t>An interviewer may ask: Why keep jobs small?</t>
        </is>
      </c>
      <c r="AI7" s="18" t="inlineStr">
        <is>
          <t>It is like stations on a train line.</t>
        </is>
      </c>
      <c r="AJ7" s="18" t="inlineStr">
        <is>
          <t>What is a job?</t>
        </is>
      </c>
      <c r="AK7" s="18" t="inlineStr">
        <is>
          <t>A) A database table B) The whole data warehouse C) A server D) One runnable unit of work</t>
        </is>
      </c>
      <c r="AL7" s="18" t="inlineStr">
        <is>
          <t>D</t>
        </is>
      </c>
      <c r="AM7" s="18" t="inlineStr">
        <is>
          <t>Pipelines are made of many jobs.</t>
        </is>
      </c>
      <c r="AN7" s="18" t="inlineStr">
        <is>
          <t>A rule saying which job must finish first is a ____ → dependency</t>
        </is>
      </c>
      <c r="AO7" s="18" t="inlineStr">
        <is>
          <t>A load fails after a long extract. How do you avoid repeating the extract? → Split into separate jobs</t>
        </is>
      </c>
      <c r="AP7" s="18" t="inlineStr">
        <is>
          <t>Explain pipelines and jobs in three lines.</t>
        </is>
      </c>
      <c r="AQ7" s="18" t="inlineStr">
        <is>
          <t>Break a daily sales pipeline into at least four jobs.</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108" customHeight="1">
      <c r="A8" s="17" t="inlineStr">
        <is>
          <t>ETL-006</t>
        </is>
      </c>
      <c r="B8" s="17" t="inlineStr">
        <is>
          <t>01 Ideas</t>
        </is>
      </c>
      <c r="C8" s="17" t="inlineStr">
        <is>
          <t>Intermediate</t>
        </is>
      </c>
      <c r="D8" s="17" t="n">
        <v>6</v>
      </c>
      <c r="E8" s="17" t="inlineStr">
        <is>
          <t>Claude knowledge</t>
        </is>
      </c>
      <c r="F8" s="18" t="inlineStr">
        <is>
          <t>Data contracts</t>
        </is>
      </c>
      <c r="G8" s="18" t="inlineStr">
        <is>
          <t>Which agreements describe what shape and quality of data a producer promises to deliver?</t>
        </is>
      </c>
      <c r="H8" s="18" t="inlineStr">
        <is>
          <t>Core concept</t>
        </is>
      </c>
      <c r="I8" s="18" t="inlineStr">
        <is>
          <t>Medium</t>
        </is>
      </c>
      <c r="J8" s="18" t="n">
        <v>4</v>
      </c>
      <c r="K8" s="18" t="inlineStr">
        <is>
          <t>Pipelines kept breaking when upstream teams changed columns without warning, so explicit agreements on data were introduced.</t>
        </is>
      </c>
      <c r="L8" s="18" t="inlineStr">
        <is>
          <t>Version the contract and test it automatically on every change.</t>
        </is>
      </c>
      <c r="M8" s="18" t="inlineStr">
        <is>
          <t>A data contract is a written promise between a supplier and a customer about what is in each delivery.</t>
        </is>
      </c>
      <c r="N8" s="18" t="inlineStr">
        <is>
          <t>Two teams with a signed document describing columns and rules.</t>
        </is>
      </c>
      <c r="O8" s="18" t="inlineStr">
        <is>
          <t>The relief of no more surprise column changes.</t>
        </is>
      </c>
      <c r="P8" s="18" t="inlineStr">
        <is>
          <t>A data contract is an agreed description of a dataset's schema, meaning, quality rules, freshness and ownership, between the team that produces it and the teams that use it.</t>
        </is>
      </c>
      <c r="Q8" s="17" t="n"/>
      <c r="R8" s="18" t="inlineStr">
        <is>
          <t>A contract lists fields with types, allowed values, null rules, update frequency and who to contact. Automated checks compare real data with the contract and alert on breaks. Changes follow a process, such as adding fields freely but announcing removals ahead of time. Contracts turn hidden assumptions into visible, testable rules.</t>
        </is>
      </c>
      <c r="S8" s="18" t="inlineStr">
        <is>
          <t>Write down what the data should look like, test it, and agree how changes happen.</t>
        </is>
      </c>
      <c r="T8" s="18" t="inlineStr">
        <is>
          <t>A data contract is a written promise between a supplier and a customer about each delivery.</t>
        </is>
      </c>
      <c r="U8" s="18" t="inlineStr">
        <is>
          <t>Schema + quality rules + freshness + owner.</t>
        </is>
      </c>
      <c r="V8" s="18" t="inlineStr">
        <is>
          <t>A contract saying order_id is never null and unique.</t>
        </is>
      </c>
      <c r="W8" s="18" t="inlineStr">
        <is>
          <t>A test failing when a column is renamed.</t>
        </is>
      </c>
      <c r="X8" s="18" t="inlineStr">
        <is>
          <t>A notice period before removing a field.</t>
        </is>
      </c>
      <c r="Y8" s="18" t="inlineStr">
        <is>
          <t>schemas, schema changes, data quality checks, sources and targets</t>
        </is>
      </c>
      <c r="Z8" s="18" t="inlineStr">
        <is>
          <t>contract, schema, SLA, producer, consumer</t>
        </is>
      </c>
      <c r="AA8" s="18" t="inlineStr">
        <is>
          <t>Platform teams | Large organisations | Critical pipelines</t>
        </is>
      </c>
      <c r="AB8" s="18" t="inlineStr">
        <is>
          <t>A: The source team renamed a column and broke our job. | B: A data contract would have flagged that change first.</t>
        </is>
      </c>
      <c r="AC8" s="18" t="inlineStr">
        <is>
          <t>✗ A data contract is only a document that nobody checks → ✓ It is useful only when tests enforce it automatically</t>
        </is>
      </c>
      <c r="AD8" s="18" t="inlineStr">
        <is>
          <t>Contract vs documentation: a contract is enforced by tests, documentation is only read.</t>
        </is>
      </c>
      <c r="AE8" s="18" t="inlineStr">
        <is>
          <t>Do not leave quality expectations unwritten.</t>
        </is>
      </c>
      <c r="AF8" s="18" t="inlineStr">
        <is>
          <t>A promise only counts when it is tested.</t>
        </is>
      </c>
      <c r="AG8" s="18" t="inlineStr">
        <is>
          <t>Adding contract tests caught a type change from a source before the nightly run.</t>
        </is>
      </c>
      <c r="AH8" s="18" t="inlineStr">
        <is>
          <t>An interviewer may ask: How do you stop upstream changes from breaking pipelines?</t>
        </is>
      </c>
      <c r="AI8" s="18" t="inlineStr">
        <is>
          <t>It is like a written promise between a supplier and a customer.</t>
        </is>
      </c>
      <c r="AJ8" s="18" t="inlineStr">
        <is>
          <t>What does a data contract describe?</t>
        </is>
      </c>
      <c r="AK8" s="18" t="inlineStr">
        <is>
          <t>A) Schema, quality rules and ownership B) The colour of a dashboard C) A password D) A server price</t>
        </is>
      </c>
      <c r="AL8" s="18" t="inlineStr">
        <is>
          <t>A</t>
        </is>
      </c>
      <c r="AM8" s="18" t="inlineStr">
        <is>
          <t>It states what the dataset promises to look like.</t>
        </is>
      </c>
      <c r="AN8" s="18" t="inlineStr">
        <is>
          <t>The team that provides a dataset is the ____ → producer</t>
        </is>
      </c>
      <c r="AO8" s="18" t="inlineStr">
        <is>
          <t>A source team plans to remove a column. What does the contract require? → An agreed notice and a versioned change</t>
        </is>
      </c>
      <c r="AP8" s="18" t="inlineStr">
        <is>
          <t>Explain data contracts in three lines.</t>
        </is>
      </c>
      <c r="AQ8" s="18" t="inlineStr">
        <is>
          <t>Write five rules for a contract on an orders table.</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08" customHeight="1">
      <c r="A9" s="17" t="inlineStr">
        <is>
          <t>ETL-010</t>
        </is>
      </c>
      <c r="B9" s="17" t="inlineStr">
        <is>
          <t>02 Extract</t>
        </is>
      </c>
      <c r="C9" s="17" t="inlineStr">
        <is>
          <t>Advanced</t>
        </is>
      </c>
      <c r="D9" s="17" t="n">
        <v>10</v>
      </c>
      <c r="E9" s="17" t="inlineStr">
        <is>
          <t>Claude knowledge</t>
        </is>
      </c>
      <c r="F9" s="18" t="inlineStr">
        <is>
          <t>Change data capture</t>
        </is>
      </c>
      <c r="G9" s="18" t="inlineStr">
        <is>
          <t>Which technique reads inserts, updates and deletes from a database's own change log?</t>
        </is>
      </c>
      <c r="H9" s="18" t="inlineStr">
        <is>
          <t>Core concept</t>
        </is>
      </c>
      <c r="I9" s="18" t="inlineStr">
        <is>
          <t>Medium</t>
        </is>
      </c>
      <c r="J9" s="18" t="n">
        <v>4</v>
      </c>
      <c r="K9" s="18" t="inlineStr">
        <is>
          <t>Polling tables misses deletes and loads the database, so CDC reads the transaction log that the database already writes.</t>
        </is>
      </c>
      <c r="L9" s="18" t="inlineStr">
        <is>
          <t>Use CDC when you need deletes, low delay or low source load.</t>
        </is>
      </c>
      <c r="M9" s="18" t="inlineStr">
        <is>
          <t>CDC is reading the shop's till roll instead of recounting the shelves.</t>
        </is>
      </c>
      <c r="N9" s="18" t="inlineStr">
        <is>
          <t>A log of changes streaming from a database to a target.</t>
        </is>
      </c>
      <c r="O9" s="18" t="inlineStr">
        <is>
          <t>The satisfaction of seeing every change arrive in order.</t>
        </is>
      </c>
      <c r="P9" s="18" t="inlineStr">
        <is>
          <t>Change data capture reads the database's transaction log to emit each insert, update and delete as an event, usually with the old and new values.</t>
        </is>
      </c>
      <c r="Q9" s="17" t="n"/>
      <c r="R9" s="18" t="inlineStr">
        <is>
          <t>Tools such as Debezium read logs and publish changes to a stream, and managed connectors do the same into warehouses. It captures deletes, keeps order and adds little load. It needs log access, careful setup and a plan for the first full snapshot. Schema changes and log retention need attention. Events often carry an operation type and a timestamp.</t>
        </is>
      </c>
      <c r="S9" s="18" t="inlineStr">
        <is>
          <t>Read the database change log to get every change, including deletes.</t>
        </is>
      </c>
      <c r="T9" s="18" t="inlineStr">
        <is>
          <t>CDC is reading the shop's till roll instead of recounting the shelves.</t>
        </is>
      </c>
      <c r="U9" s="18" t="inlineStr">
        <is>
          <t>Snapshot first, then stream the changes.</t>
        </is>
      </c>
      <c r="V9" s="18" t="inlineStr">
        <is>
          <t>A connector sending each order update to a stream.</t>
        </is>
      </c>
      <c r="W9" s="18" t="inlineStr">
        <is>
          <t>A delete event removing a row in the target.</t>
        </is>
      </c>
      <c r="X9" s="18" t="inlineStr">
        <is>
          <t>An initial snapshot followed by continuous changes.</t>
        </is>
      </c>
      <c r="Y9" s="18" t="inlineStr">
        <is>
          <t>full vs incremental, Kafka basics, slowly changing data, upserts</t>
        </is>
      </c>
      <c r="Z9" s="18" t="inlineStr">
        <is>
          <t>CDC, transaction log, snapshot, event, Debezium</t>
        </is>
      </c>
      <c r="AA9" s="18" t="inlineStr">
        <is>
          <t>Replication | Near real-time sync | Migrations</t>
        </is>
      </c>
      <c r="AB9" s="18" t="inlineStr">
        <is>
          <t>A: We must see deleted rows in the warehouse. | B: Use change data capture instead of a timestamp watermark.</t>
        </is>
      </c>
      <c r="AC9" s="18" t="inlineStr">
        <is>
          <t>✗ CDC is just a faster way of polling → ✓ It reads the log, so it also sees deletes and the order of changes</t>
        </is>
      </c>
      <c r="AD9" s="18" t="inlineStr">
        <is>
          <t>CDC vs polling: CDC reads the log, polling queries tables.</t>
        </is>
      </c>
      <c r="AE9" s="18" t="inlineStr">
        <is>
          <t>Do not forget the initial snapshot.</t>
        </is>
      </c>
      <c r="AF9" s="18" t="inlineStr">
        <is>
          <t>Log first, snapshot once, then stream.</t>
        </is>
      </c>
      <c r="AG9" s="18" t="inlineStr">
        <is>
          <t>Using CDC kept a reporting table in step with deletes in the customer database.</t>
        </is>
      </c>
      <c r="AH9" s="18" t="inlineStr">
        <is>
          <t>An interviewer may ask: What can CDC do that a timestamp watermark cannot?</t>
        </is>
      </c>
      <c r="AI9" s="18" t="inlineStr">
        <is>
          <t>It is like reading a till roll.</t>
        </is>
      </c>
      <c r="AJ9" s="18" t="inlineStr">
        <is>
          <t>What does CDC read?</t>
        </is>
      </c>
      <c r="AK9" s="18" t="inlineStr">
        <is>
          <t>A) A password file B) The web page C) The database transaction log D) A spreadsheet</t>
        </is>
      </c>
      <c r="AL9" s="18" t="inlineStr">
        <is>
          <t>C</t>
        </is>
      </c>
      <c r="AM9" s="18" t="inlineStr">
        <is>
          <t>The log records every change.</t>
        </is>
      </c>
      <c r="AN9" s="18" t="inlineStr">
        <is>
          <t>The first full copy before streaming changes is a ____ → snapshot</t>
        </is>
      </c>
      <c r="AO9" s="18" t="inlineStr">
        <is>
          <t>A target must reflect deleted rows. Which method fits? → Change data capture</t>
        </is>
      </c>
      <c r="AP9" s="18" t="inlineStr">
        <is>
          <t>Explain CDC in three lines.</t>
        </is>
      </c>
      <c r="AQ9" s="18" t="inlineStr">
        <is>
          <t>List two benefits and two risks of CDC.</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ETL-012</t>
        </is>
      </c>
      <c r="B10" s="17" t="inlineStr">
        <is>
          <t>02 Extract</t>
        </is>
      </c>
      <c r="C10" s="17" t="inlineStr">
        <is>
          <t>Intermediate</t>
        </is>
      </c>
      <c r="D10" s="17" t="n">
        <v>12</v>
      </c>
      <c r="E10" s="17" t="inlineStr">
        <is>
          <t>Claude knowledge</t>
        </is>
      </c>
      <c r="F10" s="18" t="inlineStr">
        <is>
          <t>Credentials in pipelines</t>
        </is>
      </c>
      <c r="G10" s="18" t="inlineStr">
        <is>
          <t>How do you store and use passwords and tokens for sources without leaking them?</t>
        </is>
      </c>
      <c r="H10" s="18" t="inlineStr">
        <is>
          <t>Core concept</t>
        </is>
      </c>
      <c r="I10" s="18" t="inlineStr">
        <is>
          <t>Very high</t>
        </is>
      </c>
      <c r="J10" s="18" t="n">
        <v>5</v>
      </c>
      <c r="K10" s="18" t="inlineStr">
        <is>
          <t>Pipelines need access to many systems, and leaked credentials are a common cause of breaches, so secure handling is part of the design.</t>
        </is>
      </c>
      <c r="L10" s="18" t="inlineStr">
        <is>
          <t>Use a secrets manager and the narrowest access that works.</t>
        </is>
      </c>
      <c r="M10" s="18" t="inlineStr">
        <is>
          <t>Credentials are keys on a ring, and you hand each job only the key to its own door.</t>
        </is>
      </c>
      <c r="N10" s="18" t="inlineStr">
        <is>
          <t>A job fetching a secret at run time from a vault.</t>
        </is>
      </c>
      <c r="O10" s="18" t="inlineStr">
        <is>
          <t>The peace of keeping secrets out of the code.</t>
        </is>
      </c>
      <c r="P10" s="18" t="inlineStr">
        <is>
          <t>Pipeline credentials are secrets used to access sources and targets, and they should be stored in a secrets manager, injected at run time, scoped to least privilege and rotated.</t>
        </is>
      </c>
      <c r="Q10" s="17" t="n"/>
      <c r="R10" s="18" t="inlineStr">
        <is>
          <t>Never hard-code passwords in scripts or commit them to Git. Use environment variables from a secrets system, or short-lived tokens through roles. Give each pipeline its own read-only account for sources. Log access but never log secret values. Rotate secrets on a schedule and after any leak, and test that rotation does not break jobs.</t>
        </is>
      </c>
      <c r="S10" s="18" t="inlineStr">
        <is>
          <t>Keep secrets in a vault, give each job a narrow read-only account, and never print them.</t>
        </is>
      </c>
      <c r="T10" s="18" t="inlineStr">
        <is>
          <t>Credentials are keys on a ring, and each job receives only its own key.</t>
        </is>
      </c>
      <c r="U10" s="18" t="inlineStr">
        <is>
          <t>Vault + least privilege + rotation + no logging.</t>
        </is>
      </c>
      <c r="V10" s="18" t="inlineStr">
        <is>
          <t>A job reading a password from a secrets manager.</t>
        </is>
      </c>
      <c r="W10" s="18" t="inlineStr">
        <is>
          <t>A read-only database user for the extract.</t>
        </is>
      </c>
      <c r="X10" s="18" t="inlineStr">
        <is>
          <t>A rotation test before the schedule changes.</t>
        </is>
      </c>
      <c r="Y10" s="18" t="inlineStr">
        <is>
          <t>secrets and KMS, least privilege, extract from APIs, error handling</t>
        </is>
      </c>
      <c r="Z10" s="18" t="inlineStr">
        <is>
          <t>secret, token, vault, rotation, read-only</t>
        </is>
      </c>
      <c r="AA10" s="18" t="inlineStr">
        <is>
          <t>Every pipeline | Customer integrations | Security reviews</t>
        </is>
      </c>
      <c r="AB10" s="18" t="inlineStr">
        <is>
          <t>A: Where is the database password stored? | B: In the secrets manager, and the job reads it at run time.</t>
        </is>
      </c>
      <c r="AC10" s="18" t="inlineStr">
        <is>
          <t>✗ A private repository is a safe place for passwords → ✓ Secrets in Git history can leak, so use a vault</t>
        </is>
      </c>
      <c r="AD10" s="18" t="inlineStr">
        <is>
          <t>Hard-coded vs injected secrets: hard-coded ones leak, injected ones stay outside the code.</t>
        </is>
      </c>
      <c r="AE10" s="18" t="inlineStr">
        <is>
          <t>Do not print connection strings in logs.</t>
        </is>
      </c>
      <c r="AF10" s="18" t="inlineStr">
        <is>
          <t>Vault it, scope it, rotate it.</t>
        </is>
      </c>
      <c r="AG10" s="18" t="inlineStr">
        <is>
          <t>Replacing passwords in scripts with vault lookups passed a customer security review.</t>
        </is>
      </c>
      <c r="AH10" s="18" t="inlineStr">
        <is>
          <t>An interviewer may ask: How do you handle secrets in a data pipeline?</t>
        </is>
      </c>
      <c r="AI10" s="18" t="inlineStr">
        <is>
          <t>It is like keys on a ring for each door.</t>
        </is>
      </c>
      <c r="AJ10" s="18" t="inlineStr">
        <is>
          <t>Where should pipeline passwords live?</t>
        </is>
      </c>
      <c r="AK10" s="18" t="inlineStr">
        <is>
          <t>A) A secrets manager B) The source code C) A spreadsheet D) A chat message</t>
        </is>
      </c>
      <c r="AL10" s="18" t="inlineStr">
        <is>
          <t>A</t>
        </is>
      </c>
      <c r="AM10" s="18" t="inlineStr">
        <is>
          <t>Vaults control and audit access.</t>
        </is>
      </c>
      <c r="AN10" s="18" t="inlineStr">
        <is>
          <t>Changing a secret on a schedule is called ____ → rotation</t>
        </is>
      </c>
      <c r="AO10" s="18" t="inlineStr">
        <is>
          <t>A script has a password in its code. What do you do? → Move it to a secrets manager and rotate it</t>
        </is>
      </c>
      <c r="AP10" s="18" t="inlineStr">
        <is>
          <t>Explain how to handle credentials in pipelines in three lines.</t>
        </is>
      </c>
      <c r="AQ10" s="18" t="inlineStr">
        <is>
          <t>List three rules for source accounts used by a pipeline.</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08" customHeight="1">
      <c r="A11" s="17" t="inlineStr">
        <is>
          <t>ETL-023</t>
        </is>
      </c>
      <c r="B11" s="17" t="inlineStr">
        <is>
          <t>04 Load</t>
        </is>
      </c>
      <c r="C11" s="17" t="inlineStr">
        <is>
          <t>Intermediate</t>
        </is>
      </c>
      <c r="D11" s="17" t="n">
        <v>23</v>
      </c>
      <c r="E11" s="17" t="inlineStr">
        <is>
          <t>Claude knowledge</t>
        </is>
      </c>
      <c r="F11" s="18" t="inlineStr">
        <is>
          <t>File formats: CSV, JSON and Parquet</t>
        </is>
      </c>
      <c r="G11" s="18" t="inlineStr">
        <is>
          <t>Which common file formats store data, and how do they differ in size, speed and types?</t>
        </is>
      </c>
      <c r="H11" s="18" t="inlineStr">
        <is>
          <t>Core concept</t>
        </is>
      </c>
      <c r="I11" s="18" t="inlineStr">
        <is>
          <t>Very high</t>
        </is>
      </c>
      <c r="J11" s="18" t="n">
        <v>5</v>
      </c>
      <c r="K11" s="18" t="inlineStr">
        <is>
          <t>Data moves between systems as files, and each format trades readability against size, speed and type safety.</t>
        </is>
      </c>
      <c r="L11" s="18" t="inlineStr">
        <is>
          <t>Use Parquet for analytics storage and CSV or JSON only for exchange.</t>
        </is>
      </c>
      <c r="M11" s="18" t="inlineStr">
        <is>
          <t>CSV is a plain notebook, JSON is a notebook with nested notes, and Parquet is a compressed filing cabinet organised by column.</t>
        </is>
      </c>
      <c r="N11" s="18" t="inlineStr">
        <is>
          <t>Three file icons labelled by readability and size.</t>
        </is>
      </c>
      <c r="O11" s="18" t="inlineStr">
        <is>
          <t>The satisfaction of choosing a format that saves money.</t>
        </is>
      </c>
      <c r="P11" s="18" t="inlineStr">
        <is>
          <t>CSV is a plain text table with no types, JSON is nested text with basic types, and Parquet is a compressed columnar binary format with a schema.</t>
        </is>
      </c>
      <c r="Q11" s="17" t="n"/>
      <c r="R11" s="18" t="inlineStr">
        <is>
          <t>CSV is easy to open but has no types, and commas, quotes and encodings cause errors. JSON handles nested data and is common for APIs, but is large and slow to scan. Parquet stores columns together, compresses well and carries a schema, so analytical queries read only the columns they need. Avro suits row-wise streaming records with schemas.</t>
        </is>
      </c>
      <c r="S11" s="18" t="inlineStr">
        <is>
          <t>Exchange with CSV or JSON, and store analytics data as Parquet.</t>
        </is>
      </c>
      <c r="T11" s="18" t="inlineStr">
        <is>
          <t>CSV is a plain notebook, JSON is a notebook with nested notes, and Parquet is a compressed filing cabinet.</t>
        </is>
      </c>
      <c r="U11" s="18" t="inlineStr">
        <is>
          <t>Readable = CSV and JSON. Fast and small = Parquet.</t>
        </is>
      </c>
      <c r="V11" s="18" t="inlineStr">
        <is>
          <t>A CSV export opened in a spreadsheet.</t>
        </is>
      </c>
      <c r="W11" s="18" t="inlineStr">
        <is>
          <t>A JSON API response with nested objects.</t>
        </is>
      </c>
      <c r="X11" s="18" t="inlineStr">
        <is>
          <t>A Parquet file read by a warehouse for one column.</t>
        </is>
      </c>
      <c r="Y11" s="18" t="inlineStr">
        <is>
          <t>warehouse vs lake, partitions, schemas, cost and performance</t>
        </is>
      </c>
      <c r="Z11" s="18" t="inlineStr">
        <is>
          <t>CSV, JSON, Parquet, Avro, columnar</t>
        </is>
      </c>
      <c r="AA11" s="18" t="inlineStr">
        <is>
          <t>Data lakes | Exports | APIs</t>
        </is>
      </c>
      <c r="AB11" s="18" t="inlineStr">
        <is>
          <t>A: The lake bill is high and queries are slow. | B: Convert the raw CSV files into Parquet.</t>
        </is>
      </c>
      <c r="AC11" s="18" t="inlineStr">
        <is>
          <t>✗ CSV is a safe format for any data → ✓ It has no types, and quotes, commas and encodings often break it</t>
        </is>
      </c>
      <c r="AD11" s="18" t="inlineStr">
        <is>
          <t>Row vs columnar: CSV stores rows, Parquet stores columns together.</t>
        </is>
      </c>
      <c r="AE11" s="18" t="inlineStr">
        <is>
          <t>Do not store analytics data as large uncompressed CSV files.</t>
        </is>
      </c>
      <c r="AF11" s="18" t="inlineStr">
        <is>
          <t>Parquet stores columns, CSV stores lines.</t>
        </is>
      </c>
      <c r="AG11" s="18" t="inlineStr">
        <is>
          <t>Converting a lake from CSV to Parquet cut storage and query cost substantially.</t>
        </is>
      </c>
      <c r="AH11" s="18" t="inlineStr">
        <is>
          <t>An interviewer may ask: Why is Parquet good for analytics?</t>
        </is>
      </c>
      <c r="AI11" s="18" t="inlineStr">
        <is>
          <t>It is like a compressed filing cabinet.</t>
        </is>
      </c>
      <c r="AJ11" s="18" t="inlineStr">
        <is>
          <t>Which format stores data by column with a schema?</t>
        </is>
      </c>
      <c r="AK11" s="18" t="inlineStr">
        <is>
          <t>A) JSON B) Text C) CSV D) Parquet</t>
        </is>
      </c>
      <c r="AL11" s="18" t="inlineStr">
        <is>
          <t>D</t>
        </is>
      </c>
      <c r="AM11" s="18" t="inlineStr">
        <is>
          <t>Parquet is columnar and typed.</t>
        </is>
      </c>
      <c r="AN11" s="18" t="inlineStr">
        <is>
          <t>Parquet is a ____ storage format → columnar</t>
        </is>
      </c>
      <c r="AO11" s="18" t="inlineStr">
        <is>
          <t>Large analytics tables need small, fast storage. Which format? → Parquet</t>
        </is>
      </c>
      <c r="AP11" s="18" t="inlineStr">
        <is>
          <t>Explain the three formats in three lines.</t>
        </is>
      </c>
      <c r="AQ11" s="18" t="inlineStr">
        <is>
          <t>Choose a format for an API payload, an export and a lake table.</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108" customHeight="1">
      <c r="A12" s="17" t="inlineStr">
        <is>
          <t>ETL-024</t>
        </is>
      </c>
      <c r="B12" s="17" t="inlineStr">
        <is>
          <t>04 Load</t>
        </is>
      </c>
      <c r="C12" s="17" t="inlineStr">
        <is>
          <t>Beginner</t>
        </is>
      </c>
      <c r="D12" s="17" t="n">
        <v>24</v>
      </c>
      <c r="E12" s="17" t="inlineStr">
        <is>
          <t>Claude knowledge</t>
        </is>
      </c>
      <c r="F12" s="18" t="inlineStr">
        <is>
          <t>Schemas</t>
        </is>
      </c>
      <c r="G12" s="18" t="inlineStr">
        <is>
          <t>Which definitions say the names, types and rules of each column in a table?</t>
        </is>
      </c>
      <c r="H12" s="18" t="inlineStr">
        <is>
          <t>Core concept</t>
        </is>
      </c>
      <c r="I12" s="18" t="inlineStr">
        <is>
          <t>Very high</t>
        </is>
      </c>
      <c r="J12" s="18" t="n">
        <v>5</v>
      </c>
      <c r="K12" s="18" t="inlineStr">
        <is>
          <t>Data without agreed structure produces errors, so schemas state what every column should be.</t>
        </is>
      </c>
      <c r="L12" s="18" t="inlineStr">
        <is>
          <t>Enforce schemas on write where possible, so bad data is stopped early.</t>
        </is>
      </c>
      <c r="M12" s="18" t="inlineStr">
        <is>
          <t>A schema is the blueprint of a table that says what goes in each room.</t>
        </is>
      </c>
      <c r="N12" s="18" t="inlineStr">
        <is>
          <t>A table header with column names, types and constraints.</t>
        </is>
      </c>
      <c r="O12" s="18" t="inlineStr">
        <is>
          <t>The comfort of data that has a known shape.</t>
        </is>
      </c>
      <c r="P12" s="18" t="inlineStr">
        <is>
          <t>A schema defines the columns of a table or file, with their names, data types, nullability and constraints such as keys.</t>
        </is>
      </c>
      <c r="Q12" s="17" t="n"/>
      <c r="R12" s="18" t="inlineStr">
        <is>
          <t>Schema on write rejects data that does not fit when it is stored, while schema on read applies structure only when the data is queried. Constraints such as not null, unique and primary key protect quality. Schemas also describe files such as Parquet and messages in streams. Documenting meaning, not only types, helps users.</t>
        </is>
      </c>
      <c r="S12" s="18" t="inlineStr">
        <is>
          <t>Define columns and rules, and enforce them early.</t>
        </is>
      </c>
      <c r="T12" s="18" t="inlineStr">
        <is>
          <t>A schema is the blueprint of a table that says what goes in each room.</t>
        </is>
      </c>
      <c r="U12" s="18" t="inlineStr">
        <is>
          <t>Name + type + nullability + constraints.</t>
        </is>
      </c>
      <c r="V12" s="18" t="inlineStr">
        <is>
          <t>A table with a primary key and a not null email.</t>
        </is>
      </c>
      <c r="W12" s="18" t="inlineStr">
        <is>
          <t>A Parquet file with a typed schema.</t>
        </is>
      </c>
      <c r="X12" s="18" t="inlineStr">
        <is>
          <t>A stream message with a registered schema.</t>
        </is>
      </c>
      <c r="Y12" s="18" t="inlineStr">
        <is>
          <t>data contracts, schema changes, types and nulls, file formats</t>
        </is>
      </c>
      <c r="Z12" s="18" t="inlineStr">
        <is>
          <t>schema, constraint, primary key, type, nullability</t>
        </is>
      </c>
      <c r="AA12" s="18" t="inlineStr">
        <is>
          <t>Databases | Lakes | Streams</t>
        </is>
      </c>
      <c r="AB12" s="18" t="inlineStr">
        <is>
          <t>A: Can this column be empty? | B: The schema says not null, so reject rows without it.</t>
        </is>
      </c>
      <c r="AC12" s="18" t="inlineStr">
        <is>
          <t>✗ A schema is only documentation → ✓ It is a set of rules that can be enforced by the system</t>
        </is>
      </c>
      <c r="AD12" s="18" t="inlineStr">
        <is>
          <t>Schema on write vs schema on read: one checks when storing, the other when querying.</t>
        </is>
      </c>
      <c r="AE12" s="18" t="inlineStr">
        <is>
          <t>Do not leave key columns without constraints.</t>
        </is>
      </c>
      <c r="AF12" s="18" t="inlineStr">
        <is>
          <t>Define the shape, then enforce the shape.</t>
        </is>
      </c>
      <c r="AG12" s="18" t="inlineStr">
        <is>
          <t>Adding not-null constraints stopped half-empty rows reaching the reporting tables.</t>
        </is>
      </c>
      <c r="AH12" s="18" t="inlineStr">
        <is>
          <t>An interviewer may ask: What is the difference between schema on write and on read?</t>
        </is>
      </c>
      <c r="AI12" s="18" t="inlineStr">
        <is>
          <t>It is like a blueprint for a table.</t>
        </is>
      </c>
      <c r="AJ12" s="18" t="inlineStr">
        <is>
          <t>Which constraint stops duplicate keys?</t>
        </is>
      </c>
      <c r="AK12" s="18" t="inlineStr">
        <is>
          <t>A) A schema name B) A comment C) Primary key D) View</t>
        </is>
      </c>
      <c r="AL12" s="18" t="inlineStr">
        <is>
          <t>C</t>
        </is>
      </c>
      <c r="AM12" s="18" t="inlineStr">
        <is>
          <t>A primary key enforces uniqueness.</t>
        </is>
      </c>
      <c r="AN12" s="18" t="inlineStr">
        <is>
          <t>Rules that protect columns are called ____ → constraints</t>
        </is>
      </c>
      <c r="AO12" s="18" t="inlineStr">
        <is>
          <t>Rows without an email keep arriving. What do you add? → A not null constraint</t>
        </is>
      </c>
      <c r="AP12" s="18" t="inlineStr">
        <is>
          <t>Explain schemas in three lines.</t>
        </is>
      </c>
      <c r="AQ12" s="18" t="inlineStr">
        <is>
          <t>Write a schema for a customers table with four columns.</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121.5" customHeight="1">
      <c r="A13" s="17" t="inlineStr">
        <is>
          <t>ETL-025</t>
        </is>
      </c>
      <c r="B13" s="17" t="inlineStr">
        <is>
          <t>04 Load</t>
        </is>
      </c>
      <c r="C13" s="17" t="inlineStr">
        <is>
          <t>Advanced</t>
        </is>
      </c>
      <c r="D13" s="17" t="n">
        <v>25</v>
      </c>
      <c r="E13" s="17" t="inlineStr">
        <is>
          <t>Claude knowledge</t>
        </is>
      </c>
      <c r="F13" s="18" t="inlineStr">
        <is>
          <t>Schema changes</t>
        </is>
      </c>
      <c r="G13" s="18" t="inlineStr">
        <is>
          <t>How do you handle sources that add, remove or change columns over time?</t>
        </is>
      </c>
      <c r="H13" s="18" t="inlineStr">
        <is>
          <t>Core concept</t>
        </is>
      </c>
      <c r="I13" s="18" t="inlineStr">
        <is>
          <t>High</t>
        </is>
      </c>
      <c r="J13" s="18" t="n">
        <v>5</v>
      </c>
      <c r="K13" s="18" t="inlineStr">
        <is>
          <t>Source systems evolve, so pipelines that assume a fixed shape break unless they detect and absorb changes safely.</t>
        </is>
      </c>
      <c r="L13" s="18" t="inlineStr">
        <is>
          <t>Prefer additive changes and test for breaking ones automatically.</t>
        </is>
      </c>
      <c r="M13" s="18" t="inlineStr">
        <is>
          <t>A schema change is a rebuild of one room while guests still live in the house.</t>
        </is>
      </c>
      <c r="N13" s="18" t="inlineStr">
        <is>
          <t>A column appearing in the source and an alert in the pipeline.</t>
        </is>
      </c>
      <c r="O13" s="18" t="inlineStr">
        <is>
          <t>The relief of an alert before a break.</t>
        </is>
      </c>
      <c r="P13" s="18" t="inlineStr">
        <is>
          <t>Schema evolution is the process of detecting and applying changes such as new, renamed, removed or retyped columns without breaking downstream users.</t>
        </is>
      </c>
      <c r="Q13" s="17" t="n"/>
      <c r="R13" s="18" t="inlineStr">
        <is>
          <t>Adding a nullable column is usually safe. Renames and removals break consumers, and type changes can lose precision. Pipelines can compare the incoming schema with the expected one and fail loudly, or evolve the target automatically for safe changes. Expand and contract migrations let old and new live together. Communicating changes through contracts avoids surprises.</t>
        </is>
      </c>
      <c r="S13" s="18" t="inlineStr">
        <is>
          <t>Detect changes, allow safe additions, and treat renames, removals and type changes as breaking.</t>
        </is>
      </c>
      <c r="T13" s="18" t="inlineStr">
        <is>
          <t>A schema change is rebuilding one room while guests still live in the house.</t>
        </is>
      </c>
      <c r="U13" s="18" t="inlineStr">
        <is>
          <t>Additive = usually safe. Rename, remove, retype = breaking.</t>
        </is>
      </c>
      <c r="V13" s="18" t="inlineStr">
        <is>
          <t>A new nullable column added by the source.</t>
        </is>
      </c>
      <c r="W13" s="18" t="inlineStr">
        <is>
          <t>A renamed column that fails a contract test.</t>
        </is>
      </c>
      <c r="X13" s="18" t="inlineStr">
        <is>
          <t>A type change from integer to text.</t>
        </is>
      </c>
      <c r="Y13" s="18" t="inlineStr">
        <is>
          <t>data contracts, schemas, dbt basics, alerts</t>
        </is>
      </c>
      <c r="Z13" s="18" t="inlineStr">
        <is>
          <t>evolution, additive, breaking, drift, migration</t>
        </is>
      </c>
      <c r="AA13" s="18" t="inlineStr">
        <is>
          <t>Source integrations | Platform operations | Releases</t>
        </is>
      </c>
      <c r="AB13" s="18" t="inlineStr">
        <is>
          <t>A: The source added a column overnight. | B: That is additive, so the target can take it without breaking.</t>
        </is>
      </c>
      <c r="AC13" s="18" t="inlineStr">
        <is>
          <t>✗ All schema changes can be ignored by the pipeline → ✓ Breaking changes silently corrupt or drop data if not detected</t>
        </is>
      </c>
      <c r="AD13" s="18" t="inlineStr">
        <is>
          <t>Additive vs breaking change: adding is usually safe, renaming or removing is not.</t>
        </is>
      </c>
      <c r="AE13" s="18" t="inlineStr">
        <is>
          <t>Do not let the pipeline silently drop unknown columns.</t>
        </is>
      </c>
      <c r="AF13" s="18" t="inlineStr">
        <is>
          <t>Add freely, rename and remove with warning.</t>
        </is>
      </c>
      <c r="AG13" s="18" t="inlineStr">
        <is>
          <t>A schema comparison step caught a type change before it corrupted a revenue table.</t>
        </is>
      </c>
      <c r="AH13" s="18" t="inlineStr">
        <is>
          <t>An interviewer may ask: How do you detect schema drift?</t>
        </is>
      </c>
      <c r="AI13" s="18" t="inlineStr">
        <is>
          <t>It is like rebuilding one room while guests stay.</t>
        </is>
      </c>
      <c r="AJ13" s="18" t="inlineStr">
        <is>
          <t>Which change is usually safe?</t>
        </is>
      </c>
      <c r="AK13" s="18" t="inlineStr">
        <is>
          <t>A) Removing a column B) Changing a type C) Adding a nullable column D) Renaming a column</t>
        </is>
      </c>
      <c r="AL13" s="18" t="inlineStr">
        <is>
          <t>C</t>
        </is>
      </c>
      <c r="AM13" s="18" t="inlineStr">
        <is>
          <t>Consumers that ignore the new column are unaffected.</t>
        </is>
      </c>
      <c r="AN13" s="18" t="inlineStr">
        <is>
          <t>A gradual difference between expected and actual schema is called ____ → drift</t>
        </is>
      </c>
      <c r="AO13" s="18" t="inlineStr">
        <is>
          <t>A source renames a column. What kind of change is it? → A breaking change</t>
        </is>
      </c>
      <c r="AP13" s="18" t="inlineStr">
        <is>
          <t>Explain schema changes in three lines.</t>
        </is>
      </c>
      <c r="AQ13" s="18" t="inlineStr">
        <is>
          <t>Write a rule for what the pipeline does with each kind of change.</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21.5" customHeight="1">
      <c r="A14" s="17" t="inlineStr">
        <is>
          <t>ETL-029</t>
        </is>
      </c>
      <c r="B14" s="17" t="inlineStr">
        <is>
          <t>05 Reliability</t>
        </is>
      </c>
      <c r="C14" s="17" t="inlineStr">
        <is>
          <t>Intermediate</t>
        </is>
      </c>
      <c r="D14" s="17" t="n">
        <v>29</v>
      </c>
      <c r="E14" s="17" t="inlineStr">
        <is>
          <t>Claude knowledge</t>
        </is>
      </c>
      <c r="F14" s="18" t="inlineStr">
        <is>
          <t>Backfills</t>
        </is>
      </c>
      <c r="G14" s="18" t="inlineStr">
        <is>
          <t>How do you reprocess historical data after a fix or a late source change?</t>
        </is>
      </c>
      <c r="H14" s="18" t="inlineStr">
        <is>
          <t>Core concept</t>
        </is>
      </c>
      <c r="I14" s="18" t="inlineStr">
        <is>
          <t>High</t>
        </is>
      </c>
      <c r="J14" s="18" t="n">
        <v>4</v>
      </c>
      <c r="K14" s="18" t="inlineStr">
        <is>
          <t>Bugs, new columns and late data mean old periods must be recomputed, so pipelines are built to run for past dates on demand.</t>
        </is>
      </c>
      <c r="L14" s="18" t="inlineStr">
        <is>
          <t>Run backfills in small ranges and check the results before widening.</t>
        </is>
      </c>
      <c r="M14" s="18" t="inlineStr">
        <is>
          <t>A backfill is rewinding the tape and replaying it with the fixed machine.</t>
        </is>
      </c>
      <c r="N14" s="18" t="inlineStr">
        <is>
          <t>A timeline with a range of past days being rerun.</t>
        </is>
      </c>
      <c r="O14" s="18" t="inlineStr">
        <is>
          <t>The relief of fixing history without panic.</t>
        </is>
      </c>
      <c r="P14" s="18" t="inlineStr">
        <is>
          <t>A backfill runs a pipeline for past time ranges to create or correct historical data, using the same logic with the original logical dates.</t>
        </is>
      </c>
      <c r="Q14" s="17" t="n"/>
      <c r="R14" s="18" t="inlineStr">
        <is>
          <t>Idempotent, partitioned jobs make backfills safe, since each past day is replaced cleanly. Orchestrators can schedule runs for each missed date. Throttle concurrency so sources and targets are not overwhelmed. Sources may no longer have old data, which is why raw copies matter. Validate counts against the original before and after, and tell downstream users.</t>
        </is>
      </c>
      <c r="S14" s="18" t="inlineStr">
        <is>
          <t>Rerun past dates with the same code, one range at a time, and compare results.</t>
        </is>
      </c>
      <c r="T14" s="18" t="inlineStr">
        <is>
          <t>A backfill is rewinding the tape and replaying it with the fixed machine.</t>
        </is>
      </c>
      <c r="U14" s="18" t="inlineStr">
        <is>
          <t>Same logic + past dates + idempotent runs.</t>
        </is>
      </c>
      <c r="V14" s="18" t="inlineStr">
        <is>
          <t>Rerunning 30 days after a bug fix.</t>
        </is>
      </c>
      <c r="W14" s="18" t="inlineStr">
        <is>
          <t>Loading a new column for last year's data.</t>
        </is>
      </c>
      <c r="X14" s="18" t="inlineStr">
        <is>
          <t>Replaying raw files into a corrected model.</t>
        </is>
      </c>
      <c r="Y14" s="18" t="inlineStr">
        <is>
          <t>idempotency, partitions, orchestration, late-arriving data</t>
        </is>
      </c>
      <c r="Z14" s="18" t="inlineStr">
        <is>
          <t>backfill, replay, catch-up, logical date, range</t>
        </is>
      </c>
      <c r="AA14" s="18" t="inlineStr">
        <is>
          <t>Bug fixes | Migrations | New metrics</t>
        </is>
      </c>
      <c r="AB14" s="18" t="inlineStr">
        <is>
          <t>A: We fixed the bug, but last month is still wrong. | B: Backfill that month, one week at a time.</t>
        </is>
      </c>
      <c r="AC14" s="18" t="inlineStr">
        <is>
          <t>✗ A backfill can safely run all history at once → ✓ It can overload sources and targets, so run in controlled ranges</t>
        </is>
      </c>
      <c r="AD14" s="18" t="inlineStr">
        <is>
          <t>Backfill vs normal run: a backfill reruns past dates, a normal run handles the current one.</t>
        </is>
      </c>
      <c r="AE14" s="18" t="inlineStr">
        <is>
          <t>Do not backfill a non-idempotent job.</t>
        </is>
      </c>
      <c r="AF14" s="18" t="inlineStr">
        <is>
          <t>Small ranges, same logic, check, then widen.</t>
        </is>
      </c>
      <c r="AG14" s="18" t="inlineStr">
        <is>
          <t>Backfilling thirty days in daily chunks corrected a revenue metric without load spikes.</t>
        </is>
      </c>
      <c r="AH14" s="18" t="inlineStr">
        <is>
          <t>An interviewer may ask: How do you make a backfill safe?</t>
        </is>
      </c>
      <c r="AI14" s="18" t="inlineStr">
        <is>
          <t>It is like replaying a tape with a fixed machine.</t>
        </is>
      </c>
      <c r="AJ14" s="18" t="inlineStr">
        <is>
          <t>What makes backfills safe?</t>
        </is>
      </c>
      <c r="AK14" s="18" t="inlineStr">
        <is>
          <t>A) Bigger schedules B) Manual edits C) Deleting logs D) Idempotent, partitioned jobs</t>
        </is>
      </c>
      <c r="AL14" s="18" t="inlineStr">
        <is>
          <t>D</t>
        </is>
      </c>
      <c r="AM14" s="18" t="inlineStr">
        <is>
          <t>Each past slice can be replaced cleanly.</t>
        </is>
      </c>
      <c r="AN14" s="18" t="inlineStr">
        <is>
          <t>Running a pipeline for past dates is a ____ → backfill</t>
        </is>
      </c>
      <c r="AO14" s="18" t="inlineStr">
        <is>
          <t>A bug corrupted last month's data. What do you do after fixing it? → Backfill that month in small ranges</t>
        </is>
      </c>
      <c r="AP14" s="18" t="inlineStr">
        <is>
          <t>Explain backfills in three lines.</t>
        </is>
      </c>
      <c r="AQ14" s="18" t="inlineStr">
        <is>
          <t>Plan a backfill for 90 days and list the checks.</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108" customHeight="1">
      <c r="A15" s="17" t="inlineStr">
        <is>
          <t>ETL-031</t>
        </is>
      </c>
      <c r="B15" s="17" t="inlineStr">
        <is>
          <t>05 Reliability</t>
        </is>
      </c>
      <c r="C15" s="17" t="inlineStr">
        <is>
          <t>Advanced</t>
        </is>
      </c>
      <c r="D15" s="17" t="n">
        <v>31</v>
      </c>
      <c r="E15" s="17" t="inlineStr">
        <is>
          <t>Claude knowledge</t>
        </is>
      </c>
      <c r="F15" s="18" t="inlineStr">
        <is>
          <t>Lineage</t>
        </is>
      </c>
      <c r="G15" s="18" t="inlineStr">
        <is>
          <t>Which map shows where each dataset comes from and which reports depend on it?</t>
        </is>
      </c>
      <c r="H15" s="18" t="inlineStr">
        <is>
          <t>Core concept</t>
        </is>
      </c>
      <c r="I15" s="18" t="inlineStr">
        <is>
          <t>Medium</t>
        </is>
      </c>
      <c r="J15" s="18" t="n">
        <v>4</v>
      </c>
      <c r="K15" s="18" t="inlineStr">
        <is>
          <t>When a number looks wrong or a source changes, teams need to trace upstream causes and downstream effects quickly.</t>
        </is>
      </c>
      <c r="L15" s="18" t="inlineStr">
        <is>
          <t>Use lineage to answer what breaks if this table changes.</t>
        </is>
      </c>
      <c r="M15" s="18" t="inlineStr">
        <is>
          <t>Lineage is a family tree of data, showing parents and children.</t>
        </is>
      </c>
      <c r="N15" s="18" t="inlineStr">
        <is>
          <t>A graph of sources, models and dashboards connected by arrows.</t>
        </is>
      </c>
      <c r="O15" s="18" t="inlineStr">
        <is>
          <t>The calm of knowing exactly what a change will touch.</t>
        </is>
      </c>
      <c r="P15" s="18" t="inlineStr">
        <is>
          <t>Data lineage records how data flows from sources through transformations to outputs, at the level of tables and sometimes columns.</t>
        </is>
      </c>
      <c r="Q15" s="17" t="n"/>
      <c r="R15" s="18" t="inlineStr">
        <is>
          <t>Upstream lineage helps debug wrong values, and downstream lineage shows who is affected by a change. Tools such as dbt, orchestrators and catalogs build lineage from model references and query logs. Column-level lineage is more precise and also more costly. Lineage supports audits, privacy requests and impact analysis.</t>
        </is>
      </c>
      <c r="S15" s="18" t="inlineStr">
        <is>
          <t>Lineage shows where data came from and what depends on it.</t>
        </is>
      </c>
      <c r="T15" s="18" t="inlineStr">
        <is>
          <t>Lineage is a family tree of data, showing parents and children.</t>
        </is>
      </c>
      <c r="U15" s="18" t="inlineStr">
        <is>
          <t>Upstream = causes. Downstream = impact.</t>
        </is>
      </c>
      <c r="V15" s="18" t="inlineStr">
        <is>
          <t>A dashboard traced back to three source tables.</t>
        </is>
      </c>
      <c r="W15" s="18" t="inlineStr">
        <is>
          <t>A change to one column showing eleven affected models.</t>
        </is>
      </c>
      <c r="X15" s="18" t="inlineStr">
        <is>
          <t>A privacy request locating every table holding a customer id.</t>
        </is>
      </c>
      <c r="Y15" s="18" t="inlineStr">
        <is>
          <t>dbt basics, data contracts, data quality checks, PII and masking</t>
        </is>
      </c>
      <c r="Z15" s="18" t="inlineStr">
        <is>
          <t>lineage, upstream, downstream, catalog, impact</t>
        </is>
      </c>
      <c r="AA15" s="18" t="inlineStr">
        <is>
          <t>Debugging | Audits | Change planning</t>
        </is>
      </c>
      <c r="AB15" s="18" t="inlineStr">
        <is>
          <t>A: If we change this column, what breaks? | B: Lineage shows four models and two dashboards depend on it.</t>
        </is>
      </c>
      <c r="AC15" s="18" t="inlineStr">
        <is>
          <t>✗ Lineage is only for compliance teams → ✓ Engineers use it daily to debug and plan changes</t>
        </is>
      </c>
      <c r="AD15" s="18" t="inlineStr">
        <is>
          <t>Upstream vs downstream: upstream feeds a table, downstream consumes it.</t>
        </is>
      </c>
      <c r="AE15" s="18" t="inlineStr">
        <is>
          <t>Do not change shared tables without checking downstream users.</t>
        </is>
      </c>
      <c r="AF15" s="18" t="inlineStr">
        <is>
          <t>Look up for causes, down for impact.</t>
        </is>
      </c>
      <c r="AG15" s="18" t="inlineStr">
        <is>
          <t>Using lineage to find all consumers made a column removal safe and planned.</t>
        </is>
      </c>
      <c r="AH15" s="18" t="inlineStr">
        <is>
          <t>An interviewer may ask: How do you find what a schema change will affect?</t>
        </is>
      </c>
      <c r="AI15" s="18" t="inlineStr">
        <is>
          <t>It is like a family tree of data.</t>
        </is>
      </c>
      <c r="AJ15" s="18" t="inlineStr">
        <is>
          <t>What does downstream lineage tell you?</t>
        </is>
      </c>
      <c r="AK15" s="18" t="inlineStr">
        <is>
          <t>A) The data size B) Where the data came from C) Who depends on this data D) The cost</t>
        </is>
      </c>
      <c r="AL15" s="18" t="inlineStr">
        <is>
          <t>C</t>
        </is>
      </c>
      <c r="AM15" s="18" t="inlineStr">
        <is>
          <t>Downstream shows consumers of the dataset.</t>
        </is>
      </c>
      <c r="AN15" s="18" t="inlineStr">
        <is>
          <t>Tables that feed a model are ____ of it → upstream</t>
        </is>
      </c>
      <c r="AO15" s="18" t="inlineStr">
        <is>
          <t>You plan to rename a column. What do you check first? → Downstream lineage</t>
        </is>
      </c>
      <c r="AP15" s="18" t="inlineStr">
        <is>
          <t>Explain data lineage in three lines.</t>
        </is>
      </c>
      <c r="AQ15" s="18" t="inlineStr">
        <is>
          <t>Draw lineage for a dashboard fed by two models.</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108" customHeight="1">
      <c r="A16" s="17" t="inlineStr">
        <is>
          <t>ETL-032</t>
        </is>
      </c>
      <c r="B16" s="17" t="inlineStr">
        <is>
          <t>05 Reliability</t>
        </is>
      </c>
      <c r="C16" s="17" t="inlineStr">
        <is>
          <t>Intermediate</t>
        </is>
      </c>
      <c r="D16" s="17" t="n">
        <v>32</v>
      </c>
      <c r="E16" s="17" t="inlineStr">
        <is>
          <t>Claude knowledge</t>
        </is>
      </c>
      <c r="F16" s="18" t="inlineStr">
        <is>
          <t>Alerts</t>
        </is>
      </c>
      <c r="G16" s="18" t="inlineStr">
        <is>
          <t>How do you make sure the right person learns about a pipeline problem quickly?</t>
        </is>
      </c>
      <c r="H16" s="18" t="inlineStr">
        <is>
          <t>Core concept</t>
        </is>
      </c>
      <c r="I16" s="18" t="inlineStr">
        <is>
          <t>Very high</t>
        </is>
      </c>
      <c r="J16" s="18" t="n">
        <v>5</v>
      </c>
      <c r="K16" s="18" t="inlineStr">
        <is>
          <t>Pipelines fail at night, so alerts push the right information to the right people before users notice.</t>
        </is>
      </c>
      <c r="L16" s="18" t="inlineStr">
        <is>
          <t>Alert on symptoms that need action, and include what failed and what to do next.</t>
        </is>
      </c>
      <c r="M16" s="18" t="inlineStr">
        <is>
          <t>An alert is a smoke alarm that tells you which room and what to do.</t>
        </is>
      </c>
      <c r="N16" s="18" t="inlineStr">
        <is>
          <t>A notification showing job name, error and a link to logs.</t>
        </is>
      </c>
      <c r="O16" s="18" t="inlineStr">
        <is>
          <t>The comfort of being told before the boss notices.</t>
        </is>
      </c>
      <c r="P16" s="18" t="inlineStr">
        <is>
          <t>Alerts are automatic notifications triggered by failures or broken expectations, routed to owners with enough context to act.</t>
        </is>
      </c>
      <c r="Q16" s="17" t="n"/>
      <c r="R16" s="18" t="inlineStr">
        <is>
          <t>Good alerts name the pipeline, the run, the error and the next step. Too many alerts cause fatigue, so tune thresholds and group repeated ones. Distinguish urgent pages from daily summaries. Route by ownership. Alerts should also cover silent failures, such as no data arriving, not only crashes. Test alerting paths regularly.</t>
        </is>
      </c>
      <c r="S16" s="18" t="inlineStr">
        <is>
          <t>Alert on what needs action, with context, to the owner, and keep the noise low.</t>
        </is>
      </c>
      <c r="T16" s="18" t="inlineStr">
        <is>
          <t>An alert is a smoke alarm that tells you which room and what to do.</t>
        </is>
      </c>
      <c r="U16" s="18" t="inlineStr">
        <is>
          <t>Problem + context + owner + next step.</t>
        </is>
      </c>
      <c r="V16" s="18" t="inlineStr">
        <is>
          <t>A message saying orders_load failed at step load with a link to the log.</t>
        </is>
      </c>
      <c r="W16" s="18" t="inlineStr">
        <is>
          <t>A freshness alert when no data arrived by 6 am.</t>
        </is>
      </c>
      <c r="X16" s="18" t="inlineStr">
        <is>
          <t>A daily summary of warnings instead of many pages.</t>
        </is>
      </c>
      <c r="Y16" s="18" t="inlineStr">
        <is>
          <t>logging, data quality checks, retries, orchestration</t>
        </is>
      </c>
      <c r="Z16" s="18" t="inlineStr">
        <is>
          <t>alert, page, threshold, owner, runbook</t>
        </is>
      </c>
      <c r="AA16" s="18" t="inlineStr">
        <is>
          <t>Operations | On-call | Data platforms</t>
        </is>
      </c>
      <c r="AB16" s="18" t="inlineStr">
        <is>
          <t>A: The job failed but nobody knew until noon. | B: Add an alert with the job name and a link to the log.</t>
        </is>
      </c>
      <c r="AC16" s="18" t="inlineStr">
        <is>
          <t>✗ More alerts mean better monitoring → ✓ Too many alerts are ignored, so each must be actionable</t>
        </is>
      </c>
      <c r="AD16" s="18" t="inlineStr">
        <is>
          <t>Page vs summary: a page needs action now, a summary can wait.</t>
        </is>
      </c>
      <c r="AE16" s="18" t="inlineStr">
        <is>
          <t>Do not alert without saying what to do next.</t>
        </is>
      </c>
      <c r="AF16" s="18" t="inlineStr">
        <is>
          <t>Every alert needs an owner and an action.</t>
        </is>
      </c>
      <c r="AG16" s="18" t="inlineStr">
        <is>
          <t>Adding a no-data-arrived alert caught a silent source outage within an hour.</t>
        </is>
      </c>
      <c r="AH16" s="18" t="inlineStr">
        <is>
          <t>An interviewer may ask: How do you avoid alert fatigue?</t>
        </is>
      </c>
      <c r="AI16" s="18" t="inlineStr">
        <is>
          <t>It is like a smoke alarm that names the room.</t>
        </is>
      </c>
      <c r="AJ16" s="18" t="inlineStr">
        <is>
          <t>What makes an alert useful?</t>
        </is>
      </c>
      <c r="AK16" s="18" t="inlineStr">
        <is>
          <t>A) Context and a next step B) Many repeats C) A loud sound D) A long name</t>
        </is>
      </c>
      <c r="AL16" s="18" t="inlineStr">
        <is>
          <t>A</t>
        </is>
      </c>
      <c r="AM16" s="18" t="inlineStr">
        <is>
          <t>The receiver must know what to do.</t>
        </is>
      </c>
      <c r="AN16" s="18" t="inlineStr">
        <is>
          <t>Too many unhelpful alerts cause alert ____ → fatigue</t>
        </is>
      </c>
      <c r="AO16" s="18" t="inlineStr">
        <is>
          <t>A source silently stopped sending data. What alert catches it? → A freshness alert</t>
        </is>
      </c>
      <c r="AP16" s="18" t="inlineStr">
        <is>
          <t>Explain good alerting in three lines.</t>
        </is>
      </c>
      <c r="AQ16" s="18" t="inlineStr">
        <is>
          <t>Write the text of an alert for a failed load.</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108" customHeight="1">
      <c r="A17" s="17" t="inlineStr">
        <is>
          <t>ETL-034</t>
        </is>
      </c>
      <c r="B17" s="17" t="inlineStr">
        <is>
          <t>05 Reliability</t>
        </is>
      </c>
      <c r="C17" s="17" t="inlineStr">
        <is>
          <t>Intermediate</t>
        </is>
      </c>
      <c r="D17" s="17" t="n">
        <v>34</v>
      </c>
      <c r="E17" s="17" t="inlineStr">
        <is>
          <t>Claude knowledge</t>
        </is>
      </c>
      <c r="F17" s="18" t="inlineStr">
        <is>
          <t>Error handling and dead letters</t>
        </is>
      </c>
      <c r="G17" s="18" t="inlineStr">
        <is>
          <t>What should a pipeline do with bad records and unexpected failures?</t>
        </is>
      </c>
      <c r="H17" s="18" t="inlineStr">
        <is>
          <t>Core concept</t>
        </is>
      </c>
      <c r="I17" s="18" t="inlineStr">
        <is>
          <t>High</t>
        </is>
      </c>
      <c r="J17" s="18" t="n">
        <v>5</v>
      </c>
      <c r="K17" s="18" t="inlineStr">
        <is>
          <t>One bad row must not kill a whole run or vanish silently, so pipelines separate failure of the job from failure of a record.</t>
        </is>
      </c>
      <c r="L17" s="18" t="inlineStr">
        <is>
          <t>Quarantine bad records with the reason, and fail the run only when thresholds are crossed.</t>
        </is>
      </c>
      <c r="M17" s="18" t="inlineStr">
        <is>
          <t>A dead letter box holds the mail that could not be delivered so someone can fix the address.</t>
        </is>
      </c>
      <c r="N17" s="18" t="inlineStr">
        <is>
          <t>Good rows flowing to the target and bad rows to a side table.</t>
        </is>
      </c>
      <c r="O17" s="18" t="inlineStr">
        <is>
          <t>The calm of a run that survives one bad row.</t>
        </is>
      </c>
      <c r="P17" s="18" t="inlineStr">
        <is>
          <t>Error handling decides which problems stop the run and which are recorded and skipped, with rejected records stored in a dead letter table or queue along with the reason.</t>
        </is>
      </c>
      <c r="Q17" s="17" t="n"/>
      <c r="R17" s="18" t="inlineStr">
        <is>
          <t>Distinguish record errors, such as invalid values, from system errors, such as a lost connection. Record errors go to a rejected table with the error text, source key and time, and the run continues unless the rate exceeds a limit. System errors fail the job and trigger retries and alerts. Reprocess rejected rows after fixing the cause.</t>
        </is>
      </c>
      <c r="S17" s="18" t="inlineStr">
        <is>
          <t>Quarantine bad rows with reasons, fail only when it matters, and reprocess later.</t>
        </is>
      </c>
      <c r="T17" s="18" t="inlineStr">
        <is>
          <t>A dead letter box holds undeliverable mail so someone can fix the address.</t>
        </is>
      </c>
      <c r="U17" s="18" t="inlineStr">
        <is>
          <t>Bad record → quarantine. Bad system → fail and alert.</t>
        </is>
      </c>
      <c r="V17" s="18" t="inlineStr">
        <is>
          <t>A rejected_orders table with error reasons.</t>
        </is>
      </c>
      <c r="W17" s="18" t="inlineStr">
        <is>
          <t>A run failing because more than five percent of rows were rejected.</t>
        </is>
      </c>
      <c r="X17" s="18" t="inlineStr">
        <is>
          <t>A queue with a dead letter queue for repeated failures.</t>
        </is>
      </c>
      <c r="Y17" s="18" t="inlineStr">
        <is>
          <t>retries, data quality checks, alerts, cleaning data</t>
        </is>
      </c>
      <c r="Z17" s="18" t="inlineStr">
        <is>
          <t>dead letter, quarantine, reject, threshold, reprocess</t>
        </is>
      </c>
      <c r="AA17" s="18" t="inlineStr">
        <is>
          <t>Streaming | Batch loads | Integrations</t>
        </is>
      </c>
      <c r="AB17" s="18" t="inlineStr">
        <is>
          <t>A: One bad date stopped the whole load. | B: Quarantine that row and let the rest through.</t>
        </is>
      </c>
      <c r="AC17" s="18" t="inlineStr">
        <is>
          <t>✗ The safest choice is to stop the whole run on any bad row → ✓ Stopping for each record blocks all good data, so quarantine and set thresholds</t>
        </is>
      </c>
      <c r="AD17" s="18" t="inlineStr">
        <is>
          <t>Record error vs system error: one bad value versus a broken connection.</t>
        </is>
      </c>
      <c r="AE17" s="18" t="inlineStr">
        <is>
          <t>Do not silently drop records.</t>
        </is>
      </c>
      <c r="AF17" s="18" t="inlineStr">
        <is>
          <t>Quarantine the row, keep the run.</t>
        </is>
      </c>
      <c r="AG17" s="18" t="inlineStr">
        <is>
          <t>A rejected table with reasons let analysts fix source typos within a day.</t>
        </is>
      </c>
      <c r="AH17" s="18" t="inlineStr">
        <is>
          <t>An interviewer may ask: What is a dead letter queue?</t>
        </is>
      </c>
      <c r="AI17" s="18" t="inlineStr">
        <is>
          <t>It is like a box for undeliverable mail.</t>
        </is>
      </c>
      <c r="AJ17" s="18" t="inlineStr">
        <is>
          <t>Where do bad records go?</t>
        </is>
      </c>
      <c r="AK17" s="18" t="inlineStr">
        <is>
          <t>A) A rejected table with the reason B) The log only C) The target table D) The trash with no record</t>
        </is>
      </c>
      <c r="AL17" s="18" t="inlineStr">
        <is>
          <t>A</t>
        </is>
      </c>
      <c r="AM17" s="18" t="inlineStr">
        <is>
          <t>Stored rejects can be reviewed and reprocessed.</t>
        </is>
      </c>
      <c r="AN17" s="18" t="inlineStr">
        <is>
          <t>A queue holding messages that keep failing is a dead ____ queue → letter</t>
        </is>
      </c>
      <c r="AO17" s="18" t="inlineStr">
        <is>
          <t>Two percent of rows have invalid dates. What should the run do? → Quarantine them and continue</t>
        </is>
      </c>
      <c r="AP17" s="18" t="inlineStr">
        <is>
          <t>Explain error handling in three lines.</t>
        </is>
      </c>
      <c r="AQ17" s="18" t="inlineStr">
        <is>
          <t>Define a rule for when a load should fail because of rejects.</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121.5" customHeight="1">
      <c r="A18" s="17" t="inlineStr">
        <is>
          <t>ETL-035</t>
        </is>
      </c>
      <c r="B18" s="17" t="inlineStr">
        <is>
          <t>06 Advanced</t>
        </is>
      </c>
      <c r="C18" s="17" t="inlineStr">
        <is>
          <t>Advanced</t>
        </is>
      </c>
      <c r="D18" s="17" t="n">
        <v>35</v>
      </c>
      <c r="E18" s="17" t="inlineStr">
        <is>
          <t>Claude knowledge</t>
        </is>
      </c>
      <c r="F18" s="18" t="inlineStr">
        <is>
          <t>Kafka basics</t>
        </is>
      </c>
      <c r="G18" s="18" t="inlineStr">
        <is>
          <t>Which platform stores streams of events so many consumers can read them independently?</t>
        </is>
      </c>
      <c r="H18" s="18" t="inlineStr">
        <is>
          <t>Core concept</t>
        </is>
      </c>
      <c r="I18" s="18" t="inlineStr">
        <is>
          <t>High</t>
        </is>
      </c>
      <c r="J18" s="18" t="n">
        <v>4</v>
      </c>
      <c r="K18" s="18" t="inlineStr">
        <is>
          <t>Systems needed a durable, high-volume way to pass events between many producers and consumers, so a distributed commit log was built.</t>
        </is>
      </c>
      <c r="L18" s="18" t="inlineStr">
        <is>
          <t>Choose the partition key carefully, since order is guaranteed only inside a partition.</t>
        </is>
      </c>
      <c r="M18" s="18" t="inlineStr">
        <is>
          <t>Kafka is a newspaper archive where each reader keeps their own bookmark.</t>
        </is>
      </c>
      <c r="N18" s="18" t="inlineStr">
        <is>
          <t>Producers writing to topic partitions and consumer groups reading at their own pace.</t>
        </is>
      </c>
      <c r="O18" s="18" t="inlineStr">
        <is>
          <t>The power of replaying events at will.</t>
        </is>
      </c>
      <c r="P18" s="18" t="inlineStr">
        <is>
          <t>Kafka is a distributed log where producers append events to topics split into partitions, and consumers read them with their own offsets, usually within consumer groups.</t>
        </is>
      </c>
      <c r="Q18" s="17" t="n"/>
      <c r="R18" s="18" t="inlineStr">
        <is>
          <t>Messages are kept for a retention period and are not removed when read, so new consumers can replay history. Order is preserved within a partition, and the key decides the partition. A consumer group shares partitions among its members to scale reading. Offsets record progress. Delivery is at least once by default, so consumers should handle duplicates.</t>
        </is>
      </c>
      <c r="S18" s="18" t="inlineStr">
        <is>
          <t>Producers append events to topics, and consumers read them at their own pace with offsets.</t>
        </is>
      </c>
      <c r="T18" s="18" t="inlineStr">
        <is>
          <t>Kafka is a newspaper archive where each reader keeps their own bookmark.</t>
        </is>
      </c>
      <c r="U18" s="18" t="inlineStr">
        <is>
          <t>Topic → partitions → ordered log, with offsets per consumer.</t>
        </is>
      </c>
      <c r="V18" s="18" t="inlineStr">
        <is>
          <t>A topic of order events keyed by customer id.</t>
        </is>
      </c>
      <c r="W18" s="18" t="inlineStr">
        <is>
          <t>Two consumer groups, one for billing and one for analytics.</t>
        </is>
      </c>
      <c r="X18" s="18" t="inlineStr">
        <is>
          <t>A new consumer replaying a week of history.</t>
        </is>
      </c>
      <c r="Y18" s="18" t="inlineStr">
        <is>
          <t>batch vs streaming, change data capture, idempotency, orchestration</t>
        </is>
      </c>
      <c r="Z18" s="18" t="inlineStr">
        <is>
          <t>topic, partition, offset, consumer group, retention</t>
        </is>
      </c>
      <c r="AA18" s="18" t="inlineStr">
        <is>
          <t>Event platforms | CDC | Real-time pipelines</t>
        </is>
      </c>
      <c r="AB18" s="18" t="inlineStr">
        <is>
          <t>A: Why do events for one customer arrive out of order? | B: They went to different partitions, so key by customer id.</t>
        </is>
      </c>
      <c r="AC18" s="18" t="inlineStr">
        <is>
          <t>✗ A message is deleted from Kafka once it is read → ✓ It stays until retention expires, and others can still read it</t>
        </is>
      </c>
      <c r="AD18" s="18" t="inlineStr">
        <is>
          <t>Queue vs log: a queue removes messages when consumed, a log keeps them for replay.</t>
        </is>
      </c>
      <c r="AE18" s="18" t="inlineStr">
        <is>
          <t>Do not assume global ordering across partitions.</t>
        </is>
      </c>
      <c r="AF18" s="18" t="inlineStr">
        <is>
          <t>Order lives only inside one partition.</t>
        </is>
      </c>
      <c r="AG18" s="18" t="inlineStr">
        <is>
          <t>Using customer id as the key kept each customer's events in order for billing.</t>
        </is>
      </c>
      <c r="AH18" s="18" t="inlineStr">
        <is>
          <t>An interviewer may ask: How does Kafka guarantee ordering?</t>
        </is>
      </c>
      <c r="AI18" s="18" t="inlineStr">
        <is>
          <t>It is like an archive with personal bookmarks.</t>
        </is>
      </c>
      <c r="AJ18" s="18" t="inlineStr">
        <is>
          <t>Where is message order guaranteed?</t>
        </is>
      </c>
      <c r="AK18" s="18" t="inlineStr">
        <is>
          <t>A) Nowhere B) Within one partition C) Across topics D) Across all partitions</t>
        </is>
      </c>
      <c r="AL18" s="18" t="inlineStr">
        <is>
          <t>B</t>
        </is>
      </c>
      <c r="AM18" s="18" t="inlineStr">
        <is>
          <t>Each partition is an ordered log.</t>
        </is>
      </c>
      <c r="AN18" s="18" t="inlineStr">
        <is>
          <t>A consumer's position in a partition is its ____ → offset</t>
        </is>
      </c>
      <c r="AO18" s="18" t="inlineStr">
        <is>
          <t>Events for one customer must stay in order. What do you use as the key? → The customer id</t>
        </is>
      </c>
      <c r="AP18" s="18" t="inlineStr">
        <is>
          <t>Explain Kafka basics in three lines.</t>
        </is>
      </c>
      <c r="AQ18" s="18" t="inlineStr">
        <is>
          <t>Design topics and keys for order events and payment events.</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94.5" customHeight="1">
      <c r="A19" s="17" t="inlineStr">
        <is>
          <t>ETL-036</t>
        </is>
      </c>
      <c r="B19" s="17" t="inlineStr">
        <is>
          <t>06 Advanced</t>
        </is>
      </c>
      <c r="C19" s="17" t="inlineStr">
        <is>
          <t>Intermediate</t>
        </is>
      </c>
      <c r="D19" s="17" t="n">
        <v>36</v>
      </c>
      <c r="E19" s="17" t="inlineStr">
        <is>
          <t>Claude knowledge</t>
        </is>
      </c>
      <c r="F19" s="18" t="inlineStr">
        <is>
          <t>Orchestration</t>
        </is>
      </c>
      <c r="G19" s="18" t="inlineStr">
        <is>
          <t>Which tools schedule and supervise pipelines, including order, retries and alerts?</t>
        </is>
      </c>
      <c r="H19" s="18" t="inlineStr">
        <is>
          <t>Core concept</t>
        </is>
      </c>
      <c r="I19" s="18" t="inlineStr">
        <is>
          <t>Very high</t>
        </is>
      </c>
      <c r="J19" s="18" t="n">
        <v>5</v>
      </c>
      <c r="K19" s="18" t="inlineStr">
        <is>
          <t>Cron scripts could not express dependencies or recover from failures, so orchestrators manage whole workflows.</t>
        </is>
      </c>
      <c r="L19" s="18" t="inlineStr">
        <is>
          <t>Let the orchestrator manage scheduling, dependencies and retries, and keep the jobs themselves simple.</t>
        </is>
      </c>
      <c r="M19" s="18" t="inlineStr">
        <is>
          <t>An orchestrator is the conductor who tells each musician when to play and notices when one stops.</t>
        </is>
      </c>
      <c r="N19" s="18" t="inlineStr">
        <is>
          <t>A graph of tasks with arrows, run states and a calendar.</t>
        </is>
      </c>
      <c r="O19" s="18" t="inlineStr">
        <is>
          <t>The confidence of a system that supervises itself.</t>
        </is>
      </c>
      <c r="P19" s="18" t="inlineStr">
        <is>
          <t>Orchestration coordinates tasks into workflows with schedules, dependencies, retries, alerting and history, using tools such as Airflow, Dagster or Prefect.</t>
        </is>
      </c>
      <c r="Q19" s="17" t="n"/>
      <c r="R19" s="18" t="inlineStr">
        <is>
          <t>Workflows are described as graphs of tasks. The orchestrator triggers runs on schedules or events, passes dates, retries failures, and shows what ran and what failed. It does not do the heavy data work itself, but calls jobs and services. Good orchestration makes reruns, backfills and observability easy.</t>
        </is>
      </c>
      <c r="S19" s="18" t="inlineStr">
        <is>
          <t>The orchestrator decides what runs when, retries failures and shows the history.</t>
        </is>
      </c>
      <c r="T19" s="18" t="inlineStr">
        <is>
          <t>An orchestrator is the conductor who tells each musician when to play.</t>
        </is>
      </c>
      <c r="U19" s="18" t="inlineStr">
        <is>
          <t>Graph of tasks + schedule + retries + history.</t>
        </is>
      </c>
      <c r="V19" s="18" t="inlineStr">
        <is>
          <t>An Airflow DAG with extract, load and test tasks.</t>
        </is>
      </c>
      <c r="W19" s="18" t="inlineStr">
        <is>
          <t>A sensor waiting for a file before starting.</t>
        </is>
      </c>
      <c r="X19" s="18" t="inlineStr">
        <is>
          <t>A rerun of one failed task from the interface.</t>
        </is>
      </c>
      <c r="Y19" s="18" t="inlineStr">
        <is>
          <t>pipelines vs jobs, Airflow, retries, backfills</t>
        </is>
      </c>
      <c r="Z19" s="18" t="inlineStr">
        <is>
          <t>DAG, scheduler, task, run, dependency</t>
        </is>
      </c>
      <c r="AA19" s="18" t="inlineStr">
        <is>
          <t>Data platforms | Daily loads | Operations</t>
        </is>
      </c>
      <c r="AB19" s="18" t="inlineStr">
        <is>
          <t>A: Cron cannot tell the load to wait for the extract. | B: Use an orchestrator with task dependencies.</t>
        </is>
      </c>
      <c r="AC19" s="18" t="inlineStr">
        <is>
          <t>✗ The orchestrator should do the heavy processing itself → ✓ It should call other systems and stay light</t>
        </is>
      </c>
      <c r="AD19" s="18" t="inlineStr">
        <is>
          <t>Cron vs orchestrator: cron runs commands on time, an orchestrator manages dependencies, retries and history.</t>
        </is>
      </c>
      <c r="AE19" s="18" t="inlineStr">
        <is>
          <t>Do not put heavy processing inside the scheduler.</t>
        </is>
      </c>
      <c r="AF19" s="18" t="inlineStr">
        <is>
          <t>Orchestrators conduct, they do not play.</t>
        </is>
      </c>
      <c r="AG19" s="18" t="inlineStr">
        <is>
          <t>Moving cron jobs into an orchestrator gave clear history and safe retries.</t>
        </is>
      </c>
      <c r="AH19" s="18" t="inlineStr">
        <is>
          <t>An interviewer may ask: Why use an orchestrator instead of cron?</t>
        </is>
      </c>
      <c r="AI19" s="18" t="inlineStr">
        <is>
          <t>It is like a conductor leading musicians.</t>
        </is>
      </c>
      <c r="AJ19" s="18" t="inlineStr">
        <is>
          <t>What do orchestrators add to cron?</t>
        </is>
      </c>
      <c r="AK19" s="18" t="inlineStr">
        <is>
          <t>A) Faster disks B) Colours C) More memory D) Dependencies, retries and history</t>
        </is>
      </c>
      <c r="AL19" s="18" t="inlineStr">
        <is>
          <t>D</t>
        </is>
      </c>
      <c r="AM19" s="18" t="inlineStr">
        <is>
          <t>They supervise whole workflows.</t>
        </is>
      </c>
      <c r="AN19" s="18" t="inlineStr">
        <is>
          <t>A directed graph of tasks in Airflow is a ____ → DAG</t>
        </is>
      </c>
      <c r="AO19" s="18" t="inlineStr">
        <is>
          <t>A load must wait for an extract and retry on failure. What tool? → An orchestrator</t>
        </is>
      </c>
      <c r="AP19" s="18" t="inlineStr">
        <is>
          <t>Explain orchestration in three lines.</t>
        </is>
      </c>
      <c r="AQ19" s="18" t="inlineStr">
        <is>
          <t>Sketch a DAG for a daily sales pipeline.</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135" customHeight="1">
      <c r="A20" s="17" t="inlineStr">
        <is>
          <t>ETL-037</t>
        </is>
      </c>
      <c r="B20" s="17" t="inlineStr">
        <is>
          <t>06 Advanced</t>
        </is>
      </c>
      <c r="C20" s="17" t="inlineStr">
        <is>
          <t>Advanced</t>
        </is>
      </c>
      <c r="D20" s="17" t="n">
        <v>37</v>
      </c>
      <c r="E20" s="17" t="inlineStr">
        <is>
          <t>Claude knowledge</t>
        </is>
      </c>
      <c r="F20" s="18" t="inlineStr">
        <is>
          <t>PII and masking</t>
        </is>
      </c>
      <c r="G20" s="18" t="inlineStr">
        <is>
          <t>How do you protect personal data inside pipelines and warehouses?</t>
        </is>
      </c>
      <c r="H20" s="18" t="inlineStr">
        <is>
          <t>Core concept</t>
        </is>
      </c>
      <c r="I20" s="18" t="inlineStr">
        <is>
          <t>Very high</t>
        </is>
      </c>
      <c r="J20" s="18" t="n">
        <v>5</v>
      </c>
      <c r="K20" s="18" t="inlineStr">
        <is>
          <t>Pipelines copy data widely, and personal data in many places multiplies risk, so it must be classified and protected by design.</t>
        </is>
      </c>
      <c r="L20" s="18" t="inlineStr">
        <is>
          <t>Collect and move only the personal data you truly need.</t>
        </is>
      </c>
      <c r="M20" s="18" t="inlineStr">
        <is>
          <t>Masking is putting a name tag over a face so guests can still be counted but not recognised.</t>
        </is>
      </c>
      <c r="N20" s="18" t="inlineStr">
        <is>
          <t>A column of emails turning into hashed or partly hidden values.</t>
        </is>
      </c>
      <c r="O20" s="18" t="inlineStr">
        <is>
          <t>The responsibility of handling people's data carefully.</t>
        </is>
      </c>
      <c r="P20" s="18" t="inlineStr">
        <is>
          <t>PII is information that identifies a person, and protection includes minimising it, masking or hashing values, restricting access, encrypting data and deleting it on request.</t>
        </is>
      </c>
      <c r="Q20" s="17" t="n"/>
      <c r="R20" s="18" t="inlineStr">
        <is>
          <t>Identify PII fields such as names, emails, phones and ids. Options include dropping them, keyed hashing (HMAC with a secret key) so equal values still match for joins, tokenising, and partial masking such as showing the last four digits. Use column-level access control and audit logs. Keep production PII out of test environments. Follow local law, such as the DPDP Act in India and GDPR in Europe.</t>
        </is>
      </c>
      <c r="S20" s="18" t="inlineStr">
        <is>
          <t>Know where PII is, collect less, mask it, restrict access and be able to delete it.</t>
        </is>
      </c>
      <c r="T20" s="18" t="inlineStr">
        <is>
          <t>Masking is putting a name tag over a face so guests can be counted but not recognised.</t>
        </is>
      </c>
      <c r="U20" s="18" t="inlineStr">
        <is>
          <t>Minimise + mask + restrict + delete on request.</t>
        </is>
      </c>
      <c r="V20" s="18" t="inlineStr">
        <is>
          <t>Hashing an email with a secret key (HMAC) to allow joins.</t>
        </is>
      </c>
      <c r="W20" s="18" t="inlineStr">
        <is>
          <t>Showing only the last four digits of a phone number.</t>
        </is>
      </c>
      <c r="X20" s="18" t="inlineStr">
        <is>
          <t>A column-level policy hiding salary from most users.</t>
        </is>
      </c>
      <c r="Y20" s="18" t="inlineStr">
        <is>
          <t>credentials in pipelines, lineage, schemas, ETL vs ELT</t>
        </is>
      </c>
      <c r="Z20" s="18" t="inlineStr">
        <is>
          <t>PII, hashing, tokenisation, masking, consent</t>
        </is>
      </c>
      <c r="AA20" s="18" t="inlineStr">
        <is>
          <t>Customer data | Compliance | Analytics</t>
        </is>
      </c>
      <c r="AB20" s="18" t="inlineStr">
        <is>
          <t>A: Can analysts see customer emails? | B: Only the hashed version, and the raw column is restricted.</t>
        </is>
      </c>
      <c r="AC20" s="18" t="inlineStr">
        <is>
          <t>✗ Hashing an email makes it anonymous → ✓ It is only pseudonymous, and can often be reversed by guessing without a secret key</t>
        </is>
      </c>
      <c r="AD20" s="18" t="inlineStr">
        <is>
          <t>Masking vs deleting: masking hides values, deleting removes them completely.</t>
        </is>
      </c>
      <c r="AE20" s="18" t="inlineStr">
        <is>
          <t>Do not copy production PII into test environments.</t>
        </is>
      </c>
      <c r="AF20" s="18" t="inlineStr">
        <is>
          <t>Minimise first, mask second, restrict always.</t>
        </is>
      </c>
      <c r="AG20" s="18" t="inlineStr">
        <is>
          <t>Hashing emails with a keyed hash allowed joins without exposing addresses.</t>
        </is>
      </c>
      <c r="AH20" s="18" t="inlineStr">
        <is>
          <t>An interviewer may ask: How do you handle PII in a data warehouse?</t>
        </is>
      </c>
      <c r="AI20" s="18" t="inlineStr">
        <is>
          <t>It is like a name tag over a face.</t>
        </is>
      </c>
      <c r="AJ20" s="18" t="inlineStr">
        <is>
          <t>What is the safest first step with PII?</t>
        </is>
      </c>
      <c r="AK20" s="18" t="inlineStr">
        <is>
          <t>A) Store it in a spreadsheet B) Email it C) Copy everything D) Collect only what is needed</t>
        </is>
      </c>
      <c r="AL20" s="18" t="inlineStr">
        <is>
          <t>D</t>
        </is>
      </c>
      <c r="AM20" s="18" t="inlineStr">
        <is>
          <t>Data you never collect cannot leak.</t>
        </is>
      </c>
      <c r="AN20" s="18" t="inlineStr">
        <is>
          <t>Replacing a value with a stand-in token is called ____ → tokenisation</t>
        </is>
      </c>
      <c r="AO20" s="18" t="inlineStr">
        <is>
          <t>Analysts need to join on email without seeing it. What do you do? → Hash it with a keyed hash (HMAC)</t>
        </is>
      </c>
      <c r="AP20" s="18" t="inlineStr">
        <is>
          <t>Explain how to protect PII in three lines.</t>
        </is>
      </c>
      <c r="AQ20" s="18" t="inlineStr">
        <is>
          <t>List five fields in an orders table that count as PII.</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108" customHeight="1">
      <c r="A21" s="17" t="inlineStr">
        <is>
          <t>ETL-039</t>
        </is>
      </c>
      <c r="B21" s="17" t="inlineStr">
        <is>
          <t>06 Advanced</t>
        </is>
      </c>
      <c r="C21" s="17" t="inlineStr">
        <is>
          <t>Advanced</t>
        </is>
      </c>
      <c r="D21" s="17" t="n">
        <v>39</v>
      </c>
      <c r="E21" s="17" t="inlineStr">
        <is>
          <t>Claude knowledge</t>
        </is>
      </c>
      <c r="F21" s="18" t="inlineStr">
        <is>
          <t>Cost and performance</t>
        </is>
      </c>
      <c r="G21" s="18" t="inlineStr">
        <is>
          <t>Which habits keep pipelines fast and the cloud bill low?</t>
        </is>
      </c>
      <c r="H21" s="18" t="inlineStr">
        <is>
          <t>Core concept</t>
        </is>
      </c>
      <c r="I21" s="18" t="inlineStr">
        <is>
          <t>High</t>
        </is>
      </c>
      <c r="J21" s="18" t="n">
        <v>4</v>
      </c>
      <c r="K21" s="18" t="inlineStr">
        <is>
          <t>Warehouses charge by compute and data scanned, so careless queries and loads can multiply costs quickly.</t>
        </is>
      </c>
      <c r="L21" s="18" t="inlineStr">
        <is>
          <t>Read fewer columns and fewer rows, and measure before and after tuning.</t>
        </is>
      </c>
      <c r="M21" s="18" t="inlineStr">
        <is>
          <t>Cost control is turning off lights in empty rooms and carrying only the groceries you need.</t>
        </is>
      </c>
      <c r="N21" s="18" t="inlineStr">
        <is>
          <t>A query scanning a thin slice instead of the whole table.</t>
        </is>
      </c>
      <c r="O21" s="18" t="inlineStr">
        <is>
          <t>The pleasure of a faster pipeline and a smaller bill.</t>
        </is>
      </c>
      <c r="P21" s="18" t="inlineStr">
        <is>
          <t>Cost and performance tuning reduces scanned data, avoids repeated work and sizes compute to the job, using partitions, columnar formats, incremental models and caching.</t>
        </is>
      </c>
      <c r="Q21" s="17" t="n"/>
      <c r="R21" s="18" t="inlineStr">
        <is>
          <t>Select only needed columns, filter on partition keys, and avoid select star on wide tables. Process incrementally instead of rebuilding history. Compress and compact small files. Right-size compute and shut it down when idle. Materialise expensive steps once. Monitor cost per pipeline and set budgets with alerts.</t>
        </is>
      </c>
      <c r="S21" s="18" t="inlineStr">
        <is>
          <t>Scan less, process only what changed, size compute sensibly and watch the bill.</t>
        </is>
      </c>
      <c r="T21" s="18" t="inlineStr">
        <is>
          <t>Cost control is turning off lights in empty rooms and carrying only the groceries you need.</t>
        </is>
      </c>
      <c r="U21" s="18" t="inlineStr">
        <is>
          <t>Less data scanned + less repeated work = lower cost.</t>
        </is>
      </c>
      <c r="V21" s="18" t="inlineStr">
        <is>
          <t>Filtering on the partition date column.</t>
        </is>
      </c>
      <c r="W21" s="18" t="inlineStr">
        <is>
          <t>An incremental model processing only new rows.</t>
        </is>
      </c>
      <c r="X21" s="18" t="inlineStr">
        <is>
          <t>Compacting thousands of tiny files into a few large ones.</t>
        </is>
      </c>
      <c r="Y21" s="18" t="inlineStr">
        <is>
          <t>partitions, file formats, full vs incremental, warehouse vs lake</t>
        </is>
      </c>
      <c r="Z21" s="18" t="inlineStr">
        <is>
          <t>scan, compute, compaction, materialise, budget</t>
        </is>
      </c>
      <c r="AA21" s="18" t="inlineStr">
        <is>
          <t>Cloud warehouses | Lakes | Platform teams</t>
        </is>
      </c>
      <c r="AB21" s="18" t="inlineStr">
        <is>
          <t>A: The monthly warehouse bill doubled. | B: Check the most expensive queries and add partition filters.</t>
        </is>
      </c>
      <c r="AC21" s="18" t="inlineStr">
        <is>
          <t>✗ A bigger warehouse always fixes slow queries → ✓ Reducing scanned data usually helps more and costs less</t>
        </is>
      </c>
      <c r="AD21" s="18" t="inlineStr">
        <is>
          <t>Scaling up vs tuning: bigger compute costs more, tuning reduces the work itself.</t>
        </is>
      </c>
      <c r="AE21" s="18" t="inlineStr">
        <is>
          <t>Do not leave large compute running idle.</t>
        </is>
      </c>
      <c r="AF21" s="18" t="inlineStr">
        <is>
          <t>Scan less before paying for more.</t>
        </is>
      </c>
      <c r="AG21" s="18" t="inlineStr">
        <is>
          <t>Partition filters and incremental models cut a warehouse bill noticeably.</t>
        </is>
      </c>
      <c r="AH21" s="18" t="inlineStr">
        <is>
          <t>An interviewer may ask: How would you reduce warehouse cost?</t>
        </is>
      </c>
      <c r="AI21" s="18" t="inlineStr">
        <is>
          <t>It is like turning off lights in empty rooms.</t>
        </is>
      </c>
      <c r="AJ21" s="18" t="inlineStr">
        <is>
          <t>Which habit reduces scanned data?</t>
        </is>
      </c>
      <c r="AK21" s="18" t="inlineStr">
        <is>
          <t>A) Filtering on partition keys B) Leaving compute on C) Rebuilding all history D) Using select star</t>
        </is>
      </c>
      <c r="AL21" s="18" t="inlineStr">
        <is>
          <t>A</t>
        </is>
      </c>
      <c r="AM21" s="18" t="inlineStr">
        <is>
          <t>Partition filters let the engine skip data.</t>
        </is>
      </c>
      <c r="AN21" s="18" t="inlineStr">
        <is>
          <t>Merging many small files into fewer large ones is called ____ → compaction</t>
        </is>
      </c>
      <c r="AO21" s="18" t="inlineStr">
        <is>
          <t>A model rebuilds all history nightly. How do you cut cost? → Make it incremental</t>
        </is>
      </c>
      <c r="AP21" s="18" t="inlineStr">
        <is>
          <t>Explain how to control pipeline cost in three lines.</t>
        </is>
      </c>
      <c r="AQ21" s="18" t="inlineStr">
        <is>
          <t>List four changes that would lower the cost of a slow daily model.</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21.5" customHeight="1">
      <c r="A22" s="17" t="inlineStr">
        <is>
          <t>ETL-040</t>
        </is>
      </c>
      <c r="B22" s="17" t="inlineStr">
        <is>
          <t>06 Advanced</t>
        </is>
      </c>
      <c r="C22" s="17" t="inlineStr">
        <is>
          <t>Advanced</t>
        </is>
      </c>
      <c r="D22" s="17" t="n">
        <v>40</v>
      </c>
      <c r="E22" s="17" t="inlineStr">
        <is>
          <t>Claude knowledge</t>
        </is>
      </c>
      <c r="F22" s="18" t="inlineStr">
        <is>
          <t>Late-arriving data</t>
        </is>
      </c>
      <c r="G22" s="18" t="inlineStr">
        <is>
          <t>How do you handle records that arrive after the period they belong to has been processed?</t>
        </is>
      </c>
      <c r="H22" s="18" t="inlineStr">
        <is>
          <t>Core concept</t>
        </is>
      </c>
      <c r="I22" s="18" t="inlineStr">
        <is>
          <t>High</t>
        </is>
      </c>
      <c r="J22" s="18" t="n">
        <v>5</v>
      </c>
      <c r="K22" s="18" t="inlineStr">
        <is>
          <t>Mobile apps, partner feeds and retries deliver events late, so pipelines must update past periods and not only the current one.</t>
        </is>
      </c>
      <c r="L22" s="18" t="inlineStr">
        <is>
          <t>Separate event time from processing time, and reprocess a lookback window.</t>
        </is>
      </c>
      <c r="M22" s="18" t="inlineStr">
        <is>
          <t>Late data is a letter that arrives after the post has been sorted, so you must reopen the box.</t>
        </is>
      </c>
      <c r="N22" s="18" t="inlineStr">
        <is>
          <t>An event from Monday arriving on Wednesday and updating Monday's total.</t>
        </is>
      </c>
      <c r="O22" s="18" t="inlineStr">
        <is>
          <t>The calm of totals that eventually become correct.</t>
        </is>
      </c>
      <c r="P22" s="18" t="inlineStr">
        <is>
          <t>Late-arriving data is data whose event time is earlier than the time it reaches the pipeline, which requires reprocessing earlier periods or using windows that wait for stragglers.</t>
        </is>
      </c>
      <c r="Q22" s="17" t="n"/>
      <c r="R22" s="18" t="inlineStr">
        <is>
          <t>Use the event time for reporting and the load time for tracking. A lookback window reprocesses the last few days on every run, so late rows are absorbed. Streaming systems use watermarks that wait a set time for late events. Decide a cut-off after which data is ignored or handled separately, and document it. Dashboards may show that recent days are provisional.</t>
        </is>
      </c>
      <c r="S22" s="18" t="inlineStr">
        <is>
          <t>Report by event time, reprocess a recent window, and set a clear cut-off.</t>
        </is>
      </c>
      <c r="T22" s="18" t="inlineStr">
        <is>
          <t>Late data is a letter arriving after the post is sorted, so you reopen the box.</t>
        </is>
      </c>
      <c r="U22" s="18" t="inlineStr">
        <is>
          <t>Event time for meaning, load time for tracking, lookback for safety.</t>
        </is>
      </c>
      <c r="V22" s="18" t="inlineStr">
        <is>
          <t>Rerunning the last three days on every nightly run.</t>
        </is>
      </c>
      <c r="W22" s="18" t="inlineStr">
        <is>
          <t>A streaming window waiting ten minutes for late events.</t>
        </is>
      </c>
      <c r="X22" s="18" t="inlineStr">
        <is>
          <t>A report marking the last two days as provisional.</t>
        </is>
      </c>
      <c r="Y22" s="18" t="inlineStr">
        <is>
          <t>date handling, incremental loads, backfills, Kafka basics</t>
        </is>
      </c>
      <c r="Z22" s="18" t="inlineStr">
        <is>
          <t>event time, processing time, watermark, lookback, provisional</t>
        </is>
      </c>
      <c r="AA22" s="18" t="inlineStr">
        <is>
          <t>Mobile analytics | Partner feeds | Streaming</t>
        </is>
      </c>
      <c r="AB22" s="18" t="inlineStr">
        <is>
          <t>A: Yesterday's totals keep changing. | B: Late events arrive, so mark recent days as provisional.</t>
        </is>
      </c>
      <c r="AC22" s="18" t="inlineStr">
        <is>
          <t>✗ Once a day has been processed it never changes → ✓ Late data can change past days, so pipelines must allow for it</t>
        </is>
      </c>
      <c r="AD22" s="18" t="inlineStr">
        <is>
          <t>Event time vs processing time: one is when it happened, the other is when we handled it.</t>
        </is>
      </c>
      <c r="AE22" s="18" t="inlineStr">
        <is>
          <t>Do not use load time to place events in reports.</t>
        </is>
      </c>
      <c r="AF22" s="18" t="inlineStr">
        <is>
          <t>Lookback window absorbs late arrivals.</t>
        </is>
      </c>
      <c r="AG22" s="18" t="inlineStr">
        <is>
          <t>A three-day lookback fixed totals that changed after late mobile events arrived.</t>
        </is>
      </c>
      <c r="AH22" s="18" t="inlineStr">
        <is>
          <t>An interviewer may ask: How do you handle late-arriving events?</t>
        </is>
      </c>
      <c r="AI22" s="18" t="inlineStr">
        <is>
          <t>It is like a letter arriving after sorting.</t>
        </is>
      </c>
      <c r="AJ22" s="18" t="inlineStr">
        <is>
          <t>Which time should reports use?</t>
        </is>
      </c>
      <c r="AK22" s="18" t="inlineStr">
        <is>
          <t>A) Load time B) Event time C) Server time D) Random time</t>
        </is>
      </c>
      <c r="AL22" s="18" t="inlineStr">
        <is>
          <t>B</t>
        </is>
      </c>
      <c r="AM22" s="18" t="inlineStr">
        <is>
          <t>Event time says when the action actually happened.</t>
        </is>
      </c>
      <c r="AN22" s="18" t="inlineStr">
        <is>
          <t>A rule that waits for late events in a stream is a ____ → watermark</t>
        </is>
      </c>
      <c r="AO22" s="18" t="inlineStr">
        <is>
          <t>Events arrive up to two days late. What should each run do? → Reprocess a lookback window of recent days</t>
        </is>
      </c>
      <c r="AP22" s="18" t="inlineStr">
        <is>
          <t>Explain late-arriving data in three lines.</t>
        </is>
      </c>
      <c r="AQ22" s="18" t="inlineStr">
        <is>
          <t>Choose a lookback window for a mobile app and justify it.</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sheetData>
  <autoFilter ref="A2:BB22"/>
  <mergeCells count="6">
    <mergeCell ref="F1:O1"/>
    <mergeCell ref="AT1:BB1"/>
    <mergeCell ref="AR1:AS1"/>
    <mergeCell ref="A1:E1"/>
    <mergeCell ref="AJ1:AQ1"/>
    <mergeCell ref="P1:AI1"/>
  </mergeCells>
  <dataValidations count="2">
    <dataValidation sqref="AT3:AT22" showDropDown="0" showInputMessage="0" showErrorMessage="0" allowBlank="1" type="list">
      <formula1>"New,Learning,Known"</formula1>
    </dataValidation>
    <dataValidation sqref="BA3:BA22"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ETL-001</t>
        </is>
      </c>
    </row>
    <row r="4">
      <c r="A4" s="23" t="inlineStr">
        <is>
          <t>FRONT · Recognition (pehchano)</t>
        </is>
      </c>
    </row>
    <row r="5" ht="30" customHeight="1">
      <c r="A5" s="24" t="inlineStr">
        <is>
          <t>ID</t>
        </is>
      </c>
      <c r="B5" s="17">
        <f>INDEX('Topic (56-pt) cards'!$A$3:$BB$22,MATCH($B$2,'Topic (56-pt) cards'!$A$3:$A$22,0),MATCH("ID",'Topic (56-pt) cards'!$A$2:$BB$2,0))&amp;""</f>
        <v/>
      </c>
    </row>
    <row r="6" ht="30" customHeight="1">
      <c r="A6" s="24" t="inlineStr">
        <is>
          <t>Topic</t>
        </is>
      </c>
      <c r="B6" s="17">
        <f>INDEX('Topic (56-pt) cards'!$A$3:$BB$22,MATCH($B$2,'Topic (56-pt) cards'!$A$3:$A$22,0),MATCH("Topic",'Topic (56-pt) cards'!$A$2:$BB$2,0))&amp;""</f>
        <v/>
      </c>
    </row>
    <row r="7" ht="30" customHeight="1">
      <c r="A7" s="24" t="inlineStr">
        <is>
          <t>Level</t>
        </is>
      </c>
      <c r="B7" s="17">
        <f>INDEX('Topic (56-pt) cards'!$A$3:$BB$22,MATCH($B$2,'Topic (56-pt) cards'!$A$3:$A$22,0),MATCH("Level",'Topic (56-pt) cards'!$A$2:$BB$2,0))&amp;""</f>
        <v/>
      </c>
    </row>
    <row r="8" ht="30" customHeight="1">
      <c r="A8" s="24" t="inlineStr">
        <is>
          <t>Term / topic</t>
        </is>
      </c>
      <c r="B8" s="17">
        <f>INDEX('Topic (56-pt) cards'!$A$3:$BB$22,MATCH($B$2,'Topic (56-pt) cards'!$A$3:$A$22,0),MATCH("Term / topic",'Topic (56-pt) cards'!$A$2:$BB$2,0))&amp;""</f>
        <v/>
      </c>
    </row>
    <row r="9" ht="30" customHeight="1">
      <c r="A9" s="24" t="inlineStr">
        <is>
          <t>Recall cue</t>
        </is>
      </c>
      <c r="B9" s="17">
        <f>INDEX('Topic (56-pt) cards'!$A$3:$BB$22,MATCH($B$2,'Topic (56-pt) cards'!$A$3:$A$22,0),MATCH("Recall cue",'Topic (56-pt) cards'!$A$2:$BB$2,0))&amp;""</f>
        <v/>
      </c>
    </row>
    <row r="10" ht="30" customHeight="1">
      <c r="A10" s="24" t="inlineStr">
        <is>
          <t>Category</t>
        </is>
      </c>
      <c r="B10" s="17">
        <f>INDEX('Topic (56-pt) cards'!$A$3:$BB$22,MATCH($B$2,'Topic (56-pt) cards'!$A$3:$A$22,0),MATCH("Category",'Topic (56-pt) cards'!$A$2:$BB$2,0))&amp;""</f>
        <v/>
      </c>
    </row>
    <row r="11" ht="30" customHeight="1">
      <c r="A11" s="24" t="inlineStr">
        <is>
          <t>How often used</t>
        </is>
      </c>
      <c r="B11" s="17">
        <f>INDEX('Topic (56-pt) cards'!$A$3:$BB$22,MATCH($B$2,'Topic (56-pt) cards'!$A$3:$A$22,0),MATCH("How often used",'Topic (56-pt) cards'!$A$2:$BB$2,0))&amp;""</f>
        <v/>
      </c>
    </row>
    <row r="12" ht="30" customHeight="1">
      <c r="A12" s="24" t="inlineStr">
        <is>
          <t>Importance (1-5)</t>
        </is>
      </c>
      <c r="B12" s="17">
        <f>INDEX('Topic (56-pt) cards'!$A$3:$BB$22,MATCH($B$2,'Topic (56-pt) cards'!$A$3:$A$22,0),MATCH("Importance (1-5)",'Topic (56-pt) cards'!$A$2:$BB$2,0))&amp;""</f>
        <v/>
      </c>
    </row>
    <row r="13" ht="30" customHeight="1">
      <c r="A13" s="24" t="inlineStr">
        <is>
          <t>Origin / why it exists</t>
        </is>
      </c>
      <c r="B13" s="17">
        <f>INDEX('Topic (56-pt) cards'!$A$3:$BB$22,MATCH($B$2,'Topic (56-pt) cards'!$A$3:$A$22,0),MATCH("Origin / why it exists",'Topic (56-pt) cards'!$A$2:$BB$2,0))&amp;""</f>
        <v/>
      </c>
    </row>
    <row r="14" ht="30" customHeight="1">
      <c r="A14" s="24" t="inlineStr">
        <is>
          <t>Pro tip</t>
        </is>
      </c>
      <c r="B14" s="17">
        <f>INDEX('Topic (56-pt) cards'!$A$3:$BB$22,MATCH($B$2,'Topic (56-pt) cards'!$A$3:$A$22,0),MATCH("Pro tip",'Topic (56-pt) cards'!$A$2:$BB$2,0))&amp;""</f>
        <v/>
      </c>
    </row>
    <row r="15" ht="30" customHeight="1">
      <c r="A15" s="24" t="inlineStr">
        <is>
          <t>Memory story</t>
        </is>
      </c>
      <c r="B15" s="17">
        <f>INDEX('Topic (56-pt) cards'!$A$3:$BB$22,MATCH($B$2,'Topic (56-pt) cards'!$A$3:$A$22,0),MATCH("Memory story",'Topic (56-pt) cards'!$A$2:$BB$2,0))&amp;""</f>
        <v/>
      </c>
    </row>
    <row r="16" ht="30" customHeight="1">
      <c r="A16" s="24" t="inlineStr">
        <is>
          <t>Picture it</t>
        </is>
      </c>
      <c r="B16" s="17">
        <f>INDEX('Topic (56-pt) cards'!$A$3:$BB$22,MATCH($B$2,'Topic (56-pt) cards'!$A$3:$A$22,0),MATCH("Picture it",'Topic (56-pt) cards'!$A$2:$BB$2,0))&amp;""</f>
        <v/>
      </c>
    </row>
    <row r="17" ht="30" customHeight="1">
      <c r="A17" s="24" t="inlineStr">
        <is>
          <t>Emotion hook</t>
        </is>
      </c>
      <c r="B17" s="17">
        <f>INDEX('Topic (56-pt) cards'!$A$3:$BB$22,MATCH($B$2,'Topic (56-pt) cards'!$A$3:$A$22,0),MATCH("Emotion hook",'Topic (56-pt) cards'!$A$2:$BB$2,0))&amp;""</f>
        <v/>
      </c>
    </row>
    <row r="18" ht="30" customHeight="1">
      <c r="A18" s="24" t="inlineStr">
        <is>
          <t>Importance ★</t>
        </is>
      </c>
      <c r="B18" s="17">
        <f>INDEX('Topic (56-pt) cards'!$A$3:$BB$22,MATCH($B$2,'Topic (56-pt) cards'!$A$3:$A$22,0),MATCH("Importance ★",'Topic (56-pt) cards'!$A$2:$BB$2,0))&amp;""</f>
        <v/>
      </c>
    </row>
    <row r="19">
      <c r="A19" s="25" t="inlineStr">
        <is>
          <t>BACK · Understanding (samjho)</t>
        </is>
      </c>
    </row>
    <row r="20" ht="30" customHeight="1">
      <c r="A20" s="24" t="inlineStr">
        <is>
          <t>Definition (simple)</t>
        </is>
      </c>
      <c r="B20" s="17">
        <f>INDEX('Topic (56-pt) cards'!$A$3:$BB$22,MATCH($B$2,'Topic (56-pt) cards'!$A$3:$A$22,0),MATCH("Definition (simple)",'Topic (56-pt) cards'!$A$2:$BB$2,0))&amp;""</f>
        <v/>
      </c>
    </row>
    <row r="21" ht="30" customHeight="1">
      <c r="A21" s="24" t="inlineStr">
        <is>
          <t>Meaning in learner's language</t>
        </is>
      </c>
      <c r="B21" s="17">
        <f>INDEX('Topic (56-pt) cards'!$A$3:$BB$22,MATCH($B$2,'Topic (56-pt) cards'!$A$3:$A$22,0),MATCH("Meaning in learner's language",'Topic (56-pt) cards'!$A$2:$BB$2,0))&amp;""</f>
        <v/>
      </c>
    </row>
    <row r="22" ht="54" customHeight="1">
      <c r="A22" s="24" t="inlineStr">
        <is>
          <t>How / why it works</t>
        </is>
      </c>
      <c r="B22" s="17">
        <f>INDEX('Topic (56-pt) cards'!$A$3:$BB$22,MATCH($B$2,'Topic (56-pt) cards'!$A$3:$A$22,0),MATCH("How / why it works",'Topic (56-pt) cards'!$A$2:$BB$2,0))&amp;""</f>
        <v/>
      </c>
    </row>
    <row r="23" ht="30" customHeight="1">
      <c r="A23" s="24" t="inlineStr">
        <is>
          <t>Simple explanation (Hinglish)</t>
        </is>
      </c>
      <c r="B23" s="17">
        <f>INDEX('Topic (56-pt) cards'!$A$3:$BB$22,MATCH($B$2,'Topic (56-pt) cards'!$A$3:$A$22,0),MATCH("Simple explanation (Hinglish)",'Topic (56-pt) cards'!$A$2:$BB$2,0))&amp;""</f>
        <v/>
      </c>
    </row>
    <row r="24" ht="30" customHeight="1">
      <c r="A24" s="24" t="inlineStr">
        <is>
          <t>Real-life analogy</t>
        </is>
      </c>
      <c r="B24" s="17">
        <f>INDEX('Topic (56-pt) cards'!$A$3:$BB$22,MATCH($B$2,'Topic (56-pt) cards'!$A$3:$A$22,0),MATCH("Real-life analogy",'Topic (56-pt) cards'!$A$2:$BB$2,0))&amp;""</f>
        <v/>
      </c>
    </row>
    <row r="25" ht="30" customHeight="1">
      <c r="A25" s="24" t="inlineStr">
        <is>
          <t>Formula / rule</t>
        </is>
      </c>
      <c r="B25" s="17">
        <f>INDEX('Topic (56-pt) cards'!$A$3:$BB$22,MATCH($B$2,'Topic (56-pt) cards'!$A$3:$A$22,0),MATCH("Formula / rule",'Topic (56-pt) cards'!$A$2:$BB$2,0))&amp;""</f>
        <v/>
      </c>
    </row>
    <row r="26" ht="30" customHeight="1">
      <c r="A26" s="24" t="inlineStr">
        <is>
          <t>Example 1</t>
        </is>
      </c>
      <c r="B26" s="17">
        <f>INDEX('Topic (56-pt) cards'!$A$3:$BB$22,MATCH($B$2,'Topic (56-pt) cards'!$A$3:$A$22,0),MATCH("Example 1",'Topic (56-pt) cards'!$A$2:$BB$2,0))&amp;""</f>
        <v/>
      </c>
    </row>
    <row r="27" ht="30" customHeight="1">
      <c r="A27" s="24" t="inlineStr">
        <is>
          <t>Example 2</t>
        </is>
      </c>
      <c r="B27" s="17">
        <f>INDEX('Topic (56-pt) cards'!$A$3:$BB$22,MATCH($B$2,'Topic (56-pt) cards'!$A$3:$A$22,0),MATCH("Example 2",'Topic (56-pt) cards'!$A$2:$BB$2,0))&amp;""</f>
        <v/>
      </c>
    </row>
    <row r="28" ht="30" customHeight="1">
      <c r="A28" s="24" t="inlineStr">
        <is>
          <t>Example 3</t>
        </is>
      </c>
      <c r="B28" s="17">
        <f>INDEX('Topic (56-pt) cards'!$A$3:$BB$22,MATCH($B$2,'Topic (56-pt) cards'!$A$3:$A$22,0),MATCH("Example 3",'Topic (56-pt) cards'!$A$2:$BB$2,0))&amp;""</f>
        <v/>
      </c>
    </row>
    <row r="29" ht="30" customHeight="1">
      <c r="A29" s="24" t="inlineStr">
        <is>
          <t>Related concepts</t>
        </is>
      </c>
      <c r="B29" s="17">
        <f>INDEX('Topic (56-pt) cards'!$A$3:$BB$22,MATCH($B$2,'Topic (56-pt) cards'!$A$3:$A$22,0),MATCH("Related concepts",'Topic (56-pt) cards'!$A$2:$BB$2,0))&amp;""</f>
        <v/>
      </c>
    </row>
    <row r="30" ht="30" customHeight="1">
      <c r="A30" s="24" t="inlineStr">
        <is>
          <t>Family / group</t>
        </is>
      </c>
      <c r="B30" s="17">
        <f>INDEX('Topic (56-pt) cards'!$A$3:$BB$22,MATCH($B$2,'Topic (56-pt) cards'!$A$3:$A$22,0),MATCH("Family / group",'Topic (56-pt) cards'!$A$2:$BB$2,0))&amp;""</f>
        <v/>
      </c>
    </row>
    <row r="31" ht="30" customHeight="1">
      <c r="A31" s="24" t="inlineStr">
        <is>
          <t>Where it is used</t>
        </is>
      </c>
      <c r="B31" s="17">
        <f>INDEX('Topic (56-pt) cards'!$A$3:$BB$22,MATCH($B$2,'Topic (56-pt) cards'!$A$3:$A$22,0),MATCH("Where it is used",'Topic (56-pt) cards'!$A$2:$BB$2,0))&amp;""</f>
        <v/>
      </c>
    </row>
    <row r="32" ht="30" customHeight="1">
      <c r="A32" s="24" t="inlineStr">
        <is>
          <t>Mini conversation</t>
        </is>
      </c>
      <c r="B32" s="17">
        <f>INDEX('Topic (56-pt) cards'!$A$3:$BB$22,MATCH($B$2,'Topic (56-pt) cards'!$A$3:$A$22,0),MATCH("Mini conversation",'Topic (56-pt) cards'!$A$2:$BB$2,0))&amp;""</f>
        <v/>
      </c>
    </row>
    <row r="33" ht="30" customHeight="1">
      <c r="A33" s="24" t="inlineStr">
        <is>
          <t>Common mistake</t>
        </is>
      </c>
      <c r="B33" s="17">
        <f>INDEX('Topic (56-pt) cards'!$A$3:$BB$22,MATCH($B$2,'Topic (56-pt) cards'!$A$3:$A$22,0),MATCH("Common mistake",'Topic (56-pt) cards'!$A$2:$BB$2,0))&amp;""</f>
        <v/>
      </c>
    </row>
    <row r="34" ht="30" customHeight="1">
      <c r="A34" s="24" t="inlineStr">
        <is>
          <t>Don't confuse with</t>
        </is>
      </c>
      <c r="B34" s="17">
        <f>INDEX('Topic (56-pt) cards'!$A$3:$BB$22,MATCH($B$2,'Topic (56-pt) cards'!$A$3:$A$22,0),MATCH("Don't confuse with",'Topic (56-pt) cards'!$A$2:$BB$2,0))&amp;""</f>
        <v/>
      </c>
    </row>
    <row r="35" ht="30" customHeight="1">
      <c r="A35" s="24" t="inlineStr">
        <is>
          <t>Avoid / don't</t>
        </is>
      </c>
      <c r="B35" s="17">
        <f>INDEX('Topic (56-pt) cards'!$A$3:$BB$22,MATCH($B$2,'Topic (56-pt) cards'!$A$3:$A$22,0),MATCH("Avoid / don't",'Topic (56-pt) cards'!$A$2:$BB$2,0))&amp;""</f>
        <v/>
      </c>
    </row>
    <row r="36" ht="30" customHeight="1">
      <c r="A36" s="24" t="inlineStr">
        <is>
          <t>Memory trick</t>
        </is>
      </c>
      <c r="B36" s="17">
        <f>INDEX('Topic (56-pt) cards'!$A$3:$BB$22,MATCH($B$2,'Topic (56-pt) cards'!$A$3:$A$22,0),MATCH("Memory trick",'Topic (56-pt) cards'!$A$2:$BB$2,0))&amp;""</f>
        <v/>
      </c>
    </row>
    <row r="37" ht="30" customHeight="1">
      <c r="A37" s="24" t="inlineStr">
        <is>
          <t>Real life: project / work</t>
        </is>
      </c>
      <c r="B37" s="17">
        <f>INDEX('Topic (56-pt) cards'!$A$3:$BB$22,MATCH($B$2,'Topic (56-pt) cards'!$A$3:$A$22,0),MATCH("Real life: project / work",'Topic (56-pt) cards'!$A$2:$BB$2,0))&amp;""</f>
        <v/>
      </c>
    </row>
    <row r="38" ht="30" customHeight="1">
      <c r="A38" s="24" t="inlineStr">
        <is>
          <t>Real life: interview / exam</t>
        </is>
      </c>
      <c r="B38" s="17">
        <f>INDEX('Topic (56-pt) cards'!$A$3:$BB$22,MATCH($B$2,'Topic (56-pt) cards'!$A$3:$A$22,0),MATCH("Real life: interview / exam",'Topic (56-pt) cards'!$A$2:$BB$2,0))&amp;""</f>
        <v/>
      </c>
    </row>
    <row r="39" ht="30" customHeight="1">
      <c r="A39" s="24" t="inlineStr">
        <is>
          <t>Real life: daily life</t>
        </is>
      </c>
      <c r="B39" s="17">
        <f>INDEX('Topic (56-pt) cards'!$A$3:$BB$22,MATCH($B$2,'Topic (56-pt) cards'!$A$3:$A$22,0),MATCH("Real life: daily life",'Topic (56-pt) cards'!$A$2:$BB$2,0))&amp;""</f>
        <v/>
      </c>
    </row>
    <row r="40">
      <c r="A40" s="27" t="inlineStr">
        <is>
          <t>PRACTICE · Khud karo</t>
        </is>
      </c>
    </row>
    <row r="41" ht="30" customHeight="1">
      <c r="A41" s="24" t="inlineStr">
        <is>
          <t>MCQ question</t>
        </is>
      </c>
      <c r="B41" s="17">
        <f>INDEX('Topic (56-pt) cards'!$A$3:$BB$22,MATCH($B$2,'Topic (56-pt) cards'!$A$3:$A$22,0),MATCH("MCQ question",'Topic (56-pt) cards'!$A$2:$BB$2,0))&amp;""</f>
        <v/>
      </c>
    </row>
    <row r="42" ht="30" customHeight="1">
      <c r="A42" s="24" t="inlineStr">
        <is>
          <t>MCQ options</t>
        </is>
      </c>
      <c r="B42" s="17">
        <f>INDEX('Topic (56-pt) cards'!$A$3:$BB$22,MATCH($B$2,'Topic (56-pt) cards'!$A$3:$A$22,0),MATCH("MCQ options",'Topic (56-pt) cards'!$A$2:$BB$2,0))&amp;""</f>
        <v/>
      </c>
    </row>
    <row r="43" ht="30" customHeight="1">
      <c r="A43" s="24" t="inlineStr">
        <is>
          <t>MCQ answer</t>
        </is>
      </c>
      <c r="B43" s="17">
        <f>INDEX('Topic (56-pt) cards'!$A$3:$BB$22,MATCH($B$2,'Topic (56-pt) cards'!$A$3:$A$22,0),MATCH("MCQ answer",'Topic (56-pt) cards'!$A$2:$BB$2,0))&amp;""</f>
        <v/>
      </c>
    </row>
    <row r="44" ht="30" customHeight="1">
      <c r="A44" s="24" t="inlineStr">
        <is>
          <t>Why that answer</t>
        </is>
      </c>
      <c r="B44" s="17">
        <f>INDEX('Topic (56-pt) cards'!$A$3:$BB$22,MATCH($B$2,'Topic (56-pt) cards'!$A$3:$A$22,0),MATCH("Why that answer",'Topic (56-pt) cards'!$A$2:$BB$2,0))&amp;""</f>
        <v/>
      </c>
    </row>
    <row r="45" ht="30" customHeight="1">
      <c r="A45" s="24" t="inlineStr">
        <is>
          <t>Fill the blank</t>
        </is>
      </c>
      <c r="B45" s="17">
        <f>INDEX('Topic (56-pt) cards'!$A$3:$BB$22,MATCH($B$2,'Topic (56-pt) cards'!$A$3:$A$22,0),MATCH("Fill the blank",'Topic (56-pt) cards'!$A$2:$BB$2,0))&amp;""</f>
        <v/>
      </c>
    </row>
    <row r="46" ht="30" customHeight="1">
      <c r="A46" s="24" t="inlineStr">
        <is>
          <t>Apply it</t>
        </is>
      </c>
      <c r="B46" s="17">
        <f>INDEX('Topic (56-pt) cards'!$A$3:$BB$22,MATCH($B$2,'Topic (56-pt) cards'!$A$3:$A$22,0),MATCH("Apply it",'Topic (56-pt) cards'!$A$2:$BB$2,0))&amp;""</f>
        <v/>
      </c>
    </row>
    <row r="47" ht="30" customHeight="1">
      <c r="A47" s="24" t="inlineStr">
        <is>
          <t>Explain it yourself</t>
        </is>
      </c>
      <c r="B47" s="17">
        <f>INDEX('Topic (56-pt) cards'!$A$3:$BB$22,MATCH($B$2,'Topic (56-pt) cards'!$A$3:$A$22,0),MATCH("Explain it yourself",'Topic (56-pt) cards'!$A$2:$BB$2,0))&amp;""</f>
        <v/>
      </c>
    </row>
    <row r="48" ht="30" customHeight="1">
      <c r="A48" s="24" t="inlineStr">
        <is>
          <t>Write your own</t>
        </is>
      </c>
      <c r="B48" s="17">
        <f>INDEX('Topic (56-pt) cards'!$A$3:$BB$22,MATCH($B$2,'Topic (56-pt) cards'!$A$3:$A$22,0),MATCH("Write your own",'Topic (56-pt) cards'!$A$2:$BB$2,0))&amp;""</f>
        <v/>
      </c>
    </row>
    <row r="49" ht="30" customHeight="1">
      <c r="A49" s="24" t="inlineStr">
        <is>
          <t>Quick recall (reverse)</t>
        </is>
      </c>
      <c r="B49" s="17">
        <f>INDEX('Topic (56-pt) cards'!$A$3:$BB$22,MATCH($B$2,'Topic (56-pt) cards'!$A$3:$A$22,0),MATCH("Quick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cards'!$A$3:$A$22</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ETL vs ELT
Which two patterns differ in whether data is reshaped before or after it reaches the warehouse?</t>
        </is>
      </c>
      <c r="B2" s="29" t="inlineStr">
        <is>
          <t>DEFINITION (SIMPLE):
ETL extracts data, transforms it in a separate system, and then loads the result, while ELT extracts and loads raw data first and transforms it inside the warehouse.
HOW / WHY IT WORKS:
In ETL a processing server or tool cleans and reshapes data before loading, which suits strict targets and sensitive data. In ELT the warehouse does the heavy work using SQL, which scales well and keeps raw data for replays. Many teams use ELT with tools such as dbt, but still apply light cleaning on the way in. The choice depends on volume, cost, privacy rules and team skills.
SIMPLE EXPLANATION (HINGLISH):
ETL transforms before loading, ELT loads first and transforms inside the warehouse.
REAL-LIFE ANALOGY:
ETL is cooking in the kitchen before serving, and ELT is bringing raw groceries to the table and cooking there.
FORMULA / RULE:
ETL = transform, then load. ELT = load, then transform.
EXAMPLE 1:
A script cleaning a CSV and then inserting it into a database.
EXAMPLE 2:
Raw API data landed in a warehouse table and reshaped with SQL models.
EXAMPLE 3:
Masking personal data before loading because the target must never hold it.
RELATED CONCEPTS:
warehouse vs lake, batch vs streaming, dbt basics, data contracts
FAMILY / GROUP:
extract, transform, load, staging, raw layer
WHERE IT IS USED:
Data platforms | Analytics projects | Customer integrations
MINI CONVERSATION:
A: Do we clean the data before it lands in the warehouse? | B: With ELT we load raw first and clean it there with SQL.
COMMON MISTAKE:
✗ ELT means no transformation is needed → ✓ It only moves the transformation into the warehouse
DON'T CONFUSE WITH:
ETL vs ELT: ETL transforms outside the target before loading, ELT transforms inside the target after loading.
AVOID / DON'T:
Do not load sensitive fields raw if the target must never hold them.
MEMORY TRICK:
ETL cooks first, ELT cooks last.
REAL LIFE: PROJECT / WORK:
Moving a customer pipeline from ETL to ELT cut nightly run time by loading raw data once.
REAL LIFE: INTERVIEW / EXAM:
An interviewer may ask: When would you choose ETL over ELT?
REAL LIFE: DAILY LIFE:
It is like cooking in a kitchen versus cooking at the table.</t>
        </is>
      </c>
      <c r="C2" s="29" t="inlineStr">
        <is>
          <t>01_Ideas_Beginner_ETL-001</t>
        </is>
      </c>
    </row>
    <row r="3" ht="409" customHeight="1">
      <c r="A3" s="29" t="inlineStr">
        <is>
          <t>Sources and targets
Which two ends of every pipeline say where data comes from and where it goes?</t>
        </is>
      </c>
      <c r="B3" s="29" t="inlineStr">
        <is>
          <t>DEFINITION (SIMPLE):
A source is a system or file that provides data, such as an API, database or spreadsheet, and a target is the system that receives it, such as a warehouse, lake or application.
HOW / WHY IT WORKS:
Sources differ in format, speed, reliability and access rules, so each needs its own extraction method. Targets define the schema, the load method and who can read the data. A pipeline may have many sources and several targets. Documenting owners and expected behaviour prevents surprises when a source changes.
SIMPLE EXPLANATION (HINGLISH):
Every pipeline reads from sources and writes to targets, so know both well.
REAL-LIFE ANALOGY:
A source is the tap and a target is the tank, with the pipeline as the pipe.
FORMULA / RULE:
Source → pipeline → target.
EXAMPLE 1:
A payment API as a source and a warehouse table as a target.
EXAMPLE 2:
A shared spreadsheet as a source with unpredictable edits.
EXAMPLE 3:
A dashboard database as the target of a daily load.
RELATED CONCEPTS:
extract from APIs, full vs incremental loads, schemas, data contracts
FAMILY / GROUP:
source, target, sink, system of record, upstream
WHERE IT IS USED:
Pipeline design | Documentation | Customer discovery
MINI CONVERSATION:
A: Who owns this source table? | B: The billing team does, so we must tell them before changing anything.
COMMON MISTAKE:
✗ A source is always clean and stable → ✓ Sources change, break and contain errors, so pipelines must expect that
DON'T CONFUSE WITH:
Source vs target: a source provides data, a target receives it.
AVOID / DON'T:
Do not build a pipeline without knowing the source owner.
MEMORY TRICK:
Know both ends before you build the pipe.
REAL LIFE: PROJECT / WORK:
Mapping every source and its owner before a migration exposed a spreadsheet nobody maintained.
REAL LIFE: INTERVIEW / EXAM:
An interviewer may ask: How do you document a new data source?
REAL LIFE: DAILY LIFE:
It is like knowing the tap and the tank.</t>
        </is>
      </c>
      <c r="C3" s="29" t="inlineStr">
        <is>
          <t>01_Ideas_Beginner_ETL-002</t>
        </is>
      </c>
    </row>
    <row r="4" ht="409" customHeight="1">
      <c r="A4" s="29" t="inlineStr">
        <is>
          <t>Batch vs streaming
Which two ways of processing data differ in how often it moves?</t>
        </is>
      </c>
      <c r="B4" s="29" t="inlineStr">
        <is>
          <t>DEFINITION (SIMPLE):
Batch processing moves and transforms data in scheduled groups, while streaming processes each event or small piece continuously as it arrives.
HOW / WHY IT WORKS:
Batch is simpler, cheaper and easy to retry, and suits reports and daily loads. Streaming gives low delay for alerts, live dashboards and fraud checks, but it needs more careful design for ordering, duplicates and failures. Micro-batch sits between them with very small frequent batches. Many platforms use both.
SIMPLE EXPLANATION (HINGLISH):
Batch runs on a schedule in groups, and streaming handles events as they arrive.
REAL-LIFE ANALOGY:
Batch is a postman who delivers once a day, and streaming is a pipe that never stops flowing.
FORMULA / RULE:
Batch = groups on a schedule. Streaming = events as they happen.
EXAMPLE 1:
A nightly job that loads yesterday's orders.
EXAMPLE 2:
A stream that flags a suspicious payment within seconds.
EXAMPLE 3:
A micro-batch job running every five minutes.
RELATED CONCEPTS:
pipelines vs jobs, Kafka basics, late-arriving data, orchestration
FAMILY / GROUP:
batch, stream, event, micro-batch, latency
WHERE IT IS USED:
Reporting | Alerts | Platform design
MINI CONVERSATION:
A: Do we need this dashboard live? | B: Hourly batches are enough, and much cheaper.
COMMON MISTAKE:
✗ Streaming is always better than batch → ✓ It is more complex, and batch is often the right answer
DON'T CONFUSE WITH:
Batch vs streaming: batch is simple and delayed, streaming is complex and immediate.
AVOID / DON'T:
Do not choose streaming without a real need for low delay.
MEMORY TRICK:
Batch is bundles, streaming is a flow.
REAL LIFE: PROJECT / WORK:
Replacing a streaming design with hourly batches saved cost and met the real need.
REAL LIFE: INTERVIEW / EXAM:
An interviewer may ask: When is streaming worth the extra complexity?
REAL LIFE: DAILY LIFE:
It is like daily post versus a running tap.</t>
        </is>
      </c>
      <c r="C4" s="29" t="inlineStr">
        <is>
          <t>01_Ideas_Beginner_ETL-003</t>
        </is>
      </c>
    </row>
    <row r="5" ht="409" customHeight="1">
      <c r="A5" s="29" t="inlineStr">
        <is>
          <t>Warehouse vs lake vs lakehouse
Which three storage designs hold analytics data, and how do they differ?</t>
        </is>
      </c>
      <c r="B5" s="29" t="inlineStr">
        <is>
          <t>DEFINITION (SIMPLE):
A data warehouse stores structured, modelled data for SQL analytics, a data lake stores raw files of any type cheaply, and a lakehouse adds table features and SQL on top of lake storage.
HOW / WHY IT WORKS:
Warehouses give speed, governance and simple SQL but cost more per terabyte. Lakes hold structured, semi-structured and unstructured data cheaply, but need extra work to make it reliable. Lakehouse formats such as Delta, Iceberg and Hudi add transactions and schema control to files. Many organisations keep raw data in a lake and curated data in a warehouse.
SIMPLE EXPLANATION (HINGLISH):
Warehouses are structured and fast, lakes are raw and cheap, and lakehouses try to give both.
REAL-LIFE ANALOGY:
A warehouse is a tidy shop, a lake is a pond of everything, and a lakehouse is a pond with shelves.
FORMULA / RULE:
Warehouse = structured. Lake = raw. Lakehouse = raw with table features.
EXAMPLE 1:
Sales tables in a cloud warehouse for dashboards.
EXAMPLE 2:
Raw JSON logs stored as files in object storage.
EXAMPLE 3:
Parquet tables with transactions managed by a lakehouse format.
RELATED CONCEPTS:
ETL vs ELT, file formats, schemas, cost and performance
FAMILY / GROUP:
warehouse, lake, lakehouse, Parquet, object storage
WHERE IT IS USED:
Architecture decisions | Customer platforms | Cost planning
MINI CONVERSATION:
A: Should the raw logs go in the warehouse? | B: Keep them in the lake, and load only cleaned tables.
COMMON MISTAKE:
✗ A lake replaces the need for a warehouse → ✓ Each has strengths, and many teams use both
DON'T CONFUSE WITH:
Lake vs warehouse: a lake stores raw files cheaply, a warehouse stores modelled tables for fast SQL.
AVOID / DON'T:
Do not let a lake turn into an unmanaged swamp.
MEMORY TRICK:
Warehouse shelves, lake pond, lakehouse both.
REAL LIFE: PROJECT / WORK:
Landing raw files in a lake kept a cheap replayable copy behind the warehouse.
REAL LIFE: INTERVIEW / EXAM:
An interviewer may ask: What problem does a lakehouse solve?
REAL LIFE: DAILY LIFE:
It is like a shop, a pond and a pond with shelves.</t>
        </is>
      </c>
      <c r="C5" s="29" t="inlineStr">
        <is>
          <t>01_Ideas_Intermediate_ETL-004</t>
        </is>
      </c>
    </row>
    <row r="6" ht="409" customHeight="1">
      <c r="A6" s="29" t="inlineStr">
        <is>
          <t>Pipelines vs jobs
Which two terms describe the whole flow and its individual runnable steps?</t>
        </is>
      </c>
      <c r="B6" s="29" t="inlineStr">
        <is>
          <t>DEFINITION (SIMPLE):
A job is one runnable unit of work such as extracting a table, and a pipeline is an ordered set of jobs with dependencies that together move data from sources to targets.
HOW / WHY IT WORKS:
Jobs have inputs, outputs and a status. Dependencies say which job must finish first. A scheduler or orchestrator runs the pipeline, retries failed jobs and records history. Small jobs are easier to test and rerun. Large jobs hide failures and are costly to repeat.
SIMPLE EXPLANATION (HINGLISH):
A pipeline is the whole chain, and a job is one step in it.
REAL-LIFE ANALOGY:
A pipeline is a train line, and a job is one station.
FORMULA / RULE:
Pipeline = jobs + order + schedule.
EXAMPLE 1:
Jobs for extract, clean and load inside one pipeline.
EXAMPLE 2:
A failed load job rerun without repeating the extract.
EXAMPLE 3:
A dependency saying report runs after load.
RELATED CONCEPTS:
orchestration, idempotency, retries, Airflow tasks
FAMILY / GROUP:
job, task, pipeline, dependency, schedule
WHERE IT IS USED:
Orchestrators | Data platforms | Operations
MINI CONVERSATION:
A: One failure reran everything for three hours. | B: Split it into smaller jobs so only the failed one reruns.
COMMON MISTAKE:
✗ A pipeline should be one big script → ✓ Small jobs give clearer failures and cheaper retries
DON'T CONFUSE WITH:
Job vs pipeline: a job is one step, a pipeline is the whole chain.
AVOID / DON'T:
Do not put extract, clean and load in one unmonitored script.
MEMORY TRICK:
Small jobs make safe pipelines.
REAL LIFE: PROJECT / WORK:
Splitting one long script into jobs let operators rerun only the failed load.
REAL LIFE: INTERVIEW / EXAM:
An interviewer may ask: Why keep jobs small?
REAL LIFE: DAILY LIFE:
It is like stations on a train line.</t>
        </is>
      </c>
      <c r="C6" s="29" t="inlineStr">
        <is>
          <t>01_Ideas_Beginner_ETL-005</t>
        </is>
      </c>
    </row>
    <row r="7" ht="409" customHeight="1">
      <c r="A7" s="29" t="inlineStr">
        <is>
          <t>Data contracts
Which agreements describe what shape and quality of data a producer promises to deliver?</t>
        </is>
      </c>
      <c r="B7" s="29" t="inlineStr">
        <is>
          <t>DEFINITION (SIMPLE):
A data contract is an agreed description of a dataset's schema, meaning, quality rules, freshness and ownership, between the team that produces it and the teams that use it.
HOW / WHY IT WORKS:
A contract lists fields with types, allowed values, null rules, update frequency and who to contact. Automated checks compare real data with the contract and alert on breaks. Changes follow a process, such as adding fields freely but announcing removals ahead of time. Contracts turn hidden assumptions into visible, testable rules.
SIMPLE EXPLANATION (HINGLISH):
Write down what the data should look like, test it, and agree how changes happen.
REAL-LIFE ANALOGY:
A data contract is a written promise between a supplier and a customer about each delivery.
FORMULA / RULE:
Schema + quality rules + freshness + owner.
EXAMPLE 1:
A contract saying order_id is never null and unique.
EXAMPLE 2:
A test failing when a column is renamed.
EXAMPLE 3:
A notice period before removing a field.
RELATED CONCEPTS:
schemas, schema changes, data quality checks, sources and targets
FAMILY / GROUP:
contract, schema, SLA, producer, consumer
WHERE IT IS USED:
Platform teams | Large organisations | Critical pipelines
MINI CONVERSATION:
A: The source team renamed a column and broke our job. | B: A data contract would have flagged that change first.
COMMON MISTAKE:
✗ A data contract is only a document that nobody checks → ✓ It is useful only when tests enforce it automatically
DON'T CONFUSE WITH:
Contract vs documentation: a contract is enforced by tests, documentation is only read.
AVOID / DON'T:
Do not leave quality expectations unwritten.
MEMORY TRICK:
A promise only counts when it is tested.
REAL LIFE: PROJECT / WORK:
Adding contract tests caught a type change from a source before the nightly run.
REAL LIFE: INTERVIEW / EXAM:
An interviewer may ask: How do you stop upstream changes from breaking pipelines?
REAL LIFE: DAILY LIFE:
It is like a written promise between a supplier and a customer.</t>
        </is>
      </c>
      <c r="C7" s="29" t="inlineStr">
        <is>
          <t>01_Ideas_Intermediate_ETL-006</t>
        </is>
      </c>
    </row>
    <row r="8" ht="409" customHeight="1">
      <c r="A8" s="29" t="inlineStr">
        <is>
          <t>Extracting from APIs
How do you read data from a web API safely and completely?
import requests
rows, url = [], "https://api.example.com/orders?limit=100"
headers = {"Authorization": "Bearer TOKEN"}
while url:
    r = requests.get(url, headers=headers, timeout=30)
    r.raise_for_status()
    body = r.json()
    rows.extend(body["data"])
    url = body.get("next")
print(len(rows))</t>
        </is>
      </c>
      <c r="B8" s="29" t="inlineStr">
        <is>
          <t>MEANING (SHORT):
API extraction sends authenticated requests, follows pagination, handles errors and limits, and stores the returned records in a landing area.
CODE:
import requests
rows, url = [], "https://api.example.com/orders?limit=100"
headers = {"Authorization": "Bearer TOKEN"}
while url:
    r = requests.get(url, headers=headers, timeout=30)
    r.raise_for_status()
    body = r.json()
    rows.extend(body["data"])
    url = body.get("next")
print(len(rows))
OUTPUT:
Prints the total number of records collected across all pages.
EXPLANATION:
The loop follows a next link until it is empty. A timeout stops a hung call, and raise_for_status turns bad responses into errors. Real pipelines add retries with delays and respect rate limits. Store the raw JSON with a load timestamp before reshaping. Never print or log tokens.
SIMPLE EXPLANATION (HINGLISH):
Call the API in a loop, follow the pages, handle errors, and keep the raw data.
REAL-LIFE ANALOGY:
Extracting from an API is borrowing books through a librarian who hands them over a few at a time.
SYNTAX PATTERN:
requests.get(url, headers=..., params=..., timeout=...)
ANATOMY:
headers = credentials | params = filters | timeout = safety | next = next page
EXAMPLE 1:
requests.get(url, params={"updated_since": ts})
EXAMPLE 2:
r.raise_for_status()
EXAMPLE 3:
json.dump(body, open("raw/orders_1.json", "w"))
VARIATION:
session = requests.Session()   // reuse the connection across pages
USED WITH:
pagination, rate limits, credentials
RELATED CONCEPTS:
pagination and rate limits, credentials, full vs incremental, retries
ALTERNATIVES:
Official client libraries | Connectors
WHERE IT IS USED:
SaaS integrations | Customer data pulls | Backfills
MINI CONVERSATION:
A: The job only got the first hundred records. | B: It ignored pagination, so follow the next links.
COMMON MISTAKE:
✗ One API call returns all the data → ✓ Responses are usually paged, so loop until the end
COMMONLY CONFUSED WITH:
API extract vs database extract: an API is paged and limited, a database allows queries.
AVOID / DON'T:
Do not call an API without a timeout.
WRONG CODE:
r = requests.get(url)
RIGHT CODE:
r = requests.get(url, timeout=30); r.raise_for_status()
MEMORY TRICK:
Follow the next link until none remains.
REAL LIFE: PROJECT / WORK:
Replaying from the raw layer recovered the lost records.
REAL LIFE: INTERVIEW / EXAM:
An interviewer may ask: How do you extract all records from a paged API?
REAL LIFE: DAILY LIFE:
It is like borrowing books a few at a time.</t>
        </is>
      </c>
      <c r="C8" s="29" t="inlineStr">
        <is>
          <t>02_Extract_Beginner_ETL-007</t>
        </is>
      </c>
    </row>
    <row r="9" ht="409" customHeight="1">
      <c r="A9" s="29" t="inlineStr">
        <is>
          <t>Extracting from databases and files
How do you read data from relational databases and from files such as CSV?
SELECT order_id, customer_id, total, updated_at
FROM orders
WHERE updated_at &gt;= '2026-10-01' AND updated_at &lt; '2026-10-02'
ORDER BY order_id;
-- files in Python: pandas.read_csv("orders.csv", dtype={"order_id": "string"}, encoding="utf-8")</t>
        </is>
      </c>
      <c r="B9" s="29" t="inlineStr">
        <is>
          <t>MEANING (SHORT):
Database extraction runs read-only queries, often by key or date ranges, and file extraction reads delimited or structured files from storage with explicit types and encodings.
CODE:
SELECT order_id, customer_id, total, updated_at
FROM orders
WHERE updated_at &gt;= '2026-10-01' AND updated_at &lt; '2026-10-02'
ORDER BY order_id;
-- files in Python: pandas.read_csv("orders.csv", dtype={"order_id": "string"}, encoding="utf-8")
OUTPUT:
Returns only the orders updated on that day, and the file read keeps order_id as text.
EXPLANATION:
Selecting needed columns and a time range keeps the load on the source small. Large tables should be read in chunks. For files, declare types so leading zeros and dates are not guessed wrongly. Check encoding, delimiter and header. A partially written file must not be read, so wait for a completion marker or use atomic moves.
SIMPLE EXPLANATION (HINGLISH):
Query only what you need from databases, and declare types when reading files.
REAL-LIFE ANALOGY:
Reading a database is asking the librarian for a list, and reading a file is picking up a sealed parcel.
SYNTAX PATTERN:
SELECT columns FROM table WHERE range | read_csv(path, dtype=..., encoding=...)
ANATOMY:
WHERE range = limit rows | dtype = fixed types | chunks = bounded memory
EXAMPLE 1:
SELECT * FROM events WHERE id &gt; 1000 ORDER BY id LIMIT 5000;
EXAMPLE 2:
pandas.read_csv("big.csv", chunksize=100000)
EXAMPLE 3:
df = pandas.read_parquet("part-0001.parquet")
VARIATION:
COPY orders TO STDOUT WITH CSV   // fast bulk export in PostgreSQL
USED WITH:
replicas, incremental loads, file formats
RELATED CONCEPTS:
full vs incremental, file formats, credentials, change data capture
ALTERNATIVES:
Database replicas | change data capture
WHERE IT IS USED:
Warehouse loads | Migrations | Reports
MINI CONVERSATION:
A: The nightly export slows the live app. | B: Read from a replica and select only the columns we need.
COMMON MISTAKE:
✗ Reading from the source database is always safe → ✓ Heavy queries can slow production, so extract carefully
COMMONLY CONFUSED WITH:
Chunked vs full read: chunks limit memory, a full read loads everything at once.
AVOID / DON'T:
Do not run huge queries on a production primary at peak time.
WRONG CODE:
SELECT * FROM orders;
RIGHT CODE:
SELECT order_id, total FROM orders WHERE updated_at &gt;= '2026-10-01';
MEMORY TRICK:
Select less, read from a replica, declare types.
REAL LIFE: PROJECT / WORK:
Moving the nightly extract to a replica removed daytime slowdowns for the customer.
REAL LIFE: INTERVIEW / EXAM:
An interviewer may ask: How do you extract from a production database safely?
REAL LIFE: DAILY LIFE:
It is like asking a librarian for a list.</t>
        </is>
      </c>
      <c r="C9" s="29" t="inlineStr">
        <is>
          <t>02_Extract_Beginner_ETL-008</t>
        </is>
      </c>
    </row>
    <row r="10" ht="409" customHeight="1">
      <c r="A10" s="29" t="inlineStr">
        <is>
          <t>Full vs incremental loads
Which two extraction styles differ in whether you copy everything or only what changed?
-- state table holds the watermark
SELECT last_value FROM etl_state WHERE name = 'orders';
SELECT * FROM orders WHERE updated_at &gt; :last_value ORDER BY updated_at;
-- after a successful load
UPDATE etl_state SET last_value = :max_updated_at WHERE name = 'orders';</t>
        </is>
      </c>
      <c r="B10" s="29" t="inlineStr">
        <is>
          <t>MEANING (SHORT):
A full load copies the entire source each run, while an incremental load copies only rows newer than a stored watermark such as a timestamp or id.
CODE:
-- state table holds the watermark
SELECT last_value FROM etl_state WHERE name = 'orders';
SELECT * FROM orders WHERE updated_at &gt; :last_value ORDER BY updated_at;
-- after a successful load
UPDATE etl_state SET last_value = :max_updated_at WHERE name = 'orders';
OUTPUT:
Only rows changed since the last run are read, and the watermark moves forward after success.
EXPLANATION:
Incremental loads need a reliable change column, such as an updated timestamp or a rising id. Deletes are not visible with a simple watermark, so they need a soft delete flag or change data capture. Clock differences and late edits can be handled by re-reading a small overlap window. Full loads are simpler and fine for small tables.
SIMPLE EXPLANATION (HINGLISH):
Store a watermark, read only newer rows, and move the watermark after success.
REAL-LIFE ANALOGY:
Full load is photocopying the whole book, and incremental is copying only the new pages.
SYNTAX PATTERN:
WHERE updated_at &gt; :watermark
ANATOMY:
watermark = last processed value | overlap = safety margin | state table = stored progress
EXAMPLE 1:
SELECT * FROM events WHERE id &gt; 98200;
EXAMPLE 2:
WHERE updated_at &gt; :last - INTERVAL '10 minutes'
EXAMPLE 3:
TRUNCATE staging; INSERT ... SELECT * FROM source;
VARIATION:
SELECT * FROM orders WHERE is_deleted = true AND updated_at &gt; :last;   // catch soft deletes
USED WITH:
watermarks, upserts, change data capture
RELATED CONCEPTS:
upserts, change data capture, idempotency, extract from databases
ALTERNATIVES:
Change data capture | full refresh for small tables
WHERE IT IS USED:
Large tables | Frequent syncs | Cost control
MINI CONVERSATION:
A: Why does the sync miss deleted rows? | B: A timestamp watermark cannot see deletes, so use soft deletes or CDC.
COMMON MISTAKE:
✗ Incremental loads always catch every change → ✓ Deletes and late edits can slip through without extra handling
COMMONLY CONFUSED WITH:
Incremental vs full refresh: one moves changes, the other replaces everything.
AVOID / DON'T:
Do not advance the watermark before the load succeeds.
WRONG CODE:
UPDATE etl_state SET last_value = now();   -- before loading
RIGHT CODE:
UPDATE etl_state SET last_value = :max_updated_at;   -- after a successful load
MEMORY TRICK:
Move the watermark only after success.
REAL LIFE: PROJECT / WORK:
Backfilling by partition made reruns much faster for the whole team.
REAL LIFE: INTERVIEW / EXAM:
An interviewer may ask: What is a watermark in a pipeline?
REAL LIFE: DAILY LIFE:
It is like copying only the new pages of a book.</t>
        </is>
      </c>
      <c r="C10" s="29" t="inlineStr">
        <is>
          <t>02_Extract_Intermediate_ETL-009</t>
        </is>
      </c>
    </row>
    <row r="11" ht="409" customHeight="1">
      <c r="A11" s="29" t="inlineStr">
        <is>
          <t>Change data capture
Which technique reads inserts, updates and deletes from a database's own change log?</t>
        </is>
      </c>
      <c r="B11" s="29" t="inlineStr">
        <is>
          <t>DEFINITION (SIMPLE):
Change data capture reads the database's transaction log to emit each insert, update and delete as an event, usually with the old and new values.
HOW / WHY IT WORKS:
Tools such as Debezium read logs and publish changes to a stream, and managed connectors do the same into warehouses. It captures deletes, keeps order and adds little load. It needs log access, careful setup and a plan for the first full snapshot. Schema changes and log retention need attention. Events often carry an operation type and a timestamp.
SIMPLE EXPLANATION (HINGLISH):
Read the database change log to get every change, including deletes.
REAL-LIFE ANALOGY:
CDC is reading the shop's till roll instead of recounting the shelves.
FORMULA / RULE:
Snapshot first, then stream the changes.
EXAMPLE 1:
A connector sending each order update to a stream.
EXAMPLE 2:
A delete event removing a row in the target.
EXAMPLE 3:
An initial snapshot followed by continuous changes.
RELATED CONCEPTS:
full vs incremental, Kafka basics, slowly changing data, upserts
FAMILY / GROUP:
CDC, transaction log, snapshot, event, Debezium
WHERE IT IS USED:
Replication | Near real-time sync | Migrations
MINI CONVERSATION:
A: We must see deleted rows in the warehouse. | B: Use change data capture instead of a timestamp watermark.
COMMON MISTAKE:
✗ CDC is just a faster way of polling → ✓ It reads the log, so it also sees deletes and the order of changes
DON'T CONFUSE WITH:
CDC vs polling: CDC reads the log, polling queries tables.
AVOID / DON'T:
Do not forget the initial snapshot.
MEMORY TRICK:
Log first, snapshot once, then stream.
REAL LIFE: PROJECT / WORK:
Using CDC kept a reporting table in step with deletes in the customer database.
REAL LIFE: INTERVIEW / EXAM:
An interviewer may ask: What can CDC do that a timestamp watermark cannot?
REAL LIFE: DAILY LIFE:
It is like reading a till roll.</t>
        </is>
      </c>
      <c r="C11" s="29" t="inlineStr">
        <is>
          <t>02_Extract_Advanced_ETL-010</t>
        </is>
      </c>
    </row>
    <row r="12" ht="409" customHeight="1">
      <c r="A12" s="29" t="inlineStr">
        <is>
          <t>Pagination and rate limits
How do you handle APIs that return data in pages and slow you down when you call too fast?
import time, requests
def get(url, **kw):
    for attempt in range(5):
        r = requests.get(url, timeout=30, **kw)
        if r.status_code == 429:
            time.sleep(int(r.headers.get("Retry-After", 2 ** attempt)))
            continue
        r.raise_for_status()
        return r
    raise RuntimeError("Rate limit not lifting. Retry later or ask for a higher limit.")</t>
        </is>
      </c>
      <c r="B12" s="29" t="inlineStr">
        <is>
          <t>MEANING (SHORT):
Pagination splits results by page number, offset or cursor, and rate limits cap requests per time, which clients meet by waiting and retrying with backoff.
CODE:
import time, requests
def get(url, **kw):
    for attempt in range(5):
        r = requests.get(url, timeout=30, **kw)
        if r.status_code == 429:
            time.sleep(int(r.headers.get("Retry-After", 2 ** attempt)))
            continue
        r.raise_for_status()
        return r
    raise RuntimeError("Rate limit not lifting. Retry later or ask for a higher limit.")
OUTPUT:
Returns the response, or waits and retries on a 429 status, and fails with a clear message after five tries.
EXPLANATION:
Offset pagination can skip or repeat rows when data changes during the run, while cursors point to a stable position. A 429 status means too many requests, and a Retry-After header says how long to wait. Exponential backoff doubles the wait on each try, and jitter adds randomness. Parallel callers share the same limit.
SIMPLE EXPLANATION (HINGLISH):
Follow cursors, respect Retry-After, and back off when told to slow down.
REAL-LIFE ANALOGY:
Pagination is taking a few trays at a time, and rate limits are the waiter asking you to slow down.
SYNTAX PATTERN:
if r.status_code == 429: time.sleep(wait)
ANATOMY:
cursor = stable position | 429 = too many requests | Retry-After = seconds to wait | backoff = growing delay
EXAMPLE 1:
?cursor=eyJpZCI6MTAwfQ
EXAMPLE 2:
?page=3&amp;per_page=100
EXAMPLE 3:
time.sleep(2 ** attempt + random.random())
VARIATION:
requests_per_second = 5   // a client-side throttle
USED WITH:
API extraction, retries, credentials
RELATED CONCEPTS:
extract from APIs, retries, idempotency, error handling
ALTERNATIVES:
Bulk export endpoints | webhooks
WHERE IT IS USED:
SaaS integrations | Backfills | Large pulls
MINI CONVERSATION:
A: The API keeps returning 429. | B: Respect Retry-After and slow the request rate.
COMMON MISTAKE:
✗ Retrying immediately fixes a rate limit → ✓ It makes the problem worse, so wait and back off
COMMONLY CONFUSED WITH:
Offset vs cursor: offset counts rows and can drift, a cursor marks a stable position.
AVOID / DON'T:
Do not hammer an API without delays.
WRONG CODE:
while True: r = requests.get(url)
RIGHT CODE:
time.sleep(int(r.headers.get("Retry-After", 2)))
MEMORY TRICK:
Cursors beat offsets, waiting beats hammering.
REAL LIFE: PROJECT / WORK:
Adding backoff and cursors stopped duplicate and missing rows in a nightly sync.
REAL LIFE: INTERVIEW / EXAM:
An interviewer may ask: What does a 429 response mean?
REAL LIFE: DAILY LIFE:
It is like a waiter asking you to slow down.</t>
        </is>
      </c>
      <c r="C12" s="29" t="inlineStr">
        <is>
          <t>02_Extract_Intermediate_ETL-011</t>
        </is>
      </c>
    </row>
    <row r="13" ht="409" customHeight="1">
      <c r="A13" s="29" t="inlineStr">
        <is>
          <t>Credentials in pipelines
How do you store and use passwords and tokens for sources without leaking them?</t>
        </is>
      </c>
      <c r="B13" s="29" t="inlineStr">
        <is>
          <t>DEFINITION (SIMPLE):
Pipeline credentials are secrets used to access sources and targets, and they should be stored in a secrets manager, injected at run time, scoped to least privilege and rotated.
HOW / WHY IT WORKS:
Never hard-code passwords in scripts or commit them to Git. Use environment variables from a secrets system, or short-lived tokens through roles. Give each pipeline its own read-only account for sources. Log access but never log secret values. Rotate secrets on a schedule and after any leak, and test that rotation does not break jobs.
SIMPLE EXPLANATION (HINGLISH):
Keep secrets in a vault, give each job a narrow read-only account, and never print them.
REAL-LIFE ANALOGY:
Credentials are keys on a ring, and each job receives only its own key.
FORMULA / RULE:
Vault + least privilege + rotation + no logging.
EXAMPLE 1:
A job reading a password from a secrets manager.
EXAMPLE 2:
A read-only database user for the extract.
EXAMPLE 3:
A rotation test before the schedule changes.
RELATED CONCEPTS:
secrets and KMS, least privilege, extract from APIs, error handling
FAMILY / GROUP:
secret, token, vault, rotation, read-only
WHERE IT IS USED:
Every pipeline | Customer integrations | Security reviews
MINI CONVERSATION:
A: Where is the database password stored? | B: In the secrets manager, and the job reads it at run time.
COMMON MISTAKE:
✗ A private repository is a safe place for passwords → ✓ Secrets in Git history can leak, so use a vault
DON'T CONFUSE WITH:
Hard-coded vs injected secrets: hard-coded ones leak, injected ones stay outside the code.
AVOID / DON'T:
Do not print connection strings in logs.
MEMORY TRICK:
Vault it, scope it, rotate it.
REAL LIFE: PROJECT / WORK:
Replacing passwords in scripts with vault lookups passed a customer security review.
REAL LIFE: INTERVIEW / EXAM:
An interviewer may ask: How do you handle secrets in a data pipeline?
REAL LIFE: DAILY LIFE:
It is like keys on a ring for each door.</t>
        </is>
      </c>
      <c r="C13" s="29" t="inlineStr">
        <is>
          <t>02_Extract_Intermediate_ETL-012</t>
        </is>
      </c>
    </row>
    <row r="14" ht="409" customHeight="1">
      <c r="A14" s="29" t="inlineStr">
        <is>
          <t>Cleaning data
Which steps fix messy values such as extra spaces, mixed cases and bad formats?
SELECT
  TRIM(LOWER(email)) AS email,
  UPPER(TRIM(country_code)) AS country_code,
  NULLIF(TRIM(phone), '') AS phone,
  CASE WHEN status IN ('Active','active','ACTIVE') THEN 'active' ELSE LOWER(status) END AS status
FROM raw_customers;</t>
        </is>
      </c>
      <c r="B14" s="29" t="inlineStr">
        <is>
          <t>MEANING (SHORT):
Cleaning standardises text, trims whitespace, fixes formats, maps known variants and flags impossible values, without changing the raw source copy.
CODE:
SELECT
  TRIM(LOWER(email)) AS email,
  UPPER(TRIM(country_code)) AS country_code,
  NULLIF(TRIM(phone), '') AS phone,
  CASE WHEN status IN ('Active','active','ACTIVE') THEN 'active' ELSE LOWER(status) END AS status
FROM raw_customers;
OUTPUT:
Emails are lowercase and trimmed, country codes are uppercase, blank phones become null, and statuses are standardised.
EXPLANATION:
Typical steps are trimming, case standardisation, replacing empty strings with nulls, mapping synonyms and parsing dates. Do cleaning with rules that are written down and tested. Keep the original value in a raw table so mistakes can be undone. Do not silently drop rows, and instead route bad rows to a rejected table with a reason.
SIMPLE EXPLANATION (HINGLISH):
Standardise values with clear rules, keep raw data safe, and quarantine what cannot be fixed.
REAL-LIFE ANALOGY:
Cleaning is washing vegetables before cooking while keeping the original sack.
SYNTAX PATTERN:
TRIM(x) | LOWER(x) | NULLIF(x, '') | CASE WHEN ... END
ANATOMY:
TRIM = remove spaces | NULLIF = blank to null | CASE = map values
EXAMPLE 1:
SELECT REPLACE(phone, '-', '') FROM raw_customers;
EXAMPLE 2:
SELECT COALESCE(city, 'unknown') FROM raw_customers;
EXAMPLE 3:
INSERT INTO rejected_rows SELECT *, 'bad email' FROM raw_customers WHERE email NOT LIKE '%@%';
VARIATION:
SELECT INITCAP(name) FROM raw_customers;   // capitalise words, in PostgreSQL
USED WITH:
staging tables, data quality checks, joins
RELATED CONCEPTS:
types and nulls, deduplication, data quality checks, SQL transforms
ALTERNATIVES:
pandas string methods | dbt models
WHERE IT IS USED:
Staging layers | Customer data | Reports
MINI CONVERSATION:
A: The same customer appears in three spellings. | B: Standardise case and spaces before grouping.
COMMON MISTAKE:
✗ Cleaning should delete every bad row → ✓ Bad rows should be quarantined with a reason, not silently lost
COMMONLY CONFUSED WITH:
Cleaning vs validating: cleaning fixes values, validating checks them against rules.
AVOID / DON'T:
Do not overwrite the raw source columns.
WRONG CODE:
UPDATE raw_customers SET email = LOWER(email);
RIGHT CODE:
INSERT INTO stg_customers SELECT LOWER(TRIM(email)) FROM raw_customers;
MEMORY TRICK:
Clean a copy, keep the raw data.
REAL LIFE: PROJECT / WORK:
Moving cleaning rules into a staging layer fixed duplicate customers caused by casing.
REAL LIFE: INTERVIEW / EXAM:
An interviewer may ask: How do you handle rows that cannot be cleaned?
REAL LIFE: DAILY LIFE:
It is like washing vegetables before cooking.</t>
        </is>
      </c>
      <c r="C14" s="29" t="inlineStr">
        <is>
          <t>03_Transform_Beginner_ETL-013</t>
        </is>
      </c>
    </row>
    <row r="15" ht="409" customHeight="1">
      <c r="A15" s="29" t="inlineStr">
        <is>
          <t>Types and nulls
Which two common sources of silent errors come from wrong data types and missing values?
SELECT
  CAST(order_id AS BIGINT) AS order_id,
  CAST(total AS NUMERIC(12,2)) AS total,
  CAST(created_at AS TIMESTAMP) AS created_at,
  COALESCE(discount, 0) AS discount,
  total IS NULL AS total_missing
FROM stg_orders;</t>
        </is>
      </c>
      <c r="B15" s="29" t="inlineStr">
        <is>
          <t>MEANING (SHORT):
Casting converts values to proper types, and null handling decides how missing values are treated in comparisons, sums and joins.
CODE:
SELECT
  CAST(order_id AS BIGINT) AS order_id,
  CAST(total AS NUMERIC(12,2)) AS total,
  CAST(created_at AS TIMESTAMP) AS created_at,
  COALESCE(discount, 0) AS discount,
  total IS NULL AS total_missing
FROM stg_orders;
OUTPUT:
Columns are typed, missing discounts become zero, and total_missing is true for rows with no total.
EXPLANATION:
Comparing with null using an equals sign never gives true, and you must use IS NULL. Sums ignore nulls, while arithmetic with null gives null. Counting a column ignores nulls but counting rows does not. Money should use exact decimal types, not floating point. Dates from text need an explicit format and a time zone.
SIMPLE EXPLANATION (HINGLISH):
Cast on purpose, use IS NULL for nulls, and decide what missing means.
REAL-LIFE ANALOGY:
Types are the right containers for each ingredient, and nulls are empty containers you must not count as zero.
SYNTAX PATTERN:
CAST(x AS type) | COALESCE(x, default) | x IS NULL
ANATOMY:
CAST = change type | COALESCE = first non-null | IS NULL = null test
EXAMPLE 1:
SELECT COUNT(*), COUNT(discount) FROM stg_orders;
EXAMPLE 2:
SELECT SUM(total) FROM stg_orders WHERE total IS NOT NULL;
EXAMPLE 3:
SELECT 5 + NULL;
VARIATION:
SELECT total::numeric(12,2) FROM stg_orders;   // PostgreSQL cast shorthand
USED WITH:
cleaning, joins, aggregations
RELATED CONCEPTS:
cleaning data, aggregations, joins, schemas
ALTERNATIVES:
Schema-enforced file formats
WHERE IT IS USED:
Staging | Finance data | Reports
MINI CONVERSATION:
A: My filter on equals null returns nothing. | B: Null never equals anything, so use IS NULL.
COMMON MISTAKE:
✗ Null equals zero or empty text → ✓ Null means unknown, and it behaves differently in every operation
COMMONLY CONFUSED WITH:
COUNT(*) vs COUNT(column): the first counts rows, the second skips nulls.
AVOID / DON'T:
Do not store money in floating point types.
WRONG CODE:
SELECT * FROM stg_orders WHERE discount = NULL;
RIGHT CODE:
SELECT * FROM stg_orders WHERE discount IS NULL;
MEMORY TRICK:
Null is unknown, never equal to anything.
REAL LIFE: PROJECT / WORK:
Fixing a float column for money removed one-cent differences in a finance report.
REAL LIFE: INTERVIEW / EXAM:
An interviewer may ask: What is the difference between COUNT star and COUNT column?
REAL LIFE: DAILY LIFE:
It is like empty containers that must not be counted as zero.</t>
        </is>
      </c>
      <c r="C15" s="29" t="inlineStr">
        <is>
          <t>03_Transform_Beginner_ETL-014</t>
        </is>
      </c>
    </row>
    <row r="16" ht="409" customHeight="1">
      <c r="A16" s="29" t="inlineStr">
        <is>
          <t>Joins in pipelines
How do you combine tables safely without losing or multiplying rows?
SELECT o.order_id, o.total, c.name, c.country
FROM stg_orders o
LEFT JOIN dim_customers c ON c.customer_id = o.customer_id;
SELECT COUNT(*) FROM stg_orders;
SELECT COUNT(*) FROM (
  SELECT o.order_id FROM stg_orders o LEFT JOIN dim_customers c ON c.customer_id = o.customer_id
) x;</t>
        </is>
      </c>
      <c r="B16" s="29" t="inlineStr">
        <is>
          <t>MEANING (SHORT):
A join matches rows from two tables on a key, where inner keeps matches only, left keeps all rows of the left table, and duplicate keys multiply rows.
CODE:
SELECT o.order_id, o.total, c.name, c.country
FROM stg_orders o
LEFT JOIN dim_customers c ON c.customer_id = o.customer_id;
SELECT COUNT(*) FROM stg_orders;
SELECT COUNT(*) FROM (
  SELECT o.order_id FROM stg_orders o LEFT JOIN dim_customers c ON c.customer_id = o.customer_id
) x;
OUTPUT:
Each order appears once with customer details, and both counts match, proving no row was multiplied.
EXPLANATION:
A left join keeps orders even without a customer, and the customer columns are null. If dim_customers has two rows for one id, each order appears twice. Always know the grain, meaning what one row represents, of each side. Test that keys are unique where you expect it. Anti joins find unmatched rows and help with quality checks.
SIMPLE EXPLANATION (HINGLISH):
Know the grain of each table, test key uniqueness, and compare row counts after joining.
REAL-LIFE ANALOGY:
A join is matching name tags to guests, and a wrong tag can duplicate a guest.
SYNTAX PATTERN:
FROM a LEFT JOIN b ON a.key = b.key
ANATOMY:
INNER = matches only | LEFT = keep all left rows | ON = join condition | grain = what a row means
EXAMPLE 1:
SELECT * FROM a INNER JOIN b ON a.id = b.a_id;
EXAMPLE 2:
SELECT a.* FROM a LEFT JOIN b ON a.id = b.a_id WHERE b.a_id IS NULL;
EXAMPLE 3:
SELECT customer_id, COUNT(*) FROM dim_customers GROUP BY 1 HAVING COUNT(*) &gt; 1;
VARIATION:
SELECT * FROM a CROSS JOIN b;   // every combination, use with care
USED WITH:
deduplication, aggregations, data quality checks
RELATED CONCEPTS:
deduplication, aggregations, data quality checks, SQL transforms
ALTERNATIVES:
Lookups in code
WHERE IT IS USED:
Warehouse models | Reports | Enrichment
MINI CONVERSATION:
A: Revenue doubled after adding the join. | B: The dimension has duplicate keys, so rows multiplied.
COMMON MISTAKE:
✗ A left join never changes the number of left rows → ✓ Duplicate keys on the right side multiply them
COMMONLY CONFUSED WITH:
Inner vs left join: inner drops unmatched rows, left keeps them.
AVOID / DON'T:
Do not join on keys you have not tested for uniqueness.
WRONG CODE:
SELECT * FROM orders o JOIN customers c ON o.name = c.name;
RIGHT CODE:
SELECT * FROM orders o JOIN customers c ON o.customer_id = c.customer_id;
MEMORY TRICK:
Count rows before and after the join.
REAL LIFE: PROJECT / WORK:
Finding duplicate customer keys explained why a revenue total had doubled.
REAL LIFE: INTERVIEW / EXAM:
An interviewer may ask: Why might a left join increase row count?
REAL LIFE: DAILY LIFE:
It is like matching name tags to guests.</t>
        </is>
      </c>
      <c r="C16" s="29" t="inlineStr">
        <is>
          <t>03_Transform_Intermediate_ETL-015</t>
        </is>
      </c>
    </row>
    <row r="17" ht="409" customHeight="1">
      <c r="A17" s="29" t="inlineStr">
        <is>
          <t>Deduplication
How do you keep exactly one row for each real-world record?
SELECT * FROM (
  SELECT *,
    ROW_NUMBER() OVER (PARTITION BY customer_id ORDER BY updated_at DESC, load_id DESC) AS rn
  FROM stg_customers
) t
WHERE rn = 1;</t>
        </is>
      </c>
      <c r="B17" s="29" t="inlineStr">
        <is>
          <t>MEANING (SHORT):
Deduplication keeps one row per key, often by numbering rows within each key and keeping the first by a chosen order.
CODE:
SELECT * FROM (
  SELECT *,
    ROW_NUMBER() OVER (PARTITION BY customer_id ORDER BY updated_at DESC, load_id DESC) AS rn
  FROM stg_customers
) t
WHERE rn = 1;
OUTPUT:
One row remains for each customer, the most recently updated.
EXPLANATION:
ROW_NUMBER with PARTITION BY the key and ORDER BY the preference gives a deterministic winner. Add a tie-breaker so reruns choose the same row. DISTINCT only removes fully identical rows. Decide whether to keep the latest, the first or merge fields. Count rows before and after, and log how many were removed.
SIMPLE EXPLANATION (HINGLISH):
Number rows within each key by a rule, and keep number one.
REAL-LIFE ANALOGY:
Deduplication is keeping the newest copy of each form and shredding the older ones.
SYNTAX PATTERN:
ROW_NUMBER() OVER (PARTITION BY key ORDER BY rule) = 1
ANATOMY:
PARTITION BY = group per key | ORDER BY = winner rule | rn = 1 = keep first
EXAMPLE 1:
SELECT DISTINCT customer_id FROM stg_orders;
EXAMPLE 2:
SELECT customer_id, COUNT(*) FROM stg_customers GROUP BY 1 HAVING COUNT(*) &gt; 1;
EXAMPLE 3:
DELETE FROM stg_customers WHERE ctid NOT IN (SELECT MIN(ctid) FROM stg_customers GROUP BY customer_id);
VARIATION:
SELECT DISTINCT ON (customer_id) * FROM stg_customers ORDER BY customer_id, updated_at DESC;   // PostgreSQL shortcut
USED WITH:
window functions, upserts, idempotency
RELATED CONCEPTS:
joins, upserts, idempotency, data quality checks
ALTERNATIVES:
Unique constraints | MERGE
WHERE IT IS USED:
Staging | Customer tables | Event data
MINI CONVERSATION:
A: Two rows have the same updated time. | B: Add a tie-breaker so the winner is stable.
COMMON MISTAKE:
✗ DISTINCT removes all duplicates by key → ✓ It removes only rows identical in every column
COMMONLY CONFUSED WITH:
DISTINCT vs ROW_NUMBER: DISTINCT compares whole rows, ROW_NUMBER picks by key and order.
AVOID / DON'T:
Do not rely on arbitrary row order.
WRONG CODE:
SELECT DISTINCT * FROM stg_customers;   -- keeps older versions
RIGHT CODE:
SELECT * FROM (SELECT *, ROW_NUMBER() OVER (PARTITION BY customer_id ORDER BY updated_at DESC) rn FROM stg_customers) t WHERE rn = 1;
MEMORY TRICK:
Partition by key, order by newest, keep one.
REAL LIFE: PROJECT / WORK:
Replacing DISTINCT with a ranked pick removed stale customer versions from a report.
REAL LIFE: INTERVIEW / EXAM:
An interviewer may ask: How do you keep the latest row per key?
REAL LIFE: DAILY LIFE:
It is like keeping the newest form.</t>
        </is>
      </c>
      <c r="C17" s="29" t="inlineStr">
        <is>
          <t>03_Transform_Intermediate_ETL-016</t>
        </is>
      </c>
    </row>
    <row r="18" ht="409" customHeight="1">
      <c r="A18" s="29" t="inlineStr">
        <is>
          <t>Aggregations
How do you summarise many rows into counts, totals and averages?
SELECT customer_id,
  COUNT(*) AS orders,
  SUM(total) AS revenue,
  AVG(total) AS avg_order
FROM fct_orders
WHERE status = 'paid'
GROUP BY customer_id
HAVING SUM(total) &gt; 1000
ORDER BY revenue DESC;</t>
        </is>
      </c>
      <c r="B18" s="29" t="inlineStr">
        <is>
          <t>MEANING (SHORT):
Aggregation uses GROUP BY with functions such as COUNT, SUM, AVG, MIN and MAX to collapse rows into one result per group, and HAVING filters the groups.
CODE:
SELECT customer_id,
  COUNT(*) AS orders,
  SUM(total) AS revenue,
  AVG(total) AS avg_order
FROM fct_orders
WHERE status = 'paid'
GROUP BY customer_id
HAVING SUM(total) &gt; 1000
ORDER BY revenue DESC;
OUTPUT:
Customers with more than 1000 in paid orders, with counts, totals and averages.
EXPLANATION:
WHERE filters rows before grouping, and HAVING filters groups after. Every selected column must be in GROUP BY or inside an aggregate. Null values are skipped by aggregates other than COUNT star. Averages of averages are wrong unless weighted. Use exact types for money, and be careful with duplicate rows from joins.
SIMPLE EXPLANATION (HINGLISH):
Group rows, apply summary functions, and filter groups with HAVING.
REAL-LIFE ANALOGY:
Aggregation is sorting receipts into piles and totalling each pile.
SYNTAX PATTERN:
SELECT key, SUM(x) FROM t GROUP BY key HAVING condition
ANATOMY:
GROUP BY = piles | SUM and COUNT = summaries | HAVING = filter piles | WHERE = filter rows
EXAMPLE 1:
SELECT DATE(created_at), COUNT(*) FROM fct_orders GROUP BY 1;
EXAMPLE 2:
SELECT country, AVG(total) FROM fct_orders GROUP BY country;
EXAMPLE 3:
SELECT COUNT(DISTINCT customer_id) FROM fct_orders;
VARIATION:
SELECT country, SUM(total) FILTER (WHERE status = 'paid') FROM fct_orders GROUP BY country;   // conditional totals
USED WITH:
joins, dates, reports
RELATED CONCEPTS:
joins, date handling, SQL transforms, data quality checks
ALTERNATIVES:
pandas groupby | dbt metrics
WHERE IT IS USED:
Reports | Dashboards | Data marts
MINI CONVERSATION:
A: The average is wrong by region. | B: You averaged averages, so compute total divided by count.
COMMON MISTAKE:
✗ WHERE and HAVING do the same thing → ✓ WHERE filters rows before grouping, HAVING filters groups after
COMMONLY CONFUSED WITH:
WHERE vs HAVING: one acts on rows, the other on aggregated groups.
AVOID / DON'T:
Do not average pre-averaged values.
WRONG CODE:
SELECT customer_id, total FROM fct_orders GROUP BY customer_id;
RIGHT CODE:
SELECT customer_id, SUM(total) FROM fct_orders GROUP BY customer_id;
MEMORY TRICK:
Where before groups, having after.
REAL LIFE: PROJECT / WORK:
Correcting a weighted average fixed a dashboard that disagreed with finance.
REAL LIFE: INTERVIEW / EXAM:
An interviewer may ask: What is the difference between WHERE and HAVING?
REAL LIFE: DAILY LIFE:
It is like sorting receipts into piles.</t>
        </is>
      </c>
      <c r="C18" s="29" t="inlineStr">
        <is>
          <t>03_Transform_Beginner_ETL-017</t>
        </is>
      </c>
    </row>
    <row r="19" ht="409" customHeight="1">
      <c r="A19" s="29" t="inlineStr">
        <is>
          <t>Date and time handling
How do you avoid wrong results from time zones, formats and date boundaries?
SELECT
  CAST(created_at AS TIMESTAMPTZ) AS created_utc,
  DATE_TRUNC('day', created_at AT TIME ZONE 'Asia/Kolkata') AS day_ist,
  created_at &gt;= '2026-10-01' AND created_at &lt; '2026-10-02' AS on_oct_1
FROM stg_orders;</t>
        </is>
      </c>
      <c r="B19" s="29" t="inlineStr">
        <is>
          <t>MEANING (SHORT):
Date handling parses text into timestamps with a known format and zone, stores them in UTC, and truncates or converts them deliberately for reporting.
CODE:
SELECT
  CAST(created_at AS TIMESTAMPTZ) AS created_utc,
  DATE_TRUNC('day', created_at AT TIME ZONE 'Asia/Kolkata') AS day_ist,
  created_at &gt;= '2026-10-01' AND created_at &lt; '2026-10-02' AS on_oct_1
FROM stg_orders;
OUTPUT:
A UTC timestamp, the local business day, and a half-open range test for one day.
EXPLANATION:
Use half-open ranges, with greater than or equal to the start and less than the next day, to avoid missing the last second. Decide which time zone defines a business day. Daylight saving makes some hours repeat or vanish. Parse dates with an explicit format, since day-month and month-day order differ. Keep both the event time and the load time. AT TIME ZONE converts a timestamptz to local wall time, so created_at must be timestamptz.
SIMPLE EXPLANATION (HINGLISH):
Store UTC, use half-open ranges, and convert to the business zone for daily reports.
REAL-LIFE ANALOGY:
Time zones are clocks on different walls, so choose one master clock for storage.
SYNTAX PATTERN:
ts AT TIME ZONE 'zone' | DATE_TRUNC('day', ts) | ts &gt;= start AND ts &lt; end
ANATOMY:
UTC = storage | AT TIME ZONE = convert | DATE_TRUNC = boundary | half-open range = safe filter
EXAMPLE 1:
SELECT TO_TIMESTAMP('01/10/2026', 'DD/MM/YYYY');
EXAMPLE 2:
SELECT NOW() - INTERVAL '7 days';
EXAMPLE 3:
SELECT EXTRACT(DOW FROM created_at) FROM stg_orders;
VARIATION:
WHERE created_at BETWEEN '2026-10-01' AND '2026-10-01 23:59:59'   // risky, misses fractions
USED WITH:
aggregations, incremental loads, reports
RELATED CONCEPTS:
aggregations, types and nulls, incremental loads, backfills
ALTERNATIVES:
Date dimension tables
WHERE IT IS USED:
Daily reports | Event data | Backfills
MINI CONVERSATION:
A: Orders near midnight land on the wrong day. | B: Convert to the business time zone before truncating.
COMMON MISTAKE:
✗ BETWEEN with an end of 23:59:59 covers the whole day → ✓ It misses fractions of a second, so use a half-open range
COMMONLY CONFUSED WITH:
Event time vs load time: event time is when it happened, load time is when we saw it.
AVOID / DON'T:
Do not mix local and UTC timestamps in one column.
WRONG CODE:
WHERE created_at BETWEEN '2026-10-01' AND '2026-10-01 23:59:59'
RIGHT CODE:
WHERE created_at &gt;= '2026-10-01' AND created_at &lt; '2026-10-02'
MEMORY TRICK:
Start inclusive, end exclusive, store UTC.
REAL LIFE: PROJECT / WORK:
Switching to half-open ranges and UTC fixed missing late-night orders in a report.
REAL LIFE: INTERVIEW / EXAM:
An interviewer may ask: Why store timestamps in UTC?
REAL LIFE: DAILY LIFE:
It is like choosing one master clock.</t>
        </is>
      </c>
      <c r="C19" s="29" t="inlineStr">
        <is>
          <t>03_Transform_Intermediate_ETL-018</t>
        </is>
      </c>
    </row>
    <row r="20" ht="409" customHeight="1">
      <c r="A20" s="29" t="inlineStr">
        <is>
          <t>SQL transforms and window functions
Which SQL tools reshape data for analysis, such as CTEs and window functions?
WITH paid AS (
  SELECT * FROM fct_orders WHERE status = 'paid'
), ranked AS (
  SELECT customer_id, order_id, total,
    SUM(total) OVER (PARTITION BY customer_id ORDER BY created_at) AS running_total,
    LAG(total) OVER (PARTITION BY customer_id ORDER BY created_at) AS prev_total
  FROM paid
)
SELECT * FROM ranked WHERE running_total &gt; 500;</t>
        </is>
      </c>
      <c r="B20" s="29" t="inlineStr">
        <is>
          <t>MEANING (SHORT):
A CTE names an intermediate result for reuse in the same query, and a window function calculates over related rows while keeping every row.
CODE:
WITH paid AS (
  SELECT * FROM fct_orders WHERE status = 'paid'
), ranked AS (
  SELECT customer_id, order_id, total,
    SUM(total) OVER (PARTITION BY customer_id ORDER BY created_at) AS running_total,
    LAG(total) OVER (PARTITION BY customer_id ORDER BY created_at) AS prev_total
  FROM paid
)
SELECT * FROM ranked WHERE running_total &gt; 500;
OUTPUT:
Each paid order with the customer's running total and previous order amount, for running totals above 500.
EXPLANATION:
CTEs make queries readable and testable one step at a time. Window functions such as ROW_NUMBER, RANK, LAG, LEAD and running SUM use OVER with PARTITION BY and ORDER BY. They do not reduce rows like GROUP BY does. Views and models store such queries so others can reuse them.
SIMPLE EXPLANATION (HINGLISH):
Use CTEs to name steps and window functions to compare rows without losing them.
REAL-LIFE ANALOGY:
CTEs are labelled work trays, and window functions look at neighbours without collapsing rows.
SYNTAX PATTERN:
WITH name AS (select) | func() OVER (PARTITION BY k ORDER BY o)
ANATOMY:
WITH = CTE | OVER = window | PARTITION BY = groups | ORDER BY = sequence
EXAMPLE 1:
SELECT customer_id, RANK() OVER (ORDER BY total DESC) FROM fct_orders;
EXAMPLE 2:
SELECT order_id, LEAD(created_at) OVER (PARTITION BY customer_id ORDER BY created_at) FROM fct_orders;
EXAMPLE 3:
SELECT AVG(total) OVER (ORDER BY created_at ROWS BETWEEN 6 PRECEDING AND CURRENT ROW) FROM fct_orders;
VARIATION:
CREATE VIEW paid_orders AS SELECT * FROM fct_orders WHERE status = 'paid';   // reuse a step
USED WITH:
aggregations, deduplication, dbt models
RELATED CONCEPTS:
aggregations, deduplication, dbt basics, joins
ALTERNATIVES:
Subqueries | pandas
WHERE IT IS USED:
Analytics | Models | Reports
MINI CONVERSATION:
A: How do I compare each order with the previous one? | B: Use LAG over the customer in time order.
COMMON MISTAKE:
✗ Window functions collapse rows like GROUP BY → ✓ They keep every row and add a calculated column
COMMONLY CONFUSED WITH:
GROUP BY vs window: GROUP BY reduces rows, a window keeps them.
AVOID / DON'T:
Do not nest many subqueries when CTEs would read better.
WRONG CODE:
SELECT customer_id, SUM(total) OVER () FROM fct_orders GROUP BY customer_id;
RIGHT CODE:
SELECT customer_id, SUM(total) OVER (PARTITION BY customer_id) FROM fct_orders;
MEMORY TRICK:
Windows keep rows, groups collapse them.
REAL LIFE: PROJECT / WORK:
Rewriting a nested query as CTEs let reviewers test each step.
REAL LIFE: INTERVIEW / EXAM:
An interviewer may ask: What is the difference between RANK and ROW_NUMBER?
REAL LIFE: DAILY LIFE:
It is like labelled work trays.</t>
        </is>
      </c>
      <c r="C20" s="29" t="inlineStr">
        <is>
          <t>03_Transform_Intermediate_ETL-019</t>
        </is>
      </c>
    </row>
    <row r="21" ht="409" customHeight="1">
      <c r="A21" s="29" t="inlineStr">
        <is>
          <t>dbt basics
Which tool turns SQL select statements into tested, documented warehouse models?
-- models/staging/stg_orders.sql
select order_id, customer_id, cast(total as numeric) as total
from {{ source('shop', 'orders') }}
-- models/marts/fct_orders.sql
select o.*, c.country
from {{ ref('stg_orders') }} o
left join {{ ref('stg_customers') }} c using (customer_id)
-- schema.yml: tests: [unique, not_null] on order_id
-- run: dbt build</t>
        </is>
      </c>
      <c r="B21" s="29" t="inlineStr">
        <is>
          <t>MEANING (SHORT):
dbt compiles SQL models, runs them in dependency order inside the warehouse, and runs tests and documentation from simple configuration files.
CODE:
-- models/staging/stg_orders.sql
select order_id, customer_id, cast(total as numeric) as total
from {{ source('shop', 'orders') }}
-- models/marts/fct_orders.sql
select o.*, c.country
from {{ ref('stg_orders') }} o
left join {{ ref('stg_customers') }} c using (customer_id)
-- schema.yml: tests: [unique, not_null] on order_id
-- run: dbt build
OUTPUT:
Models run in dependency order, then tests check uniqueness and non-null order ids.
EXPLANATION:
ref links models and lets dbt order them, and source names raw tables. Materializations decide whether a model becomes a view, table or incremental table. Tests such as unique, not_null, relationships and accepted_values are declared in YAML. dbt docs generate documentation and lineage. dbt does the T of ELT only.
SIMPLE EXPLANATION (HINGLISH):
Write select statements, link them with ref, add tests, and run dbt build.
REAL-LIFE ANALOGY:
dbt is a build system that turns your SQL recipes into tables in the right order.
SYNTAX PATTERN:
{{ ref('model') }} | {{ source('schema', 'table') }} | dbt build
ANATOMY:
model = one select | ref = dependency | test = quality check | materialization = how it is stored
EXAMPLE 1:
{{ config(materialized='incremental') }}
EXAMPLE 2:
dbt test --select stg_orders
EXAMPLE 3:
dbt docs generate
VARIATION:
dbt build --select +fct_orders   // run a model and its parents
USED WITH:
warehouses, Git, CI
RELATED CONCEPTS:
ETL vs ELT, SQL transforms, data quality checks, lineage
ALTERNATIVES:
SQL scripts with an orchestrator | Dataform | SQLMesh
WHERE IT IS USED:
Analytics engineering | Warehouse projects | Data teams
MINI CONVERSATION:
A: How do we know the model has no duplicate ids? | B: Add a unique test in the dbt schema file.
COMMON MISTAKE:
✗ dbt extracts and loads data too → ✓ It only transforms data that is already in the warehouse
COMMONLY CONFUSED WITH:
ref vs source: ref points to another model, source points to a raw table.
AVOID / DON'T:
Do not hard-code table names that ref could manage.
WRONG CODE:
select * from analytics.stg_orders
RIGHT CODE:
select * from {{ ref('stg_orders') }}
MEMORY TRICK:
Ref builds the order, tests keep it honest.
REAL LIFE: PROJECT / WORK:
Adding dbt tests caught a duplicated key before a dashboard broke.
REAL LIFE: INTERVIEW / EXAM:
An interviewer may ask: What does dbt do and not do?
REAL LIFE: DAILY LIFE:
It is like a build system for SQL recipes.</t>
        </is>
      </c>
      <c r="C21" s="29" t="inlineStr">
        <is>
          <t>03_Transform_Intermediate_ETL-020</t>
        </is>
      </c>
    </row>
    <row r="22" ht="409" customHeight="1">
      <c r="A22" s="29" t="inlineStr">
        <is>
          <t>Upserts
How do you insert new rows and update existing ones in a single step?
INSERT INTO dim_customers (customer_id, name, email, updated_at)
SELECT customer_id, name, email, updated_at FROM stg_customers
ON CONFLICT (customer_id) DO UPDATE SET
  name = EXCLUDED.name,
  email = EXCLUDED.email,
  updated_at = EXCLUDED.updated_at
WHERE dim_customers.updated_at &lt; EXCLUDED.updated_at;</t>
        </is>
      </c>
      <c r="B22" s="29" t="inlineStr">
        <is>
          <t>MEANING (SHORT):
An upsert inserts a row if its key is new and updates the existing row if the key already exists, using INSERT ON CONFLICT or MERGE.
CODE:
INSERT INTO dim_customers (customer_id, name, email, updated_at)
SELECT customer_id, name, email, updated_at FROM stg_customers
ON CONFLICT (customer_id) DO UPDATE SET
  name = EXCLUDED.name,
  email = EXCLUDED.email,
  updated_at = EXCLUDED.updated_at
WHERE dim_customers.updated_at &lt; EXCLUDED.updated_at;
OUTPUT:
New customers are added, existing ones are updated, and older versions never overwrite newer ones.
EXPLANATION:
ON CONFLICT needs a unique index on the key. The WHERE clause protects against late older rows overwriting newer data. MERGE offers the same in warehouses, with match and not-matched branches. Deletes need separate handling. Upserts make loads idempotent, which means reruns give the same result.
SIMPLE EXPLANATION (HINGLISH):
Key the table, upsert on the key, and only overwrite with newer data.
REAL-LIFE ANALOGY:
An upsert is a clerk who updates the card if it exists and files a new one if not.
SYNTAX PATTERN:
INSERT ... ON CONFLICT (key) DO UPDATE SET col = EXCLUDED.col
ANATOMY:
ON CONFLICT = key clash | EXCLUDED = the incoming row | MERGE = warehouse form
EXAMPLE 1:
INSERT INTO t VALUES (1, 'a') ON CONFLICT (id) DO NOTHING;
EXAMPLE 2:
MERGE INTO dim_customers d USING stg_customers s ON d.customer_id = s.customer_id WHEN MATCHED THEN UPDATE SET name = s.name WHEN NOT MATCHED THEN INSERT (customer_id, name) VALUES (s.customer_id, s.name);
EXAMPLE 3:
CREATE UNIQUE INDEX ON dim_customers (customer_id);
VARIATION:
REPLACE INTO t SELECT ...   // MySQL, deletes and reinserts
USED WITH:
idempotency, deduplication, incremental loads
RELATED CONCEPTS:
idempotency, deduplication, full vs incremental, schemas
ALTERNATIVES:
Delete and insert by partition | truncate and load
WHERE IT IS USED:
Dimension tables | Syncs | Reruns
MINI CONVERSATION:
A: A rerun doubled our rows. | B: Load with an upsert keyed on the id so reruns are safe.
COMMON MISTAKE:
✗ An upsert works without any unique key → ✓ It needs a unique constraint or merge key to know what already exists
COMMONLY CONFUSED WITH:
Upsert vs insert: insert always adds, upsert updates when the key exists.
AVOID / DON'T:
Do not let older rows overwrite newer ones.
WRONG CODE:
INSERT INTO dim_customers SELECT * FROM stg_customers;   -- duplicates on rerun
RIGHT CODE:
INSERT INTO dim_customers SELECT * FROM stg_customers ON CONFLICT (customer_id) DO NOTHING;
MEMORY TRICK:
Unique key first, then upsert.
REAL LIFE: PROJECT / WORK:
Switching to upserts made nightly reruns safe after a partial failure.
REAL LIFE: INTERVIEW / EXAM:
An interviewer may ask: How do you make a load idempotent?
REAL LIFE: DAILY LIFE:
It is like a clerk who updates or files new.</t>
        </is>
      </c>
      <c r="C22" s="29" t="inlineStr">
        <is>
          <t>04_Load_Intermediate_ETL-021</t>
        </is>
      </c>
    </row>
    <row r="23" ht="409" customHeight="1">
      <c r="A23" s="29" t="inlineStr">
        <is>
          <t>Partitions
How do you split large tables into parts so loads and queries touch less data?
CREATE TABLE fct_events (event_id BIGINT, event_date DATE, user_id BIGINT, payload JSONB)
PARTITION BY RANGE (event_date);
CREATE TABLE fct_events_2026_10 PARTITION OF fct_events
  FOR VALUES FROM ('2026-10-01') TO ('2026-11-01');
SELECT COUNT(*) FROM fct_events WHERE event_date &gt;= '2026-10-01' AND event_date &lt; '2026-10-02';</t>
        </is>
      </c>
      <c r="B23" s="29" t="inlineStr">
        <is>
          <t>MEANING (SHORT):
Partitioning divides a table into smaller physical pieces by a key such as date, so queries and loads can skip or replace whole pieces.
CODE:
CREATE TABLE fct_events (event_id BIGINT, event_date DATE, user_id BIGINT, payload JSONB)
PARTITION BY RANGE (event_date);
CREATE TABLE fct_events_2026_10 PARTITION OF fct_events
  FOR VALUES FROM ('2026-10-01') TO ('2026-11-01');
SELECT COUNT(*) FROM fct_events WHERE event_date &gt;= '2026-10-01' AND event_date &lt; '2026-10-02';
OUTPUT:
The count reads only the October partition, and old months can be dropped cheaply.
EXPLANATION:
Partition pruning skips pieces that cannot match the filter. A load can replace one partition completely, which is a clean and idempotent way to rerun a day. Too many tiny partitions hurt performance. Warehouses use similar ideas with partition or cluster keys. Choose a key that matches the common filter.
SIMPLE EXPLANATION (HINGLISH):
Partition by date, filter by date, and replace whole partitions on reruns.
REAL-LIFE ANALOGY:
Partitions are drawers in a filing cabinet labelled by month.
SYNTAX PATTERN:
PARTITION BY RANGE (column)
ANATOMY:
partition key = date | pruning = skipped drawers | partition = one piece
EXAMPLE 1:
ALTER TABLE fct_events DETACH PARTITION fct_events_2025_01;
EXAMPLE 2:
DELETE FROM fct_events WHERE event_date = '2026-10-01'; INSERT INTO fct_events SELECT ... ;
EXAMPLE 3:
PARTITION BY (DATE(event_ts))   // warehouse style
VARIATION:
CLUSTER BY customer_id   // sort data to speed up filters in some warehouses
USED WITH:
idempotency, backfills, file formats
RELATED CONCEPTS:
idempotency, backfills, Parquet, cost and performance
ALTERNATIVES:
Clustering | indexes
WHERE IT IS USED:
Event tables | Large facts | Retention
MINI CONVERSATION:
A: The query scans the whole table for one day. | B: Filter on the partition column so the engine skips the rest.
COMMON MISTAKE:
✗ Partitioning always makes queries faster → ✓ It helps only when queries filter on the partition key
COMMONLY CONFUSED WITH:
Partition vs index: partitions split storage, an index speeds lookups.
AVOID / DON'T:
Do not create thousands of tiny partitions.
WRONG CODE:
SELECT * FROM fct_events WHERE DATE_TRUNC('month', event_date) = '2026-10-01';   -- may defeat pruning
RIGHT CODE:
SELECT * FROM fct_events WHERE event_date &gt;= '2026-10-01' AND event_date &lt; '2026-10-02';
MEMORY TRICK:
Filter on the partition key to skip drawers.
REAL LIFE: PROJECT / WORK:
Partitioning the events table by day cut the daily report scan to a fraction.
REAL LIFE: INTERVIEW / EXAM:
An interviewer may ask: What is partition pruning?
REAL LIFE: DAILY LIFE:
It is like filing drawers labelled by month.</t>
        </is>
      </c>
      <c r="C23" s="29" t="inlineStr">
        <is>
          <t>04_Load_Intermediate_ETL-022</t>
        </is>
      </c>
    </row>
    <row r="24" ht="409" customHeight="1">
      <c r="A24" s="29" t="inlineStr">
        <is>
          <t>File formats: CSV, JSON and Parquet
Which common file formats store data, and how do they differ in size, speed and types?</t>
        </is>
      </c>
      <c r="B24" s="29" t="inlineStr">
        <is>
          <t>DEFINITION (SIMPLE):
CSV is a plain text table with no types, JSON is nested text with basic types, and Parquet is a compressed columnar binary format with a schema.
HOW / WHY IT WORKS:
CSV is easy to open but has no types, and commas, quotes and encodings cause errors. JSON handles nested data and is common for APIs, but is large and slow to scan. Parquet stores columns together, compresses well and carries a schema, so analytical queries read only the columns they need. Avro suits row-wise streaming records with schemas.
SIMPLE EXPLANATION (HINGLISH):
Exchange with CSV or JSON, and store analytics data as Parquet.
REAL-LIFE ANALOGY:
CSV is a plain notebook, JSON is a notebook with nested notes, and Parquet is a compressed filing cabinet.
FORMULA / RULE:
Readable = CSV and JSON. Fast and small = Parquet.
EXAMPLE 1:
A CSV export opened in a spreadsheet.
EXAMPLE 2:
A JSON API response with nested objects.
EXAMPLE 3:
A Parquet file read by a warehouse for one column.
RELATED CONCEPTS:
warehouse vs lake, partitions, schemas, cost and performance
FAMILY / GROUP:
CSV, JSON, Parquet, Avro, columnar
WHERE IT IS USED:
Data lakes | Exports | APIs
MINI CONVERSATION:
A: The lake bill is high and queries are slow. | B: Convert the raw CSV files into Parquet.
COMMON MISTAKE:
✗ CSV is a safe format for any data → ✓ It has no types, and quotes, commas and encodings often break it
DON'T CONFUSE WITH:
Row vs columnar: CSV stores rows, Parquet stores columns together.
AVOID / DON'T:
Do not store analytics data as large uncompressed CSV files.
MEMORY TRICK:
Parquet stores columns, CSV stores lines.
REAL LIFE: PROJECT / WORK:
Converting a lake from CSV to Parquet cut storage and query cost substantially.
REAL LIFE: INTERVIEW / EXAM:
An interviewer may ask: Why is Parquet good for analytics?
REAL LIFE: DAILY LIFE:
It is like a compressed filing cabinet.</t>
        </is>
      </c>
      <c r="C24" s="29" t="inlineStr">
        <is>
          <t>04_Load_Intermediate_ETL-023</t>
        </is>
      </c>
    </row>
    <row r="25" ht="409" customHeight="1">
      <c r="A25" s="29" t="inlineStr">
        <is>
          <t>Schemas
Which definitions say the names, types and rules of each column in a table?</t>
        </is>
      </c>
      <c r="B25" s="29" t="inlineStr">
        <is>
          <t>DEFINITION (SIMPLE):
A schema defines the columns of a table or file, with their names, data types, nullability and constraints such as keys.
HOW / WHY IT WORKS:
Schema on write rejects data that does not fit when it is stored, while schema on read applies structure only when the data is queried. Constraints such as not null, unique and primary key protect quality. Schemas also describe files such as Parquet and messages in streams. Documenting meaning, not only types, helps users.
SIMPLE EXPLANATION (HINGLISH):
Define columns and rules, and enforce them early.
REAL-LIFE ANALOGY:
A schema is the blueprint of a table that says what goes in each room.
FORMULA / RULE:
Name + type + nullability + constraints.
EXAMPLE 1:
A table with a primary key and a not null email.
EXAMPLE 2:
A Parquet file with a typed schema.
EXAMPLE 3:
A stream message with a registered schema.
RELATED CONCEPTS:
data contracts, schema changes, types and nulls, file formats
FAMILY / GROUP:
schema, constraint, primary key, type, nullability
WHERE IT IS USED:
Databases | Lakes | Streams
MINI CONVERSATION:
A: Can this column be empty? | B: The schema says not null, so reject rows without it.
COMMON MISTAKE:
✗ A schema is only documentation → ✓ It is a set of rules that can be enforced by the system
DON'T CONFUSE WITH:
Schema on write vs schema on read: one checks when storing, the other when querying.
AVOID / DON'T:
Do not leave key columns without constraints.
MEMORY TRICK:
Define the shape, then enforce the shape.
REAL LIFE: PROJECT / WORK:
Adding not-null constraints stopped half-empty rows reaching the reporting tables.
REAL LIFE: INTERVIEW / EXAM:
An interviewer may ask: What is the difference between schema on write and on read?
REAL LIFE: DAILY LIFE:
It is like a blueprint for a table.</t>
        </is>
      </c>
      <c r="C25" s="29" t="inlineStr">
        <is>
          <t>04_Load_Beginner_ETL-024</t>
        </is>
      </c>
    </row>
    <row r="26" ht="409" customHeight="1">
      <c r="A26" s="29" t="inlineStr">
        <is>
          <t>Schema changes
How do you handle sources that add, remove or change columns over time?</t>
        </is>
      </c>
      <c r="B26" s="29" t="inlineStr">
        <is>
          <t>DEFINITION (SIMPLE):
Schema evolution is the process of detecting and applying changes such as new, renamed, removed or retyped columns without breaking downstream users.
HOW / WHY IT WORKS:
Adding a nullable column is usually safe. Renames and removals break consumers, and type changes can lose precision. Pipelines can compare the incoming schema with the expected one and fail loudly, or evolve the target automatically for safe changes. Expand and contract migrations let old and new live together. Communicating changes through contracts avoids surprises.
SIMPLE EXPLANATION (HINGLISH):
Detect changes, allow safe additions, and treat renames, removals and type changes as breaking.
REAL-LIFE ANALOGY:
A schema change is rebuilding one room while guests still live in the house.
FORMULA / RULE:
Additive = usually safe. Rename, remove, retype = breaking.
EXAMPLE 1:
A new nullable column added by the source.
EXAMPLE 2:
A renamed column that fails a contract test.
EXAMPLE 3:
A type change from integer to text.
RELATED CONCEPTS:
data contracts, schemas, dbt basics, alerts
FAMILY / GROUP:
evolution, additive, breaking, drift, migration
WHERE IT IS USED:
Source integrations | Platform operations | Releases
MINI CONVERSATION:
A: The source added a column overnight. | B: That is additive, so the target can take it without breaking.
COMMON MISTAKE:
✗ All schema changes can be ignored by the pipeline → ✓ Breaking changes silently corrupt or drop data if not detected
DON'T CONFUSE WITH:
Additive vs breaking change: adding is usually safe, renaming or removing is not.
AVOID / DON'T:
Do not let the pipeline silently drop unknown columns.
MEMORY TRICK:
Add freely, rename and remove with warning.
REAL LIFE: PROJECT / WORK:
A schema comparison step caught a type change before it corrupted a revenue table.
REAL LIFE: INTERVIEW / EXAM:
An interviewer may ask: How do you detect schema drift?
REAL LIFE: DAILY LIFE:
It is like rebuilding one room while guests stay.</t>
        </is>
      </c>
      <c r="C26" s="29" t="inlineStr">
        <is>
          <t>04_Load_Advanced_ETL-025</t>
        </is>
      </c>
    </row>
    <row r="27" ht="409" customHeight="1">
      <c r="A27" s="29" t="inlineStr">
        <is>
          <t>Idempotency
Which property means running a job twice gives the same result as running it once?
BEGIN;
DELETE FROM fct_sales WHERE sale_date = DATE '2026-10-01';
INSERT INTO fct_sales SELECT * FROM stg_sales WHERE sale_date = DATE '2026-10-01';
COMMIT;</t>
        </is>
      </c>
      <c r="B27" s="29" t="inlineStr">
        <is>
          <t>MEANING (SHORT):
An idempotent job produces the same final state however many times it runs with the same input, usually by upserting or replacing a partition.
CODE:
BEGIN;
DELETE FROM fct_sales WHERE sale_date = DATE '2026-10-01';
INSERT INTO fct_sales SELECT * FROM stg_sales WHERE sale_date = DATE '2026-10-01';
COMMIT;
OUTPUT:
Rerunning the block always leaves exactly one copy of that day's sales.
EXPLANATION:
Appending rows on every run creates duplicates after a retry. Delete and insert for one day inside a transaction, or write to a temporary table and swap, makes the run repeatable. Upserts by key give the same effect. Runs should depend on the logical date, not the current time. Side effects such as emails need their own guard.
SIMPLE EXPLANATION (HINGLISH):
Make each run replace its own slice of data, so a retry changes nothing.
REAL-LIFE ANALOGY:
An idempotent job is a light switch, where pressing on twice still leaves the light on.
SYNTAX PATTERN:
DELETE slice; INSERT slice; inside one transaction
ANATOMY:
slice = day or partition | transaction = all or nothing | logical date = the run's input date
EXAMPLE 1:
INSERT ... ON CONFLICT (id) DO UPDATE ...
EXAMPLE 2:
TRUNCATE staging; INSERT INTO staging SELECT ...;
EXAMPLE 3:
ALTER TABLE x EXCHANGE PARTITION p WITH TABLE y;
VARIATION:
CREATE OR REPLACE TABLE report AS SELECT ...;   // rebuild the whole table
USED WITH:
upserts, partitions, retries, backfills
RELATED CONCEPTS:
upserts, retries, backfills, partitions
ALTERNATIVES:
Upserts | exactly-once streaming
WHERE IT IS USED:
Every pipeline | Reruns | Backfills
MINI CONVERSATION:
A: The retry doubled yesterday's data. | B: The load appended, so make it replace that day instead.
COMMON MISTAKE:
✗ Retrying a failed job is always safe → ✓ It is safe only if the job is idempotent
COMMONLY CONFUSED WITH:
Idempotent vs atomic: idempotent means repeat-safe, atomic means all or nothing.
AVOID / DON'T:
Do not append blindly in a job that may be retried.
WRONG CODE:
INSERT INTO fct_sales SELECT * FROM stg_sales;
RIGHT CODE:
DELETE FROM fct_sales WHERE sale_date = :d; INSERT INTO fct_sales SELECT * FROM stg_sales WHERE sale_date = :d;
MEMORY TRICK:
Replace the slice, never just append.
REAL LIFE: PROJECT / WORK:
Making loads idempotent let the team rerun failed nights without cleanup scripts.
REAL LIFE: INTERVIEW / EXAM:
An interviewer may ask: What does idempotent mean for a pipeline?
REAL LIFE: DAILY LIFE:
It is like pressing a light switch twice.</t>
        </is>
      </c>
      <c r="C27" s="29" t="inlineStr">
        <is>
          <t>05_Reliability_Intermediate_ETL-026</t>
        </is>
      </c>
    </row>
    <row r="28" ht="409" customHeight="1">
      <c r="A28" s="29" t="inlineStr">
        <is>
          <t>Retries
How should a pipeline respond to temporary failures such as network blips?
import time, random
def retry(fn, tries=4, base=1):
    for i in range(tries):
        try:
            return fn()
        except (ConnectionError, TimeoutError) as e:
            if i == tries - 1:
                raise
            time.sleep(base * 2 ** i + random.random())</t>
        </is>
      </c>
      <c r="B28" s="29" t="inlineStr">
        <is>
          <t>MEANING (SHORT):
A retry repeats a failed operation after a delay, usually with exponential backoff and a maximum count, and only for errors that may succeed later.
CODE:
import time, random
def retry(fn, tries=4, base=1):
    for i in range(tries):
        try:
            return fn()
        except (ConnectionError, TimeoutError) as e:
            if i == tries - 1:
                raise
            time.sleep(base * 2 ** i + random.random())
OUTPUT:
The call is repeated up to four times with growing delays, and the final error is raised if all fail.
EXPLANATION:
Transient errors include timeouts, connection resets and 503 responses. Permanent errors such as bad credentials or invalid data will fail again, so retrying them wastes time. Jitter prevents many jobs retrying at the same moment. Retries need idempotent operations. Orchestrators offer retries and delays as settings per task.
SIMPLE EXPLANATION (HINGLISH):
Retry temporary errors with growing delays and a cap, and fail fast on permanent ones.
REAL-LIFE ANALOGY:
A retry is knocking again after a pause, but not forever.
SYNTAX PATTERN:
for attempt in range(n): try ... except Transient: sleep(backoff)
ANATOMY:
tries = cap | backoff = growing wait | jitter = random spread | raise = final failure
EXAMPLE 1:
retries=3, retry_delay=timedelta(minutes=5)
EXAMPLE 2:
except requests.HTTPError as e: if e.response.status_code &lt; 500: raise
EXAMPLE 3:
time.sleep(min(60, 2 ** attempt))
VARIATION:
@retry(stop=stop_after_attempt(5), wait=wait_exponential())   // a library decorator
USED WITH:
idempotency, orchestration, alerts
RELATED CONCEPTS:
idempotency, pagination and rate limits, error handling, alerts
ALTERNATIVES:
Orchestrator retry settings | circuit breakers
WHERE IT IS USED:
API calls | Database connections | Orchestrators
MINI CONVERSATION:
A: Should we retry the bad password error? | B: No, it is permanent, so fail and alert.
COMMON MISTAKE:
✗ Retrying forever eventually fixes everything → ✓ Permanent errors never succeed, so retries must be limited and selective
COMMONLY CONFUSED WITH:
Transient vs permanent error: one may pass later, the other never will.
AVOID / DON'T:
Do not retry without a maximum count.
WRONG CODE:
while True:
    try:
        run()
    except Exception:
        pass
RIGHT CODE:
# inside a function
for i in range(4):
    try:
        return run()
    except TimeoutError:
        time.sleep(2 ** i)
MEMORY TRICK:
Retry the temporary, never the permanent.
REAL LIFE: PROJECT / WORK:
Limiting retries to timeouts stopped a bad-credential job from hammering a source.
REAL LIFE: INTERVIEW / EXAM:
An interviewer may ask: Which errors should you retry?
REAL LIFE: DAILY LIFE:
It is like knocking again after a pause.</t>
        </is>
      </c>
      <c r="C28" s="29" t="inlineStr">
        <is>
          <t>05_Reliability_Intermediate_ETL-027</t>
        </is>
      </c>
    </row>
    <row r="29" ht="409" customHeight="1">
      <c r="A29" s="29" t="inlineStr">
        <is>
          <t>Logging in pipelines
What should a pipeline record so you can understand a failure later?
import logging, json
log = logging.getLogger("orders_load")
def load(run_id, rows):
    log.info(json.dumps({"event": "load_start", "run_id": run_id, "rows_in": len(rows)}))
    ...
    log.info(json.dumps({"event": "load_done", "run_id": run_id, "rows_out": 981, "rejected": 19}))</t>
        </is>
      </c>
      <c r="B29" s="29" t="inlineStr">
        <is>
          <t>MEANING (SHORT):
Pipeline logging records structured events such as start, end, row counts, parameters and errors, with a run id, and avoids sensitive data.
CODE:
import logging, json
log = logging.getLogger("orders_load")
def load(run_id, rows):
    log.info(json.dumps({"event": "load_start", "run_id": run_id, "rows_in": len(rows)}))
    ...
    log.info(json.dumps({"event": "load_done", "run_id": run_id, "rows_out": 981, "rejected": 19}))
OUTPUT:
Two structured log lines with the run id and row counts that can be searched.
EXPLANATION:
Row counts at each stage show where data disappears. A run id lets you follow one execution across jobs. Log levels separate normal events from warnings and errors. Structured logs, as JSON, are easy to search and alert on. Keep errors detailed with the failing key and the next step. Never write passwords, tokens or full personal records.
SIMPLE EXPLANATION (HINGLISH):
Log start, end, counts, parameters and errors with a run id, and keep secrets out.
REAL-LIFE ANALOGY:
Logs are the flight recorder of a pipeline.
SYNTAX PATTERN:
log.info("event", extra={...})
ANATOMY:
run_id = one execution | rows_in and rows_out = counts | level = severity
EXAMPLE 1:
log.warning("rejected rows: %s", n)
EXAMPLE 2:
log.error("load failed for %s", partition, exc_info=True)
EXAMPLE 3:
logging.basicConfig(level="INFO")
VARIATION:
structlog   // a library for structured logging
USED WITH:
alerts, data quality checks, orchestration
RELATED CONCEPTS:
alerts, data quality checks, error handling, lineage
ALTERNATIVES:
Orchestrator task logs | observability tools
WHERE IT IS USED:
Every pipeline | Incident response | Audits
MINI CONVERSATION:
A: How many rows did last night's load reject? | B: Check the load_done line, which shows rows_out and rejected.
COMMON MISTAKE:
✗ More logging is always better → ✓ Noisy or sensitive logs hide the useful lines and create risk
COMMONLY CONFUSED WITH:
Log vs metric: a log is a detailed event, a metric is a number over time.
AVOID / DON'T:
Do not log secrets or personal data.
WRONG CODE:
print(f"password={pwd}")
RIGHT CODE:
log.info("connected to %s", host)
MEMORY TRICK:
Count rows at every stage.
REAL LIFE: PROJECT / WORK:
Adding row counts to logs exposed where a join was dropping a fifth of the data.
REAL LIFE: INTERVIEW / EXAM:
An interviewer may ask: What do you log in a data pipeline?
REAL LIFE: DAILY LIFE:
It is like a flight recorder.</t>
        </is>
      </c>
      <c r="C29" s="29" t="inlineStr">
        <is>
          <t>05_Reliability_Beginner_ETL-028</t>
        </is>
      </c>
    </row>
    <row r="30" ht="409" customHeight="1">
      <c r="A30" s="29" t="inlineStr">
        <is>
          <t>Backfills
How do you reprocess historical data after a fix or a late source change?</t>
        </is>
      </c>
      <c r="B30" s="29" t="inlineStr">
        <is>
          <t>DEFINITION (SIMPLE):
A backfill runs a pipeline for past time ranges to create or correct historical data, using the same logic with the original logical dates.
HOW / WHY IT WORKS:
Idempotent, partitioned jobs make backfills safe, since each past day is replaced cleanly. Orchestrators can schedule runs for each missed date. Throttle concurrency so sources and targets are not overwhelmed. Sources may no longer have old data, which is why raw copies matter. Validate counts against the original before and after, and tell downstream users.
SIMPLE EXPLANATION (HINGLISH):
Rerun past dates with the same code, one range at a time, and compare results.
REAL-LIFE ANALOGY:
A backfill is rewinding the tape and replaying it with the fixed machine.
FORMULA / RULE:
Same logic + past dates + idempotent runs.
EXAMPLE 1:
Rerunning 30 days after a bug fix.
EXAMPLE 2:
Loading a new column for last year's data.
EXAMPLE 3:
Replaying raw files into a corrected model.
RELATED CONCEPTS:
idempotency, partitions, orchestration, late-arriving data
FAMILY / GROUP:
backfill, replay, catch-up, logical date, range
WHERE IT IS USED:
Bug fixes | Migrations | New metrics
MINI CONVERSATION:
A: We fixed the bug, but last month is still wrong. | B: Backfill that month, one week at a time.
COMMON MISTAKE:
✗ A backfill can safely run all history at once → ✓ It can overload sources and targets, so run in controlled ranges
DON'T CONFUSE WITH:
Backfill vs normal run: a backfill reruns past dates, a normal run handles the current one.
AVOID / DON'T:
Do not backfill a non-idempotent job.
MEMORY TRICK:
Small ranges, same logic, check, then widen.
REAL LIFE: PROJECT / WORK:
Backfilling thirty days in daily chunks corrected a revenue metric without load spikes.
REAL LIFE: INTERVIEW / EXAM:
An interviewer may ask: How do you make a backfill safe?
REAL LIFE: DAILY LIFE:
It is like replaying a tape with a fixed machine.</t>
        </is>
      </c>
      <c r="C30" s="29" t="inlineStr">
        <is>
          <t>05_Reliability_Intermediate_ETL-029</t>
        </is>
      </c>
    </row>
    <row r="31" ht="409" customHeight="1">
      <c r="A31" s="29" t="inlineStr">
        <is>
          <t>Data quality checks
Which automatic tests find missing, duplicate or impossible data before users do?
SELECT 'dup_keys' AS check, COUNT(*) AS bad FROM (SELECT order_id FROM fct_orders GROUP BY 1 HAVING COUNT(*) &gt; 1) d
UNION ALL SELECT 'null_customer', COUNT(*) FROM fct_orders WHERE customer_id IS NULL
UNION ALL SELECT 'negative_total', COUNT(*) FROM fct_orders WHERE total &lt; 0
UNION ALL SELECT 'stale', CASE WHEN MAX(loaded_at) &lt; NOW() - INTERVAL '26 hours' THEN 1 ELSE 0 END FROM fct_orders;</t>
        </is>
      </c>
      <c r="B31" s="29" t="inlineStr">
        <is>
          <t>MEANING (SHORT):
Data quality checks are queries or tests that verify expectations such as no duplicate keys, no nulls in required columns, valid ranges and expected row counts, and they fail or alert when broken.
CODE:
SELECT 'dup_keys' AS check, COUNT(*) AS bad FROM (SELECT order_id FROM fct_orders GROUP BY 1 HAVING COUNT(*) &gt; 1) d
UNION ALL SELECT 'null_customer', COUNT(*) FROM fct_orders WHERE customer_id IS NULL
UNION ALL SELECT 'negative_total', COUNT(*) FROM fct_orders WHERE total &lt; 0
UNION ALL SELECT 'stale', CASE WHEN MAX(loaded_at) &lt; NOW() - INTERVAL '26 hours' THEN 1 ELSE 0 END FROM fct_orders;
OUTPUT:
Each check returns a count of bad rows, and any value above zero should stop or alert the pipeline.
EXPLANATION:
Typical checks are uniqueness, not null, accepted values, relationships between tables, freshness and volume changes compared with the past. Decide which failures block the load and which only warn. Store check results to see trends. Tools such as dbt tests and Great Expectations run these checks. Alerts must say what failed and what to do next.
SIMPLE EXPLANATION (HINGLISH):
Write queries for expectations, run them every time, and block or alert on failures.
REAL-LIFE ANALOGY:
Quality checks are inspectors at the end of the conveyor belt.
SYNTAX PATTERN:
SELECT COUNT(*) FROM table WHERE rule_is_broken
ANATOMY:
uniqueness = no duplicates | not null = required | freshness = recent | volume = expected count
EXAMPLE 1:
SELECT COUNT(*) FROM fct_orders o LEFT JOIN dim_customers c USING (customer_id) WHERE c.customer_id IS NULL;
EXAMPLE 2:
SELECT COUNT(*) FROM fct_orders WHERE status NOT IN ('paid','refunded','open');
EXAMPLE 3:
SELECT COUNT(*) FROM fct_orders WHERE loaded_at::date = CURRENT_DATE;
VARIATION:
expect_column_values_to_not_be_null("customer_id")   // Great Expectations style
USED WITH:
dbt tests, alerts, orchestrators
RELATED CONCEPTS:
dbt basics, alerts, lineage, data contracts
ALTERNATIVES:
dbt tests | Great Expectations | Soda
WHERE IT IS USED:
Every pipeline | Finance data | Dashboards
MINI CONVERSATION:
A: The dashboard shows half the usual orders. | B: A volume check should have caught the load before it published.
COMMON MISTAKE:
✗ A job that finishes without errors has correct data → ✓ Only explicit checks prove that the data is right
COMMONLY CONFUSED WITH:
Failing vs warning check: a failing check blocks the load, a warning only notifies.
AVOID / DON'T:
Do not publish data that failed a critical check.
WRONG CODE:
-- no checks, trust the run status
RIGHT CODE:
SELECT COUNT(*) FROM fct_orders WHERE customer_id IS NULL;   -- expect zero
MEMORY TRICK:
A green job is not proof of good data.
REAL LIFE: PROJECT / WORK:
Adding freshness and volume checks caught a silent source outage before the morning report.
REAL LIFE: INTERVIEW / EXAM:
An interviewer may ask: What data quality checks do you run?
REAL LIFE: DAILY LIFE:
It is like inspectors at the end of the belt.</t>
        </is>
      </c>
      <c r="C31" s="29" t="inlineStr">
        <is>
          <t>05_Reliability_Intermediate_ETL-030</t>
        </is>
      </c>
    </row>
    <row r="32" ht="409" customHeight="1">
      <c r="A32" s="29" t="inlineStr">
        <is>
          <t>Lineage
Which map shows where each dataset comes from and which reports depend on it?</t>
        </is>
      </c>
      <c r="B32" s="29" t="inlineStr">
        <is>
          <t>DEFINITION (SIMPLE):
Data lineage records how data flows from sources through transformations to outputs, at the level of tables and sometimes columns.
HOW / WHY IT WORKS:
Upstream lineage helps debug wrong values, and downstream lineage shows who is affected by a change. Tools such as dbt, orchestrators and catalogs build lineage from model references and query logs. Column-level lineage is more precise and also more costly. Lineage supports audits, privacy requests and impact analysis.
SIMPLE EXPLANATION (HINGLISH):
Lineage shows where data came from and what depends on it.
REAL-LIFE ANALOGY:
Lineage is a family tree of data, showing parents and children.
FORMULA / RULE:
Upstream = causes. Downstream = impact.
EXAMPLE 1:
A dashboard traced back to three source tables.
EXAMPLE 2:
A change to one column showing eleven affected models.
EXAMPLE 3:
A privacy request locating every table holding a customer id.
RELATED CONCEPTS:
dbt basics, data contracts, data quality checks, PII and masking
FAMILY / GROUP:
lineage, upstream, downstream, catalog, impact
WHERE IT IS USED:
Debugging | Audits | Change planning
MINI CONVERSATION:
A: If we change this column, what breaks? | B: Lineage shows four models and two dashboards depend on it.
COMMON MISTAKE:
✗ Lineage is only for compliance teams → ✓ Engineers use it daily to debug and plan changes
DON'T CONFUSE WITH:
Upstream vs downstream: upstream feeds a table, downstream consumes it.
AVOID / DON'T:
Do not change shared tables without checking downstream users.
MEMORY TRICK:
Look up for causes, down for impact.
REAL LIFE: PROJECT / WORK:
Using lineage to find all consumers made a column removal safe and planned.
REAL LIFE: INTERVIEW / EXAM:
An interviewer may ask: How do you find what a schema change will affect?
REAL LIFE: DAILY LIFE:
It is like a family tree of data.</t>
        </is>
      </c>
      <c r="C32" s="29" t="inlineStr">
        <is>
          <t>05_Reliability_Advanced_ETL-031</t>
        </is>
      </c>
    </row>
    <row r="33" ht="409" customHeight="1">
      <c r="A33" s="29" t="inlineStr">
        <is>
          <t>Alerts
How do you make sure the right person learns about a pipeline problem quickly?</t>
        </is>
      </c>
      <c r="B33" s="29" t="inlineStr">
        <is>
          <t>DEFINITION (SIMPLE):
Alerts are automatic notifications triggered by failures or broken expectations, routed to owners with enough context to act.
HOW / WHY IT WORKS:
Good alerts name the pipeline, the run, the error and the next step. Too many alerts cause fatigue, so tune thresholds and group repeated ones. Distinguish urgent pages from daily summaries. Route by ownership. Alerts should also cover silent failures, such as no data arriving, not only crashes. Test alerting paths regularly.
SIMPLE EXPLANATION (HINGLISH):
Alert on what needs action, with context, to the owner, and keep the noise low.
REAL-LIFE ANALOGY:
An alert is a smoke alarm that tells you which room and what to do.
FORMULA / RULE:
Problem + context + owner + next step.
EXAMPLE 1:
A message saying orders_load failed at step load with a link to the log.
EXAMPLE 2:
A freshness alert when no data arrived by 6 am.
EXAMPLE 3:
A daily summary of warnings instead of many pages.
RELATED CONCEPTS:
logging, data quality checks, retries, orchestration
FAMILY / GROUP:
alert, page, threshold, owner, runbook
WHERE IT IS USED:
Operations | On-call | Data platforms
MINI CONVERSATION:
A: The job failed but nobody knew until noon. | B: Add an alert with the job name and a link to the log.
COMMON MISTAKE:
✗ More alerts mean better monitoring → ✓ Too many alerts are ignored, so each must be actionable
DON'T CONFUSE WITH:
Page vs summary: a page needs action now, a summary can wait.
AVOID / DON'T:
Do not alert without saying what to do next.
MEMORY TRICK:
Every alert needs an owner and an action.
REAL LIFE: PROJECT / WORK:
Adding a no-data-arrived alert caught a silent source outage within an hour.
REAL LIFE: INTERVIEW / EXAM:
An interviewer may ask: How do you avoid alert fatigue?
REAL LIFE: DAILY LIFE:
It is like a smoke alarm that names the room.</t>
        </is>
      </c>
      <c r="C33" s="29" t="inlineStr">
        <is>
          <t>05_Reliability_Intermediate_ETL-032</t>
        </is>
      </c>
    </row>
    <row r="34" ht="409" customHeight="1">
      <c r="A34" s="29" t="inlineStr">
        <is>
          <t>Testing pipelines
How do you test transformations and pipelines before they run on real data?
import pandas as pd
def dedupe_latest(df):
    return df.sort_values("updated_at").drop_duplicates("id", keep="last")
def test_dedupe_latest():
    df = pd.DataFrame({"id": [1, 1, 2], "updated_at": [1, 2, 1], "v": ["a", "b", "c"]})
    out = dedupe_latest(df).sort_values("id")
    assert out["v"].tolist() == ["b", "c"]</t>
        </is>
      </c>
      <c r="B34" s="29" t="inlineStr">
        <is>
          <t>MEANING (SHORT):
Pipeline testing covers unit tests of transformation functions, data tests on outputs, and an end-to-end run on a small sample in a safe environment.
CODE:
import pandas as pd
def dedupe_latest(df):
    return df.sort_values("updated_at").drop_duplicates("id", keep="last")
def test_dedupe_latest():
    df = pd.DataFrame({"id": [1, 1, 2], "updated_at": [1, 2, 1], "v": ["a", "b", "c"]})
    out = dedupe_latest(df).sort_values("id")
    assert out["v"].tolist() == ["b", "c"]
OUTPUT:
The test passes when the newest row for each id is kept.
EXPLANATION:
Keep transformation logic in small functions that take and return data, so they are easy to test. Include edge cases such as nulls, duplicates and boundary dates. Run data tests such as uniqueness after each load. Use a staging copy or a sample for end-to-end checks. Run tests in CI on every change.
SIMPLE EXPLANATION (HINGLISH):
Test small functions with tricky samples, test the outputs, and run it all in CI.
REAL-LIFE ANALOGY:
Testing a pipeline is rehearsing the recipe with a small pot before cooking for the whole village.
SYNTAX PATTERN:
def test_name(): assert actual == expected
ANATOMY:
fixture = small input | assert = expected result | CI = run on every change
EXAMPLE 1:
assert out.shape[0] == 2
EXAMPLE 2:
pytest tests/
EXAMPLE 3:
dbt test --select state:modified
VARIATION:
pytest.mark.parametrize("input,expected", cases)   // many cases in one test
USED WITH:
pytest, dbt tests, CI
RELATED CONCEPTS:
data quality checks, dbt basics, error handling, CI
ALTERNATIVES:
dbt unit tests | sampling in staging
WHERE IT IS USED:
Pull requests | Releases | Refactors
MINI CONVERSATION:
A: Can we change the dedup rule safely? | B: Add a test with tricky rows first, then change it.
COMMON MISTAKE:
✗ Testing on production data only is enough → ✓ Small controlled tests find rule bugs that large data hides
COMMONLY CONFUSED WITH:
Unit test vs data test: a unit test checks logic with fixtures, a data test checks real output.
AVOID / DON'T:
Do not skip tests for transformations that handle money.
WRONG CODE:
def dedupe_latest(df): ...   # no test
RIGHT CODE:
def test_dedupe_latest(): assert ...
MEMORY TRICK:
Tiny tricky inputs find big bugs.
REAL LIFE: PROJECT / WORK:
Adding fixture tests caught a boundary date bug before it reached finance.
REAL LIFE: INTERVIEW / EXAM:
An interviewer may ask: How do you test a data transformation?
REAL LIFE: DAILY LIFE:
It is like rehearsing with a small pot.</t>
        </is>
      </c>
      <c r="C34" s="29" t="inlineStr">
        <is>
          <t>05_Reliability_Intermediate_ETL-033</t>
        </is>
      </c>
    </row>
    <row r="35" ht="409" customHeight="1">
      <c r="A35" s="29" t="inlineStr">
        <is>
          <t>Error handling and dead letters
What should a pipeline do with bad records and unexpected failures?</t>
        </is>
      </c>
      <c r="B35" s="29" t="inlineStr">
        <is>
          <t>DEFINITION (SIMPLE):
Error handling decides which problems stop the run and which are recorded and skipped, with rejected records stored in a dead letter table or queue along with the reason.
HOW / WHY IT WORKS:
Distinguish record errors, such as invalid values, from system errors, such as a lost connection. Record errors go to a rejected table with the error text, source key and time, and the run continues unless the rate exceeds a limit. System errors fail the job and trigger retries and alerts. Reprocess rejected rows after fixing the cause.
SIMPLE EXPLANATION (HINGLISH):
Quarantine bad rows with reasons, fail only when it matters, and reprocess later.
REAL-LIFE ANALOGY:
A dead letter box holds undeliverable mail so someone can fix the address.
FORMULA / RULE:
Bad record → quarantine. Bad system → fail and alert.
EXAMPLE 1:
A rejected_orders table with error reasons.
EXAMPLE 2:
A run failing because more than five percent of rows were rejected.
EXAMPLE 3:
A queue with a dead letter queue for repeated failures.
RELATED CONCEPTS:
retries, data quality checks, alerts, cleaning data
FAMILY / GROUP:
dead letter, quarantine, reject, threshold, reprocess
WHERE IT IS USED:
Streaming | Batch loads | Integrations
MINI CONVERSATION:
A: One bad date stopped the whole load. | B: Quarantine that row and let the rest through.
COMMON MISTAKE:
✗ The safest choice is to stop the whole run on any bad row → ✓ Stopping for each record blocks all good data, so quarantine and set thresholds
DON'T CONFUSE WITH:
Record error vs system error: one bad value versus a broken connection.
AVOID / DON'T:
Do not silently drop records.
MEMORY TRICK:
Quarantine the row, keep the run.
REAL LIFE: PROJECT / WORK:
A rejected table with reasons let analysts fix source typos within a day.
REAL LIFE: INTERVIEW / EXAM:
An interviewer may ask: What is a dead letter queue?
REAL LIFE: DAILY LIFE:
It is like a box for undeliverable mail.</t>
        </is>
      </c>
      <c r="C35" s="29" t="inlineStr">
        <is>
          <t>05_Reliability_Intermediate_ETL-034</t>
        </is>
      </c>
    </row>
    <row r="36" ht="409" customHeight="1">
      <c r="A36" s="29" t="inlineStr">
        <is>
          <t>Kafka basics
Which platform stores streams of events so many consumers can read them independently?</t>
        </is>
      </c>
      <c r="B36" s="29" t="inlineStr">
        <is>
          <t>DEFINITION (SIMPLE):
Kafka is a distributed log where producers append events to topics split into partitions, and consumers read them with their own offsets, usually within consumer groups.
HOW / WHY IT WORKS:
Messages are kept for a retention period and are not removed when read, so new consumers can replay history. Order is preserved within a partition, and the key decides the partition. A consumer group shares partitions among its members to scale reading. Offsets record progress. Delivery is at least once by default, so consumers should handle duplicates.
SIMPLE EXPLANATION (HINGLISH):
Producers append events to topics, and consumers read them at their own pace with offsets.
REAL-LIFE ANALOGY:
Kafka is a newspaper archive where each reader keeps their own bookmark.
FORMULA / RULE:
Topic → partitions → ordered log, with offsets per consumer.
EXAMPLE 1:
A topic of order events keyed by customer id.
EXAMPLE 2:
Two consumer groups, one for billing and one for analytics.
EXAMPLE 3:
A new consumer replaying a week of history.
RELATED CONCEPTS:
batch vs streaming, change data capture, idempotency, orchestration
FAMILY / GROUP:
topic, partition, offset, consumer group, retention
WHERE IT IS USED:
Event platforms | CDC | Real-time pipelines
MINI CONVERSATION:
A: Why do events for one customer arrive out of order? | B: They went to different partitions, so key by customer id.
COMMON MISTAKE:
✗ A message is deleted from Kafka once it is read → ✓ It stays until retention expires, and others can still read it
DON'T CONFUSE WITH:
Queue vs log: a queue removes messages when consumed, a log keeps them for replay.
AVOID / DON'T:
Do not assume global ordering across partitions.
MEMORY TRICK:
Order lives only inside one partition.
REAL LIFE: PROJECT / WORK:
Using customer id as the key kept each customer's events in order for billing.
REAL LIFE: INTERVIEW / EXAM:
An interviewer may ask: How does Kafka guarantee ordering?
REAL LIFE: DAILY LIFE:
It is like an archive with personal bookmarks.</t>
        </is>
      </c>
      <c r="C36" s="29" t="inlineStr">
        <is>
          <t>06_Advanced_Advanced_ETL-035</t>
        </is>
      </c>
    </row>
    <row r="37" ht="409" customHeight="1">
      <c r="A37" s="29" t="inlineStr">
        <is>
          <t>Orchestration
Which tools schedule and supervise pipelines, including order, retries and alerts?</t>
        </is>
      </c>
      <c r="B37" s="29" t="inlineStr">
        <is>
          <t>DEFINITION (SIMPLE):
Orchestration coordinates tasks into workflows with schedules, dependencies, retries, alerting and history, using tools such as Airflow, Dagster or Prefect.
HOW / WHY IT WORKS:
Workflows are described as graphs of tasks. The orchestrator triggers runs on schedules or events, passes dates, retries failures, and shows what ran and what failed. It does not do the heavy data work itself, but calls jobs and services. Good orchestration makes reruns, backfills and observability easy.
SIMPLE EXPLANATION (HINGLISH):
The orchestrator decides what runs when, retries failures and shows the history.
REAL-LIFE ANALOGY:
An orchestrator is the conductor who tells each musician when to play.
FORMULA / RULE:
Graph of tasks + schedule + retries + history.
EXAMPLE 1:
An Airflow DAG with extract, load and test tasks.
EXAMPLE 2:
A sensor waiting for a file before starting.
EXAMPLE 3:
A rerun of one failed task from the interface.
RELATED CONCEPTS:
pipelines vs jobs, Airflow, retries, backfills
FAMILY / GROUP:
DAG, scheduler, task, run, dependency
WHERE IT IS USED:
Data platforms | Daily loads | Operations
MINI CONVERSATION:
A: Cron cannot tell the load to wait for the extract. | B: Use an orchestrator with task dependencies.
COMMON MISTAKE:
✗ The orchestrator should do the heavy processing itself → ✓ It should call other systems and stay light
DON'T CONFUSE WITH:
Cron vs orchestrator: cron runs commands on time, an orchestrator manages dependencies, retries and history.
AVOID / DON'T:
Do not put heavy processing inside the scheduler.
MEMORY TRICK:
Orchestrators conduct, they do not play.
REAL LIFE: PROJECT / WORK:
Moving cron jobs into an orchestrator gave clear history and safe retries.
REAL LIFE: INTERVIEW / EXAM:
An interviewer may ask: Why use an orchestrator instead of cron?
REAL LIFE: DAILY LIFE:
It is like a conductor leading musicians.</t>
        </is>
      </c>
      <c r="C37" s="29" t="inlineStr">
        <is>
          <t>06_Advanced_Intermediate_ETL-036</t>
        </is>
      </c>
    </row>
    <row r="38" ht="409" customHeight="1">
      <c r="A38" s="29" t="inlineStr">
        <is>
          <t>PII and masking
How do you protect personal data inside pipelines and warehouses?</t>
        </is>
      </c>
      <c r="B38" s="29" t="inlineStr">
        <is>
          <t>DEFINITION (SIMPLE):
PII is information that identifies a person, and protection includes minimising it, masking or hashing values, restricting access, encrypting data and deleting it on request.
HOW / WHY IT WORKS:
Identify PII fields such as names, emails, phones and ids. Options include dropping them, keyed hashing (HMAC with a secret key) so equal values still match for joins, tokenising, and partial masking such as showing the last four digits. Use column-level access control and audit logs. Keep production PII out of test environments. Follow local law, such as the DPDP Act in India and GDPR in Europe.
SIMPLE EXPLANATION (HINGLISH):
Know where PII is, collect less, mask it, restrict access and be able to delete it.
REAL-LIFE ANALOGY:
Masking is putting a name tag over a face so guests can be counted but not recognised.
FORMULA / RULE:
Minimise + mask + restrict + delete on request.
EXAMPLE 1:
Hashing an email with a secret key (HMAC) to allow joins.
EXAMPLE 2:
Showing only the last four digits of a phone number.
EXAMPLE 3:
A column-level policy hiding salary from most users.
RELATED CONCEPTS:
credentials in pipelines, lineage, schemas, ETL vs ELT
FAMILY / GROUP:
PII, hashing, tokenisation, masking, consent
WHERE IT IS USED:
Customer data | Compliance | Analytics
MINI CONVERSATION:
A: Can analysts see customer emails? | B: Only the hashed version, and the raw column is restricted.
COMMON MISTAKE:
✗ Hashing an email makes it anonymous → ✓ It is only pseudonymous, and can often be reversed by guessing without a secret key
DON'T CONFUSE WITH:
Masking vs deleting: masking hides values, deleting removes them completely.
AVOID / DON'T:
Do not copy production PII into test environments.
MEMORY TRICK:
Minimise first, mask second, restrict always.
REAL LIFE: PROJECT / WORK:
Hashing emails with a keyed hash allowed joins without exposing addresses.
REAL LIFE: INTERVIEW / EXAM:
An interviewer may ask: How do you handle PII in a data warehouse?
REAL LIFE: DAILY LIFE:
It is like a name tag over a face.</t>
        </is>
      </c>
      <c r="C38" s="29" t="inlineStr">
        <is>
          <t>06_Advanced_Advanced_ETL-037</t>
        </is>
      </c>
    </row>
    <row r="39" ht="409" customHeight="1">
      <c r="A39" s="29" t="inlineStr">
        <is>
          <t>Slowly changing data
How do you keep history when attributes such as a customer's city change over time?
-- type 2 table
-- customer_key | customer_id | city | valid_from | valid_to | is_current
UPDATE dim_customers SET valid_to = NOW(), is_current = false
WHERE customer_id = 7 AND is_current AND city &lt;&gt; 'Pune';
INSERT INTO dim_customers (customer_id, city, valid_from, valid_to, is_current)
SELECT 7, 'Pune', NOW(), '9999-12-31', true
WHERE NOT EXISTS (SELECT 1 FROM dim_customers WHERE customer_id = 7 AND is_current AND city = 'Pune');</t>
        </is>
      </c>
      <c r="B39" s="29" t="inlineStr">
        <is>
          <t>MEANING (SHORT):
Slowly changing dimensions manage changing attributes, where type 1 overwrites the value and type 2 adds a new row with valid-from and valid-to dates.
CODE:
-- type 2 table
-- customer_key | customer_id | city | valid_from | valid_to | is_current
UPDATE dim_customers SET valid_to = NOW(), is_current = false
WHERE customer_id = 7 AND is_current AND city &lt;&gt; 'Pune';
INSERT INTO dim_customers (customer_id, city, valid_from, valid_to, is_current)
SELECT 7, 'Pune', NOW(), '9999-12-31', true
WHERE NOT EXISTS (SELECT 1 FROM dim_customers WHERE customer_id = 7 AND is_current AND city = 'Pune');
OUTPUT:
The old city row is closed, and a new current row with Pune is added.
EXPLANATION:
Type 1 loses history but is simple. Type 2 keeps every version, and facts join to the version valid on the event date. A surrogate key identifies each version. Tools such as dbt snapshots automate type 2. History grows, so apply it only where it matters. Type 3 keeps only the previous value in a column.
SIMPLE EXPLANATION (HINGLISH):
Overwrite when history does not matter, and add dated versions when it does.
REAL-LIFE ANALOGY:
Type 2 history is keeping every old address card with the dates it was valid.
SYNTAX PATTERN:
valid_from, valid_to, is_current columns
ANATOMY:
type 1 = overwrite | type 2 = new row | surrogate key = version id | is_current = latest flag
EXAMPLE 1:
SELECT * FROM dim_customers WHERE customer_id = 7 AND is_current;
EXAMPLE 2:
JOIN dim_customers d ON f.customer_id = d.customer_id AND f.order_date &gt;= d.valid_from AND f.order_date &lt; d.valid_to
EXAMPLE 3:
dbt snapshot with strategy timestamp
VARIATION:
UPDATE dim_customers SET city = 'Pune' WHERE customer_id = 7;   // type 1 overwrite
USED WITH:
dimensional models, dbt snapshots, upserts
RELATED CONCEPTS:
upserts, dbt basics, change data capture, joins
ALTERNATIVES:
dbt snapshots | event history tables
WHERE IT IS USED:
Dimensions | Reporting | Audits
MINI CONVERSATION:
A: Last year's sales show the customer's new city. | B: Use type 2 history and join by the date the order happened.
COMMON MISTAKE:
✗ Overwriting is always fine for dimensions → ✓ Overwriting loses history that reports may need
COMMONLY CONFUSED WITH:
Type 1 vs type 2: type 1 overwrites, type 2 adds a dated version.
AVOID / DON'T:
Do not keep history for attributes nobody needs.
WRONG CODE:
UPDATE dim_customers SET city = 'Pune' WHERE customer_id = 7;   -- history lost
RIGHT CODE:
UPDATE ... SET valid_to = NOW(), is_current = false ...; INSERT ... new current row;
MEMORY TRICK:
Type 1 overwrites, type 2 stacks versions.
REAL LIFE: PROJECT / WORK:
Type 2 customer history made old reports match what was true at the time.
REAL LIFE: INTERVIEW / EXAM:
An interviewer may ask: What is a slowly changing dimension?
REAL LIFE: DAILY LIFE:
It is like keeping every old address card.</t>
        </is>
      </c>
      <c r="C39" s="29" t="inlineStr">
        <is>
          <t>06_Advanced_Advanced_ETL-038</t>
        </is>
      </c>
    </row>
    <row r="40" ht="409" customHeight="1">
      <c r="A40" s="29" t="inlineStr">
        <is>
          <t>Cost and performance
Which habits keep pipelines fast and the cloud bill low?</t>
        </is>
      </c>
      <c r="B40" s="29" t="inlineStr">
        <is>
          <t>DEFINITION (SIMPLE):
Cost and performance tuning reduces scanned data, avoids repeated work and sizes compute to the job, using partitions, columnar formats, incremental models and caching.
HOW / WHY IT WORKS:
Select only needed columns, filter on partition keys, and avoid select star on wide tables. Process incrementally instead of rebuilding history. Compress and compact small files. Right-size compute and shut it down when idle. Materialise expensive steps once. Monitor cost per pipeline and set budgets with alerts.
SIMPLE EXPLANATION (HINGLISH):
Scan less, process only what changed, size compute sensibly and watch the bill.
REAL-LIFE ANALOGY:
Cost control is turning off lights in empty rooms and carrying only the groceries you need.
FORMULA / RULE:
Less data scanned + less repeated work = lower cost.
EXAMPLE 1:
Filtering on the partition date column.
EXAMPLE 2:
An incremental model processing only new rows.
EXAMPLE 3:
Compacting thousands of tiny files into a few large ones.
RELATED CONCEPTS:
partitions, file formats, full vs incremental, warehouse vs lake
FAMILY / GROUP:
scan, compute, compaction, materialise, budget
WHERE IT IS USED:
Cloud warehouses | Lakes | Platform teams
MINI CONVERSATION:
A: The monthly warehouse bill doubled. | B: Check the most expensive queries and add partition filters.
COMMON MISTAKE:
✗ A bigger warehouse always fixes slow queries → ✓ Reducing scanned data usually helps more and costs less
DON'T CONFUSE WITH:
Scaling up vs tuning: bigger compute costs more, tuning reduces the work itself.
AVOID / DON'T:
Do not leave large compute running idle.
MEMORY TRICK:
Scan less before paying for more.
REAL LIFE: PROJECT / WORK:
Partition filters and incremental models cut a warehouse bill noticeably.
REAL LIFE: INTERVIEW / EXAM:
An interviewer may ask: How would you reduce warehouse cost?
REAL LIFE: DAILY LIFE:
It is like turning off lights in empty rooms.</t>
        </is>
      </c>
      <c r="C40" s="29" t="inlineStr">
        <is>
          <t>06_Advanced_Advanced_ETL-039</t>
        </is>
      </c>
    </row>
    <row r="41" ht="409" customHeight="1">
      <c r="A41" s="29" t="inlineStr">
        <is>
          <t>Late-arriving data
How do you handle records that arrive after the period they belong to has been processed?</t>
        </is>
      </c>
      <c r="B41" s="29" t="inlineStr">
        <is>
          <t>DEFINITION (SIMPLE):
Late-arriving data is data whose event time is earlier than the time it reaches the pipeline, which requires reprocessing earlier periods or using windows that wait for stragglers.
HOW / WHY IT WORKS:
Use the event time for reporting and the load time for tracking. A lookback window reprocesses the last few days on every run, so late rows are absorbed. Streaming systems use watermarks that wait a set time for late events. Decide a cut-off after which data is ignored or handled separately, and document it. Dashboards may show that recent days are provisional.
SIMPLE EXPLANATION (HINGLISH):
Report by event time, reprocess a recent window, and set a clear cut-off.
REAL-LIFE ANALOGY:
Late data is a letter arriving after the post is sorted, so you reopen the box.
FORMULA / RULE:
Event time for meaning, load time for tracking, lookback for safety.
EXAMPLE 1:
Rerunning the last three days on every nightly run.
EXAMPLE 2:
A streaming window waiting ten minutes for late events.
EXAMPLE 3:
A report marking the last two days as provisional.
RELATED CONCEPTS:
date handling, incremental loads, backfills, Kafka basics
FAMILY / GROUP:
event time, processing time, watermark, lookback, provisional
WHERE IT IS USED:
Mobile analytics | Partner feeds | Streaming
MINI CONVERSATION:
A: Yesterday's totals keep changing. | B: Late events arrive, so mark recent days as provisional.
COMMON MISTAKE:
✗ Once a day has been processed it never changes → ✓ Late data can change past days, so pipelines must allow for it
DON'T CONFUSE WITH:
Event time vs processing time: one is when it happened, the other is when we handled it.
AVOID / DON'T:
Do not use load time to place events in reports.
MEMORY TRICK:
Lookback window absorbs late arrivals.
REAL LIFE: PROJECT / WORK:
A three-day lookback fixed totals that changed after late mobile events arrived.
REAL LIFE: INTERVIEW / EXAM:
An interviewer may ask: How do you handle late-arriving events?
REAL LIFE: DAILY LIFE:
It is like a letter arriving after sorting.</t>
        </is>
      </c>
      <c r="C41" s="29" t="inlineStr">
        <is>
          <t>06_Advanced_Advanced_ETL-040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08" customHeight="1">
      <c r="A2" s="29" t="inlineStr">
        <is>
          <t>MCQ: Where does the transformation happen in ELT?
A) Nowhere B) Only in the browser C) On a separate server before loading D) Inside the warehouse
FILL: In ETL the letter T stands for ____
APPLY: Personal data must never reach the warehouse unmasked. Which pattern fits?</t>
        </is>
      </c>
      <c r="B2" s="29" t="inlineStr">
        <is>
          <t>MCQ answer: D  ELT loads raw data and transforms it in the target.
Fill answer: transform
Apply: ETL with masking before loading</t>
        </is>
      </c>
      <c r="C2" s="29" t="inlineStr">
        <is>
          <t>01_Ideas_Beginner_ETL-001_quiz</t>
        </is>
      </c>
    </row>
    <row r="3" ht="94.5" customHeight="1">
      <c r="A3" s="29" t="inlineStr">
        <is>
          <t>MCQ: Which is a typical target?
A) A source CSV B) A data warehouse C) A keyboard D) A raw API
FILL: A system upstream of the pipeline is called a ____
APPLY: A customer says their data comes from three systems. What do you document first?</t>
        </is>
      </c>
      <c r="B3" s="29" t="inlineStr">
        <is>
          <t>MCQ answer: B  Targets receive and store the processed data.
Fill answer: source
Apply: Each source's owner and format</t>
        </is>
      </c>
      <c r="C3" s="29" t="inlineStr">
        <is>
          <t>01_Ideas_Beginner_ETL-002_quiz</t>
        </is>
      </c>
    </row>
    <row r="4" ht="81" customHeight="1">
      <c r="A4" s="29" t="inlineStr">
        <is>
          <t>MCQ: Which suits a nightly sales report?
A) Both are required B) Streaming C) Batch D) Neither
FILL: Very small, frequent batches are called ____
APPLY: A bank must flag fraud within seconds. Which style?</t>
        </is>
      </c>
      <c r="B4" s="29" t="inlineStr">
        <is>
          <t>MCQ answer: C  The report can wait, so a schedule is enough.
Fill answer: micro-batches
Apply: Streaming</t>
        </is>
      </c>
      <c r="C4" s="29" t="inlineStr">
        <is>
          <t>01_Ideas_Beginner_ETL-003_quiz</t>
        </is>
      </c>
    </row>
    <row r="5" ht="94.5" customHeight="1">
      <c r="A5" s="29" t="inlineStr">
        <is>
          <t>MCQ: Which stores raw files of any type cheaply?
A) A data lake B) A warehouse C) A cache D) A spreadsheet
FILL: A lake that has become messy and unusable is called a data ____
APPLY: You need cheap storage for raw logs and files. Which design?</t>
        </is>
      </c>
      <c r="B5" s="29" t="inlineStr">
        <is>
          <t>MCQ answer: A  Lakes keep raw data in cheap object storage.
Fill answer: swamp
Apply: A data lake</t>
        </is>
      </c>
      <c r="C5" s="29" t="inlineStr">
        <is>
          <t>01_Ideas_Intermediate_ETL-004_quiz</t>
        </is>
      </c>
    </row>
    <row r="6" ht="108" customHeight="1">
      <c r="A6" s="29" t="inlineStr">
        <is>
          <t>MCQ: What is a job?
A) A database table B) The whole data warehouse C) A server D) One runnable unit of work
FILL: A rule saying which job must finish first is a ____
APPLY: A load fails after a long extract. How do you avoid repeating the extract?</t>
        </is>
      </c>
      <c r="B6" s="29" t="inlineStr">
        <is>
          <t>MCQ answer: D  Pipelines are made of many jobs.
Fill answer: dependency
Apply: Split into separate jobs</t>
        </is>
      </c>
      <c r="C6" s="29" t="inlineStr">
        <is>
          <t>01_Ideas_Beginner_ETL-005_quiz</t>
        </is>
      </c>
    </row>
    <row r="7" ht="108" customHeight="1">
      <c r="A7" s="29" t="inlineStr">
        <is>
          <t>MCQ: What does a data contract describe?
A) Schema, quality rules and ownership B) The colour of a dashboard C) A password D) A server price
FILL: The team that provides a dataset is the ____
APPLY: A source team plans to remove a column. What does the contract require?</t>
        </is>
      </c>
      <c r="B7" s="29" t="inlineStr">
        <is>
          <t>MCQ answer: A  It states what the dataset promises to look like.
Fill answer: producer
Apply: An agreed notice and a versioned change</t>
        </is>
      </c>
      <c r="C7" s="29" t="inlineStr">
        <is>
          <t>01_Ideas_Intermediate_ETL-006_quiz</t>
        </is>
      </c>
    </row>
    <row r="8" ht="121.5" customHeight="1">
      <c r="A8" s="29" t="inlineStr">
        <is>
          <t>MCQ: What should a pipeline do with a paged API?
A) Ignore limits B) Follow the pages until the end C) Read only the first page D) Call it once a year
FILL: A setting that stops a call from hanging forever is a ____
HINDI TO TASK: Request a page of records with a bearer token.
PRACTICE QUESTION: Why keep the raw response?</t>
        </is>
      </c>
      <c r="B8" s="29" t="inlineStr">
        <is>
          <t>MCQ answer: B  Records are spread across pages.
Fill answer: timeout
Task answer:
requests.get(url, headers={"Authorization": "Bearer TOKEN"}, timeout=30)
Practice answer:
It lets you replay transformations without calling the API again.</t>
        </is>
      </c>
      <c r="C8" s="29" t="inlineStr">
        <is>
          <t>02_Extract_Beginner_ETL-007_quiz</t>
        </is>
      </c>
    </row>
    <row r="9" ht="121.5" customHeight="1">
      <c r="A9" s="29" t="inlineStr">
        <is>
          <t>MCQ: Why declare types when reading a CSV?
A) To rename the file B) To make the file smaller C) To avoid wrong guesses such as lost leading zeros D) To speed up the internet
FILL: Reading a big file piece by piece is reading in ____
HINDI TO TASK: Select only the orders updated on a given day.
PRACTICE QUESTION: Why read from a replica?</t>
        </is>
      </c>
      <c r="B9" s="29" t="inlineStr">
        <is>
          <t>MCQ answer: C  Type guessing can corrupt identifiers and dates.
Fill answer: chunks
Task answer:
SELECT order_id, total FROM orders WHERE updated_at &gt;= '2026-10-01' AND updated_at &lt; '2026-10-02';
Practice answer:
It avoids slowing the production database.</t>
        </is>
      </c>
      <c r="C9" s="29" t="inlineStr">
        <is>
          <t>02_Extract_Beginner_ETL-008_quiz</t>
        </is>
      </c>
    </row>
    <row r="10" ht="121.5" customHeight="1">
      <c r="A10" s="29" t="inlineStr">
        <is>
          <t>MCQ: When should the watermark advance?
A) Never B) Before the extract C) Randomly D) After a successful load
FILL: A stored value marking progress is called a ____
HINDI TO TASK: Read only rows changed after a stored time.
PRACTICE QUESTION: Why does a timestamp watermark miss deletes?</t>
        </is>
      </c>
      <c r="B10" s="29" t="inlineStr">
        <is>
          <t>MCQ answer: D  Advancing early can lose rows if the load fails.
Fill answer: watermark
Task answer:
SELECT * FROM orders WHERE updated_at &gt; :last_value;
Practice answer:
A deleted row no longer exists to show an updated time.</t>
        </is>
      </c>
      <c r="C10" s="29" t="inlineStr">
        <is>
          <t>02_Extract_Intermediate_ETL-009_quiz</t>
        </is>
      </c>
    </row>
    <row r="11" ht="94.5" customHeight="1">
      <c r="A11" s="29" t="inlineStr">
        <is>
          <t>MCQ: What does CDC read?
A) A password file B) The web page C) The database transaction log D) A spreadsheet
FILL: The first full copy before streaming changes is a ____
APPLY: A target must reflect deleted rows. Which method fits?</t>
        </is>
      </c>
      <c r="B11" s="29" t="inlineStr">
        <is>
          <t>MCQ answer: C  The log records every change.
Fill answer: snapshot
Apply: Change data capture</t>
        </is>
      </c>
      <c r="C11" s="29" t="inlineStr">
        <is>
          <t>02_Extract_Advanced_ETL-010_quiz</t>
        </is>
      </c>
    </row>
    <row r="12" ht="108" customHeight="1">
      <c r="A12" s="29" t="inlineStr">
        <is>
          <t>MCQ: Which status means too many requests?
A) 404 B) 429 C) 301 D) 500
FILL: Waiting longer after each failed try is exponential ____
HINDI TO TASK: Wait the number of seconds the server asks for.
PRACTICE QUESTION: Why prefer cursors over offsets?</t>
        </is>
      </c>
      <c r="B12" s="29" t="inlineStr">
        <is>
          <t>MCQ answer: B  The server is limiting the request rate.
Fill answer: backoff
Task answer:
time.sleep(int(r.headers.get("Retry-After", 2)))
Practice answer:
Offsets drift when data changes while paging.</t>
        </is>
      </c>
      <c r="C12" s="29" t="inlineStr">
        <is>
          <t>02_Extract_Intermediate_ETL-011_quiz</t>
        </is>
      </c>
    </row>
    <row r="13" ht="94.5" customHeight="1">
      <c r="A13" s="29" t="inlineStr">
        <is>
          <t>MCQ: Where should pipeline passwords live?
A) A secrets manager B) The source code C) A spreadsheet D) A chat message
FILL: Changing a secret on a schedule is called ____
APPLY: A script has a password in its code. What do you do?</t>
        </is>
      </c>
      <c r="B13" s="29" t="inlineStr">
        <is>
          <t>MCQ answer: A  Vaults control and audit access.
Fill answer: rotation
Apply: Move it to a secrets manager and rotate it</t>
        </is>
      </c>
      <c r="C13" s="29" t="inlineStr">
        <is>
          <t>02_Extract_Intermediate_ETL-012_quiz</t>
        </is>
      </c>
    </row>
    <row r="14" ht="121.5" customHeight="1">
      <c r="A14" s="29" t="inlineStr">
        <is>
          <t>MCQ: What should happen to rows that fail cleaning rules?
A) They are silently deleted B) They are ignored forever C) They go to a rejected table with a reason D) They overwrite raw data
FILL: Turning blank text into a null uses the function ____
HINDI TO TASK: Trim and lowercase the email column.
PRACTICE QUESTION: Why keep the raw table?</t>
        </is>
      </c>
      <c r="B14" s="29" t="inlineStr">
        <is>
          <t>MCQ answer: C  Quarantined rows can be reviewed and fixed.
Fill answer: NULLIF
Task answer:
SELECT TRIM(LOWER(email)) AS email FROM raw_customers;
Practice answer:
So mistakes in cleaning can be reversed and replayed.</t>
        </is>
      </c>
      <c r="C14" s="29" t="inlineStr">
        <is>
          <t>03_Transform_Beginner_ETL-013_quiz</t>
        </is>
      </c>
    </row>
    <row r="15" ht="108" customHeight="1">
      <c r="A15" s="29" t="inlineStr">
        <is>
          <t>MCQ: How do you test for a missing value?
A) like null B) IS NULL C) is empty D) equals null
FILL: The function that returns the first non-null value is ____
HINDI TO TASK: Find rows where discount is missing.
PRACTICE QUESTION: What does 5 plus null give?</t>
        </is>
      </c>
      <c r="B15" s="29" t="inlineStr">
        <is>
          <t>MCQ answer: B  Comparison with equals never matches null.
Fill answer: COALESCE
Task answer:
SELECT * FROM stg_orders WHERE discount IS NULL;
Practice answer:
Null.</t>
        </is>
      </c>
      <c r="C15" s="29" t="inlineStr">
        <is>
          <t>03_Transform_Beginner_ETL-014_quiz</t>
        </is>
      </c>
    </row>
    <row r="16" ht="121.5" customHeight="1">
      <c r="A16" s="29" t="inlineStr">
        <is>
          <t>MCQ: What multiplies rows in a join?
A) A where clause B) A comment C) A limit D) Duplicate keys on the joined side
FILL: What one row of a table represents is its ____
HINDI TO TASK: Join orders to customers keeping all orders.
PRACTICE QUESTION: What does a left join keep?</t>
        </is>
      </c>
      <c r="B16" s="29" t="inlineStr">
        <is>
          <t>MCQ answer: D  Each match produces a row.
Fill answer: grain
Task answer:
SELECT * FROM orders o LEFT JOIN customers c ON c.customer_id = o.customer_id;
Practice answer:
All rows of the left table.</t>
        </is>
      </c>
      <c r="C16" s="29" t="inlineStr">
        <is>
          <t>03_Transform_Intermediate_ETL-015_quiz</t>
        </is>
      </c>
    </row>
    <row r="17" ht="108" customHeight="1">
      <c r="A17" s="29" t="inlineStr">
        <is>
          <t>MCQ: Which function numbers rows within a key?
A) ROW_NUMBER B) COUNT C) SUM D) AVG
FILL: A rule that settles equal sort values is a ____
HINDI TO TASK: Keep the latest row for each customer.
PRACTICE QUESTION: Why add a tie-breaker?</t>
        </is>
      </c>
      <c r="B17" s="29" t="inlineStr">
        <is>
          <t>MCQ answer: A  It gives each row a position inside its partition.
Fill answer: tie-breaker
Task answer:
SELECT * FROM (SELECT *, ROW_NUMBER() OVER (PARTITION BY customer_id ORDER BY updated_at DESC) rn FROM stg_customers) t WHERE rn = 1;
Practice answer:
So reruns choose the same winning row.</t>
        </is>
      </c>
      <c r="C17" s="29" t="inlineStr">
        <is>
          <t>03_Transform_Intermediate_ETL-016_quiz</t>
        </is>
      </c>
    </row>
    <row r="18" ht="108" customHeight="1">
      <c r="A18" s="29" t="inlineStr">
        <is>
          <t>MCQ: Which clause filters groups?
A) LIMIT B) HAVING C) ORDER BY D) WHERE
FILL: The clause that creates the groups is GROUP ____
HINDI TO TASK: Count orders per customer.
PRACTICE QUESTION: Why is an average of averages risky?</t>
        </is>
      </c>
      <c r="B18" s="29" t="inlineStr">
        <is>
          <t>MCQ answer: B  HAVING works on aggregated results.
Fill answer: BY
Task answer:
SELECT customer_id, COUNT(*) FROM fct_orders GROUP BY customer_id;
Practice answer:
Groups of different sizes need weighting.</t>
        </is>
      </c>
      <c r="C18" s="29" t="inlineStr">
        <is>
          <t>03_Transform_Beginner_ETL-017_quiz</t>
        </is>
      </c>
    </row>
    <row r="19" ht="121.5" customHeight="1">
      <c r="A19" s="29" t="inlineStr">
        <is>
          <t>MCQ: Which filter covers a whole day safely?
A) Like the date B) BETWEEN with 23:59:59 C) Greater than or equal to the start and less than the next day D) Equal to the date only
FILL: Timestamps are best stored in ____
HINDI TO TASK: Count orders on 1 October using a safe range.
PRACTICE QUESTION: Why is BETWEEN with 23:59:59 risky?</t>
        </is>
      </c>
      <c r="B19" s="29" t="inlineStr">
        <is>
          <t>MCQ answer: C  A half-open range includes every instant of the day.
Fill answer: UTC
Task answer:
SELECT COUNT(*) FROM stg_orders WHERE created_at &gt;= '2026-10-01' AND created_at &lt; '2026-10-02';
Practice answer:
It misses fractions of a second at the end of the day.</t>
        </is>
      </c>
      <c r="C19" s="29" t="inlineStr">
        <is>
          <t>03_Transform_Intermediate_ETL-018_quiz</t>
        </is>
      </c>
    </row>
    <row r="20" ht="108" customHeight="1">
      <c r="A20" s="29" t="inlineStr">
        <is>
          <t>MCQ: Which function reads the previous row's value?
A) LAG B) SUM C) COUNT D) LEAD
FILL: A named temporary result in a query is a ____
HINDI TO TASK: Add the previous order total next to each order.
PRACTICE QUESTION: Do window functions reduce the number of rows?</t>
        </is>
      </c>
      <c r="B20" s="29" t="inlineStr">
        <is>
          <t>MCQ answer: A  LAG looks backward in the window order.
Fill answer: CTE
Task answer:
SELECT *, LAG(total) OVER (PARTITION BY customer_id ORDER BY created_at) AS prev_total FROM fct_orders;
Practice answer:
No, every row is kept.</t>
        </is>
      </c>
      <c r="C20" s="29" t="inlineStr">
        <is>
          <t>03_Transform_Intermediate_ETL-019_quiz</t>
        </is>
      </c>
    </row>
    <row r="21" ht="121.5" customHeight="1">
      <c r="A21" s="29" t="inlineStr">
        <is>
          <t>MCQ: Which function links one dbt model to another?
A) config B) run C) source D) ref
FILL: dbt handles which letter of ELT, the ____
HINDI TO TASK: Reference the staging orders model from another model.
PRACTICE QUESTION: Does dbt extract data from sources?</t>
        </is>
      </c>
      <c r="B21" s="29" t="inlineStr">
        <is>
          <t>MCQ answer: D  ref declares a dependency between models.
Fill answer: T
Task answer:
select * from {{ ref('stg_orders') }}
Practice answer:
No, it transforms data already in the warehouse.</t>
        </is>
      </c>
      <c r="C21" s="29" t="inlineStr">
        <is>
          <t>03_Transform_Intermediate_ETL-020_quiz</t>
        </is>
      </c>
    </row>
    <row r="22" ht="108" customHeight="1">
      <c r="A22" s="29" t="inlineStr">
        <is>
          <t>MCQ: What does an upsert need to work?
A) A cursor B) A unique key C) A view D) A comment
FILL: PostgreSQL's upsert clause is ON ____
HINDI TO TASK: Insert a customer and skip it if the id exists.
PRACTICE QUESTION: Why add a WHERE on updated_at to the upsert?</t>
        </is>
      </c>
      <c r="B22" s="29" t="inlineStr">
        <is>
          <t>MCQ answer: B  The key says whether a row already exists.
Fill answer: CONFLICT
Task answer:
INSERT INTO dim_customers (customer_id, name) VALUES (1, 'Asha') ON CONFLICT (customer_id) DO NOTHING;
Practice answer:
To stop older late rows overwriting newer data.</t>
        </is>
      </c>
      <c r="C22" s="29" t="inlineStr">
        <is>
          <t>04_Load_Intermediate_ETL-021_quiz</t>
        </is>
      </c>
    </row>
    <row r="23" ht="121.5" customHeight="1">
      <c r="A23" s="29" t="inlineStr">
        <is>
          <t>MCQ: When does partitioning help queries?
A) When they filter on the partition key B) Never C) Always D) Only for inserts
FILL: Skipping partitions that cannot match is called partition ____
HINDI TO TASK: Count events for one day using the partition column.
PRACTICE QUESTION: Why replace a partition on reruns?</t>
        </is>
      </c>
      <c r="B23" s="29" t="inlineStr">
        <is>
          <t>MCQ answer: A  Pruning needs a filter on the key.
Fill answer: pruning
Task answer:
SELECT COUNT(*) FROM fct_events WHERE event_date = '2026-10-01';
Practice answer:
It makes the rerun clean and idempotent.</t>
        </is>
      </c>
      <c r="C23" s="29" t="inlineStr">
        <is>
          <t>04_Load_Intermediate_ETL-022_quiz</t>
        </is>
      </c>
    </row>
    <row r="24" ht="94.5" customHeight="1">
      <c r="A24" s="29" t="inlineStr">
        <is>
          <t>MCQ: Which format stores data by column with a schema?
A) JSON B) Text C) CSV D) Parquet
FILL: Parquet is a ____ storage format
APPLY: Large analytics tables need small, fast storage. Which format?</t>
        </is>
      </c>
      <c r="B24" s="29" t="inlineStr">
        <is>
          <t>MCQ answer: D  Parquet is columnar and typed.
Fill answer: columnar
Apply: Parquet</t>
        </is>
      </c>
      <c r="C24" s="29" t="inlineStr">
        <is>
          <t>04_Load_Intermediate_ETL-023_quiz</t>
        </is>
      </c>
    </row>
    <row r="25" ht="81" customHeight="1">
      <c r="A25" s="29" t="inlineStr">
        <is>
          <t>MCQ: Which constraint stops duplicate keys?
A) A schema name B) A comment C) Primary key D) View
FILL: Rules that protect columns are called ____
APPLY: Rows without an email keep arriving. What do you add?</t>
        </is>
      </c>
      <c r="B25" s="29" t="inlineStr">
        <is>
          <t>MCQ answer: C  A primary key enforces uniqueness.
Fill answer: constraints
Apply: A not null constraint</t>
        </is>
      </c>
      <c r="C25" s="29" t="inlineStr">
        <is>
          <t>04_Load_Beginner_ETL-024_quiz</t>
        </is>
      </c>
    </row>
    <row r="26" ht="108" customHeight="1">
      <c r="A26" s="29" t="inlineStr">
        <is>
          <t>MCQ: Which change is usually safe?
A) Removing a column B) Changing a type C) Adding a nullable column D) Renaming a column
FILL: A gradual difference between expected and actual schema is called ____
APPLY: A source renames a column. What kind of change is it?</t>
        </is>
      </c>
      <c r="B26" s="29" t="inlineStr">
        <is>
          <t>MCQ answer: C  Consumers that ignore the new column are unaffected.
Fill answer: drift
Apply: A breaking change</t>
        </is>
      </c>
      <c r="C26" s="29" t="inlineStr">
        <is>
          <t>04_Load_Advanced_ETL-025_quiz</t>
        </is>
      </c>
    </row>
    <row r="27" ht="135" customHeight="1">
      <c r="A27" s="29" t="inlineStr">
        <is>
          <t>MCQ: What makes a retry safe?
A) A bigger server B) A new schedule C) A longer name D) An idempotent job
FILL: Running a job again gives the same result when it is ____
HINDI TO TASK: Reload one day of sales without creating duplicates.
PRACTICE QUESTION: Why should a run depend on its logical date, not now?</t>
        </is>
      </c>
      <c r="B27" s="29" t="inlineStr">
        <is>
          <t>MCQ answer: D  Repeating gives the same final state.
Fill answer: idempotent
Task answer:
DELETE FROM fct_sales WHERE sale_date = '2026-10-01'; INSERT INTO fct_sales SELECT * FROM stg_sales WHERE sale_date = '2026-10-01';
Practice answer:
So a rerun processes the same input as the original.</t>
        </is>
      </c>
      <c r="C27" s="29" t="inlineStr">
        <is>
          <t>05_Reliability_Intermediate_ETL-026_quiz</t>
        </is>
      </c>
    </row>
    <row r="28" ht="148.5" customHeight="1">
      <c r="A28" s="29" t="inlineStr">
        <is>
          <t>MCQ: Which error is worth retrying?
A) A connection timeout B) A wrong password C) A missing table D) A malformed query
FILL: Random extra delay that spreads retries is ____
HINDI TO TASK: Retry a function up to three times with a growing pause.
PRACTICE QUESTION: Why does a retry need an idempotent job?</t>
        </is>
      </c>
      <c r="B28" s="29" t="inlineStr">
        <is>
          <t>MCQ answer: A  Timeouts are often temporary.
Fill answer: jitter
Task answer:
# inside a function
for i in range(3):
    try:
        return fn()
    except TimeoutError:
        time.sleep(2 ** i)
Practice answer:
A repeated run must not duplicate data.</t>
        </is>
      </c>
      <c r="C28" s="29" t="inlineStr">
        <is>
          <t>05_Reliability_Intermediate_ETL-027_quiz</t>
        </is>
      </c>
    </row>
    <row r="29" ht="121.5" customHeight="1">
      <c r="A29" s="29" t="inlineStr">
        <is>
          <t>MCQ: What helps follow one execution across jobs?
A) A bigger disk B) A run id C) A password D) A colour
FILL: Logs written as JSON are called ____ logs
HINDI TO TASK: Write a log line that records how many rows were loaded.
PRACTICE QUESTION: Why log row counts at every stage?</t>
        </is>
      </c>
      <c r="B29" s="29" t="inlineStr">
        <is>
          <t>MCQ answer: B  The same id ties related lines together.
Fill answer: structured
Task answer:
log.info("rows loaded: %s", n)
Practice answer:
To see where data disappears.</t>
        </is>
      </c>
      <c r="C29" s="29" t="inlineStr">
        <is>
          <t>05_Reliability_Beginner_ETL-028_quiz</t>
        </is>
      </c>
    </row>
    <row r="30" ht="108" customHeight="1">
      <c r="A30" s="29" t="inlineStr">
        <is>
          <t>MCQ: What makes backfills safe?
A) Bigger schedules B) Manual edits C) Deleting logs D) Idempotent, partitioned jobs
FILL: Running a pipeline for past dates is a ____
APPLY: A bug corrupted last month's data. What do you do after fixing it?</t>
        </is>
      </c>
      <c r="B30" s="29" t="inlineStr">
        <is>
          <t>MCQ answer: D  Each past slice can be replaced cleanly.
Fill answer: backfill
Apply: Backfill that month in small ranges</t>
        </is>
      </c>
      <c r="C30" s="29" t="inlineStr">
        <is>
          <t>05_Reliability_Intermediate_ETL-029_quiz</t>
        </is>
      </c>
    </row>
    <row r="31" ht="121.5" customHeight="1">
      <c r="A31" s="29" t="inlineStr">
        <is>
          <t>MCQ: Which check finds a source that stopped sending data?
A) A uniqueness check B) A freshness check C) A style check D) A type check
FILL: A test that data is recent enough is a ____ check
HINDI TO TASK: Count orders with no customer id.
PRACTICE QUESTION: Does a successful job prove the data is correct?</t>
        </is>
      </c>
      <c r="B31" s="29" t="inlineStr">
        <is>
          <t>MCQ answer: B  Freshness compares the latest load time with the expected one.
Fill answer: freshness
Task answer:
SELECT COUNT(*) FROM fct_orders WHERE customer_id IS NULL;
Practice answer:
No, only checks on the data can show that.</t>
        </is>
      </c>
      <c r="C31" s="29" t="inlineStr">
        <is>
          <t>05_Reliability_Intermediate_ETL-030_quiz</t>
        </is>
      </c>
    </row>
    <row r="32" ht="94.5" customHeight="1">
      <c r="A32" s="29" t="inlineStr">
        <is>
          <t>MCQ: What does downstream lineage tell you?
A) The data size B) Where the data came from C) Who depends on this data D) The cost
FILL: Tables that feed a model are ____ of it
APPLY: You plan to rename a column. What do you check first?</t>
        </is>
      </c>
      <c r="B32" s="29" t="inlineStr">
        <is>
          <t>MCQ answer: C  Downstream shows consumers of the dataset.
Fill answer: upstream
Apply: Downstream lineage</t>
        </is>
      </c>
      <c r="C32" s="29" t="inlineStr">
        <is>
          <t>05_Reliability_Advanced_ETL-031_quiz</t>
        </is>
      </c>
    </row>
    <row r="33" ht="108" customHeight="1">
      <c r="A33" s="29" t="inlineStr">
        <is>
          <t>MCQ: What makes an alert useful?
A) Context and a next step B) Many repeats C) A loud sound D) A long name
FILL: Too many unhelpful alerts cause alert ____
APPLY: A source silently stopped sending data. What alert catches it?</t>
        </is>
      </c>
      <c r="B33" s="29" t="inlineStr">
        <is>
          <t>MCQ answer: A  The receiver must know what to do.
Fill answer: fatigue
Apply: A freshness alert</t>
        </is>
      </c>
      <c r="C33" s="29" t="inlineStr">
        <is>
          <t>05_Reliability_Intermediate_ETL-032_quiz</t>
        </is>
      </c>
    </row>
    <row r="34" ht="121.5" customHeight="1">
      <c r="A34" s="29" t="inlineStr">
        <is>
          <t>MCQ: What makes a transformation easy to test?
A) No inputs B) Hidden state C) Small functions taking and returning data D) One huge script
FILL: A small hand-made input used in a test is a ____
HINDI TO TASK: Write an assertion that a result has two rows.
PRACTICE QUESTION: Why test with tricky edge cases?</t>
        </is>
      </c>
      <c r="B34" s="29" t="inlineStr">
        <is>
          <t>MCQ answer: C  Inputs and outputs can be controlled in tests.
Fill answer: fixture
Task answer:
assert len(out) == 2
Practice answer:
They expose rule bugs that normal data hides.</t>
        </is>
      </c>
      <c r="C34" s="29" t="inlineStr">
        <is>
          <t>05_Reliability_Intermediate_ETL-033_quiz</t>
        </is>
      </c>
    </row>
    <row r="35" ht="121.5" customHeight="1">
      <c r="A35" s="29" t="inlineStr">
        <is>
          <t>MCQ: Where do bad records go?
A) A rejected table with the reason B) The log only C) The target table D) The trash with no record
FILL: A queue holding messages that keep failing is a dead ____ queue
APPLY: Two percent of rows have invalid dates. What should the run do?</t>
        </is>
      </c>
      <c r="B35" s="29" t="inlineStr">
        <is>
          <t>MCQ answer: A  Stored rejects can be reviewed and reprocessed.
Fill answer: letter
Apply: Quarantine them and continue</t>
        </is>
      </c>
      <c r="C35" s="29" t="inlineStr">
        <is>
          <t>05_Reliability_Intermediate_ETL-034_quiz</t>
        </is>
      </c>
    </row>
    <row r="36" ht="108" customHeight="1">
      <c r="A36" s="29" t="inlineStr">
        <is>
          <t>MCQ: Where is message order guaranteed?
A) Nowhere B) Within one partition C) Across topics D) Across all partitions
FILL: A consumer's position in a partition is its ____
APPLY: Events for one customer must stay in order. What do you use as the key?</t>
        </is>
      </c>
      <c r="B36" s="29" t="inlineStr">
        <is>
          <t>MCQ answer: B  Each partition is an ordered log.
Fill answer: offset
Apply: The customer id</t>
        </is>
      </c>
      <c r="C36" s="29" t="inlineStr">
        <is>
          <t>06_Advanced_Advanced_ETL-035_quiz</t>
        </is>
      </c>
    </row>
    <row r="37" ht="108" customHeight="1">
      <c r="A37" s="29" t="inlineStr">
        <is>
          <t>MCQ: What do orchestrators add to cron?
A) Faster disks B) Colours C) More memory D) Dependencies, retries and history
FILL: A directed graph of tasks in Airflow is a ____
APPLY: A load must wait for an extract and retry on failure. What tool?</t>
        </is>
      </c>
      <c r="B37" s="29" t="inlineStr">
        <is>
          <t>MCQ answer: D  They supervise whole workflows.
Fill answer: DAG
Apply: An orchestrator</t>
        </is>
      </c>
      <c r="C37" s="29" t="inlineStr">
        <is>
          <t>06_Advanced_Intermediate_ETL-036_quiz</t>
        </is>
      </c>
    </row>
    <row r="38" ht="108" customHeight="1">
      <c r="A38" s="29" t="inlineStr">
        <is>
          <t>MCQ: What is the safest first step with PII?
A) Store it in a spreadsheet B) Email it C) Copy everything D) Collect only what is needed
FILL: Replacing a value with a stand-in token is called ____
APPLY: Analysts need to join on email without seeing it. What do you do?</t>
        </is>
      </c>
      <c r="B38" s="29" t="inlineStr">
        <is>
          <t>MCQ answer: D  Data you never collect cannot leak.
Fill answer: tokenisation
Apply: Hash it with a keyed hash (HMAC)</t>
        </is>
      </c>
      <c r="C38" s="29" t="inlineStr">
        <is>
          <t>06_Advanced_Advanced_ETL-037_quiz</t>
        </is>
      </c>
    </row>
    <row r="39" ht="121.5" customHeight="1">
      <c r="A39" s="29" t="inlineStr">
        <is>
          <t>MCQ: Which type adds a new row for each change?
A) Type 0 B) Type 1 C) Type 2 D) Type 4 only
FILL: A key that identifies one version of a dimension row is a ____ key
HINDI TO TASK: Fetch the current row for a customer.
PRACTICE QUESTION: What is lost with type 1?</t>
        </is>
      </c>
      <c r="B39" s="29" t="inlineStr">
        <is>
          <t>MCQ answer: C  Type 2 keeps dated versions.
Fill answer: surrogate
Task answer:
SELECT * FROM dim_customers WHERE customer_id = 7 AND is_current;
Practice answer:
The history of earlier values.</t>
        </is>
      </c>
      <c r="C39" s="29" t="inlineStr">
        <is>
          <t>06_Advanced_Advanced_ETL-038_quiz</t>
        </is>
      </c>
    </row>
    <row r="40" ht="94.5" customHeight="1">
      <c r="A40" s="29" t="inlineStr">
        <is>
          <t>MCQ: Which habit reduces scanned data?
A) Filtering on partition keys B) Leaving compute on C) Rebuilding all history D) Using select star
FILL: Merging many small files into fewer large ones is called ____
APPLY: A model rebuilds all history nightly. How do you cut cost?</t>
        </is>
      </c>
      <c r="B40" s="29" t="inlineStr">
        <is>
          <t>MCQ answer: A  Partition filters let the engine skip data.
Fill answer: compaction
Apply: Make it incremental</t>
        </is>
      </c>
      <c r="C40" s="29" t="inlineStr">
        <is>
          <t>06_Advanced_Advanced_ETL-039_quiz</t>
        </is>
      </c>
    </row>
    <row r="41" ht="81" customHeight="1">
      <c r="A41" s="29" t="inlineStr">
        <is>
          <t>MCQ: Which time should reports use?
A) Load time B) Event time C) Server time D) Random time
FILL: A rule that waits for late events in a stream is a ____
APPLY: Events arrive up to two days late. What should each run do?</t>
        </is>
      </c>
      <c r="B41" s="29" t="inlineStr">
        <is>
          <t>MCQ answer: B  Event time says when the action actually happened.
Fill answer: watermark
Apply: Reprocess a lookback window of recent days</t>
        </is>
      </c>
      <c r="C41" s="29" t="inlineStr">
        <is>
          <t>06_Advanced_Advanced_ETL-040_quiz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20</v>
      </c>
    </row>
    <row r="3">
      <c r="A3" t="inlineStr">
        <is>
          <t>Topic (56-pt)</t>
        </is>
      </c>
      <c r="B3" t="n">
        <v>20</v>
      </c>
    </row>
    <row r="5">
      <c r="A5" s="21" t="inlineStr">
        <is>
          <t>Cards by topic</t>
        </is>
      </c>
    </row>
    <row r="6">
      <c r="A6" t="inlineStr">
        <is>
          <t>05 Reliability</t>
        </is>
      </c>
      <c r="B6" t="n">
        <v>9</v>
      </c>
    </row>
    <row r="7">
      <c r="A7" t="inlineStr">
        <is>
          <t>03 Transform</t>
        </is>
      </c>
      <c r="B7" t="n">
        <v>8</v>
      </c>
    </row>
    <row r="8">
      <c r="A8" t="inlineStr">
        <is>
          <t>01 Ideas</t>
        </is>
      </c>
      <c r="B8" t="n">
        <v>6</v>
      </c>
    </row>
    <row r="9">
      <c r="A9" t="inlineStr">
        <is>
          <t>02 Extract</t>
        </is>
      </c>
      <c r="B9" t="n">
        <v>6</v>
      </c>
    </row>
    <row r="10">
      <c r="A10" t="inlineStr">
        <is>
          <t>06 Advanced</t>
        </is>
      </c>
      <c r="B10" t="n">
        <v>6</v>
      </c>
    </row>
    <row r="11">
      <c r="A11" t="inlineStr">
        <is>
          <t>04 Load</t>
        </is>
      </c>
      <c r="B11" t="n">
        <v>5</v>
      </c>
    </row>
    <row r="13">
      <c r="A13" s="21" t="inlineStr">
        <is>
          <t>Cards by level</t>
        </is>
      </c>
    </row>
    <row r="14">
      <c r="A14" t="inlineStr">
        <is>
          <t>Intermediate</t>
        </is>
      </c>
      <c r="B14" t="n">
        <v>21</v>
      </c>
    </row>
    <row r="15">
      <c r="A15" t="inlineStr">
        <is>
          <t>Beginner</t>
        </is>
      </c>
      <c r="B15" t="n">
        <v>11</v>
      </c>
    </row>
    <row r="16">
      <c r="A16" t="inlineStr">
        <is>
          <t>Advanced</t>
        </is>
      </c>
      <c r="B16" t="n">
        <v>8</v>
      </c>
    </row>
    <row r="18">
      <c r="A18" s="21" t="inlineStr">
        <is>
          <t>Cards by source</t>
        </is>
      </c>
    </row>
    <row r="19">
      <c r="A19" t="inlineStr">
        <is>
          <t>Claude knowledge</t>
        </is>
      </c>
      <c r="B19" t="n">
        <v>40</v>
      </c>
    </row>
    <row r="21">
      <c r="A21" s="21" t="inlineStr">
        <is>
          <t>Error check</t>
        </is>
      </c>
    </row>
    <row r="22">
      <c r="A22"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2026-10-07T16:54:06Z</dcterms:created>
  <dcterms:modified xmlns:dcterms="http://purl.org/dc/terms/" xmlns:xsi="http://www.w3.org/2001/XMLSchema-instance" xsi:type="dcterms:W3CDTF">2026-10-07T16:54:06Z</dcterms:modified>
</cp:coreProperties>
</file>