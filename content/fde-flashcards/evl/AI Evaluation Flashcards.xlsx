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cards'!$A$2:$BN$5</definedName>
    <definedName name="_xlnm._FilterDatabase" localSheetId="3" hidden="1">'Topic (56-pt) cards'!$A$2:$BB$29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AI Evaluation – Beginner to Advanced Flashcards</t>
        </is>
      </c>
    </row>
    <row r="2">
      <c r="A2" s="2" t="inlineStr">
        <is>
          <t>Subject: Evaluating LLM applications, RAG and agents   ·   Learner: Self learner, English   ·   Cards: 30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75.5" customHeight="1">
      <c r="A3" s="17" t="inlineStr">
        <is>
          <t>EVL-008</t>
        </is>
      </c>
      <c r="B3" s="17" t="inlineStr">
        <is>
          <t>02 Methods</t>
        </is>
      </c>
      <c r="C3" s="17" t="inlineStr">
        <is>
          <t>Intermediate</t>
        </is>
      </c>
      <c r="D3" s="17" t="n">
        <v>8</v>
      </c>
      <c r="E3" s="17" t="inlineStr">
        <is>
          <t>Claude knowledge</t>
        </is>
      </c>
      <c r="F3" s="18" t="inlineStr">
        <is>
          <t>Exact match and similarity</t>
        </is>
      </c>
      <c r="G3" s="18" t="inlineStr">
        <is>
          <t>Which automatic checks compare an output with a reference?</t>
        </is>
      </c>
      <c r="H3" s="17" t="n"/>
      <c r="I3" s="18" t="inlineStr">
        <is>
          <t>Metric</t>
        </is>
      </c>
      <c r="J3" s="18" t="inlineStr">
        <is>
          <t>High</t>
        </is>
      </c>
      <c r="K3" s="18" t="n">
        <v>4</v>
      </c>
      <c r="L3" s="18" t="inlineStr">
        <is>
          <t>For some tasks answers can be compared mechanically, which is fast and repeatable, though it works only where expected answers are narrow.</t>
        </is>
      </c>
      <c r="M3" s="18" t="inlineStr">
        <is>
          <t>Use exact match for labels and short answers, and semantic similarity or a judge for free text.</t>
        </is>
      </c>
      <c r="N3" s="17" t="n"/>
      <c r="O3" s="18" t="inlineStr">
        <is>
          <t>Exact match is a strict spelling test, and similarity is a test of meaning.</t>
        </is>
      </c>
      <c r="P3" s="18" t="inlineStr">
        <is>
          <t>Two short texts compared side by side with a score.</t>
        </is>
      </c>
      <c r="Q3" s="18" t="inlineStr">
        <is>
          <t>The speed of checks that run automatically.</t>
        </is>
      </c>
      <c r="R3" s="18" t="inlineStr">
        <is>
          <t>Exact match checks that the output equals the reference after normalisation, while similarity metrics such as embedding cosine, token overlap or ROUGE estimate how close the texts are.</t>
        </is>
      </c>
      <c r="S3" s="17" t="n"/>
      <c r="T3" s="19" t="inlineStr">
        <is>
          <t>import re
def normalise(s):
    return re.sub(r"\s+", " ", s.strip().lower())
def exact_match(pred, ref):
    return normalise(pred) == normalise(ref)
def token_overlap(pred, ref):
    a, b = set(normalise(pred).split()), set(normalise(ref).split())
    return len(a &amp; b) / max(1, len(a | b))
print(exact_match("Billing ", "billing"), round(token_overlap("refund in 7 days", "refunds take 7 days"), 2))</t>
        </is>
      </c>
      <c r="U3" s="19" t="inlineStr">
        <is>
          <t>True 0.33</t>
        </is>
      </c>
      <c r="V3" s="18" t="inlineStr">
        <is>
          <t>Exact match suits classification labels, extracted fields and numbers. For free text, overlap metrics reward the same words, not the same meaning, and can mislead. Embedding similarity captures meaning better, but needs thresholds and can miss factual differences such as numbers. Combine metrics with judge scores and human spot checks.</t>
        </is>
      </c>
      <c r="W3" s="18" t="inlineStr">
        <is>
          <t>Normalise, compare exactly for short answers, and use meaning-based scoring for free text.</t>
        </is>
      </c>
      <c r="X3" s="18" t="inlineStr">
        <is>
          <t>Exact match is a strict spelling test, and similarity is a test of meaning.</t>
        </is>
      </c>
      <c r="Y3" s="19" t="inlineStr">
        <is>
          <t>normalise(pred) == normalise(ref)</t>
        </is>
      </c>
      <c r="Z3" s="18" t="inlineStr">
        <is>
          <t>normalise = clean text | exact = equal | overlap = shared words | embedding = meaning distance</t>
        </is>
      </c>
      <c r="AA3" s="19" t="inlineStr">
        <is>
          <t>Label equals billing after lowercasing.</t>
        </is>
      </c>
      <c r="AB3" s="19" t="inlineStr">
        <is>
          <t>A total extracted as 4200 equals the reference.</t>
        </is>
      </c>
      <c r="AC3" s="19" t="inlineStr">
        <is>
          <t>A high similarity score for two answers with different numbers.</t>
        </is>
      </c>
      <c r="AD3" s="19" t="inlineStr">
        <is>
          <t>ROUGE or BLEU style overlap   // older text metrics</t>
        </is>
      </c>
      <c r="AE3" s="18" t="inlineStr">
        <is>
          <t>extraction, classification, regression tests</t>
        </is>
      </c>
      <c r="AF3" s="18" t="inlineStr">
        <is>
          <t>precision and recall, LLM-as-judge, golden datasets, rubrics</t>
        </is>
      </c>
      <c r="AG3" s="18" t="inlineStr">
        <is>
          <t>LLM-as-judge | human review</t>
        </is>
      </c>
      <c r="AH3" s="17" t="n"/>
      <c r="AI3" s="18" t="inlineStr">
        <is>
          <t>Classification | Extraction | Quick checks</t>
        </is>
      </c>
      <c r="AJ3" s="18" t="inlineStr">
        <is>
          <t>A: Two answers look similar but differ on the price. | B: Similarity missed the number, so add a rule for numbers.</t>
        </is>
      </c>
      <c r="AK3" s="18" t="inlineStr">
        <is>
          <t>✗ High similarity means a correct answer → ✓ Two texts can be similar and differ in a key fact</t>
        </is>
      </c>
      <c r="AL3" s="18" t="inlineStr">
        <is>
          <t>Exact match vs similarity: strict equality versus closeness.</t>
        </is>
      </c>
      <c r="AM3" s="18" t="inlineStr">
        <is>
          <t>Do not use word overlap alone for free text quality.</t>
        </is>
      </c>
      <c r="AN3" s="19" t="inlineStr">
        <is>
          <t>pred == ref   # without normalising</t>
        </is>
      </c>
      <c r="AO3" s="19" t="inlineStr">
        <is>
          <t>normalise(pred) == normalise(ref)</t>
        </is>
      </c>
      <c r="AP3" s="18" t="inlineStr">
        <is>
          <t>Always normalise the text first, then compare.</t>
        </is>
      </c>
      <c r="AQ3" s="18" t="inlineStr">
        <is>
          <t>Exact match on labels gave a fast daily check for a classifier.</t>
        </is>
      </c>
      <c r="AR3" s="18" t="inlineStr">
        <is>
          <t>An interviewer may ask: When is exact match a good metric?</t>
        </is>
      </c>
      <c r="AS3" s="18" t="inlineStr">
        <is>
          <t>It is like a spelling test versus a meaning test.</t>
        </is>
      </c>
      <c r="AT3" s="18" t="inlineStr">
        <is>
          <t>Where does exact match work best?</t>
        </is>
      </c>
      <c r="AU3" s="18" t="inlineStr">
        <is>
          <t>A) Jokes B) Short labels and fields C) Poems D) Long essays</t>
        </is>
      </c>
      <c r="AV3" s="18" t="inlineStr">
        <is>
          <t>B</t>
        </is>
      </c>
      <c r="AW3" s="18" t="inlineStr">
        <is>
          <t>Answers are narrow and well defined.</t>
        </is>
      </c>
      <c r="AX3" s="19" t="inlineStr">
        <is>
          <t>Cleaning text before comparing is ____ → normalisation</t>
        </is>
      </c>
      <c r="AY3" s="18" t="inlineStr">
        <is>
          <t>Compare two labels ignoring case and spaces.</t>
        </is>
      </c>
      <c r="AZ3" s="19" t="inlineStr">
        <is>
          <t>normalise(pred) == normalise(ref)</t>
        </is>
      </c>
      <c r="BA3" s="18" t="inlineStr">
        <is>
          <t>Choose a metric for extraction and one for summaries.</t>
        </is>
      </c>
      <c r="BB3" s="19" t="inlineStr">
        <is>
          <t>Why can similarity mislead?</t>
        </is>
      </c>
      <c r="BC3" s="19" t="inlineStr">
        <is>
          <t>Similar wording can hide different key facts.</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08" customHeight="1">
      <c r="A4" s="17" t="inlineStr">
        <is>
          <t>EVL-009</t>
        </is>
      </c>
      <c r="B4" s="17" t="inlineStr">
        <is>
          <t>02 Methods</t>
        </is>
      </c>
      <c r="C4" s="17" t="inlineStr">
        <is>
          <t>Intermediate</t>
        </is>
      </c>
      <c r="D4" s="17" t="n">
        <v>9</v>
      </c>
      <c r="E4" s="17" t="inlineStr">
        <is>
          <t>Claude knowledge</t>
        </is>
      </c>
      <c r="F4" s="18" t="inlineStr">
        <is>
          <t>Precision and recall</t>
        </is>
      </c>
      <c r="G4" s="18" t="inlineStr">
        <is>
          <t>Which two metrics show how clean and how complete the results are?</t>
        </is>
      </c>
      <c r="H4" s="17" t="n"/>
      <c r="I4" s="18" t="inlineStr">
        <is>
          <t>Metric</t>
        </is>
      </c>
      <c r="J4" s="18" t="inlineStr">
        <is>
          <t>Very high</t>
        </is>
      </c>
      <c r="K4" s="18" t="n">
        <v>5</v>
      </c>
      <c r="L4" s="18" t="inlineStr">
        <is>
          <t>Counting only correct answers hides different kinds of mistakes, so precision and recall separate false alarms from misses.</t>
        </is>
      </c>
      <c r="M4" s="18" t="inlineStr">
        <is>
          <t>Choose which matters more for the task, and report F1 when both matter.</t>
        </is>
      </c>
      <c r="N4" s="17" t="n"/>
      <c r="O4" s="18" t="inlineStr">
        <is>
          <t>Precision asks how many of your picks were right, and recall asks how many right ones you found.</t>
        </is>
      </c>
      <c r="P4" s="18" t="inlineStr">
        <is>
          <t>A circle of retrieved items overlapping a circle of relevant items.</t>
        </is>
      </c>
      <c r="Q4" s="18" t="inlineStr">
        <is>
          <t>The clarity of separating misses from false alarms.</t>
        </is>
      </c>
      <c r="R4" s="18" t="inlineStr">
        <is>
          <t>Precision is the share of predicted positives that are correct, recall is the share of actual positives that were found, and F1 is their harmonic mean.</t>
        </is>
      </c>
      <c r="S4" s="17" t="n"/>
      <c r="T4" s="19" t="inlineStr">
        <is>
          <t>tp, fp, fn = 40, 10, 20   # true positives, false positives, false negatives
precision = tp / (tp + fp)
recall = tp / (tp + fn)
f1 = 2 * precision * recall / (precision + recall)
print(round(precision, 2), round(recall, 2), round(f1, 2))</t>
        </is>
      </c>
      <c r="U4" s="19" t="inlineStr">
        <is>
          <t>0.8 0.67 0.73</t>
        </is>
      </c>
      <c r="V4" s="18" t="inlineStr">
        <is>
          <t>A spam filter that flags everything has full recall and poor precision. A cautious one has high precision and poor recall. Which matters depends on the cost of each error, such as missing a fraud case versus bothering a customer. For multi-class tasks, report per class and macro averages. For retrieval, recall at k and precision at k apply.</t>
        </is>
      </c>
      <c r="W4" s="18" t="inlineStr">
        <is>
          <t>Precision is how right the positives are, recall is how many positives you caught.</t>
        </is>
      </c>
      <c r="X4" s="18" t="inlineStr">
        <is>
          <t>Precision asks how many of your picks were right, and recall asks how many of the right ones you found.</t>
        </is>
      </c>
      <c r="Y4" s="19" t="inlineStr">
        <is>
          <t>precision = tp / (tp + fp) | recall = tp / (tp + fn)</t>
        </is>
      </c>
      <c r="Z4" s="18" t="inlineStr">
        <is>
          <t>tp = correct hits | fp = false alarms | fn = misses | F1 = balance</t>
        </is>
      </c>
      <c r="AA4" s="19" t="inlineStr">
        <is>
          <t>A classifier catching 40 of 60 urgent tickets.</t>
        </is>
      </c>
      <c r="AB4" s="19" t="inlineStr">
        <is>
          <t>A retriever returning five chunks, three relevant.</t>
        </is>
      </c>
      <c r="AC4" s="19" t="inlineStr">
        <is>
          <t>A fraud model tuned for high recall.</t>
        </is>
      </c>
      <c r="AD4" s="19" t="inlineStr">
        <is>
          <t>macro average over classes   // equal weight for each class</t>
        </is>
      </c>
      <c r="AE4" s="18" t="inlineStr">
        <is>
          <t>classification, retrieval, extraction</t>
        </is>
      </c>
      <c r="AF4" s="18" t="inlineStr">
        <is>
          <t>exact match and similarity, retrieval metrics, bias checks, test sets</t>
        </is>
      </c>
      <c r="AG4" s="18" t="inlineStr">
        <is>
          <t>Accuracy | ROC curves</t>
        </is>
      </c>
      <c r="AH4" s="17" t="n"/>
      <c r="AI4" s="18" t="inlineStr">
        <is>
          <t>Classifiers | Retrieval | Safety filters</t>
        </is>
      </c>
      <c r="AJ4" s="18" t="inlineStr">
        <is>
          <t>A: The filter blocks a lot of good messages. | B: Precision is low, so raise its threshold.</t>
        </is>
      </c>
      <c r="AK4" s="18" t="inlineStr">
        <is>
          <t>✗ Accuracy alone is enough → ✓ With rare positives, accuracy can look high while the model misses them</t>
        </is>
      </c>
      <c r="AL4" s="18" t="inlineStr">
        <is>
          <t>Precision vs recall: correctness of picks versus coverage of targets.</t>
        </is>
      </c>
      <c r="AM4" s="18" t="inlineStr">
        <is>
          <t>Do not report accuracy alone on imbalanced data.</t>
        </is>
      </c>
      <c r="AN4" s="19" t="inlineStr">
        <is>
          <t>accuracy = correct / total   # misleading when positives are rare</t>
        </is>
      </c>
      <c r="AO4" s="19" t="inlineStr">
        <is>
          <t>precision = tp / (tp + fp); recall = tp / (tp + fn)</t>
        </is>
      </c>
      <c r="AP4" s="18" t="inlineStr">
        <is>
          <t>Precision is purity, recall is coverage.</t>
        </is>
      </c>
      <c r="AQ4" s="18" t="inlineStr">
        <is>
          <t>Reporting recall for urgent tickets showed misses that accuracy had hidden.</t>
        </is>
      </c>
      <c r="AR4" s="18" t="inlineStr">
        <is>
          <t>An interviewer may ask: What is the difference between precision and recall?</t>
        </is>
      </c>
      <c r="AS4" s="18" t="inlineStr">
        <is>
          <t>It is like how right your picks were and how many you found.</t>
        </is>
      </c>
      <c r="AT4" s="18" t="inlineStr">
        <is>
          <t>What does recall measure?</t>
        </is>
      </c>
      <c r="AU4" s="18" t="inlineStr">
        <is>
          <t>A) Speed B) The share of correct predictions overall C) The share of actual positives found D) Cost</t>
        </is>
      </c>
      <c r="AV4" s="18" t="inlineStr">
        <is>
          <t>C</t>
        </is>
      </c>
      <c r="AW4" s="18" t="inlineStr">
        <is>
          <t>It counts misses.</t>
        </is>
      </c>
      <c r="AX4" s="19" t="inlineStr">
        <is>
          <t>The harmonic mean of precision and recall is ____ → F1</t>
        </is>
      </c>
      <c r="AY4" s="18" t="inlineStr">
        <is>
          <t>Compute recall from true positives and false negatives.</t>
        </is>
      </c>
      <c r="AZ4" s="19" t="inlineStr">
        <is>
          <t>recall = tp / (tp + fn)</t>
        </is>
      </c>
      <c r="BA4" s="18" t="inlineStr">
        <is>
          <t>Choose whether precision or recall matters more for three tasks.</t>
        </is>
      </c>
      <c r="BB4" s="19" t="inlineStr">
        <is>
          <t>Why is accuracy misleading when positives are rare?</t>
        </is>
      </c>
      <c r="BC4" s="19" t="inlineStr">
        <is>
          <t>A model that predicts none can still look accurate.</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270" customHeight="1">
      <c r="A5" s="17" t="inlineStr">
        <is>
          <t>EVL-027</t>
        </is>
      </c>
      <c r="B5" s="17" t="inlineStr">
        <is>
          <t>05 Practice</t>
        </is>
      </c>
      <c r="C5" s="17" t="inlineStr">
        <is>
          <t>Advanced</t>
        </is>
      </c>
      <c r="D5" s="17" t="n">
        <v>27</v>
      </c>
      <c r="E5" s="17" t="inlineStr">
        <is>
          <t>Claude knowledge</t>
        </is>
      </c>
      <c r="F5" s="18" t="inlineStr">
        <is>
          <t>Eval harness</t>
        </is>
      </c>
      <c r="G5" s="18" t="inlineStr">
        <is>
          <t>Which program runs your test cases through the system and records scores?</t>
        </is>
      </c>
      <c r="H5" s="17" t="n"/>
      <c r="I5" s="18" t="inlineStr">
        <is>
          <t>Tooling</t>
        </is>
      </c>
      <c r="J5" s="18" t="inlineStr">
        <is>
          <t>Very high</t>
        </is>
      </c>
      <c r="K5" s="18" t="n">
        <v>5</v>
      </c>
      <c r="L5" s="18" t="inlineStr">
        <is>
          <t>Manual testing does not scale or repeat, so a small program runs every case, scores it and stores results for comparison.</t>
        </is>
      </c>
      <c r="M5" s="18" t="inlineStr">
        <is>
          <t>Keep the harness simple and runnable in CI with one command.</t>
        </is>
      </c>
      <c r="N5" s="17" t="n"/>
      <c r="O5" s="18" t="inlineStr">
        <is>
          <t>An eval harness is a test bench that runs every version through the same course.</t>
        </is>
      </c>
      <c r="P5" s="18" t="inlineStr">
        <is>
          <t>Cases going in, scores and a report coming out.</t>
        </is>
      </c>
      <c r="Q5" s="18" t="inlineStr">
        <is>
          <t>The comfort of one command that checks everything.</t>
        </is>
      </c>
      <c r="R5" s="18" t="inlineStr">
        <is>
          <t>An eval harness loads a dataset, calls the system under test, applies scorers such as exact match or a judge, aggregates metrics by category and saves results with the versions used.</t>
        </is>
      </c>
      <c r="S5" s="17" t="n"/>
      <c r="T5" s="19" t="inlineStr">
        <is>
          <t>import json, time
def run_eval(dataset, system, scorers, version):
    rows = []
    for case in dataset:
        t0 = time.time()
        output = system(case["input"])
        scores = {name: fn(output, case) for name, fn in scorers.items()}
        rows.append({"id": case["id"], "category": case["category"], "latency_s": round(time.time() - t0, 3), **scores})
    summary = {}
    for name in scorers:
        summary[name] = sum(r[name] for r in rows) / len(rows)
    json.dump({"version": version, "summary": summary, "rows": rows}, open(f"results_{version}.json", "w"))
    return summary</t>
        </is>
      </c>
      <c r="U5" s="19" t="inlineStr">
        <is>
          <t>A saved results file with per-case rows and average scores for the named version.</t>
        </is>
      </c>
      <c r="V5" s="18" t="inlineStr">
        <is>
          <t>Store per-case results to compare versions case by case. Fix random seeds or set low temperature where possible, and repeat runs to measure noise. Mock external tools. Record prompt and model versions, dataset version and cost. Output a report with the biggest regressions first. Tools such as promptfoo, Ragas and custom scripts provide similar features.</t>
        </is>
      </c>
      <c r="W5" s="18" t="inlineStr">
        <is>
          <t>Load cases, run the system, score, save per-case results with versions, and compare.</t>
        </is>
      </c>
      <c r="X5" s="18" t="inlineStr">
        <is>
          <t>An eval harness is a test bench that runs every version through the same course.</t>
        </is>
      </c>
      <c r="Y5" s="19" t="inlineStr">
        <is>
          <t>for case in dataset: output = system(case.input); scores = scorers(output, case)</t>
        </is>
      </c>
      <c r="Z5" s="18" t="inlineStr">
        <is>
          <t>dataset = cases | system = what is tested | scorers = metrics | version = what ran</t>
        </is>
      </c>
      <c r="AA5" s="19" t="inlineStr">
        <is>
          <t>python run_eval.py --version v3</t>
        </is>
      </c>
      <c r="AB5" s="19" t="inlineStr">
        <is>
          <t>A report listing the ten biggest regressions.</t>
        </is>
      </c>
      <c r="AC5" s="19" t="inlineStr">
        <is>
          <t>Results saved per category.</t>
        </is>
      </c>
      <c r="AD5" s="19" t="inlineStr">
        <is>
          <t>promptfoo or Ragas   // ready-made evaluation tools</t>
        </is>
      </c>
      <c r="AE5" s="18" t="inlineStr">
        <is>
          <t>CI, test sets, regression tests</t>
        </is>
      </c>
      <c r="AF5" s="18" t="inlineStr">
        <is>
          <t>regression tests, prompt and model versioning, test sets, statistical care</t>
        </is>
      </c>
      <c r="AG5" s="18" t="inlineStr">
        <is>
          <t>Evaluation frameworks</t>
        </is>
      </c>
      <c r="AH5" s="17" t="n"/>
      <c r="AI5" s="18" t="inlineStr">
        <is>
          <t>CI pipelines | Prompt work | Model comparisons</t>
        </is>
      </c>
      <c r="AJ5" s="18" t="inlineStr">
        <is>
          <t>A: How do we check each prompt change? | B: Run the harness and look at the per-case differences.</t>
        </is>
      </c>
      <c r="AK5" s="18" t="inlineStr">
        <is>
          <t>✗ A harness must be complex → ✓ A small script that runs and saves cases is enough to start</t>
        </is>
      </c>
      <c r="AL5" s="18" t="inlineStr">
        <is>
          <t>Harness vs test set: one runs the tests, the other is the data.</t>
        </is>
      </c>
      <c r="AM5" s="18" t="inlineStr">
        <is>
          <t>Do not save only the average.</t>
        </is>
      </c>
      <c r="AN5" s="19" t="inlineStr">
        <is>
          <t>print(sum(scores) / len(scores))   # no per-case results</t>
        </is>
      </c>
      <c r="AO5" s="19" t="inlineStr">
        <is>
          <t>rows.append({"id": case["id"], **scores})</t>
        </is>
      </c>
      <c r="AP5" s="18" t="inlineStr">
        <is>
          <t>Save the cases, not only the average.</t>
        </is>
      </c>
      <c r="AQ5" s="18" t="inlineStr">
        <is>
          <t>A fifty-line harness in CI caught regressions on every prompt change.</t>
        </is>
      </c>
      <c r="AR5" s="18" t="inlineStr">
        <is>
          <t>An interviewer may ask: What does an eval harness do?</t>
        </is>
      </c>
      <c r="AS5" s="18" t="inlineStr">
        <is>
          <t>It is like a test bench.</t>
        </is>
      </c>
      <c r="AT5" s="18" t="inlineStr">
        <is>
          <t>What should a harness save besides averages?</t>
        </is>
      </c>
      <c r="AU5" s="18" t="inlineStr">
        <is>
          <t>A) Only the cost B) Only the date C) Nothing D) Per-case results and versions</t>
        </is>
      </c>
      <c r="AV5" s="18" t="inlineStr">
        <is>
          <t>D</t>
        </is>
      </c>
      <c r="AW5" s="18" t="inlineStr">
        <is>
          <t>Comparisons need case detail and version info.</t>
        </is>
      </c>
      <c r="AX5" s="19" t="inlineStr">
        <is>
          <t>A harness is often run in ____ on each change → CI</t>
        </is>
      </c>
      <c r="AY5" s="18" t="inlineStr">
        <is>
          <t>Save results with the version name.</t>
        </is>
      </c>
      <c r="AZ5" s="19" t="inlineStr">
        <is>
          <t>json.dump({"version": version, "rows": rows}, open(f"results_{version}.json", "w"))</t>
        </is>
      </c>
      <c r="BA5" s="18" t="inlineStr">
        <is>
          <t>Outline a harness for a RAG assistant.</t>
        </is>
      </c>
      <c r="BB5" s="19" t="inlineStr">
        <is>
          <t>Why store per-case results?</t>
        </is>
      </c>
      <c r="BC5" s="19" t="inlineStr">
        <is>
          <t>To see which cases got worse.</t>
        </is>
      </c>
      <c r="BD5" s="17">
        <f>IF(K5="","",REPT("★",K5)&amp;REPT("☆",5-K5)&amp;" ("&amp;K5&amp;"/5)")</f>
        <v/>
      </c>
      <c r="BE5" s="17">
        <f>IF(S5="","","Meaning: "&amp;S5&amp;"  =  ______   (Answer: "&amp;F5&amp;")")</f>
        <v/>
      </c>
      <c r="BF5" s="17" t="inlineStr">
        <is>
          <t>New</t>
        </is>
      </c>
      <c r="BG5" s="17" t="n"/>
      <c r="BH5" s="17" t="n"/>
      <c r="BI5" s="17" t="n"/>
      <c r="BJ5" s="17" t="n"/>
      <c r="BK5" s="17" t="n"/>
      <c r="BL5" s="17" t="n"/>
      <c r="BM5" s="17" t="n"/>
      <c r="BN5" s="17" t="n"/>
    </row>
  </sheetData>
  <autoFilter ref="A2:BN5"/>
  <mergeCells count="6">
    <mergeCell ref="AT1:BC1"/>
    <mergeCell ref="BD1:BE1"/>
    <mergeCell ref="F1:Q1"/>
    <mergeCell ref="A1:E1"/>
    <mergeCell ref="BF1:BN1"/>
    <mergeCell ref="R1:AS1"/>
  </mergeCells>
  <dataValidations count="2">
    <dataValidation sqref="BF3:BF5" showDropDown="0" showInputMessage="0" showErrorMessage="0" allowBlank="1" type="list">
      <formula1>"New,Learning,Known"</formula1>
    </dataValidation>
    <dataValidation sqref="BM3:BM5"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EVL-008</t>
        </is>
      </c>
    </row>
    <row r="4">
      <c r="A4" s="23" t="inlineStr">
        <is>
          <t>FRONT · Recognition (pehchano)</t>
        </is>
      </c>
    </row>
    <row r="5" ht="30" customHeight="1">
      <c r="A5" s="24" t="inlineStr">
        <is>
          <t>ID</t>
        </is>
      </c>
      <c r="B5" s="17">
        <f>INDEX('Code concept (56-pt) cards'!$A$3:$BN$5,MATCH($B$2,'Code concept (56-pt) cards'!$A$3:$A$5,0),MATCH("ID",'Code concept (56-pt) cards'!$A$2:$BN$2,0))&amp;""</f>
        <v/>
      </c>
    </row>
    <row r="6" ht="30" customHeight="1">
      <c r="A6" s="24" t="inlineStr">
        <is>
          <t>Topic</t>
        </is>
      </c>
      <c r="B6" s="17">
        <f>INDEX('Code concept (56-pt) cards'!$A$3:$BN$5,MATCH($B$2,'Code concept (56-pt) cards'!$A$3:$A$5,0),MATCH("Topic",'Code concept (56-pt) cards'!$A$2:$BN$2,0))&amp;""</f>
        <v/>
      </c>
    </row>
    <row r="7" ht="30" customHeight="1">
      <c r="A7" s="24" t="inlineStr">
        <is>
          <t>Level</t>
        </is>
      </c>
      <c r="B7" s="17">
        <f>INDEX('Code concept (56-pt) cards'!$A$3:$BN$5,MATCH($B$2,'Code concept (56-pt) cards'!$A$3:$A$5,0),MATCH("Level",'Code concept (56-pt) cards'!$A$2:$BN$2,0))&amp;""</f>
        <v/>
      </c>
    </row>
    <row r="8" ht="30" customHeight="1">
      <c r="A8" s="24" t="inlineStr">
        <is>
          <t>Concept</t>
        </is>
      </c>
      <c r="B8" s="17">
        <f>INDEX('Code concept (56-pt) cards'!$A$3:$BN$5,MATCH($B$2,'Code concept (56-pt) cards'!$A$3:$A$5,0),MATCH("Concept",'Code concept (56-pt) cards'!$A$2:$BN$2,0))&amp;""</f>
        <v/>
      </c>
    </row>
    <row r="9" ht="30" customHeight="1">
      <c r="A9" s="24" t="inlineStr">
        <is>
          <t>Recall cue</t>
        </is>
      </c>
      <c r="B9" s="17">
        <f>INDEX('Code concept (56-pt) cards'!$A$3:$BN$5,MATCH($B$2,'Code concept (56-pt) cards'!$A$3:$A$5,0),MATCH("Recall cue",'Code concept (56-pt) cards'!$A$2:$BN$2,0))&amp;""</f>
        <v/>
      </c>
    </row>
    <row r="10" ht="30" customHeight="1">
      <c r="A10" s="24" t="inlineStr">
        <is>
          <t>Read aloud</t>
        </is>
      </c>
      <c r="B10" s="17">
        <f>INDEX('Code concept (56-pt) cards'!$A$3:$BN$5,MATCH($B$2,'Code concept (56-pt) cards'!$A$3:$A$5,0),MATCH("Read aloud",'Code concept (56-pt) cards'!$A$2:$BN$2,0))&amp;""</f>
        <v/>
      </c>
    </row>
    <row r="11" ht="30" customHeight="1">
      <c r="A11" s="24" t="inlineStr">
        <is>
          <t>Type</t>
        </is>
      </c>
      <c r="B11" s="17">
        <f>INDEX('Code concept (56-pt) cards'!$A$3:$BN$5,MATCH($B$2,'Code concept (56-pt) cards'!$A$3:$A$5,0),MATCH("Type",'Code concept (56-pt) cards'!$A$2:$BN$2,0))&amp;""</f>
        <v/>
      </c>
    </row>
    <row r="12" ht="30" customHeight="1">
      <c r="A12" s="24" t="inlineStr">
        <is>
          <t>How often used</t>
        </is>
      </c>
      <c r="B12" s="17">
        <f>INDEX('Code concept (56-pt) cards'!$A$3:$BN$5,MATCH($B$2,'Code concept (56-pt) cards'!$A$3:$A$5,0),MATCH("How often used",'Code concept (56-pt) cards'!$A$2:$BN$2,0))&amp;""</f>
        <v/>
      </c>
    </row>
    <row r="13" ht="30" customHeight="1">
      <c r="A13" s="24" t="inlineStr">
        <is>
          <t>Importance (1-5)</t>
        </is>
      </c>
      <c r="B13" s="17">
        <f>INDEX('Code concept (56-pt) cards'!$A$3:$BN$5,MATCH($B$2,'Code concept (56-pt) cards'!$A$3:$A$5,0),MATCH("Importance (1-5)",'Code concept (56-pt) cards'!$A$2:$BN$2,0))&amp;""</f>
        <v/>
      </c>
    </row>
    <row r="14" ht="30" customHeight="1">
      <c r="A14" s="24" t="inlineStr">
        <is>
          <t>Origin / why it exists</t>
        </is>
      </c>
      <c r="B14" s="17">
        <f>INDEX('Code concept (56-pt) cards'!$A$3:$BN$5,MATCH($B$2,'Code concept (56-pt) cards'!$A$3:$A$5,0),MATCH("Origin / why it exists",'Code concept (56-pt) cards'!$A$2:$BN$2,0))&amp;""</f>
        <v/>
      </c>
    </row>
    <row r="15" ht="30" customHeight="1">
      <c r="A15" s="24" t="inlineStr">
        <is>
          <t>Pro tip</t>
        </is>
      </c>
      <c r="B15" s="17">
        <f>INDEX('Code concept (56-pt) cards'!$A$3:$BN$5,MATCH($B$2,'Code concept (56-pt) cards'!$A$3:$A$5,0),MATCH("Pro tip",'Code concept (56-pt) cards'!$A$2:$BN$2,0))&amp;""</f>
        <v/>
      </c>
    </row>
    <row r="16" ht="30" customHeight="1">
      <c r="A16" s="24" t="inlineStr">
        <is>
          <t>Typing hint</t>
        </is>
      </c>
      <c r="B16" s="17">
        <f>INDEX('Code concept (56-pt) cards'!$A$3:$BN$5,MATCH($B$2,'Code concept (56-pt) cards'!$A$3:$A$5,0),MATCH("Typing hint",'Code concept (56-pt) cards'!$A$2:$BN$2,0))&amp;""</f>
        <v/>
      </c>
    </row>
    <row r="17" ht="30" customHeight="1">
      <c r="A17" s="24" t="inlineStr">
        <is>
          <t>Memory story</t>
        </is>
      </c>
      <c r="B17" s="17">
        <f>INDEX('Code concept (56-pt) cards'!$A$3:$BN$5,MATCH($B$2,'Code concept (56-pt) cards'!$A$3:$A$5,0),MATCH("Memory story",'Code concept (56-pt) cards'!$A$2:$BN$2,0))&amp;""</f>
        <v/>
      </c>
    </row>
    <row r="18" ht="30" customHeight="1">
      <c r="A18" s="24" t="inlineStr">
        <is>
          <t>Picture it</t>
        </is>
      </c>
      <c r="B18" s="17">
        <f>INDEX('Code concept (56-pt) cards'!$A$3:$BN$5,MATCH($B$2,'Code concept (56-pt) cards'!$A$3:$A$5,0),MATCH("Picture it",'Code concept (56-pt) cards'!$A$2:$BN$2,0))&amp;""</f>
        <v/>
      </c>
    </row>
    <row r="19" ht="30" customHeight="1">
      <c r="A19" s="24" t="inlineStr">
        <is>
          <t>Emotion hook</t>
        </is>
      </c>
      <c r="B19" s="17">
        <f>INDEX('Code concept (56-pt) cards'!$A$3:$BN$5,MATCH($B$2,'Code concept (56-pt) cards'!$A$3:$A$5,0),MATCH("Emotion hook",'Code concept (56-pt) cards'!$A$2:$BN$2,0))&amp;""</f>
        <v/>
      </c>
    </row>
    <row r="20" ht="30" customHeight="1">
      <c r="A20" s="24" t="inlineStr">
        <is>
          <t>Importance ★</t>
        </is>
      </c>
      <c r="B20" s="17">
        <f>INDEX('Code concept (56-pt) cards'!$A$3:$BN$5,MATCH($B$2,'Code concept (56-pt) cards'!$A$3:$A$5,0),MATCH("Importance ★",'Code concept (56-pt) cards'!$A$2:$BN$2,0))&amp;""</f>
        <v/>
      </c>
    </row>
    <row r="21">
      <c r="A21" s="25" t="inlineStr">
        <is>
          <t>BACK · Understanding (samjho)</t>
        </is>
      </c>
    </row>
    <row r="22" ht="30" customHeight="1">
      <c r="A22" s="24" t="inlineStr">
        <is>
          <t>Meaning (short)</t>
        </is>
      </c>
      <c r="B22" s="17">
        <f>INDEX('Code concept (56-pt) cards'!$A$3:$BN$5,MATCH($B$2,'Code concept (56-pt) cards'!$A$3:$A$5,0),MATCH("Meaning (short)",'Code concept (56-pt) cards'!$A$2:$BN$2,0))&amp;""</f>
        <v/>
      </c>
    </row>
    <row r="23" ht="30" customHeight="1">
      <c r="A23" s="24" t="inlineStr">
        <is>
          <t>Meaning in learner's language</t>
        </is>
      </c>
      <c r="B23" s="17">
        <f>INDEX('Code concept (56-pt) cards'!$A$3:$BN$5,MATCH($B$2,'Code concept (56-pt) cards'!$A$3:$A$5,0),MATCH("Meaning in learner's language",'Code concept (56-pt) cards'!$A$2:$BN$2,0))&amp;""</f>
        <v/>
      </c>
    </row>
    <row r="24" ht="202.5" customHeight="1">
      <c r="A24" s="24" t="inlineStr">
        <is>
          <t>Code</t>
        </is>
      </c>
      <c r="B24" s="26">
        <f>INDEX('Code concept (56-pt) cards'!$A$3:$BN$5,MATCH($B$2,'Code concept (56-pt) cards'!$A$3:$A$5,0),MATCH("Code",'Code concept (56-pt) cards'!$A$2:$BN$2,0))&amp;""</f>
        <v/>
      </c>
    </row>
    <row r="25" ht="30" customHeight="1">
      <c r="A25" s="24" t="inlineStr">
        <is>
          <t>Output</t>
        </is>
      </c>
      <c r="B25" s="26">
        <f>INDEX('Code concept (56-pt) cards'!$A$3:$BN$5,MATCH($B$2,'Code concept (56-pt) cards'!$A$3:$A$5,0),MATCH("Output",'Code concept (56-pt) cards'!$A$2:$BN$2,0))&amp;""</f>
        <v/>
      </c>
    </row>
    <row r="26" ht="54" customHeight="1">
      <c r="A26" s="24" t="inlineStr">
        <is>
          <t>Explanation</t>
        </is>
      </c>
      <c r="B26" s="17">
        <f>INDEX('Code concept (56-pt) cards'!$A$3:$BN$5,MATCH($B$2,'Code concept (56-pt) cards'!$A$3:$A$5,0),MATCH("Explanation",'Code concept (56-pt) cards'!$A$2:$BN$2,0))&amp;""</f>
        <v/>
      </c>
    </row>
    <row r="27" ht="30" customHeight="1">
      <c r="A27" s="24" t="inlineStr">
        <is>
          <t>Simple explanation (Hinglish)</t>
        </is>
      </c>
      <c r="B27" s="17">
        <f>INDEX('Code concept (56-pt) cards'!$A$3:$BN$5,MATCH($B$2,'Code concept (56-pt) cards'!$A$3:$A$5,0),MATCH("Simple explanation (Hinglish)",'Code concept (56-pt) cards'!$A$2:$BN$2,0))&amp;""</f>
        <v/>
      </c>
    </row>
    <row r="28" ht="30" customHeight="1">
      <c r="A28" s="24" t="inlineStr">
        <is>
          <t>Real-life analogy</t>
        </is>
      </c>
      <c r="B28" s="17">
        <f>INDEX('Code concept (56-pt) cards'!$A$3:$BN$5,MATCH($B$2,'Code concept (56-pt) cards'!$A$3:$A$5,0),MATCH("Real-life analogy",'Code concept (56-pt) cards'!$A$2:$BN$2,0))&amp;""</f>
        <v/>
      </c>
    </row>
    <row r="29" ht="30" customHeight="1">
      <c r="A29" s="24" t="inlineStr">
        <is>
          <t>Syntax pattern</t>
        </is>
      </c>
      <c r="B29" s="26">
        <f>INDEX('Code concept (56-pt) cards'!$A$3:$BN$5,MATCH($B$2,'Code concept (56-pt) cards'!$A$3:$A$5,0),MATCH("Syntax pattern",'Code concept (56-pt) cards'!$A$2:$BN$2,0))&amp;""</f>
        <v/>
      </c>
    </row>
    <row r="30" ht="30" customHeight="1">
      <c r="A30" s="24" t="inlineStr">
        <is>
          <t>Anatomy</t>
        </is>
      </c>
      <c r="B30" s="17">
        <f>INDEX('Code concept (56-pt) cards'!$A$3:$BN$5,MATCH($B$2,'Code concept (56-pt) cards'!$A$3:$A$5,0),MATCH("Anatomy",'Code concept (56-pt) cards'!$A$2:$BN$2,0))&amp;""</f>
        <v/>
      </c>
    </row>
    <row r="31" ht="30" customHeight="1">
      <c r="A31" s="24" t="inlineStr">
        <is>
          <t>Example 1</t>
        </is>
      </c>
      <c r="B31" s="26">
        <f>INDEX('Code concept (56-pt) cards'!$A$3:$BN$5,MATCH($B$2,'Code concept (56-pt) cards'!$A$3:$A$5,0),MATCH("Example 1",'Code concept (56-pt) cards'!$A$2:$BN$2,0))&amp;""</f>
        <v/>
      </c>
    </row>
    <row r="32" ht="30" customHeight="1">
      <c r="A32" s="24" t="inlineStr">
        <is>
          <t>Example 2</t>
        </is>
      </c>
      <c r="B32" s="26">
        <f>INDEX('Code concept (56-pt) cards'!$A$3:$BN$5,MATCH($B$2,'Code concept (56-pt) cards'!$A$3:$A$5,0),MATCH("Example 2",'Code concept (56-pt) cards'!$A$2:$BN$2,0))&amp;""</f>
        <v/>
      </c>
    </row>
    <row r="33" ht="30" customHeight="1">
      <c r="A33" s="24" t="inlineStr">
        <is>
          <t>Example 3</t>
        </is>
      </c>
      <c r="B33" s="26">
        <f>INDEX('Code concept (56-pt) cards'!$A$3:$BN$5,MATCH($B$2,'Code concept (56-pt) cards'!$A$3:$A$5,0),MATCH("Example 3",'Code concept (56-pt) cards'!$A$2:$BN$2,0))&amp;""</f>
        <v/>
      </c>
    </row>
    <row r="34" ht="30" customHeight="1">
      <c r="A34" s="24" t="inlineStr">
        <is>
          <t>Variation</t>
        </is>
      </c>
      <c r="B34" s="26">
        <f>INDEX('Code concept (56-pt) cards'!$A$3:$BN$5,MATCH($B$2,'Code concept (56-pt) cards'!$A$3:$A$5,0),MATCH("Variation",'Code concept (56-pt) cards'!$A$2:$BN$2,0))&amp;""</f>
        <v/>
      </c>
    </row>
    <row r="35" ht="30" customHeight="1">
      <c r="A35" s="24" t="inlineStr">
        <is>
          <t>Used with</t>
        </is>
      </c>
      <c r="B35" s="17">
        <f>INDEX('Code concept (56-pt) cards'!$A$3:$BN$5,MATCH($B$2,'Code concept (56-pt) cards'!$A$3:$A$5,0),MATCH("Used with",'Code concept (56-pt) cards'!$A$2:$BN$2,0))&amp;""</f>
        <v/>
      </c>
    </row>
    <row r="36" ht="30" customHeight="1">
      <c r="A36" s="24" t="inlineStr">
        <is>
          <t>Related concepts</t>
        </is>
      </c>
      <c r="B36" s="17">
        <f>INDEX('Code concept (56-pt) cards'!$A$3:$BN$5,MATCH($B$2,'Code concept (56-pt) cards'!$A$3:$A$5,0),MATCH("Related concepts",'Code concept (56-pt) cards'!$A$2:$BN$2,0))&amp;""</f>
        <v/>
      </c>
    </row>
    <row r="37" ht="30" customHeight="1">
      <c r="A37" s="24" t="inlineStr">
        <is>
          <t>Alternatives</t>
        </is>
      </c>
      <c r="B37" s="17">
        <f>INDEX('Code concept (56-pt) cards'!$A$3:$BN$5,MATCH($B$2,'Code concept (56-pt) cards'!$A$3:$A$5,0),MATCH("Alternatives",'Code concept (56-pt) cards'!$A$2:$BN$2,0))&amp;""</f>
        <v/>
      </c>
    </row>
    <row r="38" ht="30" customHeight="1">
      <c r="A38" s="24" t="inlineStr">
        <is>
          <t>Family / group</t>
        </is>
      </c>
      <c r="B38" s="17">
        <f>INDEX('Code concept (56-pt) cards'!$A$3:$BN$5,MATCH($B$2,'Code concept (56-pt) cards'!$A$3:$A$5,0),MATCH("Family / group",'Code concept (56-pt) cards'!$A$2:$BN$2,0))&amp;""</f>
        <v/>
      </c>
    </row>
    <row r="39" ht="30" customHeight="1">
      <c r="A39" s="24" t="inlineStr">
        <is>
          <t>Where it is used</t>
        </is>
      </c>
      <c r="B39" s="17">
        <f>INDEX('Code concept (56-pt) cards'!$A$3:$BN$5,MATCH($B$2,'Code concept (56-pt) cards'!$A$3:$A$5,0),MATCH("Where it is used",'Code concept (56-pt) cards'!$A$2:$BN$2,0))&amp;""</f>
        <v/>
      </c>
    </row>
    <row r="40" ht="30" customHeight="1">
      <c r="A40" s="24" t="inlineStr">
        <is>
          <t>Mini conversation</t>
        </is>
      </c>
      <c r="B40" s="17">
        <f>INDEX('Code concept (56-pt) cards'!$A$3:$BN$5,MATCH($B$2,'Code concept (56-pt) cards'!$A$3:$A$5,0),MATCH("Mini conversation",'Code concept (56-pt) cards'!$A$2:$BN$2,0))&amp;""</f>
        <v/>
      </c>
    </row>
    <row r="41" ht="30" customHeight="1">
      <c r="A41" s="24" t="inlineStr">
        <is>
          <t>Common mistake</t>
        </is>
      </c>
      <c r="B41" s="17">
        <f>INDEX('Code concept (56-pt) cards'!$A$3:$BN$5,MATCH($B$2,'Code concept (56-pt) cards'!$A$3:$A$5,0),MATCH("Common mistake",'Code concept (56-pt) cards'!$A$2:$BN$2,0))&amp;""</f>
        <v/>
      </c>
    </row>
    <row r="42" ht="30" customHeight="1">
      <c r="A42" s="24" t="inlineStr">
        <is>
          <t>Commonly confused with</t>
        </is>
      </c>
      <c r="B42" s="17">
        <f>INDEX('Code concept (56-pt) cards'!$A$3:$BN$5,MATCH($B$2,'Code concept (56-pt) cards'!$A$3:$A$5,0),MATCH("Commonly confused with",'Code concept (56-pt) cards'!$A$2:$BN$2,0))&amp;""</f>
        <v/>
      </c>
    </row>
    <row r="43" ht="30" customHeight="1">
      <c r="A43" s="24" t="inlineStr">
        <is>
          <t>Avoid / don't</t>
        </is>
      </c>
      <c r="B43" s="17">
        <f>INDEX('Code concept (56-pt) cards'!$A$3:$BN$5,MATCH($B$2,'Code concept (56-pt) cards'!$A$3:$A$5,0),MATCH("Avoid / don't",'Code concept (56-pt) cards'!$A$2:$BN$2,0))&amp;""</f>
        <v/>
      </c>
    </row>
    <row r="44" ht="30" customHeight="1">
      <c r="A44" s="24" t="inlineStr">
        <is>
          <t>Wrong code</t>
        </is>
      </c>
      <c r="B44" s="26">
        <f>INDEX('Code concept (56-pt) cards'!$A$3:$BN$5,MATCH($B$2,'Code concept (56-pt) cards'!$A$3:$A$5,0),MATCH("Wrong code",'Code concept (56-pt) cards'!$A$2:$BN$2,0))&amp;""</f>
        <v/>
      </c>
    </row>
    <row r="45" ht="30" customHeight="1">
      <c r="A45" s="24" t="inlineStr">
        <is>
          <t>Right code</t>
        </is>
      </c>
      <c r="B45" s="26">
        <f>INDEX('Code concept (56-pt) cards'!$A$3:$BN$5,MATCH($B$2,'Code concept (56-pt) cards'!$A$3:$A$5,0),MATCH("Right code",'Code concept (56-pt) cards'!$A$2:$BN$2,0))&amp;""</f>
        <v/>
      </c>
    </row>
    <row r="46" ht="30" customHeight="1">
      <c r="A46" s="24" t="inlineStr">
        <is>
          <t>Memory trick</t>
        </is>
      </c>
      <c r="B46" s="17">
        <f>INDEX('Code concept (56-pt) cards'!$A$3:$BN$5,MATCH($B$2,'Code concept (56-pt) cards'!$A$3:$A$5,0),MATCH("Memory trick",'Code concept (56-pt) cards'!$A$2:$BN$2,0))&amp;""</f>
        <v/>
      </c>
    </row>
    <row r="47" ht="30" customHeight="1">
      <c r="A47" s="24" t="inlineStr">
        <is>
          <t>Real life: project / work</t>
        </is>
      </c>
      <c r="B47" s="17">
        <f>INDEX('Code concept (56-pt) cards'!$A$3:$BN$5,MATCH($B$2,'Code concept (56-pt) cards'!$A$3:$A$5,0),MATCH("Real life: project / work",'Code concept (56-pt) cards'!$A$2:$BN$2,0))&amp;""</f>
        <v/>
      </c>
    </row>
    <row r="48" ht="30" customHeight="1">
      <c r="A48" s="24" t="inlineStr">
        <is>
          <t>Real life: interview / exam</t>
        </is>
      </c>
      <c r="B48" s="17">
        <f>INDEX('Code concept (56-pt) cards'!$A$3:$BN$5,MATCH($B$2,'Code concept (56-pt) cards'!$A$3:$A$5,0),MATCH("Real life: interview / exam",'Code concept (56-pt) cards'!$A$2:$BN$2,0))&amp;""</f>
        <v/>
      </c>
    </row>
    <row r="49" ht="30" customHeight="1">
      <c r="A49" s="24" t="inlineStr">
        <is>
          <t>Real life: daily life</t>
        </is>
      </c>
      <c r="B49" s="17">
        <f>INDEX('Code concept (56-pt) cards'!$A$3:$BN$5,MATCH($B$2,'Code concept (56-pt) cards'!$A$3:$A$5,0),MATCH("Real life: daily life",'Code concept (56-pt) cards'!$A$2:$BN$2,0))&amp;""</f>
        <v/>
      </c>
    </row>
    <row r="50">
      <c r="A50" s="27" t="inlineStr">
        <is>
          <t>PRACTICE · Khud karo</t>
        </is>
      </c>
    </row>
    <row r="51" ht="30" customHeight="1">
      <c r="A51" s="24" t="inlineStr">
        <is>
          <t>MCQ question</t>
        </is>
      </c>
      <c r="B51" s="17">
        <f>INDEX('Code concept (56-pt) cards'!$A$3:$BN$5,MATCH($B$2,'Code concept (56-pt) cards'!$A$3:$A$5,0),MATCH("MCQ question",'Code concept (56-pt) cards'!$A$2:$BN$2,0))&amp;""</f>
        <v/>
      </c>
    </row>
    <row r="52" ht="30" customHeight="1">
      <c r="A52" s="24" t="inlineStr">
        <is>
          <t>MCQ options</t>
        </is>
      </c>
      <c r="B52" s="17">
        <f>INDEX('Code concept (56-pt) cards'!$A$3:$BN$5,MATCH($B$2,'Code concept (56-pt) cards'!$A$3:$A$5,0),MATCH("MCQ options",'Code concept (56-pt) cards'!$A$2:$BN$2,0))&amp;""</f>
        <v/>
      </c>
    </row>
    <row r="53" ht="30" customHeight="1">
      <c r="A53" s="24" t="inlineStr">
        <is>
          <t>MCQ answer</t>
        </is>
      </c>
      <c r="B53" s="17">
        <f>INDEX('Code concept (56-pt) cards'!$A$3:$BN$5,MATCH($B$2,'Code concept (56-pt) cards'!$A$3:$A$5,0),MATCH("MCQ answer",'Code concept (56-pt) cards'!$A$2:$BN$2,0))&amp;""</f>
        <v/>
      </c>
    </row>
    <row r="54" ht="30" customHeight="1">
      <c r="A54" s="24" t="inlineStr">
        <is>
          <t>Why that answer</t>
        </is>
      </c>
      <c r="B54" s="17">
        <f>INDEX('Code concept (56-pt) cards'!$A$3:$BN$5,MATCH($B$2,'Code concept (56-pt) cards'!$A$3:$A$5,0),MATCH("Why that answer",'Code concept (56-pt) cards'!$A$2:$BN$2,0))&amp;""</f>
        <v/>
      </c>
    </row>
    <row r="55" ht="30" customHeight="1">
      <c r="A55" s="24" t="inlineStr">
        <is>
          <t>Fill the blank</t>
        </is>
      </c>
      <c r="B55" s="26">
        <f>INDEX('Code concept (56-pt) cards'!$A$3:$BN$5,MATCH($B$2,'Code concept (56-pt) cards'!$A$3:$A$5,0),MATCH("Fill the blank",'Code concept (56-pt) cards'!$A$2:$BN$2,0))&amp;""</f>
        <v/>
      </c>
    </row>
    <row r="56" ht="30" customHeight="1">
      <c r="A56" s="24" t="inlineStr">
        <is>
          <t>Try it yourself</t>
        </is>
      </c>
      <c r="B56" s="17">
        <f>INDEX('Code concept (56-pt) cards'!$A$3:$BN$5,MATCH($B$2,'Code concept (56-pt) cards'!$A$3:$A$5,0),MATCH("Try it yourself",'Code concept (56-pt) cards'!$A$2:$BN$2,0))&amp;""</f>
        <v/>
      </c>
    </row>
    <row r="57" ht="30" customHeight="1">
      <c r="A57" s="24" t="inlineStr">
        <is>
          <t>Task answer</t>
        </is>
      </c>
      <c r="B57" s="26">
        <f>INDEX('Code concept (56-pt) cards'!$A$3:$BN$5,MATCH($B$2,'Code concept (56-pt) cards'!$A$3:$A$5,0),MATCH("Task answer",'Code concept (56-pt) cards'!$A$2:$BN$2,0))&amp;""</f>
        <v/>
      </c>
    </row>
    <row r="58" ht="30" customHeight="1">
      <c r="A58" s="24" t="inlineStr">
        <is>
          <t>Write your own</t>
        </is>
      </c>
      <c r="B58" s="17">
        <f>INDEX('Code concept (56-pt) cards'!$A$3:$BN$5,MATCH($B$2,'Code concept (56-pt) cards'!$A$3:$A$5,0),MATCH("Write your own",'Code concept (56-pt) cards'!$A$2:$BN$2,0))&amp;""</f>
        <v/>
      </c>
    </row>
    <row r="59" ht="30" customHeight="1">
      <c r="A59" s="24" t="inlineStr">
        <is>
          <t>Practice question</t>
        </is>
      </c>
      <c r="B59" s="26">
        <f>INDEX('Code concept (56-pt) cards'!$A$3:$BN$5,MATCH($B$2,'Code concept (56-pt) cards'!$A$3:$A$5,0),MATCH("Practice question",'Code concept (56-pt) cards'!$A$2:$BN$2,0))&amp;""</f>
        <v/>
      </c>
    </row>
    <row r="60" ht="30" customHeight="1">
      <c r="A60" s="24" t="inlineStr">
        <is>
          <t>Practice answer</t>
        </is>
      </c>
      <c r="B60" s="26">
        <f>INDEX('Code concept (56-pt) cards'!$A$3:$BN$5,MATCH($B$2,'Code concept (56-pt) cards'!$A$3:$A$5,0),MATCH("Practice answer",'Code concept (56-pt) cards'!$A$2:$BN$2,0))&amp;""</f>
        <v/>
      </c>
    </row>
    <row r="61" ht="30" customHeight="1">
      <c r="A61" s="24" t="inlineStr">
        <is>
          <t>Quick recall (reverse)</t>
        </is>
      </c>
      <c r="B61" s="17">
        <f>INDEX('Code concept (56-pt) cards'!$A$3:$BN$5,MATCH($B$2,'Code concept (56-pt) cards'!$A$3:$A$5,0),MATCH("Quick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2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08" customHeight="1">
      <c r="A3" s="17" t="inlineStr">
        <is>
          <t>EVL-001</t>
        </is>
      </c>
      <c r="B3" s="17" t="inlineStr">
        <is>
          <t>01 Ideas</t>
        </is>
      </c>
      <c r="C3" s="17" t="inlineStr">
        <is>
          <t>Beginner</t>
        </is>
      </c>
      <c r="D3" s="17" t="n">
        <v>1</v>
      </c>
      <c r="E3" s="17" t="inlineStr">
        <is>
          <t>Claude knowledge</t>
        </is>
      </c>
      <c r="F3" s="18" t="inlineStr">
        <is>
          <t>Why evaluate</t>
        </is>
      </c>
      <c r="G3" s="18" t="inlineStr">
        <is>
          <t>Why must AI applications be tested with measurements and not by feel?</t>
        </is>
      </c>
      <c r="H3" s="18" t="inlineStr">
        <is>
          <t>Core concept</t>
        </is>
      </c>
      <c r="I3" s="18" t="inlineStr">
        <is>
          <t>Very high</t>
        </is>
      </c>
      <c r="J3" s="18" t="n">
        <v>5</v>
      </c>
      <c r="K3" s="18" t="inlineStr">
        <is>
          <t>AI outputs vary and failures are subtle, so teams that only try a few examples ship problems that appear later with real users.</t>
        </is>
      </c>
      <c r="L3" s="18" t="inlineStr">
        <is>
          <t>Define what good means before building, then measure it from the first prototype.</t>
        </is>
      </c>
      <c r="M3" s="18" t="inlineStr">
        <is>
          <t>Evaluation is the scoreboard that tells you whether a change really helped.</t>
        </is>
      </c>
      <c r="N3" s="18" t="inlineStr">
        <is>
          <t>A scoreboard comparing two versions on the same questions.</t>
        </is>
      </c>
      <c r="O3" s="18" t="inlineStr">
        <is>
          <t>The confidence of decisions backed by numbers.</t>
        </is>
      </c>
      <c r="P3" s="18" t="inlineStr">
        <is>
          <t>Evaluation is the systematic measurement of how well an AI system performs on defined tasks, using test cases, metrics and reviews, so changes can be compared and risks found early.</t>
        </is>
      </c>
      <c r="Q3" s="17" t="n"/>
      <c r="R3" s="18" t="inlineStr">
        <is>
          <t>Without evaluation, changes to prompts, models or retrieval are guesses. A good evaluation covers typical cases, hard cases and failures. It supports choosing models, catching regressions, setting release gates and reporting quality to customers. It does not need to be big at first, since fifty good examples are better than none.</t>
        </is>
      </c>
      <c r="S3" s="18" t="inlineStr">
        <is>
          <t>Measure quality on a fixed set of cases so you can compare changes and find problems early.</t>
        </is>
      </c>
      <c r="T3" s="18" t="inlineStr">
        <is>
          <t>Evaluation is the scoreboard that tells you whether a change helped.</t>
        </is>
      </c>
      <c r="U3" s="18" t="inlineStr">
        <is>
          <t>Cases + metrics + comparison = evidence.</t>
        </is>
      </c>
      <c r="V3" s="18" t="inlineStr">
        <is>
          <t>Comparing two prompts on the same fifty questions.</t>
        </is>
      </c>
      <c r="W3" s="18" t="inlineStr">
        <is>
          <t>Blocking a release that lowers accuracy.</t>
        </is>
      </c>
      <c r="X3" s="18" t="inlineStr">
        <is>
          <t>Choosing a cheaper model after testing.</t>
        </is>
      </c>
      <c r="Y3" s="18" t="inlineStr">
        <is>
          <t>test sets, regression tests, what good means, eval harness</t>
        </is>
      </c>
      <c r="Z3" s="18" t="inlineStr">
        <is>
          <t>evaluation, metric, benchmark, regression, evidence</t>
        </is>
      </c>
      <c r="AA3" s="18" t="inlineStr">
        <is>
          <t>Every AI project | Releases | Customer reports</t>
        </is>
      </c>
      <c r="AB3" s="18" t="inlineStr">
        <is>
          <t>A: Is the new prompt better? | B: Run both on the test set and compare the scores.</t>
        </is>
      </c>
      <c r="AC3" s="18" t="inlineStr">
        <is>
          <t>✗ A few good demo answers show the system works → ✓ Demos hide failures that tests on many cases expose</t>
        </is>
      </c>
      <c r="AD3" s="18" t="inlineStr">
        <is>
          <t>Demo vs evaluation: a demo shows the best case, evaluation shows the spread.</t>
        </is>
      </c>
      <c r="AE3" s="18" t="inlineStr">
        <is>
          <t>Do not judge changes by a handful of examples.</t>
        </is>
      </c>
      <c r="AF3" s="18" t="inlineStr">
        <is>
          <t>Measure before you claim better.</t>
        </is>
      </c>
      <c r="AG3" s="18" t="inlineStr">
        <is>
          <t>A fifty question test set showed a prompt change had hurt accuracy that a demo had hidden.</t>
        </is>
      </c>
      <c r="AH3" s="18" t="inlineStr">
        <is>
          <t>An interviewer may ask: How do you know your LLM feature is good?</t>
        </is>
      </c>
      <c r="AI3" s="18" t="inlineStr">
        <is>
          <t>It is like a scoreboard for versions.</t>
        </is>
      </c>
      <c r="AJ3" s="18" t="inlineStr">
        <is>
          <t>Why evaluate AI systems?</t>
        </is>
      </c>
      <c r="AK3" s="18" t="inlineStr">
        <is>
          <t>A) To avoid testing B) To compare changes with evidence C) To raise costs D) To make demos longer</t>
        </is>
      </c>
      <c r="AL3" s="18" t="inlineStr">
        <is>
          <t>B</t>
        </is>
      </c>
      <c r="AM3" s="18" t="inlineStr">
        <is>
          <t>Numbers show whether a change helped.</t>
        </is>
      </c>
      <c r="AN3" s="18" t="inlineStr">
        <is>
          <t>A drop in quality after a change is a ____ → regression</t>
        </is>
      </c>
      <c r="AO3" s="18" t="inlineStr">
        <is>
          <t>You changed the prompt. How do you know if it helped? → Run the same test set and compare scores</t>
        </is>
      </c>
      <c r="AP3" s="18" t="inlineStr">
        <is>
          <t>Explain why evaluation matters in three lines.</t>
        </is>
      </c>
      <c r="AQ3" s="18" t="inlineStr">
        <is>
          <t>List three decisions that an evaluation can support.</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94.5" customHeight="1">
      <c r="A4" s="17" t="inlineStr">
        <is>
          <t>EVL-002</t>
        </is>
      </c>
      <c r="B4" s="17" t="inlineStr">
        <is>
          <t>01 Ideas</t>
        </is>
      </c>
      <c r="C4" s="17" t="inlineStr">
        <is>
          <t>Intermediate</t>
        </is>
      </c>
      <c r="D4" s="17" t="n">
        <v>2</v>
      </c>
      <c r="E4" s="17" t="inlineStr">
        <is>
          <t>Claude knowledge</t>
        </is>
      </c>
      <c r="F4" s="18" t="inlineStr">
        <is>
          <t>Offline vs online evaluation</t>
        </is>
      </c>
      <c r="G4" s="18" t="inlineStr">
        <is>
          <t>Which two settings test quality before release and after users arrive?</t>
        </is>
      </c>
      <c r="H4" s="18" t="inlineStr">
        <is>
          <t>Core concept</t>
        </is>
      </c>
      <c r="I4" s="18" t="inlineStr">
        <is>
          <t>High</t>
        </is>
      </c>
      <c r="J4" s="18" t="n">
        <v>5</v>
      </c>
      <c r="K4" s="18" t="inlineStr">
        <is>
          <t>Some problems are caught with fixed tests, and others appear only with real users, so both kinds of evaluation are needed.</t>
        </is>
      </c>
      <c r="L4" s="18" t="inlineStr">
        <is>
          <t>Use offline tests as a gate and online signals to learn what tests missed.</t>
        </is>
      </c>
      <c r="M4" s="18" t="inlineStr">
        <is>
          <t>Offline evaluation is the rehearsal, and online evaluation is the live performance review.</t>
        </is>
      </c>
      <c r="N4" s="18" t="inlineStr">
        <is>
          <t>A test lab on one side and a live dashboard on the other.</t>
        </is>
      </c>
      <c r="O4" s="18" t="inlineStr">
        <is>
          <t>The assurance of testing in both places.</t>
        </is>
      </c>
      <c r="P4" s="18" t="inlineStr">
        <is>
          <t>Offline evaluation runs a system on a fixed dataset before release, while online evaluation measures behaviour with real traffic through feedback, experiments and monitoring.</t>
        </is>
      </c>
      <c r="Q4" s="17" t="n"/>
      <c r="R4" s="18" t="inlineStr">
        <is>
          <t>Offline tests are repeatable, cheap and safe, but may not reflect real questions. Online signals such as thumbs, edits, retries and task completion show real value, but are noisy and risky if the system is bad. Failures found online become new offline test cases. A/B tests compare versions on live traffic.</t>
        </is>
      </c>
      <c r="S4" s="18" t="inlineStr">
        <is>
          <t>Test offline before release, watch online after, and feed what you learn back into the tests.</t>
        </is>
      </c>
      <c r="T4" s="18" t="inlineStr">
        <is>
          <t>Offline evaluation is the rehearsal, and online evaluation is the live performance review.</t>
        </is>
      </c>
      <c r="U4" s="18" t="inlineStr">
        <is>
          <t>Offline gate + online learning loop.</t>
        </is>
      </c>
      <c r="V4" s="18" t="inlineStr">
        <is>
          <t>A nightly run on a golden dataset.</t>
        </is>
      </c>
      <c r="W4" s="18" t="inlineStr">
        <is>
          <t>Tracking thumbs-down rates after launch.</t>
        </is>
      </c>
      <c r="X4" s="18" t="inlineStr">
        <is>
          <t>A failed live question added to the test set.</t>
        </is>
      </c>
      <c r="Y4" s="18" t="inlineStr">
        <is>
          <t>test sets, A/B tests, feedback loops, drift monitoring</t>
        </is>
      </c>
      <c r="Z4" s="18" t="inlineStr">
        <is>
          <t>offline, online, traffic, feedback, experiment</t>
        </is>
      </c>
      <c r="AA4" s="18" t="inlineStr">
        <is>
          <t>Release processes | Product teams | Monitoring</t>
        </is>
      </c>
      <c r="AB4" s="18" t="inlineStr">
        <is>
          <t>A: Tests pass but users complain. | B: The test set misses real questions, so add the failures to it.</t>
        </is>
      </c>
      <c r="AC4" s="18" t="inlineStr">
        <is>
          <t>✗ Offline scores guarantee online success → ✓ Real users bring cases the dataset lacks</t>
        </is>
      </c>
      <c r="AD4" s="18" t="inlineStr">
        <is>
          <t>Offline vs online: repeatable and safe versus realistic and noisy.</t>
        </is>
      </c>
      <c r="AE4" s="18" t="inlineStr">
        <is>
          <t>Do not release on offline scores alone for high-risk systems.</t>
        </is>
      </c>
      <c r="AF4" s="18" t="inlineStr">
        <is>
          <t>Rehearse offline first, then review online.</t>
        </is>
      </c>
      <c r="AG4" s="18" t="inlineStr">
        <is>
          <t>Adding live failures to the test set raised offline tests' usefulness.</t>
        </is>
      </c>
      <c r="AH4" s="18" t="inlineStr">
        <is>
          <t>An interviewer may ask: What is the difference between offline and online evaluation?</t>
        </is>
      </c>
      <c r="AI4" s="18" t="inlineStr">
        <is>
          <t>It is like a rehearsal and a live review.</t>
        </is>
      </c>
      <c r="AJ4" s="18" t="inlineStr">
        <is>
          <t>Which is an online signal?</t>
        </is>
      </c>
      <c r="AK4" s="18" t="inlineStr">
        <is>
          <t>A) A golden dataset score B) A unit test C) User thumbs-down D) A rubric</t>
        </is>
      </c>
      <c r="AL4" s="18" t="inlineStr">
        <is>
          <t>C</t>
        </is>
      </c>
      <c r="AM4" s="18" t="inlineStr">
        <is>
          <t>It comes from real use.</t>
        </is>
      </c>
      <c r="AN4" s="18" t="inlineStr">
        <is>
          <t>A test comparing two versions on live traffic is an ____ test → A/B</t>
        </is>
      </c>
      <c r="AO4" s="18" t="inlineStr">
        <is>
          <t>Users report problems that tests missed. What do you do? → Add those cases to the offline set</t>
        </is>
      </c>
      <c r="AP4" s="18" t="inlineStr">
        <is>
          <t>Explain offline and online evaluation in three lines.</t>
        </is>
      </c>
      <c r="AQ4" s="18" t="inlineStr">
        <is>
          <t>List two offline and two online metrics for a support bot.</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08" customHeight="1">
      <c r="A5" s="17" t="inlineStr">
        <is>
          <t>EVL-003</t>
        </is>
      </c>
      <c r="B5" s="17" t="inlineStr">
        <is>
          <t>01 Ideas</t>
        </is>
      </c>
      <c r="C5" s="17" t="inlineStr">
        <is>
          <t>Beginner</t>
        </is>
      </c>
      <c r="D5" s="17" t="n">
        <v>3</v>
      </c>
      <c r="E5" s="17" t="inlineStr">
        <is>
          <t>Claude knowledge</t>
        </is>
      </c>
      <c r="F5" s="18" t="inlineStr">
        <is>
          <t>Test sets</t>
        </is>
      </c>
      <c r="G5" s="18" t="inlineStr">
        <is>
          <t>Which collections of examples are used to measure quality?</t>
        </is>
      </c>
      <c r="H5" s="18" t="inlineStr">
        <is>
          <t>Core concept</t>
        </is>
      </c>
      <c r="I5" s="18" t="inlineStr">
        <is>
          <t>Very high</t>
        </is>
      </c>
      <c r="J5" s="18" t="n">
        <v>5</v>
      </c>
      <c r="K5" s="18" t="inlineStr">
        <is>
          <t>Fair comparisons need the same cases each time, so teams keep a fixed collection of inputs and expected qualities.</t>
        </is>
      </c>
      <c r="L5" s="18" t="inlineStr">
        <is>
          <t>Build from real user questions, include hard cases, and keep a held-out part you never tune on.</t>
        </is>
      </c>
      <c r="M5" s="18" t="inlineStr">
        <is>
          <t>A test set is the exam paper that every version must sit.</t>
        </is>
      </c>
      <c r="N5" s="18" t="inlineStr">
        <is>
          <t>A table of inputs, expectations and categories.</t>
        </is>
      </c>
      <c r="O5" s="18" t="inlineStr">
        <is>
          <t>The satisfaction of a stable benchmark.</t>
        </is>
      </c>
      <c r="P5" s="18" t="inlineStr">
        <is>
          <t>A test set is a collection of representative inputs, each with expected answers, reference material or criteria, used repeatedly to measure and compare system versions.</t>
        </is>
      </c>
      <c r="Q5" s="17" t="n"/>
      <c r="R5" s="18" t="inlineStr">
        <is>
          <t>Sources are real logs, expert-written cases and carefully generated variations that are reviewed. Cover common tasks, edge cases, out-of-scope questions and known failures. Label categories to analyse weak areas. Keep a separate held-out set to detect overfitting to the test. Update it as the product changes, with versioning.</t>
        </is>
      </c>
      <c r="S5" s="18" t="inlineStr">
        <is>
          <t>Collect real and hard cases with expectations, keep it versioned, and hold some back.</t>
        </is>
      </c>
      <c r="T5" s="18" t="inlineStr">
        <is>
          <t>A test set is the exam paper that every version must sit.</t>
        </is>
      </c>
      <c r="U5" s="18" t="inlineStr">
        <is>
          <t>Representative + hard + versioned + held-out.</t>
        </is>
      </c>
      <c r="V5" s="18" t="inlineStr">
        <is>
          <t>A hundred real support questions with ideal answers.</t>
        </is>
      </c>
      <c r="W5" s="18" t="inlineStr">
        <is>
          <t>Out-of-scope questions expecting a refusal.</t>
        </is>
      </c>
      <c r="X5" s="18" t="inlineStr">
        <is>
          <t>A held-out set of twenty cases.</t>
        </is>
      </c>
      <c r="Y5" s="18" t="inlineStr">
        <is>
          <t>golden datasets, regression tests, what good means, sampling</t>
        </is>
      </c>
      <c r="Z5" s="18" t="inlineStr">
        <is>
          <t>test set, held-out, coverage, label, version</t>
        </is>
      </c>
      <c r="AA5" s="18" t="inlineStr">
        <is>
          <t>Evaluation | Prompt work | Model selection</t>
        </is>
      </c>
      <c r="AB5" s="18" t="inlineStr">
        <is>
          <t>A: The score is high but I only tuned on those questions. | B: Use a held-out set to check for overfitting.</t>
        </is>
      </c>
      <c r="AC5" s="18" t="inlineStr">
        <is>
          <t>✗ A test set made only of easy cases is enough → ✓ Hard and rare cases show real weaknesses</t>
        </is>
      </c>
      <c r="AD5" s="18" t="inlineStr">
        <is>
          <t>Test set vs training data: tests measure, training teaches.</t>
        </is>
      </c>
      <c r="AE5" s="18" t="inlineStr">
        <is>
          <t>Do not tune repeatedly on the same cases without a held-out set.</t>
        </is>
      </c>
      <c r="AF5" s="18" t="inlineStr">
        <is>
          <t>Real cases, hard cases, held-out cases.</t>
        </is>
      </c>
      <c r="AG5" s="18" t="inlineStr">
        <is>
          <t>A held-out set revealed that tuning had overfitted the main test questions.</t>
        </is>
      </c>
      <c r="AH5" s="18" t="inlineStr">
        <is>
          <t>An interviewer may ask: How do you build a good test set?</t>
        </is>
      </c>
      <c r="AI5" s="18" t="inlineStr">
        <is>
          <t>It is like an exam paper every version sits.</t>
        </is>
      </c>
      <c r="AJ5" s="18" t="inlineStr">
        <is>
          <t>What does a held-out set prevent?</t>
        </is>
      </c>
      <c r="AK5" s="18" t="inlineStr">
        <is>
          <t>A) Overfitting to the test cases B) Slow servers C) Long prompts D) High cost</t>
        </is>
      </c>
      <c r="AL5" s="18" t="inlineStr">
        <is>
          <t>A</t>
        </is>
      </c>
      <c r="AM5" s="18" t="inlineStr">
        <is>
          <t>It stays unseen during tuning.</t>
        </is>
      </c>
      <c r="AN5" s="18" t="inlineStr">
        <is>
          <t>Reserved data never used for tuning is ____ → held-out</t>
        </is>
      </c>
      <c r="AO5" s="18" t="inlineStr">
        <is>
          <t>You tuned many times on one set. How do you check honesty? → Test on a held-out set</t>
        </is>
      </c>
      <c r="AP5" s="18" t="inlineStr">
        <is>
          <t>Explain test sets in three lines.</t>
        </is>
      </c>
      <c r="AQ5" s="18" t="inlineStr">
        <is>
          <t>Outline a test set for a policy assistant.</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08" customHeight="1">
      <c r="A6" s="17" t="inlineStr">
        <is>
          <t>EVL-004</t>
        </is>
      </c>
      <c r="B6" s="17" t="inlineStr">
        <is>
          <t>01 Ideas</t>
        </is>
      </c>
      <c r="C6" s="17" t="inlineStr">
        <is>
          <t>Intermediate</t>
        </is>
      </c>
      <c r="D6" s="17" t="n">
        <v>4</v>
      </c>
      <c r="E6" s="17" t="inlineStr">
        <is>
          <t>Claude knowledge</t>
        </is>
      </c>
      <c r="F6" s="18" t="inlineStr">
        <is>
          <t>Regression tests</t>
        </is>
      </c>
      <c r="G6" s="18" t="inlineStr">
        <is>
          <t>Which tests make sure a change does not break what already worked?</t>
        </is>
      </c>
      <c r="H6" s="18" t="inlineStr">
        <is>
          <t>Core concept</t>
        </is>
      </c>
      <c r="I6" s="18" t="inlineStr">
        <is>
          <t>Very high</t>
        </is>
      </c>
      <c r="J6" s="18" t="n">
        <v>5</v>
      </c>
      <c r="K6" s="18" t="inlineStr">
        <is>
          <t>Fixing one problem often breaks another, so earlier successes and past failures are kept as tests that run on every change.</t>
        </is>
      </c>
      <c r="L6" s="18" t="inlineStr">
        <is>
          <t>Turn every real failure into a test case once you fix it.</t>
        </is>
      </c>
      <c r="M6" s="18" t="inlineStr">
        <is>
          <t>Regression tests are the alarm that rings when an old bug returns.</t>
        </is>
      </c>
      <c r="N6" s="18" t="inlineStr">
        <is>
          <t>A list of past cases with pass and fail marks per version.</t>
        </is>
      </c>
      <c r="O6" s="18" t="inlineStr">
        <is>
          <t>The comfort of changes that are safe to make.</t>
        </is>
      </c>
      <c r="P6" s="18" t="inlineStr">
        <is>
          <t>Regression tests re-run a stable set of cases after each change to prompts, models, retrieval or code, to detect drops in quality compared with a baseline.</t>
        </is>
      </c>
      <c r="Q6" s="17" t="n"/>
      <c r="R6" s="18" t="inlineStr">
        <is>
          <t>Keep a baseline score per case and category, and flag cases that got worse, not only the average. Include previously fixed failures. Run automatically in CI where affordable, sampling if costly. Allow small noise margins since outputs vary. Review differences, since some changes are improvements to expectations.</t>
        </is>
      </c>
      <c r="S6" s="18" t="inlineStr">
        <is>
          <t>Re-run old cases after every change and look at what got worse.</t>
        </is>
      </c>
      <c r="T6" s="18" t="inlineStr">
        <is>
          <t>Regression tests are the alarm that rings when an old bug returns.</t>
        </is>
      </c>
      <c r="U6" s="18" t="inlineStr">
        <is>
          <t>Baseline vs new, per case, flagged when worse.</t>
        </is>
      </c>
      <c r="V6" s="18" t="inlineStr">
        <is>
          <t>A fixed refund question that must keep passing.</t>
        </is>
      </c>
      <c r="W6" s="18" t="inlineStr">
        <is>
          <t>An average that rose while one category fell.</t>
        </is>
      </c>
      <c r="X6" s="18" t="inlineStr">
        <is>
          <t>A CI job running twenty key cases.</t>
        </is>
      </c>
      <c r="Y6" s="18" t="inlineStr">
        <is>
          <t>test sets, eval harness, prompt versioning, golden datasets</t>
        </is>
      </c>
      <c r="Z6" s="18" t="inlineStr">
        <is>
          <t>regression, baseline, CI, noise, flag</t>
        </is>
      </c>
      <c r="AA6" s="18" t="inlineStr">
        <is>
          <t>CI pipelines | Prompt changes | Model upgrades</t>
        </is>
      </c>
      <c r="AB6" s="18" t="inlineStr">
        <is>
          <t>A: The average improved, is it safe? | B: Check per-case results, since one category may have dropped.</t>
        </is>
      </c>
      <c r="AC6" s="18" t="inlineStr">
        <is>
          <t>✗ If the average score rose, nothing broke → ✓ Specific cases can get worse while the average improves</t>
        </is>
      </c>
      <c r="AD6" s="18" t="inlineStr">
        <is>
          <t>Average vs per-case view: summary versus detail.</t>
        </is>
      </c>
      <c r="AE6" s="18" t="inlineStr">
        <is>
          <t>Do not look only at the average.</t>
        </is>
      </c>
      <c r="AF6" s="18" t="inlineStr">
        <is>
          <t>Track cases, not only averages.</t>
        </is>
      </c>
      <c r="AG6" s="18" t="inlineStr">
        <is>
          <t>Per-case comparison revealed a prompt change broke refusals despite a better average.</t>
        </is>
      </c>
      <c r="AH6" s="18" t="inlineStr">
        <is>
          <t>An interviewer may ask: How do you prevent regressions in LLM apps?</t>
        </is>
      </c>
      <c r="AI6" s="18" t="inlineStr">
        <is>
          <t>It is like an alarm for returning bugs.</t>
        </is>
      </c>
      <c r="AJ6" s="18" t="inlineStr">
        <is>
          <t>What should become a regression test?</t>
        </is>
      </c>
      <c r="AK6" s="18" t="inlineStr">
        <is>
          <t>A) Nothing B) Random text C) Only demos D) Every fixed real failure</t>
        </is>
      </c>
      <c r="AL6" s="18" t="inlineStr">
        <is>
          <t>D</t>
        </is>
      </c>
      <c r="AM6" s="18" t="inlineStr">
        <is>
          <t>It prevents repeat of the same mistake.</t>
        </is>
      </c>
      <c r="AN6" s="18" t="inlineStr">
        <is>
          <t>The scores of the current version used for comparison are the ____ → baseline</t>
        </is>
      </c>
      <c r="AO6" s="18" t="inlineStr">
        <is>
          <t>A new prompt raises the average. What else do you check? → Per-case regressions</t>
        </is>
      </c>
      <c r="AP6" s="18" t="inlineStr">
        <is>
          <t>Explain regression tests in three lines.</t>
        </is>
      </c>
      <c r="AQ6" s="18" t="inlineStr">
        <is>
          <t>Choose five cases that must never regress.</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EVL-005</t>
        </is>
      </c>
      <c r="B7" s="17" t="inlineStr">
        <is>
          <t>01 Ideas</t>
        </is>
      </c>
      <c r="C7" s="17" t="inlineStr">
        <is>
          <t>Beginner</t>
        </is>
      </c>
      <c r="D7" s="17" t="n">
        <v>5</v>
      </c>
      <c r="E7" s="17" t="inlineStr">
        <is>
          <t>Claude knowledge</t>
        </is>
      </c>
      <c r="F7" s="18" t="inlineStr">
        <is>
          <t>What good means</t>
        </is>
      </c>
      <c r="G7" s="18" t="inlineStr">
        <is>
          <t>How do you define quality for an AI feature before measuring it?</t>
        </is>
      </c>
      <c r="H7" s="18" t="inlineStr">
        <is>
          <t>Core concept</t>
        </is>
      </c>
      <c r="I7" s="18" t="inlineStr">
        <is>
          <t>Very high</t>
        </is>
      </c>
      <c r="J7" s="18" t="n">
        <v>5</v>
      </c>
      <c r="K7" s="18" t="inlineStr">
        <is>
          <t>Teams argue about quality because nobody wrote down what good means for their users and risks.</t>
        </is>
      </c>
      <c r="L7" s="18" t="inlineStr">
        <is>
          <t>Write criteria as concrete, checkable statements with examples of pass and fail.</t>
        </is>
      </c>
      <c r="M7" s="18" t="inlineStr">
        <is>
          <t>Defining good is writing the marking scheme before the exam.</t>
        </is>
      </c>
      <c r="N7" s="18" t="inlineStr">
        <is>
          <t>A checklist of several criteria, each with an example.</t>
        </is>
      </c>
      <c r="O7" s="18" t="inlineStr">
        <is>
          <t>The clarity of a shared standard.</t>
        </is>
      </c>
      <c r="P7" s="18" t="inlineStr">
        <is>
          <t>Defining good means writing the dimensions of quality for the task, such as correctness, completeness, faithfulness, tone, safety, latency and cost, with thresholds and examples that reviewers and tests can apply.</t>
        </is>
      </c>
      <c r="Q7" s="17" t="n"/>
      <c r="R7" s="18" t="inlineStr">
        <is>
          <t>Start from the user's goal and the cost of errors. A medical question stresses accuracy and safety, while a brainstorm stresses variety. Rank criteria by importance and set minimum levels. Provide pass and fail examples so reviewers agree. Revisit as the product evolves. Different customers may have different standards.</t>
        </is>
      </c>
      <c r="S7" s="18" t="inlineStr">
        <is>
          <t>Write the quality dimensions, the minimum levels and examples before you measure.</t>
        </is>
      </c>
      <c r="T7" s="18" t="inlineStr">
        <is>
          <t>Defining good is writing the marking scheme before the exam.</t>
        </is>
      </c>
      <c r="U7" s="18" t="inlineStr">
        <is>
          <t>Goals + criteria + thresholds + examples.</t>
        </is>
      </c>
      <c r="V7" s="18" t="inlineStr">
        <is>
          <t>Answers must be correct and cite a source.</t>
        </is>
      </c>
      <c r="W7" s="18" t="inlineStr">
        <is>
          <t>Replies under five seconds for ninety-five percent of requests.</t>
        </is>
      </c>
      <c r="X7" s="18" t="inlineStr">
        <is>
          <t>A pass and fail example for tone.</t>
        </is>
      </c>
      <c r="Y7" s="18" t="inlineStr">
        <is>
          <t>rubrics, human review, test sets, cost and latency</t>
        </is>
      </c>
      <c r="Z7" s="18" t="inlineStr">
        <is>
          <t>criteria, threshold, dimension, standard, rubric</t>
        </is>
      </c>
      <c r="AA7" s="18" t="inlineStr">
        <is>
          <t>Project start | Customer agreements | Reviews</t>
        </is>
      </c>
      <c r="AB7" s="18" t="inlineStr">
        <is>
          <t>A: We cannot agree if the bot is good. | B: Write the criteria and thresholds first.</t>
        </is>
      </c>
      <c r="AC7" s="18" t="inlineStr">
        <is>
          <t>✗ Quality is obvious when you see it → ✓ Without written criteria, people disagree</t>
        </is>
      </c>
      <c r="AD7" s="18" t="inlineStr">
        <is>
          <t>Vague quality vs written criteria: opinion versus a standard.</t>
        </is>
      </c>
      <c r="AE7" s="18" t="inlineStr">
        <is>
          <t>Do not start measuring without defining good.</t>
        </is>
      </c>
      <c r="AF7" s="18" t="inlineStr">
        <is>
          <t>Write the marking scheme first.</t>
        </is>
      </c>
      <c r="AG7" s="18" t="inlineStr">
        <is>
          <t>Written criteria ended debates and allowed objective release decisions.</t>
        </is>
      </c>
      <c r="AH7" s="18" t="inlineStr">
        <is>
          <t>An interviewer may ask: How do you define quality for an LLM feature?</t>
        </is>
      </c>
      <c r="AI7" s="18" t="inlineStr">
        <is>
          <t>It is like writing the marking scheme.</t>
        </is>
      </c>
      <c r="AJ7" s="18" t="inlineStr">
        <is>
          <t>What should be agreed first?</t>
        </is>
      </c>
      <c r="AK7" s="18" t="inlineStr">
        <is>
          <t>A) Criteria and thresholds B) The font C) The server D) The logo</t>
        </is>
      </c>
      <c r="AL7" s="18" t="inlineStr">
        <is>
          <t>A</t>
        </is>
      </c>
      <c r="AM7" s="18" t="inlineStr">
        <is>
          <t>Measurement needs a standard.</t>
        </is>
      </c>
      <c r="AN7" s="18" t="inlineStr">
        <is>
          <t>Minimum acceptable levels are ____ → thresholds</t>
        </is>
      </c>
      <c r="AO7" s="18" t="inlineStr">
        <is>
          <t>Reviewers disagree on answers. What do you write? → Criteria with pass and fail examples</t>
        </is>
      </c>
      <c r="AP7" s="18" t="inlineStr">
        <is>
          <t>Explain what good means in three lines.</t>
        </is>
      </c>
      <c r="AQ7" s="18" t="inlineStr">
        <is>
          <t>Write five criteria for a support assistant.</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94.5" customHeight="1">
      <c r="A8" s="17" t="inlineStr">
        <is>
          <t>EVL-006</t>
        </is>
      </c>
      <c r="B8" s="17" t="inlineStr">
        <is>
          <t>02 Methods</t>
        </is>
      </c>
      <c r="C8" s="17" t="inlineStr">
        <is>
          <t>Intermediate</t>
        </is>
      </c>
      <c r="D8" s="17" t="n">
        <v>6</v>
      </c>
      <c r="E8" s="17" t="inlineStr">
        <is>
          <t>Claude knowledge</t>
        </is>
      </c>
      <c r="F8" s="18" t="inlineStr">
        <is>
          <t>Golden datasets</t>
        </is>
      </c>
      <c r="G8" s="18" t="inlineStr">
        <is>
          <t>Which carefully labelled datasets act as the trusted reference for evaluation?</t>
        </is>
      </c>
      <c r="H8" s="18" t="inlineStr">
        <is>
          <t>Core concept</t>
        </is>
      </c>
      <c r="I8" s="18" t="inlineStr">
        <is>
          <t>High</t>
        </is>
      </c>
      <c r="J8" s="18" t="n">
        <v>5</v>
      </c>
      <c r="K8" s="18" t="inlineStr">
        <is>
          <t>Reliable scoring needs trusted answers, so experts create and review a small high-quality dataset.</t>
        </is>
      </c>
      <c r="L8" s="18" t="inlineStr">
        <is>
          <t>Prefer a small, reviewed dataset over a large unchecked one.</t>
        </is>
      </c>
      <c r="M8" s="18" t="inlineStr">
        <is>
          <t>A golden dataset is the master answer key checked by experts.</t>
        </is>
      </c>
      <c r="N8" s="18" t="inlineStr">
        <is>
          <t>A list of inputs with expert-approved reference answers beside them.</t>
        </is>
      </c>
      <c r="O8" s="18" t="inlineStr">
        <is>
          <t>The trust of a reliable reference.</t>
        </is>
      </c>
      <c r="P8" s="18" t="inlineStr">
        <is>
          <t>A golden dataset is a curated set of inputs paired with verified reference answers, evidence or labels, created or reviewed by domain experts and used as the benchmark for scoring.</t>
        </is>
      </c>
      <c r="Q8" s="17" t="n"/>
      <c r="R8" s="18" t="inlineStr">
        <is>
          <t>Quality matters more than size. Cover major tasks and failure types. Record who labelled each item and when. Resolve disagreements between reviewers. Keep it versioned and protected from leaking into prompts or training. Update it when policies change. Use it for regression tests and model comparisons.</t>
        </is>
      </c>
      <c r="S8" s="18" t="inlineStr">
        <is>
          <t>Build a small expert-checked answer key and keep it clean and versioned.</t>
        </is>
      </c>
      <c r="T8" s="18" t="inlineStr">
        <is>
          <t>A golden dataset is the master answer key checked by experts.</t>
        </is>
      </c>
      <c r="U8" s="18" t="inlineStr">
        <is>
          <t>Curated inputs + verified answers + versioning.</t>
        </is>
      </c>
      <c r="V8" s="18" t="inlineStr">
        <is>
          <t>Eighty questions with expert-approved answers.</t>
        </is>
      </c>
      <c r="W8" s="18" t="inlineStr">
        <is>
          <t>Reference passages for each question.</t>
        </is>
      </c>
      <c r="X8" s="18" t="inlineStr">
        <is>
          <t>A change log of dataset versions.</t>
        </is>
      </c>
      <c r="Y8" s="18" t="inlineStr">
        <is>
          <t>test sets, rubrics, human review and agreement, regression tests</t>
        </is>
      </c>
      <c r="Z8" s="18" t="inlineStr">
        <is>
          <t>golden, reference, label, curated, version</t>
        </is>
      </c>
      <c r="AA8" s="18" t="inlineStr">
        <is>
          <t>Benchmarks | Release gates | Vendor comparisons</t>
        </is>
      </c>
      <c r="AB8" s="18" t="inlineStr">
        <is>
          <t>A: Can we trust these labels? | B: Experts reviewed them and resolved disagreements.</t>
        </is>
      </c>
      <c r="AC8" s="18" t="inlineStr">
        <is>
          <t>✗ A large generated dataset is as good as a curated one → ✓ Unreviewed labels can be wrong and mislead decisions</t>
        </is>
      </c>
      <c r="AD8" s="18" t="inlineStr">
        <is>
          <t>Golden vs synthetic data: reviewed reference versus generated, unchecked.</t>
        </is>
      </c>
      <c r="AE8" s="18" t="inlineStr">
        <is>
          <t>Do not let the dataset leak into prompts.</t>
        </is>
      </c>
      <c r="AF8" s="18" t="inlineStr">
        <is>
          <t>Small, checked and clean beats big and noisy.</t>
        </is>
      </c>
      <c r="AG8" s="18" t="inlineStr">
        <is>
          <t>A reviewed golden set of sixty cases guided a model choice better than thousands unlabelled.</t>
        </is>
      </c>
      <c r="AH8" s="18" t="inlineStr">
        <is>
          <t>An interviewer may ask: What is a golden dataset?</t>
        </is>
      </c>
      <c r="AI8" s="18" t="inlineStr">
        <is>
          <t>It is like a master answer key.</t>
        </is>
      </c>
      <c r="AJ8" s="18" t="inlineStr">
        <is>
          <t>What matters most in a golden dataset?</t>
        </is>
      </c>
      <c r="AK8" s="18" t="inlineStr">
        <is>
          <t>A) Speed B) Size only C) Colour D) Label quality</t>
        </is>
      </c>
      <c r="AL8" s="18" t="inlineStr">
        <is>
          <t>D</t>
        </is>
      </c>
      <c r="AM8" s="18" t="inlineStr">
        <is>
          <t>Wrong labels give wrong conclusions.</t>
        </is>
      </c>
      <c r="AN8" s="18" t="inlineStr">
        <is>
          <t>The verified answer for a test item is its ____ answer → reference</t>
        </is>
      </c>
      <c r="AO8" s="18" t="inlineStr">
        <is>
          <t>You need a trusted benchmark quickly. What do you build? → A small expert-reviewed set</t>
        </is>
      </c>
      <c r="AP8" s="18" t="inlineStr">
        <is>
          <t>Explain golden datasets in three lines.</t>
        </is>
      </c>
      <c r="AQ8" s="18" t="inlineStr">
        <is>
          <t>Plan how experts will label thirty cases.</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94.5" customHeight="1">
      <c r="A9" s="17" t="inlineStr">
        <is>
          <t>EVL-007</t>
        </is>
      </c>
      <c r="B9" s="17" t="inlineStr">
        <is>
          <t>02 Methods</t>
        </is>
      </c>
      <c r="C9" s="17" t="inlineStr">
        <is>
          <t>Intermediate</t>
        </is>
      </c>
      <c r="D9" s="17" t="n">
        <v>7</v>
      </c>
      <c r="E9" s="17" t="inlineStr">
        <is>
          <t>Claude knowledge</t>
        </is>
      </c>
      <c r="F9" s="18" t="inlineStr">
        <is>
          <t>Rubrics</t>
        </is>
      </c>
      <c r="G9" s="18" t="inlineStr">
        <is>
          <t>Which scoring guides turn subjective quality into consistent judgments?</t>
        </is>
      </c>
      <c r="H9" s="18" t="inlineStr">
        <is>
          <t>Core concept</t>
        </is>
      </c>
      <c r="I9" s="18" t="inlineStr">
        <is>
          <t>Very high</t>
        </is>
      </c>
      <c r="J9" s="18" t="n">
        <v>5</v>
      </c>
      <c r="K9" s="18" t="inlineStr">
        <is>
          <t>Open-ended outputs have no single correct answer, so rubrics describe levels of quality in each dimension.</t>
        </is>
      </c>
      <c r="L9" s="18" t="inlineStr">
        <is>
          <t>Use few criteria with clear level descriptions and examples.</t>
        </is>
      </c>
      <c r="M9" s="18" t="inlineStr">
        <is>
          <t>A rubric is a marking sheet with boxes for each quality and examples for each score.</t>
        </is>
      </c>
      <c r="N9" s="18" t="inlineStr">
        <is>
          <t>A table with criteria across and levels down.</t>
        </is>
      </c>
      <c r="O9" s="18" t="inlineStr">
        <is>
          <t>The fairness of scoring that stays consistent.</t>
        </is>
      </c>
      <c r="P9" s="18" t="inlineStr">
        <is>
          <t>A rubric lists the criteria for judging an output, such as accuracy, completeness and tone, with defined score levels and examples, used by humans or LLM judges.</t>
        </is>
      </c>
      <c r="Q9" s="17" t="n"/>
      <c r="R9" s="18" t="inlineStr">
        <is>
          <t>Each criterion has clear, observable descriptions, such as a score of three means every claim is supported by a source. Scores can be combined or kept separate. Train reviewers with examples and check agreement. Rubrics also guide LLM-as-judge prompts. Too many criteria make scoring slow and noisy.</t>
        </is>
      </c>
      <c r="S9" s="18" t="inlineStr">
        <is>
          <t>Define criteria and score levels with examples, and train reviewers.</t>
        </is>
      </c>
      <c r="T9" s="18" t="inlineStr">
        <is>
          <t>A rubric is a marking sheet with boxes for each quality.</t>
        </is>
      </c>
      <c r="U9" s="18" t="inlineStr">
        <is>
          <t>Criteria × levels × examples.</t>
        </is>
      </c>
      <c r="V9" s="18" t="inlineStr">
        <is>
          <t>Accuracy scored from one to four with examples.</t>
        </is>
      </c>
      <c r="W9" s="18" t="inlineStr">
        <is>
          <t>A yes or no for citing a source.</t>
        </is>
      </c>
      <c r="X9" s="18" t="inlineStr">
        <is>
          <t>A tone score with sample replies.</t>
        </is>
      </c>
      <c r="Y9" s="18" t="inlineStr">
        <is>
          <t>what good means, LLM-as-judge, human review, golden datasets</t>
        </is>
      </c>
      <c r="Z9" s="18" t="inlineStr">
        <is>
          <t>rubric, criterion, level, anchor, agreement</t>
        </is>
      </c>
      <c r="AA9" s="18" t="inlineStr">
        <is>
          <t>Human review | Judge prompts | Quality programmes</t>
        </is>
      </c>
      <c r="AB9" s="18" t="inlineStr">
        <is>
          <t>A: Reviewers score the same answer differently. | B: Add clearer level descriptions and anchor examples.</t>
        </is>
      </c>
      <c r="AC9" s="18" t="inlineStr">
        <is>
          <t>✗ More criteria always give better evaluation → ✓ Too many criteria slow reviewers and add noise</t>
        </is>
      </c>
      <c r="AD9" s="18" t="inlineStr">
        <is>
          <t>Rubric vs gut feeling: structured criteria versus impressions.</t>
        </is>
      </c>
      <c r="AE9" s="18" t="inlineStr">
        <is>
          <t>Do not use vague terms such as good without definitions.</t>
        </is>
      </c>
      <c r="AF9" s="18" t="inlineStr">
        <is>
          <t>Few criteria, clear levels, real examples.</t>
        </is>
      </c>
      <c r="AG9" s="18" t="inlineStr">
        <is>
          <t>A four-criteria rubric made reviewer scores far more consistent.</t>
        </is>
      </c>
      <c r="AH9" s="18" t="inlineStr">
        <is>
          <t>An interviewer may ask: How do you design a rubric?</t>
        </is>
      </c>
      <c r="AI9" s="18" t="inlineStr">
        <is>
          <t>It is like a marking sheet.</t>
        </is>
      </c>
      <c r="AJ9" s="18" t="inlineStr">
        <is>
          <t>What should each rubric level have?</t>
        </is>
      </c>
      <c r="AK9" s="18" t="inlineStr">
        <is>
          <t>A) A nickname B) A colour C) A clear description and example D) Nothing</t>
        </is>
      </c>
      <c r="AL9" s="18" t="inlineStr">
        <is>
          <t>C</t>
        </is>
      </c>
      <c r="AM9" s="18" t="inlineStr">
        <is>
          <t>Clarity creates agreement.</t>
        </is>
      </c>
      <c r="AN9" s="18" t="inlineStr">
        <is>
          <t>An example that illustrates a score level is an ____ → anchor</t>
        </is>
      </c>
      <c r="AO9" s="18" t="inlineStr">
        <is>
          <t>Reviewers disagree often. What do you improve? → The rubric descriptions and anchors</t>
        </is>
      </c>
      <c r="AP9" s="18" t="inlineStr">
        <is>
          <t>Explain rubrics in three lines.</t>
        </is>
      </c>
      <c r="AQ9" s="18" t="inlineStr">
        <is>
          <t>Write a three-level rubric for answer accuracy.</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21.5" customHeight="1">
      <c r="A10" s="17" t="inlineStr">
        <is>
          <t>EVL-010</t>
        </is>
      </c>
      <c r="B10" s="17" t="inlineStr">
        <is>
          <t>02 Methods</t>
        </is>
      </c>
      <c r="C10" s="17" t="inlineStr">
        <is>
          <t>Advanced</t>
        </is>
      </c>
      <c r="D10" s="17" t="n">
        <v>10</v>
      </c>
      <c r="E10" s="17" t="inlineStr">
        <is>
          <t>Claude knowledge</t>
        </is>
      </c>
      <c r="F10" s="18" t="inlineStr">
        <is>
          <t>LLM-as-judge and its biases</t>
        </is>
      </c>
      <c r="G10" s="18" t="inlineStr">
        <is>
          <t>How can a model score outputs, and what can go wrong?</t>
        </is>
      </c>
      <c r="H10" s="18" t="inlineStr">
        <is>
          <t>Core concept</t>
        </is>
      </c>
      <c r="I10" s="18" t="inlineStr">
        <is>
          <t>Very high</t>
        </is>
      </c>
      <c r="J10" s="18" t="n">
        <v>5</v>
      </c>
      <c r="K10" s="18" t="inlineStr">
        <is>
          <t>Human review is slow and costly, so models are used to score outputs at scale, but they have systematic biases.</t>
        </is>
      </c>
      <c r="L10" s="18" t="inlineStr">
        <is>
          <t>Calibrate the judge against human labels, and use clear rubrics and structured scores.</t>
        </is>
      </c>
      <c r="M10" s="18" t="inlineStr">
        <is>
          <t>An LLM judge is a fast marker who still needs checking against a senior examiner.</t>
        </is>
      </c>
      <c r="N10" s="18" t="inlineStr">
        <is>
          <t>An output, a rubric and a judge model producing a score.</t>
        </is>
      </c>
      <c r="O10" s="18" t="inlineStr">
        <is>
          <t>The efficiency of scoring many cases, with a note of caution.</t>
        </is>
      </c>
      <c r="P10" s="18" t="inlineStr">
        <is>
          <t>LLM-as-judge uses a model with a rubric to rate or compare outputs, and it is affected by biases such as preferring longer answers, preferring the first option, favouring its own style and being swayed by confident tone.</t>
        </is>
      </c>
      <c r="Q10" s="17" t="n"/>
      <c r="R10" s="18" t="inlineStr">
        <is>
          <t>Mitigate by writing explicit rubrics, asking for reasoning then a score, using pairwise comparisons with order swapped, and testing the judge on cases with known labels. Use a stronger or different model as judge where possible. Track agreement with humans, and refresh the calibration when prompts or models change. Judges can miss factual errors without references.</t>
        </is>
      </c>
      <c r="S10" s="18" t="inlineStr">
        <is>
          <t>Use rubrics, swap order, calibrate against humans, and do not trust it blindly.</t>
        </is>
      </c>
      <c r="T10" s="18" t="inlineStr">
        <is>
          <t>An LLM judge is a fast marker who still needs checking against a senior examiner.</t>
        </is>
      </c>
      <c r="U10" s="18" t="inlineStr">
        <is>
          <t>Rubric + order swap + human calibration.</t>
        </is>
      </c>
      <c r="V10" s="18" t="inlineStr">
        <is>
          <t>A judge preferring the longer of two answers.</t>
        </is>
      </c>
      <c r="W10" s="18" t="inlineStr">
        <is>
          <t>Swapping answer order to test position bias.</t>
        </is>
      </c>
      <c r="X10" s="18" t="inlineStr">
        <is>
          <t>Agreement of 85 percent with expert labels.</t>
        </is>
      </c>
      <c r="Y10" s="18" t="inlineStr">
        <is>
          <t>rubrics, pairwise comparison, human review and agreement, faithfulness</t>
        </is>
      </c>
      <c r="Z10" s="18" t="inlineStr">
        <is>
          <t>judge, bias, calibration, position bias, verbosity</t>
        </is>
      </c>
      <c r="AA10" s="18" t="inlineStr">
        <is>
          <t>Large evaluations | Prompt comparisons | Monitoring</t>
        </is>
      </c>
      <c r="AB10" s="18" t="inlineStr">
        <is>
          <t>A: The judge likes whichever answer comes first. | B: That is position bias, so swap the order and average.</t>
        </is>
      </c>
      <c r="AC10" s="18" t="inlineStr">
        <is>
          <t>✗ An LLM judge is as reliable as an expert → ✓ It is useful but biased and must be calibrated</t>
        </is>
      </c>
      <c r="AD10" s="18" t="inlineStr">
        <is>
          <t>Judge vs human: scalable and biased versus slow and more reliable.</t>
        </is>
      </c>
      <c r="AE10" s="18" t="inlineStr">
        <is>
          <t>Do not use an uncalibrated judge for decisions.</t>
        </is>
      </c>
      <c r="AF10" s="18" t="inlineStr">
        <is>
          <t>Calibrate the judge before you trust it.</t>
        </is>
      </c>
      <c r="AG10" s="18" t="inlineStr">
        <is>
          <t>Calibration against expert labels exposed a verbosity bias that was then corrected.</t>
        </is>
      </c>
      <c r="AH10" s="18" t="inlineStr">
        <is>
          <t>An interviewer may ask: What biases affect LLM judges?</t>
        </is>
      </c>
      <c r="AI10" s="18" t="inlineStr">
        <is>
          <t>It is like a fast marker checked by a senior examiner.</t>
        </is>
      </c>
      <c r="AJ10" s="18" t="inlineStr">
        <is>
          <t>Which is a known judge bias?</t>
        </is>
      </c>
      <c r="AK10" s="18" t="inlineStr">
        <is>
          <t>A) Ignoring tone B) Preferring longer answers C) Preferring shorter answers always D) Perfect fairness</t>
        </is>
      </c>
      <c r="AL10" s="18" t="inlineStr">
        <is>
          <t>B</t>
        </is>
      </c>
      <c r="AM10" s="18" t="inlineStr">
        <is>
          <t>Verbosity bias is common.</t>
        </is>
      </c>
      <c r="AN10" s="18" t="inlineStr">
        <is>
          <t>Preference for the first option shown is ____ bias → position</t>
        </is>
      </c>
      <c r="AO10" s="18" t="inlineStr">
        <is>
          <t>A judge prefers long answers. What do you do? → Calibrate with human labels and adjust the rubric</t>
        </is>
      </c>
      <c r="AP10" s="18" t="inlineStr">
        <is>
          <t>Explain LLM-as-judge in three lines.</t>
        </is>
      </c>
      <c r="AQ10" s="18" t="inlineStr">
        <is>
          <t>Design a test of judge position bias.</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08" customHeight="1">
      <c r="A11" s="17" t="inlineStr">
        <is>
          <t>EVL-011</t>
        </is>
      </c>
      <c r="B11" s="17" t="inlineStr">
        <is>
          <t>02 Methods</t>
        </is>
      </c>
      <c r="C11" s="17" t="inlineStr">
        <is>
          <t>Intermediate</t>
        </is>
      </c>
      <c r="D11" s="17" t="n">
        <v>11</v>
      </c>
      <c r="E11" s="17" t="inlineStr">
        <is>
          <t>Claude knowledge</t>
        </is>
      </c>
      <c r="F11" s="18" t="inlineStr">
        <is>
          <t>Human review and agreement</t>
        </is>
      </c>
      <c r="G11" s="18" t="inlineStr">
        <is>
          <t>How do people judge outputs, and how do you know they agree?</t>
        </is>
      </c>
      <c r="H11" s="18" t="inlineStr">
        <is>
          <t>Core concept</t>
        </is>
      </c>
      <c r="I11" s="18" t="inlineStr">
        <is>
          <t>High</t>
        </is>
      </c>
      <c r="J11" s="18" t="n">
        <v>5</v>
      </c>
      <c r="K11" s="18" t="inlineStr">
        <is>
          <t>Humans remain the reference for quality, but they disagree, so processes measure and improve agreement.</t>
        </is>
      </c>
      <c r="L11" s="18" t="inlineStr">
        <is>
          <t>Have two reviewers on a sample and resolve differences with a third.</t>
        </is>
      </c>
      <c r="M11" s="18" t="inlineStr">
        <is>
          <t>Reviewer agreement is checking that two examiners give a similar mark.</t>
        </is>
      </c>
      <c r="N11" s="18" t="inlineStr">
        <is>
          <t>Two reviewers' scores for the same items.</t>
        </is>
      </c>
      <c r="O11" s="18" t="inlineStr">
        <is>
          <t>The assurance of judgments that stay consistent.</t>
        </is>
      </c>
      <c r="P11" s="18" t="inlineStr">
        <is>
          <t>Human review has trained reviewers score outputs against a rubric, and inter-annotator agreement, measured by percent agreement or Cohen's kappa, shows how consistent they are.</t>
        </is>
      </c>
      <c r="Q11" s="17" t="n"/>
      <c r="R11" s="18" t="inlineStr">
        <is>
          <t>Low agreement means unclear criteria or hard cases, not necessarily bad reviewers. Improve rubrics, add examples and calibrate in meetings. Use multiple reviewers for important sets and adjudicate disagreements. Kappa corrects for chance agreement. Review cost is high, so reserve it for golden sets, judge calibration and risky areas.</t>
        </is>
      </c>
      <c r="S11" s="18" t="inlineStr">
        <is>
          <t>Use trained reviewers, measure agreement, and fix unclear rubrics.</t>
        </is>
      </c>
      <c r="T11" s="18" t="inlineStr">
        <is>
          <t>Reviewer agreement is checking that two examiners give a similar mark.</t>
        </is>
      </c>
      <c r="U11" s="18" t="inlineStr">
        <is>
          <t>Agreement above chance shows consistency.</t>
        </is>
      </c>
      <c r="V11" s="18" t="inlineStr">
        <is>
          <t>Two reviewers agreeing on 90 percent of items.</t>
        </is>
      </c>
      <c r="W11" s="18" t="inlineStr">
        <is>
          <t>A third reviewer resolving a split.</t>
        </is>
      </c>
      <c r="X11" s="18" t="inlineStr">
        <is>
          <t>A kappa of 0.7 considered good.</t>
        </is>
      </c>
      <c r="Y11" s="18" t="inlineStr">
        <is>
          <t>rubrics, LLM-as-judge, golden datasets, sampling</t>
        </is>
      </c>
      <c r="Z11" s="18" t="inlineStr">
        <is>
          <t>agreement, kappa, adjudication, annotator, calibration</t>
        </is>
      </c>
      <c r="AA11" s="18" t="inlineStr">
        <is>
          <t>Golden datasets | Judge calibration | Quality programmes</t>
        </is>
      </c>
      <c r="AB11" s="18" t="inlineStr">
        <is>
          <t>A: Reviewers keep disagreeing. | B: The rubric is unclear, so add anchors and recalibrate.</t>
        </is>
      </c>
      <c r="AC11" s="18" t="inlineStr">
        <is>
          <t>✗ Disagreement means the reviewers are bad → ✓ It usually means the criteria or task are unclear</t>
        </is>
      </c>
      <c r="AD11" s="18" t="inlineStr">
        <is>
          <t>Percent agreement vs kappa: raw match versus chance-corrected.</t>
        </is>
      </c>
      <c r="AE11" s="18" t="inlineStr">
        <is>
          <t>Do not use one reviewer for critical labels.</t>
        </is>
      </c>
      <c r="AF11" s="18" t="inlineStr">
        <is>
          <t>Use two reviewers and one tiebreaker.</t>
        </is>
      </c>
      <c r="AG11" s="18" t="inlineStr">
        <is>
          <t>Measuring kappa showed the rubric needed rewriting before scores were trusted.</t>
        </is>
      </c>
      <c r="AH11" s="18" t="inlineStr">
        <is>
          <t>An interviewer may ask: How do you measure agreement between reviewers?</t>
        </is>
      </c>
      <c r="AI11" s="18" t="inlineStr">
        <is>
          <t>It is like two examiners marking the same paper.</t>
        </is>
      </c>
      <c r="AJ11" s="18" t="inlineStr">
        <is>
          <t>What does kappa correct for?</t>
        </is>
      </c>
      <c r="AK11" s="18" t="inlineStr">
        <is>
          <t>A) Agreement by chance B) Length C) Cost D) Speed</t>
        </is>
      </c>
      <c r="AL11" s="18" t="inlineStr">
        <is>
          <t>A</t>
        </is>
      </c>
      <c r="AM11" s="18" t="inlineStr">
        <is>
          <t>Some agreement happens randomly.</t>
        </is>
      </c>
      <c r="AN11" s="18" t="inlineStr">
        <is>
          <t>Resolving a split between reviewers is ____ → adjudication</t>
        </is>
      </c>
      <c r="AO11" s="18" t="inlineStr">
        <is>
          <t>Agreement is low. What do you fix first? → The rubric and its examples</t>
        </is>
      </c>
      <c r="AP11" s="18" t="inlineStr">
        <is>
          <t>Explain reviewer agreement in three lines.</t>
        </is>
      </c>
      <c r="AQ11" s="18" t="inlineStr">
        <is>
          <t>Plan a review of fifty items with two reviewers.</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108" customHeight="1">
      <c r="A12" s="17" t="inlineStr">
        <is>
          <t>EVL-012</t>
        </is>
      </c>
      <c r="B12" s="17" t="inlineStr">
        <is>
          <t>02 Methods</t>
        </is>
      </c>
      <c r="C12" s="17" t="inlineStr">
        <is>
          <t>Intermediate</t>
        </is>
      </c>
      <c r="D12" s="17" t="n">
        <v>12</v>
      </c>
      <c r="E12" s="17" t="inlineStr">
        <is>
          <t>Claude knowledge</t>
        </is>
      </c>
      <c r="F12" s="18" t="inlineStr">
        <is>
          <t>Pairwise comparison</t>
        </is>
      </c>
      <c r="G12" s="18" t="inlineStr">
        <is>
          <t>Why compare two outputs side by side instead of scoring each alone?</t>
        </is>
      </c>
      <c r="H12" s="18" t="inlineStr">
        <is>
          <t>Core concept</t>
        </is>
      </c>
      <c r="I12" s="18" t="inlineStr">
        <is>
          <t>High</t>
        </is>
      </c>
      <c r="J12" s="18" t="n">
        <v>4</v>
      </c>
      <c r="K12" s="18" t="inlineStr">
        <is>
          <t>People and judges find it easier to choose the better of two answers than to give an absolute score.</t>
        </is>
      </c>
      <c r="L12" s="18" t="inlineStr">
        <is>
          <t>Randomise order, and record ties and reasons.</t>
        </is>
      </c>
      <c r="M12" s="18" t="inlineStr">
        <is>
          <t>Pairwise comparison is a taste test between two dishes.</t>
        </is>
      </c>
      <c r="N12" s="18" t="inlineStr">
        <is>
          <t>Two answers side by side with a winner marked.</t>
        </is>
      </c>
      <c r="O12" s="18" t="inlineStr">
        <is>
          <t>The simplicity of picking the better one.</t>
        </is>
      </c>
      <c r="P12" s="18" t="inlineStr">
        <is>
          <t>Pairwise comparison shows two outputs for the same input and asks a reviewer or judge to pick the better one or declare a tie, and results are summarised as win rates.</t>
        </is>
      </c>
      <c r="Q12" s="17" t="n"/>
      <c r="R12" s="18" t="inlineStr">
        <is>
          <t>It reduces scale confusion and is sensitive to small improvements. Randomising order avoids position bias. Win rates with confidence intervals show whether a difference is real. Ratings systems such as Elo can rank many systems. It tells which is better, not by how much in absolute quality, so pair it with criteria-based scoring.</t>
        </is>
      </c>
      <c r="S12" s="18" t="inlineStr">
        <is>
          <t>Show two answers, pick the better, randomise order, and compute the win rate.</t>
        </is>
      </c>
      <c r="T12" s="18" t="inlineStr">
        <is>
          <t>Pairwise comparison is a taste test between two dishes.</t>
        </is>
      </c>
      <c r="U12" s="18" t="inlineStr">
        <is>
          <t>Win rate = (wins + half the ties) ÷ all comparisons.</t>
        </is>
      </c>
      <c r="V12" s="18" t="inlineStr">
        <is>
          <t>Version B winning 62 of 100 comparisons.</t>
        </is>
      </c>
      <c r="W12" s="18" t="inlineStr">
        <is>
          <t>Order randomised to remove bias.</t>
        </is>
      </c>
      <c r="X12" s="18" t="inlineStr">
        <is>
          <t>A tie recorded when both are equal.</t>
        </is>
      </c>
      <c r="Y12" s="18" t="inlineStr">
        <is>
          <t>LLM-as-judge, A/B tests, rubrics, statistical care</t>
        </is>
      </c>
      <c r="Z12" s="18" t="inlineStr">
        <is>
          <t>pairwise, win rate, tie, Elo, preference</t>
        </is>
      </c>
      <c r="AA12" s="18" t="inlineStr">
        <is>
          <t>Prompt comparison | Model selection | Human studies</t>
        </is>
      </c>
      <c r="AB12" s="18" t="inlineStr">
        <is>
          <t>A: Which prompt is better overall? | B: Run pairwise comparisons and look at the win rate.</t>
        </is>
      </c>
      <c r="AC12" s="18" t="inlineStr">
        <is>
          <t>✗ A 60 percent win rate on ten items proves one is better → ✓ Small samples are noisy, so check confidence</t>
        </is>
      </c>
      <c r="AD12" s="18" t="inlineStr">
        <is>
          <t>Pairwise vs absolute scoring: relative choice versus a score on a scale.</t>
        </is>
      </c>
      <c r="AE12" s="18" t="inlineStr">
        <is>
          <t>Do not show the same order every time.</t>
        </is>
      </c>
      <c r="AF12" s="18" t="inlineStr">
        <is>
          <t>Randomise the order, count the wins.</t>
        </is>
      </c>
      <c r="AG12" s="18" t="inlineStr">
        <is>
          <t>Pairwise tests picked the better of two prompts when scores were too close to separate.</t>
        </is>
      </c>
      <c r="AH12" s="18" t="inlineStr">
        <is>
          <t>An interviewer may ask: Why use pairwise comparison?</t>
        </is>
      </c>
      <c r="AI12" s="18" t="inlineStr">
        <is>
          <t>It is like a taste test.</t>
        </is>
      </c>
      <c r="AJ12" s="18" t="inlineStr">
        <is>
          <t>What reduces position bias in pairwise tests?</t>
        </is>
      </c>
      <c r="AK12" s="18" t="inlineStr">
        <is>
          <t>A) Using one order B) Longer answers C) Hiding ties D) Randomising order</t>
        </is>
      </c>
      <c r="AL12" s="18" t="inlineStr">
        <is>
          <t>D</t>
        </is>
      </c>
      <c r="AM12" s="18" t="inlineStr">
        <is>
          <t>Neither answer always comes first.</t>
        </is>
      </c>
      <c r="AN12" s="18" t="inlineStr">
        <is>
          <t>The share of comparisons won is the ____ rate → win</t>
        </is>
      </c>
      <c r="AO12" s="18" t="inlineStr">
        <is>
          <t>Two prompts score almost equally. What method helps? → Pairwise comparison</t>
        </is>
      </c>
      <c r="AP12" s="18" t="inlineStr">
        <is>
          <t>Explain pairwise comparison in three lines.</t>
        </is>
      </c>
      <c r="AQ12" s="18" t="inlineStr">
        <is>
          <t>Design a pairwise test for two summary prompts.</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108" customHeight="1">
      <c r="A13" s="17" t="inlineStr">
        <is>
          <t>EVL-013</t>
        </is>
      </c>
      <c r="B13" s="17" t="inlineStr">
        <is>
          <t>02 Methods</t>
        </is>
      </c>
      <c r="C13" s="17" t="inlineStr">
        <is>
          <t>Advanced</t>
        </is>
      </c>
      <c r="D13" s="17" t="n">
        <v>13</v>
      </c>
      <c r="E13" s="17" t="inlineStr">
        <is>
          <t>Claude knowledge</t>
        </is>
      </c>
      <c r="F13" s="18" t="inlineStr">
        <is>
          <t>A/B tests</t>
        </is>
      </c>
      <c r="G13" s="18" t="inlineStr">
        <is>
          <t>How do you compare two versions with real users?</t>
        </is>
      </c>
      <c r="H13" s="18" t="inlineStr">
        <is>
          <t>Core concept</t>
        </is>
      </c>
      <c r="I13" s="18" t="inlineStr">
        <is>
          <t>High</t>
        </is>
      </c>
      <c r="J13" s="18" t="n">
        <v>5</v>
      </c>
      <c r="K13" s="18" t="inlineStr">
        <is>
          <t>Offline scores do not always predict real value, so versions are compared on live traffic with randomly assigned users.</t>
        </is>
      </c>
      <c r="L13" s="18" t="inlineStr">
        <is>
          <t>Define the success metric and the sample size before you start.</t>
        </is>
      </c>
      <c r="M13" s="18" t="inlineStr">
        <is>
          <t>An A/B test is giving two groups different medicines and comparing outcomes.</t>
        </is>
      </c>
      <c r="N13" s="18" t="inlineStr">
        <is>
          <t>Traffic split into two groups with different results.</t>
        </is>
      </c>
      <c r="O13" s="18" t="inlineStr">
        <is>
          <t>The patience of waiting for evidence.</t>
        </is>
      </c>
      <c r="P13" s="18" t="inlineStr">
        <is>
          <t>An A/B test randomly assigns users or requests to version A or B, measures a predefined outcome metric, and uses statistics to decide whether the difference is real.</t>
        </is>
      </c>
      <c r="Q13" s="17" t="n"/>
      <c r="R13" s="18" t="inlineStr">
        <is>
          <t>Randomisation balances other factors. Metrics include task completion, edits, retries, satisfaction and cost. Run long enough to cover weekly patterns, and avoid peeking and stopping early. Guardrail metrics such as safety and latency protect users. Start with small traffic for risky changes. Network effects and novelty can bias results.</t>
        </is>
      </c>
      <c r="S13" s="18" t="inlineStr">
        <is>
          <t>Split traffic randomly, measure a chosen metric and check significance before deciding.</t>
        </is>
      </c>
      <c r="T13" s="18" t="inlineStr">
        <is>
          <t>An A/B test is giving two groups different medicines and comparing outcomes.</t>
        </is>
      </c>
      <c r="U13" s="18" t="inlineStr">
        <is>
          <t>Random split + planned metric + enough data.</t>
        </is>
      </c>
      <c r="V13" s="18" t="inlineStr">
        <is>
          <t>Ten percent of users seeing a new prompt.</t>
        </is>
      </c>
      <c r="W13" s="18" t="inlineStr">
        <is>
          <t>Comparing the rate of accepted drafts.</t>
        </is>
      </c>
      <c r="X13" s="18" t="inlineStr">
        <is>
          <t>A guardrail on complaint rate.</t>
        </is>
      </c>
      <c r="Y13" s="18" t="inlineStr">
        <is>
          <t>online evaluation, statistical care, pairwise comparison, feedback loops</t>
        </is>
      </c>
      <c r="Z13" s="18" t="inlineStr">
        <is>
          <t>A/B test, randomise, metric, guardrail, significance</t>
        </is>
      </c>
      <c r="AA13" s="18" t="inlineStr">
        <is>
          <t>Product teams | Launches | Optimisation</t>
        </is>
      </c>
      <c r="AB13" s="18" t="inlineStr">
        <is>
          <t>A: B looks better after one day. | B: Wait for the planned sample size before deciding.</t>
        </is>
      </c>
      <c r="AC13" s="18" t="inlineStr">
        <is>
          <t>✗ Stopping a test as soon as it looks good is fine → ✓ Early stopping inflates false wins</t>
        </is>
      </c>
      <c r="AD13" s="18" t="inlineStr">
        <is>
          <t>A/B test vs offline test: live users versus fixed cases.</t>
        </is>
      </c>
      <c r="AE13" s="18" t="inlineStr">
        <is>
          <t>Do not peek and stop early.</t>
        </is>
      </c>
      <c r="AF13" s="18" t="inlineStr">
        <is>
          <t>Plan the metric, then wait for the data.</t>
        </is>
      </c>
      <c r="AG13" s="18" t="inlineStr">
        <is>
          <t>An A/B test showed a better-scoring prompt reduced user acceptance, and it was not shipped.</t>
        </is>
      </c>
      <c r="AH13" s="18" t="inlineStr">
        <is>
          <t>An interviewer may ask: How do you run an A/B test for an LLM feature?</t>
        </is>
      </c>
      <c r="AI13" s="18" t="inlineStr">
        <is>
          <t>It is like testing two medicines.</t>
        </is>
      </c>
      <c r="AJ13" s="18" t="inlineStr">
        <is>
          <t>What should be set before an A/B test?</t>
        </is>
      </c>
      <c r="AK13" s="18" t="inlineStr">
        <is>
          <t>A) The date of release only B) The success metric and sample size C) The winner D) The logo</t>
        </is>
      </c>
      <c r="AL13" s="18" t="inlineStr">
        <is>
          <t>B</t>
        </is>
      </c>
      <c r="AM13" s="18" t="inlineStr">
        <is>
          <t>It prevents bias in interpreting results.</t>
        </is>
      </c>
      <c r="AN13" s="18" t="inlineStr">
        <is>
          <t>A metric protecting against harm during a test is a ____ metric → guardrail</t>
        </is>
      </c>
      <c r="AO13" s="18" t="inlineStr">
        <is>
          <t>A new version looks better after a day. What do you do? → Continue until the planned sample is reached</t>
        </is>
      </c>
      <c r="AP13" s="18" t="inlineStr">
        <is>
          <t>Explain A/B tests in three lines.</t>
        </is>
      </c>
      <c r="AQ13" s="18" t="inlineStr">
        <is>
          <t>Plan an A/B test for a new support prompt.</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08" customHeight="1">
      <c r="A14" s="17" t="inlineStr">
        <is>
          <t>EVL-014</t>
        </is>
      </c>
      <c r="B14" s="17" t="inlineStr">
        <is>
          <t>02 Methods</t>
        </is>
      </c>
      <c r="C14" s="17" t="inlineStr">
        <is>
          <t>Intermediate</t>
        </is>
      </c>
      <c r="D14" s="17" t="n">
        <v>14</v>
      </c>
      <c r="E14" s="17" t="inlineStr">
        <is>
          <t>Claude knowledge</t>
        </is>
      </c>
      <c r="F14" s="18" t="inlineStr">
        <is>
          <t>Sampling for evaluation</t>
        </is>
      </c>
      <c r="G14" s="18" t="inlineStr">
        <is>
          <t>How do you choose which cases or outputs to review when you cannot check everything?</t>
        </is>
      </c>
      <c r="H14" s="18" t="inlineStr">
        <is>
          <t>Core concept</t>
        </is>
      </c>
      <c r="I14" s="18" t="inlineStr">
        <is>
          <t>High</t>
        </is>
      </c>
      <c r="J14" s="18" t="n">
        <v>4</v>
      </c>
      <c r="K14" s="18" t="inlineStr">
        <is>
          <t>Reviewing every output is too costly, so samples must be chosen to represent the whole and to find problems.</t>
        </is>
      </c>
      <c r="L14" s="18" t="inlineStr">
        <is>
          <t>Mix random samples for an honest estimate and targeted samples for known risks.</t>
        </is>
      </c>
      <c r="M14" s="18" t="inlineStr">
        <is>
          <t>Sampling is tasting a spoonful from each pot, plus the pots that smell odd.</t>
        </is>
      </c>
      <c r="N14" s="18" t="inlineStr">
        <is>
          <t>A population with random and targeted picks marked.</t>
        </is>
      </c>
      <c r="O14" s="18" t="inlineStr">
        <is>
          <t>The efficiency of reviewing less with confidence.</t>
        </is>
      </c>
      <c r="P14" s="18" t="inlineStr">
        <is>
          <t>Sampling selects a subset of requests or outputs for review, using random sampling for unbiased estimates, stratified sampling to cover categories, and targeted sampling for risky or low-confidence cases.</t>
        </is>
      </c>
      <c r="Q14" s="17" t="n"/>
      <c r="R14" s="18" t="inlineStr">
        <is>
          <t>Random samples estimate overall quality with a margin of error that shrinks with more items. Stratified samples ensure rare categories are included. Targeted samples focus on thumbs-down, long conversations or high-risk topics, but do not represent the whole. Record how the sample was chosen so results are read correctly.</t>
        </is>
      </c>
      <c r="S14" s="18" t="inlineStr">
        <is>
          <t>Use random samples for honesty and targeted samples for risk.</t>
        </is>
      </c>
      <c r="T14" s="18" t="inlineStr">
        <is>
          <t>Sampling is tasting a spoonful from each pot, plus the pots that smell odd.</t>
        </is>
      </c>
      <c r="U14" s="18" t="inlineStr">
        <is>
          <t>Random for estimates, stratified for coverage, targeted for risk.</t>
        </is>
      </c>
      <c r="V14" s="18" t="inlineStr">
        <is>
          <t>Fifty random answers a week.</t>
        </is>
      </c>
      <c r="W14" s="18" t="inlineStr">
        <is>
          <t>Ten from each ticket category.</t>
        </is>
      </c>
      <c r="X14" s="18" t="inlineStr">
        <is>
          <t>All answers with negative feedback.</t>
        </is>
      </c>
      <c r="Y14" s="18" t="inlineStr">
        <is>
          <t>human review, test sets, monitoring, statistical care</t>
        </is>
      </c>
      <c r="Z14" s="18" t="inlineStr">
        <is>
          <t>sample, stratified, random, margin of error, targeted</t>
        </is>
      </c>
      <c r="AA14" s="18" t="inlineStr">
        <is>
          <t>Production monitoring | Quality reviews | Audits</t>
        </is>
      </c>
      <c r="AB14" s="18" t="inlineStr">
        <is>
          <t>A: We only review thumbs-down answers. | B: That misses silent failures, so add a random sample.</t>
        </is>
      </c>
      <c r="AC14" s="18" t="inlineStr">
        <is>
          <t>✗ Reviewing only complaints shows overall quality → ✓ Complaints are a biased sample</t>
        </is>
      </c>
      <c r="AD14" s="18" t="inlineStr">
        <is>
          <t>Random vs targeted sampling: representative versus problem-focused.</t>
        </is>
      </c>
      <c r="AE14" s="18" t="inlineStr">
        <is>
          <t>Do not read results from a targeted sample as overall quality.</t>
        </is>
      </c>
      <c r="AF14" s="18" t="inlineStr">
        <is>
          <t>Random for truth, targeted for risk.</t>
        </is>
      </c>
      <c r="AG14" s="18" t="inlineStr">
        <is>
          <t>A weekly random sample revealed a quality drop that complaints had not shown.</t>
        </is>
      </c>
      <c r="AH14" s="18" t="inlineStr">
        <is>
          <t>An interviewer may ask: How do you sample outputs for review?</t>
        </is>
      </c>
      <c r="AI14" s="18" t="inlineStr">
        <is>
          <t>It is like tasting a spoonful from each pot.</t>
        </is>
      </c>
      <c r="AJ14" s="18" t="inlineStr">
        <is>
          <t>Which sampling gives an unbiased estimate?</t>
        </is>
      </c>
      <c r="AK14" s="18" t="inlineStr">
        <is>
          <t>A) Only long answers B) Only recent ones C) Only complaints D) Random sampling</t>
        </is>
      </c>
      <c r="AL14" s="18" t="inlineStr">
        <is>
          <t>D</t>
        </is>
      </c>
      <c r="AM14" s="18" t="inlineStr">
        <is>
          <t>Every item has an equal chance.</t>
        </is>
      </c>
      <c r="AN14" s="18" t="inlineStr">
        <is>
          <t>Sampling that covers each category is ____ → stratified</t>
        </is>
      </c>
      <c r="AO14" s="18" t="inlineStr">
        <is>
          <t>You need honest overall quality estimates. What sample? → A random sample</t>
        </is>
      </c>
      <c r="AP14" s="18" t="inlineStr">
        <is>
          <t>Explain sampling for evaluation in three lines.</t>
        </is>
      </c>
      <c r="AQ14" s="18" t="inlineStr">
        <is>
          <t>Design a weekly review sample for a support bot.</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108" customHeight="1">
      <c r="A15" s="17" t="inlineStr">
        <is>
          <t>EVL-015</t>
        </is>
      </c>
      <c r="B15" s="17" t="inlineStr">
        <is>
          <t>02 Methods</t>
        </is>
      </c>
      <c r="C15" s="17" t="inlineStr">
        <is>
          <t>Advanced</t>
        </is>
      </c>
      <c r="D15" s="17" t="n">
        <v>15</v>
      </c>
      <c r="E15" s="17" t="inlineStr">
        <is>
          <t>Claude knowledge</t>
        </is>
      </c>
      <c r="F15" s="18" t="inlineStr">
        <is>
          <t>Statistical care</t>
        </is>
      </c>
      <c r="G15" s="18" t="inlineStr">
        <is>
          <t>How do you avoid fooling yourself with small differences in scores?</t>
        </is>
      </c>
      <c r="H15" s="18" t="inlineStr">
        <is>
          <t>Core concept</t>
        </is>
      </c>
      <c r="I15" s="18" t="inlineStr">
        <is>
          <t>High</t>
        </is>
      </c>
      <c r="J15" s="18" t="n">
        <v>5</v>
      </c>
      <c r="K15" s="18" t="inlineStr">
        <is>
          <t>Outputs vary and test sets are small, so apparent improvements are often noise.</t>
        </is>
      </c>
      <c r="L15" s="18" t="inlineStr">
        <is>
          <t>Report confidence intervals and repeat runs, and be sceptical of small gains.</t>
        </is>
      </c>
      <c r="M15" s="18" t="inlineStr">
        <is>
          <t>Statistical care is checking whether a coin that landed heads twice is really biased.</t>
        </is>
      </c>
      <c r="N15" s="18" t="inlineStr">
        <is>
          <t>Two score bars with overlapping error whiskers.</t>
        </is>
      </c>
      <c r="O15" s="18" t="inlineStr">
        <is>
          <t>The humility of knowing noise exists.</t>
        </is>
      </c>
      <c r="P15" s="18" t="inlineStr">
        <is>
          <t>Statistical care means treating evaluation scores as estimates with uncertainty, using sample sizes, confidence intervals, paired comparisons, multiple runs and significance tests before claiming that one system is better.</t>
        </is>
      </c>
      <c r="Q15" s="17" t="n"/>
      <c r="R15" s="18" t="inlineStr">
        <is>
          <t>A difference of two points on fifty cases is usually noise. Paired tests on the same cases are more powerful than comparing averages alone. Randomness in generation means repeated runs can vary, so average several. Avoid testing many variants and picking the best, which overstates results. Report effect size, not only whether it is significant.</t>
        </is>
      </c>
      <c r="S15" s="18" t="inlineStr">
        <is>
          <t>Use enough cases, repeat runs, show uncertainty and be careful with small gains.</t>
        </is>
      </c>
      <c r="T15" s="18" t="inlineStr">
        <is>
          <t>Statistical care is checking whether a coin that landed heads twice is really biased.</t>
        </is>
      </c>
      <c r="U15" s="18" t="inlineStr">
        <is>
          <t>Estimate ± uncertainty, not a single number.</t>
        </is>
      </c>
      <c r="V15" s="18" t="inlineStr">
        <is>
          <t>A 58 versus 56 percent score with overlapping intervals.</t>
        </is>
      </c>
      <c r="W15" s="18" t="inlineStr">
        <is>
          <t>Running each prompt three times.</t>
        </is>
      </c>
      <c r="X15" s="18" t="inlineStr">
        <is>
          <t>Testing twenty variants and picking the best.</t>
        </is>
      </c>
      <c r="Y15" s="18" t="inlineStr">
        <is>
          <t>A/B tests, test sets, pairwise comparison, sampling</t>
        </is>
      </c>
      <c r="Z15" s="18" t="inlineStr">
        <is>
          <t>confidence interval, noise, significance, effect size, variance</t>
        </is>
      </c>
      <c r="AA15" s="18" t="inlineStr">
        <is>
          <t>Experiments | Reports | Decision making</t>
        </is>
      </c>
      <c r="AB15" s="18" t="inlineStr">
        <is>
          <t>A: Version B scored two points higher. | B: With fifty cases that may be noise, so check the interval.</t>
        </is>
      </c>
      <c r="AC15" s="18" t="inlineStr">
        <is>
          <t>✗ The higher score is always the better system → ✓ Small differences may be random variation</t>
        </is>
      </c>
      <c r="AD15" s="18" t="inlineStr">
        <is>
          <t>Noise vs real effect: random variation versus a true difference.</t>
        </is>
      </c>
      <c r="AE15" s="18" t="inlineStr">
        <is>
          <t>Do not pick the best of many variants and report it as typical.</t>
        </is>
      </c>
      <c r="AF15" s="18" t="inlineStr">
        <is>
          <t>Every score has an error bar.</t>
        </is>
      </c>
      <c r="AG15" s="18" t="inlineStr">
        <is>
          <t>Confidence intervals stopped the team from shipping a change that was only noise.</t>
        </is>
      </c>
      <c r="AH15" s="18" t="inlineStr">
        <is>
          <t>An interviewer may ask: How do you know a score difference is real?</t>
        </is>
      </c>
      <c r="AI15" s="18" t="inlineStr">
        <is>
          <t>It is like checking a coin for bias.</t>
        </is>
      </c>
      <c r="AJ15" s="18" t="inlineStr">
        <is>
          <t>What helps judge if a difference is real?</t>
        </is>
      </c>
      <c r="AK15" s="18" t="inlineStr">
        <is>
          <t>A) A new colour B) Luck C) Confidence intervals D) A bigger font</t>
        </is>
      </c>
      <c r="AL15" s="18" t="inlineStr">
        <is>
          <t>C</t>
        </is>
      </c>
      <c r="AM15" s="18" t="inlineStr">
        <is>
          <t>They show uncertainty.</t>
        </is>
      </c>
      <c r="AN15" s="18" t="inlineStr">
        <is>
          <t>Random variation in scores is ____ → noise</t>
        </is>
      </c>
      <c r="AO15" s="18" t="inlineStr">
        <is>
          <t>Two versions differ by one point on thirty cases. What do you conclude? → The difference may be noise</t>
        </is>
      </c>
      <c r="AP15" s="18" t="inlineStr">
        <is>
          <t>Explain statistical care in three lines.</t>
        </is>
      </c>
      <c r="AQ15" s="18" t="inlineStr">
        <is>
          <t>Describe how to compare two prompts fairly.</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108" customHeight="1">
      <c r="A16" s="17" t="inlineStr">
        <is>
          <t>EVL-016</t>
        </is>
      </c>
      <c r="B16" s="17" t="inlineStr">
        <is>
          <t>03 RAG and Agents</t>
        </is>
      </c>
      <c r="C16" s="17" t="inlineStr">
        <is>
          <t>Intermediate</t>
        </is>
      </c>
      <c r="D16" s="17" t="n">
        <v>16</v>
      </c>
      <c r="E16" s="17" t="inlineStr">
        <is>
          <t>Claude knowledge</t>
        </is>
      </c>
      <c r="F16" s="18" t="inlineStr">
        <is>
          <t>Retrieval metrics</t>
        </is>
      </c>
      <c r="G16" s="18" t="inlineStr">
        <is>
          <t>Which measures show whether a RAG system retrieves the right evidence?</t>
        </is>
      </c>
      <c r="H16" s="18" t="inlineStr">
        <is>
          <t>Core concept</t>
        </is>
      </c>
      <c r="I16" s="18" t="inlineStr">
        <is>
          <t>Very high</t>
        </is>
      </c>
      <c r="J16" s="18" t="n">
        <v>5</v>
      </c>
      <c r="K16" s="18" t="inlineStr">
        <is>
          <t>Answer quality depends on retrieval, so retrieval is scored with labelled relevant passages.</t>
        </is>
      </c>
      <c r="L16" s="18" t="inlineStr">
        <is>
          <t>Report recall at k and a ranking metric, and read the failing questions.</t>
        </is>
      </c>
      <c r="M16" s="18" t="inlineStr">
        <is>
          <t>Retrieval metrics are the quiz results of the librarian, scored on finding the right books.</t>
        </is>
      </c>
      <c r="N16" s="18" t="inlineStr">
        <is>
          <t>A table of questions with the rank of the first relevant chunk.</t>
        </is>
      </c>
      <c r="O16" s="18" t="inlineStr">
        <is>
          <t>The satisfaction of seeing recall rise.</t>
        </is>
      </c>
      <c r="P16" s="18" t="inlineStr">
        <is>
          <t>Retrieval metrics include recall at k, precision at k, mean reciprocal rank, hit rate and nDCG, computed against labelled relevant chunks for a set of questions.</t>
        </is>
      </c>
      <c r="Q16" s="17" t="n"/>
      <c r="R16" s="18" t="inlineStr">
        <is>
          <t>Recall at k asks whether the needed evidence is in the top k. MRR rewards ranking the first relevant result high. nDCG weighs graded relevance and position. Context precision and recall in RAG frameworks apply similar ideas to the passages actually put in the prompt. Metrics only work with trustworthy labels.</t>
        </is>
      </c>
      <c r="S16" s="18" t="inlineStr">
        <is>
          <t>Label relevant chunks, then measure recall at k and ranking quality.</t>
        </is>
      </c>
      <c r="T16" s="18" t="inlineStr">
        <is>
          <t>Retrieval metrics are the quiz results of the librarian.</t>
        </is>
      </c>
      <c r="U16" s="18" t="inlineStr">
        <is>
          <t>Recall at k, MRR and nDCG against labelled chunks.</t>
        </is>
      </c>
      <c r="V16" s="18" t="inlineStr">
        <is>
          <t>Recall at 5 of 0.82.</t>
        </is>
      </c>
      <c r="W16" s="18" t="inlineStr">
        <is>
          <t>MRR of 0.6, meaning the first relevant chunk is usually in the top two.</t>
        </is>
      </c>
      <c r="X16" s="18" t="inlineStr">
        <is>
          <t>A failing question list for review.</t>
        </is>
      </c>
      <c r="Y16" s="18" t="inlineStr">
        <is>
          <t>precision and recall, evaluating retrieval in RAG, faithfulness, test sets</t>
        </is>
      </c>
      <c r="Z16" s="18" t="inlineStr">
        <is>
          <t>recall at k, MRR, nDCG, hit rate, relevance</t>
        </is>
      </c>
      <c r="AA16" s="18" t="inlineStr">
        <is>
          <t>RAG tuning | Release gates | Experiments</t>
        </is>
      </c>
      <c r="AB16" s="18" t="inlineStr">
        <is>
          <t>A: The answer is wrong, is it retrieval? | B: Check whether the relevant chunk was in the top k.</t>
        </is>
      </c>
      <c r="AC16" s="18" t="inlineStr">
        <is>
          <t>✗ Good answer scores prove good retrieval → ✓ A strong model can hide weak retrieval on easy questions</t>
        </is>
      </c>
      <c r="AD16" s="18" t="inlineStr">
        <is>
          <t>Hit rate vs MRR: found anywhere versus how high it ranked.</t>
        </is>
      </c>
      <c r="AE16" s="18" t="inlineStr">
        <is>
          <t>Do not measure retrieval without labelled chunks.</t>
        </is>
      </c>
      <c r="AF16" s="18" t="inlineStr">
        <is>
          <t>Found it, and found it early.</t>
        </is>
      </c>
      <c r="AG16" s="18" t="inlineStr">
        <is>
          <t>Recall at five on a labelled set guided a chunking change that raised accuracy.</t>
        </is>
      </c>
      <c r="AH16" s="18" t="inlineStr">
        <is>
          <t>An interviewer may ask: Which metrics do you use for retrieval?</t>
        </is>
      </c>
      <c r="AI16" s="18" t="inlineStr">
        <is>
          <t>It is like a quiz for the librarian.</t>
        </is>
      </c>
      <c r="AJ16" s="18" t="inlineStr">
        <is>
          <t>Which metric rewards high ranking of the first relevant result?</t>
        </is>
      </c>
      <c r="AK16" s="18" t="inlineStr">
        <is>
          <t>A) MRR B) Cost C) Latency D) Hit rate only</t>
        </is>
      </c>
      <c r="AL16" s="18" t="inlineStr">
        <is>
          <t>A</t>
        </is>
      </c>
      <c r="AM16" s="18" t="inlineStr">
        <is>
          <t>It uses the rank of the first relevant item.</t>
        </is>
      </c>
      <c r="AN16" s="18" t="inlineStr">
        <is>
          <t>The share of questions with at least one relevant chunk in the top k is the ____ rate at k → hit</t>
        </is>
      </c>
      <c r="AO16" s="18" t="inlineStr">
        <is>
          <t>You changed the embedding model. What do you measure? → Recall at k on the labelled set</t>
        </is>
      </c>
      <c r="AP16" s="18" t="inlineStr">
        <is>
          <t>Explain retrieval metrics in three lines.</t>
        </is>
      </c>
      <c r="AQ16" s="18" t="inlineStr">
        <is>
          <t>Compute recall at 3 for five questions.</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94.5" customHeight="1">
      <c r="A17" s="17" t="inlineStr">
        <is>
          <t>EVL-017</t>
        </is>
      </c>
      <c r="B17" s="17" t="inlineStr">
        <is>
          <t>03 RAG and Agents</t>
        </is>
      </c>
      <c r="C17" s="17" t="inlineStr">
        <is>
          <t>Advanced</t>
        </is>
      </c>
      <c r="D17" s="17" t="n">
        <v>17</v>
      </c>
      <c r="E17" s="17" t="inlineStr">
        <is>
          <t>Claude knowledge</t>
        </is>
      </c>
      <c r="F17" s="18" t="inlineStr">
        <is>
          <t>Faithfulness evaluation</t>
        </is>
      </c>
      <c r="G17" s="18" t="inlineStr">
        <is>
          <t>How do you score whether answers stay within the supplied sources?</t>
        </is>
      </c>
      <c r="H17" s="18" t="inlineStr">
        <is>
          <t>Core concept</t>
        </is>
      </c>
      <c r="I17" s="18" t="inlineStr">
        <is>
          <t>Very high</t>
        </is>
      </c>
      <c r="J17" s="18" t="n">
        <v>5</v>
      </c>
      <c r="K17" s="18" t="inlineStr">
        <is>
          <t>A fluent answer can add unsupported claims, so groundedness is scored claim by claim.</t>
        </is>
      </c>
      <c r="L17" s="18" t="inlineStr">
        <is>
          <t>Break answers into claims, check each against sources, and review disagreements by hand.</t>
        </is>
      </c>
      <c r="M17" s="18" t="inlineStr">
        <is>
          <t>Faithfulness evaluation checks every sentence against the source pages.</t>
        </is>
      </c>
      <c r="N17" s="18" t="inlineStr">
        <is>
          <t>Answer claims linked to supporting sentences or marked unsupported.</t>
        </is>
      </c>
      <c r="O17" s="18" t="inlineStr">
        <is>
          <t>The assurance that answers stay honest.</t>
        </is>
      </c>
      <c r="P17" s="18" t="inlineStr">
        <is>
          <t>Faithfulness evaluation extracts the claims of an answer and checks whether each is entailed by the retrieved sources, reporting the share of supported claims, using judge models, entailment models or human review.</t>
        </is>
      </c>
      <c r="Q17" s="17" t="n"/>
      <c r="R17" s="18" t="inlineStr">
        <is>
          <t>The score is supported claims divided by all claims. It does not check correctness against the real world, since sources may be wrong. Pair it with answer relevance to ensure the question was addressed. Human spot checks calibrate automatic scores. Track it over time, and use it as a release gate.</t>
        </is>
      </c>
      <c r="S17" s="18" t="inlineStr">
        <is>
          <t>Check each claim against the sources and report the supported share.</t>
        </is>
      </c>
      <c r="T17" s="18" t="inlineStr">
        <is>
          <t>Faithfulness evaluation checks every sentence against the source pages.</t>
        </is>
      </c>
      <c r="U17" s="18" t="inlineStr">
        <is>
          <t>Supported claims ÷ total claims.</t>
        </is>
      </c>
      <c r="V17" s="18" t="inlineStr">
        <is>
          <t>Nine of ten claims supported gives 0.9.</t>
        </is>
      </c>
      <c r="W17" s="18" t="inlineStr">
        <is>
          <t>An invented number flagged.</t>
        </is>
      </c>
      <c r="X17" s="18" t="inlineStr">
        <is>
          <t>A release gate requiring 0.95.</t>
        </is>
      </c>
      <c r="Y17" s="18" t="inlineStr">
        <is>
          <t>faithfulness, citations, LLM-as-judge, answer relevance</t>
        </is>
      </c>
      <c r="Z17" s="18" t="inlineStr">
        <is>
          <t>faithfulness, groundedness, entailment, claim, support</t>
        </is>
      </c>
      <c r="AA17" s="18" t="inlineStr">
        <is>
          <t>RAG evaluation | Monitoring | Quality gates</t>
        </is>
      </c>
      <c r="AB17" s="18" t="inlineStr">
        <is>
          <t>A: Is the answer grounded? | B: The judge found one unsupported claim out of ten.</t>
        </is>
      </c>
      <c r="AC17" s="18" t="inlineStr">
        <is>
          <t>✗ High faithfulness means the answer is useful → ✓ It can still miss the question or rely on wrong sources</t>
        </is>
      </c>
      <c r="AD17" s="18" t="inlineStr">
        <is>
          <t>Faithfulness vs relevance: support versus addressing the question.</t>
        </is>
      </c>
      <c r="AE17" s="18" t="inlineStr">
        <is>
          <t>Do not use faithfulness alone to approve answers.</t>
        </is>
      </c>
      <c r="AF17" s="18" t="inlineStr">
        <is>
          <t>Supported claims over total claims.</t>
        </is>
      </c>
      <c r="AG17" s="18" t="inlineStr">
        <is>
          <t>A faithfulness gate blocked a prompt change that increased invented details.</t>
        </is>
      </c>
      <c r="AH17" s="18" t="inlineStr">
        <is>
          <t>An interviewer may ask: How do you measure groundedness?</t>
        </is>
      </c>
      <c r="AI17" s="18" t="inlineStr">
        <is>
          <t>It is like checking each sentence against the page.</t>
        </is>
      </c>
      <c r="AJ17" s="18" t="inlineStr">
        <is>
          <t>How is faithfulness computed?</t>
        </is>
      </c>
      <c r="AK17" s="18" t="inlineStr">
        <is>
          <t>A) Supported claims divided by all claims B) Words divided by tokens C) Length divided by pages D) Cost divided by time</t>
        </is>
      </c>
      <c r="AL17" s="18" t="inlineStr">
        <is>
          <t>A</t>
        </is>
      </c>
      <c r="AM17" s="18" t="inlineStr">
        <is>
          <t>It is the share of supported claims.</t>
        </is>
      </c>
      <c r="AN17" s="18" t="inlineStr">
        <is>
          <t>Another term for faithfulness is ____ → groundedness</t>
        </is>
      </c>
      <c r="AO17" s="18" t="inlineStr">
        <is>
          <t>An answer cites a number not in the sources. What does the score do? → It decreases</t>
        </is>
      </c>
      <c r="AP17" s="18" t="inlineStr">
        <is>
          <t>Explain faithfulness evaluation in three lines.</t>
        </is>
      </c>
      <c r="AQ17" s="18" t="inlineStr">
        <is>
          <t>Write the steps of a claim-level faithfulness check.</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108" customHeight="1">
      <c r="A18" s="17" t="inlineStr">
        <is>
          <t>EVL-018</t>
        </is>
      </c>
      <c r="B18" s="17" t="inlineStr">
        <is>
          <t>03 RAG and Agents</t>
        </is>
      </c>
      <c r="C18" s="17" t="inlineStr">
        <is>
          <t>Intermediate</t>
        </is>
      </c>
      <c r="D18" s="17" t="n">
        <v>18</v>
      </c>
      <c r="E18" s="17" t="inlineStr">
        <is>
          <t>Claude knowledge</t>
        </is>
      </c>
      <c r="F18" s="18" t="inlineStr">
        <is>
          <t>Answer relevance</t>
        </is>
      </c>
      <c r="G18" s="18" t="inlineStr">
        <is>
          <t>How do you check that the answer actually addresses the question?</t>
        </is>
      </c>
      <c r="H18" s="18" t="inlineStr">
        <is>
          <t>Core concept</t>
        </is>
      </c>
      <c r="I18" s="18" t="inlineStr">
        <is>
          <t>High</t>
        </is>
      </c>
      <c r="J18" s="18" t="n">
        <v>4</v>
      </c>
      <c r="K18" s="18" t="inlineStr">
        <is>
          <t>An answer can be faithful and still ignore what the user asked, so relevance is measured separately.</t>
        </is>
      </c>
      <c r="L18" s="18" t="inlineStr">
        <is>
          <t>Score relevance and faithfulness together, since either alone can mislead.</t>
        </is>
      </c>
      <c r="M18" s="18" t="inlineStr">
        <is>
          <t>Answer relevance asks whether the reply answers the question that was asked.</t>
        </is>
      </c>
      <c r="N18" s="18" t="inlineStr">
        <is>
          <t>A question and an answer with a relevance rating.</t>
        </is>
      </c>
      <c r="O18" s="18" t="inlineStr">
        <is>
          <t>The relief of replies that stay on topic.</t>
        </is>
      </c>
      <c r="P18" s="18" t="inlineStr">
        <is>
          <t>Answer relevance measures how well a response addresses the user's question, covering completeness, focus and absence of unrelated content, scored by reviewers or judge models against a rubric.</t>
        </is>
      </c>
      <c r="Q18" s="17" t="n"/>
      <c r="R18" s="18" t="inlineStr">
        <is>
          <t>A faithful answer that talks about a different topic scores high on groundedness and low on relevance. Methods include judge ratings, comparing the question with questions regenerated from the answer, and human review. Check completeness for multi-part questions. Use with correctness when reference answers exist.</t>
        </is>
      </c>
      <c r="S18" s="18" t="inlineStr">
        <is>
          <t>Check that the answer addresses the question, fully and without drifting.</t>
        </is>
      </c>
      <c r="T18" s="18" t="inlineStr">
        <is>
          <t>Answer relevance asks whether the reply answers the question that was asked.</t>
        </is>
      </c>
      <c r="U18" s="18" t="inlineStr">
        <is>
          <t>On-topic + complete + focused.</t>
        </is>
      </c>
      <c r="V18" s="18" t="inlineStr">
        <is>
          <t>A faithful reply about shipping to a billing question.</t>
        </is>
      </c>
      <c r="W18" s="18" t="inlineStr">
        <is>
          <t>Half of a two-part question answered.</t>
        </is>
      </c>
      <c r="X18" s="18" t="inlineStr">
        <is>
          <t>A rubric scoring focus from one to four.</t>
        </is>
      </c>
      <c r="Y18" s="18" t="inlineStr">
        <is>
          <t>faithfulness evaluation, rubrics, retrieval metrics, LLM-as-judge</t>
        </is>
      </c>
      <c r="Z18" s="18" t="inlineStr">
        <is>
          <t>relevance, completeness, focus, on-topic, rubric</t>
        </is>
      </c>
      <c r="AA18" s="18" t="inlineStr">
        <is>
          <t>RAG evaluation | Chatbots | Quality reviews</t>
        </is>
      </c>
      <c r="AB18" s="18" t="inlineStr">
        <is>
          <t>A: The answer is grounded but useless. | B: Its relevance is low, since it does not address the question.</t>
        </is>
      </c>
      <c r="AC18" s="18" t="inlineStr">
        <is>
          <t>✗ Faithful answers are always relevant → ✓ They can be accurate yet off-topic</t>
        </is>
      </c>
      <c r="AD18" s="18" t="inlineStr">
        <is>
          <t>Relevance vs faithfulness: on the question versus on the sources.</t>
        </is>
      </c>
      <c r="AE18" s="18" t="inlineStr">
        <is>
          <t>Do not rely on one metric.</t>
        </is>
      </c>
      <c r="AF18" s="18" t="inlineStr">
        <is>
          <t>Grounded and on-topic, both needed.</t>
        </is>
      </c>
      <c r="AG18" s="18" t="inlineStr">
        <is>
          <t>Adding a relevance score caught accurate but evasive answers.</t>
        </is>
      </c>
      <c r="AH18" s="18" t="inlineStr">
        <is>
          <t>An interviewer may ask: Why measure answer relevance separately?</t>
        </is>
      </c>
      <c r="AI18" s="18" t="inlineStr">
        <is>
          <t>It is like checking whether the reply answers the question.</t>
        </is>
      </c>
      <c r="AJ18" s="18" t="inlineStr">
        <is>
          <t>What does answer relevance measure?</t>
        </is>
      </c>
      <c r="AK18" s="18" t="inlineStr">
        <is>
          <t>A) Length only B) Cost C) Whether the answer addresses the question D) Speed</t>
        </is>
      </c>
      <c r="AL18" s="18" t="inlineStr">
        <is>
          <t>C</t>
        </is>
      </c>
      <c r="AM18" s="18" t="inlineStr">
        <is>
          <t>It checks focus and completeness.</t>
        </is>
      </c>
      <c r="AN18" s="18" t="inlineStr">
        <is>
          <t>Covering every part of the question is ____ → completeness</t>
        </is>
      </c>
      <c r="AO18" s="18" t="inlineStr">
        <is>
          <t>An answer is accurate but off-topic. Which score is low? → Answer relevance</t>
        </is>
      </c>
      <c r="AP18" s="18" t="inlineStr">
        <is>
          <t>Explain answer relevance in three lines.</t>
        </is>
      </c>
      <c r="AQ18" s="18" t="inlineStr">
        <is>
          <t>Write a three-level rubric for answer relevance and score ten real answers with it.</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108" customHeight="1">
      <c r="A19" s="17" t="inlineStr">
        <is>
          <t>EVL-019</t>
        </is>
      </c>
      <c r="B19" s="17" t="inlineStr">
        <is>
          <t>03 RAG and Agents</t>
        </is>
      </c>
      <c r="C19" s="17" t="inlineStr">
        <is>
          <t>Advanced</t>
        </is>
      </c>
      <c r="D19" s="17" t="n">
        <v>19</v>
      </c>
      <c r="E19" s="17" t="inlineStr">
        <is>
          <t>Claude knowledge</t>
        </is>
      </c>
      <c r="F19" s="18" t="inlineStr">
        <is>
          <t>Tool-call accuracy</t>
        </is>
      </c>
      <c r="G19" s="18" t="inlineStr">
        <is>
          <t>How do you measure whether an agent calls the right tools with the right arguments?</t>
        </is>
      </c>
      <c r="H19" s="18" t="inlineStr">
        <is>
          <t>Core concept</t>
        </is>
      </c>
      <c r="I19" s="18" t="inlineStr">
        <is>
          <t>High</t>
        </is>
      </c>
      <c r="J19" s="18" t="n">
        <v>5</v>
      </c>
      <c r="K19" s="18" t="inlineStr">
        <is>
          <t>Agents act through tools, so their choices and arguments must be checked, not just their final words.</t>
        </is>
      </c>
      <c r="L19" s="18" t="inlineStr">
        <is>
          <t>Log every tool call and compare against expected calls on test tasks.</t>
        </is>
      </c>
      <c r="M19" s="18" t="inlineStr">
        <is>
          <t>Tool-call accuracy checks whether the apprentice picked the right tool and used it correctly.</t>
        </is>
      </c>
      <c r="N19" s="18" t="inlineStr">
        <is>
          <t>A table of expected and actual tool calls.</t>
        </is>
      </c>
      <c r="O19" s="18" t="inlineStr">
        <is>
          <t>The clarity of checking actions, not just words.</t>
        </is>
      </c>
      <c r="P19" s="18" t="inlineStr">
        <is>
          <t>Tool-call accuracy measures whether an agent selected the correct tool, supplied valid and correct arguments, avoided unnecessary or forbidden calls and handled errors, compared with expected calls on test tasks.</t>
        </is>
      </c>
      <c r="Q19" s="17" t="n"/>
      <c r="R19" s="18" t="inlineStr">
        <is>
          <t>Metrics include correct tool selection rate, argument correctness, number of calls, avoided forbidden calls and recovery after errors. Some tasks have more than one valid path, so compare outcomes as well as exact calls. Use mocks for tools in tests to keep them repeatable. Review traces of failures for patterns.</t>
        </is>
      </c>
      <c r="S19" s="18" t="inlineStr">
        <is>
          <t>Compare actual tool calls with expected ones and check outcomes and errors.</t>
        </is>
      </c>
      <c r="T19" s="18" t="inlineStr">
        <is>
          <t>Tool-call accuracy checks whether the apprentice picked the right tool and used it correctly.</t>
        </is>
      </c>
      <c r="U19" s="18" t="inlineStr">
        <is>
          <t>Right tool + right arguments + no forbidden calls.</t>
        </is>
      </c>
      <c r="V19" s="18" t="inlineStr">
        <is>
          <t>The order lookup called with the correct id.</t>
        </is>
      </c>
      <c r="W19" s="18" t="inlineStr">
        <is>
          <t>A refund tool called when not allowed.</t>
        </is>
      </c>
      <c r="X19" s="18" t="inlineStr">
        <is>
          <t>A retry after a tool error.</t>
        </is>
      </c>
      <c r="Y19" s="18" t="inlineStr">
        <is>
          <t>task success, tool calling, agents and loops, guardrails</t>
        </is>
      </c>
      <c r="Z19" s="18" t="inlineStr">
        <is>
          <t>tool call, arguments, trace, mock, forbidden</t>
        </is>
      </c>
      <c r="AA19" s="18" t="inlineStr">
        <is>
          <t>Agent evaluation | Testing | Safety reviews</t>
        </is>
      </c>
      <c r="AB19" s="18" t="inlineStr">
        <is>
          <t>A: The final answer is fine but did it call tools correctly? | B: Check the trace against expected calls.</t>
        </is>
      </c>
      <c r="AC19" s="18" t="inlineStr">
        <is>
          <t>✗ A good final answer proves the agent behaved correctly → ✓ It may have used wrong or risky tools on the way</t>
        </is>
      </c>
      <c r="AD19" s="18" t="inlineStr">
        <is>
          <t>Outcome vs trace evaluation: final result versus the steps taken.</t>
        </is>
      </c>
      <c r="AE19" s="18" t="inlineStr">
        <is>
          <t>Do not run agent tests against real systems.</t>
        </is>
      </c>
      <c r="AF19" s="18" t="inlineStr">
        <is>
          <t>Check the steps, not only the answer.</t>
        </is>
      </c>
      <c r="AG19" s="18" t="inlineStr">
        <is>
          <t>Trace checks found an agent calling a risky tool that final answers had hidden.</t>
        </is>
      </c>
      <c r="AH19" s="18" t="inlineStr">
        <is>
          <t>An interviewer may ask: How do you evaluate an agent?</t>
        </is>
      </c>
      <c r="AI19" s="18" t="inlineStr">
        <is>
          <t>It is like checking the tools an apprentice picked.</t>
        </is>
      </c>
      <c r="AJ19" s="18" t="inlineStr">
        <is>
          <t>What do tests use in place of real tools?</t>
        </is>
      </c>
      <c r="AK19" s="18" t="inlineStr">
        <is>
          <t>A) Humans only B) Mocks C) Nothing D) Production systems</t>
        </is>
      </c>
      <c r="AL19" s="18" t="inlineStr">
        <is>
          <t>B</t>
        </is>
      </c>
      <c r="AM19" s="18" t="inlineStr">
        <is>
          <t>Mocks keep tests safe and repeatable.</t>
        </is>
      </c>
      <c r="AN19" s="18" t="inlineStr">
        <is>
          <t>A recorded sequence of agent steps is a ____ → trace</t>
        </is>
      </c>
      <c r="AO19" s="18" t="inlineStr">
        <is>
          <t>An agent may call forbidden tools. What do you test? → That it never calls them</t>
        </is>
      </c>
      <c r="AP19" s="18" t="inlineStr">
        <is>
          <t>Explain tool-call accuracy in three lines.</t>
        </is>
      </c>
      <c r="AQ19" s="18" t="inlineStr">
        <is>
          <t>Write expected tool calls for a refund request test.</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94.5" customHeight="1">
      <c r="A20" s="17" t="inlineStr">
        <is>
          <t>EVL-020</t>
        </is>
      </c>
      <c r="B20" s="17" t="inlineStr">
        <is>
          <t>03 RAG and Agents</t>
        </is>
      </c>
      <c r="C20" s="17" t="inlineStr">
        <is>
          <t>Advanced</t>
        </is>
      </c>
      <c r="D20" s="17" t="n">
        <v>20</v>
      </c>
      <c r="E20" s="17" t="inlineStr">
        <is>
          <t>Claude knowledge</t>
        </is>
      </c>
      <c r="F20" s="18" t="inlineStr">
        <is>
          <t>Task success</t>
        </is>
      </c>
      <c r="G20" s="18" t="inlineStr">
        <is>
          <t>How do you measure whether an agent completed the goal?</t>
        </is>
      </c>
      <c r="H20" s="18" t="inlineStr">
        <is>
          <t>Core concept</t>
        </is>
      </c>
      <c r="I20" s="18" t="inlineStr">
        <is>
          <t>Very high</t>
        </is>
      </c>
      <c r="J20" s="18" t="n">
        <v>5</v>
      </c>
      <c r="K20" s="18" t="inlineStr">
        <is>
          <t>Users care about outcomes, so agents are scored on whether the task was achieved, not just how they behaved.</t>
        </is>
      </c>
      <c r="L20" s="18" t="inlineStr">
        <is>
          <t>Define a checkable end state for every test task.</t>
        </is>
      </c>
      <c r="M20" s="18" t="inlineStr">
        <is>
          <t>Task success is checking whether the errand was actually done.</t>
        </is>
      </c>
      <c r="N20" s="18" t="inlineStr">
        <is>
          <t>A task with a final state check mark.</t>
        </is>
      </c>
      <c r="O20" s="18" t="inlineStr">
        <is>
          <t>The satisfaction of a measurable outcome.</t>
        </is>
      </c>
      <c r="P20" s="18" t="inlineStr">
        <is>
          <t>Task success measures whether an agent achieved the defined goal, checked by comparing the final state, such as a database record or file, or by rubric review, and is usually reported as a success rate with confidence.</t>
        </is>
      </c>
      <c r="Q20" s="17" t="n"/>
      <c r="R20" s="18" t="inlineStr">
        <is>
          <t>Good tasks have programmatic checks, such as whether the ticket was created with the right fields. Partial credit can reflect steps completed. Run each task several times, since agents vary. Report success rate, steps, cost and time together. Failures are classified by cause to guide improvement.</t>
        </is>
      </c>
      <c r="S20" s="18" t="inlineStr">
        <is>
          <t>Check the final state against the goal and report the success rate over several runs.</t>
        </is>
      </c>
      <c r="T20" s="18" t="inlineStr">
        <is>
          <t>Task success is checking whether the errand was actually done.</t>
        </is>
      </c>
      <c r="U20" s="18" t="inlineStr">
        <is>
          <t>Success rate = successful runs ÷ total runs.</t>
        </is>
      </c>
      <c r="V20" s="18" t="inlineStr">
        <is>
          <t>A ticket created with the correct priority.</t>
        </is>
      </c>
      <c r="W20" s="18" t="inlineStr">
        <is>
          <t>A file renamed as requested.</t>
        </is>
      </c>
      <c r="X20" s="18" t="inlineStr">
        <is>
          <t>Seven of ten runs succeeding.</t>
        </is>
      </c>
      <c r="Y20" s="18" t="inlineStr">
        <is>
          <t>tool-call accuracy, cost and latency, eval harness, statistical care</t>
        </is>
      </c>
      <c r="Z20" s="18" t="inlineStr">
        <is>
          <t>success rate, end state, goal, partial credit, runs</t>
        </is>
      </c>
      <c r="AA20" s="18" t="inlineStr">
        <is>
          <t>Agent benchmarks | Release gates | Product reviews</t>
        </is>
      </c>
      <c r="AB20" s="18" t="inlineStr">
        <is>
          <t>A: Does the agent finish the job? | B: It succeeds in seven of ten runs, so we need to study the failures.</t>
        </is>
      </c>
      <c r="AC20" s="18" t="inlineStr">
        <is>
          <t>✗ One successful run shows reliability → ✓ Agents vary, so repeat runs are needed</t>
        </is>
      </c>
      <c r="AD20" s="18" t="inlineStr">
        <is>
          <t>Success vs steps: outcome versus the path.</t>
        </is>
      </c>
      <c r="AE20" s="18" t="inlineStr">
        <is>
          <t>Do not judge from a single run.</t>
        </is>
      </c>
      <c r="AF20" s="18" t="inlineStr">
        <is>
          <t>Check the end state, repeat the runs.</t>
        </is>
      </c>
      <c r="AG20" s="18" t="inlineStr">
        <is>
          <t>Repeating runs showed an agent's success rate was far lower than a demo suggested.</t>
        </is>
      </c>
      <c r="AH20" s="18" t="inlineStr">
        <is>
          <t>An interviewer may ask: How do you measure agent reliability?</t>
        </is>
      </c>
      <c r="AI20" s="18" t="inlineStr">
        <is>
          <t>It is like checking whether the errand was done.</t>
        </is>
      </c>
      <c r="AJ20" s="18" t="inlineStr">
        <is>
          <t>How is success usually checked?</t>
        </is>
      </c>
      <c r="AK20" s="18" t="inlineStr">
        <is>
          <t>A) By guessing B) By reading the first reply C) By counting words D) By comparing the final state with the goal</t>
        </is>
      </c>
      <c r="AL20" s="18" t="inlineStr">
        <is>
          <t>D</t>
        </is>
      </c>
      <c r="AM20" s="18" t="inlineStr">
        <is>
          <t>Outcomes can be verified.</t>
        </is>
      </c>
      <c r="AN20" s="18" t="inlineStr">
        <is>
          <t>Share of runs that reach the goal is the success ____ → rate</t>
        </is>
      </c>
      <c r="AO20" s="18" t="inlineStr">
        <is>
          <t>A demo run worked once. What do you do before trusting it? → Repeat it many times</t>
        </is>
      </c>
      <c r="AP20" s="18" t="inlineStr">
        <is>
          <t>Explain task success in three lines.</t>
        </is>
      </c>
      <c r="AQ20" s="18" t="inlineStr">
        <is>
          <t>Define the end-state check for a ticket creation task.</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108" customHeight="1">
      <c r="A21" s="17" t="inlineStr">
        <is>
          <t>EVL-021</t>
        </is>
      </c>
      <c r="B21" s="17" t="inlineStr">
        <is>
          <t>03 RAG and Agents</t>
        </is>
      </c>
      <c r="C21" s="17" t="inlineStr">
        <is>
          <t>Intermediate</t>
        </is>
      </c>
      <c r="D21" s="17" t="n">
        <v>21</v>
      </c>
      <c r="E21" s="17" t="inlineStr">
        <is>
          <t>Claude knowledge</t>
        </is>
      </c>
      <c r="F21" s="18" t="inlineStr">
        <is>
          <t>Cost and latency in evaluation</t>
        </is>
      </c>
      <c r="G21" s="18" t="inlineStr">
        <is>
          <t>Why must quality be reported together with cost and speed?</t>
        </is>
      </c>
      <c r="H21" s="18" t="inlineStr">
        <is>
          <t>Core concept</t>
        </is>
      </c>
      <c r="I21" s="18" t="inlineStr">
        <is>
          <t>High</t>
        </is>
      </c>
      <c r="J21" s="18" t="n">
        <v>5</v>
      </c>
      <c r="K21" s="18" t="inlineStr">
        <is>
          <t>A better answer that costs ten times more or takes a minute may not be a better product.</t>
        </is>
      </c>
      <c r="L21" s="18" t="inlineStr">
        <is>
          <t>Always show quality, cost and latency in the same table.</t>
        </is>
      </c>
      <c r="M21" s="18" t="inlineStr">
        <is>
          <t>Quality, cost and speed are the three sides of a triangle, and you cannot judge by one.</t>
        </is>
      </c>
      <c r="N21" s="18" t="inlineStr">
        <is>
          <t>A table with accuracy, cost per request and p95 latency per version.</t>
        </is>
      </c>
      <c r="O21" s="18" t="inlineStr">
        <is>
          <t>The calm realism of accepting trade-offs openly.</t>
        </is>
      </c>
      <c r="P21" s="18" t="inlineStr">
        <is>
          <t>Evaluating cost and latency means measuring tokens, price per request, time to first token and total time, including percentiles, and comparing them with quality to choose the best trade-off.</t>
        </is>
      </c>
      <c r="Q21" s="17" t="n"/>
      <c r="R21" s="18" t="inlineStr">
        <is>
          <t>Record input and output tokens, number of calls and tool steps per task. Use p50 and p95 latency, since slow tails hurt users. Compare versions on quality per cost. Set budgets as release gates. Smaller or cheaper models may meet the bar for easy tasks. Costs change over time, so recalculate with current prices.</t>
        </is>
      </c>
      <c r="S21" s="18" t="inlineStr">
        <is>
          <t>Report quality, cost and latency together and choose by trade-off.</t>
        </is>
      </c>
      <c r="T21" s="18" t="inlineStr">
        <is>
          <t>Quality, cost and speed are three sides of a triangle.</t>
        </is>
      </c>
      <c r="U21" s="18" t="inlineStr">
        <is>
          <t>Quality per cost, within a latency budget.</t>
        </is>
      </c>
      <c r="V21" s="18" t="inlineStr">
        <is>
          <t>Version B 3 points better but twice the cost.</t>
        </is>
      </c>
      <c r="W21" s="18" t="inlineStr">
        <is>
          <t>p95 latency over the target.</t>
        </is>
      </c>
      <c r="X21" s="18" t="inlineStr">
        <is>
          <t>A cheaper model passing the quality bar.</t>
        </is>
      </c>
      <c r="Y21" s="18" t="inlineStr">
        <is>
          <t>model choice, cost control, task success, A/B tests</t>
        </is>
      </c>
      <c r="Z21" s="18" t="inlineStr">
        <is>
          <t>cost, latency, p95, budget, trade-off</t>
        </is>
      </c>
      <c r="AA21" s="18" t="inlineStr">
        <is>
          <t>Model selection | Release decisions | Planning</t>
        </is>
      </c>
      <c r="AB21" s="18" t="inlineStr">
        <is>
          <t>A: Version B is more accurate. | B: Check its cost and latency before choosing it.</t>
        </is>
      </c>
      <c r="AC21" s="18" t="inlineStr">
        <is>
          <t>✗ Higher quality always justifies higher cost → ✓ The product needs an acceptable balance</t>
        </is>
      </c>
      <c r="AD21" s="18" t="inlineStr">
        <is>
          <t>Average vs p95 latency: typical versus slow tail.</t>
        </is>
      </c>
      <c r="AE21" s="18" t="inlineStr">
        <is>
          <t>Do not compare quality without cost.</t>
        </is>
      </c>
      <c r="AF21" s="18" t="inlineStr">
        <is>
          <t>Quality, cost and speed always travel together.</t>
        </is>
      </c>
      <c r="AG21" s="18" t="inlineStr">
        <is>
          <t>A cost-quality table led to a cheaper model for easy tickets without losing accuracy.</t>
        </is>
      </c>
      <c r="AH21" s="18" t="inlineStr">
        <is>
          <t>An interviewer may ask: How do you choose between two models?</t>
        </is>
      </c>
      <c r="AI21" s="18" t="inlineStr">
        <is>
          <t>It is like a triangle of three sides.</t>
        </is>
      </c>
      <c r="AJ21" s="18" t="inlineStr">
        <is>
          <t>Which should be reported together?</t>
        </is>
      </c>
      <c r="AK21" s="18" t="inlineStr">
        <is>
          <t>A) Font and logo B) Age and name C) Colour and size D) Quality, cost and latency</t>
        </is>
      </c>
      <c r="AL21" s="18" t="inlineStr">
        <is>
          <t>D</t>
        </is>
      </c>
      <c r="AM21" s="18" t="inlineStr">
        <is>
          <t>The trade-off decides the best choice.</t>
        </is>
      </c>
      <c r="AN21" s="18" t="inlineStr">
        <is>
          <t>The time until the first output appears is time to first ____ → token</t>
        </is>
      </c>
      <c r="AO21" s="18" t="inlineStr">
        <is>
          <t>A model is better but much slower. What do you consider? → The quality, cost and latency trade-off</t>
        </is>
      </c>
      <c r="AP21" s="18" t="inlineStr">
        <is>
          <t>Explain why cost and latency belong in evaluation.</t>
        </is>
      </c>
      <c r="AQ21" s="18" t="inlineStr">
        <is>
          <t>Build a comparison table for three model options.</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08" customHeight="1">
      <c r="A22" s="17" t="inlineStr">
        <is>
          <t>EVL-022</t>
        </is>
      </c>
      <c r="B22" s="17" t="inlineStr">
        <is>
          <t>04 Safety and Robustness</t>
        </is>
      </c>
      <c r="C22" s="17" t="inlineStr">
        <is>
          <t>Advanced</t>
        </is>
      </c>
      <c r="D22" s="17" t="n">
        <v>22</v>
      </c>
      <c r="E22" s="17" t="inlineStr">
        <is>
          <t>Claude knowledge</t>
        </is>
      </c>
      <c r="F22" s="18" t="inlineStr">
        <is>
          <t>Red teaming</t>
        </is>
      </c>
      <c r="G22" s="18" t="inlineStr">
        <is>
          <t>How do people deliberately try to break an AI system to find weaknesses?</t>
        </is>
      </c>
      <c r="H22" s="18" t="inlineStr">
        <is>
          <t>Core concept</t>
        </is>
      </c>
      <c r="I22" s="18" t="inlineStr">
        <is>
          <t>High</t>
        </is>
      </c>
      <c r="J22" s="18" t="n">
        <v>5</v>
      </c>
      <c r="K22" s="18" t="inlineStr">
        <is>
          <t>Normal tests miss creative misuse, so testers act like attackers to find failures before real attackers do.</t>
        </is>
      </c>
      <c r="L22" s="18" t="inlineStr">
        <is>
          <t>Mix human creativity with automated attack generation, and fix and retest.</t>
        </is>
      </c>
      <c r="M22" s="18" t="inlineStr">
        <is>
          <t>Red teaming is hiring a friendly burglar to test your locks.</t>
        </is>
      </c>
      <c r="N22" s="18" t="inlineStr">
        <is>
          <t>A tester trying many tricks on a chatbot.</t>
        </is>
      </c>
      <c r="O22" s="18" t="inlineStr">
        <is>
          <t>The humility of finding weaknesses early.</t>
        </is>
      </c>
      <c r="P22" s="18" t="inlineStr">
        <is>
          <t>Red teaming is structured adversarial testing in which testers try to make a system produce harmful, leaking, off-policy or incorrect behaviour, using prompts, tools and multi-step attacks, and findings drive fixes and new tests.</t>
        </is>
      </c>
      <c r="Q22" s="17" t="n"/>
      <c r="R22" s="18" t="inlineStr">
        <is>
          <t>Scope covers harmful content, privacy leaks, injection, jailbreaks, bias and misuse of tools. Use diverse testers and a taxonomy of attacks. Log successful attacks with severity, fix by prompts, guardrails and permissions, and add them to regression tests. Repeat after major changes. It complements, but does not replace, normal evaluation.</t>
        </is>
      </c>
      <c r="S22" s="18" t="inlineStr">
        <is>
          <t>Attack your own system on purpose, record what works, fix it and retest.</t>
        </is>
      </c>
      <c r="T22" s="18" t="inlineStr">
        <is>
          <t>Red teaming is hiring a friendly burglar to test your locks.</t>
        </is>
      </c>
      <c r="U22" s="18" t="inlineStr">
        <is>
          <t>Attack, record, fix, retest.</t>
        </is>
      </c>
      <c r="V22" s="18" t="inlineStr">
        <is>
          <t>A tester extracting hidden instructions.</t>
        </is>
      </c>
      <c r="W22" s="18" t="inlineStr">
        <is>
          <t>A prompt tricking the bot into off-policy advice.</t>
        </is>
      </c>
      <c r="X22" s="18" t="inlineStr">
        <is>
          <t>A successful attack added to the regression set.</t>
        </is>
      </c>
      <c r="Y22" s="18" t="inlineStr">
        <is>
          <t>prompt injection tests, edge cases, guardrails, regression tests</t>
        </is>
      </c>
      <c r="Z22" s="18" t="inlineStr">
        <is>
          <t>red team, jailbreak, adversarial, severity, taxonomy</t>
        </is>
      </c>
      <c r="AA22" s="18" t="inlineStr">
        <is>
          <t>Launch reviews | Security | Regulated systems</t>
        </is>
      </c>
      <c r="AB22" s="18" t="inlineStr">
        <is>
          <t>A: Before launch, how do we test misuse? | B: Run a red team session and save every successful attack as a test.</t>
        </is>
      </c>
      <c r="AC22" s="18" t="inlineStr">
        <is>
          <t>✗ Red teaming once before launch is enough → ✓ Systems change, so it must be repeated</t>
        </is>
      </c>
      <c r="AD22" s="18" t="inlineStr">
        <is>
          <t>Red teaming vs ordinary testing: adversarial creativity versus expected use.</t>
        </is>
      </c>
      <c r="AE22" s="18" t="inlineStr">
        <is>
          <t>Do not ignore findings without a severity rating.</t>
        </is>
      </c>
      <c r="AF22" s="18" t="inlineStr">
        <is>
          <t>Attack it, log it, fix it, then retest it.</t>
        </is>
      </c>
      <c r="AG22" s="18" t="inlineStr">
        <is>
          <t>A red team found a data leak path that was closed before launch.</t>
        </is>
      </c>
      <c r="AH22" s="18" t="inlineStr">
        <is>
          <t>An interviewer may ask: What is red teaming?</t>
        </is>
      </c>
      <c r="AI22" s="18" t="inlineStr">
        <is>
          <t>It is like a friendly burglar testing the locks.</t>
        </is>
      </c>
      <c r="AJ22" s="18" t="inlineStr">
        <is>
          <t>What should happen to successful attacks?</t>
        </is>
      </c>
      <c r="AK22" s="18" t="inlineStr">
        <is>
          <t>A) They are hidden B) They become regression tests after fixing C) They are forgotten D) They are published</t>
        </is>
      </c>
      <c r="AL22" s="18" t="inlineStr">
        <is>
          <t>B</t>
        </is>
      </c>
      <c r="AM22" s="18" t="inlineStr">
        <is>
          <t>Tests stop them returning.</t>
        </is>
      </c>
      <c r="AN22" s="18" t="inlineStr">
        <is>
          <t>An attempt to bypass a model's rules is a ____ → jailbreak</t>
        </is>
      </c>
      <c r="AO22" s="18" t="inlineStr">
        <is>
          <t>A tester extracts hidden instructions. What do you do? → Fix it and add the attack to the tests</t>
        </is>
      </c>
      <c r="AP22" s="18" t="inlineStr">
        <is>
          <t>Explain red teaming in three lines.</t>
        </is>
      </c>
      <c r="AQ22" s="18" t="inlineStr">
        <is>
          <t>List ten attack ideas for a customer support bot.</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108" customHeight="1">
      <c r="A23" s="17" t="inlineStr">
        <is>
          <t>EVL-023</t>
        </is>
      </c>
      <c r="B23" s="17" t="inlineStr">
        <is>
          <t>04 Safety and Robustness</t>
        </is>
      </c>
      <c r="C23" s="17" t="inlineStr">
        <is>
          <t>Intermediate</t>
        </is>
      </c>
      <c r="D23" s="17" t="n">
        <v>23</v>
      </c>
      <c r="E23" s="17" t="inlineStr">
        <is>
          <t>Claude knowledge</t>
        </is>
      </c>
      <c r="F23" s="18" t="inlineStr">
        <is>
          <t>Edge cases</t>
        </is>
      </c>
      <c r="G23" s="18" t="inlineStr">
        <is>
          <t>Which unusual inputs most often break AI systems?</t>
        </is>
      </c>
      <c r="H23" s="18" t="inlineStr">
        <is>
          <t>Core concept</t>
        </is>
      </c>
      <c r="I23" s="18" t="inlineStr">
        <is>
          <t>High</t>
        </is>
      </c>
      <c r="J23" s="18" t="n">
        <v>4</v>
      </c>
      <c r="K23" s="18" t="inlineStr">
        <is>
          <t>Systems work on typical inputs, so rare and odd inputs expose hidden weaknesses.</t>
        </is>
      </c>
      <c r="L23" s="18" t="inlineStr">
        <is>
          <t>Collect edge cases from real logs and add each one as a test.</t>
        </is>
      </c>
      <c r="M23" s="18" t="inlineStr">
        <is>
          <t>Edge cases are the corner of the room where dust hides.</t>
        </is>
      </c>
      <c r="N23" s="18" t="inlineStr">
        <is>
          <t>A map of typical inputs with odd cases at the edges.</t>
        </is>
      </c>
      <c r="O23" s="18" t="inlineStr">
        <is>
          <t>The thoroughness of testing the corners.</t>
        </is>
      </c>
      <c r="P23" s="18" t="inlineStr">
        <is>
          <t>Edge cases are rare or unusual inputs, such as empty text, very long text, mixed languages, typos, ambiguous questions, conflicting sources, special characters and out-of-scope requests, which test the limits of a system.</t>
        </is>
      </c>
      <c r="Q23" s="17" t="n"/>
      <c r="R23" s="18" t="inlineStr">
        <is>
          <t>Build a list by category. Test empty and huge inputs, other languages, formatting oddities, sarcasm, contradictory documents and requests the system should refuse. Record expected behaviour, such as a polite refusal or a clarifying question. Real user logs reveal new edge cases. Add each failure as a regression test.</t>
        </is>
      </c>
      <c r="S23" s="18" t="inlineStr">
        <is>
          <t>Test odd and extreme inputs, define expected behaviour and keep them as tests.</t>
        </is>
      </c>
      <c r="T23" s="18" t="inlineStr">
        <is>
          <t>Edge cases are the corner of the room where dust hides.</t>
        </is>
      </c>
      <c r="U23" s="18" t="inlineStr">
        <is>
          <t>Typical cases pass, edges reveal weakness.</t>
        </is>
      </c>
      <c r="V23" s="18" t="inlineStr">
        <is>
          <t>An empty message.</t>
        </is>
      </c>
      <c r="W23" s="18" t="inlineStr">
        <is>
          <t>A question mixing two languages.</t>
        </is>
      </c>
      <c r="X23" s="18" t="inlineStr">
        <is>
          <t>An out-of-scope request expecting a refusal.</t>
        </is>
      </c>
      <c r="Y23" s="18" t="inlineStr">
        <is>
          <t>test sets, red teaming, regression tests, refusal quality</t>
        </is>
      </c>
      <c r="Z23" s="18" t="inlineStr">
        <is>
          <t>edge case, corner case, out-of-scope, ambiguity, robustness</t>
        </is>
      </c>
      <c r="AA23" s="18" t="inlineStr">
        <is>
          <t>Test design | Quality assurance | Launch checks</t>
        </is>
      </c>
      <c r="AB23" s="18" t="inlineStr">
        <is>
          <t>A: The bot fails on very long messages. | B: Add long inputs to the edge case tests.</t>
        </is>
      </c>
      <c r="AC23" s="18" t="inlineStr">
        <is>
          <t>✗ Typical examples are enough for testing → ✓ Failures cluster at unusual inputs</t>
        </is>
      </c>
      <c r="AD23" s="18" t="inlineStr">
        <is>
          <t>Typical vs edge cases: common inputs versus rare extremes.</t>
        </is>
      </c>
      <c r="AE23" s="18" t="inlineStr">
        <is>
          <t>Do not skip empty and oversized inputs.</t>
        </is>
      </c>
      <c r="AF23" s="18" t="inlineStr">
        <is>
          <t>Test the corners, not only the middle.</t>
        </is>
      </c>
      <c r="AG23" s="18" t="inlineStr">
        <is>
          <t>Edge case tests found a crash on empty messages.</t>
        </is>
      </c>
      <c r="AH23" s="18" t="inlineStr">
        <is>
          <t>An interviewer may ask: What edge cases would you test for a chatbot?</t>
        </is>
      </c>
      <c r="AI23" s="18" t="inlineStr">
        <is>
          <t>It is like corners where dust hides.</t>
        </is>
      </c>
      <c r="AJ23" s="18" t="inlineStr">
        <is>
          <t>Which is an edge case?</t>
        </is>
      </c>
      <c r="AK23" s="18" t="inlineStr">
        <is>
          <t>A) An empty message B) A normal question C) A short thanks D) A greeting</t>
        </is>
      </c>
      <c r="AL23" s="18" t="inlineStr">
        <is>
          <t>A</t>
        </is>
      </c>
      <c r="AM23" s="18" t="inlineStr">
        <is>
          <t>It is unusual and often breaks systems.</t>
        </is>
      </c>
      <c r="AN23" s="18" t="inlineStr">
        <is>
          <t>A request outside the system's purpose is ____ → out-of-scope</t>
        </is>
      </c>
      <c r="AO23" s="18" t="inlineStr">
        <is>
          <t>A bot crashes on huge inputs. What do you add? → Edge case tests with long inputs</t>
        </is>
      </c>
      <c r="AP23" s="18" t="inlineStr">
        <is>
          <t>Explain edge cases in three lines.</t>
        </is>
      </c>
      <c r="AQ23" s="18" t="inlineStr">
        <is>
          <t>List ten edge cases for a support assistant.</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121.5" customHeight="1">
      <c r="A24" s="17" t="inlineStr">
        <is>
          <t>EVL-024</t>
        </is>
      </c>
      <c r="B24" s="17" t="inlineStr">
        <is>
          <t>04 Safety and Robustness</t>
        </is>
      </c>
      <c r="C24" s="17" t="inlineStr">
        <is>
          <t>Advanced</t>
        </is>
      </c>
      <c r="D24" s="17" t="n">
        <v>24</v>
      </c>
      <c r="E24" s="17" t="inlineStr">
        <is>
          <t>Claude knowledge</t>
        </is>
      </c>
      <c r="F24" s="18" t="inlineStr">
        <is>
          <t>Prompt injection tests</t>
        </is>
      </c>
      <c r="G24" s="18" t="inlineStr">
        <is>
          <t>How do you test whether hidden instructions can hijack your system?</t>
        </is>
      </c>
      <c r="H24" s="18" t="inlineStr">
        <is>
          <t>Core concept</t>
        </is>
      </c>
      <c r="I24" s="18" t="inlineStr">
        <is>
          <t>High</t>
        </is>
      </c>
      <c r="J24" s="18" t="n">
        <v>5</v>
      </c>
      <c r="K24" s="18" t="inlineStr">
        <is>
          <t>Injection is a main threat to tool-using systems, so tests plant malicious instructions in data and check the result.</t>
        </is>
      </c>
      <c r="L24" s="18" t="inlineStr">
        <is>
          <t>Test through every input channel, such as documents, web pages, emails and tool outputs.</t>
        </is>
      </c>
      <c r="M24" s="18" t="inlineStr">
        <is>
          <t>Injection tests slip forged notes into the paperwork to see whether the assistant obeys.</t>
        </is>
      </c>
      <c r="N24" s="18" t="inlineStr">
        <is>
          <t>A document with a hidden instruction and a flagged tool call.</t>
        </is>
      </c>
      <c r="O24" s="18" t="inlineStr">
        <is>
          <t>The alertness of checking every channel.</t>
        </is>
      </c>
      <c r="P24" s="18" t="inlineStr">
        <is>
          <t>Prompt injection tests insert adversarial instructions into user input, retrieved documents, web content and tool outputs, and verify that the system ignores them and never performs forbidden actions or leaks data.</t>
        </is>
      </c>
      <c r="Q24" s="17" t="n"/>
      <c r="R24" s="18" t="inlineStr">
        <is>
          <t>Build a library of injection payloads, including direct, hidden and encoded forms. Plant them in test documents and run the full pipeline with mock tools. Pass means no forbidden tool call, no secret revealed and the user's task continues. Measure attack success rate, and retest after each defence change. Combine with permission limits as the real defence.</t>
        </is>
      </c>
      <c r="S24" s="18" t="inlineStr">
        <is>
          <t>Plant malicious instructions in every channel and check nothing forbidden happens.</t>
        </is>
      </c>
      <c r="T24" s="18" t="inlineStr">
        <is>
          <t>Injection tests slip forged notes into the paperwork to see whether the assistant obeys.</t>
        </is>
      </c>
      <c r="U24" s="18" t="inlineStr">
        <is>
          <t>Payload in, forbidden action out means failure.</t>
        </is>
      </c>
      <c r="V24" s="18" t="inlineStr">
        <is>
          <t>A web page telling the agent to email files.</t>
        </is>
      </c>
      <c r="W24" s="18" t="inlineStr">
        <is>
          <t>A document asking for the system prompt.</t>
        </is>
      </c>
      <c r="X24" s="18" t="inlineStr">
        <is>
          <t>An attack success rate of 5 percent.</t>
        </is>
      </c>
      <c r="Y24" s="18" t="inlineStr">
        <is>
          <t>prompt injection, red teaming, guardrails, tool-call accuracy</t>
        </is>
      </c>
      <c r="Z24" s="18" t="inlineStr">
        <is>
          <t>injection, payload, channel, success rate, mock</t>
        </is>
      </c>
      <c r="AA24" s="18" t="inlineStr">
        <is>
          <t>Agent testing | Security reviews | RAG systems</t>
        </is>
      </c>
      <c r="AB24" s="18" t="inlineStr">
        <is>
          <t>A: How do we know the agent resists injection? | B: Plant payloads in documents and check it makes no forbidden calls.</t>
        </is>
      </c>
      <c r="AC24" s="18" t="inlineStr">
        <is>
          <t>✗ Testing the chat box alone covers injection → ✓ Documents, pages and tool outputs are attack channels too</t>
        </is>
      </c>
      <c r="AD24" s="18" t="inlineStr">
        <is>
          <t>Direct vs indirect injection tests: user typed versus hidden in data.</t>
        </is>
      </c>
      <c r="AE24" s="18" t="inlineStr">
        <is>
          <t>Do not test against real tools.</t>
        </is>
      </c>
      <c r="AF24" s="18" t="inlineStr">
        <is>
          <t>Test every channel, with mock tools.</t>
        </is>
      </c>
      <c r="AG24" s="18" t="inlineStr">
        <is>
          <t>Planted payloads in documents revealed an agent that obeyed hidden instructions.</t>
        </is>
      </c>
      <c r="AH24" s="18" t="inlineStr">
        <is>
          <t>An interviewer may ask: How do you test for prompt injection?</t>
        </is>
      </c>
      <c r="AI24" s="18" t="inlineStr">
        <is>
          <t>It is like slipping forged notes into paperwork.</t>
        </is>
      </c>
      <c r="AJ24" s="18" t="inlineStr">
        <is>
          <t>What counts as a failure in an injection test?</t>
        </is>
      </c>
      <c r="AK24" s="18" t="inlineStr">
        <is>
          <t>A) A polite refusal B) A short reply C) A forbidden tool call D) A normal answer</t>
        </is>
      </c>
      <c r="AL24" s="18" t="inlineStr">
        <is>
          <t>C</t>
        </is>
      </c>
      <c r="AM24" s="18" t="inlineStr">
        <is>
          <t>The attack succeeded in causing an action.</t>
        </is>
      </c>
      <c r="AN24" s="18" t="inlineStr">
        <is>
          <t>The percentage of attacks that work is the attack success ____ → rate</t>
        </is>
      </c>
      <c r="AO24" s="18" t="inlineStr">
        <is>
          <t>An agent reads web pages. What do you test? → That page text cannot trigger forbidden actions</t>
        </is>
      </c>
      <c r="AP24" s="18" t="inlineStr">
        <is>
          <t>Explain injection testing in three lines.</t>
        </is>
      </c>
      <c r="AQ24" s="18" t="inlineStr">
        <is>
          <t>Write five injection payloads for a document assistant.</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108" customHeight="1">
      <c r="A25" s="17" t="inlineStr">
        <is>
          <t>EVL-025</t>
        </is>
      </c>
      <c r="B25" s="17" t="inlineStr">
        <is>
          <t>04 Safety and Robustness</t>
        </is>
      </c>
      <c r="C25" s="17" t="inlineStr">
        <is>
          <t>Advanced</t>
        </is>
      </c>
      <c r="D25" s="17" t="n">
        <v>25</v>
      </c>
      <c r="E25" s="17" t="inlineStr">
        <is>
          <t>Claude knowledge</t>
        </is>
      </c>
      <c r="F25" s="18" t="inlineStr">
        <is>
          <t>Bias checks</t>
        </is>
      </c>
      <c r="G25" s="18" t="inlineStr">
        <is>
          <t>How do you test whether a system treats groups of people unfairly?</t>
        </is>
      </c>
      <c r="H25" s="18" t="inlineStr">
        <is>
          <t>Core concept</t>
        </is>
      </c>
      <c r="I25" s="18" t="inlineStr">
        <is>
          <t>Medium</t>
        </is>
      </c>
      <c r="J25" s="18" t="n">
        <v>5</v>
      </c>
      <c r="K25" s="18" t="inlineStr">
        <is>
          <t>Models learn patterns from data and may treat names, genders, regions or languages differently, so fairness needs testing.</t>
        </is>
      </c>
      <c r="L25" s="18" t="inlineStr">
        <is>
          <t>Test paired inputs that differ only in a sensitive attribute and compare outcomes.</t>
        </is>
      </c>
      <c r="M25" s="18" t="inlineStr">
        <is>
          <t>Bias checks are asking the same question in different voices and seeing whether the answer changes unfairly.</t>
        </is>
      </c>
      <c r="N25" s="18" t="inlineStr">
        <is>
          <t>Two near-identical inputs with different outcomes highlighted.</t>
        </is>
      </c>
      <c r="O25" s="18" t="inlineStr">
        <is>
          <t>The quiet responsibility of treating every user fairly.</t>
        </is>
      </c>
      <c r="P25" s="18" t="inlineStr">
        <is>
          <t>Bias checks compare system behaviour across groups or attributes, using paired or counterfactual inputs, subgroup metrics and reviews, to find unfair differences in quality, tone, refusals or decisions.</t>
        </is>
      </c>
      <c r="Q25" s="17" t="n"/>
      <c r="R25" s="18" t="inlineStr">
        <is>
          <t>Swap names, genders, ethnic markers or dialects in otherwise identical prompts and compare scores and tone. Report metrics per subgroup rather than one average. Consider the impact of errors on each group. Mitigate with data, prompts, guardrails and human review, and document limits. Sensitive decisions need extra scrutiny and legal advice.</t>
        </is>
      </c>
      <c r="S25" s="18" t="inlineStr">
        <is>
          <t>Compare outcomes across groups on matched inputs and report per-group metrics.</t>
        </is>
      </c>
      <c r="T25" s="18" t="inlineStr">
        <is>
          <t>Bias checks are asking the same question in different voices and seeing whether the answer changes unfairly.</t>
        </is>
      </c>
      <c r="U25" s="18" t="inlineStr">
        <is>
          <t>Same input, different attribute, compare outcomes.</t>
        </is>
      </c>
      <c r="V25" s="18" t="inlineStr">
        <is>
          <t>Two CVs identical except for the name.</t>
        </is>
      </c>
      <c r="W25" s="18" t="inlineStr">
        <is>
          <t>Lower quality answers in a regional dialect.</t>
        </is>
      </c>
      <c r="X25" s="18" t="inlineStr">
        <is>
          <t>Per-group error rates.</t>
        </is>
      </c>
      <c r="Y25" s="18" t="inlineStr">
        <is>
          <t>precision and recall, red teaming, human review, test sets</t>
        </is>
      </c>
      <c r="Z25" s="18" t="inlineStr">
        <is>
          <t>bias, fairness, counterfactual, subgroup, parity</t>
        </is>
      </c>
      <c r="AA25" s="18" t="inlineStr">
        <is>
          <t>Hiring tools | Finance | Public services</t>
        </is>
      </c>
      <c r="AB25" s="18" t="inlineStr">
        <is>
          <t>A: Does the bot treat names the same? | B: Test paired inputs that differ only in the name.</t>
        </is>
      </c>
      <c r="AC25" s="18" t="inlineStr">
        <is>
          <t>✗ A good average score means the system is fair → ✓ Averages can hide poor performance for a group</t>
        </is>
      </c>
      <c r="AD25" s="18" t="inlineStr">
        <is>
          <t>Average vs subgroup metrics: overall versus per group.</t>
        </is>
      </c>
      <c r="AE25" s="18" t="inlineStr">
        <is>
          <t>Do not report only overall accuracy.</t>
        </is>
      </c>
      <c r="AF25" s="18" t="inlineStr">
        <is>
          <t>Match the inputs, split the metrics.</t>
        </is>
      </c>
      <c r="AG25" s="18" t="inlineStr">
        <is>
          <t>Subgroup metrics revealed lower accuracy on one dialect, which led to extra test data.</t>
        </is>
      </c>
      <c r="AH25" s="18" t="inlineStr">
        <is>
          <t>An interviewer may ask: How do you check an LLM for bias?</t>
        </is>
      </c>
      <c r="AI25" s="18" t="inlineStr">
        <is>
          <t>It is like asking in different voices.</t>
        </is>
      </c>
      <c r="AJ25" s="18" t="inlineStr">
        <is>
          <t>What are counterfactual tests?</t>
        </is>
      </c>
      <c r="AK25" s="18" t="inlineStr">
        <is>
          <t>A) Long inputs B) Random inputs C) Inputs identical except for one attribute D) Empty inputs</t>
        </is>
      </c>
      <c r="AL25" s="18" t="inlineStr">
        <is>
          <t>C</t>
        </is>
      </c>
      <c r="AM25" s="18" t="inlineStr">
        <is>
          <t>Differences in output reveal bias.</t>
        </is>
      </c>
      <c r="AN25" s="18" t="inlineStr">
        <is>
          <t>Metrics split by group are ____ metrics → subgroup</t>
        </is>
      </c>
      <c r="AO25" s="18" t="inlineStr">
        <is>
          <t>Accuracy is lower for one language. What do you do? → Report subgroup metrics and add test data</t>
        </is>
      </c>
      <c r="AP25" s="18" t="inlineStr">
        <is>
          <t>Explain bias checks in three lines.</t>
        </is>
      </c>
      <c r="AQ25" s="18" t="inlineStr">
        <is>
          <t>Design a paired-input test that swaps only names and compare the scores for each pair.</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108" customHeight="1">
      <c r="A26" s="17" t="inlineStr">
        <is>
          <t>EVL-026</t>
        </is>
      </c>
      <c r="B26" s="17" t="inlineStr">
        <is>
          <t>04 Safety and Robustness</t>
        </is>
      </c>
      <c r="C26" s="17" t="inlineStr">
        <is>
          <t>Intermediate</t>
        </is>
      </c>
      <c r="D26" s="17" t="n">
        <v>26</v>
      </c>
      <c r="E26" s="17" t="inlineStr">
        <is>
          <t>Claude knowledge</t>
        </is>
      </c>
      <c r="F26" s="18" t="inlineStr">
        <is>
          <t>Refusal quality</t>
        </is>
      </c>
      <c r="G26" s="18" t="inlineStr">
        <is>
          <t>How do you judge whether the system refuses well when it should, and helps when it should?</t>
        </is>
      </c>
      <c r="H26" s="18" t="inlineStr">
        <is>
          <t>Core concept</t>
        </is>
      </c>
      <c r="I26" s="18" t="inlineStr">
        <is>
          <t>High</t>
        </is>
      </c>
      <c r="J26" s="18" t="n">
        <v>5</v>
      </c>
      <c r="K26" s="18" t="inlineStr">
        <is>
          <t>Too many refusals frustrate users, and too few create harm, so refusals themselves must be evaluated.</t>
        </is>
      </c>
      <c r="L26" s="18" t="inlineStr">
        <is>
          <t>Test both harmful requests and borderline harmless ones.</t>
        </is>
      </c>
      <c r="M26" s="18" t="inlineStr">
        <is>
          <t>A good doorman turns away trouble politely and still lets honest guests in.</t>
        </is>
      </c>
      <c r="N26" s="18" t="inlineStr">
        <is>
          <t>A matrix of requests that should be refused or answered.</t>
        </is>
      </c>
      <c r="O26" s="18" t="inlineStr">
        <is>
          <t>The balance of safety and helpfulness.</t>
        </is>
      </c>
      <c r="P26" s="18" t="inlineStr">
        <is>
          <t>Refusal quality evaluates correct refusal of disallowed requests, avoidance of over-refusal on legitimate ones, and the helpfulness and tone of the refusal, such as explaining why and offering safe alternatives.</t>
        </is>
      </c>
      <c r="Q26" s="17" t="n"/>
      <c r="R26" s="18" t="inlineStr">
        <is>
          <t>Build two sets: requests that must be refused and legitimate requests that look similar. Measure refusal rate on each, tracking false refusals and misses. Review tone: polite, clear and not preachy. Provide alternatives or next steps. Policies differ by product, so write them down. Re-test after prompt or model changes.</t>
        </is>
      </c>
      <c r="S26" s="18" t="inlineStr">
        <is>
          <t>Test that harmful requests are refused politely and normal ones are answered.</t>
        </is>
      </c>
      <c r="T26" s="18" t="inlineStr">
        <is>
          <t>A good doorman turns away trouble politely and still lets honest guests in.</t>
        </is>
      </c>
      <c r="U26" s="18" t="inlineStr">
        <is>
          <t>Refuse what must be refused, help with the rest.</t>
        </is>
      </c>
      <c r="V26" s="18" t="inlineStr">
        <is>
          <t>A bot declining unsafe advice with an alternative.</t>
        </is>
      </c>
      <c r="W26" s="18" t="inlineStr">
        <is>
          <t>A legitimate question wrongly refused.</t>
        </is>
      </c>
      <c r="X26" s="18" t="inlineStr">
        <is>
          <t>A harmful request answered by mistake.</t>
        </is>
      </c>
      <c r="Y26" s="18" t="inlineStr">
        <is>
          <t>moderation, guardrails, red teaming, edge cases</t>
        </is>
      </c>
      <c r="Z26" s="18" t="inlineStr">
        <is>
          <t>refusal, over-refusal, false refusal, policy, tone</t>
        </is>
      </c>
      <c r="AA26" s="18" t="inlineStr">
        <is>
          <t>Public chatbots | Education | Health tools</t>
        </is>
      </c>
      <c r="AB26" s="18" t="inlineStr">
        <is>
          <t>A: The bot refuses harmless questions. | B: That is over-refusal, so add borderline cases to the tests.</t>
        </is>
      </c>
      <c r="AC26" s="18" t="inlineStr">
        <is>
          <t>✗ More refusals always mean a safer system → ✓ Over-refusal harms usefulness and trust</t>
        </is>
      </c>
      <c r="AD26" s="18" t="inlineStr">
        <is>
          <t>False refusal vs missed refusal: blocking good requests versus allowing bad ones.</t>
        </is>
      </c>
      <c r="AE26" s="18" t="inlineStr">
        <is>
          <t>Do not measure only the refusal of harmful requests.</t>
        </is>
      </c>
      <c r="AF26" s="18" t="inlineStr">
        <is>
          <t>Measure both mistakes: too many and too few.</t>
        </is>
      </c>
      <c r="AG26" s="18" t="inlineStr">
        <is>
          <t>Adding borderline questions to tests cut false refusals in a health information bot.</t>
        </is>
      </c>
      <c r="AH26" s="18" t="inlineStr">
        <is>
          <t>An interviewer may ask: How do you evaluate refusals?</t>
        </is>
      </c>
      <c r="AI26" s="18" t="inlineStr">
        <is>
          <t>It is like a polite doorman.</t>
        </is>
      </c>
      <c r="AJ26" s="18" t="inlineStr">
        <is>
          <t>What is over-refusal?</t>
        </is>
      </c>
      <c r="AK26" s="18" t="inlineStr">
        <is>
          <t>A) Answering all B) Refusing legitimate requests C) Logging D) Refusing harmful requests</t>
        </is>
      </c>
      <c r="AL26" s="18" t="inlineStr">
        <is>
          <t>B</t>
        </is>
      </c>
      <c r="AM26" s="18" t="inlineStr">
        <is>
          <t>It frustrates users unnecessarily.</t>
        </is>
      </c>
      <c r="AN26" s="18" t="inlineStr">
        <is>
          <t>Blocking a legitimate request is a false ____ → refusal</t>
        </is>
      </c>
      <c r="AO26" s="18" t="inlineStr">
        <is>
          <t>Users complain about unnecessary refusals. What do you test? → Borderline harmless requests</t>
        </is>
      </c>
      <c r="AP26" s="18" t="inlineStr">
        <is>
          <t>Explain refusal quality in three lines.</t>
        </is>
      </c>
      <c r="AQ26" s="18" t="inlineStr">
        <is>
          <t>Write five borderline requests that should be answered.</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94.5" customHeight="1">
      <c r="A27" s="17" t="inlineStr">
        <is>
          <t>EVL-028</t>
        </is>
      </c>
      <c r="B27" s="17" t="inlineStr">
        <is>
          <t>05 Practice</t>
        </is>
      </c>
      <c r="C27" s="17" t="inlineStr">
        <is>
          <t>Advanced</t>
        </is>
      </c>
      <c r="D27" s="17" t="n">
        <v>28</v>
      </c>
      <c r="E27" s="17" t="inlineStr">
        <is>
          <t>Claude knowledge</t>
        </is>
      </c>
      <c r="F27" s="18" t="inlineStr">
        <is>
          <t>Prompt and model versioning</t>
        </is>
      </c>
      <c r="G27" s="18" t="inlineStr">
        <is>
          <t>How do you tie every evaluation result to exactly what was tested?</t>
        </is>
      </c>
      <c r="H27" s="18" t="inlineStr">
        <is>
          <t>Core concept</t>
        </is>
      </c>
      <c r="I27" s="18" t="inlineStr">
        <is>
          <t>High</t>
        </is>
      </c>
      <c r="J27" s="18" t="n">
        <v>5</v>
      </c>
      <c r="K27" s="18" t="inlineStr">
        <is>
          <t>Results mean little if you cannot tell which prompt, model and data produced them, so versions are recorded.</t>
        </is>
      </c>
      <c r="L27" s="18" t="inlineStr">
        <is>
          <t>Record prompt hash, model name, dataset version, parameters and code commit with each run.</t>
        </is>
      </c>
      <c r="M27" s="18" t="inlineStr">
        <is>
          <t>Versioning is writing the recipe card number on every photo of the dish.</t>
        </is>
      </c>
      <c r="N27" s="18" t="inlineStr">
        <is>
          <t>A results row with prompt, model and dataset version fields.</t>
        </is>
      </c>
      <c r="O27" s="18" t="inlineStr">
        <is>
          <t>The ability to reproduce any result.</t>
        </is>
      </c>
      <c r="P27" s="18" t="inlineStr">
        <is>
          <t>Versioning identifies the prompt text, model identifier, parameters, retrieval settings, tool definitions, dataset and code commit used in each evaluation and production call, so results can be reproduced and compared.</t>
        </is>
      </c>
      <c r="Q27" s="17" t="n"/>
      <c r="R27" s="18" t="inlineStr">
        <is>
          <t>Store prompts in version control, give models explicit identifiers, and log versions with each request. Providers update models, so pin versions where possible and re-run evaluations when they change. Keep an experiment log of changes and outcomes. Rolling back needs earlier versions to remain available.</t>
        </is>
      </c>
      <c r="S27" s="18" t="inlineStr">
        <is>
          <t>Record what was tested, so every result can be reproduced and compared.</t>
        </is>
      </c>
      <c r="T27" s="18" t="inlineStr">
        <is>
          <t>Versioning is writing the recipe card number on every photo of the dish.</t>
        </is>
      </c>
      <c r="U27" s="18" t="inlineStr">
        <is>
          <t>Result = prompt version + model + data + settings.</t>
        </is>
      </c>
      <c r="V27" s="18" t="inlineStr">
        <is>
          <t>A results file naming prompt v7 and dataset v3.</t>
        </is>
      </c>
      <c r="W27" s="18" t="inlineStr">
        <is>
          <t>A pinned model version.</t>
        </is>
      </c>
      <c r="X27" s="18" t="inlineStr">
        <is>
          <t>A rollback to prompt v6.</t>
        </is>
      </c>
      <c r="Y27" s="18" t="inlineStr">
        <is>
          <t>prompt versions, eval harness, drift monitoring, regression tests</t>
        </is>
      </c>
      <c r="Z27" s="18" t="inlineStr">
        <is>
          <t>version, pin, hash, experiment log, reproducibility</t>
        </is>
      </c>
      <c r="AA27" s="18" t="inlineStr">
        <is>
          <t>Experiments | Production | Audits</t>
        </is>
      </c>
      <c r="AB27" s="18" t="inlineStr">
        <is>
          <t>A: Quality changed overnight. | B: Check whether the provider updated the model version.</t>
        </is>
      </c>
      <c r="AC27" s="18" t="inlineStr">
        <is>
          <t>✗ The model name stays the same, so behaviour does too → ✓ Providers may update models, so pin and re-test</t>
        </is>
      </c>
      <c r="AD27" s="18" t="inlineStr">
        <is>
          <t>Pinned vs floating model: fixed behaviour versus changing behaviour.</t>
        </is>
      </c>
      <c r="AE27" s="18" t="inlineStr">
        <is>
          <t>Do not record scores without versions.</t>
        </is>
      </c>
      <c r="AF27" s="18" t="inlineStr">
        <is>
          <t>Every score carries its recipe number.</t>
        </is>
      </c>
      <c r="AG27" s="18" t="inlineStr">
        <is>
          <t>Version logs showed a quality drop began when a model alias changed.</t>
        </is>
      </c>
      <c r="AH27" s="18" t="inlineStr">
        <is>
          <t>An interviewer may ask: Why record versions with results?</t>
        </is>
      </c>
      <c r="AI27" s="18" t="inlineStr">
        <is>
          <t>It is like a recipe card number on every photo.</t>
        </is>
      </c>
      <c r="AJ27" s="18" t="inlineStr">
        <is>
          <t>What should be logged with each evaluation?</t>
        </is>
      </c>
      <c r="AK27" s="18" t="inlineStr">
        <is>
          <t>A) Prompt, model, dataset and code versions B) Nothing C) Only the score D) Only the date</t>
        </is>
      </c>
      <c r="AL27" s="18" t="inlineStr">
        <is>
          <t>A</t>
        </is>
      </c>
      <c r="AM27" s="18" t="inlineStr">
        <is>
          <t>Reproducibility needs them.</t>
        </is>
      </c>
      <c r="AN27" s="18" t="inlineStr">
        <is>
          <t>Fixing a model to an exact version is ____ it → pinning</t>
        </is>
      </c>
      <c r="AO27" s="18" t="inlineStr">
        <is>
          <t>Scores shifted but nothing was changed by you. What do you check? → Whether the model version changed</t>
        </is>
      </c>
      <c r="AP27" s="18" t="inlineStr">
        <is>
          <t>Explain versioning for evaluation in three lines.</t>
        </is>
      </c>
      <c r="AQ27" s="18" t="inlineStr">
        <is>
          <t>List the fields of an experiment record.</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94.5" customHeight="1">
      <c r="A28" s="17" t="inlineStr">
        <is>
          <t>EVL-029</t>
        </is>
      </c>
      <c r="B28" s="17" t="inlineStr">
        <is>
          <t>05 Practice</t>
        </is>
      </c>
      <c r="C28" s="17" t="inlineStr">
        <is>
          <t>Advanced</t>
        </is>
      </c>
      <c r="D28" s="17" t="n">
        <v>29</v>
      </c>
      <c r="E28" s="17" t="inlineStr">
        <is>
          <t>Claude knowledge</t>
        </is>
      </c>
      <c r="F28" s="18" t="inlineStr">
        <is>
          <t>Drift monitoring</t>
        </is>
      </c>
      <c r="G28" s="18" t="inlineStr">
        <is>
          <t>How do you notice when quality slowly gets worse in production?</t>
        </is>
      </c>
      <c r="H28" s="18" t="inlineStr">
        <is>
          <t>Core concept</t>
        </is>
      </c>
      <c r="I28" s="18" t="inlineStr">
        <is>
          <t>High</t>
        </is>
      </c>
      <c r="J28" s="18" t="n">
        <v>5</v>
      </c>
      <c r="K28" s="18" t="inlineStr">
        <is>
          <t>Questions, documents and models change over time, so a system that once performed well can degrade without any code change.</t>
        </is>
      </c>
      <c r="L28" s="18" t="inlineStr">
        <is>
          <t>Run a fixed evaluation set on a schedule and track production signals.</t>
        </is>
      </c>
      <c r="M28" s="18" t="inlineStr">
        <is>
          <t>Drift monitoring is checking whether a clock is slowly running fast.</t>
        </is>
      </c>
      <c r="N28" s="18" t="inlineStr">
        <is>
          <t>A quality line sloping down over weeks.</t>
        </is>
      </c>
      <c r="O28" s="18" t="inlineStr">
        <is>
          <t>The calm of catching problems early.</t>
        </is>
      </c>
      <c r="P28" s="18" t="inlineStr">
        <is>
          <t>Drift monitoring tracks quality signals over time, such as scheduled evaluation scores, user feedback, retrieval scores, refusal and no-answer rates and input topic shifts, and alerts when they move beyond expected ranges.</t>
        </is>
      </c>
      <c r="Q28" s="17" t="n"/>
      <c r="R28" s="18" t="inlineStr">
        <is>
          <t>Causes include new kinds of questions, outdated documents, changed provider models and upstream data changes. Run the golden set nightly or weekly, compare with baseline, and alert on drops. Watch input distributions for new topics. Sample production outputs for review. Investigate with versions and logs.</t>
        </is>
      </c>
      <c r="S28" s="18" t="inlineStr">
        <is>
          <t>Re-run tests on a schedule, watch live signals and alert on changes.</t>
        </is>
      </c>
      <c r="T28" s="18" t="inlineStr">
        <is>
          <t>Drift monitoring is checking whether a clock is slowly running fast.</t>
        </is>
      </c>
      <c r="U28" s="18" t="inlineStr">
        <is>
          <t>Scheduled eval + live signals + alerts.</t>
        </is>
      </c>
      <c r="V28" s="18" t="inlineStr">
        <is>
          <t>A weekly golden set run showing a three point drop.</t>
        </is>
      </c>
      <c r="W28" s="18" t="inlineStr">
        <is>
          <t>A rising no-answer rate.</t>
        </is>
      </c>
      <c r="X28" s="18" t="inlineStr">
        <is>
          <t>New question topics appearing.</t>
        </is>
      </c>
      <c r="Y28" s="18" t="inlineStr">
        <is>
          <t>feedback loops, monitoring RAG, regression tests, prompt and model versioning</t>
        </is>
      </c>
      <c r="Z28" s="18" t="inlineStr">
        <is>
          <t>drift, baseline, schedule, distribution, alert</t>
        </is>
      </c>
      <c r="AA28" s="18" t="inlineStr">
        <is>
          <t>Production AI | Quality teams | Operations</t>
        </is>
      </c>
      <c r="AB28" s="18" t="inlineStr">
        <is>
          <t>A: Complaints rose slowly this month. | B: Check drift in the weekly evaluation and the no-answer rate.</t>
        </is>
      </c>
      <c r="AC28" s="18" t="inlineStr">
        <is>
          <t>✗ If the code did not change, quality cannot change → ✓ Data, users and models change too</t>
        </is>
      </c>
      <c r="AD28" s="18" t="inlineStr">
        <is>
          <t>Regression vs drift: sudden after a change versus slow without one.</t>
        </is>
      </c>
      <c r="AE28" s="18" t="inlineStr">
        <is>
          <t>Do not rely on launch-day test results forever.</t>
        </is>
      </c>
      <c r="AF28" s="18" t="inlineStr">
        <is>
          <t>Schedule the checks, watch the slope.</t>
        </is>
      </c>
      <c r="AG28" s="18" t="inlineStr">
        <is>
          <t>A weekly eval run caught a quality drop after a provider model update.</t>
        </is>
      </c>
      <c r="AH28" s="18" t="inlineStr">
        <is>
          <t>An interviewer may ask: How do you detect quality drift?</t>
        </is>
      </c>
      <c r="AI28" s="18" t="inlineStr">
        <is>
          <t>It is like a clock running slightly fast.</t>
        </is>
      </c>
      <c r="AJ28" s="18" t="inlineStr">
        <is>
          <t>What helps detect drift?</t>
        </is>
      </c>
      <c r="AK28" s="18" t="inlineStr">
        <is>
          <t>A) No logs B) Scheduled evaluation runs C) Larger fonts D) A single launch test</t>
        </is>
      </c>
      <c r="AL28" s="18" t="inlineStr">
        <is>
          <t>B</t>
        </is>
      </c>
      <c r="AM28" s="18" t="inlineStr">
        <is>
          <t>Regular tests show change over time.</t>
        </is>
      </c>
      <c r="AN28" s="18" t="inlineStr">
        <is>
          <t>Slow decline in quality over time is ____ → drift</t>
        </is>
      </c>
      <c r="AO28" s="18" t="inlineStr">
        <is>
          <t>Quality seems to fall without releases. What do you run? → The evaluation set on a schedule</t>
        </is>
      </c>
      <c r="AP28" s="18" t="inlineStr">
        <is>
          <t>Explain drift monitoring in three lines.</t>
        </is>
      </c>
      <c r="AQ28" s="18" t="inlineStr">
        <is>
          <t>Choose five signals to monitor for drift.</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row r="29" ht="108" customHeight="1">
      <c r="A29" s="17" t="inlineStr">
        <is>
          <t>EVL-030</t>
        </is>
      </c>
      <c r="B29" s="17" t="inlineStr">
        <is>
          <t>05 Practice</t>
        </is>
      </c>
      <c r="C29" s="17" t="inlineStr">
        <is>
          <t>Intermediate</t>
        </is>
      </c>
      <c r="D29" s="17" t="n">
        <v>30</v>
      </c>
      <c r="E29" s="17" t="inlineStr">
        <is>
          <t>Claude knowledge</t>
        </is>
      </c>
      <c r="F29" s="18" t="inlineStr">
        <is>
          <t>Feedback loops</t>
        </is>
      </c>
      <c r="G29" s="18" t="inlineStr">
        <is>
          <t>How do user feedback and failures flow back into better tests and systems?</t>
        </is>
      </c>
      <c r="H29" s="18" t="inlineStr">
        <is>
          <t>Core concept</t>
        </is>
      </c>
      <c r="I29" s="18" t="inlineStr">
        <is>
          <t>Very high</t>
        </is>
      </c>
      <c r="J29" s="18" t="n">
        <v>5</v>
      </c>
      <c r="K29" s="18" t="inlineStr">
        <is>
          <t>Real users find problems that tests miss, so feedback is collected and converted into improvements.</t>
        </is>
      </c>
      <c r="L29" s="18" t="inlineStr">
        <is>
          <t>Make giving feedback easy, and turn every confirmed failure into a test case.</t>
        </is>
      </c>
      <c r="M29" s="18" t="inlineStr">
        <is>
          <t>A feedback loop is a suggestion box that someone actually reads and acts on.</t>
        </is>
      </c>
      <c r="N29" s="18" t="inlineStr">
        <is>
          <t>A circle from users to logs to test cases to fixes and back.</t>
        </is>
      </c>
      <c r="O29" s="18" t="inlineStr">
        <is>
          <t>The motivation of a system that keeps improving.</t>
        </is>
      </c>
      <c r="P29" s="18" t="inlineStr">
        <is>
          <t>A feedback loop collects signals such as thumbs, edits, escalations and reviews, analyses failures, adds them to the test sets, improves the system and measures whether the fix worked.</t>
        </is>
      </c>
      <c r="Q29" s="17" t="n"/>
      <c r="R29" s="18" t="inlineStr">
        <is>
          <t>Collect explicit feedback and implicit signals such as retries and copy actions. Triage by frequency and severity. Reproduce failures, fix, add a regression test and verify after release. Close the loop by informing users where appropriate. Protect privacy when storing examples. Without action, feedback collection is wasted.</t>
        </is>
      </c>
      <c r="S29" s="18" t="inlineStr">
        <is>
          <t>Collect feedback, find the causes, add tests, fix, and verify.</t>
        </is>
      </c>
      <c r="T29" s="18" t="inlineStr">
        <is>
          <t>A feedback loop is a suggestion box that someone actually reads and acts on.</t>
        </is>
      </c>
      <c r="U29" s="18" t="inlineStr">
        <is>
          <t>Feedback → triage → test → fix → verify.</t>
        </is>
      </c>
      <c r="V29" s="18" t="inlineStr">
        <is>
          <t>A thumbs-down answer added as a test case.</t>
        </is>
      </c>
      <c r="W29" s="18" t="inlineStr">
        <is>
          <t>A weekly review of the top failure types.</t>
        </is>
      </c>
      <c r="X29" s="18" t="inlineStr">
        <is>
          <t>A fix confirmed by improved scores.</t>
        </is>
      </c>
      <c r="Y29" s="18" t="inlineStr">
        <is>
          <t>online evaluation, regression tests, drift monitoring, human review</t>
        </is>
      </c>
      <c r="Z29" s="18" t="inlineStr">
        <is>
          <t>feedback, triage, signal, loop, improvement</t>
        </is>
      </c>
      <c r="AA29" s="18" t="inlineStr">
        <is>
          <t>Product teams | Quality programmes | Support tools</t>
        </is>
      </c>
      <c r="AB29" s="18" t="inlineStr">
        <is>
          <t>A: Users keep thumbs-downing refund questions. | B: Review them, fix the cause and add them as tests.</t>
        </is>
      </c>
      <c r="AC29" s="18" t="inlineStr">
        <is>
          <t>✗ Collecting feedback alone improves the system → ✓ Someone must act on it and verify the effect</t>
        </is>
      </c>
      <c r="AD29" s="18" t="inlineStr">
        <is>
          <t>Explicit vs implicit feedback: ratings versus behaviour signals.</t>
        </is>
      </c>
      <c r="AE29" s="18" t="inlineStr">
        <is>
          <t>Do not store feedback examples without privacy controls.</t>
        </is>
      </c>
      <c r="AF29" s="18" t="inlineStr">
        <is>
          <t>Collect, triage, test, fix, verify.</t>
        </is>
      </c>
      <c r="AG29" s="18" t="inlineStr">
        <is>
          <t>A weekly feedback review converted failures into tests and steadily raised accuracy.</t>
        </is>
      </c>
      <c r="AH29" s="18" t="inlineStr">
        <is>
          <t>An interviewer may ask: How do you use feedback to improve an LLM feature?</t>
        </is>
      </c>
      <c r="AI29" s="18" t="inlineStr">
        <is>
          <t>It is like a suggestion box that is read.</t>
        </is>
      </c>
      <c r="AJ29" s="18" t="inlineStr">
        <is>
          <t>What should happen to a confirmed failure?</t>
        </is>
      </c>
      <c r="AK29" s="18" t="inlineStr">
        <is>
          <t>A) It is deleted B) It is ignored C) It becomes a test case D) It is hidden</t>
        </is>
      </c>
      <c r="AL29" s="18" t="inlineStr">
        <is>
          <t>C</t>
        </is>
      </c>
      <c r="AM29" s="18" t="inlineStr">
        <is>
          <t>It prevents the same failure returning.</t>
        </is>
      </c>
      <c r="AN29" s="18" t="inlineStr">
        <is>
          <t>Reviewing and ranking issues by severity is ____ → triage</t>
        </is>
      </c>
      <c r="AO29" s="18" t="inlineStr">
        <is>
          <t>Users report the same failure often. What do you do? → Reproduce it, fix it and add a test</t>
        </is>
      </c>
      <c r="AP29" s="18" t="inlineStr">
        <is>
          <t>Explain feedback loops in three lines.</t>
        </is>
      </c>
      <c r="AQ29" s="18" t="inlineStr">
        <is>
          <t>Design a weekly feedback review process with an owner, a time slot and a rule for turning complaints into test cases.</t>
        </is>
      </c>
      <c r="AR29" s="17">
        <f>IF(J29="","",REPT("★",J29)&amp;REPT("☆",5-J29)&amp;" ("&amp;J29&amp;"/5)")</f>
        <v/>
      </c>
      <c r="AS29" s="17">
        <f>IF(Q29="","","Meaning: "&amp;Q29&amp;"  =  ______   (Answer: "&amp;F29&amp;")")</f>
        <v/>
      </c>
      <c r="AT29" s="17" t="inlineStr">
        <is>
          <t>New</t>
        </is>
      </c>
      <c r="AU29" s="17" t="n"/>
      <c r="AV29" s="17" t="n"/>
      <c r="AW29" s="17" t="n"/>
      <c r="AX29" s="17" t="n"/>
      <c r="AY29" s="17" t="n"/>
      <c r="AZ29" s="17" t="n"/>
      <c r="BA29" s="17" t="n"/>
      <c r="BB29" s="17" t="n"/>
    </row>
  </sheetData>
  <autoFilter ref="A2:BB29"/>
  <mergeCells count="6">
    <mergeCell ref="F1:O1"/>
    <mergeCell ref="AT1:BB1"/>
    <mergeCell ref="AR1:AS1"/>
    <mergeCell ref="A1:E1"/>
    <mergeCell ref="AJ1:AQ1"/>
    <mergeCell ref="P1:AI1"/>
  </mergeCells>
  <dataValidations count="2">
    <dataValidation sqref="AT3:AT29" showDropDown="0" showInputMessage="0" showErrorMessage="0" allowBlank="1" type="list">
      <formula1>"New,Learning,Known"</formula1>
    </dataValidation>
    <dataValidation sqref="BA3:BA29"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EVL-001</t>
        </is>
      </c>
    </row>
    <row r="4">
      <c r="A4" s="23" t="inlineStr">
        <is>
          <t>FRONT · Recognition (pehchano)</t>
        </is>
      </c>
    </row>
    <row r="5" ht="30" customHeight="1">
      <c r="A5" s="24" t="inlineStr">
        <is>
          <t>ID</t>
        </is>
      </c>
      <c r="B5" s="17">
        <f>INDEX('Topic (56-pt) cards'!$A$3:$BB$29,MATCH($B$2,'Topic (56-pt) cards'!$A$3:$A$29,0),MATCH("ID",'Topic (56-pt) cards'!$A$2:$BB$2,0))&amp;""</f>
        <v/>
      </c>
    </row>
    <row r="6" ht="30" customHeight="1">
      <c r="A6" s="24" t="inlineStr">
        <is>
          <t>Topic</t>
        </is>
      </c>
      <c r="B6" s="17">
        <f>INDEX('Topic (56-pt) cards'!$A$3:$BB$29,MATCH($B$2,'Topic (56-pt) cards'!$A$3:$A$29,0),MATCH("Topic",'Topic (56-pt) cards'!$A$2:$BB$2,0))&amp;""</f>
        <v/>
      </c>
    </row>
    <row r="7" ht="30" customHeight="1">
      <c r="A7" s="24" t="inlineStr">
        <is>
          <t>Level</t>
        </is>
      </c>
      <c r="B7" s="17">
        <f>INDEX('Topic (56-pt) cards'!$A$3:$BB$29,MATCH($B$2,'Topic (56-pt) cards'!$A$3:$A$29,0),MATCH("Level",'Topic (56-pt) cards'!$A$2:$BB$2,0))&amp;""</f>
        <v/>
      </c>
    </row>
    <row r="8" ht="30" customHeight="1">
      <c r="A8" s="24" t="inlineStr">
        <is>
          <t>Term / topic</t>
        </is>
      </c>
      <c r="B8" s="17">
        <f>INDEX('Topic (56-pt) cards'!$A$3:$BB$29,MATCH($B$2,'Topic (56-pt) cards'!$A$3:$A$29,0),MATCH("Term / topic",'Topic (56-pt) cards'!$A$2:$BB$2,0))&amp;""</f>
        <v/>
      </c>
    </row>
    <row r="9" ht="30" customHeight="1">
      <c r="A9" s="24" t="inlineStr">
        <is>
          <t>Recall cue</t>
        </is>
      </c>
      <c r="B9" s="17">
        <f>INDEX('Topic (56-pt) cards'!$A$3:$BB$29,MATCH($B$2,'Topic (56-pt) cards'!$A$3:$A$29,0),MATCH("Recall cue",'Topic (56-pt) cards'!$A$2:$BB$2,0))&amp;""</f>
        <v/>
      </c>
    </row>
    <row r="10" ht="30" customHeight="1">
      <c r="A10" s="24" t="inlineStr">
        <is>
          <t>Category</t>
        </is>
      </c>
      <c r="B10" s="17">
        <f>INDEX('Topic (56-pt) cards'!$A$3:$BB$29,MATCH($B$2,'Topic (56-pt) cards'!$A$3:$A$29,0),MATCH("Category",'Topic (56-pt) cards'!$A$2:$BB$2,0))&amp;""</f>
        <v/>
      </c>
    </row>
    <row r="11" ht="30" customHeight="1">
      <c r="A11" s="24" t="inlineStr">
        <is>
          <t>How often used</t>
        </is>
      </c>
      <c r="B11" s="17">
        <f>INDEX('Topic (56-pt) cards'!$A$3:$BB$29,MATCH($B$2,'Topic (56-pt) cards'!$A$3:$A$29,0),MATCH("How often used",'Topic (56-pt) cards'!$A$2:$BB$2,0))&amp;""</f>
        <v/>
      </c>
    </row>
    <row r="12" ht="30" customHeight="1">
      <c r="A12" s="24" t="inlineStr">
        <is>
          <t>Importance (1-5)</t>
        </is>
      </c>
      <c r="B12" s="17">
        <f>INDEX('Topic (56-pt) cards'!$A$3:$BB$29,MATCH($B$2,'Topic (56-pt) cards'!$A$3:$A$29,0),MATCH("Importance (1-5)",'Topic (56-pt) cards'!$A$2:$BB$2,0))&amp;""</f>
        <v/>
      </c>
    </row>
    <row r="13" ht="30" customHeight="1">
      <c r="A13" s="24" t="inlineStr">
        <is>
          <t>Origin / why it exists</t>
        </is>
      </c>
      <c r="B13" s="17">
        <f>INDEX('Topic (56-pt) cards'!$A$3:$BB$29,MATCH($B$2,'Topic (56-pt) cards'!$A$3:$A$29,0),MATCH("Origin / why it exists",'Topic (56-pt) cards'!$A$2:$BB$2,0))&amp;""</f>
        <v/>
      </c>
    </row>
    <row r="14" ht="30" customHeight="1">
      <c r="A14" s="24" t="inlineStr">
        <is>
          <t>Pro tip</t>
        </is>
      </c>
      <c r="B14" s="17">
        <f>INDEX('Topic (56-pt) cards'!$A$3:$BB$29,MATCH($B$2,'Topic (56-pt) cards'!$A$3:$A$29,0),MATCH("Pro tip",'Topic (56-pt) cards'!$A$2:$BB$2,0))&amp;""</f>
        <v/>
      </c>
    </row>
    <row r="15" ht="30" customHeight="1">
      <c r="A15" s="24" t="inlineStr">
        <is>
          <t>Memory story</t>
        </is>
      </c>
      <c r="B15" s="17">
        <f>INDEX('Topic (56-pt) cards'!$A$3:$BB$29,MATCH($B$2,'Topic (56-pt) cards'!$A$3:$A$29,0),MATCH("Memory story",'Topic (56-pt) cards'!$A$2:$BB$2,0))&amp;""</f>
        <v/>
      </c>
    </row>
    <row r="16" ht="30" customHeight="1">
      <c r="A16" s="24" t="inlineStr">
        <is>
          <t>Picture it</t>
        </is>
      </c>
      <c r="B16" s="17">
        <f>INDEX('Topic (56-pt) cards'!$A$3:$BB$29,MATCH($B$2,'Topic (56-pt) cards'!$A$3:$A$29,0),MATCH("Picture it",'Topic (56-pt) cards'!$A$2:$BB$2,0))&amp;""</f>
        <v/>
      </c>
    </row>
    <row r="17" ht="30" customHeight="1">
      <c r="A17" s="24" t="inlineStr">
        <is>
          <t>Emotion hook</t>
        </is>
      </c>
      <c r="B17" s="17">
        <f>INDEX('Topic (56-pt) cards'!$A$3:$BB$29,MATCH($B$2,'Topic (56-pt) cards'!$A$3:$A$29,0),MATCH("Emotion hook",'Topic (56-pt) cards'!$A$2:$BB$2,0))&amp;""</f>
        <v/>
      </c>
    </row>
    <row r="18" ht="30" customHeight="1">
      <c r="A18" s="24" t="inlineStr">
        <is>
          <t>Importance ★</t>
        </is>
      </c>
      <c r="B18" s="17">
        <f>INDEX('Topic (56-pt) cards'!$A$3:$BB$29,MATCH($B$2,'Topic (56-pt) cards'!$A$3:$A$29,0),MATCH("Importance ★",'Topic (56-pt) cards'!$A$2:$BB$2,0))&amp;""</f>
        <v/>
      </c>
    </row>
    <row r="19">
      <c r="A19" s="25" t="inlineStr">
        <is>
          <t>BACK · Understanding (samjho)</t>
        </is>
      </c>
    </row>
    <row r="20" ht="40.5" customHeight="1">
      <c r="A20" s="24" t="inlineStr">
        <is>
          <t>Definition (simple)</t>
        </is>
      </c>
      <c r="B20" s="17">
        <f>INDEX('Topic (56-pt) cards'!$A$3:$BB$29,MATCH($B$2,'Topic (56-pt) cards'!$A$3:$A$29,0),MATCH("Definition (simple)",'Topic (56-pt) cards'!$A$2:$BB$2,0))&amp;""</f>
        <v/>
      </c>
    </row>
    <row r="21" ht="30" customHeight="1">
      <c r="A21" s="24" t="inlineStr">
        <is>
          <t>Meaning in learner's language</t>
        </is>
      </c>
      <c r="B21" s="17">
        <f>INDEX('Topic (56-pt) cards'!$A$3:$BB$29,MATCH($B$2,'Topic (56-pt) cards'!$A$3:$A$29,0),MATCH("Meaning in learner's language",'Topic (56-pt) cards'!$A$2:$BB$2,0))&amp;""</f>
        <v/>
      </c>
    </row>
    <row r="22" ht="54" customHeight="1">
      <c r="A22" s="24" t="inlineStr">
        <is>
          <t>How / why it works</t>
        </is>
      </c>
      <c r="B22" s="17">
        <f>INDEX('Topic (56-pt) cards'!$A$3:$BB$29,MATCH($B$2,'Topic (56-pt) cards'!$A$3:$A$29,0),MATCH("How / why it works",'Topic (56-pt) cards'!$A$2:$BB$2,0))&amp;""</f>
        <v/>
      </c>
    </row>
    <row r="23" ht="30" customHeight="1">
      <c r="A23" s="24" t="inlineStr">
        <is>
          <t>Simple explanation (Hinglish)</t>
        </is>
      </c>
      <c r="B23" s="17">
        <f>INDEX('Topic (56-pt) cards'!$A$3:$BB$29,MATCH($B$2,'Topic (56-pt) cards'!$A$3:$A$29,0),MATCH("Simple explanation (Hinglish)",'Topic (56-pt) cards'!$A$2:$BB$2,0))&amp;""</f>
        <v/>
      </c>
    </row>
    <row r="24" ht="30" customHeight="1">
      <c r="A24" s="24" t="inlineStr">
        <is>
          <t>Real-life analogy</t>
        </is>
      </c>
      <c r="B24" s="17">
        <f>INDEX('Topic (56-pt) cards'!$A$3:$BB$29,MATCH($B$2,'Topic (56-pt) cards'!$A$3:$A$29,0),MATCH("Real-life analogy",'Topic (56-pt) cards'!$A$2:$BB$2,0))&amp;""</f>
        <v/>
      </c>
    </row>
    <row r="25" ht="30" customHeight="1">
      <c r="A25" s="24" t="inlineStr">
        <is>
          <t>Formula / rule</t>
        </is>
      </c>
      <c r="B25" s="17">
        <f>INDEX('Topic (56-pt) cards'!$A$3:$BB$29,MATCH($B$2,'Topic (56-pt) cards'!$A$3:$A$29,0),MATCH("Formula / rule",'Topic (56-pt) cards'!$A$2:$BB$2,0))&amp;""</f>
        <v/>
      </c>
    </row>
    <row r="26" ht="30" customHeight="1">
      <c r="A26" s="24" t="inlineStr">
        <is>
          <t>Example 1</t>
        </is>
      </c>
      <c r="B26" s="17">
        <f>INDEX('Topic (56-pt) cards'!$A$3:$BB$29,MATCH($B$2,'Topic (56-pt) cards'!$A$3:$A$29,0),MATCH("Example 1",'Topic (56-pt) cards'!$A$2:$BB$2,0))&amp;""</f>
        <v/>
      </c>
    </row>
    <row r="27" ht="30" customHeight="1">
      <c r="A27" s="24" t="inlineStr">
        <is>
          <t>Example 2</t>
        </is>
      </c>
      <c r="B27" s="17">
        <f>INDEX('Topic (56-pt) cards'!$A$3:$BB$29,MATCH($B$2,'Topic (56-pt) cards'!$A$3:$A$29,0),MATCH("Example 2",'Topic (56-pt) cards'!$A$2:$BB$2,0))&amp;""</f>
        <v/>
      </c>
    </row>
    <row r="28" ht="30" customHeight="1">
      <c r="A28" s="24" t="inlineStr">
        <is>
          <t>Example 3</t>
        </is>
      </c>
      <c r="B28" s="17">
        <f>INDEX('Topic (56-pt) cards'!$A$3:$BB$29,MATCH($B$2,'Topic (56-pt) cards'!$A$3:$A$29,0),MATCH("Example 3",'Topic (56-pt) cards'!$A$2:$BB$2,0))&amp;""</f>
        <v/>
      </c>
    </row>
    <row r="29" ht="30" customHeight="1">
      <c r="A29" s="24" t="inlineStr">
        <is>
          <t>Related concepts</t>
        </is>
      </c>
      <c r="B29" s="17">
        <f>INDEX('Topic (56-pt) cards'!$A$3:$BB$29,MATCH($B$2,'Topic (56-pt) cards'!$A$3:$A$29,0),MATCH("Related concepts",'Topic (56-pt) cards'!$A$2:$BB$2,0))&amp;""</f>
        <v/>
      </c>
    </row>
    <row r="30" ht="30" customHeight="1">
      <c r="A30" s="24" t="inlineStr">
        <is>
          <t>Family / group</t>
        </is>
      </c>
      <c r="B30" s="17">
        <f>INDEX('Topic (56-pt) cards'!$A$3:$BB$29,MATCH($B$2,'Topic (56-pt) cards'!$A$3:$A$29,0),MATCH("Family / group",'Topic (56-pt) cards'!$A$2:$BB$2,0))&amp;""</f>
        <v/>
      </c>
    </row>
    <row r="31" ht="30" customHeight="1">
      <c r="A31" s="24" t="inlineStr">
        <is>
          <t>Where it is used</t>
        </is>
      </c>
      <c r="B31" s="17">
        <f>INDEX('Topic (56-pt) cards'!$A$3:$BB$29,MATCH($B$2,'Topic (56-pt) cards'!$A$3:$A$29,0),MATCH("Where it is used",'Topic (56-pt) cards'!$A$2:$BB$2,0))&amp;""</f>
        <v/>
      </c>
    </row>
    <row r="32" ht="30" customHeight="1">
      <c r="A32" s="24" t="inlineStr">
        <is>
          <t>Mini conversation</t>
        </is>
      </c>
      <c r="B32" s="17">
        <f>INDEX('Topic (56-pt) cards'!$A$3:$BB$29,MATCH($B$2,'Topic (56-pt) cards'!$A$3:$A$29,0),MATCH("Mini conversation",'Topic (56-pt) cards'!$A$2:$BB$2,0))&amp;""</f>
        <v/>
      </c>
    </row>
    <row r="33" ht="30" customHeight="1">
      <c r="A33" s="24" t="inlineStr">
        <is>
          <t>Common mistake</t>
        </is>
      </c>
      <c r="B33" s="17">
        <f>INDEX('Topic (56-pt) cards'!$A$3:$BB$29,MATCH($B$2,'Topic (56-pt) cards'!$A$3:$A$29,0),MATCH("Common mistake",'Topic (56-pt) cards'!$A$2:$BB$2,0))&amp;""</f>
        <v/>
      </c>
    </row>
    <row r="34" ht="30" customHeight="1">
      <c r="A34" s="24" t="inlineStr">
        <is>
          <t>Don't confuse with</t>
        </is>
      </c>
      <c r="B34" s="17">
        <f>INDEX('Topic (56-pt) cards'!$A$3:$BB$29,MATCH($B$2,'Topic (56-pt) cards'!$A$3:$A$29,0),MATCH("Don't confuse with",'Topic (56-pt) cards'!$A$2:$BB$2,0))&amp;""</f>
        <v/>
      </c>
    </row>
    <row r="35" ht="30" customHeight="1">
      <c r="A35" s="24" t="inlineStr">
        <is>
          <t>Avoid / don't</t>
        </is>
      </c>
      <c r="B35" s="17">
        <f>INDEX('Topic (56-pt) cards'!$A$3:$BB$29,MATCH($B$2,'Topic (56-pt) cards'!$A$3:$A$29,0),MATCH("Avoid / don't",'Topic (56-pt) cards'!$A$2:$BB$2,0))&amp;""</f>
        <v/>
      </c>
    </row>
    <row r="36" ht="30" customHeight="1">
      <c r="A36" s="24" t="inlineStr">
        <is>
          <t>Memory trick</t>
        </is>
      </c>
      <c r="B36" s="17">
        <f>INDEX('Topic (56-pt) cards'!$A$3:$BB$29,MATCH($B$2,'Topic (56-pt) cards'!$A$3:$A$29,0),MATCH("Memory trick",'Topic (56-pt) cards'!$A$2:$BB$2,0))&amp;""</f>
        <v/>
      </c>
    </row>
    <row r="37" ht="30" customHeight="1">
      <c r="A37" s="24" t="inlineStr">
        <is>
          <t>Real life: project / work</t>
        </is>
      </c>
      <c r="B37" s="17">
        <f>INDEX('Topic (56-pt) cards'!$A$3:$BB$29,MATCH($B$2,'Topic (56-pt) cards'!$A$3:$A$29,0),MATCH("Real life: project / work",'Topic (56-pt) cards'!$A$2:$BB$2,0))&amp;""</f>
        <v/>
      </c>
    </row>
    <row r="38" ht="30" customHeight="1">
      <c r="A38" s="24" t="inlineStr">
        <is>
          <t>Real life: interview / exam</t>
        </is>
      </c>
      <c r="B38" s="17">
        <f>INDEX('Topic (56-pt) cards'!$A$3:$BB$29,MATCH($B$2,'Topic (56-pt) cards'!$A$3:$A$29,0),MATCH("Real life: interview / exam",'Topic (56-pt) cards'!$A$2:$BB$2,0))&amp;""</f>
        <v/>
      </c>
    </row>
    <row r="39" ht="30" customHeight="1">
      <c r="A39" s="24" t="inlineStr">
        <is>
          <t>Real life: daily life</t>
        </is>
      </c>
      <c r="B39" s="17">
        <f>INDEX('Topic (56-pt) cards'!$A$3:$BB$29,MATCH($B$2,'Topic (56-pt) cards'!$A$3:$A$29,0),MATCH("Real life: daily life",'Topic (56-pt) cards'!$A$2:$BB$2,0))&amp;""</f>
        <v/>
      </c>
    </row>
    <row r="40">
      <c r="A40" s="27" t="inlineStr">
        <is>
          <t>PRACTICE · Khud karo</t>
        </is>
      </c>
    </row>
    <row r="41" ht="30" customHeight="1">
      <c r="A41" s="24" t="inlineStr">
        <is>
          <t>MCQ question</t>
        </is>
      </c>
      <c r="B41" s="17">
        <f>INDEX('Topic (56-pt) cards'!$A$3:$BB$29,MATCH($B$2,'Topic (56-pt) cards'!$A$3:$A$29,0),MATCH("MCQ question",'Topic (56-pt) cards'!$A$2:$BB$2,0))&amp;""</f>
        <v/>
      </c>
    </row>
    <row r="42" ht="30" customHeight="1">
      <c r="A42" s="24" t="inlineStr">
        <is>
          <t>MCQ options</t>
        </is>
      </c>
      <c r="B42" s="17">
        <f>INDEX('Topic (56-pt) cards'!$A$3:$BB$29,MATCH($B$2,'Topic (56-pt) cards'!$A$3:$A$29,0),MATCH("MCQ options",'Topic (56-pt) cards'!$A$2:$BB$2,0))&amp;""</f>
        <v/>
      </c>
    </row>
    <row r="43" ht="30" customHeight="1">
      <c r="A43" s="24" t="inlineStr">
        <is>
          <t>MCQ answer</t>
        </is>
      </c>
      <c r="B43" s="17">
        <f>INDEX('Topic (56-pt) cards'!$A$3:$BB$29,MATCH($B$2,'Topic (56-pt) cards'!$A$3:$A$29,0),MATCH("MCQ answer",'Topic (56-pt) cards'!$A$2:$BB$2,0))&amp;""</f>
        <v/>
      </c>
    </row>
    <row r="44" ht="30" customHeight="1">
      <c r="A44" s="24" t="inlineStr">
        <is>
          <t>Why that answer</t>
        </is>
      </c>
      <c r="B44" s="17">
        <f>INDEX('Topic (56-pt) cards'!$A$3:$BB$29,MATCH($B$2,'Topic (56-pt) cards'!$A$3:$A$29,0),MATCH("Why that answer",'Topic (56-pt) cards'!$A$2:$BB$2,0))&amp;""</f>
        <v/>
      </c>
    </row>
    <row r="45" ht="30" customHeight="1">
      <c r="A45" s="24" t="inlineStr">
        <is>
          <t>Fill the blank</t>
        </is>
      </c>
      <c r="B45" s="17">
        <f>INDEX('Topic (56-pt) cards'!$A$3:$BB$29,MATCH($B$2,'Topic (56-pt) cards'!$A$3:$A$29,0),MATCH("Fill the blank",'Topic (56-pt) cards'!$A$2:$BB$2,0))&amp;""</f>
        <v/>
      </c>
    </row>
    <row r="46" ht="30" customHeight="1">
      <c r="A46" s="24" t="inlineStr">
        <is>
          <t>Apply it</t>
        </is>
      </c>
      <c r="B46" s="17">
        <f>INDEX('Topic (56-pt) cards'!$A$3:$BB$29,MATCH($B$2,'Topic (56-pt) cards'!$A$3:$A$29,0),MATCH("Apply it",'Topic (56-pt) cards'!$A$2:$BB$2,0))&amp;""</f>
        <v/>
      </c>
    </row>
    <row r="47" ht="30" customHeight="1">
      <c r="A47" s="24" t="inlineStr">
        <is>
          <t>Explain it yourself</t>
        </is>
      </c>
      <c r="B47" s="17">
        <f>INDEX('Topic (56-pt) cards'!$A$3:$BB$29,MATCH($B$2,'Topic (56-pt) cards'!$A$3:$A$29,0),MATCH("Explain it yourself",'Topic (56-pt) cards'!$A$2:$BB$2,0))&amp;""</f>
        <v/>
      </c>
    </row>
    <row r="48" ht="30" customHeight="1">
      <c r="A48" s="24" t="inlineStr">
        <is>
          <t>Write your own</t>
        </is>
      </c>
      <c r="B48" s="17">
        <f>INDEX('Topic (56-pt) cards'!$A$3:$BB$29,MATCH($B$2,'Topic (56-pt) cards'!$A$3:$A$29,0),MATCH("Write your own",'Topic (56-pt) cards'!$A$2:$BB$2,0))&amp;""</f>
        <v/>
      </c>
    </row>
    <row r="49" ht="30" customHeight="1">
      <c r="A49" s="24" t="inlineStr">
        <is>
          <t>Quick recall (reverse)</t>
        </is>
      </c>
      <c r="B49" s="17">
        <f>INDEX('Topic (56-pt) cards'!$A$3:$BB$29,MATCH($B$2,'Topic (56-pt) cards'!$A$3:$A$29,0),MATCH("Quick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cards'!$A$3:$A$29</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Why evaluate
Why must AI applications be tested with measurements and not by feel?</t>
        </is>
      </c>
      <c r="B2" s="29" t="inlineStr">
        <is>
          <t>DEFINITION (SIMPLE):
Evaluation is the systematic measurement of how well an AI system performs on defined tasks, using test cases, metrics and reviews, so changes can be compared and risks found early.
HOW / WHY IT WORKS:
Without evaluation, changes to prompts, models or retrieval are guesses. A good evaluation covers typical cases, hard cases and failures. It supports choosing models, catching regressions, setting release gates and reporting quality to customers. It does not need to be big at first, since fifty good examples are better than none.
SIMPLE EXPLANATION (HINGLISH):
Measure quality on a fixed set of cases so you can compare changes and find problems early.
REAL-LIFE ANALOGY:
Evaluation is the scoreboard that tells you whether a change helped.
FORMULA / RULE:
Cases + metrics + comparison = evidence.
EXAMPLE 1:
Comparing two prompts on the same fifty questions.
EXAMPLE 2:
Blocking a release that lowers accuracy.
EXAMPLE 3:
Choosing a cheaper model after testing.
RELATED CONCEPTS:
test sets, regression tests, what good means, eval harness
FAMILY / GROUP:
evaluation, metric, benchmark, regression, evidence
WHERE IT IS USED:
Every AI project | Releases | Customer reports
MINI CONVERSATION:
A: Is the new prompt better? | B: Run both on the test set and compare the scores.
COMMON MISTAKE:
✗ A few good demo answers show the system works → ✓ Demos hide failures that tests on many cases expose
DON'T CONFUSE WITH:
Demo vs evaluation: a demo shows the best case, evaluation shows the spread.
AVOID / DON'T:
Do not judge changes by a handful of examples.
MEMORY TRICK:
Measure before you claim better.
REAL LIFE: PROJECT / WORK:
A fifty question test set showed a prompt change had hurt accuracy that a demo had hidden.
REAL LIFE: INTERVIEW / EXAM:
An interviewer may ask: How do you know your LLM feature is good?
REAL LIFE: DAILY LIFE:
It is like a scoreboard for versions.</t>
        </is>
      </c>
      <c r="C2" s="29" t="inlineStr">
        <is>
          <t>01_Ideas_Beginner_EVL-001</t>
        </is>
      </c>
    </row>
    <row r="3" ht="409" customHeight="1">
      <c r="A3" s="29" t="inlineStr">
        <is>
          <t>Offline vs online evaluation
Which two settings test quality before release and after users arrive?</t>
        </is>
      </c>
      <c r="B3" s="29" t="inlineStr">
        <is>
          <t>DEFINITION (SIMPLE):
Offline evaluation runs a system on a fixed dataset before release, while online evaluation measures behaviour with real traffic through feedback, experiments and monitoring.
HOW / WHY IT WORKS:
Offline tests are repeatable, cheap and safe, but may not reflect real questions. Online signals such as thumbs, edits, retries and task completion show real value, but are noisy and risky if the system is bad. Failures found online become new offline test cases. A/B tests compare versions on live traffic.
SIMPLE EXPLANATION (HINGLISH):
Test offline before release, watch online after, and feed what you learn back into the tests.
REAL-LIFE ANALOGY:
Offline evaluation is the rehearsal, and online evaluation is the live performance review.
FORMULA / RULE:
Offline gate + online learning loop.
EXAMPLE 1:
A nightly run on a golden dataset.
EXAMPLE 2:
Tracking thumbs-down rates after launch.
EXAMPLE 3:
A failed live question added to the test set.
RELATED CONCEPTS:
test sets, A/B tests, feedback loops, drift monitoring
FAMILY / GROUP:
offline, online, traffic, feedback, experiment
WHERE IT IS USED:
Release processes | Product teams | Monitoring
MINI CONVERSATION:
A: Tests pass but users complain. | B: The test set misses real questions, so add the failures to it.
COMMON MISTAKE:
✗ Offline scores guarantee online success → ✓ Real users bring cases the dataset lacks
DON'T CONFUSE WITH:
Offline vs online: repeatable and safe versus realistic and noisy.
AVOID / DON'T:
Do not release on offline scores alone for high-risk systems.
MEMORY TRICK:
Rehearse offline first, then review online.
REAL LIFE: PROJECT / WORK:
Adding live failures to the test set raised offline tests' usefulness.
REAL LIFE: INTERVIEW / EXAM:
An interviewer may ask: What is the difference between offline and online evaluation?
REAL LIFE: DAILY LIFE:
It is like a rehearsal and a live review.</t>
        </is>
      </c>
      <c r="C3" s="29" t="inlineStr">
        <is>
          <t>01_Ideas_Intermediate_EVL-002</t>
        </is>
      </c>
    </row>
    <row r="4" ht="409" customHeight="1">
      <c r="A4" s="29" t="inlineStr">
        <is>
          <t>Test sets
Which collections of examples are used to measure quality?</t>
        </is>
      </c>
      <c r="B4" s="29" t="inlineStr">
        <is>
          <t>DEFINITION (SIMPLE):
A test set is a collection of representative inputs, each with expected answers, reference material or criteria, used repeatedly to measure and compare system versions.
HOW / WHY IT WORKS:
Sources are real logs, expert-written cases and carefully generated variations that are reviewed. Cover common tasks, edge cases, out-of-scope questions and known failures. Label categories to analyse weak areas. Keep a separate held-out set to detect overfitting to the test. Update it as the product changes, with versioning.
SIMPLE EXPLANATION (HINGLISH):
Collect real and hard cases with expectations, keep it versioned, and hold some back.
REAL-LIFE ANALOGY:
A test set is the exam paper that every version must sit.
FORMULA / RULE:
Representative + hard + versioned + held-out.
EXAMPLE 1:
A hundred real support questions with ideal answers.
EXAMPLE 2:
Out-of-scope questions expecting a refusal.
EXAMPLE 3:
A held-out set of twenty cases.
RELATED CONCEPTS:
golden datasets, regression tests, what good means, sampling
FAMILY / GROUP:
test set, held-out, coverage, label, version
WHERE IT IS USED:
Evaluation | Prompt work | Model selection
MINI CONVERSATION:
A: The score is high but I only tuned on those questions. | B: Use a held-out set to check for overfitting.
COMMON MISTAKE:
✗ A test set made only of easy cases is enough → ✓ Hard and rare cases show real weaknesses
DON'T CONFUSE WITH:
Test set vs training data: tests measure, training teaches.
AVOID / DON'T:
Do not tune repeatedly on the same cases without a held-out set.
MEMORY TRICK:
Real cases, hard cases, held-out cases.
REAL LIFE: PROJECT / WORK:
A held-out set revealed that tuning had overfitted the main test questions.
REAL LIFE: INTERVIEW / EXAM:
An interviewer may ask: How do you build a good test set?
REAL LIFE: DAILY LIFE:
It is like an exam paper every version sits.</t>
        </is>
      </c>
      <c r="C4" s="29" t="inlineStr">
        <is>
          <t>01_Ideas_Beginner_EVL-003</t>
        </is>
      </c>
    </row>
    <row r="5" ht="409" customHeight="1">
      <c r="A5" s="29" t="inlineStr">
        <is>
          <t>Regression tests
Which tests make sure a change does not break what already worked?</t>
        </is>
      </c>
      <c r="B5" s="29" t="inlineStr">
        <is>
          <t>DEFINITION (SIMPLE):
Regression tests re-run a stable set of cases after each change to prompts, models, retrieval or code, to detect drops in quality compared with a baseline.
HOW / WHY IT WORKS:
Keep a baseline score per case and category, and flag cases that got worse, not only the average. Include previously fixed failures. Run automatically in CI where affordable, sampling if costly. Allow small noise margins since outputs vary. Review differences, since some changes are improvements to expectations.
SIMPLE EXPLANATION (HINGLISH):
Re-run old cases after every change and look at what got worse.
REAL-LIFE ANALOGY:
Regression tests are the alarm that rings when an old bug returns.
FORMULA / RULE:
Baseline vs new, per case, flagged when worse.
EXAMPLE 1:
A fixed refund question that must keep passing.
EXAMPLE 2:
An average that rose while one category fell.
EXAMPLE 3:
A CI job running twenty key cases.
RELATED CONCEPTS:
test sets, eval harness, prompt versioning, golden datasets
FAMILY / GROUP:
regression, baseline, CI, noise, flag
WHERE IT IS USED:
CI pipelines | Prompt changes | Model upgrades
MINI CONVERSATION:
A: The average improved, is it safe? | B: Check per-case results, since one category may have dropped.
COMMON MISTAKE:
✗ If the average score rose, nothing broke → ✓ Specific cases can get worse while the average improves
DON'T CONFUSE WITH:
Average vs per-case view: summary versus detail.
AVOID / DON'T:
Do not look only at the average.
MEMORY TRICK:
Track cases, not only averages.
REAL LIFE: PROJECT / WORK:
Per-case comparison revealed a prompt change broke refusals despite a better average.
REAL LIFE: INTERVIEW / EXAM:
An interviewer may ask: How do you prevent regressions in LLM apps?
REAL LIFE: DAILY LIFE:
It is like an alarm for returning bugs.</t>
        </is>
      </c>
      <c r="C5" s="29" t="inlineStr">
        <is>
          <t>01_Ideas_Intermediate_EVL-004</t>
        </is>
      </c>
    </row>
    <row r="6" ht="409" customHeight="1">
      <c r="A6" s="29" t="inlineStr">
        <is>
          <t>What good means
How do you define quality for an AI feature before measuring it?</t>
        </is>
      </c>
      <c r="B6" s="29" t="inlineStr">
        <is>
          <t>DEFINITION (SIMPLE):
Defining good means writing the dimensions of quality for the task, such as correctness, completeness, faithfulness, tone, safety, latency and cost, with thresholds and examples that reviewers and tests can apply.
HOW / WHY IT WORKS:
Start from the user's goal and the cost of errors. A medical question stresses accuracy and safety, while a brainstorm stresses variety. Rank criteria by importance and set minimum levels. Provide pass and fail examples so reviewers agree. Revisit as the product evolves. Different customers may have different standards.
SIMPLE EXPLANATION (HINGLISH):
Write the quality dimensions, the minimum levels and examples before you measure.
REAL-LIFE ANALOGY:
Defining good is writing the marking scheme before the exam.
FORMULA / RULE:
Goals + criteria + thresholds + examples.
EXAMPLE 1:
Answers must be correct and cite a source.
EXAMPLE 2:
Replies under five seconds for ninety-five percent of requests.
EXAMPLE 3:
A pass and fail example for tone.
RELATED CONCEPTS:
rubrics, human review, test sets, cost and latency
FAMILY / GROUP:
criteria, threshold, dimension, standard, rubric
WHERE IT IS USED:
Project start | Customer agreements | Reviews
MINI CONVERSATION:
A: We cannot agree if the bot is good. | B: Write the criteria and thresholds first.
COMMON MISTAKE:
✗ Quality is obvious when you see it → ✓ Without written criteria, people disagree
DON'T CONFUSE WITH:
Vague quality vs written criteria: opinion versus a standard.
AVOID / DON'T:
Do not start measuring without defining good.
MEMORY TRICK:
Write the marking scheme first.
REAL LIFE: PROJECT / WORK:
Written criteria ended debates and allowed objective release decisions.
REAL LIFE: INTERVIEW / EXAM:
An interviewer may ask: How do you define quality for an LLM feature?
REAL LIFE: DAILY LIFE:
It is like writing the marking scheme.</t>
        </is>
      </c>
      <c r="C6" s="29" t="inlineStr">
        <is>
          <t>01_Ideas_Beginner_EVL-005</t>
        </is>
      </c>
    </row>
    <row r="7" ht="409" customHeight="1">
      <c r="A7" s="29" t="inlineStr">
        <is>
          <t>Golden datasets
Which carefully labelled datasets act as the trusted reference for evaluation?</t>
        </is>
      </c>
      <c r="B7" s="29" t="inlineStr">
        <is>
          <t>DEFINITION (SIMPLE):
A golden dataset is a curated set of inputs paired with verified reference answers, evidence or labels, created or reviewed by domain experts and used as the benchmark for scoring.
HOW / WHY IT WORKS:
Quality matters more than size. Cover major tasks and failure types. Record who labelled each item and when. Resolve disagreements between reviewers. Keep it versioned and protected from leaking into prompts or training. Update it when policies change. Use it for regression tests and model comparisons.
SIMPLE EXPLANATION (HINGLISH):
Build a small expert-checked answer key and keep it clean and versioned.
REAL-LIFE ANALOGY:
A golden dataset is the master answer key checked by experts.
FORMULA / RULE:
Curated inputs + verified answers + versioning.
EXAMPLE 1:
Eighty questions with expert-approved answers.
EXAMPLE 2:
Reference passages for each question.
EXAMPLE 3:
A change log of dataset versions.
RELATED CONCEPTS:
test sets, rubrics, human review and agreement, regression tests
FAMILY / GROUP:
golden, reference, label, curated, version
WHERE IT IS USED:
Benchmarks | Release gates | Vendor comparisons
MINI CONVERSATION:
A: Can we trust these labels? | B: Experts reviewed them and resolved disagreements.
COMMON MISTAKE:
✗ A large generated dataset is as good as a curated one → ✓ Unreviewed labels can be wrong and mislead decisions
DON'T CONFUSE WITH:
Golden vs synthetic data: reviewed reference versus generated, unchecked.
AVOID / DON'T:
Do not let the dataset leak into prompts.
MEMORY TRICK:
Small, checked and clean beats big and noisy.
REAL LIFE: PROJECT / WORK:
A reviewed golden set of sixty cases guided a model choice better than thousands unlabelled.
REAL LIFE: INTERVIEW / EXAM:
An interviewer may ask: What is a golden dataset?
REAL LIFE: DAILY LIFE:
It is like a master answer key.</t>
        </is>
      </c>
      <c r="C7" s="29" t="inlineStr">
        <is>
          <t>02_Methods_Intermediate_EVL-006</t>
        </is>
      </c>
    </row>
    <row r="8" ht="409" customHeight="1">
      <c r="A8" s="29" t="inlineStr">
        <is>
          <t>Rubrics
Which scoring guides turn subjective quality into consistent judgments?</t>
        </is>
      </c>
      <c r="B8" s="29" t="inlineStr">
        <is>
          <t>DEFINITION (SIMPLE):
A rubric lists the criteria for judging an output, such as accuracy, completeness and tone, with defined score levels and examples, used by humans or LLM judges.
HOW / WHY IT WORKS:
Each criterion has clear, observable descriptions, such as a score of three means every claim is supported by a source. Scores can be combined or kept separate. Train reviewers with examples and check agreement. Rubrics also guide LLM-as-judge prompts. Too many criteria make scoring slow and noisy.
SIMPLE EXPLANATION (HINGLISH):
Define criteria and score levels with examples, and train reviewers.
REAL-LIFE ANALOGY:
A rubric is a marking sheet with boxes for each quality.
FORMULA / RULE:
Criteria × levels × examples.
EXAMPLE 1:
Accuracy scored from one to four with examples.
EXAMPLE 2:
A yes or no for citing a source.
EXAMPLE 3:
A tone score with sample replies.
RELATED CONCEPTS:
what good means, LLM-as-judge, human review, golden datasets
FAMILY / GROUP:
rubric, criterion, level, anchor, agreement
WHERE IT IS USED:
Human review | Judge prompts | Quality programmes
MINI CONVERSATION:
A: Reviewers score the same answer differently. | B: Add clearer level descriptions and anchor examples.
COMMON MISTAKE:
✗ More criteria always give better evaluation → ✓ Too many criteria slow reviewers and add noise
DON'T CONFUSE WITH:
Rubric vs gut feeling: structured criteria versus impressions.
AVOID / DON'T:
Do not use vague terms such as good without definitions.
MEMORY TRICK:
Few criteria, clear levels, real examples.
REAL LIFE: PROJECT / WORK:
A four-criteria rubric made reviewer scores far more consistent.
REAL LIFE: INTERVIEW / EXAM:
An interviewer may ask: How do you design a rubric?
REAL LIFE: DAILY LIFE:
It is like a marking sheet.</t>
        </is>
      </c>
      <c r="C8" s="29" t="inlineStr">
        <is>
          <t>02_Methods_Intermediate_EVL-007</t>
        </is>
      </c>
    </row>
    <row r="9" ht="409" customHeight="1">
      <c r="A9" s="29" t="inlineStr">
        <is>
          <t>Exact match and similarity
Which automatic checks compare an output with a reference?
import re
def normalise(s):
    return re.sub(r"\s+", " ", s.strip().lower())
def exact_match(pred, ref):
    return normalise(pred) == normalise(ref)
def token_overlap(pred, ref):
    a, b = set(normalise(pred).split()), set(normalise(ref).split())
    return len(a &amp; b) / max(1, len(a | b))
print(exact_match("Billing ", "billing"), round(token_overlap("refund in 7 days", "refunds take 7 days"), 2))</t>
        </is>
      </c>
      <c r="B9" s="29" t="inlineStr">
        <is>
          <t>MEANING (SHORT):
Exact match checks that the output equals the reference after normalisation, while similarity metrics such as embedding cosine, token overlap or ROUGE estimate how close the texts are.
CODE:
import re
def normalise(s):
    return re.sub(r"\s+", " ", s.strip().lower())
def exact_match(pred, ref):
    return normalise(pred) == normalise(ref)
def token_overlap(pred, ref):
    a, b = set(normalise(pred).split()), set(normalise(ref).split())
    return len(a &amp; b) / max(1, len(a | b))
print(exact_match("Billing ", "billing"), round(token_overlap("refund in 7 days", "refunds take 7 days"), 2))
OUTPUT:
True 0.33
EXPLANATION:
Exact match suits classification labels, extracted fields and numbers. For free text, overlap metrics reward the same words, not the same meaning, and can mislead. Embedding similarity captures meaning better, but needs thresholds and can miss factual differences such as numbers. Combine metrics with judge scores and human spot checks.
SIMPLE EXPLANATION (HINGLISH):
Normalise, compare exactly for short answers, and use meaning-based scoring for free text.
REAL-LIFE ANALOGY:
Exact match is a strict spelling test, and similarity is a test of meaning.
SYNTAX PATTERN:
normalise(pred) == normalise(ref)
ANATOMY:
normalise = clean text | exact = equal | overlap = shared words | embedding = meaning distance
EXAMPLE 1:
Label equals billing after lowercasing.
EXAMPLE 2:
A total extracted as 4200 equals the reference.
EXAMPLE 3:
A high similarity score for two answers with different numbers.
VARIATION:
ROUGE or BLEU style overlap   // older text metrics
USED WITH:
extraction, classification, regression tests
RELATED CONCEPTS:
precision and recall, LLM-as-judge, golden datasets, rubrics
ALTERNATIVES:
LLM-as-judge | human review
WHERE IT IS USED:
Classification | Extraction | Quick checks
MINI CONVERSATION:
A: Two answers look similar but differ on the price. | B: Similarity missed the number, so add a rule for numbers.
COMMON MISTAKE:
✗ High similarity means a correct answer → ✓ Two texts can be similar and differ in a key fact
COMMONLY CONFUSED WITH:
Exact match vs similarity: strict equality versus closeness.
AVOID / DON'T:
Do not use word overlap alone for free text quality.
WRONG CODE:
pred == ref   # without normalising
RIGHT CODE:
normalise(pred) == normalise(ref)
MEMORY TRICK:
Always normalise the text first, then compare.
REAL LIFE: PROJECT / WORK:
Exact match on labels gave a fast daily check for a classifier.
REAL LIFE: INTERVIEW / EXAM:
An interviewer may ask: When is exact match a good metric?
REAL LIFE: DAILY LIFE:
It is like a spelling test versus a meaning test.</t>
        </is>
      </c>
      <c r="C9" s="29" t="inlineStr">
        <is>
          <t>02_Methods_Intermediate_EVL-008</t>
        </is>
      </c>
    </row>
    <row r="10" ht="409" customHeight="1">
      <c r="A10" s="29" t="inlineStr">
        <is>
          <t>Precision and recall
Which two metrics show how clean and how complete the results are?
tp, fp, fn = 40, 10, 20   # true positives, false positives, false negatives
precision = tp / (tp + fp)
recall = tp / (tp + fn)
f1 = 2 * precision * recall / (precision + recall)
print(round(precision, 2), round(recall, 2), round(f1, 2))</t>
        </is>
      </c>
      <c r="B10" s="29" t="inlineStr">
        <is>
          <t>MEANING (SHORT):
Precision is the share of predicted positives that are correct, recall is the share of actual positives that were found, and F1 is their harmonic mean.
CODE:
tp, fp, fn = 40, 10, 20   # true positives, false positives, false negatives
precision = tp / (tp + fp)
recall = tp / (tp + fn)
f1 = 2 * precision * recall / (precision + recall)
print(round(precision, 2), round(recall, 2), round(f1, 2))
OUTPUT:
0.8 0.67 0.73
EXPLANATION:
A spam filter that flags everything has full recall and poor precision. A cautious one has high precision and poor recall. Which matters depends on the cost of each error, such as missing a fraud case versus bothering a customer. For multi-class tasks, report per class and macro averages. For retrieval, recall at k and precision at k apply.
SIMPLE EXPLANATION (HINGLISH):
Precision is how right the positives are, recall is how many positives you caught.
REAL-LIFE ANALOGY:
Precision asks how many of your picks were right, and recall asks how many of the right ones you found.
SYNTAX PATTERN:
precision = tp / (tp + fp) | recall = tp / (tp + fn)
ANATOMY:
tp = correct hits | fp = false alarms | fn = misses | F1 = balance
EXAMPLE 1:
A classifier catching 40 of 60 urgent tickets.
EXAMPLE 2:
A retriever returning five chunks, three relevant.
EXAMPLE 3:
A fraud model tuned for high recall.
VARIATION:
macro average over classes   // equal weight for each class
USED WITH:
classification, retrieval, extraction
RELATED CONCEPTS:
exact match and similarity, retrieval metrics, bias checks, test sets
ALTERNATIVES:
Accuracy | ROC curves
WHERE IT IS USED:
Classifiers | Retrieval | Safety filters
MINI CONVERSATION:
A: The filter blocks a lot of good messages. | B: Precision is low, so raise its threshold.
COMMON MISTAKE:
✗ Accuracy alone is enough → ✓ With rare positives, accuracy can look high while the model misses them
COMMONLY CONFUSED WITH:
Precision vs recall: correctness of picks versus coverage of targets.
AVOID / DON'T:
Do not report accuracy alone on imbalanced data.
WRONG CODE:
accuracy = correct / total   # misleading when positives are rare
RIGHT CODE:
precision = tp / (tp + fp); recall = tp / (tp + fn)
MEMORY TRICK:
Precision is purity, recall is coverage.
REAL LIFE: PROJECT / WORK:
Reporting recall for urgent tickets showed misses that accuracy had hidden.
REAL LIFE: INTERVIEW / EXAM:
An interviewer may ask: What is the difference between precision and recall?
REAL LIFE: DAILY LIFE:
It is like how right your picks were and how many you found.</t>
        </is>
      </c>
      <c r="C10" s="29" t="inlineStr">
        <is>
          <t>02_Methods_Intermediate_EVL-009</t>
        </is>
      </c>
    </row>
    <row r="11" ht="409" customHeight="1">
      <c r="A11" s="29" t="inlineStr">
        <is>
          <t>LLM-as-judge and its biases
How can a model score outputs, and what can go wrong?</t>
        </is>
      </c>
      <c r="B11" s="29" t="inlineStr">
        <is>
          <t>DEFINITION (SIMPLE):
LLM-as-judge uses a model with a rubric to rate or compare outputs, and it is affected by biases such as preferring longer answers, preferring the first option, favouring its own style and being swayed by confident tone.
HOW / WHY IT WORKS:
Mitigate by writing explicit rubrics, asking for reasoning then a score, using pairwise comparisons with order swapped, and testing the judge on cases with known labels. Use a stronger or different model as judge where possible. Track agreement with humans, and refresh the calibration when prompts or models change. Judges can miss factual errors without references.
SIMPLE EXPLANATION (HINGLISH):
Use rubrics, swap order, calibrate against humans, and do not trust it blindly.
REAL-LIFE ANALOGY:
An LLM judge is a fast marker who still needs checking against a senior examiner.
FORMULA / RULE:
Rubric + order swap + human calibration.
EXAMPLE 1:
A judge preferring the longer of two answers.
EXAMPLE 2:
Swapping answer order to test position bias.
EXAMPLE 3:
Agreement of 85 percent with expert labels.
RELATED CONCEPTS:
rubrics, pairwise comparison, human review and agreement, faithfulness
FAMILY / GROUP:
judge, bias, calibration, position bias, verbosity
WHERE IT IS USED:
Large evaluations | Prompt comparisons | Monitoring
MINI CONVERSATION:
A: The judge likes whichever answer comes first. | B: That is position bias, so swap the order and average.
COMMON MISTAKE:
✗ An LLM judge is as reliable as an expert → ✓ It is useful but biased and must be calibrated
DON'T CONFUSE WITH:
Judge vs human: scalable and biased versus slow and more reliable.
AVOID / DON'T:
Do not use an uncalibrated judge for decisions.
MEMORY TRICK:
Calibrate the judge before you trust it.
REAL LIFE: PROJECT / WORK:
Calibration against expert labels exposed a verbosity bias that was then corrected.
REAL LIFE: INTERVIEW / EXAM:
An interviewer may ask: What biases affect LLM judges?
REAL LIFE: DAILY LIFE:
It is like a fast marker checked by a senior examiner.</t>
        </is>
      </c>
      <c r="C11" s="29" t="inlineStr">
        <is>
          <t>02_Methods_Advanced_EVL-010</t>
        </is>
      </c>
    </row>
    <row r="12" ht="409" customHeight="1">
      <c r="A12" s="29" t="inlineStr">
        <is>
          <t>Human review and agreement
How do people judge outputs, and how do you know they agree?</t>
        </is>
      </c>
      <c r="B12" s="29" t="inlineStr">
        <is>
          <t>DEFINITION (SIMPLE):
Human review has trained reviewers score outputs against a rubric, and inter-annotator agreement, measured by percent agreement or Cohen's kappa, shows how consistent they are.
HOW / WHY IT WORKS:
Low agreement means unclear criteria or hard cases, not necessarily bad reviewers. Improve rubrics, add examples and calibrate in meetings. Use multiple reviewers for important sets and adjudicate disagreements. Kappa corrects for chance agreement. Review cost is high, so reserve it for golden sets, judge calibration and risky areas.
SIMPLE EXPLANATION (HINGLISH):
Use trained reviewers, measure agreement, and fix unclear rubrics.
REAL-LIFE ANALOGY:
Reviewer agreement is checking that two examiners give a similar mark.
FORMULA / RULE:
Agreement above chance shows consistency.
EXAMPLE 1:
Two reviewers agreeing on 90 percent of items.
EXAMPLE 2:
A third reviewer resolving a split.
EXAMPLE 3:
A kappa of 0.7 considered good.
RELATED CONCEPTS:
rubrics, LLM-as-judge, golden datasets, sampling
FAMILY / GROUP:
agreement, kappa, adjudication, annotator, calibration
WHERE IT IS USED:
Golden datasets | Judge calibration | Quality programmes
MINI CONVERSATION:
A: Reviewers keep disagreeing. | B: The rubric is unclear, so add anchors and recalibrate.
COMMON MISTAKE:
✗ Disagreement means the reviewers are bad → ✓ It usually means the criteria or task are unclear
DON'T CONFUSE WITH:
Percent agreement vs kappa: raw match versus chance-corrected.
AVOID / DON'T:
Do not use one reviewer for critical labels.
MEMORY TRICK:
Use two reviewers and one tiebreaker.
REAL LIFE: PROJECT / WORK:
Measuring kappa showed the rubric needed rewriting before scores were trusted.
REAL LIFE: INTERVIEW / EXAM:
An interviewer may ask: How do you measure agreement between reviewers?
REAL LIFE: DAILY LIFE:
It is like two examiners marking the same paper.</t>
        </is>
      </c>
      <c r="C12" s="29" t="inlineStr">
        <is>
          <t>02_Methods_Intermediate_EVL-011</t>
        </is>
      </c>
    </row>
    <row r="13" ht="409" customHeight="1">
      <c r="A13" s="29" t="inlineStr">
        <is>
          <t>Pairwise comparison
Why compare two outputs side by side instead of scoring each alone?</t>
        </is>
      </c>
      <c r="B13" s="29" t="inlineStr">
        <is>
          <t>DEFINITION (SIMPLE):
Pairwise comparison shows two outputs for the same input and asks a reviewer or judge to pick the better one or declare a tie, and results are summarised as win rates.
HOW / WHY IT WORKS:
It reduces scale confusion and is sensitive to small improvements. Randomising order avoids position bias. Win rates with confidence intervals show whether a difference is real. Ratings systems such as Elo can rank many systems. It tells which is better, not by how much in absolute quality, so pair it with criteria-based scoring.
SIMPLE EXPLANATION (HINGLISH):
Show two answers, pick the better, randomise order, and compute the win rate.
REAL-LIFE ANALOGY:
Pairwise comparison is a taste test between two dishes.
FORMULA / RULE:
Win rate = (wins + half the ties) ÷ all comparisons.
EXAMPLE 1:
Version B winning 62 of 100 comparisons.
EXAMPLE 2:
Order randomised to remove bias.
EXAMPLE 3:
A tie recorded when both are equal.
RELATED CONCEPTS:
LLM-as-judge, A/B tests, rubrics, statistical care
FAMILY / GROUP:
pairwise, win rate, tie, Elo, preference
WHERE IT IS USED:
Prompt comparison | Model selection | Human studies
MINI CONVERSATION:
A: Which prompt is better overall? | B: Run pairwise comparisons and look at the win rate.
COMMON MISTAKE:
✗ A 60 percent win rate on ten items proves one is better → ✓ Small samples are noisy, so check confidence
DON'T CONFUSE WITH:
Pairwise vs absolute scoring: relative choice versus a score on a scale.
AVOID / DON'T:
Do not show the same order every time.
MEMORY TRICK:
Randomise the order, count the wins.
REAL LIFE: PROJECT / WORK:
Pairwise tests picked the better of two prompts when scores were too close to separate.
REAL LIFE: INTERVIEW / EXAM:
An interviewer may ask: Why use pairwise comparison?
REAL LIFE: DAILY LIFE:
It is like a taste test.</t>
        </is>
      </c>
      <c r="C13" s="29" t="inlineStr">
        <is>
          <t>02_Methods_Intermediate_EVL-012</t>
        </is>
      </c>
    </row>
    <row r="14" ht="409" customHeight="1">
      <c r="A14" s="29" t="inlineStr">
        <is>
          <t>A/B tests
How do you compare two versions with real users?</t>
        </is>
      </c>
      <c r="B14" s="29" t="inlineStr">
        <is>
          <t>DEFINITION (SIMPLE):
An A/B test randomly assigns users or requests to version A or B, measures a predefined outcome metric, and uses statistics to decide whether the difference is real.
HOW / WHY IT WORKS:
Randomisation balances other factors. Metrics include task completion, edits, retries, satisfaction and cost. Run long enough to cover weekly patterns, and avoid peeking and stopping early. Guardrail metrics such as safety and latency protect users. Start with small traffic for risky changes. Network effects and novelty can bias results.
SIMPLE EXPLANATION (HINGLISH):
Split traffic randomly, measure a chosen metric and check significance before deciding.
REAL-LIFE ANALOGY:
An A/B test is giving two groups different medicines and comparing outcomes.
FORMULA / RULE:
Random split + planned metric + enough data.
EXAMPLE 1:
Ten percent of users seeing a new prompt.
EXAMPLE 2:
Comparing the rate of accepted drafts.
EXAMPLE 3:
A guardrail on complaint rate.
RELATED CONCEPTS:
online evaluation, statistical care, pairwise comparison, feedback loops
FAMILY / GROUP:
A/B test, randomise, metric, guardrail, significance
WHERE IT IS USED:
Product teams | Launches | Optimisation
MINI CONVERSATION:
A: B looks better after one day. | B: Wait for the planned sample size before deciding.
COMMON MISTAKE:
✗ Stopping a test as soon as it looks good is fine → ✓ Early stopping inflates false wins
DON'T CONFUSE WITH:
A/B test vs offline test: live users versus fixed cases.
AVOID / DON'T:
Do not peek and stop early.
MEMORY TRICK:
Plan the metric, then wait for the data.
REAL LIFE: PROJECT / WORK:
An A/B test showed a better-scoring prompt reduced user acceptance, and it was not shipped.
REAL LIFE: INTERVIEW / EXAM:
An interviewer may ask: How do you run an A/B test for an LLM feature?
REAL LIFE: DAILY LIFE:
It is like testing two medicines.</t>
        </is>
      </c>
      <c r="C14" s="29" t="inlineStr">
        <is>
          <t>02_Methods_Advanced_EVL-013</t>
        </is>
      </c>
    </row>
    <row r="15" ht="409" customHeight="1">
      <c r="A15" s="29" t="inlineStr">
        <is>
          <t>Sampling for evaluation
How do you choose which cases or outputs to review when you cannot check everything?</t>
        </is>
      </c>
      <c r="B15" s="29" t="inlineStr">
        <is>
          <t>DEFINITION (SIMPLE):
Sampling selects a subset of requests or outputs for review, using random sampling for unbiased estimates, stratified sampling to cover categories, and targeted sampling for risky or low-confidence cases.
HOW / WHY IT WORKS:
Random samples estimate overall quality with a margin of error that shrinks with more items. Stratified samples ensure rare categories are included. Targeted samples focus on thumbs-down, long conversations or high-risk topics, but do not represent the whole. Record how the sample was chosen so results are read correctly.
SIMPLE EXPLANATION (HINGLISH):
Use random samples for honesty and targeted samples for risk.
REAL-LIFE ANALOGY:
Sampling is tasting a spoonful from each pot, plus the pots that smell odd.
FORMULA / RULE:
Random for estimates, stratified for coverage, targeted for risk.
EXAMPLE 1:
Fifty random answers a week.
EXAMPLE 2:
Ten from each ticket category.
EXAMPLE 3:
All answers with negative feedback.
RELATED CONCEPTS:
human review, test sets, monitoring, statistical care
FAMILY / GROUP:
sample, stratified, random, margin of error, targeted
WHERE IT IS USED:
Production monitoring | Quality reviews | Audits
MINI CONVERSATION:
A: We only review thumbs-down answers. | B: That misses silent failures, so add a random sample.
COMMON MISTAKE:
✗ Reviewing only complaints shows overall quality → ✓ Complaints are a biased sample
DON'T CONFUSE WITH:
Random vs targeted sampling: representative versus problem-focused.
AVOID / DON'T:
Do not read results from a targeted sample as overall quality.
MEMORY TRICK:
Random for truth, targeted for risk.
REAL LIFE: PROJECT / WORK:
A weekly random sample revealed a quality drop that complaints had not shown.
REAL LIFE: INTERVIEW / EXAM:
An interviewer may ask: How do you sample outputs for review?
REAL LIFE: DAILY LIFE:
It is like tasting a spoonful from each pot.</t>
        </is>
      </c>
      <c r="C15" s="29" t="inlineStr">
        <is>
          <t>02_Methods_Intermediate_EVL-014</t>
        </is>
      </c>
    </row>
    <row r="16" ht="409" customHeight="1">
      <c r="A16" s="29" t="inlineStr">
        <is>
          <t>Statistical care
How do you avoid fooling yourself with small differences in scores?</t>
        </is>
      </c>
      <c r="B16" s="29" t="inlineStr">
        <is>
          <t>DEFINITION (SIMPLE):
Statistical care means treating evaluation scores as estimates with uncertainty, using sample sizes, confidence intervals, paired comparisons, multiple runs and significance tests before claiming that one system is better.
HOW / WHY IT WORKS:
A difference of two points on fifty cases is usually noise. Paired tests on the same cases are more powerful than comparing averages alone. Randomness in generation means repeated runs can vary, so average several. Avoid testing many variants and picking the best, which overstates results. Report effect size, not only whether it is significant.
SIMPLE EXPLANATION (HINGLISH):
Use enough cases, repeat runs, show uncertainty and be careful with small gains.
REAL-LIFE ANALOGY:
Statistical care is checking whether a coin that landed heads twice is really biased.
FORMULA / RULE:
Estimate ± uncertainty, not a single number.
EXAMPLE 1:
A 58 versus 56 percent score with overlapping intervals.
EXAMPLE 2:
Running each prompt three times.
EXAMPLE 3:
Testing twenty variants and picking the best.
RELATED CONCEPTS:
A/B tests, test sets, pairwise comparison, sampling
FAMILY / GROUP:
confidence interval, noise, significance, effect size, variance
WHERE IT IS USED:
Experiments | Reports | Decision making
MINI CONVERSATION:
A: Version B scored two points higher. | B: With fifty cases that may be noise, so check the interval.
COMMON MISTAKE:
✗ The higher score is always the better system → ✓ Small differences may be random variation
DON'T CONFUSE WITH:
Noise vs real effect: random variation versus a true difference.
AVOID / DON'T:
Do not pick the best of many variants and report it as typical.
MEMORY TRICK:
Every score has an error bar.
REAL LIFE: PROJECT / WORK:
Confidence intervals stopped the team from shipping a change that was only noise.
REAL LIFE: INTERVIEW / EXAM:
An interviewer may ask: How do you know a score difference is real?
REAL LIFE: DAILY LIFE:
It is like checking a coin for bias.</t>
        </is>
      </c>
      <c r="C16" s="29" t="inlineStr">
        <is>
          <t>02_Methods_Advanced_EVL-015</t>
        </is>
      </c>
    </row>
    <row r="17" ht="409" customHeight="1">
      <c r="A17" s="29" t="inlineStr">
        <is>
          <t>Retrieval metrics
Which measures show whether a RAG system retrieves the right evidence?</t>
        </is>
      </c>
      <c r="B17" s="29" t="inlineStr">
        <is>
          <t>DEFINITION (SIMPLE):
Retrieval metrics include recall at k, precision at k, mean reciprocal rank, hit rate and nDCG, computed against labelled relevant chunks for a set of questions.
HOW / WHY IT WORKS:
Recall at k asks whether the needed evidence is in the top k. MRR rewards ranking the first relevant result high. nDCG weighs graded relevance and position. Context precision and recall in RAG frameworks apply similar ideas to the passages actually put in the prompt. Metrics only work with trustworthy labels.
SIMPLE EXPLANATION (HINGLISH):
Label relevant chunks, then measure recall at k and ranking quality.
REAL-LIFE ANALOGY:
Retrieval metrics are the quiz results of the librarian.
FORMULA / RULE:
Recall at k, MRR and nDCG against labelled chunks.
EXAMPLE 1:
Recall at 5 of 0.82.
EXAMPLE 2:
MRR of 0.6, meaning the first relevant chunk is usually in the top two.
EXAMPLE 3:
A failing question list for review.
RELATED CONCEPTS:
precision and recall, evaluating retrieval in RAG, faithfulness, test sets
FAMILY / GROUP:
recall at k, MRR, nDCG, hit rate, relevance
WHERE IT IS USED:
RAG tuning | Release gates | Experiments
MINI CONVERSATION:
A: The answer is wrong, is it retrieval? | B: Check whether the relevant chunk was in the top k.
COMMON MISTAKE:
✗ Good answer scores prove good retrieval → ✓ A strong model can hide weak retrieval on easy questions
DON'T CONFUSE WITH:
Hit rate vs MRR: found anywhere versus how high it ranked.
AVOID / DON'T:
Do not measure retrieval without labelled chunks.
MEMORY TRICK:
Found it, and found it early.
REAL LIFE: PROJECT / WORK:
Recall at five on a labelled set guided a chunking change that raised accuracy.
REAL LIFE: INTERVIEW / EXAM:
An interviewer may ask: Which metrics do you use for retrieval?
REAL LIFE: DAILY LIFE:
It is like a quiz for the librarian.</t>
        </is>
      </c>
      <c r="C17" s="29" t="inlineStr">
        <is>
          <t>03_RAG_and_Agents_Intermediate_EVL-016</t>
        </is>
      </c>
    </row>
    <row r="18" ht="409" customHeight="1">
      <c r="A18" s="29" t="inlineStr">
        <is>
          <t>Faithfulness evaluation
How do you score whether answers stay within the supplied sources?</t>
        </is>
      </c>
      <c r="B18" s="29" t="inlineStr">
        <is>
          <t>DEFINITION (SIMPLE):
Faithfulness evaluation extracts the claims of an answer and checks whether each is entailed by the retrieved sources, reporting the share of supported claims, using judge models, entailment models or human review.
HOW / WHY IT WORKS:
The score is supported claims divided by all claims. It does not check correctness against the real world, since sources may be wrong. Pair it with answer relevance to ensure the question was addressed. Human spot checks calibrate automatic scores. Track it over time, and use it as a release gate.
SIMPLE EXPLANATION (HINGLISH):
Check each claim against the sources and report the supported share.
REAL-LIFE ANALOGY:
Faithfulness evaluation checks every sentence against the source pages.
FORMULA / RULE:
Supported claims ÷ total claims.
EXAMPLE 1:
Nine of ten claims supported gives 0.9.
EXAMPLE 2:
An invented number flagged.
EXAMPLE 3:
A release gate requiring 0.95.
RELATED CONCEPTS:
faithfulness, citations, LLM-as-judge, answer relevance
FAMILY / GROUP:
faithfulness, groundedness, entailment, claim, support
WHERE IT IS USED:
RAG evaluation | Monitoring | Quality gates
MINI CONVERSATION:
A: Is the answer grounded? | B: The judge found one unsupported claim out of ten.
COMMON MISTAKE:
✗ High faithfulness means the answer is useful → ✓ It can still miss the question or rely on wrong sources
DON'T CONFUSE WITH:
Faithfulness vs relevance: support versus addressing the question.
AVOID / DON'T:
Do not use faithfulness alone to approve answers.
MEMORY TRICK:
Supported claims over total claims.
REAL LIFE: PROJECT / WORK:
A faithfulness gate blocked a prompt change that increased invented details.
REAL LIFE: INTERVIEW / EXAM:
An interviewer may ask: How do you measure groundedness?
REAL LIFE: DAILY LIFE:
It is like checking each sentence against the page.</t>
        </is>
      </c>
      <c r="C18" s="29" t="inlineStr">
        <is>
          <t>03_RAG_and_Agents_Advanced_EVL-017</t>
        </is>
      </c>
    </row>
    <row r="19" ht="409" customHeight="1">
      <c r="A19" s="29" t="inlineStr">
        <is>
          <t>Answer relevance
How do you check that the answer actually addresses the question?</t>
        </is>
      </c>
      <c r="B19" s="29" t="inlineStr">
        <is>
          <t>DEFINITION (SIMPLE):
Answer relevance measures how well a response addresses the user's question, covering completeness, focus and absence of unrelated content, scored by reviewers or judge models against a rubric.
HOW / WHY IT WORKS:
A faithful answer that talks about a different topic scores high on groundedness and low on relevance. Methods include judge ratings, comparing the question with questions regenerated from the answer, and human review. Check completeness for multi-part questions. Use with correctness when reference answers exist.
SIMPLE EXPLANATION (HINGLISH):
Check that the answer addresses the question, fully and without drifting.
REAL-LIFE ANALOGY:
Answer relevance asks whether the reply answers the question that was asked.
FORMULA / RULE:
On-topic + complete + focused.
EXAMPLE 1:
A faithful reply about shipping to a billing question.
EXAMPLE 2:
Half of a two-part question answered.
EXAMPLE 3:
A rubric scoring focus from one to four.
RELATED CONCEPTS:
faithfulness evaluation, rubrics, retrieval metrics, LLM-as-judge
FAMILY / GROUP:
relevance, completeness, focus, on-topic, rubric
WHERE IT IS USED:
RAG evaluation | Chatbots | Quality reviews
MINI CONVERSATION:
A: The answer is grounded but useless. | B: Its relevance is low, since it does not address the question.
COMMON MISTAKE:
✗ Faithful answers are always relevant → ✓ They can be accurate yet off-topic
DON'T CONFUSE WITH:
Relevance vs faithfulness: on the question versus on the sources.
AVOID / DON'T:
Do not rely on one metric.
MEMORY TRICK:
Grounded and on-topic, both needed.
REAL LIFE: PROJECT / WORK:
Adding a relevance score caught accurate but evasive answers.
REAL LIFE: INTERVIEW / EXAM:
An interviewer may ask: Why measure answer relevance separately?
REAL LIFE: DAILY LIFE:
It is like checking whether the reply answers the question.</t>
        </is>
      </c>
      <c r="C19" s="29" t="inlineStr">
        <is>
          <t>03_RAG_and_Agents_Intermediate_EVL-018</t>
        </is>
      </c>
    </row>
    <row r="20" ht="409" customHeight="1">
      <c r="A20" s="29" t="inlineStr">
        <is>
          <t>Tool-call accuracy
How do you measure whether an agent calls the right tools with the right arguments?</t>
        </is>
      </c>
      <c r="B20" s="29" t="inlineStr">
        <is>
          <t>DEFINITION (SIMPLE):
Tool-call accuracy measures whether an agent selected the correct tool, supplied valid and correct arguments, avoided unnecessary or forbidden calls and handled errors, compared with expected calls on test tasks.
HOW / WHY IT WORKS:
Metrics include correct tool selection rate, argument correctness, number of calls, avoided forbidden calls and recovery after errors. Some tasks have more than one valid path, so compare outcomes as well as exact calls. Use mocks for tools in tests to keep them repeatable. Review traces of failures for patterns.
SIMPLE EXPLANATION (HINGLISH):
Compare actual tool calls with expected ones and check outcomes and errors.
REAL-LIFE ANALOGY:
Tool-call accuracy checks whether the apprentice picked the right tool and used it correctly.
FORMULA / RULE:
Right tool + right arguments + no forbidden calls.
EXAMPLE 1:
The order lookup called with the correct id.
EXAMPLE 2:
A refund tool called when not allowed.
EXAMPLE 3:
A retry after a tool error.
RELATED CONCEPTS:
task success, tool calling, agents and loops, guardrails
FAMILY / GROUP:
tool call, arguments, trace, mock, forbidden
WHERE IT IS USED:
Agent evaluation | Testing | Safety reviews
MINI CONVERSATION:
A: The final answer is fine but did it call tools correctly? | B: Check the trace against expected calls.
COMMON MISTAKE:
✗ A good final answer proves the agent behaved correctly → ✓ It may have used wrong or risky tools on the way
DON'T CONFUSE WITH:
Outcome vs trace evaluation: final result versus the steps taken.
AVOID / DON'T:
Do not run agent tests against real systems.
MEMORY TRICK:
Check the steps, not only the answer.
REAL LIFE: PROJECT / WORK:
Trace checks found an agent calling a risky tool that final answers had hidden.
REAL LIFE: INTERVIEW / EXAM:
An interviewer may ask: How do you evaluate an agent?
REAL LIFE: DAILY LIFE:
It is like checking the tools an apprentice picked.</t>
        </is>
      </c>
      <c r="C20" s="29" t="inlineStr">
        <is>
          <t>03_RAG_and_Agents_Advanced_EVL-019</t>
        </is>
      </c>
    </row>
    <row r="21" ht="409" customHeight="1">
      <c r="A21" s="29" t="inlineStr">
        <is>
          <t>Task success
How do you measure whether an agent completed the goal?</t>
        </is>
      </c>
      <c r="B21" s="29" t="inlineStr">
        <is>
          <t>DEFINITION (SIMPLE):
Task success measures whether an agent achieved the defined goal, checked by comparing the final state, such as a database record or file, or by rubric review, and is usually reported as a success rate with confidence.
HOW / WHY IT WORKS:
Good tasks have programmatic checks, such as whether the ticket was created with the right fields. Partial credit can reflect steps completed. Run each task several times, since agents vary. Report success rate, steps, cost and time together. Failures are classified by cause to guide improvement.
SIMPLE EXPLANATION (HINGLISH):
Check the final state against the goal and report the success rate over several runs.
REAL-LIFE ANALOGY:
Task success is checking whether the errand was actually done.
FORMULA / RULE:
Success rate = successful runs ÷ total runs.
EXAMPLE 1:
A ticket created with the correct priority.
EXAMPLE 2:
A file renamed as requested.
EXAMPLE 3:
Seven of ten runs succeeding.
RELATED CONCEPTS:
tool-call accuracy, cost and latency, eval harness, statistical care
FAMILY / GROUP:
success rate, end state, goal, partial credit, runs
WHERE IT IS USED:
Agent benchmarks | Release gates | Product reviews
MINI CONVERSATION:
A: Does the agent finish the job? | B: It succeeds in seven of ten runs, so we need to study the failures.
COMMON MISTAKE:
✗ One successful run shows reliability → ✓ Agents vary, so repeat runs are needed
DON'T CONFUSE WITH:
Success vs steps: outcome versus the path.
AVOID / DON'T:
Do not judge from a single run.
MEMORY TRICK:
Check the end state, repeat the runs.
REAL LIFE: PROJECT / WORK:
Repeating runs showed an agent's success rate was far lower than a demo suggested.
REAL LIFE: INTERVIEW / EXAM:
An interviewer may ask: How do you measure agent reliability?
REAL LIFE: DAILY LIFE:
It is like checking whether the errand was done.</t>
        </is>
      </c>
      <c r="C21" s="29" t="inlineStr">
        <is>
          <t>03_RAG_and_Agents_Advanced_EVL-020</t>
        </is>
      </c>
    </row>
    <row r="22" ht="409" customHeight="1">
      <c r="A22" s="29" t="inlineStr">
        <is>
          <t>Cost and latency in evaluation
Why must quality be reported together with cost and speed?</t>
        </is>
      </c>
      <c r="B22" s="29" t="inlineStr">
        <is>
          <t>DEFINITION (SIMPLE):
Evaluating cost and latency means measuring tokens, price per request, time to first token and total time, including percentiles, and comparing them with quality to choose the best trade-off.
HOW / WHY IT WORKS:
Record input and output tokens, number of calls and tool steps per task. Use p50 and p95 latency, since slow tails hurt users. Compare versions on quality per cost. Set budgets as release gates. Smaller or cheaper models may meet the bar for easy tasks. Costs change over time, so recalculate with current prices.
SIMPLE EXPLANATION (HINGLISH):
Report quality, cost and latency together and choose by trade-off.
REAL-LIFE ANALOGY:
Quality, cost and speed are three sides of a triangle.
FORMULA / RULE:
Quality per cost, within a latency budget.
EXAMPLE 1:
Version B 3 points better but twice the cost.
EXAMPLE 2:
p95 latency over the target.
EXAMPLE 3:
A cheaper model passing the quality bar.
RELATED CONCEPTS:
model choice, cost control, task success, A/B tests
FAMILY / GROUP:
cost, latency, p95, budget, trade-off
WHERE IT IS USED:
Model selection | Release decisions | Planning
MINI CONVERSATION:
A: Version B is more accurate. | B: Check its cost and latency before choosing it.
COMMON MISTAKE:
✗ Higher quality always justifies higher cost → ✓ The product needs an acceptable balance
DON'T CONFUSE WITH:
Average vs p95 latency: typical versus slow tail.
AVOID / DON'T:
Do not compare quality without cost.
MEMORY TRICK:
Quality, cost and speed always travel together.
REAL LIFE: PROJECT / WORK:
A cost-quality table led to a cheaper model for easy tickets without losing accuracy.
REAL LIFE: INTERVIEW / EXAM:
An interviewer may ask: How do you choose between two models?
REAL LIFE: DAILY LIFE:
It is like a triangle of three sides.</t>
        </is>
      </c>
      <c r="C22" s="29" t="inlineStr">
        <is>
          <t>03_RAG_and_Agents_Intermediate_EVL-021</t>
        </is>
      </c>
    </row>
    <row r="23" ht="409" customHeight="1">
      <c r="A23" s="29" t="inlineStr">
        <is>
          <t>Red teaming
How do people deliberately try to break an AI system to find weaknesses?</t>
        </is>
      </c>
      <c r="B23" s="29" t="inlineStr">
        <is>
          <t>DEFINITION (SIMPLE):
Red teaming is structured adversarial testing in which testers try to make a system produce harmful, leaking, off-policy or incorrect behaviour, using prompts, tools and multi-step attacks, and findings drive fixes and new tests.
HOW / WHY IT WORKS:
Scope covers harmful content, privacy leaks, injection, jailbreaks, bias and misuse of tools. Use diverse testers and a taxonomy of attacks. Log successful attacks with severity, fix by prompts, guardrails and permissions, and add them to regression tests. Repeat after major changes. It complements, but does not replace, normal evaluation.
SIMPLE EXPLANATION (HINGLISH):
Attack your own system on purpose, record what works, fix it and retest.
REAL-LIFE ANALOGY:
Red teaming is hiring a friendly burglar to test your locks.
FORMULA / RULE:
Attack, record, fix, retest.
EXAMPLE 1:
A tester extracting hidden instructions.
EXAMPLE 2:
A prompt tricking the bot into off-policy advice.
EXAMPLE 3:
A successful attack added to the regression set.
RELATED CONCEPTS:
prompt injection tests, edge cases, guardrails, regression tests
FAMILY / GROUP:
red team, jailbreak, adversarial, severity, taxonomy
WHERE IT IS USED:
Launch reviews | Security | Regulated systems
MINI CONVERSATION:
A: Before launch, how do we test misuse? | B: Run a red team session and save every successful attack as a test.
COMMON MISTAKE:
✗ Red teaming once before launch is enough → ✓ Systems change, so it must be repeated
DON'T CONFUSE WITH:
Red teaming vs ordinary testing: adversarial creativity versus expected use.
AVOID / DON'T:
Do not ignore findings without a severity rating.
MEMORY TRICK:
Attack it, log it, fix it, then retest it.
REAL LIFE: PROJECT / WORK:
A red team found a data leak path that was closed before launch.
REAL LIFE: INTERVIEW / EXAM:
An interviewer may ask: What is red teaming?
REAL LIFE: DAILY LIFE:
It is like a friendly burglar testing the locks.</t>
        </is>
      </c>
      <c r="C23" s="29" t="inlineStr">
        <is>
          <t>04_Safety_and_Robustness_Advanced_EVL-022</t>
        </is>
      </c>
    </row>
    <row r="24" ht="409" customHeight="1">
      <c r="A24" s="29" t="inlineStr">
        <is>
          <t>Edge cases
Which unusual inputs most often break AI systems?</t>
        </is>
      </c>
      <c r="B24" s="29" t="inlineStr">
        <is>
          <t>DEFINITION (SIMPLE):
Edge cases are rare or unusual inputs, such as empty text, very long text, mixed languages, typos, ambiguous questions, conflicting sources, special characters and out-of-scope requests, which test the limits of a system.
HOW / WHY IT WORKS:
Build a list by category. Test empty and huge inputs, other languages, formatting oddities, sarcasm, contradictory documents and requests the system should refuse. Record expected behaviour, such as a polite refusal or a clarifying question. Real user logs reveal new edge cases. Add each failure as a regression test.
SIMPLE EXPLANATION (HINGLISH):
Test odd and extreme inputs, define expected behaviour and keep them as tests.
REAL-LIFE ANALOGY:
Edge cases are the corner of the room where dust hides.
FORMULA / RULE:
Typical cases pass, edges reveal weakness.
EXAMPLE 1:
An empty message.
EXAMPLE 2:
A question mixing two languages.
EXAMPLE 3:
An out-of-scope request expecting a refusal.
RELATED CONCEPTS:
test sets, red teaming, regression tests, refusal quality
FAMILY / GROUP:
edge case, corner case, out-of-scope, ambiguity, robustness
WHERE IT IS USED:
Test design | Quality assurance | Launch checks
MINI CONVERSATION:
A: The bot fails on very long messages. | B: Add long inputs to the edge case tests.
COMMON MISTAKE:
✗ Typical examples are enough for testing → ✓ Failures cluster at unusual inputs
DON'T CONFUSE WITH:
Typical vs edge cases: common inputs versus rare extremes.
AVOID / DON'T:
Do not skip empty and oversized inputs.
MEMORY TRICK:
Test the corners, not only the middle.
REAL LIFE: PROJECT / WORK:
Edge case tests found a crash on empty messages.
REAL LIFE: INTERVIEW / EXAM:
An interviewer may ask: What edge cases would you test for a chatbot?
REAL LIFE: DAILY LIFE:
It is like corners where dust hides.</t>
        </is>
      </c>
      <c r="C24" s="29" t="inlineStr">
        <is>
          <t>04_Safety_and_Robustness_Intermediate_EVL-023</t>
        </is>
      </c>
    </row>
    <row r="25" ht="409" customHeight="1">
      <c r="A25" s="29" t="inlineStr">
        <is>
          <t>Prompt injection tests
How do you test whether hidden instructions can hijack your system?</t>
        </is>
      </c>
      <c r="B25" s="29" t="inlineStr">
        <is>
          <t>DEFINITION (SIMPLE):
Prompt injection tests insert adversarial instructions into user input, retrieved documents, web content and tool outputs, and verify that the system ignores them and never performs forbidden actions or leaks data.
HOW / WHY IT WORKS:
Build a library of injection payloads, including direct, hidden and encoded forms. Plant them in test documents and run the full pipeline with mock tools. Pass means no forbidden tool call, no secret revealed and the user's task continues. Measure attack success rate, and retest after each defence change. Combine with permission limits as the real defence.
SIMPLE EXPLANATION (HINGLISH):
Plant malicious instructions in every channel and check nothing forbidden happens.
REAL-LIFE ANALOGY:
Injection tests slip forged notes into the paperwork to see whether the assistant obeys.
FORMULA / RULE:
Payload in, forbidden action out means failure.
EXAMPLE 1:
A web page telling the agent to email files.
EXAMPLE 2:
A document asking for the system prompt.
EXAMPLE 3:
An attack success rate of 5 percent.
RELATED CONCEPTS:
prompt injection, red teaming, guardrails, tool-call accuracy
FAMILY / GROUP:
injection, payload, channel, success rate, mock
WHERE IT IS USED:
Agent testing | Security reviews | RAG systems
MINI CONVERSATION:
A: How do we know the agent resists injection? | B: Plant payloads in documents and check it makes no forbidden calls.
COMMON MISTAKE:
✗ Testing the chat box alone covers injection → ✓ Documents, pages and tool outputs are attack channels too
DON'T CONFUSE WITH:
Direct vs indirect injection tests: user typed versus hidden in data.
AVOID / DON'T:
Do not test against real tools.
MEMORY TRICK:
Test every channel, with mock tools.
REAL LIFE: PROJECT / WORK:
Planted payloads in documents revealed an agent that obeyed hidden instructions.
REAL LIFE: INTERVIEW / EXAM:
An interviewer may ask: How do you test for prompt injection?
REAL LIFE: DAILY LIFE:
It is like slipping forged notes into paperwork.</t>
        </is>
      </c>
      <c r="C25" s="29" t="inlineStr">
        <is>
          <t>04_Safety_and_Robustness_Advanced_EVL-024</t>
        </is>
      </c>
    </row>
    <row r="26" ht="409" customHeight="1">
      <c r="A26" s="29" t="inlineStr">
        <is>
          <t>Bias checks
How do you test whether a system treats groups of people unfairly?</t>
        </is>
      </c>
      <c r="B26" s="29" t="inlineStr">
        <is>
          <t>DEFINITION (SIMPLE):
Bias checks compare system behaviour across groups or attributes, using paired or counterfactual inputs, subgroup metrics and reviews, to find unfair differences in quality, tone, refusals or decisions.
HOW / WHY IT WORKS:
Swap names, genders, ethnic markers or dialects in otherwise identical prompts and compare scores and tone. Report metrics per subgroup rather than one average. Consider the impact of errors on each group. Mitigate with data, prompts, guardrails and human review, and document limits. Sensitive decisions need extra scrutiny and legal advice.
SIMPLE EXPLANATION (HINGLISH):
Compare outcomes across groups on matched inputs and report per-group metrics.
REAL-LIFE ANALOGY:
Bias checks are asking the same question in different voices and seeing whether the answer changes unfairly.
FORMULA / RULE:
Same input, different attribute, compare outcomes.
EXAMPLE 1:
Two CVs identical except for the name.
EXAMPLE 2:
Lower quality answers in a regional dialect.
EXAMPLE 3:
Per-group error rates.
RELATED CONCEPTS:
precision and recall, red teaming, human review, test sets
FAMILY / GROUP:
bias, fairness, counterfactual, subgroup, parity
WHERE IT IS USED:
Hiring tools | Finance | Public services
MINI CONVERSATION:
A: Does the bot treat names the same? | B: Test paired inputs that differ only in the name.
COMMON MISTAKE:
✗ A good average score means the system is fair → ✓ Averages can hide poor performance for a group
DON'T CONFUSE WITH:
Average vs subgroup metrics: overall versus per group.
AVOID / DON'T:
Do not report only overall accuracy.
MEMORY TRICK:
Match the inputs, split the metrics.
REAL LIFE: PROJECT / WORK:
Subgroup metrics revealed lower accuracy on one dialect, which led to extra test data.
REAL LIFE: INTERVIEW / EXAM:
An interviewer may ask: How do you check an LLM for bias?
REAL LIFE: DAILY LIFE:
It is like asking in different voices.</t>
        </is>
      </c>
      <c r="C26" s="29" t="inlineStr">
        <is>
          <t>04_Safety_and_Robustness_Advanced_EVL-025</t>
        </is>
      </c>
    </row>
    <row r="27" ht="409" customHeight="1">
      <c r="A27" s="29" t="inlineStr">
        <is>
          <t>Refusal quality
How do you judge whether the system refuses well when it should, and helps when it should?</t>
        </is>
      </c>
      <c r="B27" s="29" t="inlineStr">
        <is>
          <t>DEFINITION (SIMPLE):
Refusal quality evaluates correct refusal of disallowed requests, avoidance of over-refusal on legitimate ones, and the helpfulness and tone of the refusal, such as explaining why and offering safe alternatives.
HOW / WHY IT WORKS:
Build two sets: requests that must be refused and legitimate requests that look similar. Measure refusal rate on each, tracking false refusals and misses. Review tone: polite, clear and not preachy. Provide alternatives or next steps. Policies differ by product, so write them down. Re-test after prompt or model changes.
SIMPLE EXPLANATION (HINGLISH):
Test that harmful requests are refused politely and normal ones are answered.
REAL-LIFE ANALOGY:
A good doorman turns away trouble politely and still lets honest guests in.
FORMULA / RULE:
Refuse what must be refused, help with the rest.
EXAMPLE 1:
A bot declining unsafe advice with an alternative.
EXAMPLE 2:
A legitimate question wrongly refused.
EXAMPLE 3:
A harmful request answered by mistake.
RELATED CONCEPTS:
moderation, guardrails, red teaming, edge cases
FAMILY / GROUP:
refusal, over-refusal, false refusal, policy, tone
WHERE IT IS USED:
Public chatbots | Education | Health tools
MINI CONVERSATION:
A: The bot refuses harmless questions. | B: That is over-refusal, so add borderline cases to the tests.
COMMON MISTAKE:
✗ More refusals always mean a safer system → ✓ Over-refusal harms usefulness and trust
DON'T CONFUSE WITH:
False refusal vs missed refusal: blocking good requests versus allowing bad ones.
AVOID / DON'T:
Do not measure only the refusal of harmful requests.
MEMORY TRICK:
Measure both mistakes: too many and too few.
REAL LIFE: PROJECT / WORK:
Adding borderline questions to tests cut false refusals in a health information bot.
REAL LIFE: INTERVIEW / EXAM:
An interviewer may ask: How do you evaluate refusals?
REAL LIFE: DAILY LIFE:
It is like a polite doorman.</t>
        </is>
      </c>
      <c r="C27" s="29" t="inlineStr">
        <is>
          <t>04_Safety_and_Robustness_Intermediate_EVL-026</t>
        </is>
      </c>
    </row>
    <row r="28" ht="409" customHeight="1">
      <c r="A28" s="29" t="inlineStr">
        <is>
          <t>Eval harness
Which program runs your test cases through the system and records scores?
import json, time
def run_eval(dataset, system, scorers, version):
    rows = []
    for case in dataset:
        t0 = time.time()
        output = system(case["input"])
        scores = {name: fn(output, case) for name, fn in scorers.items()}
        rows.append({"id": case["id"], "category": case["category"], "latency_s": round(time.time() - t0, 3), **scores})
    summary = {}
    for name in scorers:
        summary[name] = sum(r[name] for r in rows) / len(rows)
    json.dump({"version": version, "summary": summary, "rows": rows}, open(f"results_{version}.json", "w"))
    return summary</t>
        </is>
      </c>
      <c r="B28" s="29" t="inlineStr">
        <is>
          <t>MEANING (SHORT):
An eval harness loads a dataset, calls the system under test, applies scorers such as exact match or a judge, aggregates metrics by category and saves results with the versions used.
CODE:
import json, time
def run_eval(dataset, system, scorers, version):
    rows = []
    for case in dataset:
        t0 = time.time()
        output = system(case["input"])
        scores = {name: fn(output, case) for name, fn in scorers.items()}
        rows.append({"id": case["id"], "category": case["category"], "latency_s": round(time.time() - t0, 3), **scores})
    summary = {}
    for name in scorers:
        summary[name] = sum(r[name] for r in rows) / len(rows)
    json.dump({"version": version, "summary": summary, "rows": rows}, open(f"results_{version}.json", "w"))
    return summary
OUTPUT:
A saved results file with per-case rows and average scores for the named version.
EXPLANATION:
Store per-case results to compare versions case by case. Fix random seeds or set low temperature where possible, and repeat runs to measure noise. Mock external tools. Record prompt and model versions, dataset version and cost. Output a report with the biggest regressions first. Tools such as promptfoo, Ragas and custom scripts provide similar features.
SIMPLE EXPLANATION (HINGLISH):
Load cases, run the system, score, save per-case results with versions, and compare.
REAL-LIFE ANALOGY:
An eval harness is a test bench that runs every version through the same course.
SYNTAX PATTERN:
for case in dataset: output = system(case.input); scores = scorers(output, case)
ANATOMY:
dataset = cases | system = what is tested | scorers = metrics | version = what ran
EXAMPLE 1:
python run_eval.py --version v3
EXAMPLE 2:
A report listing the ten biggest regressions.
EXAMPLE 3:
Results saved per category.
VARIATION:
promptfoo or Ragas   // ready-made evaluation tools
USED WITH:
CI, test sets, regression tests
RELATED CONCEPTS:
regression tests, prompt and model versioning, test sets, statistical care
ALTERNATIVES:
Evaluation frameworks
WHERE IT IS USED:
CI pipelines | Prompt work | Model comparisons
MINI CONVERSATION:
A: How do we check each prompt change? | B: Run the harness and look at the per-case differences.
COMMON MISTAKE:
✗ A harness must be complex → ✓ A small script that runs and saves cases is enough to start
COMMONLY CONFUSED WITH:
Harness vs test set: one runs the tests, the other is the data.
AVOID / DON'T:
Do not save only the average.
WRONG CODE:
print(sum(scores) / len(scores))   # no per-case results
RIGHT CODE:
rows.append({"id": case["id"], **scores})
MEMORY TRICK:
Save the cases, not only the average.
REAL LIFE: PROJECT / WORK:
A fifty-line harness in CI caught regressions on every prompt change.
REAL LIFE: INTERVIEW / EXAM:
An interviewer may ask: What does an eval harness do?
REAL LIFE: DAILY LIFE:
It is like a test bench.</t>
        </is>
      </c>
      <c r="C28" s="29" t="inlineStr">
        <is>
          <t>05_Practice_Advanced_EVL-027</t>
        </is>
      </c>
    </row>
    <row r="29" ht="409" customHeight="1">
      <c r="A29" s="29" t="inlineStr">
        <is>
          <t>Prompt and model versioning
How do you tie every evaluation result to exactly what was tested?</t>
        </is>
      </c>
      <c r="B29" s="29" t="inlineStr">
        <is>
          <t>DEFINITION (SIMPLE):
Versioning identifies the prompt text, model identifier, parameters, retrieval settings, tool definitions, dataset and code commit used in each evaluation and production call, so results can be reproduced and compared.
HOW / WHY IT WORKS:
Store prompts in version control, give models explicit identifiers, and log versions with each request. Providers update models, so pin versions where possible and re-run evaluations when they change. Keep an experiment log of changes and outcomes. Rolling back needs earlier versions to remain available.
SIMPLE EXPLANATION (HINGLISH):
Record what was tested, so every result can be reproduced and compared.
REAL-LIFE ANALOGY:
Versioning is writing the recipe card number on every photo of the dish.
FORMULA / RULE:
Result = prompt version + model + data + settings.
EXAMPLE 1:
A results file naming prompt v7 and dataset v3.
EXAMPLE 2:
A pinned model version.
EXAMPLE 3:
A rollback to prompt v6.
RELATED CONCEPTS:
prompt versions, eval harness, drift monitoring, regression tests
FAMILY / GROUP:
version, pin, hash, experiment log, reproducibility
WHERE IT IS USED:
Experiments | Production | Audits
MINI CONVERSATION:
A: Quality changed overnight. | B: Check whether the provider updated the model version.
COMMON MISTAKE:
✗ The model name stays the same, so behaviour does too → ✓ Providers may update models, so pin and re-test
DON'T CONFUSE WITH:
Pinned vs floating model: fixed behaviour versus changing behaviour.
AVOID / DON'T:
Do not record scores without versions.
MEMORY TRICK:
Every score carries its recipe number.
REAL LIFE: PROJECT / WORK:
Version logs showed a quality drop began when a model alias changed.
REAL LIFE: INTERVIEW / EXAM:
An interviewer may ask: Why record versions with results?
REAL LIFE: DAILY LIFE:
It is like a recipe card number on every photo.</t>
        </is>
      </c>
      <c r="C29" s="29" t="inlineStr">
        <is>
          <t>05_Practice_Advanced_EVL-028</t>
        </is>
      </c>
    </row>
    <row r="30" ht="409" customHeight="1">
      <c r="A30" s="29" t="inlineStr">
        <is>
          <t>Drift monitoring
How do you notice when quality slowly gets worse in production?</t>
        </is>
      </c>
      <c r="B30" s="29" t="inlineStr">
        <is>
          <t>DEFINITION (SIMPLE):
Drift monitoring tracks quality signals over time, such as scheduled evaluation scores, user feedback, retrieval scores, refusal and no-answer rates and input topic shifts, and alerts when they move beyond expected ranges.
HOW / WHY IT WORKS:
Causes include new kinds of questions, outdated documents, changed provider models and upstream data changes. Run the golden set nightly or weekly, compare with baseline, and alert on drops. Watch input distributions for new topics. Sample production outputs for review. Investigate with versions and logs.
SIMPLE EXPLANATION (HINGLISH):
Re-run tests on a schedule, watch live signals and alert on changes.
REAL-LIFE ANALOGY:
Drift monitoring is checking whether a clock is slowly running fast.
FORMULA / RULE:
Scheduled eval + live signals + alerts.
EXAMPLE 1:
A weekly golden set run showing a three point drop.
EXAMPLE 2:
A rising no-answer rate.
EXAMPLE 3:
New question topics appearing.
RELATED CONCEPTS:
feedback loops, monitoring RAG, regression tests, prompt and model versioning
FAMILY / GROUP:
drift, baseline, schedule, distribution, alert
WHERE IT IS USED:
Production AI | Quality teams | Operations
MINI CONVERSATION:
A: Complaints rose slowly this month. | B: Check drift in the weekly evaluation and the no-answer rate.
COMMON MISTAKE:
✗ If the code did not change, quality cannot change → ✓ Data, users and models change too
DON'T CONFUSE WITH:
Regression vs drift: sudden after a change versus slow without one.
AVOID / DON'T:
Do not rely on launch-day test results forever.
MEMORY TRICK:
Schedule the checks, watch the slope.
REAL LIFE: PROJECT / WORK:
A weekly eval run caught a quality drop after a provider model update.
REAL LIFE: INTERVIEW / EXAM:
An interviewer may ask: How do you detect quality drift?
REAL LIFE: DAILY LIFE:
It is like a clock running slightly fast.</t>
        </is>
      </c>
      <c r="C30" s="29" t="inlineStr">
        <is>
          <t>05_Practice_Advanced_EVL-029</t>
        </is>
      </c>
    </row>
    <row r="31" ht="409" customHeight="1">
      <c r="A31" s="29" t="inlineStr">
        <is>
          <t>Feedback loops
How do user feedback and failures flow back into better tests and systems?</t>
        </is>
      </c>
      <c r="B31" s="29" t="inlineStr">
        <is>
          <t>DEFINITION (SIMPLE):
A feedback loop collects signals such as thumbs, edits, escalations and reviews, analyses failures, adds them to the test sets, improves the system and measures whether the fix worked.
HOW / WHY IT WORKS:
Collect explicit feedback and implicit signals such as retries and copy actions. Triage by frequency and severity. Reproduce failures, fix, add a regression test and verify after release. Close the loop by informing users where appropriate. Protect privacy when storing examples. Without action, feedback collection is wasted.
SIMPLE EXPLANATION (HINGLISH):
Collect feedback, find the causes, add tests, fix, and verify.
REAL-LIFE ANALOGY:
A feedback loop is a suggestion box that someone actually reads and acts on.
FORMULA / RULE:
Feedback → triage → test → fix → verify.
EXAMPLE 1:
A thumbs-down answer added as a test case.
EXAMPLE 2:
A weekly review of the top failure types.
EXAMPLE 3:
A fix confirmed by improved scores.
RELATED CONCEPTS:
online evaluation, regression tests, drift monitoring, human review
FAMILY / GROUP:
feedback, triage, signal, loop, improvement
WHERE IT IS USED:
Product teams | Quality programmes | Support tools
MINI CONVERSATION:
A: Users keep thumbs-downing refund questions. | B: Review them, fix the cause and add them as tests.
COMMON MISTAKE:
✗ Collecting feedback alone improves the system → ✓ Someone must act on it and verify the effect
DON'T CONFUSE WITH:
Explicit vs implicit feedback: ratings versus behaviour signals.
AVOID / DON'T:
Do not store feedback examples without privacy controls.
MEMORY TRICK:
Collect, triage, test, fix, verify.
REAL LIFE: PROJECT / WORK:
A weekly feedback review converted failures into tests and steadily raised accuracy.
REAL LIFE: INTERVIEW / EXAM:
An interviewer may ask: How do you use feedback to improve an LLM feature?
REAL LIFE: DAILY LIFE:
It is like a suggestion box that is read.</t>
        </is>
      </c>
      <c r="C31" s="29" t="inlineStr">
        <is>
          <t>05_Practice_Intermediate_EVL-030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94.5" customHeight="1">
      <c r="A2" s="29" t="inlineStr">
        <is>
          <t>MCQ: Why evaluate AI systems?
A) To avoid testing B) To compare changes with evidence C) To raise costs D) To make demos longer
FILL: A drop in quality after a change is a ____
APPLY: You changed the prompt. How do you know if it helped?</t>
        </is>
      </c>
      <c r="B2" s="29" t="inlineStr">
        <is>
          <t>MCQ answer: B  Numbers show whether a change helped.
Fill answer: regression
Apply: Run the same test set and compare scores</t>
        </is>
      </c>
      <c r="C2" s="29" t="inlineStr">
        <is>
          <t>01_Ideas_Beginner_EVL-001_quiz</t>
        </is>
      </c>
    </row>
    <row r="3" ht="94.5" customHeight="1">
      <c r="A3" s="29" t="inlineStr">
        <is>
          <t>MCQ: Which is an online signal?
A) A golden dataset score B) A unit test C) User thumbs-down D) A rubric
FILL: A test comparing two versions on live traffic is an ____ test
APPLY: Users report problems that tests missed. What do you do?</t>
        </is>
      </c>
      <c r="B3" s="29" t="inlineStr">
        <is>
          <t>MCQ answer: C  It comes from real use.
Fill answer: A/B
Apply: Add those cases to the offline set</t>
        </is>
      </c>
      <c r="C3" s="29" t="inlineStr">
        <is>
          <t>01_Ideas_Intermediate_EVL-002_quiz</t>
        </is>
      </c>
    </row>
    <row r="4" ht="94.5" customHeight="1">
      <c r="A4" s="29" t="inlineStr">
        <is>
          <t>MCQ: What does a held-out set prevent?
A) Overfitting to the test cases B) Slow servers C) Long prompts D) High cost
FILL: Reserved data never used for tuning is ____
APPLY: You tuned many times on one set. How do you check honesty?</t>
        </is>
      </c>
      <c r="B4" s="29" t="inlineStr">
        <is>
          <t>MCQ answer: A  It stays unseen during tuning.
Fill answer: held-out
Apply: Test on a held-out set</t>
        </is>
      </c>
      <c r="C4" s="29" t="inlineStr">
        <is>
          <t>01_Ideas_Beginner_EVL-003_quiz</t>
        </is>
      </c>
    </row>
    <row r="5" ht="94.5" customHeight="1">
      <c r="A5" s="29" t="inlineStr">
        <is>
          <t>MCQ: What should become a regression test?
A) Nothing B) Random text C) Only demos D) Every fixed real failure
FILL: The scores of the current version used for comparison are the ____
APPLY: A new prompt raises the average. What else do you check?</t>
        </is>
      </c>
      <c r="B5" s="29" t="inlineStr">
        <is>
          <t>MCQ answer: D  It prevents repeat of the same mistake.
Fill answer: baseline
Apply: Per-case regressions</t>
        </is>
      </c>
      <c r="C5" s="29" t="inlineStr">
        <is>
          <t>01_Ideas_Intermediate_EVL-004_quiz</t>
        </is>
      </c>
    </row>
    <row r="6" ht="81" customHeight="1">
      <c r="A6" s="29" t="inlineStr">
        <is>
          <t>MCQ: What should be agreed first?
A) Criteria and thresholds B) The font C) The server D) The logo
FILL: Minimum acceptable levels are ____
APPLY: Reviewers disagree on answers. What do you write?</t>
        </is>
      </c>
      <c r="B6" s="29" t="inlineStr">
        <is>
          <t>MCQ answer: A  Measurement needs a standard.
Fill answer: thresholds
Apply: Criteria with pass and fail examples</t>
        </is>
      </c>
      <c r="C6" s="29" t="inlineStr">
        <is>
          <t>01_Ideas_Beginner_EVL-005_quiz</t>
        </is>
      </c>
    </row>
    <row r="7" ht="81" customHeight="1">
      <c r="A7" s="29" t="inlineStr">
        <is>
          <t>MCQ: What matters most in a golden dataset?
A) Speed B) Size only C) Colour D) Label quality
FILL: The verified answer for a test item is its ____ answer
APPLY: You need a trusted benchmark quickly. What do you build?</t>
        </is>
      </c>
      <c r="B7" s="29" t="inlineStr">
        <is>
          <t>MCQ answer: D  Wrong labels give wrong conclusions.
Fill answer: reference
Apply: A small expert-reviewed set</t>
        </is>
      </c>
      <c r="C7" s="29" t="inlineStr">
        <is>
          <t>02_Methods_Intermediate_EVL-006_quiz</t>
        </is>
      </c>
    </row>
    <row r="8" ht="94.5" customHeight="1">
      <c r="A8" s="29" t="inlineStr">
        <is>
          <t>MCQ: What should each rubric level have?
A) A nickname B) A colour C) A clear description and example D) Nothing
FILL: An example that illustrates a score level is an ____
APPLY: Reviewers disagree often. What do you improve?</t>
        </is>
      </c>
      <c r="B8" s="29" t="inlineStr">
        <is>
          <t>MCQ answer: C  Clarity creates agreement.
Fill answer: anchor
Apply: The rubric descriptions and anchors</t>
        </is>
      </c>
      <c r="C8" s="29" t="inlineStr">
        <is>
          <t>02_Methods_Intermediate_EVL-007_quiz</t>
        </is>
      </c>
    </row>
    <row r="9" ht="108" customHeight="1">
      <c r="A9" s="29" t="inlineStr">
        <is>
          <t>MCQ: Where does exact match work best?
A) Jokes B) Short labels and fields C) Poems D) Long essays
FILL: Cleaning text before comparing is ____
HINDI TO TASK: Compare two labels ignoring case and spaces.
PRACTICE QUESTION: Why can similarity mislead?</t>
        </is>
      </c>
      <c r="B9" s="29" t="inlineStr">
        <is>
          <t>MCQ answer: B  Answers are narrow and well defined.
Fill answer: normalisation
Task answer:
normalise(pred) == normalise(ref)
Practice answer:
Similar wording can hide different key facts.</t>
        </is>
      </c>
      <c r="C9" s="29" t="inlineStr">
        <is>
          <t>02_Methods_Intermediate_EVL-008_quiz</t>
        </is>
      </c>
    </row>
    <row r="10" ht="148.5" customHeight="1">
      <c r="A10" s="29" t="inlineStr">
        <is>
          <t>MCQ: What does recall measure?
A) Speed B) The share of correct predictions overall C) The share of actual positives found D) Cost
FILL: The harmonic mean of precision and recall is ____
HINDI TO TASK: Compute recall from true positives and false negatives.
PRACTICE QUESTION: Why is accuracy misleading when positives are rare?</t>
        </is>
      </c>
      <c r="B10" s="29" t="inlineStr">
        <is>
          <t>MCQ answer: C  It counts misses.
Fill answer: F1
Task answer:
recall = tp / (tp + fn)
Practice answer:
A model that predicts none can still look accurate.</t>
        </is>
      </c>
      <c r="C10" s="29" t="inlineStr">
        <is>
          <t>02_Methods_Intermediate_EVL-009_quiz</t>
        </is>
      </c>
    </row>
    <row r="11" ht="94.5" customHeight="1">
      <c r="A11" s="29" t="inlineStr">
        <is>
          <t>MCQ: Which is a known judge bias?
A) Ignoring tone B) Preferring longer answers C) Preferring shorter answers always D) Perfect fairness
FILL: Preference for the first option shown is ____ bias
APPLY: A judge prefers long answers. What do you do?</t>
        </is>
      </c>
      <c r="B11" s="29" t="inlineStr">
        <is>
          <t>MCQ answer: B  Verbosity bias is common.
Fill answer: position
Apply: Calibrate with human labels and adjust the rubric</t>
        </is>
      </c>
      <c r="C11" s="29" t="inlineStr">
        <is>
          <t>02_Methods_Advanced_EVL-010_quiz</t>
        </is>
      </c>
    </row>
    <row r="12" ht="81" customHeight="1">
      <c r="A12" s="29" t="inlineStr">
        <is>
          <t>MCQ: What does kappa correct for?
A) Agreement by chance B) Length C) Cost D) Speed
FILL: Resolving a split between reviewers is ____
APPLY: Agreement is low. What do you fix first?</t>
        </is>
      </c>
      <c r="B12" s="29" t="inlineStr">
        <is>
          <t>MCQ answer: A  Some agreement happens randomly.
Fill answer: adjudication
Apply: The rubric and its examples</t>
        </is>
      </c>
      <c r="C12" s="29" t="inlineStr">
        <is>
          <t>02_Methods_Intermediate_EVL-011_quiz</t>
        </is>
      </c>
    </row>
    <row r="13" ht="94.5" customHeight="1">
      <c r="A13" s="29" t="inlineStr">
        <is>
          <t>MCQ: What reduces position bias in pairwise tests?
A) Using one order B) Longer answers C) Hiding ties D) Randomising order
FILL: The share of comparisons won is the ____ rate
APPLY: Two prompts score almost equally. What method helps?</t>
        </is>
      </c>
      <c r="B13" s="29" t="inlineStr">
        <is>
          <t>MCQ answer: D  Neither answer always comes first.
Fill answer: win
Apply: Pairwise comparison</t>
        </is>
      </c>
      <c r="C13" s="29" t="inlineStr">
        <is>
          <t>02_Methods_Intermediate_EVL-012_quiz</t>
        </is>
      </c>
    </row>
    <row r="14" ht="108" customHeight="1">
      <c r="A14" s="29" t="inlineStr">
        <is>
          <t>MCQ: What should be set before an A/B test?
A) The date of release only B) The success metric and sample size C) The winner D) The logo
FILL: A metric protecting against harm during a test is a ____ metric
APPLY: A new version looks better after a day. What do you do?</t>
        </is>
      </c>
      <c r="B14" s="29" t="inlineStr">
        <is>
          <t>MCQ answer: B  It prevents bias in interpreting results.
Fill answer: guardrail
Apply: Continue until the planned sample is reached</t>
        </is>
      </c>
      <c r="C14" s="29" t="inlineStr">
        <is>
          <t>02_Methods_Advanced_EVL-013_quiz</t>
        </is>
      </c>
    </row>
    <row r="15" ht="94.5" customHeight="1">
      <c r="A15" s="29" t="inlineStr">
        <is>
          <t>MCQ: Which sampling gives an unbiased estimate?
A) Only long answers B) Only recent ones C) Only complaints D) Random sampling
FILL: Sampling that covers each category is ____
APPLY: You need honest overall quality estimates. What sample?</t>
        </is>
      </c>
      <c r="B15" s="29" t="inlineStr">
        <is>
          <t>MCQ answer: D  Every item has an equal chance.
Fill answer: stratified
Apply: A random sample</t>
        </is>
      </c>
      <c r="C15" s="29" t="inlineStr">
        <is>
          <t>02_Methods_Intermediate_EVL-014_quiz</t>
        </is>
      </c>
    </row>
    <row r="16" ht="94.5" customHeight="1">
      <c r="A16" s="29" t="inlineStr">
        <is>
          <t>MCQ: What helps judge if a difference is real?
A) A new colour B) Luck C) Confidence intervals D) A bigger font
FILL: Random variation in scores is ____
APPLY: Two versions differ by one point on thirty cases. What do you conclude?</t>
        </is>
      </c>
      <c r="B16" s="29" t="inlineStr">
        <is>
          <t>MCQ answer: C  They show uncertainty.
Fill answer: noise
Apply: The difference may be noise</t>
        </is>
      </c>
      <c r="C16" s="29" t="inlineStr">
        <is>
          <t>02_Methods_Advanced_EVL-015_quiz</t>
        </is>
      </c>
    </row>
    <row r="17" ht="94.5" customHeight="1">
      <c r="A17" s="29" t="inlineStr">
        <is>
          <t>MCQ: Which metric rewards high ranking of the first relevant result?
A) MRR B) Cost C) Latency D) Hit rate only
FILL: The share of questions with at least one relevant chunk in the top k is the ____ rate at k
APPLY: You changed the embedding model. What do you measure?</t>
        </is>
      </c>
      <c r="B17" s="29" t="inlineStr">
        <is>
          <t>MCQ answer: A  It uses the rank of the first relevant item.
Fill answer: hit
Apply: Recall at k on the labelled set</t>
        </is>
      </c>
      <c r="C17" s="29" t="inlineStr">
        <is>
          <t>03_RAG_and_Agents_Intermediate_EVL-016_quiz</t>
        </is>
      </c>
    </row>
    <row r="18" ht="108" customHeight="1">
      <c r="A18" s="29" t="inlineStr">
        <is>
          <t>MCQ: How is faithfulness computed?
A) Supported claims divided by all claims B) Words divided by tokens C) Length divided by pages D) Cost divided by time
FILL: Another term for faithfulness is ____
APPLY: An answer cites a number not in the sources. What does the score do?</t>
        </is>
      </c>
      <c r="B18" s="29" t="inlineStr">
        <is>
          <t>MCQ answer: A  It is the share of supported claims.
Fill answer: groundedness
Apply: It decreases</t>
        </is>
      </c>
      <c r="C18" s="29" t="inlineStr">
        <is>
          <t>03_RAG_and_Agents_Advanced_EVL-017_quiz</t>
        </is>
      </c>
    </row>
    <row r="19" ht="94.5" customHeight="1">
      <c r="A19" s="29" t="inlineStr">
        <is>
          <t>MCQ: What does answer relevance measure?
A) Length only B) Cost C) Whether the answer addresses the question D) Speed
FILL: Covering every part of the question is ____
APPLY: An answer is accurate but off-topic. Which score is low?</t>
        </is>
      </c>
      <c r="B19" s="29" t="inlineStr">
        <is>
          <t>MCQ answer: C  It checks focus and completeness.
Fill answer: completeness
Apply: Answer relevance</t>
        </is>
      </c>
      <c r="C19" s="29" t="inlineStr">
        <is>
          <t>03_RAG_and_Agents_Intermediate_EVL-018_quiz</t>
        </is>
      </c>
    </row>
    <row r="20" ht="81" customHeight="1">
      <c r="A20" s="29" t="inlineStr">
        <is>
          <t>MCQ: What do tests use in place of real tools?
A) Humans only B) Mocks C) Nothing D) Production systems
FILL: A recorded sequence of agent steps is a ____
APPLY: An agent may call forbidden tools. What do you test?</t>
        </is>
      </c>
      <c r="B20" s="29" t="inlineStr">
        <is>
          <t>MCQ answer: B  Mocks keep tests safe and repeatable.
Fill answer: trace
Apply: That it never calls them</t>
        </is>
      </c>
      <c r="C20" s="29" t="inlineStr">
        <is>
          <t>03_RAG_and_Agents_Advanced_EVL-019_quiz</t>
        </is>
      </c>
    </row>
    <row r="21" ht="94.5" customHeight="1">
      <c r="A21" s="29" t="inlineStr">
        <is>
          <t>MCQ: How is success usually checked?
A) By guessing B) By reading the first reply C) By counting words D) By comparing the final state with the goal
FILL: Share of runs that reach the goal is the success ____
APPLY: A demo run worked once. What do you do before trusting it?</t>
        </is>
      </c>
      <c r="B21" s="29" t="inlineStr">
        <is>
          <t>MCQ answer: D  Outcomes can be verified.
Fill answer: rate
Apply: Repeat it many times</t>
        </is>
      </c>
      <c r="C21" s="29" t="inlineStr">
        <is>
          <t>03_RAG_and_Agents_Advanced_EVL-020_quiz</t>
        </is>
      </c>
    </row>
    <row r="22" ht="94.5" customHeight="1">
      <c r="A22" s="29" t="inlineStr">
        <is>
          <t>MCQ: Which should be reported together?
A) Font and logo B) Age and name C) Colour and size D) Quality, cost and latency
FILL: The time until the first output appears is time to first ____
APPLY: A model is better but much slower. What do you consider?</t>
        </is>
      </c>
      <c r="B22" s="29" t="inlineStr">
        <is>
          <t>MCQ answer: D  The trade-off decides the best choice.
Fill answer: token
Apply: The quality, cost and latency trade-off</t>
        </is>
      </c>
      <c r="C22" s="29" t="inlineStr">
        <is>
          <t>03_RAG_and_Agents_Intermediate_EVL-021_quiz</t>
        </is>
      </c>
    </row>
    <row r="23" ht="94.5" customHeight="1">
      <c r="A23" s="29" t="inlineStr">
        <is>
          <t>MCQ: What should happen to successful attacks?
A) They are hidden B) They become regression tests after fixing C) They are forgotten D) They are published
FILL: An attempt to bypass a model's rules is a ____
APPLY: A tester extracts hidden instructions. What do you do?</t>
        </is>
      </c>
      <c r="B23" s="29" t="inlineStr">
        <is>
          <t>MCQ answer: B  Tests stop them returning.
Fill answer: jailbreak
Apply: Fix it and add the attack to the tests</t>
        </is>
      </c>
      <c r="C23" s="29" t="inlineStr">
        <is>
          <t>04_Safety_and_Robustness_Advanced_EVL-022_quiz</t>
        </is>
      </c>
    </row>
    <row r="24" ht="94.5" customHeight="1">
      <c r="A24" s="29" t="inlineStr">
        <is>
          <t>MCQ: Which is an edge case?
A) An empty message B) A normal question C) A short thanks D) A greeting
FILL: A request outside the system's purpose is ____
APPLY: A bot crashes on huge inputs. What do you add?</t>
        </is>
      </c>
      <c r="B24" s="29" t="inlineStr">
        <is>
          <t>MCQ answer: A  It is unusual and often breaks systems.
Fill answer: out-of-scope
Apply: Edge case tests with long inputs</t>
        </is>
      </c>
      <c r="C24" s="29" t="inlineStr">
        <is>
          <t>04_Safety_and_Robustness_Intermediate_EVL-023_quiz</t>
        </is>
      </c>
    </row>
    <row r="25" ht="94.5" customHeight="1">
      <c r="A25" s="29" t="inlineStr">
        <is>
          <t>MCQ: What counts as a failure in an injection test?
A) A polite refusal B) A short reply C) A forbidden tool call D) A normal answer
FILL: The percentage of attacks that work is the attack success ____
APPLY: An agent reads web pages. What do you test?</t>
        </is>
      </c>
      <c r="B25" s="29" t="inlineStr">
        <is>
          <t>MCQ answer: C  The attack succeeded in causing an action.
Fill answer: rate
Apply: That page text cannot trigger forbidden actions</t>
        </is>
      </c>
      <c r="C25" s="29" t="inlineStr">
        <is>
          <t>04_Safety_and_Robustness_Advanced_EVL-024_quiz</t>
        </is>
      </c>
    </row>
    <row r="26" ht="94.5" customHeight="1">
      <c r="A26" s="29" t="inlineStr">
        <is>
          <t>MCQ: What are counterfactual tests?
A) Long inputs B) Random inputs C) Inputs identical except for one attribute D) Empty inputs
FILL: Metrics split by group are ____ metrics
APPLY: Accuracy is lower for one language. What do you do?</t>
        </is>
      </c>
      <c r="B26" s="29" t="inlineStr">
        <is>
          <t>MCQ answer: C  Differences in output reveal bias.
Fill answer: subgroup
Apply: Report subgroup metrics and add test data</t>
        </is>
      </c>
      <c r="C26" s="29" t="inlineStr">
        <is>
          <t>04_Safety_and_Robustness_Advanced_EVL-025_quiz</t>
        </is>
      </c>
    </row>
    <row r="27" ht="94.5" customHeight="1">
      <c r="A27" s="29" t="inlineStr">
        <is>
          <t>MCQ: What is over-refusal?
A) Answering all B) Refusing legitimate requests C) Logging D) Refusing harmful requests
FILL: Blocking a legitimate request is a false ____
APPLY: Users complain about unnecessary refusals. What do you test?</t>
        </is>
      </c>
      <c r="B27" s="29" t="inlineStr">
        <is>
          <t>MCQ answer: B  It frustrates users unnecessarily.
Fill answer: refusal
Apply: Borderline harmless requests</t>
        </is>
      </c>
      <c r="C27" s="29" t="inlineStr">
        <is>
          <t>04_Safety_and_Robustness_Intermediate_EVL-026_quiz</t>
        </is>
      </c>
    </row>
    <row r="28" ht="121.5" customHeight="1">
      <c r="A28" s="29" t="inlineStr">
        <is>
          <t>MCQ: What should a harness save besides averages?
A) Only the cost B) Only the date C) Nothing D) Per-case results and versions
FILL: A harness is often run in ____ on each change
HINDI TO TASK: Save results with the version name.
PRACTICE QUESTION: Why store per-case results?</t>
        </is>
      </c>
      <c r="B28" s="29" t="inlineStr">
        <is>
          <t>MCQ answer: D  Comparisons need case detail and version info.
Fill answer: CI
Task answer:
json.dump({"version": version, "rows": rows}, open(f"results_{version}.json", "w"))
Practice answer:
To see which cases got worse.</t>
        </is>
      </c>
      <c r="C28" s="29" t="inlineStr">
        <is>
          <t>05_Practice_Advanced_EVL-027_quiz</t>
        </is>
      </c>
    </row>
    <row r="29" ht="108" customHeight="1">
      <c r="A29" s="29" t="inlineStr">
        <is>
          <t>MCQ: What should be logged with each evaluation?
A) Prompt, model, dataset and code versions B) Nothing C) Only the score D) Only the date
FILL: Fixing a model to an exact version is ____ it
APPLY: Scores shifted but nothing was changed by you. What do you check?</t>
        </is>
      </c>
      <c r="B29" s="29" t="inlineStr">
        <is>
          <t>MCQ answer: A  Reproducibility needs them.
Fill answer: pinning
Apply: Whether the model version changed</t>
        </is>
      </c>
      <c r="C29" s="29" t="inlineStr">
        <is>
          <t>05_Practice_Advanced_EVL-028_quiz</t>
        </is>
      </c>
    </row>
    <row r="30" ht="94.5" customHeight="1">
      <c r="A30" s="29" t="inlineStr">
        <is>
          <t>MCQ: What helps detect drift?
A) No logs B) Scheduled evaluation runs C) Larger fonts D) A single launch test
FILL: Slow decline in quality over time is ____
APPLY: Quality seems to fall without releases. What do you run?</t>
        </is>
      </c>
      <c r="B30" s="29" t="inlineStr">
        <is>
          <t>MCQ answer: B  Regular tests show change over time.
Fill answer: drift
Apply: The evaluation set on a schedule</t>
        </is>
      </c>
      <c r="C30" s="29" t="inlineStr">
        <is>
          <t>05_Practice_Advanced_EVL-029_quiz</t>
        </is>
      </c>
    </row>
    <row r="31" ht="94.5" customHeight="1">
      <c r="A31" s="29" t="inlineStr">
        <is>
          <t>MCQ: What should happen to a confirmed failure?
A) It is deleted B) It is ignored C) It becomes a test case D) It is hidden
FILL: Reviewing and ranking issues by severity is ____
APPLY: Users report the same failure often. What do you do?</t>
        </is>
      </c>
      <c r="B31" s="29" t="inlineStr">
        <is>
          <t>MCQ answer: C  It prevents the same failure returning.
Fill answer: triage
Apply: Reproduce it, fix it and add a test</t>
        </is>
      </c>
      <c r="C31" s="29" t="inlineStr">
        <is>
          <t>05_Practice_Intermediate_EVL-030_quiz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Topic (56-pt)</t>
        </is>
      </c>
      <c r="B2" t="n">
        <v>27</v>
      </c>
    </row>
    <row r="3">
      <c r="A3" t="inlineStr">
        <is>
          <t>Code concept (56-pt)</t>
        </is>
      </c>
      <c r="B3" t="n">
        <v>3</v>
      </c>
    </row>
    <row r="5">
      <c r="A5" s="21" t="inlineStr">
        <is>
          <t>Cards by topic</t>
        </is>
      </c>
    </row>
    <row r="6">
      <c r="A6" t="inlineStr">
        <is>
          <t>02 Methods</t>
        </is>
      </c>
      <c r="B6" t="n">
        <v>10</v>
      </c>
    </row>
    <row r="7">
      <c r="A7" t="inlineStr">
        <is>
          <t>03 RAG and Agents</t>
        </is>
      </c>
      <c r="B7" t="n">
        <v>6</v>
      </c>
    </row>
    <row r="8">
      <c r="A8" t="inlineStr">
        <is>
          <t>01 Ideas</t>
        </is>
      </c>
      <c r="B8" t="n">
        <v>5</v>
      </c>
    </row>
    <row r="9">
      <c r="A9" t="inlineStr">
        <is>
          <t>04 Safety and Robustness</t>
        </is>
      </c>
      <c r="B9" t="n">
        <v>5</v>
      </c>
    </row>
    <row r="10">
      <c r="A10" t="inlineStr">
        <is>
          <t>05 Practice</t>
        </is>
      </c>
      <c r="B10" t="n">
        <v>4</v>
      </c>
    </row>
    <row r="12">
      <c r="A12" s="21" t="inlineStr">
        <is>
          <t>Cards by level</t>
        </is>
      </c>
    </row>
    <row r="13">
      <c r="A13" t="inlineStr">
        <is>
          <t>Intermediate</t>
        </is>
      </c>
      <c r="B13" t="n">
        <v>15</v>
      </c>
    </row>
    <row r="14">
      <c r="A14" t="inlineStr">
        <is>
          <t>Advanced</t>
        </is>
      </c>
      <c r="B14" t="n">
        <v>12</v>
      </c>
    </row>
    <row r="15">
      <c r="A15" t="inlineStr">
        <is>
          <t>Beginner</t>
        </is>
      </c>
      <c r="B15" t="n">
        <v>3</v>
      </c>
    </row>
    <row r="17">
      <c r="A17" s="21" t="inlineStr">
        <is>
          <t>Cards by source</t>
        </is>
      </c>
    </row>
    <row r="18">
      <c r="A18" t="inlineStr">
        <is>
          <t>Claude knowledge</t>
        </is>
      </c>
      <c r="B18" t="n">
        <v>30</v>
      </c>
    </row>
    <row r="20">
      <c r="A20" s="21" t="inlineStr">
        <is>
          <t>Error check</t>
        </is>
      </c>
    </row>
    <row r="21">
      <c r="A21"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2026-10-07T12:21:24Z</dcterms:created>
  <dcterms:modified xmlns:dcterms="http://purl.org/dc/terms/" xmlns:xsi="http://www.w3.org/2001/XMLSchema-instance" xsi:type="dcterms:W3CDTF">2026-10-07T12:21:24Z</dcterms:modified>
</cp:coreProperties>
</file>