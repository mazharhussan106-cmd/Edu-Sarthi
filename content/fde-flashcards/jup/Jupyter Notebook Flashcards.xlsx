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cards'!$A$2:$BN$17</definedName>
    <definedName name="_xlnm._FilterDatabase" localSheetId="3" hidden="1">'Topic (56-pt) cards'!$A$2:$BB$12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Jupyter Notebook – Beginner to Advanced Flashcards</t>
        </is>
      </c>
    </row>
    <row r="2">
      <c r="A2" s="2" t="inlineStr">
        <is>
          <t>Subject: Working with Jupyter notebooks for data and AI work   ·   Learner: Self learner, English   ·   Cards: 25</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21.5" customHeight="1">
      <c r="A3" s="17" t="inlineStr">
        <is>
          <t>JUP-008</t>
        </is>
      </c>
      <c r="B3" s="17" t="inlineStr">
        <is>
          <t>02 Daily use</t>
        </is>
      </c>
      <c r="C3" s="17" t="inlineStr">
        <is>
          <t>Beginner</t>
        </is>
      </c>
      <c r="D3" s="17" t="n">
        <v>8</v>
      </c>
      <c r="E3" s="17" t="inlineStr">
        <is>
          <t>Claude knowledge</t>
        </is>
      </c>
      <c r="F3" s="18" t="inlineStr">
        <is>
          <t>Markdown cells</t>
        </is>
      </c>
      <c r="G3" s="18" t="inlineStr">
        <is>
          <t>Which cell type lets you write headings, lists and explanations?</t>
        </is>
      </c>
      <c r="H3" s="17" t="n"/>
      <c r="I3" s="18" t="inlineStr">
        <is>
          <t>Text format</t>
        </is>
      </c>
      <c r="J3" s="18" t="inlineStr">
        <is>
          <t>Very high</t>
        </is>
      </c>
      <c r="K3" s="18" t="n">
        <v>5</v>
      </c>
      <c r="L3" s="18" t="inlineStr">
        <is>
          <t>Results need explanation, so notebooks let you write formatted text between the code.</t>
        </is>
      </c>
      <c r="M3" s="18" t="inlineStr">
        <is>
          <t>Start each section with a heading and one sentence saying what the next cells do.</t>
        </is>
      </c>
      <c r="N3" s="17" t="n"/>
      <c r="O3" s="18" t="inlineStr">
        <is>
          <t>Markdown cells are the signposts that tell a reader where the road goes.</t>
        </is>
      </c>
      <c r="P3" s="18" t="inlineStr">
        <is>
          <t>A heading, a bullet list and a bold word shown as rendered text.</t>
        </is>
      </c>
      <c r="Q3" s="18" t="inlineStr">
        <is>
          <t>The pleasure of a notebook that reads like a story.</t>
        </is>
      </c>
      <c r="R3" s="18" t="inlineStr">
        <is>
          <t>Markdown cells use simple symbols, such as hashes for headings, dashes for lists and asterisks for emphasis, which render as formatted text when the cell is run.</t>
        </is>
      </c>
      <c r="S3" s="17" t="n"/>
      <c r="T3" s="19" t="inlineStr">
        <is>
          <t># Sales check
Data from **March** only.
- Removed refunds
- Kept paid orders
Use `df.shape` to see the size.</t>
        </is>
      </c>
      <c r="U3" s="19" t="inlineStr">
        <is>
          <t>A large heading, a line with March in bold, two bullet points and the code term df.shape in code style.</t>
        </is>
      </c>
      <c r="V3" s="18" t="inlineStr">
        <is>
          <t>Markdown is plain text with light symbols. Headings give the notebook an outline that you can navigate. Lists and tables explain choices, and inline code marks names. Many notebooks also render simple maths written between dollar signs. Explain why a step is done, not only what it does, because the code already shows what.</t>
        </is>
      </c>
      <c r="W3" s="18" t="inlineStr">
        <is>
          <t>Write plain text with a few symbols and it turns into a tidy heading or list.</t>
        </is>
      </c>
      <c r="X3" s="18" t="inlineStr">
        <is>
          <t>Markdown cells are the signposts that tell a reader where the road goes.</t>
        </is>
      </c>
      <c r="Y3" s="19" t="inlineStr">
        <is>
          <t># Heading | - item | **bold** | `code`</t>
        </is>
      </c>
      <c r="Z3" s="18" t="inlineStr">
        <is>
          <t># = heading | - = bullet | ** = bold | backticks = code style</t>
        </is>
      </c>
      <c r="AA3" s="19" t="inlineStr">
        <is>
          <t>A heading for the cleaning section.</t>
        </is>
      </c>
      <c r="AB3" s="19" t="inlineStr">
        <is>
          <t>A bullet list of assumptions made.</t>
        </is>
      </c>
      <c r="AC3" s="19" t="inlineStr">
        <is>
          <t>A link to the source of the data.</t>
        </is>
      </c>
      <c r="AD3" s="19" t="inlineStr">
        <is>
          <t>## and ### for smaller headings   // sub-sections</t>
        </is>
      </c>
      <c r="AE3" s="18" t="inlineStr">
        <is>
          <t>Code cells, outlines, reports</t>
        </is>
      </c>
      <c r="AF3" s="18" t="inlineStr">
        <is>
          <t>cells, shortcuts, sharing, documentation</t>
        </is>
      </c>
      <c r="AG3" s="18" t="inlineStr">
        <is>
          <t>Comments in code | Separate README</t>
        </is>
      </c>
      <c r="AH3" s="17" t="n"/>
      <c r="AI3" s="18" t="inlineStr">
        <is>
          <t>Reports | Tutorials | Handover notebooks</t>
        </is>
      </c>
      <c r="AJ3" s="18" t="inlineStr">
        <is>
          <t>A: Nobody understands my notebook. | B: Add headings and short notes between the code cells.</t>
        </is>
      </c>
      <c r="AK3" s="18" t="inlineStr">
        <is>
          <t>✗ Comments in code are enough to explain a notebook → ✓ Rendered text and headings help readers far more</t>
        </is>
      </c>
      <c r="AL3" s="18" t="inlineStr">
        <is>
          <t>Markdown cell vs code comment: one is rendered for readers, the other stays inside the code.</t>
        </is>
      </c>
      <c r="AM3" s="18" t="inlineStr">
        <is>
          <t>Do not leave a notebook with code cells only and no explanation.</t>
        </is>
      </c>
      <c r="AN3" s="19" t="inlineStr">
        <is>
          <t>Sales check (plain text without any symbol)</t>
        </is>
      </c>
      <c r="AO3" s="19" t="inlineStr">
        <is>
          <t># Sales check</t>
        </is>
      </c>
      <c r="AP3" s="18" t="inlineStr">
        <is>
          <t>Hash for headings, dash for lists, stars for bold.</t>
        </is>
      </c>
      <c r="AQ3" s="18" t="inlineStr">
        <is>
          <t>Headings in a handover notebook let a new engineer find each stage quickly.</t>
        </is>
      </c>
      <c r="AR3" s="18" t="inlineStr">
        <is>
          <t>An interviewer may ask: How do you document a notebook?</t>
        </is>
      </c>
      <c r="AS3" s="18" t="inlineStr">
        <is>
          <t>It is like adding titles and captions to a photo album.</t>
        </is>
      </c>
      <c r="AT3" s="18" t="inlineStr">
        <is>
          <t>Which symbol starts a top-level heading?</t>
        </is>
      </c>
      <c r="AU3" s="18" t="inlineStr">
        <is>
          <t>A) An ampersand B) A dollar sign C) A hash sign D) A percent sign</t>
        </is>
      </c>
      <c r="AV3" s="18" t="inlineStr">
        <is>
          <t>C</t>
        </is>
      </c>
      <c r="AW3" s="18" t="inlineStr">
        <is>
          <t>One hash at the start of a line makes the biggest heading.</t>
        </is>
      </c>
      <c r="AX3" s="19" t="inlineStr">
        <is>
          <t>Wrapping words in double asterisks makes them ____ → bold</t>
        </is>
      </c>
      <c r="AY3" s="18" t="inlineStr">
        <is>
          <t>Write a heading and two bullet points in a markdown cell.</t>
        </is>
      </c>
      <c r="AZ3" s="19" t="inlineStr">
        <is>
          <t># Cleaning
- Removed blanks
- Fixed dates</t>
        </is>
      </c>
      <c r="BA3" s="18" t="inlineStr">
        <is>
          <t>Write a markdown intro of four lines for your latest analysis.</t>
        </is>
      </c>
      <c r="BB3" s="19" t="inlineStr">
        <is>
          <t>What does a single dash at the start of a line create?</t>
        </is>
      </c>
      <c r="BC3" s="19" t="inlineStr">
        <is>
          <t>A bullet list item.</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48.5" customHeight="1">
      <c r="A4" s="17" t="inlineStr">
        <is>
          <t>JUP-009</t>
        </is>
      </c>
      <c r="B4" s="17" t="inlineStr">
        <is>
          <t>02 Daily use</t>
        </is>
      </c>
      <c r="C4" s="17" t="inlineStr">
        <is>
          <t>Intermediate</t>
        </is>
      </c>
      <c r="D4" s="17" t="n">
        <v>9</v>
      </c>
      <c r="E4" s="17" t="inlineStr">
        <is>
          <t>Claude knowledge</t>
        </is>
      </c>
      <c r="F4" s="18" t="inlineStr">
        <is>
          <t>Magic commands</t>
        </is>
      </c>
      <c r="G4" s="18" t="inlineStr">
        <is>
          <t>Which special commands starting with percent signs add extra notebook features?</t>
        </is>
      </c>
      <c r="H4" s="17" t="n"/>
      <c r="I4" s="18" t="inlineStr">
        <is>
          <t>Command</t>
        </is>
      </c>
      <c r="J4" s="18" t="inlineStr">
        <is>
          <t>High</t>
        </is>
      </c>
      <c r="K4" s="18" t="n">
        <v>4</v>
      </c>
      <c r="L4" s="18" t="inlineStr">
        <is>
          <t>Common chores such as timing code or listing files deserved shortcuts that are not part of the language itself.</t>
        </is>
      </c>
      <c r="M4" s="18" t="inlineStr">
        <is>
          <t>Use a single percent for one line and a double percent for the whole cell.</t>
        </is>
      </c>
      <c r="N4" s="17" t="n"/>
      <c r="O4" s="18" t="inlineStr">
        <is>
          <t>Magic commands are notebook buttons that you press by typing a word.</t>
        </is>
      </c>
      <c r="P4" s="18" t="inlineStr">
        <is>
          <t>A cell starting with a percent sign above a timing result.</t>
        </is>
      </c>
      <c r="Q4" s="18" t="inlineStr">
        <is>
          <t>The satisfaction of a handy shortcut that just works.</t>
        </is>
      </c>
      <c r="R4" s="18" t="inlineStr">
        <is>
          <t>Magic commands are special instructions of the IPython kernel, where line magics start with one percent sign and cell magics start with two, and they handle tasks like timing, file listing and loading.</t>
        </is>
      </c>
      <c r="S4" s="17" t="n"/>
      <c r="T4" s="19" t="inlineStr">
        <is>
          <t># cell 1
%timeit sum(range(1000))
%pwd
%who
# cell 2 (a cell magic must be the first line of its cell)
%%time
total = sum(range(100000))</t>
        </is>
      </c>
      <c r="U4" s="19" t="inlineStr">
        <is>
          <t>Cell 1 shows the average run time, the current folder and a list of variable names. Cell 2 shows the wall time for the cell.</t>
        </is>
      </c>
      <c r="V4" s="18" t="inlineStr">
        <is>
          <t>Line magics act on the rest of the line, and cell magics act on the whole cell. Useful ones include timeit for repeated timing, time for one run, pwd for the folder, who for variables, load for pulling a file into a cell and run for running a script. A leading exclamation mark runs a shell command instead. Magics work in IPython kernels only, not in plain Python scripts.</t>
        </is>
      </c>
      <c r="W4" s="18" t="inlineStr">
        <is>
          <t>Percent commands are notebook extras for timing, files and variables.</t>
        </is>
      </c>
      <c r="X4" s="18" t="inlineStr">
        <is>
          <t>Magic commands are notebook buttons that you press by typing a word.</t>
        </is>
      </c>
      <c r="Y4" s="19" t="inlineStr">
        <is>
          <t>%name arguments | %%name</t>
        </is>
      </c>
      <c r="Z4" s="18" t="inlineStr">
        <is>
          <t>% = line magic | %% = cell magic | name = action | arguments = input</t>
        </is>
      </c>
      <c r="AA4" s="19" t="inlineStr">
        <is>
          <t>Timing a function with timeit.</t>
        </is>
      </c>
      <c r="AB4" s="19" t="inlineStr">
        <is>
          <t>Showing the current folder with pwd.</t>
        </is>
      </c>
      <c r="AC4" s="19" t="inlineStr">
        <is>
          <t>Listing all variables with who.</t>
        </is>
      </c>
      <c r="AD4" s="19" t="inlineStr">
        <is>
          <t>!ls to run a shell command   // exclamation mark instead of percent</t>
        </is>
      </c>
      <c r="AE4" s="18" t="inlineStr">
        <is>
          <t>IPython kernel, timing, files</t>
        </is>
      </c>
      <c r="AF4" s="18" t="inlineStr">
        <is>
          <t>performance and memory, installing packages, shortcuts, nbconvert</t>
        </is>
      </c>
      <c r="AG4" s="18" t="inlineStr">
        <is>
          <t>Python time module | Terminal commands</t>
        </is>
      </c>
      <c r="AH4" s="17" t="n"/>
      <c r="AI4" s="18" t="inlineStr">
        <is>
          <t>Profiling | File checks | Quick tools</t>
        </is>
      </c>
      <c r="AJ4" s="18" t="inlineStr">
        <is>
          <t>A: How long does this step take? | B: Put %%time at the top of the cell.</t>
        </is>
      </c>
      <c r="AK4" s="18" t="inlineStr">
        <is>
          <t>✗ Magic commands work in any Python file → ✓ They only work inside IPython based notebooks and shells</t>
        </is>
      </c>
      <c r="AL4" s="18" t="inlineStr">
        <is>
          <t>%timeit vs %time: many repeated runs versus one run.</t>
        </is>
      </c>
      <c r="AM4" s="18" t="inlineStr">
        <is>
          <t>Do not paste magic commands into a normal script file.</t>
        </is>
      </c>
      <c r="AN4" s="19" t="inlineStr">
        <is>
          <t>time sum(range(1000))</t>
        </is>
      </c>
      <c r="AO4" s="19" t="inlineStr">
        <is>
          <t>%time sum(range(1000))</t>
        </is>
      </c>
      <c r="AP4" s="18" t="inlineStr">
        <is>
          <t>One percent for a line, two for the cell.</t>
        </is>
      </c>
      <c r="AQ4" s="18" t="inlineStr">
        <is>
          <t>A %%time check showed that one loading step was taking most of the run.</t>
        </is>
      </c>
      <c r="AR4" s="18" t="inlineStr">
        <is>
          <t>An interviewer may ask: What is the difference between % and %% magics?</t>
        </is>
      </c>
      <c r="AS4" s="18" t="inlineStr">
        <is>
          <t>It is like a stopwatch built into your pen.</t>
        </is>
      </c>
      <c r="AT4" s="18" t="inlineStr">
        <is>
          <t>Which prefix makes a cell magic?</t>
        </is>
      </c>
      <c r="AU4" s="18" t="inlineStr">
        <is>
          <t>A) Two percent signs B) Two hash signs C) Two ampersands D) Two at signs</t>
        </is>
      </c>
      <c r="AV4" s="18" t="inlineStr">
        <is>
          <t>A</t>
        </is>
      </c>
      <c r="AW4" s="18" t="inlineStr">
        <is>
          <t>A double percent sign applies to the whole cell.</t>
        </is>
      </c>
      <c r="AX4" s="19" t="inlineStr">
        <is>
          <t>A leading exclamation mark runs a ____ command → shell</t>
        </is>
      </c>
      <c r="AY4" s="18" t="inlineStr">
        <is>
          <t>Time a cell that builds a list of a million numbers.</t>
        </is>
      </c>
      <c r="AZ4" s="19" t="inlineStr">
        <is>
          <t>%%time
nums = list(range(1000000))</t>
        </is>
      </c>
      <c r="BA4" s="18" t="inlineStr">
        <is>
          <t>Time two versions of the same loop and note which one was faster.</t>
        </is>
      </c>
      <c r="BB4" s="19" t="inlineStr">
        <is>
          <t>Which magic repeats a line many times to measure speed?</t>
        </is>
      </c>
      <c r="BC4" s="19" t="inlineStr">
        <is>
          <t>%timeit</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21.5" customHeight="1">
      <c r="A5" s="17" t="inlineStr">
        <is>
          <t>JUP-010</t>
        </is>
      </c>
      <c r="B5" s="17" t="inlineStr">
        <is>
          <t>02 Daily use</t>
        </is>
      </c>
      <c r="C5" s="17" t="inlineStr">
        <is>
          <t>Beginner</t>
        </is>
      </c>
      <c r="D5" s="17" t="n">
        <v>10</v>
      </c>
      <c r="E5" s="17" t="inlineStr">
        <is>
          <t>Claude knowledge</t>
        </is>
      </c>
      <c r="F5" s="18" t="inlineStr">
        <is>
          <t>Displaying data</t>
        </is>
      </c>
      <c r="G5" s="18" t="inlineStr">
        <is>
          <t>How do you show a table or value neatly under a cell?</t>
        </is>
      </c>
      <c r="H5" s="17" t="n"/>
      <c r="I5" s="18" t="inlineStr">
        <is>
          <t>Pattern</t>
        </is>
      </c>
      <c r="J5" s="18" t="inlineStr">
        <is>
          <t>Very high</t>
        </is>
      </c>
      <c r="K5" s="18" t="n">
        <v>5</v>
      </c>
      <c r="L5" s="18" t="inlineStr">
        <is>
          <t>Seeing data is the first step of every analysis, and notebooks render the last value of a cell automatically.</t>
        </is>
      </c>
      <c r="M5" s="18" t="inlineStr">
        <is>
          <t>Use head and shape first, because printing a whole large table slows the page.</t>
        </is>
      </c>
      <c r="N5" s="17" t="n"/>
      <c r="O5" s="18" t="inlineStr">
        <is>
          <t>The last line of a cell is the shop window that shows its best item.</t>
        </is>
      </c>
      <c r="P5" s="18" t="inlineStr">
        <is>
          <t>A cell above a neatly formatted table with rows and columns.</t>
        </is>
      </c>
      <c r="Q5" s="18" t="inlineStr">
        <is>
          <t>The calm of seeing the real data before judging it.</t>
        </is>
      </c>
      <c r="R5" s="18" t="inlineStr">
        <is>
          <t>A notebook shows the value of the last expression in a cell, and tools like pandas render tables as HTML, while print and display give you control over what appears.</t>
        </is>
      </c>
      <c r="S5" s="17" t="n"/>
      <c r="T5" s="19" t="inlineStr">
        <is>
          <t>import pandas as pd
df = pd.DataFrame({"city": ["Pune", "Delhi"], "sales": [120, 90]})
print(df.shape)
df.head()</t>
        </is>
      </c>
      <c r="U5" s="19" t="inlineStr">
        <is>
          <t>(2, 2) followed by a table with two rows and two columns.</t>
        </is>
      </c>
      <c r="V5" s="18" t="inlineStr">
        <is>
          <t>Only the last expression is shown automatically, so earlier values need print or display. A DataFrame renders as a styled table. Limiting rows with head, sample or display options keeps the page light, which matters on slow connections. Very wide or long tables are better summarised with describe or info than printed in full.</t>
        </is>
      </c>
      <c r="W5" s="18" t="inlineStr">
        <is>
          <t>Put the value on the last line, or use print and display, to see it below the cell.</t>
        </is>
      </c>
      <c r="X5" s="18" t="inlineStr">
        <is>
          <t>The last line of a cell is the shop window that shows its best item.</t>
        </is>
      </c>
      <c r="Y5" s="19" t="inlineStr">
        <is>
          <t>df.head(n) | print(x) | display(x)</t>
        </is>
      </c>
      <c r="Z5" s="18" t="inlineStr">
        <is>
          <t>df = table | head = first rows | print = text | display = rich output</t>
        </is>
      </c>
      <c r="AA5" s="19" t="inlineStr">
        <is>
          <t>Looking at the first five rows of a file.</t>
        </is>
      </c>
      <c r="AB5" s="19" t="inlineStr">
        <is>
          <t>Printing the shape of a table.</t>
        </is>
      </c>
      <c r="AC5" s="19" t="inlineStr">
        <is>
          <t>Showing two tables from one cell with display.</t>
        </is>
      </c>
      <c r="AD5" s="19" t="inlineStr">
        <is>
          <t>df.sample(5)   // random rows instead of the first rows</t>
        </is>
      </c>
      <c r="AE5" s="18" t="inlineStr">
        <is>
          <t>pandas, summaries, checks</t>
        </is>
      </c>
      <c r="AF5" s="18" t="inlineStr">
        <is>
          <t>plotting inline, markdown cells, performance and memory, clean outputs</t>
        </is>
      </c>
      <c r="AG5" s="18" t="inlineStr">
        <is>
          <t>print | to_string | Spreadsheet view</t>
        </is>
      </c>
      <c r="AH5" s="17" t="n"/>
      <c r="AI5" s="18" t="inlineStr">
        <is>
          <t>Exploration | Reports | Quality checks</t>
        </is>
      </c>
      <c r="AJ5" s="18" t="inlineStr">
        <is>
          <t>A: Only my second table shows. | B: Only the last value auto-displays, so call display for the first one.</t>
        </is>
      </c>
      <c r="AK5" s="18" t="inlineStr">
        <is>
          <t>✗ Every line of a cell shows its value → ✓ Only the last expression is displayed automatically</t>
        </is>
      </c>
      <c r="AL5" s="18" t="inlineStr">
        <is>
          <t>print vs display: plain text versus rich formatted output.</t>
        </is>
      </c>
      <c r="AM5" s="18" t="inlineStr">
        <is>
          <t>Do not print a million rows into a notebook cell.</t>
        </is>
      </c>
      <c r="AN5" s="19" t="inlineStr">
        <is>
          <t>df
df2   # expecting both tables to show</t>
        </is>
      </c>
      <c r="AO5" s="19" t="inlineStr">
        <is>
          <t>display(df)
df2</t>
        </is>
      </c>
      <c r="AP5" s="18" t="inlineStr">
        <is>
          <t>Last line shows, the rest must be displayed.</t>
        </is>
      </c>
      <c r="AQ5" s="18" t="inlineStr">
        <is>
          <t>Using head and shape checks kept a client review notebook quick on poor internet.</t>
        </is>
      </c>
      <c r="AR5" s="18" t="inlineStr">
        <is>
          <t>An interviewer may ask: Why does only one table appear from my cell?</t>
        </is>
      </c>
      <c r="AS5" s="18" t="inlineStr">
        <is>
          <t>It is like a shop window that fits only one item.</t>
        </is>
      </c>
      <c r="AT5" s="18" t="inlineStr">
        <is>
          <t>What shows automatically at the end of a cell?</t>
        </is>
      </c>
      <c r="AU5" s="18" t="inlineStr">
        <is>
          <t>A) Every line B) Nothing C) The first line D) The last expression</t>
        </is>
      </c>
      <c r="AV5" s="18" t="inlineStr">
        <is>
          <t>D</t>
        </is>
      </c>
      <c r="AW5" s="18" t="inlineStr">
        <is>
          <t>Only the final expression value is rendered.</t>
        </is>
      </c>
      <c r="AX5" s="19" t="inlineStr">
        <is>
          <t>To see the first rows of a table you call ____ → head</t>
        </is>
      </c>
      <c r="AY5" s="18" t="inlineStr">
        <is>
          <t>Show both tables from one cell.</t>
        </is>
      </c>
      <c r="AZ5" s="19" t="inlineStr">
        <is>
          <t>display(df)
display(df2)</t>
        </is>
      </c>
      <c r="BA5" s="18" t="inlineStr">
        <is>
          <t>Open any file and write which three checks you run before analysing it.</t>
        </is>
      </c>
      <c r="BB5" s="19" t="inlineStr">
        <is>
          <t>Which pandas call gives random rows instead of the first ones?</t>
        </is>
      </c>
      <c r="BC5" s="19" t="inlineStr">
        <is>
          <t>sample</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08" customHeight="1">
      <c r="A6" s="17" t="inlineStr">
        <is>
          <t>JUP-011</t>
        </is>
      </c>
      <c r="B6" s="17" t="inlineStr">
        <is>
          <t>02 Daily use</t>
        </is>
      </c>
      <c r="C6" s="17" t="inlineStr">
        <is>
          <t>Beginner</t>
        </is>
      </c>
      <c r="D6" s="17" t="n">
        <v>11</v>
      </c>
      <c r="E6" s="17" t="inlineStr">
        <is>
          <t>Claude knowledge</t>
        </is>
      </c>
      <c r="F6" s="18" t="inlineStr">
        <is>
          <t>Plotting inline</t>
        </is>
      </c>
      <c r="G6" s="18" t="inlineStr">
        <is>
          <t>How do charts appear directly under the code that makes them?</t>
        </is>
      </c>
      <c r="H6" s="17" t="n"/>
      <c r="I6" s="18" t="inlineStr">
        <is>
          <t>Pattern</t>
        </is>
      </c>
      <c r="J6" s="18" t="inlineStr">
        <is>
          <t>Very high</t>
        </is>
      </c>
      <c r="K6" s="18" t="n">
        <v>4</v>
      </c>
      <c r="L6" s="18" t="inlineStr">
        <is>
          <t>Charts are easiest to judge right next to the data and code that produced them.</t>
        </is>
      </c>
      <c r="M6" s="18" t="inlineStr">
        <is>
          <t>Always label axes and add a title, because a notebook chart is often copied elsewhere.</t>
        </is>
      </c>
      <c r="N6" s="17" t="n"/>
      <c r="O6" s="18" t="inlineStr">
        <is>
          <t>An inline chart is a picture hung right under its caption.</t>
        </is>
      </c>
      <c r="P6" s="18" t="inlineStr">
        <is>
          <t>A cell with code above a simple bar chart.</t>
        </is>
      </c>
      <c r="Q6" s="18" t="inlineStr">
        <is>
          <t>The thrill of watching a chart appear from a few lines.</t>
        </is>
      </c>
      <c r="R6" s="18" t="inlineStr">
        <is>
          <t>Inline plotting renders figures from libraries such as matplotlib directly beneath the cell, so no separate image file or window is needed.</t>
        </is>
      </c>
      <c r="S6" s="17" t="n"/>
      <c r="T6" s="19" t="inlineStr">
        <is>
          <t>import matplotlib.pyplot as plt
cities = ["Pune", "Delhi", "Goa"]
sales = [120, 90, 60]
plt.bar(cities, sales)
plt.title("Sales by city")
plt.ylabel("Orders")
plt.show()</t>
        </is>
      </c>
      <c r="U6" s="19" t="inlineStr">
        <is>
          <t>A bar chart titled Sales by city with three bars.</t>
        </is>
      </c>
      <c r="V6" s="18" t="inlineStr">
        <is>
          <t>Modern notebook kernels show matplotlib figures inline by default, and the older magic percent matplotlib inline may still appear in tutorials. Calling show ends the figure so the next cell starts clean. Other libraries, such as plotly or altair, give interactive charts. Save a chart with savefig when you need a file for a slide.</t>
        </is>
      </c>
      <c r="W6" s="18" t="inlineStr">
        <is>
          <t>Write the plotting code and the chart shows right below the cell.</t>
        </is>
      </c>
      <c r="X6" s="18" t="inlineStr">
        <is>
          <t>An inline chart is a picture hung right under its caption.</t>
        </is>
      </c>
      <c r="Y6" s="19" t="inlineStr">
        <is>
          <t>plt.bar(x, y) | plt.title(text) | plt.show()</t>
        </is>
      </c>
      <c r="Z6" s="18" t="inlineStr">
        <is>
          <t>plt = plotting module | bar = chart type | title = heading | show = draw it</t>
        </is>
      </c>
      <c r="AA6" s="19" t="inlineStr">
        <is>
          <t>A bar chart of orders per city.</t>
        </is>
      </c>
      <c r="AB6" s="19" t="inlineStr">
        <is>
          <t>A line chart of daily visits.</t>
        </is>
      </c>
      <c r="AC6" s="19" t="inlineStr">
        <is>
          <t>A histogram of delivery times.</t>
        </is>
      </c>
      <c r="AD6" s="19" t="inlineStr">
        <is>
          <t>plt.savefig("chart.png")   // write to a file as well</t>
        </is>
      </c>
      <c r="AE6" s="18" t="inlineStr">
        <is>
          <t>pandas, matplotlib, reports</t>
        </is>
      </c>
      <c r="AF6" s="18" t="inlineStr">
        <is>
          <t>displaying data, markdown cells, sharing, widgets</t>
        </is>
      </c>
      <c r="AG6" s="18" t="inlineStr">
        <is>
          <t>plotly | seaborn | altair</t>
        </is>
      </c>
      <c r="AH6" s="17" t="n"/>
      <c r="AI6" s="18" t="inlineStr">
        <is>
          <t>Exploration | Reports | Teaching</t>
        </is>
      </c>
      <c r="AJ6" s="18" t="inlineStr">
        <is>
          <t>A: My two charts merged into one. | B: Call plt.show after the first chart to separate them.</t>
        </is>
      </c>
      <c r="AK6" s="18" t="inlineStr">
        <is>
          <t>✗ A chart without labels is fine in a notebook → ✓ Unlabelled charts confuse readers once copied elsewhere</t>
        </is>
      </c>
      <c r="AL6" s="18" t="inlineStr">
        <is>
          <t>plt.show vs plt.savefig: display on the page versus write to a file.</t>
        </is>
      </c>
      <c r="AM6" s="18" t="inlineStr">
        <is>
          <t>Do not publish a chart without a title and labelled axes.</t>
        </is>
      </c>
      <c r="AN6" s="19" t="inlineStr">
        <is>
          <t>plt.bar(cities, sales)   # no title or labels</t>
        </is>
      </c>
      <c r="AO6" s="19" t="inlineStr">
        <is>
          <t>plt.bar(cities, sales)
plt.title("Sales by city")
plt.xlabel("City")
plt.ylabel("Orders")</t>
        </is>
      </c>
      <c r="AP6" s="18" t="inlineStr">
        <is>
          <t>Title it, label it, then show it.</t>
        </is>
      </c>
      <c r="AQ6" s="18" t="inlineStr">
        <is>
          <t>A labelled inline chart helped a manager read a weekly trend without help.</t>
        </is>
      </c>
      <c r="AR6" s="18" t="inlineStr">
        <is>
          <t>An interviewer may ask: How do you display charts in a notebook?</t>
        </is>
      </c>
      <c r="AS6" s="18" t="inlineStr">
        <is>
          <t>It is like hanging a picture with its caption below.</t>
        </is>
      </c>
      <c r="AT6" s="18" t="inlineStr">
        <is>
          <t>Which call writes a chart to a file?</t>
        </is>
      </c>
      <c r="AU6" s="18" t="inlineStr">
        <is>
          <t>A) head B) display C) savefig D) print</t>
        </is>
      </c>
      <c r="AV6" s="18" t="inlineStr">
        <is>
          <t>C</t>
        </is>
      </c>
      <c r="AW6" s="18" t="inlineStr">
        <is>
          <t>savefig stores the figure as an image.</t>
        </is>
      </c>
      <c r="AX6" s="19" t="inlineStr">
        <is>
          <t>A chart needs a title and labelled ____ → axes</t>
        </is>
      </c>
      <c r="AY6" s="18" t="inlineStr">
        <is>
          <t>Draw a line chart of three numbers with a title.</t>
        </is>
      </c>
      <c r="AZ6" s="19" t="inlineStr">
        <is>
          <t>plt.plot([1, 3, 2])
plt.title("Trend")
plt.show()</t>
        </is>
      </c>
      <c r="BA6" s="18" t="inlineStr">
        <is>
          <t>Make a labelled chart from a small file and save it as an image.</t>
        </is>
      </c>
      <c r="BB6" s="19" t="inlineStr">
        <is>
          <t>Why call plt.show between two charts?</t>
        </is>
      </c>
      <c r="BC6" s="19" t="inlineStr">
        <is>
          <t>It finishes the first figure so the next starts fresh.</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21.5" customHeight="1">
      <c r="A7" s="17" t="inlineStr">
        <is>
          <t>JUP-012</t>
        </is>
      </c>
      <c r="B7" s="17" t="inlineStr">
        <is>
          <t>02 Daily use</t>
        </is>
      </c>
      <c r="C7" s="17" t="inlineStr">
        <is>
          <t>Intermediate</t>
        </is>
      </c>
      <c r="D7" s="17" t="n">
        <v>12</v>
      </c>
      <c r="E7" s="17" t="inlineStr">
        <is>
          <t>Claude knowledge</t>
        </is>
      </c>
      <c r="F7" s="18" t="inlineStr">
        <is>
          <t>Installing packages</t>
        </is>
      </c>
      <c r="G7" s="18" t="inlineStr">
        <is>
          <t>How do you add a library from inside a notebook the safe way?</t>
        </is>
      </c>
      <c r="H7" s="17" t="n"/>
      <c r="I7" s="18" t="inlineStr">
        <is>
          <t>Command</t>
        </is>
      </c>
      <c r="J7" s="18" t="inlineStr">
        <is>
          <t>High</t>
        </is>
      </c>
      <c r="K7" s="18" t="n">
        <v>5</v>
      </c>
      <c r="L7" s="18" t="inlineStr">
        <is>
          <t>Installing from a notebook can go to a different Python than the kernel uses, which causes confusing import errors.</t>
        </is>
      </c>
      <c r="M7" s="18" t="inlineStr">
        <is>
          <t>Use the percent pip magic so the package lands in the kernel's own environment.</t>
        </is>
      </c>
      <c r="N7" s="17" t="n"/>
      <c r="O7" s="18" t="inlineStr">
        <is>
          <t>The percent pip command always delivers the parcel to the house where the kernel lives.</t>
        </is>
      </c>
      <c r="P7" s="18" t="inlineStr">
        <is>
          <t>A package box arrowed into the kernel's environment.</t>
        </is>
      </c>
      <c r="Q7" s="18" t="inlineStr">
        <is>
          <t>The relief of an import that finally works.</t>
        </is>
      </c>
      <c r="R7" s="18" t="inlineStr">
        <is>
          <t>The percent pip magic installs a package into the same Python environment the running kernel uses, unlike a plain shell pip that may target another Python.</t>
        </is>
      </c>
      <c r="S7" s="17" t="n"/>
      <c r="T7" s="19" t="inlineStr">
        <is>
          <t>%pip install pandas
import pandas as pd
print(pd.__version__)</t>
        </is>
      </c>
      <c r="U7" s="19" t="inlineStr">
        <is>
          <t>Installation messages, then a version number such as the one installed.</t>
        </is>
      </c>
      <c r="V7" s="18" t="inlineStr">
        <is>
          <t>Plain shell pip can point at a different interpreter than the kernel, so the package installs but cannot be imported. The percent pip magic avoids this. After installing a package that was already imported, restart the kernel so the new version loads. Better still, list required packages in a requirements file so others can recreate the setup.</t>
        </is>
      </c>
      <c r="W7" s="18" t="inlineStr">
        <is>
          <t>Use the percent pip line so the library lands where the kernel can see it.</t>
        </is>
      </c>
      <c r="X7" s="18" t="inlineStr">
        <is>
          <t>The percent pip command always delivers the parcel to the house where the kernel lives.</t>
        </is>
      </c>
      <c r="Y7" s="19" t="inlineStr">
        <is>
          <t>%pip install name</t>
        </is>
      </c>
      <c r="Z7" s="18" t="inlineStr">
        <is>
          <t>%pip = install into the kernel environment | install = action | name = package</t>
        </is>
      </c>
      <c r="AA7" s="19" t="inlineStr">
        <is>
          <t>Adding a charting library for a demo.</t>
        </is>
      </c>
      <c r="AB7" s="19" t="inlineStr">
        <is>
          <t>Upgrading a package, then restarting the kernel.</t>
        </is>
      </c>
      <c r="AC7" s="19" t="inlineStr">
        <is>
          <t>Installing from a requirements file.</t>
        </is>
      </c>
      <c r="AD7" s="19" t="inlineStr">
        <is>
          <t>%pip install -r requirements.txt   // many packages at once</t>
        </is>
      </c>
      <c r="AE7" s="18" t="inlineStr">
        <is>
          <t>Virtual environments, kernels, requirements file</t>
        </is>
      </c>
      <c r="AF7" s="18" t="inlineStr">
        <is>
          <t>virtual environments, kernels, reproducibility, hosted notebooks</t>
        </is>
      </c>
      <c r="AG7" s="18" t="inlineStr">
        <is>
          <t>conda install | Terminal pip</t>
        </is>
      </c>
      <c r="AH7" s="17" t="n"/>
      <c r="AI7" s="18" t="inlineStr">
        <is>
          <t>Setup | Hosted notebooks | Quick demos</t>
        </is>
      </c>
      <c r="AJ7" s="18" t="inlineStr">
        <is>
          <t>A: I installed it but the import still fails. | B: The shell pip used another Python, so use the percent pip magic.</t>
        </is>
      </c>
      <c r="AK7" s="18" t="inlineStr">
        <is>
          <t>✗ Installing a package updates the running notebook at once → ✓ An already imported package needs a kernel restart</t>
        </is>
      </c>
      <c r="AL7" s="18" t="inlineStr">
        <is>
          <t>%pip vs !pip: one targets the kernel environment, the other may not.</t>
        </is>
      </c>
      <c r="AM7" s="18" t="inlineStr">
        <is>
          <t>Do not install packages into the global Python for one project.</t>
        </is>
      </c>
      <c r="AN7" s="19" t="inlineStr">
        <is>
          <t>!pip install pandas   # may target another Python</t>
        </is>
      </c>
      <c r="AO7" s="19" t="inlineStr">
        <is>
          <t>%pip install pandas</t>
        </is>
      </c>
      <c r="AP7" s="18" t="inlineStr">
        <is>
          <t>Percent pip goes where the kernel lives.</t>
        </is>
      </c>
      <c r="AQ7" s="18" t="inlineStr">
        <is>
          <t>Switching to the percent pip form fixed a missing import on a customer laptop.</t>
        </is>
      </c>
      <c r="AR7" s="18" t="inlineStr">
        <is>
          <t>An interviewer may ask: Why does an installed package fail to import?</t>
        </is>
      </c>
      <c r="AS7" s="18" t="inlineStr">
        <is>
          <t>It is like posting a letter to the right address instead of a similar one.</t>
        </is>
      </c>
      <c r="AT7" s="18" t="inlineStr">
        <is>
          <t>Which form installs into the kernel's environment?</t>
        </is>
      </c>
      <c r="AU7" s="18" t="inlineStr">
        <is>
          <t>A) ls B) %pip install C) cd D) pip</t>
        </is>
      </c>
      <c r="AV7" s="18" t="inlineStr">
        <is>
          <t>B</t>
        </is>
      </c>
      <c r="AW7" s="18" t="inlineStr">
        <is>
          <t>The magic is tied to the running kernel.</t>
        </is>
      </c>
      <c r="AX7" s="19" t="inlineStr">
        <is>
          <t>After upgrading an imported package you should ____ the kernel → restart</t>
        </is>
      </c>
      <c r="AY7" s="18" t="inlineStr">
        <is>
          <t>Install the requests library from a notebook.</t>
        </is>
      </c>
      <c r="AZ7" s="19" t="inlineStr">
        <is>
          <t>%pip install requests</t>
        </is>
      </c>
      <c r="BA7" s="18" t="inlineStr">
        <is>
          <t>Write the requirements file you would give a colleague for your latest notebook.</t>
        </is>
      </c>
      <c r="BB7" s="19" t="inlineStr">
        <is>
          <t>Why restart the kernel after upgrading an imported package?</t>
        </is>
      </c>
      <c r="BC7" s="19" t="inlineStr">
        <is>
          <t>The old version stays loaded in memory until restart.</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08" customHeight="1">
      <c r="A8" s="17" t="inlineStr">
        <is>
          <t>JUP-013</t>
        </is>
      </c>
      <c r="B8" s="17" t="inlineStr">
        <is>
          <t>02 Daily use</t>
        </is>
      </c>
      <c r="C8" s="17" t="inlineStr">
        <is>
          <t>Intermediate</t>
        </is>
      </c>
      <c r="D8" s="17" t="n">
        <v>13</v>
      </c>
      <c r="E8" s="17" t="inlineStr">
        <is>
          <t>Claude knowledge</t>
        </is>
      </c>
      <c r="F8" s="18" t="inlineStr">
        <is>
          <t>Virtual environments and kernels</t>
        </is>
      </c>
      <c r="G8" s="18" t="inlineStr">
        <is>
          <t>How do you give each project its own set of packages in notebooks?</t>
        </is>
      </c>
      <c r="H8" s="17" t="n"/>
      <c r="I8" s="18" t="inlineStr">
        <is>
          <t>Setup</t>
        </is>
      </c>
      <c r="J8" s="18" t="inlineStr">
        <is>
          <t>High</t>
        </is>
      </c>
      <c r="K8" s="18" t="n">
        <v>5</v>
      </c>
      <c r="L8" s="18" t="inlineStr">
        <is>
          <t>Different projects need different package versions, and one shared environment makes them clash.</t>
        </is>
      </c>
      <c r="M8" s="18" t="inlineStr">
        <is>
          <t>Create one environment per project and register it as a named kernel.</t>
        </is>
      </c>
      <c r="N8" s="17" t="n"/>
      <c r="O8" s="18" t="inlineStr">
        <is>
          <t>Each project gets its own toolbox, and the kernel picks which toolbox is open.</t>
        </is>
      </c>
      <c r="P8" s="18" t="inlineStr">
        <is>
          <t>Two toolboxes labelled project A and project B, each linked to a kernel name.</t>
        </is>
      </c>
      <c r="Q8" s="18" t="inlineStr">
        <is>
          <t>The calm of projects that no longer break one another.</t>
        </is>
      </c>
      <c r="R8" s="18" t="inlineStr">
        <is>
          <t>A virtual environment is an isolated folder of packages, and registering it with ipykernel makes it appear as a selectable kernel in Jupyter.</t>
        </is>
      </c>
      <c r="S8" s="17" t="n"/>
      <c r="T8" s="19" t="inlineStr">
        <is>
          <t>python -m venv .venv
source .venv/bin/activate
pip install ipykernel pandas
python -m ipykernel install --user --name project-a --display-name "Project A"
jupyter kernelspec list</t>
        </is>
      </c>
      <c r="U8" s="19" t="inlineStr">
        <is>
          <t>A list of kernels that includes project-a with its folder path.</t>
        </is>
      </c>
      <c r="V8" s="18" t="inlineStr">
        <is>
          <t>Activate the environment, install ipykernel and the packages the project needs, then register the environment as a kernel. In the notebook, choose Project A from the kernel menu. On Windows the activation command differs. The kernel list shows where each kernel lives, which helps when a notebook imports from the wrong place.</t>
        </is>
      </c>
      <c r="W8" s="18" t="inlineStr">
        <is>
          <t>Make a clean environment, register it as a kernel and pick it in the notebook.</t>
        </is>
      </c>
      <c r="X8" s="18" t="inlineStr">
        <is>
          <t>Each project gets its own toolbox, and the kernel picks which toolbox is open.</t>
        </is>
      </c>
      <c r="Y8" s="19" t="inlineStr">
        <is>
          <t>python -m venv name | python -m ipykernel install --user --name name</t>
        </is>
      </c>
      <c r="Z8" s="18" t="inlineStr">
        <is>
          <t>venv = environment | ipykernel = bridge | --name = id | --display-name = label</t>
        </is>
      </c>
      <c r="AA8" s="19" t="inlineStr">
        <is>
          <t>A kernel named after a client project.</t>
        </is>
      </c>
      <c r="AB8" s="19" t="inlineStr">
        <is>
          <t>Two kernels with different pandas versions.</t>
        </is>
      </c>
      <c r="AC8" s="19" t="inlineStr">
        <is>
          <t>Removing an old kernel with kernelspec remove.</t>
        </is>
      </c>
      <c r="AD8" s="19" t="inlineStr">
        <is>
          <t>conda create -n name   // conda users</t>
        </is>
      </c>
      <c r="AE8" s="18" t="inlineStr">
        <is>
          <t>pip, requirements file, JupyterLab</t>
        </is>
      </c>
      <c r="AF8" s="18" t="inlineStr">
        <is>
          <t>installing packages, kernels, reproducibility, remote kernels</t>
        </is>
      </c>
      <c r="AG8" s="18" t="inlineStr">
        <is>
          <t>conda environments | uv | poetry</t>
        </is>
      </c>
      <c r="AH8" s="17" t="n"/>
      <c r="AI8" s="18" t="inlineStr">
        <is>
          <t>Projects | Teams | Customer setups</t>
        </is>
      </c>
      <c r="AJ8" s="18" t="inlineStr">
        <is>
          <t>A: My notebook uses the wrong pandas. | B: Switch to the project kernel that was built from its own environment.</t>
        </is>
      </c>
      <c r="AK8" s="18" t="inlineStr">
        <is>
          <t>✗ One environment is fine for every project → ✓ Shared environments cause version clashes</t>
        </is>
      </c>
      <c r="AL8" s="18" t="inlineStr">
        <is>
          <t>Environment vs kernel: the package folder versus the entry that lets Jupyter use it.</t>
        </is>
      </c>
      <c r="AM8" s="18" t="inlineStr">
        <is>
          <t>Do not mix every project's packages in one global environment.</t>
        </is>
      </c>
      <c r="AN8" s="19" t="inlineStr">
        <is>
          <t>pip install pandas   # outside any environment</t>
        </is>
      </c>
      <c r="AO8" s="19" t="inlineStr">
        <is>
          <t>source .venv/bin/activate
pip install pandas</t>
        </is>
      </c>
      <c r="AP8" s="18" t="inlineStr">
        <is>
          <t>Environment holds the tools, kernel opens the box.</t>
        </is>
      </c>
      <c r="AQ8" s="18" t="inlineStr">
        <is>
          <t>Per-project kernels let a team run two customer pipelines with different library versions.</t>
        </is>
      </c>
      <c r="AR8" s="18" t="inlineStr">
        <is>
          <t>An interviewer may ask: How do you keep project dependencies separate in Jupyter?</t>
        </is>
      </c>
      <c r="AS8" s="18" t="inlineStr">
        <is>
          <t>It is like keeping separate toolboxes for the kitchen and the garage.</t>
        </is>
      </c>
      <c r="AT8" s="18" t="inlineStr">
        <is>
          <t>Which package lets an environment appear as a Jupyter kernel?</t>
        </is>
      </c>
      <c r="AU8" s="18" t="inlineStr">
        <is>
          <t>A) ipykernel B) numpy C) flask D) pytest</t>
        </is>
      </c>
      <c r="AV8" s="18" t="inlineStr">
        <is>
          <t>A</t>
        </is>
      </c>
      <c r="AW8" s="18" t="inlineStr">
        <is>
          <t>ipykernel registers the environment with Jupyter.</t>
        </is>
      </c>
      <c r="AX8" s="19" t="inlineStr">
        <is>
          <t>Showing every registered kernel uses jupyter ____ list → kernelspec</t>
        </is>
      </c>
      <c r="AY8" s="18" t="inlineStr">
        <is>
          <t>Register the active environment as a kernel called demo.</t>
        </is>
      </c>
      <c r="AZ8" s="19" t="inlineStr">
        <is>
          <t>python -m ipykernel install --user --name demo</t>
        </is>
      </c>
      <c r="BA8" s="18" t="inlineStr">
        <is>
          <t>Create a clean environment for one project and note each step you ran.</t>
        </is>
      </c>
      <c r="BB8" s="19" t="inlineStr">
        <is>
          <t>Why register an environment as a kernel?</t>
        </is>
      </c>
      <c r="BC8" s="19" t="inlineStr">
        <is>
          <t>So notebooks can run with that environment's packages.</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08" customHeight="1">
      <c r="A9" s="17" t="inlineStr">
        <is>
          <t>JUP-016</t>
        </is>
      </c>
      <c r="B9" s="17" t="inlineStr">
        <is>
          <t>03 Good practice</t>
        </is>
      </c>
      <c r="C9" s="17" t="inlineStr">
        <is>
          <t>Intermediate</t>
        </is>
      </c>
      <c r="D9" s="17" t="n">
        <v>16</v>
      </c>
      <c r="E9" s="17" t="inlineStr">
        <is>
          <t>Claude knowledge</t>
        </is>
      </c>
      <c r="F9" s="18" t="inlineStr">
        <is>
          <t>Secrets in notebooks</t>
        </is>
      </c>
      <c r="G9" s="18" t="inlineStr">
        <is>
          <t>How do you keep passwords and API keys out of a shared notebook?</t>
        </is>
      </c>
      <c r="H9" s="17" t="n"/>
      <c r="I9" s="18" t="inlineStr">
        <is>
          <t>Security</t>
        </is>
      </c>
      <c r="J9" s="18" t="inlineStr">
        <is>
          <t>Very high</t>
        </is>
      </c>
      <c r="K9" s="18" t="n">
        <v>5</v>
      </c>
      <c r="L9" s="18" t="inlineStr">
        <is>
          <t>Notebooks store outputs and get shared, so a key typed into a cell can leak through the file, history or a repository.</t>
        </is>
      </c>
      <c r="M9" s="18" t="inlineStr">
        <is>
          <t>Read secrets from environment variables and clear any output that printed one.</t>
        </is>
      </c>
      <c r="N9" s="17" t="n"/>
      <c r="O9" s="18" t="inlineStr">
        <is>
          <t>A key in a notebook is a house key taped to the front door.</t>
        </is>
      </c>
      <c r="P9" s="18" t="inlineStr">
        <is>
          <t>A notebook cell reading a value from the environment instead of showing a key.</t>
        </is>
      </c>
      <c r="Q9" s="18" t="inlineStr">
        <is>
          <t>The worry of a leaked key and the calm of avoiding it.</t>
        </is>
      </c>
      <c r="R9" s="18" t="inlineStr">
        <is>
          <t>Secrets should live outside the notebook, in environment variables or a secrets manager, and the code should only read them at run time.</t>
        </is>
      </c>
      <c r="S9" s="17" t="n"/>
      <c r="T9" s="19" t="inlineStr">
        <is>
          <t>import os
api_key = os.environ.get("SERVICE_API_KEY")
if not api_key:
    print("Set SERVICE_API_KEY in the environment first.")
else:
    print("Key found, length", len(api_key))</t>
        </is>
      </c>
      <c r="U9" s="19" t="inlineStr">
        <is>
          <t>Set SERVICE_API_KEY in the environment first. (when the variable is missing)</t>
        </is>
      </c>
      <c r="V9" s="18" t="inlineStr">
        <is>
          <t>Never paste a key into a cell, even for a quick test, because saved outputs and version history keep it. Load it from the environment or from a local file that is ignored by version control. If a secret leaks, treat it as compromised and rotate it, since deleting the cell does not remove the old copies. Print only that a key exists, never its value.</t>
        </is>
      </c>
      <c r="W9" s="18" t="inlineStr">
        <is>
          <t>Read the key from the environment and never write its value in the notebook.</t>
        </is>
      </c>
      <c r="X9" s="18" t="inlineStr">
        <is>
          <t>A key in a notebook is a house key taped to the front door.</t>
        </is>
      </c>
      <c r="Y9" s="19" t="inlineStr">
        <is>
          <t>os.environ.get("NAME")</t>
        </is>
      </c>
      <c r="Z9" s="18" t="inlineStr">
        <is>
          <t>os.environ = environment values | get = safe read | NAME = variable name</t>
        </is>
      </c>
      <c r="AA9" s="19" t="inlineStr">
        <is>
          <t>Reading a service key from the environment.</t>
        </is>
      </c>
      <c r="AB9" s="19" t="inlineStr">
        <is>
          <t>Loading a local env file that is ignored by version control.</t>
        </is>
      </c>
      <c r="AC9" s="19" t="inlineStr">
        <is>
          <t>Rotating a key that appeared in a pushed notebook.</t>
        </is>
      </c>
      <c r="AD9" s="19" t="inlineStr">
        <is>
          <t>os.environ["NAME"]   // raises an error if missing</t>
        </is>
      </c>
      <c r="AE9" s="18" t="inlineStr">
        <is>
          <t>Environment variables, gitignore, secrets managers</t>
        </is>
      </c>
      <c r="AF9" s="18" t="inlineStr">
        <is>
          <t>version control and clean outputs, sharing, hosted notebooks, reproducibility</t>
        </is>
      </c>
      <c r="AG9" s="18" t="inlineStr">
        <is>
          <t>Secrets manager | Hosted notebook secrets feature</t>
        </is>
      </c>
      <c r="AH9" s="17" t="n"/>
      <c r="AI9" s="18" t="inlineStr">
        <is>
          <t>API work | Database access | Customer projects</t>
        </is>
      </c>
      <c r="AJ9" s="18" t="inlineStr">
        <is>
          <t>A: I pasted the key just to test. | B: Rotate it now, because it may already be saved in the file history.</t>
        </is>
      </c>
      <c r="AK9" s="18" t="inlineStr">
        <is>
          <t>✗ Deleting the cell removes a leaked key → ✓ History, outputs and copies may still hold it</t>
        </is>
      </c>
      <c r="AL9" s="18" t="inlineStr">
        <is>
          <t>Environment variable vs hard-coded value: read at run time versus stored in the file.</t>
        </is>
      </c>
      <c r="AM9" s="18" t="inlineStr">
        <is>
          <t>Do not print a secret value to check that it loaded.</t>
        </is>
      </c>
      <c r="AN9" s="19" t="inlineStr">
        <is>
          <t>api_key = "paste-the-real-key-here"</t>
        </is>
      </c>
      <c r="AO9" s="19" t="inlineStr">
        <is>
          <t>api_key = os.environ.get("SERVICE_API_KEY")</t>
        </is>
      </c>
      <c r="AP9" s="18" t="inlineStr">
        <is>
          <t>Read it from the environment, never write it in.</t>
        </is>
      </c>
      <c r="AQ9" s="18" t="inlineStr">
        <is>
          <t>A leaked key found in an old notebook was rotated, and the code moved to environment variables.</t>
        </is>
      </c>
      <c r="AR9" s="18" t="inlineStr">
        <is>
          <t>An interviewer may ask: How do you handle API keys in notebooks?</t>
        </is>
      </c>
      <c r="AS9" s="18" t="inlineStr">
        <is>
          <t>It is like keeping your house key in your pocket, not on the door.</t>
        </is>
      </c>
      <c r="AT9" s="18" t="inlineStr">
        <is>
          <t>Where should an API key be stored for a notebook?</t>
        </is>
      </c>
      <c r="AU9" s="18" t="inlineStr">
        <is>
          <t>A) In a chart title B) In the file name C) In the environment D) In a markdown cell</t>
        </is>
      </c>
      <c r="AV9" s="18" t="inlineStr">
        <is>
          <t>C</t>
        </is>
      </c>
      <c r="AW9" s="18" t="inlineStr">
        <is>
          <t>The environment keeps the value outside the saved file.</t>
        </is>
      </c>
      <c r="AX9" s="19" t="inlineStr">
        <is>
          <t>A key that has been exposed must be ____ → rotated</t>
        </is>
      </c>
      <c r="AY9" s="18" t="inlineStr">
        <is>
          <t>Read a key named DATA_KEY from the environment.</t>
        </is>
      </c>
      <c r="AZ9" s="19" t="inlineStr">
        <is>
          <t>import os
key = os.environ.get("DATA_KEY")</t>
        </is>
      </c>
      <c r="BA9" s="18" t="inlineStr">
        <is>
          <t>Write the steps you would follow after finding a key in a pushed notebook.</t>
        </is>
      </c>
      <c r="BB9" s="19" t="inlineStr">
        <is>
          <t>Why is deleting the cell not enough after a leak?</t>
        </is>
      </c>
      <c r="BC9" s="19" t="inlineStr">
        <is>
          <t>Saved history and copies can still contain the key.</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21.5" customHeight="1">
      <c r="A10" s="17" t="inlineStr">
        <is>
          <t>JUP-017</t>
        </is>
      </c>
      <c r="B10" s="17" t="inlineStr">
        <is>
          <t>03 Good practice</t>
        </is>
      </c>
      <c r="C10" s="17" t="inlineStr">
        <is>
          <t>Intermediate</t>
        </is>
      </c>
      <c r="D10" s="17" t="n">
        <v>17</v>
      </c>
      <c r="E10" s="17" t="inlineStr">
        <is>
          <t>Claude knowledge</t>
        </is>
      </c>
      <c r="F10" s="18" t="inlineStr">
        <is>
          <t>Version control and clean outputs</t>
        </is>
      </c>
      <c r="G10" s="18" t="inlineStr">
        <is>
          <t>How do you keep notebooks tidy in Git?</t>
        </is>
      </c>
      <c r="H10" s="17" t="n"/>
      <c r="I10" s="18" t="inlineStr">
        <is>
          <t>Workflow</t>
        </is>
      </c>
      <c r="J10" s="18" t="inlineStr">
        <is>
          <t>High</t>
        </is>
      </c>
      <c r="K10" s="18" t="n">
        <v>4</v>
      </c>
      <c r="L10" s="18" t="inlineStr">
        <is>
          <t>Notebooks are JSON files with outputs and counters, so every run makes noisy changes that hide real edits.</t>
        </is>
      </c>
      <c r="M10" s="18" t="inlineStr">
        <is>
          <t>Clear outputs before committing, unless the outputs are the deliverable.</t>
        </is>
      </c>
      <c r="N10" s="17" t="n"/>
      <c r="O10" s="18" t="inlineStr">
        <is>
          <t>Clearing outputs is wiping the whiteboard before saving the lesson plan.</t>
        </is>
      </c>
      <c r="P10" s="18" t="inlineStr">
        <is>
          <t>A diff with a few real code lines instead of pages of changed output.</t>
        </is>
      </c>
      <c r="Q10" s="18" t="inlineStr">
        <is>
          <t>The calm of a clean, readable review.</t>
        </is>
      </c>
      <c r="R10" s="18" t="inlineStr">
        <is>
          <t>Clearing outputs before a commit removes results, images and execution counts from the file, so the diff shows only the code and text that actually changed.</t>
        </is>
      </c>
      <c r="S10" s="17" t="n"/>
      <c r="T10" s="19" t="inlineStr">
        <is>
          <t>jupyter nbconvert --clear-output --inplace analysis.ipynb
git add analysis.ipynb
git commit -m "Clean analysis notebook"
git diff --stat HEAD~1</t>
        </is>
      </c>
      <c r="U10" s="19" t="inlineStr">
        <is>
          <t>A short diff summary showing the changed notebook file.</t>
        </is>
      </c>
      <c r="V10" s="18" t="inlineStr">
        <is>
          <t>Images and tables inside outputs make large, unreadable diffs and bloat the repository. Clear outputs, or use a tool that strips them automatically before each commit. Where reviewers need to see results, commit a rendered HTML copy separately. Tools that show notebook diffs cell by cell make review easier. Never commit outputs that contain private data or secrets.</t>
        </is>
      </c>
      <c r="W10" s="18" t="inlineStr">
        <is>
          <t>Strip the outputs so Git only tracks what you really changed.</t>
        </is>
      </c>
      <c r="X10" s="18" t="inlineStr">
        <is>
          <t>Clearing outputs is wiping the whiteboard before saving the lesson plan.</t>
        </is>
      </c>
      <c r="Y10" s="19" t="inlineStr">
        <is>
          <t>jupyter nbconvert --clear-output --inplace file.ipynb</t>
        </is>
      </c>
      <c r="Z10" s="18" t="inlineStr">
        <is>
          <t>nbconvert = converter | --clear-output = remove results | --inplace = edit the same file</t>
        </is>
      </c>
      <c r="AA10" s="19" t="inlineStr">
        <is>
          <t>Clearing outputs before a pull request.</t>
        </is>
      </c>
      <c r="AB10" s="19" t="inlineStr">
        <is>
          <t>Committing a rendered HTML copy for reviewers.</t>
        </is>
      </c>
      <c r="AC10" s="19" t="inlineStr">
        <is>
          <t>Stripping outputs with a pre-commit hook.</t>
        </is>
      </c>
      <c r="AD10" s="19" t="inlineStr">
        <is>
          <t>jupytext pairing   // keep a plain-text twin of the notebook</t>
        </is>
      </c>
      <c r="AE10" s="18" t="inlineStr">
        <is>
          <t>Git, pre-commit, code review</t>
        </is>
      </c>
      <c r="AF10" s="18" t="inlineStr">
        <is>
          <t>restart and run all, secrets in notebooks, nbconvert, sharing</t>
        </is>
      </c>
      <c r="AG10" s="18" t="inlineStr">
        <is>
          <t>nbstripout | jupytext | Notebook diff tools</t>
        </is>
      </c>
      <c r="AH10" s="17" t="n"/>
      <c r="AI10" s="18" t="inlineStr">
        <is>
          <t>Team projects | Pull requests | Repositories</t>
        </is>
      </c>
      <c r="AJ10" s="18" t="inlineStr">
        <is>
          <t>A: The pull request shows five thousand changed lines. | B: Outputs were committed, so clear them and push again.</t>
        </is>
      </c>
      <c r="AK10" s="18" t="inlineStr">
        <is>
          <t>✗ Outputs must always be committed with the notebook → ✓ They are often better left out of version control</t>
        </is>
      </c>
      <c r="AL10" s="18" t="inlineStr">
        <is>
          <t>Clearing outputs vs deleting cells: one removes results, the other removes code.</t>
        </is>
      </c>
      <c r="AM10" s="18" t="inlineStr">
        <is>
          <t>Do not commit outputs that show customer data.</t>
        </is>
      </c>
      <c r="AN10" s="19" t="inlineStr">
        <is>
          <t>git add analysis.ipynb   # with large outputs and private rows</t>
        </is>
      </c>
      <c r="AO10" s="19" t="inlineStr">
        <is>
          <t>jupyter nbconvert --clear-output --inplace analysis.ipynb</t>
        </is>
      </c>
      <c r="AP10" s="18" t="inlineStr">
        <is>
          <t>Wipe the outputs, then commit the code.</t>
        </is>
      </c>
      <c r="AQ10" s="18" t="inlineStr">
        <is>
          <t>Clearing outputs made review of a team notebook much quicker.</t>
        </is>
      </c>
      <c r="AR10" s="18" t="inlineStr">
        <is>
          <t>An interviewer may ask: Why are notebooks hard to review in Git?</t>
        </is>
      </c>
      <c r="AS10" s="18" t="inlineStr">
        <is>
          <t>It is like erasing the whiteboard before filing the notes.</t>
        </is>
      </c>
      <c r="AT10" s="18" t="inlineStr">
        <is>
          <t>What does clearing outputs remove?</t>
        </is>
      </c>
      <c r="AU10" s="18" t="inlineStr">
        <is>
          <t>A) Results and images B) The kernel C) The file name D) All code</t>
        </is>
      </c>
      <c r="AV10" s="18" t="inlineStr">
        <is>
          <t>A</t>
        </is>
      </c>
      <c r="AW10" s="18" t="inlineStr">
        <is>
          <t>Only the saved results are stripped, and the code stays.</t>
        </is>
      </c>
      <c r="AX10" s="19" t="inlineStr">
        <is>
          <t>A pre-commit hook can strip outputs ____ → automatically</t>
        </is>
      </c>
      <c r="AY10" s="18" t="inlineStr">
        <is>
          <t>Clear the outputs of report.ipynb in place.</t>
        </is>
      </c>
      <c r="AZ10" s="19" t="inlineStr">
        <is>
          <t>jupyter nbconvert --clear-output --inplace report.ipynb</t>
        </is>
      </c>
      <c r="BA10" s="18" t="inlineStr">
        <is>
          <t>Describe how you would stop private data from reaching a repository through outputs.</t>
        </is>
      </c>
      <c r="BB10" s="19" t="inlineStr">
        <is>
          <t>Why do outputs make Git diffs noisy?</t>
        </is>
      </c>
      <c r="BC10" s="19" t="inlineStr">
        <is>
          <t>They store images, tables and counters that change on every run.</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21.5" customHeight="1">
      <c r="A11" s="17" t="inlineStr">
        <is>
          <t>JUP-018</t>
        </is>
      </c>
      <c r="B11" s="17" t="inlineStr">
        <is>
          <t>03 Good practice</t>
        </is>
      </c>
      <c r="C11" s="17" t="inlineStr">
        <is>
          <t>Intermediate</t>
        </is>
      </c>
      <c r="D11" s="17" t="n">
        <v>18</v>
      </c>
      <c r="E11" s="17" t="inlineStr">
        <is>
          <t>Claude knowledge</t>
        </is>
      </c>
      <c r="F11" s="18" t="inlineStr">
        <is>
          <t>Converting with nbconvert</t>
        </is>
      </c>
      <c r="G11" s="18" t="inlineStr">
        <is>
          <t>Which tool turns a notebook into HTML, PDF or a script?</t>
        </is>
      </c>
      <c r="H11" s="17" t="n"/>
      <c r="I11" s="18" t="inlineStr">
        <is>
          <t>Command</t>
        </is>
      </c>
      <c r="J11" s="18" t="inlineStr">
        <is>
          <t>High</t>
        </is>
      </c>
      <c r="K11" s="18" t="n">
        <v>4</v>
      </c>
      <c r="L11" s="18" t="inlineStr">
        <is>
          <t>Colleagues and clients often want a report, not a notebook file they must open in a special tool.</t>
        </is>
      </c>
      <c r="M11" s="18" t="inlineStr">
        <is>
          <t>Use the no-input option when the reader needs results but not your code.</t>
        </is>
      </c>
      <c r="N11" s="17" t="n"/>
      <c r="O11" s="18" t="inlineStr">
        <is>
          <t>nbconvert is a printing press that turns the notebook into any format you need.</t>
        </is>
      </c>
      <c r="P11" s="18" t="inlineStr">
        <is>
          <t>A notebook file with arrows to an HTML page, a PDF and a script.</t>
        </is>
      </c>
      <c r="Q11" s="18" t="inlineStr">
        <is>
          <t>The ease of sending a polished report from one command.</t>
        </is>
      </c>
      <c r="R11" s="18" t="inlineStr">
        <is>
          <t>The nbconvert tool converts a notebook file into formats such as HTML, PDF, Markdown or a Python script, and can also execute the notebook while converting.</t>
        </is>
      </c>
      <c r="S11" s="17" t="n"/>
      <c r="T11" s="19" t="inlineStr">
        <is>
          <t>jupyter nbconvert --to html report.ipynb
jupyter nbconvert --to html --no-input report.ipynb
jupyter nbconvert --to script report.ipynb
jupyter nbconvert --to notebook --execute report.ipynb</t>
        </is>
      </c>
      <c r="U11" s="19" t="inlineStr">
        <is>
          <t>Files report.html, a code-free HTML version, report.py and an executed notebook copy.</t>
        </is>
      </c>
      <c r="V11" s="18" t="inlineStr">
        <is>
          <t>HTML is the simplest format for sharing results because it needs no installation. PDF output may need extra tools installed on the machine. The no-input option hides code cells so business readers see only text and charts. The execute option runs all cells first, which proves the notebook runs cleanly. Available options can differ between versions, so check the help output.</t>
        </is>
      </c>
      <c r="W11" s="18" t="inlineStr">
        <is>
          <t>One command turns a notebook into a report or a script.</t>
        </is>
      </c>
      <c r="X11" s="18" t="inlineStr">
        <is>
          <t>nbconvert is a printing press that turns the notebook into any format you need.</t>
        </is>
      </c>
      <c r="Y11" s="19" t="inlineStr">
        <is>
          <t>jupyter nbconvert --to FORMAT file.ipynb</t>
        </is>
      </c>
      <c r="Z11" s="18" t="inlineStr">
        <is>
          <t>--to = target format | html, pdf, script = formats | --execute = run first | --no-input = hide code</t>
        </is>
      </c>
      <c r="AA11" s="19" t="inlineStr">
        <is>
          <t>Sending an HTML report to a manager.</t>
        </is>
      </c>
      <c r="AB11" s="19" t="inlineStr">
        <is>
          <t>Producing a code-free summary for a client.</t>
        </is>
      </c>
      <c r="AC11" s="19" t="inlineStr">
        <is>
          <t>Turning a prototype into a script.</t>
        </is>
      </c>
      <c r="AD11" s="19" t="inlineStr">
        <is>
          <t>--to pdf   // may need extra tools installed</t>
        </is>
      </c>
      <c r="AE11" s="18" t="inlineStr">
        <is>
          <t>Reports, automation, scheduled runs</t>
        </is>
      </c>
      <c r="AF11" s="18" t="inlineStr">
        <is>
          <t>sharing, notebook to script, clean outputs, parameterised notebooks</t>
        </is>
      </c>
      <c r="AG11" s="18" t="inlineStr">
        <is>
          <t>Quarto | Export from the menu | Papermill</t>
        </is>
      </c>
      <c r="AH11" s="17" t="n"/>
      <c r="AI11" s="18" t="inlineStr">
        <is>
          <t>Reporting | Handover | Automation</t>
        </is>
      </c>
      <c r="AJ11" s="18" t="inlineStr">
        <is>
          <t>A: The client does not use Jupyter. | B: Export an HTML report and send that instead.</t>
        </is>
      </c>
      <c r="AK11" s="18" t="inlineStr">
        <is>
          <t>✗ PDF export always works without extra setup → ✓ It often needs additional tools installed</t>
        </is>
      </c>
      <c r="AL11" s="18" t="inlineStr">
        <is>
          <t>--no-input vs the default export: hide the code cells versus show everything.</t>
        </is>
      </c>
      <c r="AM11" s="18" t="inlineStr">
        <is>
          <t>Do not send a client an HTML file that still shows private cells.</t>
        </is>
      </c>
      <c r="AN11" s="19" t="inlineStr">
        <is>
          <t>jupyter nbconvert --to html report.ipynb   # code cells and private code stay visible</t>
        </is>
      </c>
      <c r="AO11" s="19" t="inlineStr">
        <is>
          <t>jupyter nbconvert --to html --no-input report.ipynb</t>
        </is>
      </c>
      <c r="AP11" s="18" t="inlineStr">
        <is>
          <t>Say where it goes with --to.</t>
        </is>
      </c>
      <c r="AQ11" s="18" t="inlineStr">
        <is>
          <t>An HTML export with code hidden gave a client a clean weekly summary.</t>
        </is>
      </c>
      <c r="AR11" s="18" t="inlineStr">
        <is>
          <t>An interviewer may ask: How do you share a notebook with someone who does not use Jupyter?</t>
        </is>
      </c>
      <c r="AS11" s="18" t="inlineStr">
        <is>
          <t>It is like exporting a document as a PDF to send to a friend.</t>
        </is>
      </c>
      <c r="AT11" s="18" t="inlineStr">
        <is>
          <t>Which option hides the code cells in the export?</t>
        </is>
      </c>
      <c r="AU11" s="18" t="inlineStr">
        <is>
          <t>A) --to B) --kernel C) --inplace D) --no-input</t>
        </is>
      </c>
      <c r="AV11" s="18" t="inlineStr">
        <is>
          <t>D</t>
        </is>
      </c>
      <c r="AW11" s="18" t="inlineStr">
        <is>
          <t>It leaves only text and outputs for the reader.</t>
        </is>
      </c>
      <c r="AX11" s="19" t="inlineStr">
        <is>
          <t>The format flag for nbconvert is --____ → to</t>
        </is>
      </c>
      <c r="AY11" s="18" t="inlineStr">
        <is>
          <t>Export summary.ipynb to HTML.</t>
        </is>
      </c>
      <c r="AZ11" s="19" t="inlineStr">
        <is>
          <t>jupyter nbconvert --to html summary.ipynb</t>
        </is>
      </c>
      <c r="BA11" s="18" t="inlineStr">
        <is>
          <t>Make a code-free HTML version of one notebook and check what the reader sees.</t>
        </is>
      </c>
      <c r="BB11" s="19" t="inlineStr">
        <is>
          <t>Why use the execute option while converting?</t>
        </is>
      </c>
      <c r="BC11" s="19" t="inlineStr">
        <is>
          <t>It runs every cell first, which proves the notebook runs cleanly.</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35" customHeight="1">
      <c r="A12" s="17" t="inlineStr">
        <is>
          <t>JUP-020</t>
        </is>
      </c>
      <c r="B12" s="17" t="inlineStr">
        <is>
          <t>03 Good practice</t>
        </is>
      </c>
      <c r="C12" s="17" t="inlineStr">
        <is>
          <t>Advanced</t>
        </is>
      </c>
      <c r="D12" s="17" t="n">
        <v>20</v>
      </c>
      <c r="E12" s="17" t="inlineStr">
        <is>
          <t>Claude knowledge</t>
        </is>
      </c>
      <c r="F12" s="18" t="inlineStr">
        <is>
          <t>Parameterised notebooks</t>
        </is>
      </c>
      <c r="G12" s="18" t="inlineStr">
        <is>
          <t>How do you run the same notebook with different inputs?</t>
        </is>
      </c>
      <c r="H12" s="17" t="n"/>
      <c r="I12" s="18" t="inlineStr">
        <is>
          <t>Pattern</t>
        </is>
      </c>
      <c r="J12" s="18" t="inlineStr">
        <is>
          <t>Medium</t>
        </is>
      </c>
      <c r="K12" s="18" t="n">
        <v>4</v>
      </c>
      <c r="L12" s="18" t="inlineStr">
        <is>
          <t>Reports that repeat each week or per customer should not be copied by hand for every new value.</t>
        </is>
      </c>
      <c r="M12" s="18" t="inlineStr">
        <is>
          <t>Keep all inputs in one parameters cell at the top with clear defaults.</t>
        </is>
      </c>
      <c r="N12" s="17" t="n"/>
      <c r="O12" s="18" t="inlineStr">
        <is>
          <t>A parameter cell is the dial on the front of a machine that otherwise stays the same.</t>
        </is>
      </c>
      <c r="P12" s="18" t="inlineStr">
        <is>
          <t>A parameters cell at the top feeding the same analysis with different values.</t>
        </is>
      </c>
      <c r="Q12" s="18" t="inlineStr">
        <is>
          <t>The efficiency of one notebook serving many runs.</t>
        </is>
      </c>
      <c r="R12" s="18" t="inlineStr">
        <is>
          <t>A parameterised notebook has one cell of input values that an external tool such as papermill can override, so the same analysis runs for many customers, dates or settings.</t>
        </is>
      </c>
      <c r="S12" s="17" t="n"/>
      <c r="T12" s="19" t="inlineStr">
        <is>
          <t>pip install papermill
papermill report.ipynb out_march.ipynb -p month 2026-03 -p region west
papermill report.ipynb out_april.ipynb -p month 2026-04 -p region west</t>
        </is>
      </c>
      <c r="U12" s="19" t="inlineStr">
        <is>
          <t>Two executed copies, one for each month, saved as new notebooks.</t>
        </is>
      </c>
      <c r="V12" s="18" t="inlineStr">
        <is>
          <t>The cell holding defaults is tagged parameters. Papermill injects a new cell after it with the supplied values, runs the notebook and saves the executed copy. This avoids editing the original and keeps one record per run. It suits scheduled reports and batch jobs. Combine with nbconvert to export each result as HTML.</t>
        </is>
      </c>
      <c r="W12" s="18" t="inlineStr">
        <is>
          <t>Put the inputs in one cell and run the notebook again with new values.</t>
        </is>
      </c>
      <c r="X12" s="18" t="inlineStr">
        <is>
          <t>A parameter cell is the dial on the front of a machine that otherwise stays the same.</t>
        </is>
      </c>
      <c r="Y12" s="19" t="inlineStr">
        <is>
          <t>papermill input.ipynb output.ipynb -p name value</t>
        </is>
      </c>
      <c r="Z12" s="18" t="inlineStr">
        <is>
          <t>input = template | output = executed copy | -p = parameter | name value = setting</t>
        </is>
      </c>
      <c r="AA12" s="19" t="inlineStr">
        <is>
          <t>A monthly sales report for each region.</t>
        </is>
      </c>
      <c r="AB12" s="19" t="inlineStr">
        <is>
          <t>A customer health report with a customer id.</t>
        </is>
      </c>
      <c r="AC12" s="19" t="inlineStr">
        <is>
          <t>A model check run on different dates.</t>
        </is>
      </c>
      <c r="AD12" s="19" t="inlineStr">
        <is>
          <t>-f params.yaml   // read the values from a file</t>
        </is>
      </c>
      <c r="AE12" s="18" t="inlineStr">
        <is>
          <t>nbconvert, schedulers, batch jobs</t>
        </is>
      </c>
      <c r="AF12" s="18" t="inlineStr">
        <is>
          <t>nbconvert, notebook to script, reproducibility, remote kernels</t>
        </is>
      </c>
      <c r="AG12" s="18" t="inlineStr">
        <is>
          <t>Quarto parameters | Plain script with arguments | Scheduler runs</t>
        </is>
      </c>
      <c r="AH12" s="17" t="n"/>
      <c r="AI12" s="18" t="inlineStr">
        <is>
          <t>Reporting | Batch runs | Customer work</t>
        </is>
      </c>
      <c r="AJ12" s="18" t="inlineStr">
        <is>
          <t>A: I copied the notebook for each customer. | B: Parameterise it and run one template many times.</t>
        </is>
      </c>
      <c r="AK12" s="18" t="inlineStr">
        <is>
          <t>✗ You must copy a notebook to reuse it with new values → ✓ Parameters let one template run many times</t>
        </is>
      </c>
      <c r="AL12" s="18" t="inlineStr">
        <is>
          <t>Parameters cell vs code edit: tagged inputs versus changing analysis code by hand.</t>
        </is>
      </c>
      <c r="AM12" s="18" t="inlineStr">
        <is>
          <t>Do not scatter input values through the notebook.</t>
        </is>
      </c>
      <c r="AN12" s="19" t="inlineStr">
        <is>
          <t>month = "2026-03"   # edited by hand in many cells</t>
        </is>
      </c>
      <c r="AO12" s="19" t="inlineStr">
        <is>
          <t>papermill report.ipynb out.ipynb -p month 2026-03</t>
        </is>
      </c>
      <c r="AP12" s="18" t="inlineStr">
        <is>
          <t>One dial cell, many runs.</t>
        </is>
      </c>
      <c r="AQ12" s="18" t="inlineStr">
        <is>
          <t>Parameterising a weekly report removed hours of copy and paste for a support team.</t>
        </is>
      </c>
      <c r="AR12" s="18" t="inlineStr">
        <is>
          <t>An interviewer may ask: How do you run one notebook for many inputs?</t>
        </is>
      </c>
      <c r="AS12" s="18" t="inlineStr">
        <is>
          <t>It is like a washing machine that runs the same cycle with different settings.</t>
        </is>
      </c>
      <c r="AT12" s="18" t="inlineStr">
        <is>
          <t>What does papermill do with a parameters cell?</t>
        </is>
      </c>
      <c r="AU12" s="18" t="inlineStr">
        <is>
          <t>A) Encrypts it B) Overrides its values C) Hides it D) Deletes it</t>
        </is>
      </c>
      <c r="AV12" s="18" t="inlineStr">
        <is>
          <t>B</t>
        </is>
      </c>
      <c r="AW12" s="18" t="inlineStr">
        <is>
          <t>Supplied values replace the defaults for that run.</t>
        </is>
      </c>
      <c r="AX12" s="19" t="inlineStr">
        <is>
          <t>Papermill saves each run as a separate executed ____ → notebook</t>
        </is>
      </c>
      <c r="AY12" s="18" t="inlineStr">
        <is>
          <t>Run report.ipynb with region east and save it as east.ipynb.</t>
        </is>
      </c>
      <c r="AZ12" s="19" t="inlineStr">
        <is>
          <t>papermill report.ipynb east.ipynb -p region east</t>
        </is>
      </c>
      <c r="BA12" s="18" t="inlineStr">
        <is>
          <t>Pick one repeated report and list the three values you would turn into parameters.</t>
        </is>
      </c>
      <c r="BB12" s="19" t="inlineStr">
        <is>
          <t>Why keep parameters in one cell?</t>
        </is>
      </c>
      <c r="BC12" s="19" t="inlineStr">
        <is>
          <t>One place makes values easy to find, override and record.</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35" customHeight="1">
      <c r="A13" s="17" t="inlineStr">
        <is>
          <t>JUP-021</t>
        </is>
      </c>
      <c r="B13" s="17" t="inlineStr">
        <is>
          <t>03 Good practice</t>
        </is>
      </c>
      <c r="C13" s="17" t="inlineStr">
        <is>
          <t>Advanced</t>
        </is>
      </c>
      <c r="D13" s="17" t="n">
        <v>21</v>
      </c>
      <c r="E13" s="17" t="inlineStr">
        <is>
          <t>Claude knowledge</t>
        </is>
      </c>
      <c r="F13" s="18" t="inlineStr">
        <is>
          <t>Notebook to script</t>
        </is>
      </c>
      <c r="G13" s="18" t="inlineStr">
        <is>
          <t>When and how do you move notebook code into a plain script or module?</t>
        </is>
      </c>
      <c r="H13" s="17" t="n"/>
      <c r="I13" s="18" t="inlineStr">
        <is>
          <t>Workflow</t>
        </is>
      </c>
      <c r="J13" s="18" t="inlineStr">
        <is>
          <t>High</t>
        </is>
      </c>
      <c r="K13" s="18" t="n">
        <v>5</v>
      </c>
      <c r="L13" s="18" t="inlineStr">
        <is>
          <t>Notebooks are good for exploring, but stable logic belongs in tested files that run the same way every time.</t>
        </is>
      </c>
      <c r="M13" s="18" t="inlineStr">
        <is>
          <t>Move code into functions in a module as soon as you reuse it twice.</t>
        </is>
      </c>
      <c r="N13" s="17" t="n"/>
      <c r="O13" s="18" t="inlineStr">
        <is>
          <t>The notebook is the sketchpad and the module is the finished blueprint.</t>
        </is>
      </c>
      <c r="P13" s="18" t="inlineStr">
        <is>
          <t>Functions moving from a notebook cell into a file imported back into the notebook.</t>
        </is>
      </c>
      <c r="Q13" s="18" t="inlineStr">
        <is>
          <t>The pride of turning a rough sketch into solid code.</t>
        </is>
      </c>
      <c r="R13" s="18" t="inlineStr">
        <is>
          <t>Promoting notebook code means placing stable logic into functions inside a normal file, importing them in the notebook, and running the file from the command line or a scheduler.</t>
        </is>
      </c>
      <c r="S13" s="17" t="n"/>
      <c r="T13" s="19" t="inlineStr">
        <is>
          <t># clean.py
def remove_blanks(rows):
    return [r for r in rows if r.strip()]
# in the notebook
from clean import remove_blanks
print(remove_blanks(["a", "", "b"]))</t>
        </is>
      </c>
      <c r="U13" s="19" t="inlineStr">
        <is>
          <t>['a', 'b']</t>
        </is>
      </c>
      <c r="V13" s="18" t="inlineStr">
        <is>
          <t>Keep the notebook for exploring and explaining, and import the logic from a module. Functions in files can be tested, reviewed and reused. When the whole flow is ready, convert it with nbconvert or rewrite it as a command-line script, then schedule that script. In the notebook, the autoreload extension reloads edited modules without restarting the kernel.</t>
        </is>
      </c>
      <c r="W13" s="18" t="inlineStr">
        <is>
          <t>Put reusable code in a file and import it, and keep the notebook for the story.</t>
        </is>
      </c>
      <c r="X13" s="18" t="inlineStr">
        <is>
          <t>The notebook is the sketchpad and the module is the finished blueprint.</t>
        </is>
      </c>
      <c r="Y13" s="19" t="inlineStr">
        <is>
          <t>from module import function</t>
        </is>
      </c>
      <c r="Z13" s="18" t="inlineStr">
        <is>
          <t>module = a python file | import = bring in | function = reusable step</t>
        </is>
      </c>
      <c r="AA13" s="19" t="inlineStr">
        <is>
          <t>A cleaning function moved into clean.py.</t>
        </is>
      </c>
      <c r="AB13" s="19" t="inlineStr">
        <is>
          <t>A scheduled script built from a finished notebook.</t>
        </is>
      </c>
      <c r="AC13" s="19" t="inlineStr">
        <is>
          <t>Autoreload picking up an edited module.</t>
        </is>
      </c>
      <c r="AD13" s="19" t="inlineStr">
        <is>
          <t>%load_ext autoreload
%autoreload 2   // reload edited modules automatically</t>
        </is>
      </c>
      <c r="AE13" s="18" t="inlineStr">
        <is>
          <t>Modules, tests, schedulers</t>
        </is>
      </c>
      <c r="AF13" s="18" t="inlineStr">
        <is>
          <t>testing notebook code, nbconvert, parameterised notebooks, performance and memory</t>
        </is>
      </c>
      <c r="AG13" s="18" t="inlineStr">
        <is>
          <t>nbconvert --to script | Rewrite as a command-line tool</t>
        </is>
      </c>
      <c r="AH13" s="17" t="n"/>
      <c r="AI13" s="18" t="inlineStr">
        <is>
          <t>Production hand-off | Teams | Pipelines</t>
        </is>
      </c>
      <c r="AJ13" s="18" t="inlineStr">
        <is>
          <t>A: Our nightly job runs a notebook and fails often. | B: Move the logic into a tested script and keep the notebook for reports.</t>
        </is>
      </c>
      <c r="AK13" s="18" t="inlineStr">
        <is>
          <t>✗ A notebook is fine as a long-term production job → ✓ Stable logic belongs in tested modules</t>
        </is>
      </c>
      <c r="AL13" s="18" t="inlineStr">
        <is>
          <t>Module vs notebook: reusable tested code versus exploratory narrative.</t>
        </is>
      </c>
      <c r="AM13" s="18" t="inlineStr">
        <is>
          <t>Do not copy the same code between notebooks.</t>
        </is>
      </c>
      <c r="AN13" s="19" t="inlineStr">
        <is>
          <t># same cleaning code pasted into five notebooks</t>
        </is>
      </c>
      <c r="AO13" s="19" t="inlineStr">
        <is>
          <t>from clean import remove_blanks</t>
        </is>
      </c>
      <c r="AP13" s="18" t="inlineStr">
        <is>
          <t>Explore in notebooks, build in modules.</t>
        </is>
      </c>
      <c r="AQ13" s="18" t="inlineStr">
        <is>
          <t>Moving cleaning logic into a module let a team test it and reuse it in a nightly job.</t>
        </is>
      </c>
      <c r="AR13" s="18" t="inlineStr">
        <is>
          <t>An interviewer may ask: How do you take notebook code to production?</t>
        </is>
      </c>
      <c r="AS13" s="18" t="inlineStr">
        <is>
          <t>It is like turning a pencil sketch into a printed blueprint.</t>
        </is>
      </c>
      <c r="AT13" s="18" t="inlineStr">
        <is>
          <t>Where should stable reusable logic live?</t>
        </is>
      </c>
      <c r="AU13" s="18" t="inlineStr">
        <is>
          <t>A) In a tested module B) In one huge cell C) In a comment D) In a chart title</t>
        </is>
      </c>
      <c r="AV13" s="18" t="inlineStr">
        <is>
          <t>A</t>
        </is>
      </c>
      <c r="AW13" s="18" t="inlineStr">
        <is>
          <t>Modules can be tested, reviewed and reused.</t>
        </is>
      </c>
      <c r="AX13" s="19" t="inlineStr">
        <is>
          <t>Reloading edited modules without a restart uses the ____ extension → autoreload</t>
        </is>
      </c>
      <c r="AY13" s="18" t="inlineStr">
        <is>
          <t>Import a function named clean_rows from a file called tools.py.</t>
        </is>
      </c>
      <c r="AZ13" s="19" t="inlineStr">
        <is>
          <t>from tools import clean_rows</t>
        </is>
      </c>
      <c r="BA13" s="18" t="inlineStr">
        <is>
          <t>Pick three repeated cells in one notebook and name the functions you would extract.</t>
        </is>
      </c>
      <c r="BB13" s="19" t="inlineStr">
        <is>
          <t>Why move code out of the notebook?</t>
        </is>
      </c>
      <c r="BC13" s="19" t="inlineStr">
        <is>
          <t>Files can be tested, reviewed and reused, which notebooks make harder.</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21.5" customHeight="1">
      <c r="A14" s="17" t="inlineStr">
        <is>
          <t>JUP-022</t>
        </is>
      </c>
      <c r="B14" s="17" t="inlineStr">
        <is>
          <t>04 Advanced</t>
        </is>
      </c>
      <c r="C14" s="17" t="inlineStr">
        <is>
          <t>Advanced</t>
        </is>
      </c>
      <c r="D14" s="17" t="n">
        <v>22</v>
      </c>
      <c r="E14" s="17" t="inlineStr">
        <is>
          <t>Claude knowledge</t>
        </is>
      </c>
      <c r="F14" s="18" t="inlineStr">
        <is>
          <t>Widgets</t>
        </is>
      </c>
      <c r="G14" s="18" t="inlineStr">
        <is>
          <t>How do you add sliders and buttons that change results in a notebook?</t>
        </is>
      </c>
      <c r="H14" s="17" t="n"/>
      <c r="I14" s="18" t="inlineStr">
        <is>
          <t>Library</t>
        </is>
      </c>
      <c r="J14" s="18" t="inlineStr">
        <is>
          <t>Medium</t>
        </is>
      </c>
      <c r="K14" s="18" t="n">
        <v>3</v>
      </c>
      <c r="L14" s="18" t="inlineStr">
        <is>
          <t>Exploring settings by editing and rerunning code is slow, so widgets give interactive controls.</t>
        </is>
      </c>
      <c r="M14" s="18" t="inlineStr">
        <is>
          <t>Use widgets for exploring and teaching, not as a way to build a full application.</t>
        </is>
      </c>
      <c r="N14" s="17" t="n"/>
      <c r="O14" s="18" t="inlineStr">
        <is>
          <t>Widgets are the volume knobs on your analysis.</t>
        </is>
      </c>
      <c r="P14" s="18" t="inlineStr">
        <is>
          <t>A slider above a chart that redraws as it moves.</t>
        </is>
      </c>
      <c r="Q14" s="18" t="inlineStr">
        <is>
          <t>The delight of watching a result react to a slider.</t>
        </is>
      </c>
      <c r="R14" s="18" t="inlineStr">
        <is>
          <t>The ipywidgets library adds interactive controls, such as sliders, dropdowns and buttons, that call a Python function whenever their value changes.</t>
        </is>
      </c>
      <c r="S14" s="17" t="n"/>
      <c r="T14" s="19" t="inlineStr">
        <is>
          <t>from ipywidgets import interact
def show(power):
    print(2 ** power)
interact(show, power=(1, 10))</t>
        </is>
      </c>
      <c r="U14" s="19" t="inlineStr">
        <is>
          <t>A slider from 1 to 10 and a printed value that updates as the slider moves.</t>
        </is>
      </c>
      <c r="V14" s="18" t="inlineStr">
        <is>
          <t>The interact helper turns function arguments into controls. For more control, create widgets and link them with observers. Widgets need a running kernel, so they do not work in a static HTML export. They are helpful for exploring parameters and teaching, but a separate app framework is better for end users. Support depends on the interface and extensions installed.</t>
        </is>
      </c>
      <c r="W14" s="18" t="inlineStr">
        <is>
          <t>Add a slider or dropdown that reruns a function when you move it.</t>
        </is>
      </c>
      <c r="X14" s="18" t="inlineStr">
        <is>
          <t>Widgets are the volume knobs on your analysis.</t>
        </is>
      </c>
      <c r="Y14" s="19" t="inlineStr">
        <is>
          <t>interact(function, arg=(min, max))</t>
        </is>
      </c>
      <c r="Z14" s="18" t="inlineStr">
        <is>
          <t>interact = helper | function = what to run | arg = control | (min, max) = slider range</t>
        </is>
      </c>
      <c r="AA14" s="19" t="inlineStr">
        <is>
          <t>A slider that changes a chart threshold.</t>
        </is>
      </c>
      <c r="AB14" s="19" t="inlineStr">
        <is>
          <t>A dropdown that selects a region.</t>
        </is>
      </c>
      <c r="AC14" s="19" t="inlineStr">
        <is>
          <t>A button that reloads a sample.</t>
        </is>
      </c>
      <c r="AD14" s="19" t="inlineStr">
        <is>
          <t>widgets.IntSlider()   // create a control by hand</t>
        </is>
      </c>
      <c r="AE14" s="18" t="inlineStr">
        <is>
          <t>ipywidgets, plotting, teaching</t>
        </is>
      </c>
      <c r="AF14" s="18" t="inlineStr">
        <is>
          <t>plotting inline, displaying data, sharing, hosted notebooks</t>
        </is>
      </c>
      <c r="AG14" s="18" t="inlineStr">
        <is>
          <t>Streamlit | Dash | Voila</t>
        </is>
      </c>
      <c r="AH14" s="17" t="n"/>
      <c r="AI14" s="18" t="inlineStr">
        <is>
          <t>Exploration | Teaching | Demos</t>
        </is>
      </c>
      <c r="AJ14" s="18" t="inlineStr">
        <is>
          <t>A: Can the client move the slider in the HTML report? | B: No, widgets need a live kernel, so use an app tool instead.</t>
        </is>
      </c>
      <c r="AK14" s="18" t="inlineStr">
        <is>
          <t>✗ Widgets work in any exported file → ✓ Most need a running kernel</t>
        </is>
      </c>
      <c r="AL14" s="18" t="inlineStr">
        <is>
          <t>Widgets vs dashboards: controls inside a notebook versus a separate app.</t>
        </is>
      </c>
      <c r="AM14" s="18" t="inlineStr">
        <is>
          <t>Do not build a customer-facing product out of widgets alone.</t>
        </is>
      </c>
      <c r="AN14" s="19" t="inlineStr">
        <is>
          <t>interact(show)   # no range for the argument</t>
        </is>
      </c>
      <c r="AO14" s="19" t="inlineStr">
        <is>
          <t>interact(show, power=(1, 10))</t>
        </is>
      </c>
      <c r="AP14" s="18" t="inlineStr">
        <is>
          <t>Give the function in, get a knob out.</t>
        </is>
      </c>
      <c r="AQ14" s="18" t="inlineStr">
        <is>
          <t>A slider helped a client explore a threshold live during a workshop.</t>
        </is>
      </c>
      <c r="AR14" s="18" t="inlineStr">
        <is>
          <t>An interviewer may ask: How can a notebook be made interactive?</t>
        </is>
      </c>
      <c r="AS14" s="18" t="inlineStr">
        <is>
          <t>It is like adding a dial to a radio to tune it.</t>
        </is>
      </c>
      <c r="AT14" s="18" t="inlineStr">
        <is>
          <t>What do widgets need to work?</t>
        </is>
      </c>
      <c r="AU14" s="18" t="inlineStr">
        <is>
          <t>A) A printer B) No code C) A static export D) A running kernel</t>
        </is>
      </c>
      <c r="AV14" s="18" t="inlineStr">
        <is>
          <t>D</t>
        </is>
      </c>
      <c r="AW14" s="18" t="inlineStr">
        <is>
          <t>Changes call Python code in the live kernel.</t>
        </is>
      </c>
      <c r="AX14" s="19" t="inlineStr">
        <is>
          <t>The helper that turns arguments into controls is called ____ → interact</t>
        </is>
      </c>
      <c r="AY14" s="18" t="inlineStr">
        <is>
          <t>Add a slider from 0 to 5 for an argument named n.</t>
        </is>
      </c>
      <c r="AZ14" s="19" t="inlineStr">
        <is>
          <t>interact(show, n=(0, 5))</t>
        </is>
      </c>
      <c r="BA14" s="18" t="inlineStr">
        <is>
          <t>Design a slider-driven check for one threshold in your own analysis.</t>
        </is>
      </c>
      <c r="BB14" s="19" t="inlineStr">
        <is>
          <t>Why do widgets not work in a plain HTML export?</t>
        </is>
      </c>
      <c r="BC14" s="19" t="inlineStr">
        <is>
          <t>They call Python in a live kernel, which a static file lacks.</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21.5" customHeight="1">
      <c r="A15" s="17" t="inlineStr">
        <is>
          <t>JUP-023</t>
        </is>
      </c>
      <c r="B15" s="17" t="inlineStr">
        <is>
          <t>04 Advanced</t>
        </is>
      </c>
      <c r="C15" s="17" t="inlineStr">
        <is>
          <t>Advanced</t>
        </is>
      </c>
      <c r="D15" s="17" t="n">
        <v>23</v>
      </c>
      <c r="E15" s="17" t="inlineStr">
        <is>
          <t>Claude knowledge</t>
        </is>
      </c>
      <c r="F15" s="18" t="inlineStr">
        <is>
          <t>Remote kernels</t>
        </is>
      </c>
      <c r="G15" s="18" t="inlineStr">
        <is>
          <t>How do you run notebook code on a more powerful or secure machine?</t>
        </is>
      </c>
      <c r="H15" s="17" t="n"/>
      <c r="I15" s="18" t="inlineStr">
        <is>
          <t>Setup</t>
        </is>
      </c>
      <c r="J15" s="18" t="inlineStr">
        <is>
          <t>Medium</t>
        </is>
      </c>
      <c r="K15" s="18" t="n">
        <v>4</v>
      </c>
      <c r="L15" s="18" t="inlineStr">
        <is>
          <t>Laptops lack the power or data access that servers have, so notebooks often run against a remote machine.</t>
        </is>
      </c>
      <c r="M15" s="18" t="inlineStr">
        <is>
          <t>Use an SSH tunnel and a token rather than exposing a notebook server to the open internet.</t>
        </is>
      </c>
      <c r="N15" s="17" t="n"/>
      <c r="O15" s="18" t="inlineStr">
        <is>
          <t>A remote kernel is a long cable from your laptop screen to a bigger engine room.</t>
        </is>
      </c>
      <c r="P15" s="18" t="inlineStr">
        <is>
          <t>A laptop browser linked through a tunnel to a server running a kernel.</t>
        </is>
      </c>
      <c r="Q15" s="18" t="inlineStr">
        <is>
          <t>The comfort of power on demand with data kept safe.</t>
        </is>
      </c>
      <c r="R15" s="18" t="inlineStr">
        <is>
          <t>Running the server on another machine and connecting through an SSH tunnel lets you work in your local browser while the code and data stay on the remote host.</t>
        </is>
      </c>
      <c r="S15" s="17" t="n"/>
      <c r="T15" s="19" t="inlineStr">
        <is>
          <t>ssh -L 8888:localhost:8888 user@server
jupyter lab --no-browser --port 8888</t>
        </is>
      </c>
      <c r="U15" s="19" t="inlineStr">
        <is>
          <t>A server message with a local address and a token to open in your browser.</t>
        </is>
      </c>
      <c r="V15" s="18" t="inlineStr">
        <is>
          <t>The first command forwards your local port 8888 to the server. The second starts JupyterLab on the server without opening a browser. Open the printed address on your laptop and paste the token when asked. Never expose the notebook port directly on a public network, because anyone who reaches it can run code. Use the SSH tunnel or an approved company gateway.</t>
        </is>
      </c>
      <c r="W15" s="18" t="inlineStr">
        <is>
          <t>Run the server on the big machine and view it safely through a tunnel.</t>
        </is>
      </c>
      <c r="X15" s="18" t="inlineStr">
        <is>
          <t>A remote kernel is a long cable from your laptop screen to a bigger engine room.</t>
        </is>
      </c>
      <c r="Y15" s="19" t="inlineStr">
        <is>
          <t>ssh -L local:localhost:remote user@host</t>
        </is>
      </c>
      <c r="Z15" s="18" t="inlineStr">
        <is>
          <t>-L = forward a port | 8888 = port number | user@host = remote login</t>
        </is>
      </c>
      <c r="AA15" s="19" t="inlineStr">
        <is>
          <t>Using a company server with a graphics card.</t>
        </is>
      </c>
      <c r="AB15" s="19" t="inlineStr">
        <is>
          <t>Working near data that must not leave a secure network.</t>
        </is>
      </c>
      <c r="AC15" s="19" t="inlineStr">
        <is>
          <t>Reconnecting to a long job after closing the laptop.</t>
        </is>
      </c>
      <c r="AD15" s="19" t="inlineStr">
        <is>
          <t>tmux on the server   // keeps the session alive after disconnects</t>
        </is>
      </c>
      <c r="AE15" s="18" t="inlineStr">
        <is>
          <t>SSH, tmux, JupyterHub</t>
        </is>
      </c>
      <c r="AF15" s="18" t="inlineStr">
        <is>
          <t>kernels, hosted notebooks, performance and memory, secrets in notebooks</t>
        </is>
      </c>
      <c r="AG15" s="18" t="inlineStr">
        <is>
          <t>JupyterHub | VS Code remote | Hosted platform</t>
        </is>
      </c>
      <c r="AH15" s="17" t="n"/>
      <c r="AI15" s="18" t="inlineStr">
        <is>
          <t>Secure data work | Heavy models | Shared servers</t>
        </is>
      </c>
      <c r="AJ15" s="18" t="inlineStr">
        <is>
          <t>A: Can I open the server port to everyone for the demo? | B: No, use an SSH tunnel so only you can connect.</t>
        </is>
      </c>
      <c r="AK15" s="18" t="inlineStr">
        <is>
          <t>✗ A notebook server is safe on a public port → ✓ Anyone who reaches it can run code</t>
        </is>
      </c>
      <c r="AL15" s="18" t="inlineStr">
        <is>
          <t>Remote kernel vs hosted notebook: your own server versus a provider's service.</t>
        </is>
      </c>
      <c r="AM15" s="18" t="inlineStr">
        <is>
          <t>Do not expose a notebook server to the internet without proper protection.</t>
        </is>
      </c>
      <c r="AN15" s="19" t="inlineStr">
        <is>
          <t>jupyter lab --ip=0.0.0.0   # open to every network</t>
        </is>
      </c>
      <c r="AO15" s="19" t="inlineStr">
        <is>
          <t>ssh -L 8888:localhost:8888 user@server</t>
        </is>
      </c>
      <c r="AP15" s="18" t="inlineStr">
        <is>
          <t>Tunnel in, never open the port.</t>
        </is>
      </c>
      <c r="AQ15" s="18" t="inlineStr">
        <is>
          <t>A tunnel let an engineer analyse data that could not leave the customer's network.</t>
        </is>
      </c>
      <c r="AR15" s="18" t="inlineStr">
        <is>
          <t>An interviewer may ask: How do you use a notebook on a remote server securely?</t>
        </is>
      </c>
      <c r="AS15" s="18" t="inlineStr">
        <is>
          <t>It is like controlling a far-away computer through a private line.</t>
        </is>
      </c>
      <c r="AT15" s="18" t="inlineStr">
        <is>
          <t>Which method safely reaches a remote notebook server?</t>
        </is>
      </c>
      <c r="AU15" s="18" t="inlineStr">
        <is>
          <t>A) Disabling the token B) An SSH tunnel C) A shared password in chat D) An open public port</t>
        </is>
      </c>
      <c r="AV15" s="18" t="inlineStr">
        <is>
          <t>B</t>
        </is>
      </c>
      <c r="AW15" s="18" t="inlineStr">
        <is>
          <t>A tunnel keeps the port private to the connecting user.</t>
        </is>
      </c>
      <c r="AX15" s="19" t="inlineStr">
        <is>
          <t>The ssh flag that forwards a local port is -____ → L</t>
        </is>
      </c>
      <c r="AY15" s="18" t="inlineStr">
        <is>
          <t>Forward local port 9999 to port 9999 on host dev.</t>
        </is>
      </c>
      <c r="AZ15" s="19" t="inlineStr">
        <is>
          <t>ssh -L 9999:localhost:9999 user@dev</t>
        </is>
      </c>
      <c r="BA15" s="18" t="inlineStr">
        <is>
          <t>Write the steps and security checks for working on a customer's server.</t>
        </is>
      </c>
      <c r="BB15" s="19" t="inlineStr">
        <is>
          <t>Why avoid exposing the notebook port publicly?</t>
        </is>
      </c>
      <c r="BC15" s="19" t="inlineStr">
        <is>
          <t>Anyone who reaches it could run code on the server.</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21.5" customHeight="1">
      <c r="A16" s="17" t="inlineStr">
        <is>
          <t>JUP-024</t>
        </is>
      </c>
      <c r="B16" s="17" t="inlineStr">
        <is>
          <t>04 Advanced</t>
        </is>
      </c>
      <c r="C16" s="17" t="inlineStr">
        <is>
          <t>Advanced</t>
        </is>
      </c>
      <c r="D16" s="17" t="n">
        <v>24</v>
      </c>
      <c r="E16" s="17" t="inlineStr">
        <is>
          <t>Claude knowledge</t>
        </is>
      </c>
      <c r="F16" s="18" t="inlineStr">
        <is>
          <t>Performance and memory</t>
        </is>
      </c>
      <c r="G16" s="18" t="inlineStr">
        <is>
          <t>How do you find out why a notebook is slow or runs out of memory?</t>
        </is>
      </c>
      <c r="H16" s="17" t="n"/>
      <c r="I16" s="18" t="inlineStr">
        <is>
          <t>Practice</t>
        </is>
      </c>
      <c r="J16" s="18" t="inlineStr">
        <is>
          <t>Medium</t>
        </is>
      </c>
      <c r="K16" s="18" t="n">
        <v>4</v>
      </c>
      <c r="L16" s="18" t="inlineStr">
        <is>
          <t>Large files and slow loops make notebooks freeze, and the kernel keeps every object in memory until told otherwise.</t>
        </is>
      </c>
      <c r="M16" s="18" t="inlineStr">
        <is>
          <t>Measure first with time and memory checks, then fix the slowest part only.</t>
        </is>
      </c>
      <c r="N16" s="17" t="n"/>
      <c r="O16" s="18" t="inlineStr">
        <is>
          <t>Speeding up code without measuring is repairing a car without finding the fault.</t>
        </is>
      </c>
      <c r="P16" s="18" t="inlineStr">
        <is>
          <t>A timer next to a memory gauge for a large table.</t>
        </is>
      </c>
      <c r="Q16" s="18" t="inlineStr">
        <is>
          <t>The relief when a stuck notebook finally moves.</t>
        </is>
      </c>
      <c r="R16" s="18" t="inlineStr">
        <is>
          <t>Performance work starts by timing steps and checking memory use, then reducing data early, using faster formats, and freeing objects you no longer need.</t>
        </is>
      </c>
      <c r="S16" s="17" t="n"/>
      <c r="T16" s="19" t="inlineStr">
        <is>
          <t>import sys
data = list(range(1000000))
print(sys.getsizeof(data) &gt; 1000)
del data
import gc
gc.collect()
print("freed")</t>
        </is>
      </c>
      <c r="U16" s="19" t="inlineStr">
        <is>
          <t>True
freed</t>
        </is>
      </c>
      <c r="V16" s="18" t="inlineStr">
        <is>
          <t>Use the time magics to find the slow cell. Check the size of tables before copying them. Load only the columns and rows you need, read big files in chunks, and sample while developing. Delete large variables you no longer need, or restart the kernel. Faster file formats, such as columnar ones, reduce load time. Do not optimise a step that takes seconds.</t>
        </is>
      </c>
      <c r="W16" s="18" t="inlineStr">
        <is>
          <t>Time it, size it, then shrink or free the biggest part.</t>
        </is>
      </c>
      <c r="X16" s="18" t="inlineStr">
        <is>
          <t>Speeding up code without measuring is repairing a car without finding the fault.</t>
        </is>
      </c>
      <c r="Y16" s="19" t="inlineStr">
        <is>
          <t>%%time | del name | gc.collect()</t>
        </is>
      </c>
      <c r="Z16" s="18" t="inlineStr">
        <is>
          <t>%%time = measure | del = drop the name | gc.collect = free unused objects</t>
        </is>
      </c>
      <c r="AA16" s="19" t="inlineStr">
        <is>
          <t>Reading only three columns from a wide file.</t>
        </is>
      </c>
      <c r="AB16" s="19" t="inlineStr">
        <is>
          <t>Sampling ten percent of rows while developing.</t>
        </is>
      </c>
      <c r="AC16" s="19" t="inlineStr">
        <is>
          <t>Deleting a large table after summarising it.</t>
        </is>
      </c>
      <c r="AD16" s="19" t="inlineStr">
        <is>
          <t>pd.read_csv(chunksize=...)   // read a large file in pieces</t>
        </is>
      </c>
      <c r="AE16" s="18" t="inlineStr">
        <is>
          <t>pandas, timing magics, columnar formats</t>
        </is>
      </c>
      <c r="AF16" s="18" t="inlineStr">
        <is>
          <t>magic commands, displaying data, remote kernels, notebook to script</t>
        </is>
      </c>
      <c r="AG16" s="18" t="inlineStr">
        <is>
          <t>Profilers | Remote machines | Faster libraries</t>
        </is>
      </c>
      <c r="AH16" s="17" t="n"/>
      <c r="AI16" s="18" t="inlineStr">
        <is>
          <t>Large data | Slow notebooks | Hosted notebooks</t>
        </is>
      </c>
      <c r="AJ16" s="18" t="inlineStr">
        <is>
          <t>A: The kernel keeps dying on this file. | B: It may be running out of memory, so load fewer columns or read in chunks.</t>
        </is>
      </c>
      <c r="AK16" s="18" t="inlineStr">
        <is>
          <t>✗ A bigger laptop is the only fix for a slow notebook → ✓ Loading less data and measuring often helps more</t>
        </is>
      </c>
      <c r="AL16" s="18" t="inlineStr">
        <is>
          <t>Time problem vs memory problem: slow steps versus too much data held at once.</t>
        </is>
      </c>
      <c r="AM16" s="18" t="inlineStr">
        <is>
          <t>Do not copy a huge table many times in memory.</t>
        </is>
      </c>
      <c r="AN16" s="19" t="inlineStr">
        <is>
          <t>df2 = df.copy()
df3 = df.copy()   # many copies of a huge table</t>
        </is>
      </c>
      <c r="AO16" s="19" t="inlineStr">
        <is>
          <t>df = df[["city", "sales"]]</t>
        </is>
      </c>
      <c r="AP16" s="18" t="inlineStr">
        <is>
          <t>Measure it, shrink it, then free it.</t>
        </is>
      </c>
      <c r="AQ16" s="18" t="inlineStr">
        <is>
          <t>Reading only the needed columns made a slow load much faster.</t>
        </is>
      </c>
      <c r="AR16" s="18" t="inlineStr">
        <is>
          <t>An interviewer may ask: How do you debug a notebook that runs out of memory?</t>
        </is>
      </c>
      <c r="AS16" s="18" t="inlineStr">
        <is>
          <t>It is like clearing a crowded desk so you can work.</t>
        </is>
      </c>
      <c r="AT16" s="18" t="inlineStr">
        <is>
          <t>What should you do before optimising a slow notebook?</t>
        </is>
      </c>
      <c r="AU16" s="18" t="inlineStr">
        <is>
          <t>A) Rewrite everything B) Delete the notebook C) Measure the slow step D) Buy new hardware</t>
        </is>
      </c>
      <c r="AV16" s="18" t="inlineStr">
        <is>
          <t>C</t>
        </is>
      </c>
      <c r="AW16" s="18" t="inlineStr">
        <is>
          <t>Measuring shows where time is actually going.</t>
        </is>
      </c>
      <c r="AX16" s="19" t="inlineStr">
        <is>
          <t>Reading a large file in pieces is called reading in ____ → chunks</t>
        </is>
      </c>
      <c r="AY16" s="18" t="inlineStr">
        <is>
          <t>Delete a variable named big and free memory.</t>
        </is>
      </c>
      <c r="AZ16" s="19" t="inlineStr">
        <is>
          <t>import gc
del big
gc.collect()</t>
        </is>
      </c>
      <c r="BA16" s="18" t="inlineStr">
        <is>
          <t>List the three first checks you would run on a slow notebook.</t>
        </is>
      </c>
      <c r="BB16" s="19" t="inlineStr">
        <is>
          <t>Why load only the columns you need?</t>
        </is>
      </c>
      <c r="BC16" s="19" t="inlineStr">
        <is>
          <t>Fewer columns means less memory used and faster loading.</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35" customHeight="1">
      <c r="A17" s="17" t="inlineStr">
        <is>
          <t>JUP-025</t>
        </is>
      </c>
      <c r="B17" s="17" t="inlineStr">
        <is>
          <t>04 Advanced</t>
        </is>
      </c>
      <c r="C17" s="17" t="inlineStr">
        <is>
          <t>Advanced</t>
        </is>
      </c>
      <c r="D17" s="17" t="n">
        <v>25</v>
      </c>
      <c r="E17" s="17" t="inlineStr">
        <is>
          <t>Claude knowledge</t>
        </is>
      </c>
      <c r="F17" s="18" t="inlineStr">
        <is>
          <t>Testing notebook code</t>
        </is>
      </c>
      <c r="G17" s="18" t="inlineStr">
        <is>
          <t>How do you test logic that lives in a notebook?</t>
        </is>
      </c>
      <c r="H17" s="17" t="n"/>
      <c r="I17" s="18" t="inlineStr">
        <is>
          <t>Practice</t>
        </is>
      </c>
      <c r="J17" s="18" t="inlineStr">
        <is>
          <t>Medium</t>
        </is>
      </c>
      <c r="K17" s="18" t="n">
        <v>4</v>
      </c>
      <c r="L17" s="18" t="inlineStr">
        <is>
          <t>Untested notebook cells break quietly, so important logic should be checked automatically.</t>
        </is>
      </c>
      <c r="M17" s="18" t="inlineStr">
        <is>
          <t>Move logic into functions, then test the functions with pytest.</t>
        </is>
      </c>
      <c r="N17" s="17" t="n"/>
      <c r="O17" s="18" t="inlineStr">
        <is>
          <t>A test is a smoke alarm for the code you cannot watch all day.</t>
        </is>
      </c>
      <c r="P17" s="18" t="inlineStr">
        <is>
          <t>A test file running green checks next to a notebook.</t>
        </is>
      </c>
      <c r="Q17" s="18" t="inlineStr">
        <is>
          <t>The security of changes that are checked for you.</t>
        </is>
      </c>
      <c r="R17" s="18" t="inlineStr">
        <is>
          <t>Notebook code is tested by moving the logic into importable functions and checking them with a test runner, or by running the whole notebook automatically to catch errors.</t>
        </is>
      </c>
      <c r="S17" s="17" t="n"/>
      <c r="T17" s="19" t="inlineStr">
        <is>
          <t># test_clean.py
from clean import remove_blanks
def test_remove_blanks():
    assert remove_blanks(["a", "", "b"]) == ["a", "b"]
# run in a terminal
pytest -q</t>
        </is>
      </c>
      <c r="U17" s="19" t="inlineStr">
        <is>
          <t>1 passed</t>
        </is>
      </c>
      <c r="V17" s="18" t="inlineStr">
        <is>
          <t>Tests need importable code, which is why logic belongs in modules. Plain asserts inside a cell give quick checks while exploring. To check that a whole notebook still runs, execute it in an automated job with nbconvert or papermill, and fail the job on any error. Tools that run notebooks as tests exist too, but the function approach is usually simplest and clearest.</t>
        </is>
      </c>
      <c r="W17" s="18" t="inlineStr">
        <is>
          <t>Move logic into functions and test them, and run the whole notebook in automation.</t>
        </is>
      </c>
      <c r="X17" s="18" t="inlineStr">
        <is>
          <t>A test is a smoke alarm for the code you cannot watch all day.</t>
        </is>
      </c>
      <c r="Y17" s="19" t="inlineStr">
        <is>
          <t>def test_name(): assert result == expected</t>
        </is>
      </c>
      <c r="Z17" s="18" t="inlineStr">
        <is>
          <t>test_ = pytest finds it | assert = the check | == expected = the rule</t>
        </is>
      </c>
      <c r="AA17" s="19" t="inlineStr">
        <is>
          <t>A test for a cleaning function.</t>
        </is>
      </c>
      <c r="AB17" s="19" t="inlineStr">
        <is>
          <t>An automated run that fails on any cell error.</t>
        </is>
      </c>
      <c r="AC17" s="19" t="inlineStr">
        <is>
          <t>A quick assert inside an exploring cell.</t>
        </is>
      </c>
      <c r="AD17" s="19" t="inlineStr">
        <is>
          <t>assert in a cell   // quick check during exploration</t>
        </is>
      </c>
      <c r="AE17" s="18" t="inlineStr">
        <is>
          <t>pytest, nbconvert, CI pipelines</t>
        </is>
      </c>
      <c r="AF17" s="18" t="inlineStr">
        <is>
          <t>notebook to script, restart and run all, parameterised notebooks, reproducibility</t>
        </is>
      </c>
      <c r="AG17" s="18" t="inlineStr">
        <is>
          <t>nbval | testbook | Manual checks</t>
        </is>
      </c>
      <c r="AH17" s="17" t="n"/>
      <c r="AI17" s="18" t="inlineStr">
        <is>
          <t>Team projects | Pipelines | Production hand-off</t>
        </is>
      </c>
      <c r="AJ17" s="18" t="inlineStr">
        <is>
          <t>A: Someone changed the cleaning cell and the totals broke. | B: A small test on the function would have caught it.</t>
        </is>
      </c>
      <c r="AK17" s="18" t="inlineStr">
        <is>
          <t>✗ Notebook code cannot be tested → ✓ Move logic into functions or run the notebook in automation</t>
        </is>
      </c>
      <c r="AL17" s="18" t="inlineStr">
        <is>
          <t>Unit test vs notebook run: one function checked versus the whole notebook executed.</t>
        </is>
      </c>
      <c r="AM17" s="18" t="inlineStr">
        <is>
          <t>Do not leave key business logic only inside untested cells.</t>
        </is>
      </c>
      <c r="AN17" s="19" t="inlineStr">
        <is>
          <t>remove_blanks(["a", "", "b"])   # looked at by eye only</t>
        </is>
      </c>
      <c r="AO17" s="19" t="inlineStr">
        <is>
          <t>assert remove_blanks(["a", "", "b"]) == ["a", "b"]</t>
        </is>
      </c>
      <c r="AP17" s="18" t="inlineStr">
        <is>
          <t>Make it a function, then make it a test.</t>
        </is>
      </c>
      <c r="AQ17" s="18" t="inlineStr">
        <is>
          <t>A small test caught a changed filter before a report went to a customer.</t>
        </is>
      </c>
      <c r="AR17" s="18" t="inlineStr">
        <is>
          <t>An interviewer may ask: How do you test code in a notebook?</t>
        </is>
      </c>
      <c r="AS17" s="18" t="inlineStr">
        <is>
          <t>It is like fitting a smoke alarm in a room you cannot watch.</t>
        </is>
      </c>
      <c r="AT17" s="18" t="inlineStr">
        <is>
          <t>What makes notebook logic easy to test?</t>
        </is>
      </c>
      <c r="AU17" s="18" t="inlineStr">
        <is>
          <t>A) Longer cells B) Bigger charts C) Importable functions D) More outputs</t>
        </is>
      </c>
      <c r="AV17" s="18" t="inlineStr">
        <is>
          <t>C</t>
        </is>
      </c>
      <c r="AW17" s="18" t="inlineStr">
        <is>
          <t>Test tools can import and call functions directly.</t>
        </is>
      </c>
      <c r="AX17" s="19" t="inlineStr">
        <is>
          <t>The statement used to check a result in a test is ____ → assert</t>
        </is>
      </c>
      <c r="AY17" s="18" t="inlineStr">
        <is>
          <t>Write a test that checks double(2) equals 4.</t>
        </is>
      </c>
      <c r="AZ17" s="19" t="inlineStr">
        <is>
          <t>def test_double():
    assert double(2) == 4</t>
        </is>
      </c>
      <c r="BA17" s="18" t="inlineStr">
        <is>
          <t>Write one test for a function you currently have only in a notebook.</t>
        </is>
      </c>
      <c r="BB17" s="19" t="inlineStr">
        <is>
          <t>Why move logic into modules before testing it?</t>
        </is>
      </c>
      <c r="BC17" s="19" t="inlineStr">
        <is>
          <t>Tests can only import code that lives in importable files.</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sheetData>
  <autoFilter ref="A2:BN17"/>
  <mergeCells count="6">
    <mergeCell ref="AT1:BC1"/>
    <mergeCell ref="BD1:BE1"/>
    <mergeCell ref="F1:Q1"/>
    <mergeCell ref="A1:E1"/>
    <mergeCell ref="BF1:BN1"/>
    <mergeCell ref="R1:AS1"/>
  </mergeCells>
  <dataValidations count="2">
    <dataValidation sqref="BF3:BF17" showDropDown="0" showInputMessage="0" showErrorMessage="0" allowBlank="1" type="list">
      <formula1>"New,Learning,Known"</formula1>
    </dataValidation>
    <dataValidation sqref="BM3:BM17"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JUP-008</t>
        </is>
      </c>
    </row>
    <row r="4">
      <c r="A4" s="23" t="inlineStr">
        <is>
          <t>FRONT · Recognition (pehchano)</t>
        </is>
      </c>
    </row>
    <row r="5" ht="30" customHeight="1">
      <c r="A5" s="24" t="inlineStr">
        <is>
          <t>ID</t>
        </is>
      </c>
      <c r="B5" s="17">
        <f>INDEX('Code concept (56-pt) cards'!$A$3:$BN$17,MATCH($B$2,'Code concept (56-pt) cards'!$A$3:$A$17,0),MATCH("ID",'Code concept (56-pt) cards'!$A$2:$BN$2,0))&amp;""</f>
        <v/>
      </c>
    </row>
    <row r="6" ht="30" customHeight="1">
      <c r="A6" s="24" t="inlineStr">
        <is>
          <t>Topic</t>
        </is>
      </c>
      <c r="B6" s="17">
        <f>INDEX('Code concept (56-pt) cards'!$A$3:$BN$17,MATCH($B$2,'Code concept (56-pt) cards'!$A$3:$A$17,0),MATCH("Topic",'Code concept (56-pt) cards'!$A$2:$BN$2,0))&amp;""</f>
        <v/>
      </c>
    </row>
    <row r="7" ht="30" customHeight="1">
      <c r="A7" s="24" t="inlineStr">
        <is>
          <t>Level</t>
        </is>
      </c>
      <c r="B7" s="17">
        <f>INDEX('Code concept (56-pt) cards'!$A$3:$BN$17,MATCH($B$2,'Code concept (56-pt) cards'!$A$3:$A$17,0),MATCH("Level",'Code concept (56-pt) cards'!$A$2:$BN$2,0))&amp;""</f>
        <v/>
      </c>
    </row>
    <row r="8" ht="30" customHeight="1">
      <c r="A8" s="24" t="inlineStr">
        <is>
          <t>Concept</t>
        </is>
      </c>
      <c r="B8" s="17">
        <f>INDEX('Code concept (56-pt) cards'!$A$3:$BN$17,MATCH($B$2,'Code concept (56-pt) cards'!$A$3:$A$17,0),MATCH("Concept",'Code concept (56-pt) cards'!$A$2:$BN$2,0))&amp;""</f>
        <v/>
      </c>
    </row>
    <row r="9" ht="30" customHeight="1">
      <c r="A9" s="24" t="inlineStr">
        <is>
          <t>Recall cue</t>
        </is>
      </c>
      <c r="B9" s="17">
        <f>INDEX('Code concept (56-pt) cards'!$A$3:$BN$17,MATCH($B$2,'Code concept (56-pt) cards'!$A$3:$A$17,0),MATCH("Recall cue",'Code concept (56-pt) cards'!$A$2:$BN$2,0))&amp;""</f>
        <v/>
      </c>
    </row>
    <row r="10" ht="30" customHeight="1">
      <c r="A10" s="24" t="inlineStr">
        <is>
          <t>Read aloud</t>
        </is>
      </c>
      <c r="B10" s="17">
        <f>INDEX('Code concept (56-pt) cards'!$A$3:$BN$17,MATCH($B$2,'Code concept (56-pt) cards'!$A$3:$A$17,0),MATCH("Read aloud",'Code concept (56-pt) cards'!$A$2:$BN$2,0))&amp;""</f>
        <v/>
      </c>
    </row>
    <row r="11" ht="30" customHeight="1">
      <c r="A11" s="24" t="inlineStr">
        <is>
          <t>Type</t>
        </is>
      </c>
      <c r="B11" s="17">
        <f>INDEX('Code concept (56-pt) cards'!$A$3:$BN$17,MATCH($B$2,'Code concept (56-pt) cards'!$A$3:$A$17,0),MATCH("Type",'Code concept (56-pt) cards'!$A$2:$BN$2,0))&amp;""</f>
        <v/>
      </c>
    </row>
    <row r="12" ht="30" customHeight="1">
      <c r="A12" s="24" t="inlineStr">
        <is>
          <t>How often used</t>
        </is>
      </c>
      <c r="B12" s="17">
        <f>INDEX('Code concept (56-pt) cards'!$A$3:$BN$17,MATCH($B$2,'Code concept (56-pt) cards'!$A$3:$A$17,0),MATCH("How often used",'Code concept (56-pt) cards'!$A$2:$BN$2,0))&amp;""</f>
        <v/>
      </c>
    </row>
    <row r="13" ht="30" customHeight="1">
      <c r="A13" s="24" t="inlineStr">
        <is>
          <t>Importance (1-5)</t>
        </is>
      </c>
      <c r="B13" s="17">
        <f>INDEX('Code concept (56-pt) cards'!$A$3:$BN$17,MATCH($B$2,'Code concept (56-pt) cards'!$A$3:$A$17,0),MATCH("Importance (1-5)",'Code concept (56-pt) cards'!$A$2:$BN$2,0))&amp;""</f>
        <v/>
      </c>
    </row>
    <row r="14" ht="30" customHeight="1">
      <c r="A14" s="24" t="inlineStr">
        <is>
          <t>Origin / why it exists</t>
        </is>
      </c>
      <c r="B14" s="17">
        <f>INDEX('Code concept (56-pt) cards'!$A$3:$BN$17,MATCH($B$2,'Code concept (56-pt) cards'!$A$3:$A$17,0),MATCH("Origin / why it exists",'Code concept (56-pt) cards'!$A$2:$BN$2,0))&amp;""</f>
        <v/>
      </c>
    </row>
    <row r="15" ht="30" customHeight="1">
      <c r="A15" s="24" t="inlineStr">
        <is>
          <t>Pro tip</t>
        </is>
      </c>
      <c r="B15" s="17">
        <f>INDEX('Code concept (56-pt) cards'!$A$3:$BN$17,MATCH($B$2,'Code concept (56-pt) cards'!$A$3:$A$17,0),MATCH("Pro tip",'Code concept (56-pt) cards'!$A$2:$BN$2,0))&amp;""</f>
        <v/>
      </c>
    </row>
    <row r="16" ht="30" customHeight="1">
      <c r="A16" s="24" t="inlineStr">
        <is>
          <t>Typing hint</t>
        </is>
      </c>
      <c r="B16" s="17">
        <f>INDEX('Code concept (56-pt) cards'!$A$3:$BN$17,MATCH($B$2,'Code concept (56-pt) cards'!$A$3:$A$17,0),MATCH("Typing hint",'Code concept (56-pt) cards'!$A$2:$BN$2,0))&amp;""</f>
        <v/>
      </c>
    </row>
    <row r="17" ht="30" customHeight="1">
      <c r="A17" s="24" t="inlineStr">
        <is>
          <t>Memory story</t>
        </is>
      </c>
      <c r="B17" s="17">
        <f>INDEX('Code concept (56-pt) cards'!$A$3:$BN$17,MATCH($B$2,'Code concept (56-pt) cards'!$A$3:$A$17,0),MATCH("Memory story",'Code concept (56-pt) cards'!$A$2:$BN$2,0))&amp;""</f>
        <v/>
      </c>
    </row>
    <row r="18" ht="30" customHeight="1">
      <c r="A18" s="24" t="inlineStr">
        <is>
          <t>Picture it</t>
        </is>
      </c>
      <c r="B18" s="17">
        <f>INDEX('Code concept (56-pt) cards'!$A$3:$BN$17,MATCH($B$2,'Code concept (56-pt) cards'!$A$3:$A$17,0),MATCH("Picture it",'Code concept (56-pt) cards'!$A$2:$BN$2,0))&amp;""</f>
        <v/>
      </c>
    </row>
    <row r="19" ht="30" customHeight="1">
      <c r="A19" s="24" t="inlineStr">
        <is>
          <t>Emotion hook</t>
        </is>
      </c>
      <c r="B19" s="17">
        <f>INDEX('Code concept (56-pt) cards'!$A$3:$BN$17,MATCH($B$2,'Code concept (56-pt) cards'!$A$3:$A$17,0),MATCH("Emotion hook",'Code concept (56-pt) cards'!$A$2:$BN$2,0))&amp;""</f>
        <v/>
      </c>
    </row>
    <row r="20" ht="30" customHeight="1">
      <c r="A20" s="24" t="inlineStr">
        <is>
          <t>Importance ★</t>
        </is>
      </c>
      <c r="B20" s="17">
        <f>INDEX('Code concept (56-pt) cards'!$A$3:$BN$17,MATCH($B$2,'Code concept (56-pt) cards'!$A$3:$A$17,0),MATCH("Importance ★",'Code concept (56-pt) cards'!$A$2:$BN$2,0))&amp;""</f>
        <v/>
      </c>
    </row>
    <row r="21">
      <c r="A21" s="25" t="inlineStr">
        <is>
          <t>BACK · Understanding (samjho)</t>
        </is>
      </c>
    </row>
    <row r="22" ht="30" customHeight="1">
      <c r="A22" s="24" t="inlineStr">
        <is>
          <t>Meaning (short)</t>
        </is>
      </c>
      <c r="B22" s="17">
        <f>INDEX('Code concept (56-pt) cards'!$A$3:$BN$17,MATCH($B$2,'Code concept (56-pt) cards'!$A$3:$A$17,0),MATCH("Meaning (short)",'Code concept (56-pt) cards'!$A$2:$BN$2,0))&amp;""</f>
        <v/>
      </c>
    </row>
    <row r="23" ht="30" customHeight="1">
      <c r="A23" s="24" t="inlineStr">
        <is>
          <t>Meaning in learner's language</t>
        </is>
      </c>
      <c r="B23" s="17">
        <f>INDEX('Code concept (56-pt) cards'!$A$3:$BN$17,MATCH($B$2,'Code concept (56-pt) cards'!$A$3:$A$17,0),MATCH("Meaning in learner's language",'Code concept (56-pt) cards'!$A$2:$BN$2,0))&amp;""</f>
        <v/>
      </c>
    </row>
    <row r="24" ht="54" customHeight="1">
      <c r="A24" s="24" t="inlineStr">
        <is>
          <t>Code</t>
        </is>
      </c>
      <c r="B24" s="26">
        <f>INDEX('Code concept (56-pt) cards'!$A$3:$BN$17,MATCH($B$2,'Code concept (56-pt) cards'!$A$3:$A$17,0),MATCH("Code",'Code concept (56-pt) cards'!$A$2:$BN$2,0))&amp;""</f>
        <v/>
      </c>
    </row>
    <row r="25" ht="30" customHeight="1">
      <c r="A25" s="24" t="inlineStr">
        <is>
          <t>Output</t>
        </is>
      </c>
      <c r="B25" s="26">
        <f>INDEX('Code concept (56-pt) cards'!$A$3:$BN$17,MATCH($B$2,'Code concept (56-pt) cards'!$A$3:$A$17,0),MATCH("Output",'Code concept (56-pt) cards'!$A$2:$BN$2,0))&amp;""</f>
        <v/>
      </c>
    </row>
    <row r="26" ht="54" customHeight="1">
      <c r="A26" s="24" t="inlineStr">
        <is>
          <t>Explanation</t>
        </is>
      </c>
      <c r="B26" s="17">
        <f>INDEX('Code concept (56-pt) cards'!$A$3:$BN$17,MATCH($B$2,'Code concept (56-pt) cards'!$A$3:$A$17,0),MATCH("Explanation",'Code concept (56-pt) cards'!$A$2:$BN$2,0))&amp;""</f>
        <v/>
      </c>
    </row>
    <row r="27" ht="30" customHeight="1">
      <c r="A27" s="24" t="inlineStr">
        <is>
          <t>Simple explanation (Hinglish)</t>
        </is>
      </c>
      <c r="B27" s="17">
        <f>INDEX('Code concept (56-pt) cards'!$A$3:$BN$17,MATCH($B$2,'Code concept (56-pt) cards'!$A$3:$A$17,0),MATCH("Simple explanation (Hinglish)",'Code concept (56-pt) cards'!$A$2:$BN$2,0))&amp;""</f>
        <v/>
      </c>
    </row>
    <row r="28" ht="30" customHeight="1">
      <c r="A28" s="24" t="inlineStr">
        <is>
          <t>Real-life analogy</t>
        </is>
      </c>
      <c r="B28" s="17">
        <f>INDEX('Code concept (56-pt) cards'!$A$3:$BN$17,MATCH($B$2,'Code concept (56-pt) cards'!$A$3:$A$17,0),MATCH("Real-life analogy",'Code concept (56-pt) cards'!$A$2:$BN$2,0))&amp;""</f>
        <v/>
      </c>
    </row>
    <row r="29" ht="30" customHeight="1">
      <c r="A29" s="24" t="inlineStr">
        <is>
          <t>Syntax pattern</t>
        </is>
      </c>
      <c r="B29" s="26">
        <f>INDEX('Code concept (56-pt) cards'!$A$3:$BN$17,MATCH($B$2,'Code concept (56-pt) cards'!$A$3:$A$17,0),MATCH("Syntax pattern",'Code concept (56-pt) cards'!$A$2:$BN$2,0))&amp;""</f>
        <v/>
      </c>
    </row>
    <row r="30" ht="30" customHeight="1">
      <c r="A30" s="24" t="inlineStr">
        <is>
          <t>Anatomy</t>
        </is>
      </c>
      <c r="B30" s="17">
        <f>INDEX('Code concept (56-pt) cards'!$A$3:$BN$17,MATCH($B$2,'Code concept (56-pt) cards'!$A$3:$A$17,0),MATCH("Anatomy",'Code concept (56-pt) cards'!$A$2:$BN$2,0))&amp;""</f>
        <v/>
      </c>
    </row>
    <row r="31" ht="30" customHeight="1">
      <c r="A31" s="24" t="inlineStr">
        <is>
          <t>Example 1</t>
        </is>
      </c>
      <c r="B31" s="26">
        <f>INDEX('Code concept (56-pt) cards'!$A$3:$BN$17,MATCH($B$2,'Code concept (56-pt) cards'!$A$3:$A$17,0),MATCH("Example 1",'Code concept (56-pt) cards'!$A$2:$BN$2,0))&amp;""</f>
        <v/>
      </c>
    </row>
    <row r="32" ht="30" customHeight="1">
      <c r="A32" s="24" t="inlineStr">
        <is>
          <t>Example 2</t>
        </is>
      </c>
      <c r="B32" s="26">
        <f>INDEX('Code concept (56-pt) cards'!$A$3:$BN$17,MATCH($B$2,'Code concept (56-pt) cards'!$A$3:$A$17,0),MATCH("Example 2",'Code concept (56-pt) cards'!$A$2:$BN$2,0))&amp;""</f>
        <v/>
      </c>
    </row>
    <row r="33" ht="30" customHeight="1">
      <c r="A33" s="24" t="inlineStr">
        <is>
          <t>Example 3</t>
        </is>
      </c>
      <c r="B33" s="26">
        <f>INDEX('Code concept (56-pt) cards'!$A$3:$BN$17,MATCH($B$2,'Code concept (56-pt) cards'!$A$3:$A$17,0),MATCH("Example 3",'Code concept (56-pt) cards'!$A$2:$BN$2,0))&amp;""</f>
        <v/>
      </c>
    </row>
    <row r="34" ht="30" customHeight="1">
      <c r="A34" s="24" t="inlineStr">
        <is>
          <t>Variation</t>
        </is>
      </c>
      <c r="B34" s="26">
        <f>INDEX('Code concept (56-pt) cards'!$A$3:$BN$17,MATCH($B$2,'Code concept (56-pt) cards'!$A$3:$A$17,0),MATCH("Variation",'Code concept (56-pt) cards'!$A$2:$BN$2,0))&amp;""</f>
        <v/>
      </c>
    </row>
    <row r="35" ht="30" customHeight="1">
      <c r="A35" s="24" t="inlineStr">
        <is>
          <t>Used with</t>
        </is>
      </c>
      <c r="B35" s="17">
        <f>INDEX('Code concept (56-pt) cards'!$A$3:$BN$17,MATCH($B$2,'Code concept (56-pt) cards'!$A$3:$A$17,0),MATCH("Used with",'Code concept (56-pt) cards'!$A$2:$BN$2,0))&amp;""</f>
        <v/>
      </c>
    </row>
    <row r="36" ht="30" customHeight="1">
      <c r="A36" s="24" t="inlineStr">
        <is>
          <t>Related concepts</t>
        </is>
      </c>
      <c r="B36" s="17">
        <f>INDEX('Code concept (56-pt) cards'!$A$3:$BN$17,MATCH($B$2,'Code concept (56-pt) cards'!$A$3:$A$17,0),MATCH("Related concepts",'Code concept (56-pt) cards'!$A$2:$BN$2,0))&amp;""</f>
        <v/>
      </c>
    </row>
    <row r="37" ht="30" customHeight="1">
      <c r="A37" s="24" t="inlineStr">
        <is>
          <t>Alternatives</t>
        </is>
      </c>
      <c r="B37" s="17">
        <f>INDEX('Code concept (56-pt) cards'!$A$3:$BN$17,MATCH($B$2,'Code concept (56-pt) cards'!$A$3:$A$17,0),MATCH("Alternatives",'Code concept (56-pt) cards'!$A$2:$BN$2,0))&amp;""</f>
        <v/>
      </c>
    </row>
    <row r="38" ht="30" customHeight="1">
      <c r="A38" s="24" t="inlineStr">
        <is>
          <t>Family / group</t>
        </is>
      </c>
      <c r="B38" s="17">
        <f>INDEX('Code concept (56-pt) cards'!$A$3:$BN$17,MATCH($B$2,'Code concept (56-pt) cards'!$A$3:$A$17,0),MATCH("Family / group",'Code concept (56-pt) cards'!$A$2:$BN$2,0))&amp;""</f>
        <v/>
      </c>
    </row>
    <row r="39" ht="30" customHeight="1">
      <c r="A39" s="24" t="inlineStr">
        <is>
          <t>Where it is used</t>
        </is>
      </c>
      <c r="B39" s="17">
        <f>INDEX('Code concept (56-pt) cards'!$A$3:$BN$17,MATCH($B$2,'Code concept (56-pt) cards'!$A$3:$A$17,0),MATCH("Where it is used",'Code concept (56-pt) cards'!$A$2:$BN$2,0))&amp;""</f>
        <v/>
      </c>
    </row>
    <row r="40" ht="30" customHeight="1">
      <c r="A40" s="24" t="inlineStr">
        <is>
          <t>Mini conversation</t>
        </is>
      </c>
      <c r="B40" s="17">
        <f>INDEX('Code concept (56-pt) cards'!$A$3:$BN$17,MATCH($B$2,'Code concept (56-pt) cards'!$A$3:$A$17,0),MATCH("Mini conversation",'Code concept (56-pt) cards'!$A$2:$BN$2,0))&amp;""</f>
        <v/>
      </c>
    </row>
    <row r="41" ht="30" customHeight="1">
      <c r="A41" s="24" t="inlineStr">
        <is>
          <t>Common mistake</t>
        </is>
      </c>
      <c r="B41" s="17">
        <f>INDEX('Code concept (56-pt) cards'!$A$3:$BN$17,MATCH($B$2,'Code concept (56-pt) cards'!$A$3:$A$17,0),MATCH("Common mistake",'Code concept (56-pt) cards'!$A$2:$BN$2,0))&amp;""</f>
        <v/>
      </c>
    </row>
    <row r="42" ht="30" customHeight="1">
      <c r="A42" s="24" t="inlineStr">
        <is>
          <t>Commonly confused with</t>
        </is>
      </c>
      <c r="B42" s="17">
        <f>INDEX('Code concept (56-pt) cards'!$A$3:$BN$17,MATCH($B$2,'Code concept (56-pt) cards'!$A$3:$A$17,0),MATCH("Commonly confused with",'Code concept (56-pt) cards'!$A$2:$BN$2,0))&amp;""</f>
        <v/>
      </c>
    </row>
    <row r="43" ht="30" customHeight="1">
      <c r="A43" s="24" t="inlineStr">
        <is>
          <t>Avoid / don't</t>
        </is>
      </c>
      <c r="B43" s="17">
        <f>INDEX('Code concept (56-pt) cards'!$A$3:$BN$17,MATCH($B$2,'Code concept (56-pt) cards'!$A$3:$A$17,0),MATCH("Avoid / don't",'Code concept (56-pt) cards'!$A$2:$BN$2,0))&amp;""</f>
        <v/>
      </c>
    </row>
    <row r="44" ht="30" customHeight="1">
      <c r="A44" s="24" t="inlineStr">
        <is>
          <t>Wrong code</t>
        </is>
      </c>
      <c r="B44" s="26">
        <f>INDEX('Code concept (56-pt) cards'!$A$3:$BN$17,MATCH($B$2,'Code concept (56-pt) cards'!$A$3:$A$17,0),MATCH("Wrong code",'Code concept (56-pt) cards'!$A$2:$BN$2,0))&amp;""</f>
        <v/>
      </c>
    </row>
    <row r="45" ht="54" customHeight="1">
      <c r="A45" s="24" t="inlineStr">
        <is>
          <t>Right code</t>
        </is>
      </c>
      <c r="B45" s="26">
        <f>INDEX('Code concept (56-pt) cards'!$A$3:$BN$17,MATCH($B$2,'Code concept (56-pt) cards'!$A$3:$A$17,0),MATCH("Right code",'Code concept (56-pt) cards'!$A$2:$BN$2,0))&amp;""</f>
        <v/>
      </c>
    </row>
    <row r="46" ht="30" customHeight="1">
      <c r="A46" s="24" t="inlineStr">
        <is>
          <t>Memory trick</t>
        </is>
      </c>
      <c r="B46" s="17">
        <f>INDEX('Code concept (56-pt) cards'!$A$3:$BN$17,MATCH($B$2,'Code concept (56-pt) cards'!$A$3:$A$17,0),MATCH("Memory trick",'Code concept (56-pt) cards'!$A$2:$BN$2,0))&amp;""</f>
        <v/>
      </c>
    </row>
    <row r="47" ht="30" customHeight="1">
      <c r="A47" s="24" t="inlineStr">
        <is>
          <t>Real life: project / work</t>
        </is>
      </c>
      <c r="B47" s="17">
        <f>INDEX('Code concept (56-pt) cards'!$A$3:$BN$17,MATCH($B$2,'Code concept (56-pt) cards'!$A$3:$A$17,0),MATCH("Real life: project / work",'Code concept (56-pt) cards'!$A$2:$BN$2,0))&amp;""</f>
        <v/>
      </c>
    </row>
    <row r="48" ht="30" customHeight="1">
      <c r="A48" s="24" t="inlineStr">
        <is>
          <t>Real life: interview / exam</t>
        </is>
      </c>
      <c r="B48" s="17">
        <f>INDEX('Code concept (56-pt) cards'!$A$3:$BN$17,MATCH($B$2,'Code concept (56-pt) cards'!$A$3:$A$17,0),MATCH("Real life: interview / exam",'Code concept (56-pt) cards'!$A$2:$BN$2,0))&amp;""</f>
        <v/>
      </c>
    </row>
    <row r="49" ht="30" customHeight="1">
      <c r="A49" s="24" t="inlineStr">
        <is>
          <t>Real life: daily life</t>
        </is>
      </c>
      <c r="B49" s="17">
        <f>INDEX('Code concept (56-pt) cards'!$A$3:$BN$17,MATCH($B$2,'Code concept (56-pt) cards'!$A$3:$A$17,0),MATCH("Real life: daily life",'Code concept (56-pt) cards'!$A$2:$BN$2,0))&amp;""</f>
        <v/>
      </c>
    </row>
    <row r="50">
      <c r="A50" s="27" t="inlineStr">
        <is>
          <t>PRACTICE · Khud karo</t>
        </is>
      </c>
    </row>
    <row r="51" ht="30" customHeight="1">
      <c r="A51" s="24" t="inlineStr">
        <is>
          <t>MCQ question</t>
        </is>
      </c>
      <c r="B51" s="17">
        <f>INDEX('Code concept (56-pt) cards'!$A$3:$BN$17,MATCH($B$2,'Code concept (56-pt) cards'!$A$3:$A$17,0),MATCH("MCQ question",'Code concept (56-pt) cards'!$A$2:$BN$2,0))&amp;""</f>
        <v/>
      </c>
    </row>
    <row r="52" ht="30" customHeight="1">
      <c r="A52" s="24" t="inlineStr">
        <is>
          <t>MCQ options</t>
        </is>
      </c>
      <c r="B52" s="17">
        <f>INDEX('Code concept (56-pt) cards'!$A$3:$BN$17,MATCH($B$2,'Code concept (56-pt) cards'!$A$3:$A$17,0),MATCH("MCQ options",'Code concept (56-pt) cards'!$A$2:$BN$2,0))&amp;""</f>
        <v/>
      </c>
    </row>
    <row r="53" ht="30" customHeight="1">
      <c r="A53" s="24" t="inlineStr">
        <is>
          <t>MCQ answer</t>
        </is>
      </c>
      <c r="B53" s="17">
        <f>INDEX('Code concept (56-pt) cards'!$A$3:$BN$17,MATCH($B$2,'Code concept (56-pt) cards'!$A$3:$A$17,0),MATCH("MCQ answer",'Code concept (56-pt) cards'!$A$2:$BN$2,0))&amp;""</f>
        <v/>
      </c>
    </row>
    <row r="54" ht="30" customHeight="1">
      <c r="A54" s="24" t="inlineStr">
        <is>
          <t>Why that answer</t>
        </is>
      </c>
      <c r="B54" s="17">
        <f>INDEX('Code concept (56-pt) cards'!$A$3:$BN$17,MATCH($B$2,'Code concept (56-pt) cards'!$A$3:$A$17,0),MATCH("Why that answer",'Code concept (56-pt) cards'!$A$2:$BN$2,0))&amp;""</f>
        <v/>
      </c>
    </row>
    <row r="55" ht="30" customHeight="1">
      <c r="A55" s="24" t="inlineStr">
        <is>
          <t>Fill the blank</t>
        </is>
      </c>
      <c r="B55" s="26">
        <f>INDEX('Code concept (56-pt) cards'!$A$3:$BN$17,MATCH($B$2,'Code concept (56-pt) cards'!$A$3:$A$17,0),MATCH("Fill the blank",'Code concept (56-pt) cards'!$A$2:$BN$2,0))&amp;""</f>
        <v/>
      </c>
    </row>
    <row r="56" ht="30" customHeight="1">
      <c r="A56" s="24" t="inlineStr">
        <is>
          <t>Try it yourself</t>
        </is>
      </c>
      <c r="B56" s="17">
        <f>INDEX('Code concept (56-pt) cards'!$A$3:$BN$17,MATCH($B$2,'Code concept (56-pt) cards'!$A$3:$A$17,0),MATCH("Try it yourself",'Code concept (56-pt) cards'!$A$2:$BN$2,0))&amp;""</f>
        <v/>
      </c>
    </row>
    <row r="57" ht="30" customHeight="1">
      <c r="A57" s="24" t="inlineStr">
        <is>
          <t>Task answer</t>
        </is>
      </c>
      <c r="B57" s="26">
        <f>INDEX('Code concept (56-pt) cards'!$A$3:$BN$17,MATCH($B$2,'Code concept (56-pt) cards'!$A$3:$A$17,0),MATCH("Task answer",'Code concept (56-pt) cards'!$A$2:$BN$2,0))&amp;""</f>
        <v/>
      </c>
    </row>
    <row r="58" ht="30" customHeight="1">
      <c r="A58" s="24" t="inlineStr">
        <is>
          <t>Write your own</t>
        </is>
      </c>
      <c r="B58" s="17">
        <f>INDEX('Code concept (56-pt) cards'!$A$3:$BN$17,MATCH($B$2,'Code concept (56-pt) cards'!$A$3:$A$17,0),MATCH("Write your own",'Code concept (56-pt) cards'!$A$2:$BN$2,0))&amp;""</f>
        <v/>
      </c>
    </row>
    <row r="59" ht="30" customHeight="1">
      <c r="A59" s="24" t="inlineStr">
        <is>
          <t>Practice question</t>
        </is>
      </c>
      <c r="B59" s="26">
        <f>INDEX('Code concept (56-pt) cards'!$A$3:$BN$17,MATCH($B$2,'Code concept (56-pt) cards'!$A$3:$A$17,0),MATCH("Practice question",'Code concept (56-pt) cards'!$A$2:$BN$2,0))&amp;""</f>
        <v/>
      </c>
    </row>
    <row r="60" ht="30" customHeight="1">
      <c r="A60" s="24" t="inlineStr">
        <is>
          <t>Practice answer</t>
        </is>
      </c>
      <c r="B60" s="26">
        <f>INDEX('Code concept (56-pt) cards'!$A$3:$BN$17,MATCH($B$2,'Code concept (56-pt) cards'!$A$3:$A$17,0),MATCH("Practice answer",'Code concept (56-pt) cards'!$A$2:$BN$2,0))&amp;""</f>
        <v/>
      </c>
    </row>
    <row r="61" ht="30" customHeight="1">
      <c r="A61" s="24" t="inlineStr">
        <is>
          <t>Quick recall (reverse)</t>
        </is>
      </c>
      <c r="B61" s="17">
        <f>INDEX('Code concept (56-pt) cards'!$A$3:$BN$17,MATCH($B$2,'Code concept (56-pt) cards'!$A$3:$A$17,0),MATCH("Quick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cards'!$A$3:$A$17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JUP-001</t>
        </is>
      </c>
      <c r="B3" s="17" t="inlineStr">
        <is>
          <t>01 Basics</t>
        </is>
      </c>
      <c r="C3" s="17" t="inlineStr">
        <is>
          <t>Beginner</t>
        </is>
      </c>
      <c r="D3" s="17" t="n">
        <v>1</v>
      </c>
      <c r="E3" s="17" t="inlineStr">
        <is>
          <t>Claude knowledge</t>
        </is>
      </c>
      <c r="F3" s="18" t="inlineStr">
        <is>
          <t>What Jupyter is</t>
        </is>
      </c>
      <c r="G3" s="18" t="inlineStr">
        <is>
          <t>Which tool mixes live code, results and notes in one document?</t>
        </is>
      </c>
      <c r="H3" s="18" t="inlineStr">
        <is>
          <t>Core concept</t>
        </is>
      </c>
      <c r="I3" s="18" t="inlineStr">
        <is>
          <t>Very high</t>
        </is>
      </c>
      <c r="J3" s="18" t="n">
        <v>5</v>
      </c>
      <c r="K3" s="18" t="inlineStr">
        <is>
          <t>Analysts needed a place to run code in small steps, see results straight away and explain them in the same file.</t>
        </is>
      </c>
      <c r="L3" s="18" t="inlineStr">
        <is>
          <t>Use a notebook to explore and explain, and move stable code into normal scripts.</t>
        </is>
      </c>
      <c r="M3" s="18" t="inlineStr">
        <is>
          <t>A Jupyter notebook is a lab book where every experiment sits beside its written notes.</t>
        </is>
      </c>
      <c r="N3" s="18" t="inlineStr">
        <is>
          <t>A page with a code box, its output below it, and a paragraph of notes.</t>
        </is>
      </c>
      <c r="O3" s="18" t="inlineStr">
        <is>
          <t>The joy of seeing a result right after typing the code.</t>
        </is>
      </c>
      <c r="P3" s="18" t="inlineStr">
        <is>
          <t>Jupyter is an open-source environment where you write code in cells, run it step by step, and keep the code, outputs and explanations together in a single notebook file.</t>
        </is>
      </c>
      <c r="Q3" s="17" t="n"/>
      <c r="R3" s="18" t="inlineStr">
        <is>
          <t>A notebook is a JSON file with the extension ipynb. It stores cells of code and text and the outputs that came from running them. The code itself runs in a separate process called a kernel. This makes notebooks great for exploring data, teaching and sharing findings, but less suited to long-running production jobs.</t>
        </is>
      </c>
      <c r="S3" s="18" t="inlineStr">
        <is>
          <t>It is a document where you can run code a little at a time and see the answer below it.</t>
        </is>
      </c>
      <c r="T3" s="18" t="inlineStr">
        <is>
          <t>A Jupyter notebook is a lab book where every experiment sits beside its written notes.</t>
        </is>
      </c>
      <c r="U3" s="18" t="inlineStr">
        <is>
          <t>Notebook = cells + kernel + saved outputs.</t>
        </is>
      </c>
      <c r="V3" s="18" t="inlineStr">
        <is>
          <t>Cleaning a customer file and plotting the result for a meeting.</t>
        </is>
      </c>
      <c r="W3" s="18" t="inlineStr">
        <is>
          <t>A teacher sharing a worked tutorial with runnable steps.</t>
        </is>
      </c>
      <c r="X3" s="18" t="inlineStr">
        <is>
          <t>A data scientist testing three model ideas on a sample.</t>
        </is>
      </c>
      <c r="Y3" s="18" t="inlineStr">
        <is>
          <t>cells, kernels, JupyterLab, Colab</t>
        </is>
      </c>
      <c r="Z3" s="18" t="inlineStr">
        <is>
          <t>notebook, cell, kernel, output, ipynb</t>
        </is>
      </c>
      <c r="AA3" s="18" t="inlineStr">
        <is>
          <t>Data analysis | Teaching | Prototyping</t>
        </is>
      </c>
      <c r="AB3" s="18" t="inlineStr">
        <is>
          <t>A: Can I see the chart next to the code? | B: Yes, use a notebook so both stay together.</t>
        </is>
      </c>
      <c r="AC3" s="18" t="inlineStr">
        <is>
          <t>✗ A notebook is only for beginners → ✓ Professionals use notebooks daily for exploration and reports</t>
        </is>
      </c>
      <c r="AD3" s="18" t="inlineStr">
        <is>
          <t>Notebook vs script: a notebook runs in steps with visible results, a script runs top to bottom in one go.</t>
        </is>
      </c>
      <c r="AE3" s="18" t="inlineStr">
        <is>
          <t>Do not treat a notebook as a finished production program.</t>
        </is>
      </c>
      <c r="AF3" s="18" t="inlineStr">
        <is>
          <t>Code, result and notes live together on one page.</t>
        </is>
      </c>
      <c r="AG3" s="18" t="inlineStr">
        <is>
          <t>A customer review notebook let a client see each cleaning step and its effect.</t>
        </is>
      </c>
      <c r="AH3" s="18" t="inlineStr">
        <is>
          <t>An interviewer may ask: Why do data teams use notebooks?</t>
        </is>
      </c>
      <c r="AI3" s="18" t="inlineStr">
        <is>
          <t>It is like a lab diary with live experiments.</t>
        </is>
      </c>
      <c r="AJ3" s="18" t="inlineStr">
        <is>
          <t>What does a notebook store besides the code?</t>
        </is>
      </c>
      <c r="AK3" s="18" t="inlineStr">
        <is>
          <t>A) Nothing else B) Only passwords C) Only images of the screen D) Outputs and notes</t>
        </is>
      </c>
      <c r="AL3" s="18" t="inlineStr">
        <is>
          <t>D</t>
        </is>
      </c>
      <c r="AM3" s="18" t="inlineStr">
        <is>
          <t>Outputs and text cells are saved in the file with the code.</t>
        </is>
      </c>
      <c r="AN3" s="18" t="inlineStr">
        <is>
          <t>A notebook file uses the extension ____ → ipynb</t>
        </is>
      </c>
      <c r="AO3" s="18" t="inlineStr">
        <is>
          <t>A colleague wants to see your analysis steps and charts together. What do you share? → A notebook</t>
        </is>
      </c>
      <c r="AP3" s="18" t="inlineStr">
        <is>
          <t>Explain what Jupyter is in three lines.</t>
        </is>
      </c>
      <c r="AQ3" s="18" t="inlineStr">
        <is>
          <t>List two jobs where a notebook is better than a plain script.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JUP-002</t>
        </is>
      </c>
      <c r="B4" s="17" t="inlineStr">
        <is>
          <t>01 Basics</t>
        </is>
      </c>
      <c r="C4" s="17" t="inlineStr">
        <is>
          <t>Beginner</t>
        </is>
      </c>
      <c r="D4" s="17" t="n">
        <v>2</v>
      </c>
      <c r="E4" s="17" t="inlineStr">
        <is>
          <t>Claude knowledge</t>
        </is>
      </c>
      <c r="F4" s="18" t="inlineStr">
        <is>
          <t>Cells</t>
        </is>
      </c>
      <c r="G4" s="18" t="inlineStr">
        <is>
          <t>Which building blocks make up a notebook?</t>
        </is>
      </c>
      <c r="H4" s="18" t="inlineStr">
        <is>
          <t>Core concept</t>
        </is>
      </c>
      <c r="I4" s="18" t="inlineStr">
        <is>
          <t>Very high</t>
        </is>
      </c>
      <c r="J4" s="18" t="n">
        <v>5</v>
      </c>
      <c r="K4" s="18" t="inlineStr">
        <is>
          <t>Splitting work into small blocks lets you run, fix and rerun one piece without restarting everything.</t>
        </is>
      </c>
      <c r="L4" s="18" t="inlineStr">
        <is>
          <t>Keep each code cell to one clear step so a failure is easy to find.</t>
        </is>
      </c>
      <c r="M4" s="18" t="inlineStr">
        <is>
          <t>Cells are Lego bricks, and you can rebuild one brick without breaking the whole wall.</t>
        </is>
      </c>
      <c r="N4" s="18" t="inlineStr">
        <is>
          <t>A vertical stack of boxes, some with code and some with text.</t>
        </is>
      </c>
      <c r="O4" s="18" t="inlineStr">
        <is>
          <t>The comfort of fixing one small block at a time.</t>
        </is>
      </c>
      <c r="P4" s="18" t="inlineStr">
        <is>
          <t>A cell is a single block in a notebook, and it holds either code to run, markdown text to read, or raw text that is never processed.</t>
        </is>
      </c>
      <c r="Q4" s="17" t="n"/>
      <c r="R4" s="18" t="inlineStr">
        <is>
          <t>Running a code cell sends its code to the kernel and shows the result below the cell. Markdown cells render as formatted text. Each code cell shows a number in square brackets after it has run, which tells you the order in which cells were executed, not the order on the page.</t>
        </is>
      </c>
      <c r="S4" s="18" t="inlineStr">
        <is>
          <t>A cell is one box of code or text that you can run on its own.</t>
        </is>
      </c>
      <c r="T4" s="18" t="inlineStr">
        <is>
          <t>Cells are Lego bricks, and you can rebuild one brick without breaking the whole wall.</t>
        </is>
      </c>
      <c r="U4" s="18" t="inlineStr">
        <is>
          <t>One cell, one step, one visible result.</t>
        </is>
      </c>
      <c r="V4" s="18" t="inlineStr">
        <is>
          <t>A cell that loads a file and nothing else.</t>
        </is>
      </c>
      <c r="W4" s="18" t="inlineStr">
        <is>
          <t>A cell that filters rows and prints the count.</t>
        </is>
      </c>
      <c r="X4" s="18" t="inlineStr">
        <is>
          <t>A text cell that explains why rows were removed.</t>
        </is>
      </c>
      <c r="Y4" s="18" t="inlineStr">
        <is>
          <t>markdown cells, kernels, running order, shortcuts</t>
        </is>
      </c>
      <c r="Z4" s="18" t="inlineStr">
        <is>
          <t>cell, code cell, markdown cell, raw cell, execution count</t>
        </is>
      </c>
      <c r="AA4" s="18" t="inlineStr">
        <is>
          <t>Every notebook | Teaching | Reports</t>
        </is>
      </c>
      <c r="AB4" s="18" t="inlineStr">
        <is>
          <t>A: My notebook is one huge cell. | B: Split it into steps so each result can be checked.</t>
        </is>
      </c>
      <c r="AC4" s="18" t="inlineStr">
        <is>
          <t>✗ Cells always run in the order they appear → ✓ You can run them in any order, and the kernel keeps whatever state results</t>
        </is>
      </c>
      <c r="AD4" s="18" t="inlineStr">
        <is>
          <t>Code cell vs markdown cell: one runs through the kernel, the other only displays formatted text.</t>
        </is>
      </c>
      <c r="AE4" s="18" t="inlineStr">
        <is>
          <t>Do not put loading, cleaning, modelling and plotting in a single cell.</t>
        </is>
      </c>
      <c r="AF4" s="18" t="inlineStr">
        <is>
          <t>Small cells fail small and fix fast.</t>
        </is>
      </c>
      <c r="AG4" s="18" t="inlineStr">
        <is>
          <t>Splitting a 200 line cell into steps helped a client spot a bad filter in minutes.</t>
        </is>
      </c>
      <c r="AH4" s="18" t="inlineStr">
        <is>
          <t>An interviewer may ask: What types of cells does a notebook have?</t>
        </is>
      </c>
      <c r="AI4" s="18" t="inlineStr">
        <is>
          <t>It is like paragraphs in a document, each doing one job.</t>
        </is>
      </c>
      <c r="AJ4" s="18" t="inlineStr">
        <is>
          <t>Which cell type is only displayed as formatted text?</t>
        </is>
      </c>
      <c r="AK4" s="18" t="inlineStr">
        <is>
          <t>A) Markdown B) Kernel C) Code D) Output</t>
        </is>
      </c>
      <c r="AL4" s="18" t="inlineStr">
        <is>
          <t>A</t>
        </is>
      </c>
      <c r="AM4" s="18" t="inlineStr">
        <is>
          <t>Markdown cells render text and never run code.</t>
        </is>
      </c>
      <c r="AN4" s="18" t="inlineStr">
        <is>
          <t>The number in square brackets beside a code cell shows its execution ____ → count</t>
        </is>
      </c>
      <c r="AO4" s="18" t="inlineStr">
        <is>
          <t>You need to explain a filtering step above its code. Which cell do you add? → A markdown cell</t>
        </is>
      </c>
      <c r="AP4" s="18" t="inlineStr">
        <is>
          <t>Explain the difference between code and markdown cells.</t>
        </is>
      </c>
      <c r="AQ4" s="18" t="inlineStr">
        <is>
          <t>Split one long analysis into five clearly named cells on paper.</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JUP-003</t>
        </is>
      </c>
      <c r="B5" s="17" t="inlineStr">
        <is>
          <t>01 Basics</t>
        </is>
      </c>
      <c r="C5" s="17" t="inlineStr">
        <is>
          <t>Beginner</t>
        </is>
      </c>
      <c r="D5" s="17" t="n">
        <v>3</v>
      </c>
      <c r="E5" s="17" t="inlineStr">
        <is>
          <t>Claude knowledge</t>
        </is>
      </c>
      <c r="F5" s="18" t="inlineStr">
        <is>
          <t>Kernels</t>
        </is>
      </c>
      <c r="G5" s="18" t="inlineStr">
        <is>
          <t>Which engine actually runs the code you type in a notebook?</t>
        </is>
      </c>
      <c r="H5" s="18" t="inlineStr">
        <is>
          <t>Core concept</t>
        </is>
      </c>
      <c r="I5" s="18" t="inlineStr">
        <is>
          <t>Very high</t>
        </is>
      </c>
      <c r="J5" s="18" t="n">
        <v>5</v>
      </c>
      <c r="K5" s="18" t="inlineStr">
        <is>
          <t>Keeping the language engine separate from the page lets one interface work with many languages and machines.</t>
        </is>
      </c>
      <c r="L5" s="18" t="inlineStr">
        <is>
          <t>When strange errors appear, restart the kernel before changing any code.</t>
        </is>
      </c>
      <c r="M5" s="18" t="inlineStr">
        <is>
          <t>The notebook is the steering wheel and the kernel is the engine under the bonnet.</t>
        </is>
      </c>
      <c r="N5" s="18" t="inlineStr">
        <is>
          <t>A notebook page connected by a cable to a box labelled kernel.</t>
        </is>
      </c>
      <c r="O5" s="18" t="inlineStr">
        <is>
          <t>The relief of a fresh start after a confusing session.</t>
        </is>
      </c>
      <c r="P5" s="18" t="inlineStr">
        <is>
          <t>A kernel is a separate process that executes the code from your cells, holds all variables in memory, and sends results back to the notebook interface.</t>
        </is>
      </c>
      <c r="Q5" s="17" t="n"/>
      <c r="R5" s="18" t="inlineStr">
        <is>
          <t>Each open notebook is attached to one kernel, such as an IPython kernel for Python. Variables, imported modules and loaded data live in that kernel's memory until it stops or restarts. Interrupting stops a running cell, while restarting clears all memory. Which Python the kernel uses decides which packages you can import.</t>
        </is>
      </c>
      <c r="S5" s="18" t="inlineStr">
        <is>
          <t>The kernel is the program that runs your code and remembers your variables.</t>
        </is>
      </c>
      <c r="T5" s="18" t="inlineStr">
        <is>
          <t>The notebook is the steering wheel and the kernel is the engine under the bonnet.</t>
        </is>
      </c>
      <c r="U5" s="18" t="inlineStr">
        <is>
          <t>Notebook shows, kernel runs and remembers.</t>
        </is>
      </c>
      <c r="V5" s="18" t="inlineStr">
        <is>
          <t>A variable that still exists after you delete the cell that made it.</t>
        </is>
      </c>
      <c r="W5" s="18" t="inlineStr">
        <is>
          <t>Interrupting a cell stuck in an endless loop.</t>
        </is>
      </c>
      <c r="X5" s="18" t="inlineStr">
        <is>
          <t>Choosing a kernel linked to a project environment.</t>
        </is>
      </c>
      <c r="Y5" s="18" t="inlineStr">
        <is>
          <t>running order, virtual environments, restart and run all, remote kernels</t>
        </is>
      </c>
      <c r="Z5" s="18" t="inlineStr">
        <is>
          <t>kernel, interrupt, restart, memory, state</t>
        </is>
      </c>
      <c r="AA5" s="18" t="inlineStr">
        <is>
          <t>Every notebook | Debugging | Environment setup</t>
        </is>
      </c>
      <c r="AB5" s="18" t="inlineStr">
        <is>
          <t>A: The import works in my terminal but not in the notebook. | B: The kernel may use a different Python, so check its environment.</t>
        </is>
      </c>
      <c r="AC5" s="18" t="inlineStr">
        <is>
          <t>✗ Closing the browser tab stops the kernel → ✓ The kernel can keep running until you shut it down</t>
        </is>
      </c>
      <c r="AD5" s="18" t="inlineStr">
        <is>
          <t>Interrupt vs restart: interrupt stops one running cell, restart wipes the whole memory.</t>
        </is>
      </c>
      <c r="AE5" s="18" t="inlineStr">
        <is>
          <t>Do not trust results after a long session without restarting the kernel once.</t>
        </is>
      </c>
      <c r="AF5" s="18" t="inlineStr">
        <is>
          <t>Steering wheel on the page, engine in the kernel.</t>
        </is>
      </c>
      <c r="AG5" s="18" t="inlineStr">
        <is>
          <t>A hidden variable in an old session gave wrong totals until the kernel was restarted.</t>
        </is>
      </c>
      <c r="AH5" s="18" t="inlineStr">
        <is>
          <t>An interviewer may ask: What happens to variables when a kernel restarts?</t>
        </is>
      </c>
      <c r="AI5" s="18" t="inlineStr">
        <is>
          <t>It is like switching a computer off and on to clear glitches.</t>
        </is>
      </c>
      <c r="AJ5" s="18" t="inlineStr">
        <is>
          <t>What does a kernel hold in memory?</t>
        </is>
      </c>
      <c r="AK5" s="18" t="inlineStr">
        <is>
          <t>A) Only the file name B) Your variables and imports C) The screen colour D) The browser history</t>
        </is>
      </c>
      <c r="AL5" s="18" t="inlineStr">
        <is>
          <t>B</t>
        </is>
      </c>
      <c r="AM5" s="18" t="inlineStr">
        <is>
          <t>State from run cells lives in the kernel process.</t>
        </is>
      </c>
      <c r="AN5" s="18" t="inlineStr">
        <is>
          <t>Stopping one stuck cell without losing variables is called an ____ → interrupt</t>
        </is>
      </c>
      <c r="AO5" s="18" t="inlineStr">
        <is>
          <t>A cell has run for ten minutes with no end and you want to keep your data. What do you do? → Interrupt the kernel</t>
        </is>
      </c>
      <c r="AP5" s="18" t="inlineStr">
        <is>
          <t>Explain what a kernel does in three lines.</t>
        </is>
      </c>
      <c r="AQ5" s="18" t="inlineStr">
        <is>
          <t>Write which package list your kernel would see if it used another environment.</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94.5" customHeight="1">
      <c r="A6" s="17" t="inlineStr">
        <is>
          <t>JUP-004</t>
        </is>
      </c>
      <c r="B6" s="17" t="inlineStr">
        <is>
          <t>01 Basics</t>
        </is>
      </c>
      <c r="C6" s="17" t="inlineStr">
        <is>
          <t>Beginner</t>
        </is>
      </c>
      <c r="D6" s="17" t="n">
        <v>4</v>
      </c>
      <c r="E6" s="17" t="inlineStr">
        <is>
          <t>Claude knowledge</t>
        </is>
      </c>
      <c r="F6" s="18" t="inlineStr">
        <is>
          <t>Running order and hidden state</t>
        </is>
      </c>
      <c r="G6" s="18" t="inlineStr">
        <is>
          <t>Why can a notebook give different answers when cells run in a different order?</t>
        </is>
      </c>
      <c r="H6" s="18" t="inlineStr">
        <is>
          <t>Common problem</t>
        </is>
      </c>
      <c r="I6" s="18" t="inlineStr">
        <is>
          <t>Very high</t>
        </is>
      </c>
      <c r="J6" s="18" t="n">
        <v>5</v>
      </c>
      <c r="K6" s="18" t="inlineStr">
        <is>
          <t>Because the kernel remembers everything, results depend on the order cells ran, not on how the page looks.</t>
        </is>
      </c>
      <c r="L6" s="18" t="inlineStr">
        <is>
          <t>Before sharing a notebook, restart the kernel and run all cells from the top.</t>
        </is>
      </c>
      <c r="M6" s="18" t="inlineStr">
        <is>
          <t>Hidden state is a messy desk where you cannot tell which paper you used last.</t>
        </is>
      </c>
      <c r="N6" s="18" t="inlineStr">
        <is>
          <t>Numbers 3, 1, 2 next to cells showing they were run out of order.</t>
        </is>
      </c>
      <c r="O6" s="18" t="inlineStr">
        <is>
          <t>The worry of results nobody can reproduce.</t>
        </is>
      </c>
      <c r="P6" s="18" t="inlineStr">
        <is>
          <t>Hidden state is memory in the kernel that was created by earlier or deleted cells, so the visible code on the page no longer explains the current results.</t>
        </is>
      </c>
      <c r="Q6" s="17" t="n"/>
      <c r="R6" s="18" t="inlineStr">
        <is>
          <t>If you run cell five, edit cell two and run cell three, variables may contain values the page does not show. Deleting a cell does not delete what it created. The execution counts reveal the real order. A notebook is only trustworthy if it also works from a clean kernel running top to bottom.</t>
        </is>
      </c>
      <c r="S6" s="18" t="inlineStr">
        <is>
          <t>The kernel remembers things the page no longer shows, so results can differ from the code you see.</t>
        </is>
      </c>
      <c r="T6" s="18" t="inlineStr">
        <is>
          <t>Hidden state is a messy desk where you cannot tell which paper you used last.</t>
        </is>
      </c>
      <c r="U6" s="18" t="inlineStr">
        <is>
          <t>Good notebook = same result after restart and run all.</t>
        </is>
      </c>
      <c r="V6" s="18" t="inlineStr">
        <is>
          <t>A total that changes because an old filter cell was run twice.</t>
        </is>
      </c>
      <c r="W6" s="18" t="inlineStr">
        <is>
          <t>A function still working after its definition cell was deleted.</t>
        </is>
      </c>
      <c r="X6" s="18" t="inlineStr">
        <is>
          <t>A colleague getting an error on a notebook that worked for you.</t>
        </is>
      </c>
      <c r="Y6" s="18" t="inlineStr">
        <is>
          <t>restart and run all, reproducibility, kernels, execution count</t>
        </is>
      </c>
      <c r="Z6" s="18" t="inlineStr">
        <is>
          <t>state, order, execution count, reproducible, stale</t>
        </is>
      </c>
      <c r="AA6" s="18" t="inlineStr">
        <is>
          <t>Debugging | Code review | Sharing</t>
        </is>
      </c>
      <c r="AB6" s="18" t="inlineStr">
        <is>
          <t>A: It works for me but fails for you. | B: Restart the kernel and run everything from the top to find the gap.</t>
        </is>
      </c>
      <c r="AC6" s="18" t="inlineStr">
        <is>
          <t>✗ If every cell shows output, the notebook is correct → ✓ Outputs may come from an older run or a different order</t>
        </is>
      </c>
      <c r="AD6" s="18" t="inlineStr">
        <is>
          <t>Page order vs run order: the first is what you see, the second is what happened.</t>
        </is>
      </c>
      <c r="AE6" s="18" t="inlineStr">
        <is>
          <t>Do not share a notebook that has never been run from a clean start.</t>
        </is>
      </c>
      <c r="AF6" s="18" t="inlineStr">
        <is>
          <t>If it fails after restart, it was never right.</t>
        </is>
      </c>
      <c r="AG6" s="18" t="inlineStr">
        <is>
          <t>A report notebook failed for the client until a missing import cell was added.</t>
        </is>
      </c>
      <c r="AH6" s="18" t="inlineStr">
        <is>
          <t>An interviewer may ask: What problem does hidden state cause in notebooks?</t>
        </is>
      </c>
      <c r="AI6" s="18" t="inlineStr">
        <is>
          <t>It is like a recipe that only works because of an ingredient you forgot to write down.</t>
        </is>
      </c>
      <c r="AJ6" s="18" t="inlineStr">
        <is>
          <t>What is the best test of whether a notebook is reliable?</t>
        </is>
      </c>
      <c r="AK6" s="18" t="inlineStr">
        <is>
          <t>A) Delete old cells B) Increase font size C) Restart and run all D) Add more outputs</t>
        </is>
      </c>
      <c r="AL6" s="18" t="inlineStr">
        <is>
          <t>C</t>
        </is>
      </c>
      <c r="AM6" s="18" t="inlineStr">
        <is>
          <t>A clean run proves the page alone produces the results.</t>
        </is>
      </c>
      <c r="AN6" s="18" t="inlineStr">
        <is>
          <t>Numbers shown beside code cells reveal the actual run ____ → order</t>
        </is>
      </c>
      <c r="AO6" s="18" t="inlineStr">
        <is>
          <t>Your totals look wrong after many edits. What do you try first? → Restart the kernel and run all cells</t>
        </is>
      </c>
      <c r="AP6" s="18" t="inlineStr">
        <is>
          <t>Explain hidden state to a new colleague.</t>
        </is>
      </c>
      <c r="AQ6" s="18" t="inlineStr">
        <is>
          <t>Describe one way hidden state could give two analysts different results.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JUP-005</t>
        </is>
      </c>
      <c r="B7" s="17" t="inlineStr">
        <is>
          <t>01 Basics</t>
        </is>
      </c>
      <c r="C7" s="17" t="inlineStr">
        <is>
          <t>Beginner</t>
        </is>
      </c>
      <c r="D7" s="17" t="n">
        <v>5</v>
      </c>
      <c r="E7" s="17" t="inlineStr">
        <is>
          <t>Claude knowledge</t>
        </is>
      </c>
      <c r="F7" s="18" t="inlineStr">
        <is>
          <t>Notebook vs JupyterLab</t>
        </is>
      </c>
      <c r="G7" s="18" t="inlineStr">
        <is>
          <t>Which two interfaces open the same notebook files?</t>
        </is>
      </c>
      <c r="H7" s="18" t="inlineStr">
        <is>
          <t>Tool choice</t>
        </is>
      </c>
      <c r="I7" s="18" t="inlineStr">
        <is>
          <t>High</t>
        </is>
      </c>
      <c r="J7" s="18" t="n">
        <v>4</v>
      </c>
      <c r="K7" s="18" t="inlineStr">
        <is>
          <t>The classic notebook interface kept things simple, and JupyterLab grew into a fuller workspace.</t>
        </is>
      </c>
      <c r="L7" s="18" t="inlineStr">
        <is>
          <t>Start with JupyterLab if you work with several files, terminals and notebooks at once.</t>
        </is>
      </c>
      <c r="M7" s="18" t="inlineStr">
        <is>
          <t>The classic notebook is a single desk, and JupyterLab is a whole office with many rooms.</t>
        </is>
      </c>
      <c r="N7" s="18" t="inlineStr">
        <is>
          <t>One simple page beside a window with a file tree, tabs and a terminal.</t>
        </is>
      </c>
      <c r="O7" s="18" t="inlineStr">
        <is>
          <t>The comfort of having files and terminal in one window.</t>
        </is>
      </c>
      <c r="P7" s="18" t="inlineStr">
        <is>
          <t>Jupyter Notebook is the simpler single-document interface, while JupyterLab is a richer workspace with a file browser, tabs, terminals, text editors and side-by-side notebooks.</t>
        </is>
      </c>
      <c r="Q7" s="17" t="n"/>
      <c r="R7" s="18" t="inlineStr">
        <is>
          <t>Both open the same ipynb files and use the same kernels. JupyterLab lets you drag cells between notebooks, view CSV files, open a terminal and arrange panels. Newer releases of the classic notebook are built on top of Lab components, so the gap is narrowing. Editors such as VS Code can also open notebooks directly.</t>
        </is>
      </c>
      <c r="S7" s="18" t="inlineStr">
        <is>
          <t>Both open the same notebooks, but JupyterLab gives you more tools in one window.</t>
        </is>
      </c>
      <c r="T7" s="18" t="inlineStr">
        <is>
          <t>The classic notebook is a single desk, and JupyterLab is a whole office with many rooms.</t>
        </is>
      </c>
      <c r="U7" s="18" t="inlineStr">
        <is>
          <t>Same files and kernels, different workspace.</t>
        </is>
      </c>
      <c r="V7" s="18" t="inlineStr">
        <is>
          <t>Opening a notebook and a terminal side by side.</t>
        </is>
      </c>
      <c r="W7" s="18" t="inlineStr">
        <is>
          <t>Previewing a CSV file next to the analysis.</t>
        </is>
      </c>
      <c r="X7" s="18" t="inlineStr">
        <is>
          <t>Using VS Code to edit the same notebook file.</t>
        </is>
      </c>
      <c r="Y7" s="18" t="inlineStr">
        <is>
          <t>cells, kernels, Colab, hosted options</t>
        </is>
      </c>
      <c r="Z7" s="18" t="inlineStr">
        <is>
          <t>Lab, classic notebook, workspace, file browser, extension</t>
        </is>
      </c>
      <c r="AA7" s="18" t="inlineStr">
        <is>
          <t>Local setups | Training | Data teams</t>
        </is>
      </c>
      <c r="AB7" s="18" t="inlineStr">
        <is>
          <t>A: Do I need to convert my files for JupyterLab? | B: No, both open the same ipynb files.</t>
        </is>
      </c>
      <c r="AC7" s="18" t="inlineStr">
        <is>
          <t>✗ JupyterLab needs a different file format → ✓ Both use the same ipynb files</t>
        </is>
      </c>
      <c r="AD7" s="18" t="inlineStr">
        <is>
          <t>Notebook vs JupyterLab: one document at a time versus a full workspace.</t>
        </is>
      </c>
      <c r="AE7" s="18" t="inlineStr">
        <is>
          <t>Do not assume the look of an interface changes how your code runs.</t>
        </is>
      </c>
      <c r="AF7" s="18" t="inlineStr">
        <is>
          <t>Same files, same kernel, different room.</t>
        </is>
      </c>
      <c r="AG7" s="18" t="inlineStr">
        <is>
          <t>A team moved to JupyterLab to keep terminal and notebook in one window on customer laptops.</t>
        </is>
      </c>
      <c r="AH7" s="18" t="inlineStr">
        <is>
          <t>An interviewer may ask: How is JupyterLab different from the classic notebook?</t>
        </is>
      </c>
      <c r="AI7" s="18" t="inlineStr">
        <is>
          <t>It is like choosing between a notepad and a full office suite.</t>
        </is>
      </c>
      <c r="AJ7" s="18" t="inlineStr">
        <is>
          <t>Which file type opens in both interfaces?</t>
        </is>
      </c>
      <c r="AK7" s="18" t="inlineStr">
        <is>
          <t>A) ipynb B) exe C) mp3 D) docx</t>
        </is>
      </c>
      <c r="AL7" s="18" t="inlineStr">
        <is>
          <t>A</t>
        </is>
      </c>
      <c r="AM7" s="18" t="inlineStr">
        <is>
          <t>Both interfaces are front ends for the same notebook files.</t>
        </is>
      </c>
      <c r="AN7" s="18" t="inlineStr">
        <is>
          <t>A richer interface with a file browser and terminal tabs is called ____ → JupyterLab</t>
        </is>
      </c>
      <c r="AO7" s="18" t="inlineStr">
        <is>
          <t>You need a terminal and three files open together. Which interface fits? → JupyterLab</t>
        </is>
      </c>
      <c r="AP7" s="18" t="inlineStr">
        <is>
          <t>Explain the difference between the two interfaces.</t>
        </is>
      </c>
      <c r="AQ7" s="18" t="inlineStr">
        <is>
          <t>List three panels you would open in JupyterLab for a data task.</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21.5" customHeight="1">
      <c r="A8" s="17" t="inlineStr">
        <is>
          <t>JUP-006</t>
        </is>
      </c>
      <c r="B8" s="17" t="inlineStr">
        <is>
          <t>01 Basics</t>
        </is>
      </c>
      <c r="C8" s="17" t="inlineStr">
        <is>
          <t>Beginner</t>
        </is>
      </c>
      <c r="D8" s="17" t="n">
        <v>6</v>
      </c>
      <c r="E8" s="17" t="inlineStr">
        <is>
          <t>Claude knowledge</t>
        </is>
      </c>
      <c r="F8" s="18" t="inlineStr">
        <is>
          <t>Colab and hosted notebooks</t>
        </is>
      </c>
      <c r="G8" s="18" t="inlineStr">
        <is>
          <t>Which options let you run notebooks without installing anything locally?</t>
        </is>
      </c>
      <c r="H8" s="18" t="inlineStr">
        <is>
          <t>Tool choice</t>
        </is>
      </c>
      <c r="I8" s="18" t="inlineStr">
        <is>
          <t>High</t>
        </is>
      </c>
      <c r="J8" s="18" t="n">
        <v>4</v>
      </c>
      <c r="K8" s="18" t="inlineStr">
        <is>
          <t>Installing Python, packages and drivers is a barrier, so hosted services provide ready-made notebook environments in the browser.</t>
        </is>
      </c>
      <c r="L8" s="18" t="inlineStr">
        <is>
          <t>Check what data leaves your machine before using any hosted notebook with customer data.</t>
        </is>
      </c>
      <c r="M8" s="18" t="inlineStr">
        <is>
          <t>A hosted notebook is a rented workshop, ready to use but not your own building.</t>
        </is>
      </c>
      <c r="N8" s="18" t="inlineStr">
        <is>
          <t>A browser window connected to a cloud server.</t>
        </is>
      </c>
      <c r="O8" s="18" t="inlineStr">
        <is>
          <t>The ease of starting with nothing to install.</t>
        </is>
      </c>
      <c r="P8" s="18" t="inlineStr">
        <is>
          <t>Hosted notebooks are notebook environments run by a provider such as Google Colab, cloud data platforms or a company JupyterHub, so code runs on remote machines and you work through a browser.</t>
        </is>
      </c>
      <c r="Q8" s="17" t="n"/>
      <c r="R8" s="18" t="inlineStr">
        <is>
          <t>They are quick for learning, sharing and light experiments, and some offer accelerators for model work. The trade-offs are limited session time, files that may disappear when a session ends, package installs that must be repeated, and data being processed on someone else's servers. Features, limits and pricing differ by provider and change often, so read the provider's documentation.</t>
        </is>
      </c>
      <c r="S8" s="18" t="inlineStr">
        <is>
          <t>A hosted notebook runs in the cloud, so you only need a browser.</t>
        </is>
      </c>
      <c r="T8" s="18" t="inlineStr">
        <is>
          <t>A hosted notebook is a rented workshop, ready to use but not your own building.</t>
        </is>
      </c>
      <c r="U8" s="18" t="inlineStr">
        <is>
          <t>Convenience gained, control and privacy to be checked.</t>
        </is>
      </c>
      <c r="V8" s="18" t="inlineStr">
        <is>
          <t>Opening a tutorial notebook from a link and running it at once.</t>
        </is>
      </c>
      <c r="W8" s="18" t="inlineStr">
        <is>
          <t>A team using a shared JupyterHub server.</t>
        </is>
      </c>
      <c r="X8" s="18" t="inlineStr">
        <is>
          <t>Running a heavy model step on a hosted machine with extra power.</t>
        </is>
      </c>
      <c r="Y8" s="18" t="inlineStr">
        <is>
          <t>Jupyter, remote kernels, secrets in notebooks, sharing</t>
        </is>
      </c>
      <c r="Z8" s="18" t="inlineStr">
        <is>
          <t>hosted, cloud, session, runtime, JupyterHub</t>
        </is>
      </c>
      <c r="AA8" s="18" t="inlineStr">
        <is>
          <t>Learning | Prototyping | Shared teams</t>
        </is>
      </c>
      <c r="AB8" s="18" t="inlineStr">
        <is>
          <t>A: Can I use customer data in a free hosted notebook? | B: Check the data rules first, because it leaves our machines.</t>
        </is>
      </c>
      <c r="AC8" s="18" t="inlineStr">
        <is>
          <t>✗ Hosted notebooks keep my files forever → ✓ Files and installs may vanish when the session ends</t>
        </is>
      </c>
      <c r="AD8" s="18" t="inlineStr">
        <is>
          <t>Local vs hosted: your own machine and control versus someone else's machine and convenience.</t>
        </is>
      </c>
      <c r="AE8" s="18" t="inlineStr">
        <is>
          <t>Do not upload customer data to a service you have not approved.</t>
        </is>
      </c>
      <c r="AF8" s="18" t="inlineStr">
        <is>
          <t>Easy start, but check where the data goes.</t>
        </is>
      </c>
      <c r="AG8" s="18" t="inlineStr">
        <is>
          <t>A workshop used hosted notebooks so every learner started with the same setup.</t>
        </is>
      </c>
      <c r="AH8" s="18" t="inlineStr">
        <is>
          <t>An interviewer may ask: What are the risks of hosted notebooks?</t>
        </is>
      </c>
      <c r="AI8" s="18" t="inlineStr">
        <is>
          <t>It is like using a rented desk instead of your own office.</t>
        </is>
      </c>
      <c r="AJ8" s="18" t="inlineStr">
        <is>
          <t>What should you check before using customer data in a hosted notebook?</t>
        </is>
      </c>
      <c r="AK8" s="18" t="inlineStr">
        <is>
          <t>A) The font B) The mouse speed C) The tab colour D) Where the data is processed</t>
        </is>
      </c>
      <c r="AL8" s="18" t="inlineStr">
        <is>
          <t>D</t>
        </is>
      </c>
      <c r="AM8" s="18" t="inlineStr">
        <is>
          <t>Hosted code and data run on a provider's servers.</t>
        </is>
      </c>
      <c r="AN8" s="18" t="inlineStr">
        <is>
          <t>A shared notebook server for a company is often called a Jupyter____ → Hub</t>
        </is>
      </c>
      <c r="AO8" s="18" t="inlineStr">
        <is>
          <t>A learner cannot install Python on a locked laptop. What can they use? → A hosted notebook in the browser</t>
        </is>
      </c>
      <c r="AP8" s="18" t="inlineStr">
        <is>
          <t>Explain two benefits and two risks of hosted notebooks.</t>
        </is>
      </c>
      <c r="AQ8" s="18" t="inlineStr">
        <is>
          <t>Write a short rule for what data may be used in hosted notebooks.</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JUP-007</t>
        </is>
      </c>
      <c r="B9" s="17" t="inlineStr">
        <is>
          <t>02 Daily use</t>
        </is>
      </c>
      <c r="C9" s="17" t="inlineStr">
        <is>
          <t>Beginner</t>
        </is>
      </c>
      <c r="D9" s="17" t="n">
        <v>7</v>
      </c>
      <c r="E9" s="17" t="inlineStr">
        <is>
          <t>Claude knowledge</t>
        </is>
      </c>
      <c r="F9" s="18" t="inlineStr">
        <is>
          <t>Keyboard shortcuts</t>
        </is>
      </c>
      <c r="G9" s="18" t="inlineStr">
        <is>
          <t>Which key combinations make notebook work much faster?</t>
        </is>
      </c>
      <c r="H9" s="18" t="inlineStr">
        <is>
          <t>Productivity</t>
        </is>
      </c>
      <c r="I9" s="18" t="inlineStr">
        <is>
          <t>Very high</t>
        </is>
      </c>
      <c r="J9" s="18" t="n">
        <v>4</v>
      </c>
      <c r="K9" s="18" t="inlineStr">
        <is>
          <t>Reaching for the mouse for every action is slow, so notebooks have two modes with single-key shortcuts.</t>
        </is>
      </c>
      <c r="L9" s="18" t="inlineStr">
        <is>
          <t>Learn only five shortcuts first: run, insert below, delete, markdown and command mode.</t>
        </is>
      </c>
      <c r="M9" s="18" t="inlineStr">
        <is>
          <t>Command mode is the remote control, and edit mode is the keyboard in your hand.</t>
        </is>
      </c>
      <c r="N9" s="18" t="inlineStr">
        <is>
          <t>A cell with a blue border for command mode and a green border for edit mode.</t>
        </is>
      </c>
      <c r="O9" s="18" t="inlineStr">
        <is>
          <t>The pride of working without touching the mouse.</t>
        </is>
      </c>
      <c r="P9" s="18" t="inlineStr">
        <is>
          <t>Notebooks have command mode, entered with Esc, for acting on cells, and edit mode, entered with Enter, for typing inside a cell, and each mode has its own shortcuts.</t>
        </is>
      </c>
      <c r="Q9" s="17" t="n"/>
      <c r="R9" s="18" t="inlineStr">
        <is>
          <t>In command mode, A inserts a cell above, B inserts below, DD deletes the cell, M turns it into markdown and Y back into code. In both modes, Shift+Enter runs the cell and moves on, and Ctrl+Enter runs it and stays. The shortcut list is available from the command palette, and exact keys may differ slightly between interfaces and versions.</t>
        </is>
      </c>
      <c r="S9" s="18" t="inlineStr">
        <is>
          <t>Press Esc to control cells and Enter to type, then use single keys for common actions.</t>
        </is>
      </c>
      <c r="T9" s="18" t="inlineStr">
        <is>
          <t>Command mode is the remote control, and edit mode is the keyboard in your hand.</t>
        </is>
      </c>
      <c r="U9" s="18" t="inlineStr">
        <is>
          <t>Esc to command, Enter to edit, Shift+Enter to run.</t>
        </is>
      </c>
      <c r="V9" s="18" t="inlineStr">
        <is>
          <t>Pressing B to add a cell under the current one.</t>
        </is>
      </c>
      <c r="W9" s="18" t="inlineStr">
        <is>
          <t>Pressing M to switch a cell to text.</t>
        </is>
      </c>
      <c r="X9" s="18" t="inlineStr">
        <is>
          <t>Pressing Shift+Enter to run and move down.</t>
        </is>
      </c>
      <c r="Y9" s="18" t="inlineStr">
        <is>
          <t>cells, markdown cells, restart and run all, JupyterLab</t>
        </is>
      </c>
      <c r="Z9" s="18" t="inlineStr">
        <is>
          <t>shortcut, command mode, edit mode, palette, key</t>
        </is>
      </c>
      <c r="AA9" s="18" t="inlineStr">
        <is>
          <t>Daily analysis | Live demos | Teaching</t>
        </is>
      </c>
      <c r="AB9" s="18" t="inlineStr">
        <is>
          <t>A: Why did pressing D twice delete my cell? | B: You were in command mode, where DD removes a cell.</t>
        </is>
      </c>
      <c r="AC9" s="18" t="inlineStr">
        <is>
          <t>✗ Shortcuts work the same in every mode → ✓ Many keys only work in command mode</t>
        </is>
      </c>
      <c r="AD9" s="18" t="inlineStr">
        <is>
          <t>Shift+Enter vs Ctrl+Enter: run and move on versus run and stay.</t>
        </is>
      </c>
      <c r="AE9" s="18" t="inlineStr">
        <is>
          <t>Do not type letters in command mode, because they trigger actions.</t>
        </is>
      </c>
      <c r="AF9" s="18" t="inlineStr">
        <is>
          <t>Esc is the remote, Enter is the keyboard.</t>
        </is>
      </c>
      <c r="AG9" s="18" t="inlineStr">
        <is>
          <t>Learning five shortcuts made a live demo on a client call smoother.</t>
        </is>
      </c>
      <c r="AH9" s="18" t="inlineStr">
        <is>
          <t>An interviewer may ask: What are the two notebook modes?</t>
        </is>
      </c>
      <c r="AI9" s="18" t="inlineStr">
        <is>
          <t>It is like a game controller with one set of buttons for menus and another for play.</t>
        </is>
      </c>
      <c r="AJ9" s="18" t="inlineStr">
        <is>
          <t>Which key enters command mode?</t>
        </is>
      </c>
      <c r="AK9" s="18" t="inlineStr">
        <is>
          <t>A) Caps Lock B) Esc C) Tab D) Delete</t>
        </is>
      </c>
      <c r="AL9" s="18" t="inlineStr">
        <is>
          <t>B</t>
        </is>
      </c>
      <c r="AM9" s="18" t="inlineStr">
        <is>
          <t>Esc leaves editing so single-key cell shortcuts work.</t>
        </is>
      </c>
      <c r="AN9" s="18" t="inlineStr">
        <is>
          <t>Running a cell and jumping to the next one uses Shift plus ____ → Enter</t>
        </is>
      </c>
      <c r="AO9" s="18" t="inlineStr">
        <is>
          <t>You want a new cell below without the mouse. What do you press in command mode? → B</t>
        </is>
      </c>
      <c r="AP9" s="18" t="inlineStr">
        <is>
          <t>Explain the two notebook modes and how to switch.</t>
        </is>
      </c>
      <c r="AQ9" s="18" t="inlineStr">
        <is>
          <t>Write your own five-shortcut cheat sheet and practise it for a week.</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JUP-014</t>
        </is>
      </c>
      <c r="B10" s="17" t="inlineStr">
        <is>
          <t>02 Daily use</t>
        </is>
      </c>
      <c r="C10" s="17" t="inlineStr">
        <is>
          <t>Beginner</t>
        </is>
      </c>
      <c r="D10" s="17" t="n">
        <v>14</v>
      </c>
      <c r="E10" s="17" t="inlineStr">
        <is>
          <t>Claude knowledge</t>
        </is>
      </c>
      <c r="F10" s="18" t="inlineStr">
        <is>
          <t>Restart and run all</t>
        </is>
      </c>
      <c r="G10" s="18" t="inlineStr">
        <is>
          <t>Which action proves a notebook works from top to bottom?</t>
        </is>
      </c>
      <c r="H10" s="18" t="inlineStr">
        <is>
          <t>Good habit</t>
        </is>
      </c>
      <c r="I10" s="18" t="inlineStr">
        <is>
          <t>Very high</t>
        </is>
      </c>
      <c r="J10" s="18" t="n">
        <v>5</v>
      </c>
      <c r="K10" s="18" t="inlineStr">
        <is>
          <t>Because of hidden state, the only real proof of a notebook is a clean run of every cell in order.</t>
        </is>
      </c>
      <c r="L10" s="18" t="inlineStr">
        <is>
          <t>Do a restart and run all before every share, commit or review.</t>
        </is>
      </c>
      <c r="M10" s="18" t="inlineStr">
        <is>
          <t>Restart and run all is the final dress rehearsal before opening night.</t>
        </is>
      </c>
      <c r="N10" s="18" t="inlineStr">
        <is>
          <t>A menu showing restart the kernel and run all cells.</t>
        </is>
      </c>
      <c r="O10" s="18" t="inlineStr">
        <is>
          <t>The confidence of seeing every cell pass in order.</t>
        </is>
      </c>
      <c r="P10" s="18" t="inlineStr">
        <is>
          <t>Restart and run all clears the kernel's memory and then runs every cell from top to bottom, showing whether the notebook works without leftover state.</t>
        </is>
      </c>
      <c r="Q10" s="17" t="n"/>
      <c r="R10" s="18" t="inlineStr">
        <is>
          <t>The command is in the kernel menu. If any cell fails, the notebook depended on something not shown, such as a deleted cell or a manual change. Fixing the first failing cell and repeating gives a notebook that others can run. For slow notebooks, test on a small sample first, then run the full version once at the end.</t>
        </is>
      </c>
      <c r="S10" s="18" t="inlineStr">
        <is>
          <t>Wipe the memory and run every cell in order to check the notebook is honest.</t>
        </is>
      </c>
      <c r="T10" s="18" t="inlineStr">
        <is>
          <t>Restart and run all is the final dress rehearsal before opening night.</t>
        </is>
      </c>
      <c r="U10" s="18" t="inlineStr">
        <is>
          <t>Share only after a clean top-to-bottom run.</t>
        </is>
      </c>
      <c r="V10" s="18" t="inlineStr">
        <is>
          <t>Running all cells before sending a report.</t>
        </is>
      </c>
      <c r="W10" s="18" t="inlineStr">
        <is>
          <t>Finding a missing import through the first failing cell.</t>
        </is>
      </c>
      <c r="X10" s="18" t="inlineStr">
        <is>
          <t>Checking a notebook before committing it.</t>
        </is>
      </c>
      <c r="Y10" s="18" t="inlineStr">
        <is>
          <t>running order, reproducibility, version control, kernels</t>
        </is>
      </c>
      <c r="Z10" s="18" t="inlineStr">
        <is>
          <t>restart, run all, clean run, state, order</t>
        </is>
      </c>
      <c r="AA10" s="18" t="inlineStr">
        <is>
          <t>Before sharing | Code review | Handover</t>
        </is>
      </c>
      <c r="AB10" s="18" t="inlineStr">
        <is>
          <t>A: Is the notebook ready to send? | B: Only after a clean restart and run all.</t>
        </is>
      </c>
      <c r="AC10" s="18" t="inlineStr">
        <is>
          <t>✗ Running the last cell again proves the notebook works → ✓ Only a full clean run proves it</t>
        </is>
      </c>
      <c r="AD10" s="18" t="inlineStr">
        <is>
          <t>Run all vs restart and run all: one keeps old memory, the other wipes it first.</t>
        </is>
      </c>
      <c r="AE10" s="18" t="inlineStr">
        <is>
          <t>Do not send a notebook that has only been run in pieces.</t>
        </is>
      </c>
      <c r="AF10" s="18" t="inlineStr">
        <is>
          <t>Wipe, run, check, then share.</t>
        </is>
      </c>
      <c r="AG10" s="18" t="inlineStr">
        <is>
          <t>A clean run caught a missing import before a customer received the notebook.</t>
        </is>
      </c>
      <c r="AH10" s="18" t="inlineStr">
        <is>
          <t>An interviewer may ask: How do you check a notebook is reproducible?</t>
        </is>
      </c>
      <c r="AI10" s="18" t="inlineStr">
        <is>
          <t>It is like a full rehearsal before the real show.</t>
        </is>
      </c>
      <c r="AJ10" s="18" t="inlineStr">
        <is>
          <t>What does restart and run all start with?</t>
        </is>
      </c>
      <c r="AK10" s="18" t="inlineStr">
        <is>
          <t>A) Changing the theme B) Clearing kernel memory C) Deleting the file D) Closing the browser</t>
        </is>
      </c>
      <c r="AL10" s="18" t="inlineStr">
        <is>
          <t>B</t>
        </is>
      </c>
      <c r="AM10" s="18" t="inlineStr">
        <is>
          <t>A clean state is what makes the check honest.</t>
        </is>
      </c>
      <c r="AN10" s="18" t="inlineStr">
        <is>
          <t>The check works because it removes leftover ____ → state</t>
        </is>
      </c>
      <c r="AO10" s="18" t="inlineStr">
        <is>
          <t>You finished editing and want to share. What do you do first? → Restart the kernel and run all cells</t>
        </is>
      </c>
      <c r="AP10" s="18" t="inlineStr">
        <is>
          <t>Explain why restart and run all matters before sharing.</t>
        </is>
      </c>
      <c r="AQ10" s="18" t="inlineStr">
        <is>
          <t>Write a pre-share checklist of four steps for notebooks.</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JUP-015</t>
        </is>
      </c>
      <c r="B11" s="17" t="inlineStr">
        <is>
          <t>03 Good practice</t>
        </is>
      </c>
      <c r="C11" s="17" t="inlineStr">
        <is>
          <t>Intermediate</t>
        </is>
      </c>
      <c r="D11" s="17" t="n">
        <v>15</v>
      </c>
      <c r="E11" s="17" t="inlineStr">
        <is>
          <t>Claude knowledge</t>
        </is>
      </c>
      <c r="F11" s="18" t="inlineStr">
        <is>
          <t>Reproducibility</t>
        </is>
      </c>
      <c r="G11" s="18" t="inlineStr">
        <is>
          <t>What makes someone else get the same results from your notebook?</t>
        </is>
      </c>
      <c r="H11" s="18" t="inlineStr">
        <is>
          <t>Good practice</t>
        </is>
      </c>
      <c r="I11" s="18" t="inlineStr">
        <is>
          <t>Very high</t>
        </is>
      </c>
      <c r="J11" s="18" t="n">
        <v>5</v>
      </c>
      <c r="K11" s="18" t="inlineStr">
        <is>
          <t>A result that nobody else can recreate is hard to trust, review or reuse.</t>
        </is>
      </c>
      <c r="L11" s="18" t="inlineStr">
        <is>
          <t>Record the data source, package versions and random seeds inside the notebook itself.</t>
        </is>
      </c>
      <c r="M11" s="18" t="inlineStr">
        <is>
          <t>A reproducible notebook is a recipe with exact amounts, not a vague description of a meal.</t>
        </is>
      </c>
      <c r="N11" s="18" t="inlineStr">
        <is>
          <t>A checklist with data, packages, seed and order all ticked.</t>
        </is>
      </c>
      <c r="O11" s="18" t="inlineStr">
        <is>
          <t>The trust of results that others can repeat.</t>
        </is>
      </c>
      <c r="P11" s="18" t="inlineStr">
        <is>
          <t>A reproducible notebook gives the same results when another person runs it from top to bottom on their own machine, because its inputs, packages, randomness and order are all stated.</t>
        </is>
      </c>
      <c r="Q11" s="17" t="n"/>
      <c r="R11" s="18" t="inlineStr">
        <is>
          <t>Four things usually break reproducibility: hidden state, unpinned package versions, missing or changing data, and unseeded randomness. Fix them by running clean, listing versions in a requirements file, noting where data comes from, and setting seeds. Use relative paths so the notebook does not depend on your own folders.</t>
        </is>
      </c>
      <c r="S11" s="18" t="inlineStr">
        <is>
          <t>Someone else should be able to run your notebook and get the same answer.</t>
        </is>
      </c>
      <c r="T11" s="18" t="inlineStr">
        <is>
          <t>A reproducible notebook is a recipe with exact amounts, not a vague description of a meal.</t>
        </is>
      </c>
      <c r="U11" s="18" t="inlineStr">
        <is>
          <t>Same data, same packages, same seed, same order.</t>
        </is>
      </c>
      <c r="V11" s="18" t="inlineStr">
        <is>
          <t>A requirements file stored beside the notebook.</t>
        </is>
      </c>
      <c r="W11" s="18" t="inlineStr">
        <is>
          <t>A fixed random seed in a sampling step.</t>
        </is>
      </c>
      <c r="X11" s="18" t="inlineStr">
        <is>
          <t>A relative path to a data folder inside the project.</t>
        </is>
      </c>
      <c r="Y11" s="18" t="inlineStr">
        <is>
          <t>running order, restart and run all, installing packages, version control</t>
        </is>
      </c>
      <c r="Z11" s="18" t="inlineStr">
        <is>
          <t>reproducible, seed, pinned, relative path, environment</t>
        </is>
      </c>
      <c r="AA11" s="18" t="inlineStr">
        <is>
          <t>Research | Client reports | Audits</t>
        </is>
      </c>
      <c r="AB11" s="18" t="inlineStr">
        <is>
          <t>A: My numbers differ from yours. | B: Let us compare package versions and the random seed.</t>
        </is>
      </c>
      <c r="AC11" s="18" t="inlineStr">
        <is>
          <t>✗ If it runs on my laptop it is reproducible → ✓ It must also run cleanly on another machine</t>
        </is>
      </c>
      <c r="AD11" s="18" t="inlineStr">
        <is>
          <t>Reproducible vs repeatable: others can recreate it versus you can rerun it yourself.</t>
        </is>
      </c>
      <c r="AE11" s="18" t="inlineStr">
        <is>
          <t>Do not hard-code paths that exist only on your own computer.</t>
        </is>
      </c>
      <c r="AF11" s="18" t="inlineStr">
        <is>
          <t>Pin the versions, fix the seed, share the data path.</t>
        </is>
      </c>
      <c r="AG11" s="18" t="inlineStr">
        <is>
          <t>Pinned package versions let an audit team recreate a client's numbers months later.</t>
        </is>
      </c>
      <c r="AH11" s="18" t="inlineStr">
        <is>
          <t>An interviewer may ask: How do you make a notebook reproducible?</t>
        </is>
      </c>
      <c r="AI11" s="18" t="inlineStr">
        <is>
          <t>It is like a recipe with exact measurements.</t>
        </is>
      </c>
      <c r="AJ11" s="18" t="inlineStr">
        <is>
          <t>Which item helps make random steps repeatable?</t>
        </is>
      </c>
      <c r="AK11" s="18" t="inlineStr">
        <is>
          <t>A) A new tab B) More colours C) A bigger font D) A fixed seed</t>
        </is>
      </c>
      <c r="AL11" s="18" t="inlineStr">
        <is>
          <t>D</t>
        </is>
      </c>
      <c r="AM11" s="18" t="inlineStr">
        <is>
          <t>A seed makes random choices follow the same sequence.</t>
        </is>
      </c>
      <c r="AN11" s="18" t="inlineStr">
        <is>
          <t>A path that starts from the project folder is called a ____ path → relative</t>
        </is>
      </c>
      <c r="AO11" s="18" t="inlineStr">
        <is>
          <t>Two analysts get different sampled rows. What do you add? → A fixed random seed</t>
        </is>
      </c>
      <c r="AP11" s="18" t="inlineStr">
        <is>
          <t>Explain four causes of notebooks that cannot be reproduced.</t>
        </is>
      </c>
      <c r="AQ11" s="18" t="inlineStr">
        <is>
          <t>Write a reproducibility checklist you can paste at the top of any notebook.</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21.5" customHeight="1">
      <c r="A12" s="17" t="inlineStr">
        <is>
          <t>JUP-019</t>
        </is>
      </c>
      <c r="B12" s="17" t="inlineStr">
        <is>
          <t>03 Good practice</t>
        </is>
      </c>
      <c r="C12" s="17" t="inlineStr">
        <is>
          <t>Intermediate</t>
        </is>
      </c>
      <c r="D12" s="17" t="n">
        <v>19</v>
      </c>
      <c r="E12" s="17" t="inlineStr">
        <is>
          <t>Claude knowledge</t>
        </is>
      </c>
      <c r="F12" s="18" t="inlineStr">
        <is>
          <t>Sharing notebooks</t>
        </is>
      </c>
      <c r="G12" s="18" t="inlineStr">
        <is>
          <t>How do you share a notebook so others can read or run it?</t>
        </is>
      </c>
      <c r="H12" s="18" t="inlineStr">
        <is>
          <t>Good practice</t>
        </is>
      </c>
      <c r="I12" s="18" t="inlineStr">
        <is>
          <t>High</t>
        </is>
      </c>
      <c r="J12" s="18" t="n">
        <v>4</v>
      </c>
      <c r="K12" s="18" t="inlineStr">
        <is>
          <t>A notebook sent as a bare file may not open, may miss data, or may reveal more than intended.</t>
        </is>
      </c>
      <c r="L12" s="18" t="inlineStr">
        <is>
          <t>Decide first whether the reader needs to read, to run, or to edit, and pick the format to match.</t>
        </is>
      </c>
      <c r="M12" s="18" t="inlineStr">
        <is>
          <t>Sharing is choosing between showing a photograph, lending a model, or handing over the workshop.</t>
        </is>
      </c>
      <c r="N12" s="18" t="inlineStr">
        <is>
          <t>Three paths labelled read, run and edit leading to different formats.</t>
        </is>
      </c>
      <c r="O12" s="18" t="inlineStr">
        <is>
          <t>The care of giving others exactly what they need.</t>
        </is>
      </c>
      <c r="P12" s="18" t="inlineStr">
        <is>
          <t>Sharing a notebook means choosing a form that fits the reader, such as a rendered HTML report to read, a repository with an environment file to run, or a hosted link to edit.</t>
        </is>
      </c>
      <c r="Q12" s="17" t="n"/>
      <c r="R12" s="18" t="inlineStr">
        <is>
          <t>Readers who only need results should get HTML or PDF. Readers who must rerun it need the notebook, its data location and a list of packages. Readers who will edit should receive it through version control. Always check for secrets and private data in code and outputs first. Hosted services add sharing links, but the provider's access rules and data location still apply.</t>
        </is>
      </c>
      <c r="S12" s="18" t="inlineStr">
        <is>
          <t>Give the reader a format that matches what they need to do.</t>
        </is>
      </c>
      <c r="T12" s="18" t="inlineStr">
        <is>
          <t>Sharing is choosing between showing a photograph, lending a model, or handing over the workshop.</t>
        </is>
      </c>
      <c r="U12" s="18" t="inlineStr">
        <is>
          <t>Read means HTML, run means repository plus environment, edit means version control.</t>
        </is>
      </c>
      <c r="V12" s="18" t="inlineStr">
        <is>
          <t>An HTML report for a manager.</t>
        </is>
      </c>
      <c r="W12" s="18" t="inlineStr">
        <is>
          <t>A repository link with a requirements file for a colleague.</t>
        </is>
      </c>
      <c r="X12" s="18" t="inlineStr">
        <is>
          <t>A hosted link for a workshop group.</t>
        </is>
      </c>
      <c r="Y12" s="18" t="inlineStr">
        <is>
          <t>nbconvert, secrets in notebooks, version control, hosted notebooks</t>
        </is>
      </c>
      <c r="Z12" s="18" t="inlineStr">
        <is>
          <t>share, export, repository, link, access</t>
        </is>
      </c>
      <c r="AA12" s="18" t="inlineStr">
        <is>
          <t>Reports | Teams | Workshops</t>
        </is>
      </c>
      <c r="AB12" s="18" t="inlineStr">
        <is>
          <t>A: Can the client run the notebook? | B: Only if we send the data path and a requirements file with it.</t>
        </is>
      </c>
      <c r="AC12" s="18" t="inlineStr">
        <is>
          <t>✗ Sending the ipynb file is always enough → ✓ Readers also need data, packages and sometimes a clean export</t>
        </is>
      </c>
      <c r="AD12" s="18" t="inlineStr">
        <is>
          <t>Read vs run: a rendered report versus a full working setup.</t>
        </is>
      </c>
      <c r="AE12" s="18" t="inlineStr">
        <is>
          <t>Do not share a notebook before checking its outputs for private data.</t>
        </is>
      </c>
      <c r="AF12" s="18" t="inlineStr">
        <is>
          <t>Read, run or edit decides the format.</t>
        </is>
      </c>
      <c r="AG12" s="18" t="inlineStr">
        <is>
          <t>A client received an HTML summary and a separate repository for the engineering team.</t>
        </is>
      </c>
      <c r="AH12" s="18" t="inlineStr">
        <is>
          <t>An interviewer may ask: How do you share analysis with a non-technical stakeholder?</t>
        </is>
      </c>
      <c r="AI12" s="18" t="inlineStr">
        <is>
          <t>It is like choosing between sending a photo, lending a recipe or handing over the keys.</t>
        </is>
      </c>
      <c r="AJ12" s="18" t="inlineStr">
        <is>
          <t>Which format suits a manager who only reads results?</t>
        </is>
      </c>
      <c r="AK12" s="18" t="inlineStr">
        <is>
          <t>A) Raw kernel B) Environment folder C) HTML report D) Source repository</t>
        </is>
      </c>
      <c r="AL12" s="18" t="inlineStr">
        <is>
          <t>C</t>
        </is>
      </c>
      <c r="AM12" s="18" t="inlineStr">
        <is>
          <t>A rendered report needs no installation.</t>
        </is>
      </c>
      <c r="AN12" s="18" t="inlineStr">
        <is>
          <t>A reader who must rerun the notebook also needs its ____ list → package</t>
        </is>
      </c>
      <c r="AO12" s="18" t="inlineStr">
        <is>
          <t>A client wants only the findings. What do you send? → A rendered HTML or PDF report</t>
        </is>
      </c>
      <c r="AP12" s="18" t="inlineStr">
        <is>
          <t>Explain how you decide how to share a notebook.</t>
        </is>
      </c>
      <c r="AQ12" s="18" t="inlineStr">
        <is>
          <t>Write a pre-share check of five items for any notebook.</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sheetData>
  <autoFilter ref="A2:BB12"/>
  <mergeCells count="6">
    <mergeCell ref="F1:O1"/>
    <mergeCell ref="AT1:BB1"/>
    <mergeCell ref="AR1:AS1"/>
    <mergeCell ref="A1:E1"/>
    <mergeCell ref="AJ1:AQ1"/>
    <mergeCell ref="P1:AI1"/>
  </mergeCells>
  <dataValidations count="2">
    <dataValidation sqref="AT3:AT12" showDropDown="0" showInputMessage="0" showErrorMessage="0" allowBlank="1" type="list">
      <formula1>"New,Learning,Known"</formula1>
    </dataValidation>
    <dataValidation sqref="BA3:BA12"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JUP-001</t>
        </is>
      </c>
    </row>
    <row r="4">
      <c r="A4" s="23" t="inlineStr">
        <is>
          <t>FRONT · Recognition (pehchano)</t>
        </is>
      </c>
    </row>
    <row r="5" ht="30" customHeight="1">
      <c r="A5" s="24" t="inlineStr">
        <is>
          <t>ID</t>
        </is>
      </c>
      <c r="B5" s="17">
        <f>INDEX('Topic (56-pt) cards'!$A$3:$BB$12,MATCH($B$2,'Topic (56-pt) cards'!$A$3:$A$12,0),MATCH("ID",'Topic (56-pt) cards'!$A$2:$BB$2,0))&amp;""</f>
        <v/>
      </c>
    </row>
    <row r="6" ht="30" customHeight="1">
      <c r="A6" s="24" t="inlineStr">
        <is>
          <t>Topic</t>
        </is>
      </c>
      <c r="B6" s="17">
        <f>INDEX('Topic (56-pt) cards'!$A$3:$BB$12,MATCH($B$2,'Topic (56-pt) cards'!$A$3:$A$12,0),MATCH("Topic",'Topic (56-pt) cards'!$A$2:$BB$2,0))&amp;""</f>
        <v/>
      </c>
    </row>
    <row r="7" ht="30" customHeight="1">
      <c r="A7" s="24" t="inlineStr">
        <is>
          <t>Level</t>
        </is>
      </c>
      <c r="B7" s="17">
        <f>INDEX('Topic (56-pt) cards'!$A$3:$BB$12,MATCH($B$2,'Topic (56-pt) cards'!$A$3:$A$12,0),MATCH("Level",'Topic (56-pt) cards'!$A$2:$BB$2,0))&amp;""</f>
        <v/>
      </c>
    </row>
    <row r="8" ht="30" customHeight="1">
      <c r="A8" s="24" t="inlineStr">
        <is>
          <t>Term / topic</t>
        </is>
      </c>
      <c r="B8" s="17">
        <f>INDEX('Topic (56-pt) cards'!$A$3:$BB$12,MATCH($B$2,'Topic (56-pt) cards'!$A$3:$A$12,0),MATCH("Term / topic",'Topic (56-pt) cards'!$A$2:$BB$2,0))&amp;""</f>
        <v/>
      </c>
    </row>
    <row r="9" ht="30" customHeight="1">
      <c r="A9" s="24" t="inlineStr">
        <is>
          <t>Recall cue</t>
        </is>
      </c>
      <c r="B9" s="17">
        <f>INDEX('Topic (56-pt) cards'!$A$3:$BB$12,MATCH($B$2,'Topic (56-pt) cards'!$A$3:$A$12,0),MATCH("Recall cue",'Topic (56-pt) cards'!$A$2:$BB$2,0))&amp;""</f>
        <v/>
      </c>
    </row>
    <row r="10" ht="30" customHeight="1">
      <c r="A10" s="24" t="inlineStr">
        <is>
          <t>Category</t>
        </is>
      </c>
      <c r="B10" s="17">
        <f>INDEX('Topic (56-pt) cards'!$A$3:$BB$12,MATCH($B$2,'Topic (56-pt) cards'!$A$3:$A$12,0),MATCH("Category",'Topic (56-pt) cards'!$A$2:$BB$2,0))&amp;""</f>
        <v/>
      </c>
    </row>
    <row r="11" ht="30" customHeight="1">
      <c r="A11" s="24" t="inlineStr">
        <is>
          <t>How often used</t>
        </is>
      </c>
      <c r="B11" s="17">
        <f>INDEX('Topic (56-pt) cards'!$A$3:$BB$12,MATCH($B$2,'Topic (56-pt) cards'!$A$3:$A$12,0),MATCH("How often used",'Topic (56-pt) cards'!$A$2:$BB$2,0))&amp;""</f>
        <v/>
      </c>
    </row>
    <row r="12" ht="30" customHeight="1">
      <c r="A12" s="24" t="inlineStr">
        <is>
          <t>Importance (1-5)</t>
        </is>
      </c>
      <c r="B12" s="17">
        <f>INDEX('Topic (56-pt) cards'!$A$3:$BB$12,MATCH($B$2,'Topic (56-pt) cards'!$A$3:$A$12,0),MATCH("Importance (1-5)",'Topic (56-pt) cards'!$A$2:$BB$2,0))&amp;""</f>
        <v/>
      </c>
    </row>
    <row r="13" ht="30" customHeight="1">
      <c r="A13" s="24" t="inlineStr">
        <is>
          <t>Origin / why it exists</t>
        </is>
      </c>
      <c r="B13" s="17">
        <f>INDEX('Topic (56-pt) cards'!$A$3:$BB$12,MATCH($B$2,'Topic (56-pt) cards'!$A$3:$A$12,0),MATCH("Origin / why it exists",'Topic (56-pt) cards'!$A$2:$BB$2,0))&amp;""</f>
        <v/>
      </c>
    </row>
    <row r="14" ht="30" customHeight="1">
      <c r="A14" s="24" t="inlineStr">
        <is>
          <t>Pro tip</t>
        </is>
      </c>
      <c r="B14" s="17">
        <f>INDEX('Topic (56-pt) cards'!$A$3:$BB$12,MATCH($B$2,'Topic (56-pt) cards'!$A$3:$A$12,0),MATCH("Pro tip",'Topic (56-pt) cards'!$A$2:$BB$2,0))&amp;""</f>
        <v/>
      </c>
    </row>
    <row r="15" ht="30" customHeight="1">
      <c r="A15" s="24" t="inlineStr">
        <is>
          <t>Memory story</t>
        </is>
      </c>
      <c r="B15" s="17">
        <f>INDEX('Topic (56-pt) cards'!$A$3:$BB$12,MATCH($B$2,'Topic (56-pt) cards'!$A$3:$A$12,0),MATCH("Memory story",'Topic (56-pt) cards'!$A$2:$BB$2,0))&amp;""</f>
        <v/>
      </c>
    </row>
    <row r="16" ht="30" customHeight="1">
      <c r="A16" s="24" t="inlineStr">
        <is>
          <t>Picture it</t>
        </is>
      </c>
      <c r="B16" s="17">
        <f>INDEX('Topic (56-pt) cards'!$A$3:$BB$12,MATCH($B$2,'Topic (56-pt) cards'!$A$3:$A$12,0),MATCH("Picture it",'Topic (56-pt) cards'!$A$2:$BB$2,0))&amp;""</f>
        <v/>
      </c>
    </row>
    <row r="17" ht="30" customHeight="1">
      <c r="A17" s="24" t="inlineStr">
        <is>
          <t>Emotion hook</t>
        </is>
      </c>
      <c r="B17" s="17">
        <f>INDEX('Topic (56-pt) cards'!$A$3:$BB$12,MATCH($B$2,'Topic (56-pt) cards'!$A$3:$A$12,0),MATCH("Emotion hook",'Topic (56-pt) cards'!$A$2:$BB$2,0))&amp;""</f>
        <v/>
      </c>
    </row>
    <row r="18" ht="30" customHeight="1">
      <c r="A18" s="24" t="inlineStr">
        <is>
          <t>Importance ★</t>
        </is>
      </c>
      <c r="B18" s="17">
        <f>INDEX('Topic (56-pt) cards'!$A$3:$BB$12,MATCH($B$2,'Topic (56-pt) cards'!$A$3:$A$12,0),MATCH("Importance ★",'Topic (56-pt) cards'!$A$2:$BB$2,0))&amp;""</f>
        <v/>
      </c>
    </row>
    <row r="19">
      <c r="A19" s="25" t="inlineStr">
        <is>
          <t>BACK · Understanding (samjho)</t>
        </is>
      </c>
    </row>
    <row r="20" ht="30" customHeight="1">
      <c r="A20" s="24" t="inlineStr">
        <is>
          <t>Definition (simple)</t>
        </is>
      </c>
      <c r="B20" s="17">
        <f>INDEX('Topic (56-pt) cards'!$A$3:$BB$12,MATCH($B$2,'Topic (56-pt) cards'!$A$3:$A$12,0),MATCH("Definition (simple)",'Topic (56-pt) cards'!$A$2:$BB$2,0))&amp;""</f>
        <v/>
      </c>
    </row>
    <row r="21" ht="30" customHeight="1">
      <c r="A21" s="24" t="inlineStr">
        <is>
          <t>Meaning in learner's language</t>
        </is>
      </c>
      <c r="B21" s="17">
        <f>INDEX('Topic (56-pt) cards'!$A$3:$BB$12,MATCH($B$2,'Topic (56-pt) cards'!$A$3:$A$12,0),MATCH("Meaning in learner's language",'Topic (56-pt) cards'!$A$2:$BB$2,0))&amp;""</f>
        <v/>
      </c>
    </row>
    <row r="22" ht="54" customHeight="1">
      <c r="A22" s="24" t="inlineStr">
        <is>
          <t>How / why it works</t>
        </is>
      </c>
      <c r="B22" s="17">
        <f>INDEX('Topic (56-pt) cards'!$A$3:$BB$12,MATCH($B$2,'Topic (56-pt) cards'!$A$3:$A$12,0),MATCH("How / why it works",'Topic (56-pt) cards'!$A$2:$BB$2,0))&amp;""</f>
        <v/>
      </c>
    </row>
    <row r="23" ht="30" customHeight="1">
      <c r="A23" s="24" t="inlineStr">
        <is>
          <t>Simple explanation (Hinglish)</t>
        </is>
      </c>
      <c r="B23" s="17">
        <f>INDEX('Topic (56-pt) cards'!$A$3:$BB$12,MATCH($B$2,'Topic (56-pt) cards'!$A$3:$A$12,0),MATCH("Simple explanation (Hinglish)",'Topic (56-pt) cards'!$A$2:$BB$2,0))&amp;""</f>
        <v/>
      </c>
    </row>
    <row r="24" ht="30" customHeight="1">
      <c r="A24" s="24" t="inlineStr">
        <is>
          <t>Real-life analogy</t>
        </is>
      </c>
      <c r="B24" s="17">
        <f>INDEX('Topic (56-pt) cards'!$A$3:$BB$12,MATCH($B$2,'Topic (56-pt) cards'!$A$3:$A$12,0),MATCH("Real-life analogy",'Topic (56-pt) cards'!$A$2:$BB$2,0))&amp;""</f>
        <v/>
      </c>
    </row>
    <row r="25" ht="30" customHeight="1">
      <c r="A25" s="24" t="inlineStr">
        <is>
          <t>Formula / rule</t>
        </is>
      </c>
      <c r="B25" s="17">
        <f>INDEX('Topic (56-pt) cards'!$A$3:$BB$12,MATCH($B$2,'Topic (56-pt) cards'!$A$3:$A$12,0),MATCH("Formula / rule",'Topic (56-pt) cards'!$A$2:$BB$2,0))&amp;""</f>
        <v/>
      </c>
    </row>
    <row r="26" ht="30" customHeight="1">
      <c r="A26" s="24" t="inlineStr">
        <is>
          <t>Example 1</t>
        </is>
      </c>
      <c r="B26" s="17">
        <f>INDEX('Topic (56-pt) cards'!$A$3:$BB$12,MATCH($B$2,'Topic (56-pt) cards'!$A$3:$A$12,0),MATCH("Example 1",'Topic (56-pt) cards'!$A$2:$BB$2,0))&amp;""</f>
        <v/>
      </c>
    </row>
    <row r="27" ht="30" customHeight="1">
      <c r="A27" s="24" t="inlineStr">
        <is>
          <t>Example 2</t>
        </is>
      </c>
      <c r="B27" s="17">
        <f>INDEX('Topic (56-pt) cards'!$A$3:$BB$12,MATCH($B$2,'Topic (56-pt) cards'!$A$3:$A$12,0),MATCH("Example 2",'Topic (56-pt) cards'!$A$2:$BB$2,0))&amp;""</f>
        <v/>
      </c>
    </row>
    <row r="28" ht="30" customHeight="1">
      <c r="A28" s="24" t="inlineStr">
        <is>
          <t>Example 3</t>
        </is>
      </c>
      <c r="B28" s="17">
        <f>INDEX('Topic (56-pt) cards'!$A$3:$BB$12,MATCH($B$2,'Topic (56-pt) cards'!$A$3:$A$12,0),MATCH("Example 3",'Topic (56-pt) cards'!$A$2:$BB$2,0))&amp;""</f>
        <v/>
      </c>
    </row>
    <row r="29" ht="30" customHeight="1">
      <c r="A29" s="24" t="inlineStr">
        <is>
          <t>Related concepts</t>
        </is>
      </c>
      <c r="B29" s="17">
        <f>INDEX('Topic (56-pt) cards'!$A$3:$BB$12,MATCH($B$2,'Topic (56-pt) cards'!$A$3:$A$12,0),MATCH("Related concepts",'Topic (56-pt) cards'!$A$2:$BB$2,0))&amp;""</f>
        <v/>
      </c>
    </row>
    <row r="30" ht="30" customHeight="1">
      <c r="A30" s="24" t="inlineStr">
        <is>
          <t>Family / group</t>
        </is>
      </c>
      <c r="B30" s="17">
        <f>INDEX('Topic (56-pt) cards'!$A$3:$BB$12,MATCH($B$2,'Topic (56-pt) cards'!$A$3:$A$12,0),MATCH("Family / group",'Topic (56-pt) cards'!$A$2:$BB$2,0))&amp;""</f>
        <v/>
      </c>
    </row>
    <row r="31" ht="30" customHeight="1">
      <c r="A31" s="24" t="inlineStr">
        <is>
          <t>Where it is used</t>
        </is>
      </c>
      <c r="B31" s="17">
        <f>INDEX('Topic (56-pt) cards'!$A$3:$BB$12,MATCH($B$2,'Topic (56-pt) cards'!$A$3:$A$12,0),MATCH("Where it is used",'Topic (56-pt) cards'!$A$2:$BB$2,0))&amp;""</f>
        <v/>
      </c>
    </row>
    <row r="32" ht="30" customHeight="1">
      <c r="A32" s="24" t="inlineStr">
        <is>
          <t>Mini conversation</t>
        </is>
      </c>
      <c r="B32" s="17">
        <f>INDEX('Topic (56-pt) cards'!$A$3:$BB$12,MATCH($B$2,'Topic (56-pt) cards'!$A$3:$A$12,0),MATCH("Mini conversation",'Topic (56-pt) cards'!$A$2:$BB$2,0))&amp;""</f>
        <v/>
      </c>
    </row>
    <row r="33" ht="30" customHeight="1">
      <c r="A33" s="24" t="inlineStr">
        <is>
          <t>Common mistake</t>
        </is>
      </c>
      <c r="B33" s="17">
        <f>INDEX('Topic (56-pt) cards'!$A$3:$BB$12,MATCH($B$2,'Topic (56-pt) cards'!$A$3:$A$12,0),MATCH("Common mistake",'Topic (56-pt) cards'!$A$2:$BB$2,0))&amp;""</f>
        <v/>
      </c>
    </row>
    <row r="34" ht="30" customHeight="1">
      <c r="A34" s="24" t="inlineStr">
        <is>
          <t>Don't confuse with</t>
        </is>
      </c>
      <c r="B34" s="17">
        <f>INDEX('Topic (56-pt) cards'!$A$3:$BB$12,MATCH($B$2,'Topic (56-pt) cards'!$A$3:$A$12,0),MATCH("Don't confuse with",'Topic (56-pt) cards'!$A$2:$BB$2,0))&amp;""</f>
        <v/>
      </c>
    </row>
    <row r="35" ht="30" customHeight="1">
      <c r="A35" s="24" t="inlineStr">
        <is>
          <t>Avoid / don't</t>
        </is>
      </c>
      <c r="B35" s="17">
        <f>INDEX('Topic (56-pt) cards'!$A$3:$BB$12,MATCH($B$2,'Topic (56-pt) cards'!$A$3:$A$12,0),MATCH("Avoid / don't",'Topic (56-pt) cards'!$A$2:$BB$2,0))&amp;""</f>
        <v/>
      </c>
    </row>
    <row r="36" ht="30" customHeight="1">
      <c r="A36" s="24" t="inlineStr">
        <is>
          <t>Memory trick</t>
        </is>
      </c>
      <c r="B36" s="17">
        <f>INDEX('Topic (56-pt) cards'!$A$3:$BB$12,MATCH($B$2,'Topic (56-pt) cards'!$A$3:$A$12,0),MATCH("Memory trick",'Topic (56-pt) cards'!$A$2:$BB$2,0))&amp;""</f>
        <v/>
      </c>
    </row>
    <row r="37" ht="30" customHeight="1">
      <c r="A37" s="24" t="inlineStr">
        <is>
          <t>Real life: project / work</t>
        </is>
      </c>
      <c r="B37" s="17">
        <f>INDEX('Topic (56-pt) cards'!$A$3:$BB$12,MATCH($B$2,'Topic (56-pt) cards'!$A$3:$A$12,0),MATCH("Real life: project / work",'Topic (56-pt) cards'!$A$2:$BB$2,0))&amp;""</f>
        <v/>
      </c>
    </row>
    <row r="38" ht="30" customHeight="1">
      <c r="A38" s="24" t="inlineStr">
        <is>
          <t>Real life: interview / exam</t>
        </is>
      </c>
      <c r="B38" s="17">
        <f>INDEX('Topic (56-pt) cards'!$A$3:$BB$12,MATCH($B$2,'Topic (56-pt) cards'!$A$3:$A$12,0),MATCH("Real life: interview / exam",'Topic (56-pt) cards'!$A$2:$BB$2,0))&amp;""</f>
        <v/>
      </c>
    </row>
    <row r="39" ht="30" customHeight="1">
      <c r="A39" s="24" t="inlineStr">
        <is>
          <t>Real life: daily life</t>
        </is>
      </c>
      <c r="B39" s="17">
        <f>INDEX('Topic (56-pt) cards'!$A$3:$BB$12,MATCH($B$2,'Topic (56-pt) cards'!$A$3:$A$12,0),MATCH("Real life: daily life",'Topic (56-pt) cards'!$A$2:$BB$2,0))&amp;""</f>
        <v/>
      </c>
    </row>
    <row r="40">
      <c r="A40" s="27" t="inlineStr">
        <is>
          <t>PRACTICE · Khud karo</t>
        </is>
      </c>
    </row>
    <row r="41" ht="30" customHeight="1">
      <c r="A41" s="24" t="inlineStr">
        <is>
          <t>MCQ question</t>
        </is>
      </c>
      <c r="B41" s="17">
        <f>INDEX('Topic (56-pt) cards'!$A$3:$BB$12,MATCH($B$2,'Topic (56-pt) cards'!$A$3:$A$12,0),MATCH("MCQ question",'Topic (56-pt) cards'!$A$2:$BB$2,0))&amp;""</f>
        <v/>
      </c>
    </row>
    <row r="42" ht="30" customHeight="1">
      <c r="A42" s="24" t="inlineStr">
        <is>
          <t>MCQ options</t>
        </is>
      </c>
      <c r="B42" s="17">
        <f>INDEX('Topic (56-pt) cards'!$A$3:$BB$12,MATCH($B$2,'Topic (56-pt) cards'!$A$3:$A$12,0),MATCH("MCQ options",'Topic (56-pt) cards'!$A$2:$BB$2,0))&amp;""</f>
        <v/>
      </c>
    </row>
    <row r="43" ht="30" customHeight="1">
      <c r="A43" s="24" t="inlineStr">
        <is>
          <t>MCQ answer</t>
        </is>
      </c>
      <c r="B43" s="17">
        <f>INDEX('Topic (56-pt) cards'!$A$3:$BB$12,MATCH($B$2,'Topic (56-pt) cards'!$A$3:$A$12,0),MATCH("MCQ answer",'Topic (56-pt) cards'!$A$2:$BB$2,0))&amp;""</f>
        <v/>
      </c>
    </row>
    <row r="44" ht="30" customHeight="1">
      <c r="A44" s="24" t="inlineStr">
        <is>
          <t>Why that answer</t>
        </is>
      </c>
      <c r="B44" s="17">
        <f>INDEX('Topic (56-pt) cards'!$A$3:$BB$12,MATCH($B$2,'Topic (56-pt) cards'!$A$3:$A$12,0),MATCH("Why that answer",'Topic (56-pt) cards'!$A$2:$BB$2,0))&amp;""</f>
        <v/>
      </c>
    </row>
    <row r="45" ht="30" customHeight="1">
      <c r="A45" s="24" t="inlineStr">
        <is>
          <t>Fill the blank</t>
        </is>
      </c>
      <c r="B45" s="17">
        <f>INDEX('Topic (56-pt) cards'!$A$3:$BB$12,MATCH($B$2,'Topic (56-pt) cards'!$A$3:$A$12,0),MATCH("Fill the blank",'Topic (56-pt) cards'!$A$2:$BB$2,0))&amp;""</f>
        <v/>
      </c>
    </row>
    <row r="46" ht="30" customHeight="1">
      <c r="A46" s="24" t="inlineStr">
        <is>
          <t>Apply it</t>
        </is>
      </c>
      <c r="B46" s="17">
        <f>INDEX('Topic (56-pt) cards'!$A$3:$BB$12,MATCH($B$2,'Topic (56-pt) cards'!$A$3:$A$12,0),MATCH("Apply it",'Topic (56-pt) cards'!$A$2:$BB$2,0))&amp;""</f>
        <v/>
      </c>
    </row>
    <row r="47" ht="30" customHeight="1">
      <c r="A47" s="24" t="inlineStr">
        <is>
          <t>Explain it yourself</t>
        </is>
      </c>
      <c r="B47" s="17">
        <f>INDEX('Topic (56-pt) cards'!$A$3:$BB$12,MATCH($B$2,'Topic (56-pt) cards'!$A$3:$A$12,0),MATCH("Explain it yourself",'Topic (56-pt) cards'!$A$2:$BB$2,0))&amp;""</f>
        <v/>
      </c>
    </row>
    <row r="48" ht="30" customHeight="1">
      <c r="A48" s="24" t="inlineStr">
        <is>
          <t>Write your own</t>
        </is>
      </c>
      <c r="B48" s="17">
        <f>INDEX('Topic (56-pt) cards'!$A$3:$BB$12,MATCH($B$2,'Topic (56-pt) cards'!$A$3:$A$12,0),MATCH("Write your own",'Topic (56-pt) cards'!$A$2:$BB$2,0))&amp;""</f>
        <v/>
      </c>
    </row>
    <row r="49" ht="30" customHeight="1">
      <c r="A49" s="24" t="inlineStr">
        <is>
          <t>Quick recall (reverse)</t>
        </is>
      </c>
      <c r="B49" s="17">
        <f>INDEX('Topic (56-pt) cards'!$A$3:$BB$12,MATCH($B$2,'Topic (56-pt) cards'!$A$3:$A$12,0),MATCH("Quick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cards'!$A$3:$A$12</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What Jupyter is
Which tool mixes live code, results and notes in one document?</t>
        </is>
      </c>
      <c r="B2" s="29" t="inlineStr">
        <is>
          <t>DEFINITION (SIMPLE):
Jupyter is an open-source environment where you write code in cells, run it step by step, and keep the code, outputs and explanations together in a single notebook file.
HOW / WHY IT WORKS:
A notebook is a JSON file with the extension ipynb. It stores cells of code and text and the outputs that came from running them. The code itself runs in a separate process called a kernel. This makes notebooks great for exploring data, teaching and sharing findings, but less suited to long-running production jobs.
SIMPLE EXPLANATION (HINGLISH):
It is a document where you can run code a little at a time and see the answer below it.
REAL-LIFE ANALOGY:
A Jupyter notebook is a lab book where every experiment sits beside its written notes.
FORMULA / RULE:
Notebook = cells + kernel + saved outputs.
EXAMPLE 1:
Cleaning a customer file and plotting the result for a meeting.
EXAMPLE 2:
A teacher sharing a worked tutorial with runnable steps.
EXAMPLE 3:
A data scientist testing three model ideas on a sample.
RELATED CONCEPTS:
cells, kernels, JupyterLab, Colab
FAMILY / GROUP:
notebook, cell, kernel, output, ipynb
WHERE IT IS USED:
Data analysis | Teaching | Prototyping
MINI CONVERSATION:
A: Can I see the chart next to the code? | B: Yes, use a notebook so both stay together.
COMMON MISTAKE:
✗ A notebook is only for beginners → ✓ Professionals use notebooks daily for exploration and reports
DON'T CONFUSE WITH:
Notebook vs script: a notebook runs in steps with visible results, a script runs top to bottom in one go.
AVOID / DON'T:
Do not treat a notebook as a finished production program.
MEMORY TRICK:
Code, result and notes live together on one page.
REAL LIFE: PROJECT / WORK:
A customer review notebook let a client see each cleaning step and its effect.
REAL LIFE: INTERVIEW / EXAM:
An interviewer may ask: Why do data teams use notebooks?
REAL LIFE: DAILY LIFE:
It is like a lab diary with live experiments.</t>
        </is>
      </c>
      <c r="C2" s="29" t="inlineStr">
        <is>
          <t>01_Basics_Beginner_JUP-001</t>
        </is>
      </c>
    </row>
    <row r="3" ht="409" customHeight="1">
      <c r="A3" s="29" t="inlineStr">
        <is>
          <t>Cells
Which building blocks make up a notebook?</t>
        </is>
      </c>
      <c r="B3" s="29" t="inlineStr">
        <is>
          <t>DEFINITION (SIMPLE):
A cell is a single block in a notebook, and it holds either code to run, markdown text to read, or raw text that is never processed.
HOW / WHY IT WORKS:
Running a code cell sends its code to the kernel and shows the result below the cell. Markdown cells render as formatted text. Each code cell shows a number in square brackets after it has run, which tells you the order in which cells were executed, not the order on the page.
SIMPLE EXPLANATION (HINGLISH):
A cell is one box of code or text that you can run on its own.
REAL-LIFE ANALOGY:
Cells are Lego bricks, and you can rebuild one brick without breaking the whole wall.
FORMULA / RULE:
One cell, one step, one visible result.
EXAMPLE 1:
A cell that loads a file and nothing else.
EXAMPLE 2:
A cell that filters rows and prints the count.
EXAMPLE 3:
A text cell that explains why rows were removed.
RELATED CONCEPTS:
markdown cells, kernels, running order, shortcuts
FAMILY / GROUP:
cell, code cell, markdown cell, raw cell, execution count
WHERE IT IS USED:
Every notebook | Teaching | Reports
MINI CONVERSATION:
A: My notebook is one huge cell. | B: Split it into steps so each result can be checked.
COMMON MISTAKE:
✗ Cells always run in the order they appear → ✓ You can run them in any order, and the kernel keeps whatever state results
DON'T CONFUSE WITH:
Code cell vs markdown cell: one runs through the kernel, the other only displays formatted text.
AVOID / DON'T:
Do not put loading, cleaning, modelling and plotting in a single cell.
MEMORY TRICK:
Small cells fail small and fix fast.
REAL LIFE: PROJECT / WORK:
Splitting a 200 line cell into steps helped a client spot a bad filter in minutes.
REAL LIFE: INTERVIEW / EXAM:
An interviewer may ask: What types of cells does a notebook have?
REAL LIFE: DAILY LIFE:
It is like paragraphs in a document, each doing one job.</t>
        </is>
      </c>
      <c r="C3" s="29" t="inlineStr">
        <is>
          <t>01_Basics_Beginner_JUP-002</t>
        </is>
      </c>
    </row>
    <row r="4" ht="409" customHeight="1">
      <c r="A4" s="29" t="inlineStr">
        <is>
          <t>Kernels
Which engine actually runs the code you type in a notebook?</t>
        </is>
      </c>
      <c r="B4" s="29" t="inlineStr">
        <is>
          <t>DEFINITION (SIMPLE):
A kernel is a separate process that executes the code from your cells, holds all variables in memory, and sends results back to the notebook interface.
HOW / WHY IT WORKS:
Each open notebook is attached to one kernel, such as an IPython kernel for Python. Variables, imported modules and loaded data live in that kernel's memory until it stops or restarts. Interrupting stops a running cell, while restarting clears all memory. Which Python the kernel uses decides which packages you can import.
SIMPLE EXPLANATION (HINGLISH):
The kernel is the program that runs your code and remembers your variables.
REAL-LIFE ANALOGY:
The notebook is the steering wheel and the kernel is the engine under the bonnet.
FORMULA / RULE:
Notebook shows, kernel runs and remembers.
EXAMPLE 1:
A variable that still exists after you delete the cell that made it.
EXAMPLE 2:
Interrupting a cell stuck in an endless loop.
EXAMPLE 3:
Choosing a kernel linked to a project environment.
RELATED CONCEPTS:
running order, virtual environments, restart and run all, remote kernels
FAMILY / GROUP:
kernel, interrupt, restart, memory, state
WHERE IT IS USED:
Every notebook | Debugging | Environment setup
MINI CONVERSATION:
A: The import works in my terminal but not in the notebook. | B: The kernel may use a different Python, so check its environment.
COMMON MISTAKE:
✗ Closing the browser tab stops the kernel → ✓ The kernel can keep running until you shut it down
DON'T CONFUSE WITH:
Interrupt vs restart: interrupt stops one running cell, restart wipes the whole memory.
AVOID / DON'T:
Do not trust results after a long session without restarting the kernel once.
MEMORY TRICK:
Steering wheel on the page, engine in the kernel.
REAL LIFE: PROJECT / WORK:
A hidden variable in an old session gave wrong totals until the kernel was restarted.
REAL LIFE: INTERVIEW / EXAM:
An interviewer may ask: What happens to variables when a kernel restarts?
REAL LIFE: DAILY LIFE:
It is like switching a computer off and on to clear glitches.</t>
        </is>
      </c>
      <c r="C4" s="29" t="inlineStr">
        <is>
          <t>01_Basics_Beginner_JUP-003</t>
        </is>
      </c>
    </row>
    <row r="5" ht="409" customHeight="1">
      <c r="A5" s="29" t="inlineStr">
        <is>
          <t>Running order and hidden state
Why can a notebook give different answers when cells run in a different order?</t>
        </is>
      </c>
      <c r="B5" s="29" t="inlineStr">
        <is>
          <t>DEFINITION (SIMPLE):
Hidden state is memory in the kernel that was created by earlier or deleted cells, so the visible code on the page no longer explains the current results.
HOW / WHY IT WORKS:
If you run cell five, edit cell two and run cell three, variables may contain values the page does not show. Deleting a cell does not delete what it created. The execution counts reveal the real order. A notebook is only trustworthy if it also works from a clean kernel running top to bottom.
SIMPLE EXPLANATION (HINGLISH):
The kernel remembers things the page no longer shows, so results can differ from the code you see.
REAL-LIFE ANALOGY:
Hidden state is a messy desk where you cannot tell which paper you used last.
FORMULA / RULE:
Good notebook = same result after restart and run all.
EXAMPLE 1:
A total that changes because an old filter cell was run twice.
EXAMPLE 2:
A function still working after its definition cell was deleted.
EXAMPLE 3:
A colleague getting an error on a notebook that worked for you.
RELATED CONCEPTS:
restart and run all, reproducibility, kernels, execution count
FAMILY / GROUP:
state, order, execution count, reproducible, stale
WHERE IT IS USED:
Debugging | Code review | Sharing
MINI CONVERSATION:
A: It works for me but fails for you. | B: Restart the kernel and run everything from the top to find the gap.
COMMON MISTAKE:
✗ If every cell shows output, the notebook is correct → ✓ Outputs may come from an older run or a different order
DON'T CONFUSE WITH:
Page order vs run order: the first is what you see, the second is what happened.
AVOID / DON'T:
Do not share a notebook that has never been run from a clean start.
MEMORY TRICK:
If it fails after restart, it was never right.
REAL LIFE: PROJECT / WORK:
A report notebook failed for the client until a missing import cell was added.
REAL LIFE: INTERVIEW / EXAM:
An interviewer may ask: What problem does hidden state cause in notebooks?
REAL LIFE: DAILY LIFE:
It is like a recipe that only works because of an ingredient you forgot to write down.</t>
        </is>
      </c>
      <c r="C5" s="29" t="inlineStr">
        <is>
          <t>01_Basics_Beginner_JUP-004</t>
        </is>
      </c>
    </row>
    <row r="6" ht="409" customHeight="1">
      <c r="A6" s="29" t="inlineStr">
        <is>
          <t>Notebook vs JupyterLab
Which two interfaces open the same notebook files?</t>
        </is>
      </c>
      <c r="B6" s="29" t="inlineStr">
        <is>
          <t>DEFINITION (SIMPLE):
Jupyter Notebook is the simpler single-document interface, while JupyterLab is a richer workspace with a file browser, tabs, terminals, text editors and side-by-side notebooks.
HOW / WHY IT WORKS:
Both open the same ipynb files and use the same kernels. JupyterLab lets you drag cells between notebooks, view CSV files, open a terminal and arrange panels. Newer releases of the classic notebook are built on top of Lab components, so the gap is narrowing. Editors such as VS Code can also open notebooks directly.
SIMPLE EXPLANATION (HINGLISH):
Both open the same notebooks, but JupyterLab gives you more tools in one window.
REAL-LIFE ANALOGY:
The classic notebook is a single desk, and JupyterLab is a whole office with many rooms.
FORMULA / RULE:
Same files and kernels, different workspace.
EXAMPLE 1:
Opening a notebook and a terminal side by side.
EXAMPLE 2:
Previewing a CSV file next to the analysis.
EXAMPLE 3:
Using VS Code to edit the same notebook file.
RELATED CONCEPTS:
cells, kernels, Colab, hosted options
FAMILY / GROUP:
Lab, classic notebook, workspace, file browser, extension
WHERE IT IS USED:
Local setups | Training | Data teams
MINI CONVERSATION:
A: Do I need to convert my files for JupyterLab? | B: No, both open the same ipynb files.
COMMON MISTAKE:
✗ JupyterLab needs a different file format → ✓ Both use the same ipynb files
DON'T CONFUSE WITH:
Notebook vs JupyterLab: one document at a time versus a full workspace.
AVOID / DON'T:
Do not assume the look of an interface changes how your code runs.
MEMORY TRICK:
Same files, same kernel, different room.
REAL LIFE: PROJECT / WORK:
A team moved to JupyterLab to keep terminal and notebook in one window on customer laptops.
REAL LIFE: INTERVIEW / EXAM:
An interviewer may ask: How is JupyterLab different from the classic notebook?
REAL LIFE: DAILY LIFE:
It is like choosing between a notepad and a full office suite.</t>
        </is>
      </c>
      <c r="C6" s="29" t="inlineStr">
        <is>
          <t>01_Basics_Beginner_JUP-005</t>
        </is>
      </c>
    </row>
    <row r="7" ht="409" customHeight="1">
      <c r="A7" s="29" t="inlineStr">
        <is>
          <t>Colab and hosted notebooks
Which options let you run notebooks without installing anything locally?</t>
        </is>
      </c>
      <c r="B7" s="29" t="inlineStr">
        <is>
          <t>DEFINITION (SIMPLE):
Hosted notebooks are notebook environments run by a provider such as Google Colab, cloud data platforms or a company JupyterHub, so code runs on remote machines and you work through a browser.
HOW / WHY IT WORKS:
They are quick for learning, sharing and light experiments, and some offer accelerators for model work. The trade-offs are limited session time, files that may disappear when a session ends, package installs that must be repeated, and data being processed on someone else's servers. Features, limits and pricing differ by provider and change often, so read the provider's documentation.
SIMPLE EXPLANATION (HINGLISH):
A hosted notebook runs in the cloud, so you only need a browser.
REAL-LIFE ANALOGY:
A hosted notebook is a rented workshop, ready to use but not your own building.
FORMULA / RULE:
Convenience gained, control and privacy to be checked.
EXAMPLE 1:
Opening a tutorial notebook from a link and running it at once.
EXAMPLE 2:
A team using a shared JupyterHub server.
EXAMPLE 3:
Running a heavy model step on a hosted machine with extra power.
RELATED CONCEPTS:
Jupyter, remote kernels, secrets in notebooks, sharing
FAMILY / GROUP:
hosted, cloud, session, runtime, JupyterHub
WHERE IT IS USED:
Learning | Prototyping | Shared teams
MINI CONVERSATION:
A: Can I use customer data in a free hosted notebook? | B: Check the data rules first, because it leaves our machines.
COMMON MISTAKE:
✗ Hosted notebooks keep my files forever → ✓ Files and installs may vanish when the session ends
DON'T CONFUSE WITH:
Local vs hosted: your own machine and control versus someone else's machine and convenience.
AVOID / DON'T:
Do not upload customer data to a service you have not approved.
MEMORY TRICK:
Easy start, but check where the data goes.
REAL LIFE: PROJECT / WORK:
A workshop used hosted notebooks so every learner started with the same setup.
REAL LIFE: INTERVIEW / EXAM:
An interviewer may ask: What are the risks of hosted notebooks?
REAL LIFE: DAILY LIFE:
It is like using a rented desk instead of your own office.</t>
        </is>
      </c>
      <c r="C7" s="29" t="inlineStr">
        <is>
          <t>01_Basics_Beginner_JUP-006</t>
        </is>
      </c>
    </row>
    <row r="8" ht="409" customHeight="1">
      <c r="A8" s="29" t="inlineStr">
        <is>
          <t>Keyboard shortcuts
Which key combinations make notebook work much faster?</t>
        </is>
      </c>
      <c r="B8" s="29" t="inlineStr">
        <is>
          <t>DEFINITION (SIMPLE):
Notebooks have command mode, entered with Esc, for acting on cells, and edit mode, entered with Enter, for typing inside a cell, and each mode has its own shortcuts.
HOW / WHY IT WORKS:
In command mode, A inserts a cell above, B inserts below, DD deletes the cell, M turns it into markdown and Y back into code. In both modes, Shift+Enter runs the cell and moves on, and Ctrl+Enter runs it and stays. The shortcut list is available from the command palette, and exact keys may differ slightly between interfaces and versions.
SIMPLE EXPLANATION (HINGLISH):
Press Esc to control cells and Enter to type, then use single keys for common actions.
REAL-LIFE ANALOGY:
Command mode is the remote control, and edit mode is the keyboard in your hand.
FORMULA / RULE:
Esc to command, Enter to edit, Shift+Enter to run.
EXAMPLE 1:
Pressing B to add a cell under the current one.
EXAMPLE 2:
Pressing M to switch a cell to text.
EXAMPLE 3:
Pressing Shift+Enter to run and move down.
RELATED CONCEPTS:
cells, markdown cells, restart and run all, JupyterLab
FAMILY / GROUP:
shortcut, command mode, edit mode, palette, key
WHERE IT IS USED:
Daily analysis | Live demos | Teaching
MINI CONVERSATION:
A: Why did pressing D twice delete my cell? | B: You were in command mode, where DD removes a cell.
COMMON MISTAKE:
✗ Shortcuts work the same in every mode → ✓ Many keys only work in command mode
DON'T CONFUSE WITH:
Shift+Enter vs Ctrl+Enter: run and move on versus run and stay.
AVOID / DON'T:
Do not type letters in command mode, because they trigger actions.
MEMORY TRICK:
Esc is the remote, Enter is the keyboard.
REAL LIFE: PROJECT / WORK:
Learning five shortcuts made a live demo on a client call smoother.
REAL LIFE: INTERVIEW / EXAM:
An interviewer may ask: What are the two notebook modes?
REAL LIFE: DAILY LIFE:
It is like a game controller with one set of buttons for menus and another for play.</t>
        </is>
      </c>
      <c r="C8" s="29" t="inlineStr">
        <is>
          <t>02_Daily_use_Beginner_JUP-007</t>
        </is>
      </c>
    </row>
    <row r="9" ht="409" customHeight="1">
      <c r="A9" s="29" t="inlineStr">
        <is>
          <t>Markdown cells
Which cell type lets you write headings, lists and explanations?
# Sales check
Data from **March** only.
- Removed refunds
- Kept paid orders
Use `df.shape` to see the size.</t>
        </is>
      </c>
      <c r="B9" s="29" t="inlineStr">
        <is>
          <t>MEANING (SHORT):
Markdown cells use simple symbols, such as hashes for headings, dashes for lists and asterisks for emphasis, which render as formatted text when the cell is run.
CODE:
# Sales check
Data from **March** only.
- Removed refunds
- Kept paid orders
Use `df.shape` to see the size.
OUTPUT:
A large heading, a line with March in bold, two bullet points and the code term df.shape in code style.
EXPLANATION:
Markdown is plain text with light symbols. Headings give the notebook an outline that you can navigate. Lists and tables explain choices, and inline code marks names. Many notebooks also render simple maths written between dollar signs. Explain why a step is done, not only what it does, because the code already shows what.
SIMPLE EXPLANATION (HINGLISH):
Write plain text with a few symbols and it turns into a tidy heading or list.
REAL-LIFE ANALOGY:
Markdown cells are the signposts that tell a reader where the road goes.
SYNTAX PATTERN:
# Heading | - item | **bold** | `code`
ANATOMY:
# = heading | - = bullet | ** = bold | backticks = code style
EXAMPLE 1:
A heading for the cleaning section.
EXAMPLE 2:
A bullet list of assumptions made.
EXAMPLE 3:
A link to the source of the data.
VARIATION:
## and ### for smaller headings   // sub-sections
USED WITH:
Code cells, outlines, reports
RELATED CONCEPTS:
cells, shortcuts, sharing, documentation
ALTERNATIVES:
Comments in code | Separate README
WHERE IT IS USED:
Reports | Tutorials | Handover notebooks
MINI CONVERSATION:
A: Nobody understands my notebook. | B: Add headings and short notes between the code cells.
COMMON MISTAKE:
✗ Comments in code are enough to explain a notebook → ✓ Rendered text and headings help readers far more
COMMONLY CONFUSED WITH:
Markdown cell vs code comment: one is rendered for readers, the other stays inside the code.
AVOID / DON'T:
Do not leave a notebook with code cells only and no explanation.
WRONG CODE:
Sales check (plain text without any symbol)
RIGHT CODE:
# Sales check
MEMORY TRICK:
Hash for headings, dash for lists, stars for bold.
REAL LIFE: PROJECT / WORK:
Headings in a handover notebook let a new engineer find each stage quickly.
REAL LIFE: INTERVIEW / EXAM:
An interviewer may ask: How do you document a notebook?
REAL LIFE: DAILY LIFE:
It is like adding titles and captions to a photo album.</t>
        </is>
      </c>
      <c r="C9" s="29" t="inlineStr">
        <is>
          <t>02_Daily_use_Beginner_JUP-008</t>
        </is>
      </c>
    </row>
    <row r="10" ht="409" customHeight="1">
      <c r="A10" s="29" t="inlineStr">
        <is>
          <t>Magic commands
Which special commands starting with percent signs add extra notebook features?
# cell 1
%timeit sum(range(1000))
%pwd
%who
# cell 2 (a cell magic must be the first line of its cell)
%%time
total = sum(range(100000))</t>
        </is>
      </c>
      <c r="B10" s="29" t="inlineStr">
        <is>
          <t>MEANING (SHORT):
Magic commands are special instructions of the IPython kernel, where line magics start with one percent sign and cell magics start with two, and they handle tasks like timing, file listing and loading.
CODE:
# cell 1
%timeit sum(range(1000))
%pwd
%who
# cell 2 (a cell magic must be the first line of its cell)
%%time
total = sum(range(100000))
OUTPUT:
Cell 1 shows the average run time, the current folder and a list of variable names. Cell 2 shows the wall time for the cell.
EXPLANATION:
Line magics act on the rest of the line, and cell magics act on the whole cell. Useful ones include timeit for repeated timing, time for one run, pwd for the folder, who for variables, load for pulling a file into a cell and run for running a script. A leading exclamation mark runs a shell command instead. Magics work in IPython kernels only, not in plain Python scripts.
SIMPLE EXPLANATION (HINGLISH):
Percent commands are notebook extras for timing, files and variables.
REAL-LIFE ANALOGY:
Magic commands are notebook buttons that you press by typing a word.
SYNTAX PATTERN:
%name arguments | %%name
ANATOMY:
% = line magic | %% = cell magic | name = action | arguments = input
EXAMPLE 1:
Timing a function with timeit.
EXAMPLE 2:
Showing the current folder with pwd.
EXAMPLE 3:
Listing all variables with who.
VARIATION:
!ls to run a shell command   // exclamation mark instead of percent
USED WITH:
IPython kernel, timing, files
RELATED CONCEPTS:
performance and memory, installing packages, shortcuts, nbconvert
ALTERNATIVES:
Python time module | Terminal commands
WHERE IT IS USED:
Profiling | File checks | Quick tools
MINI CONVERSATION:
A: How long does this step take? | B: Put %%time at the top of the cell.
COMMON MISTAKE:
✗ Magic commands work in any Python file → ✓ They only work inside IPython based notebooks and shells
COMMONLY CONFUSED WITH:
%timeit vs %time: many repeated runs versus one run.
AVOID / DON'T:
Do not paste magic commands into a normal script file.
WRONG CODE:
time sum(range(1000))
RIGHT CODE:
%time sum(range(1000))
MEMORY TRICK:
One percent for a line, two for the cell.
REAL LIFE: PROJECT / WORK:
A %%time check showed that one loading step was taking most of the run.
REAL LIFE: INTERVIEW / EXAM:
An interviewer may ask: What is the difference between % and %% magics?
REAL LIFE: DAILY LIFE:
It is like a stopwatch built into your pen.</t>
        </is>
      </c>
      <c r="C10" s="29" t="inlineStr">
        <is>
          <t>02_Daily_use_Intermediate_JUP-009</t>
        </is>
      </c>
    </row>
    <row r="11" ht="409" customHeight="1">
      <c r="A11" s="29" t="inlineStr">
        <is>
          <t>Displaying data
How do you show a table or value neatly under a cell?
import pandas as pd
df = pd.DataFrame({"city": ["Pune", "Delhi"], "sales": [120, 90]})
print(df.shape)
df.head()</t>
        </is>
      </c>
      <c r="B11" s="29" t="inlineStr">
        <is>
          <t>MEANING (SHORT):
A notebook shows the value of the last expression in a cell, and tools like pandas render tables as HTML, while print and display give you control over what appears.
CODE:
import pandas as pd
df = pd.DataFrame({"city": ["Pune", "Delhi"], "sales": [120, 90]})
print(df.shape)
df.head()
OUTPUT:
(2, 2) followed by a table with two rows and two columns.
EXPLANATION:
Only the last expression is shown automatically, so earlier values need print or display. A DataFrame renders as a styled table. Limiting rows with head, sample or display options keeps the page light, which matters on slow connections. Very wide or long tables are better summarised with describe or info than printed in full.
SIMPLE EXPLANATION (HINGLISH):
Put the value on the last line, or use print and display, to see it below the cell.
REAL-LIFE ANALOGY:
The last line of a cell is the shop window that shows its best item.
SYNTAX PATTERN:
df.head(n) | print(x) | display(x)
ANATOMY:
df = table | head = first rows | print = text | display = rich output
EXAMPLE 1:
Looking at the first five rows of a file.
EXAMPLE 2:
Printing the shape of a table.
EXAMPLE 3:
Showing two tables from one cell with display.
VARIATION:
df.sample(5)   // random rows instead of the first rows
USED WITH:
pandas, summaries, checks
RELATED CONCEPTS:
plotting inline, markdown cells, performance and memory, clean outputs
ALTERNATIVES:
print | to_string | Spreadsheet view
WHERE IT IS USED:
Exploration | Reports | Quality checks
MINI CONVERSATION:
A: Only my second table shows. | B: Only the last value auto-displays, so call display for the first one.
COMMON MISTAKE:
✗ Every line of a cell shows its value → ✓ Only the last expression is displayed automatically
COMMONLY CONFUSED WITH:
print vs display: plain text versus rich formatted output.
AVOID / DON'T:
Do not print a million rows into a notebook cell.
WRONG CODE:
df
df2   # expecting both tables to show
RIGHT CODE:
display(df)
df2
MEMORY TRICK:
Last line shows, the rest must be displayed.
REAL LIFE: PROJECT / WORK:
Using head and shape checks kept a client review notebook quick on poor internet.
REAL LIFE: INTERVIEW / EXAM:
An interviewer may ask: Why does only one table appear from my cell?
REAL LIFE: DAILY LIFE:
It is like a shop window that fits only one item.</t>
        </is>
      </c>
      <c r="C11" s="29" t="inlineStr">
        <is>
          <t>02_Daily_use_Beginner_JUP-010</t>
        </is>
      </c>
    </row>
    <row r="12" ht="409" customHeight="1">
      <c r="A12" s="29" t="inlineStr">
        <is>
          <t>Plotting inline
How do charts appear directly under the code that makes them?
import matplotlib.pyplot as plt
cities = ["Pune", "Delhi", "Goa"]
sales = [120, 90, 60]
plt.bar(cities, sales)
plt.title("Sales by city")
plt.ylabel("Orders")
plt.show()</t>
        </is>
      </c>
      <c r="B12" s="29" t="inlineStr">
        <is>
          <t>MEANING (SHORT):
Inline plotting renders figures from libraries such as matplotlib directly beneath the cell, so no separate image file or window is needed.
CODE:
import matplotlib.pyplot as plt
cities = ["Pune", "Delhi", "Goa"]
sales = [120, 90, 60]
plt.bar(cities, sales)
plt.title("Sales by city")
plt.ylabel("Orders")
plt.show()
OUTPUT:
A bar chart titled Sales by city with three bars.
EXPLANATION:
Modern notebook kernels show matplotlib figures inline by default, and the older magic percent matplotlib inline may still appear in tutorials. Calling show ends the figure so the next cell starts clean. Other libraries, such as plotly or altair, give interactive charts. Save a chart with savefig when you need a file for a slide.
SIMPLE EXPLANATION (HINGLISH):
Write the plotting code and the chart shows right below the cell.
REAL-LIFE ANALOGY:
An inline chart is a picture hung right under its caption.
SYNTAX PATTERN:
plt.bar(x, y) | plt.title(text) | plt.show()
ANATOMY:
plt = plotting module | bar = chart type | title = heading | show = draw it
EXAMPLE 1:
A bar chart of orders per city.
EXAMPLE 2:
A line chart of daily visits.
EXAMPLE 3:
A histogram of delivery times.
VARIATION:
plt.savefig("chart.png")   // write to a file as well
USED WITH:
pandas, matplotlib, reports
RELATED CONCEPTS:
displaying data, markdown cells, sharing, widgets
ALTERNATIVES:
plotly | seaborn | altair
WHERE IT IS USED:
Exploration | Reports | Teaching
MINI CONVERSATION:
A: My two charts merged into one. | B: Call plt.show after the first chart to separate them.
COMMON MISTAKE:
✗ A chart without labels is fine in a notebook → ✓ Unlabelled charts confuse readers once copied elsewhere
COMMONLY CONFUSED WITH:
plt.show vs plt.savefig: display on the page versus write to a file.
AVOID / DON'T:
Do not publish a chart without a title and labelled axes.
WRONG CODE:
plt.bar(cities, sales)   # no title or labels
RIGHT CODE:
plt.bar(cities, sales)
plt.title("Sales by city")
plt.xlabel("City")
plt.ylabel("Orders")
MEMORY TRICK:
Title it, label it, then show it.
REAL LIFE: PROJECT / WORK:
A labelled inline chart helped a manager read a weekly trend without help.
REAL LIFE: INTERVIEW / EXAM:
An interviewer may ask: How do you display charts in a notebook?
REAL LIFE: DAILY LIFE:
It is like hanging a picture with its caption below.</t>
        </is>
      </c>
      <c r="C12" s="29" t="inlineStr">
        <is>
          <t>02_Daily_use_Beginner_JUP-011</t>
        </is>
      </c>
    </row>
    <row r="13" ht="409" customHeight="1">
      <c r="A13" s="29" t="inlineStr">
        <is>
          <t>Installing packages
How do you add a library from inside a notebook the safe way?
%pip install pandas
import pandas as pd
print(pd.__version__)</t>
        </is>
      </c>
      <c r="B13" s="29" t="inlineStr">
        <is>
          <t>MEANING (SHORT):
The percent pip magic installs a package into the same Python environment the running kernel uses, unlike a plain shell pip that may target another Python.
CODE:
%pip install pandas
import pandas as pd
print(pd.__version__)
OUTPUT:
Installation messages, then a version number such as the one installed.
EXPLANATION:
Plain shell pip can point at a different interpreter than the kernel, so the package installs but cannot be imported. The percent pip magic avoids this. After installing a package that was already imported, restart the kernel so the new version loads. Better still, list required packages in a requirements file so others can recreate the setup.
SIMPLE EXPLANATION (HINGLISH):
Use the percent pip line so the library lands where the kernel can see it.
REAL-LIFE ANALOGY:
The percent pip command always delivers the parcel to the house where the kernel lives.
SYNTAX PATTERN:
%pip install name
ANATOMY:
%pip = install into the kernel environment | install = action | name = package
EXAMPLE 1:
Adding a charting library for a demo.
EXAMPLE 2:
Upgrading a package, then restarting the kernel.
EXAMPLE 3:
Installing from a requirements file.
VARIATION:
%pip install -r requirements.txt   // many packages at once
USED WITH:
Virtual environments, kernels, requirements file
RELATED CONCEPTS:
virtual environments, kernels, reproducibility, hosted notebooks
ALTERNATIVES:
conda install | Terminal pip
WHERE IT IS USED:
Setup | Hosted notebooks | Quick demos
MINI CONVERSATION:
A: I installed it but the import still fails. | B: The shell pip used another Python, so use the percent pip magic.
COMMON MISTAKE:
✗ Installing a package updates the running notebook at once → ✓ An already imported package needs a kernel restart
COMMONLY CONFUSED WITH:
%pip vs !pip: one targets the kernel environment, the other may not.
AVOID / DON'T:
Do not install packages into the global Python for one project.
WRONG CODE:
!pip install pandas   # may target another Python
RIGHT CODE:
%pip install pandas
MEMORY TRICK:
Percent pip goes where the kernel lives.
REAL LIFE: PROJECT / WORK:
Switching to the percent pip form fixed a missing import on a customer laptop.
REAL LIFE: INTERVIEW / EXAM:
An interviewer may ask: Why does an installed package fail to import?
REAL LIFE: DAILY LIFE:
It is like posting a letter to the right address instead of a similar one.</t>
        </is>
      </c>
      <c r="C13" s="29" t="inlineStr">
        <is>
          <t>02_Daily_use_Intermediate_JUP-012</t>
        </is>
      </c>
    </row>
    <row r="14" ht="409" customHeight="1">
      <c r="A14" s="29" t="inlineStr">
        <is>
          <t>Virtual environments and kernels
How do you give each project its own set of packages in notebooks?
python -m venv .venv
source .venv/bin/activate
pip install ipykernel pandas
python -m ipykernel install --user --name project-a --display-name "Project A"
jupyter kernelspec list</t>
        </is>
      </c>
      <c r="B14" s="29" t="inlineStr">
        <is>
          <t>MEANING (SHORT):
A virtual environment is an isolated folder of packages, and registering it with ipykernel makes it appear as a selectable kernel in Jupyter.
CODE:
python -m venv .venv
source .venv/bin/activate
pip install ipykernel pandas
python -m ipykernel install --user --name project-a --display-name "Project A"
jupyter kernelspec list
OUTPUT:
A list of kernels that includes project-a with its folder path.
EXPLANATION:
Activate the environment, install ipykernel and the packages the project needs, then register the environment as a kernel. In the notebook, choose Project A from the kernel menu. On Windows the activation command differs. The kernel list shows where each kernel lives, which helps when a notebook imports from the wrong place.
SIMPLE EXPLANATION (HINGLISH):
Make a clean environment, register it as a kernel and pick it in the notebook.
REAL-LIFE ANALOGY:
Each project gets its own toolbox, and the kernel picks which toolbox is open.
SYNTAX PATTERN:
python -m venv name | python -m ipykernel install --user --name name
ANATOMY:
venv = environment | ipykernel = bridge | --name = id | --display-name = label
EXAMPLE 1:
A kernel named after a client project.
EXAMPLE 2:
Two kernels with different pandas versions.
EXAMPLE 3:
Removing an old kernel with kernelspec remove.
VARIATION:
conda create -n name   // conda users
USED WITH:
pip, requirements file, JupyterLab
RELATED CONCEPTS:
installing packages, kernels, reproducibility, remote kernels
ALTERNATIVES:
conda environments | uv | poetry
WHERE IT IS USED:
Projects | Teams | Customer setups
MINI CONVERSATION:
A: My notebook uses the wrong pandas. | B: Switch to the project kernel that was built from its own environment.
COMMON MISTAKE:
✗ One environment is fine for every project → ✓ Shared environments cause version clashes
COMMONLY CONFUSED WITH:
Environment vs kernel: the package folder versus the entry that lets Jupyter use it.
AVOID / DON'T:
Do not mix every project's packages in one global environment.
WRONG CODE:
pip install pandas   # outside any environment
RIGHT CODE:
source .venv/bin/activate
pip install pandas
MEMORY TRICK:
Environment holds the tools, kernel opens the box.
REAL LIFE: PROJECT / WORK:
Per-project kernels let a team run two customer pipelines with different library versions.
REAL LIFE: INTERVIEW / EXAM:
An interviewer may ask: How do you keep project dependencies separate in Jupyter?
REAL LIFE: DAILY LIFE:
It is like keeping separate toolboxes for the kitchen and the garage.</t>
        </is>
      </c>
      <c r="C14" s="29" t="inlineStr">
        <is>
          <t>02_Daily_use_Intermediate_JUP-013</t>
        </is>
      </c>
    </row>
    <row r="15" ht="409" customHeight="1">
      <c r="A15" s="29" t="inlineStr">
        <is>
          <t>Restart and run all
Which action proves a notebook works from top to bottom?</t>
        </is>
      </c>
      <c r="B15" s="29" t="inlineStr">
        <is>
          <t>DEFINITION (SIMPLE):
Restart and run all clears the kernel's memory and then runs every cell from top to bottom, showing whether the notebook works without leftover state.
HOW / WHY IT WORKS:
The command is in the kernel menu. If any cell fails, the notebook depended on something not shown, such as a deleted cell or a manual change. Fixing the first failing cell and repeating gives a notebook that others can run. For slow notebooks, test on a small sample first, then run the full version once at the end.
SIMPLE EXPLANATION (HINGLISH):
Wipe the memory and run every cell in order to check the notebook is honest.
REAL-LIFE ANALOGY:
Restart and run all is the final dress rehearsal before opening night.
FORMULA / RULE:
Share only after a clean top-to-bottom run.
EXAMPLE 1:
Running all cells before sending a report.
EXAMPLE 2:
Finding a missing import through the first failing cell.
EXAMPLE 3:
Checking a notebook before committing it.
RELATED CONCEPTS:
running order, reproducibility, version control, kernels
FAMILY / GROUP:
restart, run all, clean run, state, order
WHERE IT IS USED:
Before sharing | Code review | Handover
MINI CONVERSATION:
A: Is the notebook ready to send? | B: Only after a clean restart and run all.
COMMON MISTAKE:
✗ Running the last cell again proves the notebook works → ✓ Only a full clean run proves it
DON'T CONFUSE WITH:
Run all vs restart and run all: one keeps old memory, the other wipes it first.
AVOID / DON'T:
Do not send a notebook that has only been run in pieces.
MEMORY TRICK:
Wipe, run, check, then share.
REAL LIFE: PROJECT / WORK:
A clean run caught a missing import before a customer received the notebook.
REAL LIFE: INTERVIEW / EXAM:
An interviewer may ask: How do you check a notebook is reproducible?
REAL LIFE: DAILY LIFE:
It is like a full rehearsal before the real show.</t>
        </is>
      </c>
      <c r="C15" s="29" t="inlineStr">
        <is>
          <t>02_Daily_use_Beginner_JUP-014</t>
        </is>
      </c>
    </row>
    <row r="16" ht="409" customHeight="1">
      <c r="A16" s="29" t="inlineStr">
        <is>
          <t>Reproducibility
What makes someone else get the same results from your notebook?</t>
        </is>
      </c>
      <c r="B16" s="29" t="inlineStr">
        <is>
          <t>DEFINITION (SIMPLE):
A reproducible notebook gives the same results when another person runs it from top to bottom on their own machine, because its inputs, packages, randomness and order are all stated.
HOW / WHY IT WORKS:
Four things usually break reproducibility: hidden state, unpinned package versions, missing or changing data, and unseeded randomness. Fix them by running clean, listing versions in a requirements file, noting where data comes from, and setting seeds. Use relative paths so the notebook does not depend on your own folders.
SIMPLE EXPLANATION (HINGLISH):
Someone else should be able to run your notebook and get the same answer.
REAL-LIFE ANALOGY:
A reproducible notebook is a recipe with exact amounts, not a vague description of a meal.
FORMULA / RULE:
Same data, same packages, same seed, same order.
EXAMPLE 1:
A requirements file stored beside the notebook.
EXAMPLE 2:
A fixed random seed in a sampling step.
EXAMPLE 3:
A relative path to a data folder inside the project.
RELATED CONCEPTS:
running order, restart and run all, installing packages, version control
FAMILY / GROUP:
reproducible, seed, pinned, relative path, environment
WHERE IT IS USED:
Research | Client reports | Audits
MINI CONVERSATION:
A: My numbers differ from yours. | B: Let us compare package versions and the random seed.
COMMON MISTAKE:
✗ If it runs on my laptop it is reproducible → ✓ It must also run cleanly on another machine
DON'T CONFUSE WITH:
Reproducible vs repeatable: others can recreate it versus you can rerun it yourself.
AVOID / DON'T:
Do not hard-code paths that exist only on your own computer.
MEMORY TRICK:
Pin the versions, fix the seed, share the data path.
REAL LIFE: PROJECT / WORK:
Pinned package versions let an audit team recreate a client's numbers months later.
REAL LIFE: INTERVIEW / EXAM:
An interviewer may ask: How do you make a notebook reproducible?
REAL LIFE: DAILY LIFE:
It is like a recipe with exact measurements.</t>
        </is>
      </c>
      <c r="C16" s="29" t="inlineStr">
        <is>
          <t>03_Good_practice_Intermediate_JUP-015</t>
        </is>
      </c>
    </row>
    <row r="17" ht="409" customHeight="1">
      <c r="A17" s="29" t="inlineStr">
        <is>
          <t>Secrets in notebooks
How do you keep passwords and API keys out of a shared notebook?
import os
api_key = os.environ.get("SERVICE_API_KEY")
if not api_key:
    print("Set SERVICE_API_KEY in the environment first.")
else:
    print("Key found, length", len(api_key))</t>
        </is>
      </c>
      <c r="B17" s="29" t="inlineStr">
        <is>
          <t>MEANING (SHORT):
Secrets should live outside the notebook, in environment variables or a secrets manager, and the code should only read them at run time.
CODE:
import os
api_key = os.environ.get("SERVICE_API_KEY")
if not api_key:
    print("Set SERVICE_API_KEY in the environment first.")
else:
    print("Key found, length", len(api_key))
OUTPUT:
Set SERVICE_API_KEY in the environment first. (when the variable is missing)
EXPLANATION:
Never paste a key into a cell, even for a quick test, because saved outputs and version history keep it. Load it from the environment or from a local file that is ignored by version control. If a secret leaks, treat it as compromised and rotate it, since deleting the cell does not remove the old copies. Print only that a key exists, never its value.
SIMPLE EXPLANATION (HINGLISH):
Read the key from the environment and never write its value in the notebook.
REAL-LIFE ANALOGY:
A key in a notebook is a house key taped to the front door.
SYNTAX PATTERN:
os.environ.get("NAME")
ANATOMY:
os.environ = environment values | get = safe read | NAME = variable name
EXAMPLE 1:
Reading a service key from the environment.
EXAMPLE 2:
Loading a local env file that is ignored by version control.
EXAMPLE 3:
Rotating a key that appeared in a pushed notebook.
VARIATION:
os.environ["NAME"]   // raises an error if missing
USED WITH:
Environment variables, gitignore, secrets managers
RELATED CONCEPTS:
version control and clean outputs, sharing, hosted notebooks, reproducibility
ALTERNATIVES:
Secrets manager | Hosted notebook secrets feature
WHERE IT IS USED:
API work | Database access | Customer projects
MINI CONVERSATION:
A: I pasted the key just to test. | B: Rotate it now, because it may already be saved in the file history.
COMMON MISTAKE:
✗ Deleting the cell removes a leaked key → ✓ History, outputs and copies may still hold it
COMMONLY CONFUSED WITH:
Environment variable vs hard-coded value: read at run time versus stored in the file.
AVOID / DON'T:
Do not print a secret value to check that it loaded.
WRONG CODE:
api_key = "paste-the-real-key-here"
RIGHT CODE:
api_key = os.environ.get("SERVICE_API_KEY")
MEMORY TRICK:
Read it from the environment, never write it in.
REAL LIFE: PROJECT / WORK:
A leaked key found in an old notebook was rotated, and the code moved to environment variables.
REAL LIFE: INTERVIEW / EXAM:
An interviewer may ask: How do you handle API keys in notebooks?
REAL LIFE: DAILY LIFE:
It is like keeping your house key in your pocket, not on the door.</t>
        </is>
      </c>
      <c r="C17" s="29" t="inlineStr">
        <is>
          <t>03_Good_practice_Intermediate_JUP-016</t>
        </is>
      </c>
    </row>
    <row r="18" ht="409" customHeight="1">
      <c r="A18" s="29" t="inlineStr">
        <is>
          <t>Version control and clean outputs
How do you keep notebooks tidy in Git?
jupyter nbconvert --clear-output --inplace analysis.ipynb
git add analysis.ipynb
git commit -m "Clean analysis notebook"
git diff --stat HEAD~1</t>
        </is>
      </c>
      <c r="B18" s="29" t="inlineStr">
        <is>
          <t>MEANING (SHORT):
Clearing outputs before a commit removes results, images and execution counts from the file, so the diff shows only the code and text that actually changed.
CODE:
jupyter nbconvert --clear-output --inplace analysis.ipynb
git add analysis.ipynb
git commit -m "Clean analysis notebook"
git diff --stat HEAD~1
OUTPUT:
A short diff summary showing the changed notebook file.
EXPLANATION:
Images and tables inside outputs make large, unreadable diffs and bloat the repository. Clear outputs, or use a tool that strips them automatically before each commit. Where reviewers need to see results, commit a rendered HTML copy separately. Tools that show notebook diffs cell by cell make review easier. Never commit outputs that contain private data or secrets.
SIMPLE EXPLANATION (HINGLISH):
Strip the outputs so Git only tracks what you really changed.
REAL-LIFE ANALOGY:
Clearing outputs is wiping the whiteboard before saving the lesson plan.
SYNTAX PATTERN:
jupyter nbconvert --clear-output --inplace file.ipynb
ANATOMY:
nbconvert = converter | --clear-output = remove results | --inplace = edit the same file
EXAMPLE 1:
Clearing outputs before a pull request.
EXAMPLE 2:
Committing a rendered HTML copy for reviewers.
EXAMPLE 3:
Stripping outputs with a pre-commit hook.
VARIATION:
jupytext pairing   // keep a plain-text twin of the notebook
USED WITH:
Git, pre-commit, code review
RELATED CONCEPTS:
restart and run all, secrets in notebooks, nbconvert, sharing
ALTERNATIVES:
nbstripout | jupytext | Notebook diff tools
WHERE IT IS USED:
Team projects | Pull requests | Repositories
MINI CONVERSATION:
A: The pull request shows five thousand changed lines. | B: Outputs were committed, so clear them and push again.
COMMON MISTAKE:
✗ Outputs must always be committed with the notebook → ✓ They are often better left out of version control
COMMONLY CONFUSED WITH:
Clearing outputs vs deleting cells: one removes results, the other removes code.
AVOID / DON'T:
Do not commit outputs that show customer data.
WRONG CODE:
git add analysis.ipynb   # with large outputs and private rows
RIGHT CODE:
jupyter nbconvert --clear-output --inplace analysis.ipynb
MEMORY TRICK:
Wipe the outputs, then commit the code.
REAL LIFE: PROJECT / WORK:
Clearing outputs made review of a team notebook much quicker.
REAL LIFE: INTERVIEW / EXAM:
An interviewer may ask: Why are notebooks hard to review in Git?
REAL LIFE: DAILY LIFE:
It is like erasing the whiteboard before filing the notes.</t>
        </is>
      </c>
      <c r="C18" s="29" t="inlineStr">
        <is>
          <t>03_Good_practice_Intermediate_JUP-017</t>
        </is>
      </c>
    </row>
    <row r="19" ht="409" customHeight="1">
      <c r="A19" s="29" t="inlineStr">
        <is>
          <t>Converting with nbconvert
Which tool turns a notebook into HTML, PDF or a script?
jupyter nbconvert --to html report.ipynb
jupyter nbconvert --to html --no-input report.ipynb
jupyter nbconvert --to script report.ipynb
jupyter nbconvert --to notebook --execute report.ipynb</t>
        </is>
      </c>
      <c r="B19" s="29" t="inlineStr">
        <is>
          <t>MEANING (SHORT):
The nbconvert tool converts a notebook file into formats such as HTML, PDF, Markdown or a Python script, and can also execute the notebook while converting.
CODE:
jupyter nbconvert --to html report.ipynb
jupyter nbconvert --to html --no-input report.ipynb
jupyter nbconvert --to script report.ipynb
jupyter nbconvert --to notebook --execute report.ipynb
OUTPUT:
Files report.html, a code-free HTML version, report.py and an executed notebook copy.
EXPLANATION:
HTML is the simplest format for sharing results because it needs no installation. PDF output may need extra tools installed on the machine. The no-input option hides code cells so business readers see only text and charts. The execute option runs all cells first, which proves the notebook runs cleanly. Available options can differ between versions, so check the help output.
SIMPLE EXPLANATION (HINGLISH):
One command turns a notebook into a report or a script.
REAL-LIFE ANALOGY:
nbconvert is a printing press that turns the notebook into any format you need.
SYNTAX PATTERN:
jupyter nbconvert --to FORMAT file.ipynb
ANATOMY:
--to = target format | html, pdf, script = formats | --execute = run first | --no-input = hide code
EXAMPLE 1:
Sending an HTML report to a manager.
EXAMPLE 2:
Producing a code-free summary for a client.
EXAMPLE 3:
Turning a prototype into a script.
VARIATION:
--to pdf   // may need extra tools installed
USED WITH:
Reports, automation, scheduled runs
RELATED CONCEPTS:
sharing, notebook to script, clean outputs, parameterised notebooks
ALTERNATIVES:
Quarto | Export from the menu | Papermill
WHERE IT IS USED:
Reporting | Handover | Automation
MINI CONVERSATION:
A: The client does not use Jupyter. | B: Export an HTML report and send that instead.
COMMON MISTAKE:
✗ PDF export always works without extra setup → ✓ It often needs additional tools installed
COMMONLY CONFUSED WITH:
--no-input vs the default export: hide the code cells versus show everything.
AVOID / DON'T:
Do not send a client an HTML file that still shows private cells.
WRONG CODE:
jupyter nbconvert --to html report.ipynb   # code cells and private code stay visible
RIGHT CODE:
jupyter nbconvert --to html --no-input report.ipynb
MEMORY TRICK:
Say where it goes with --to.
REAL LIFE: PROJECT / WORK:
An HTML export with code hidden gave a client a clean weekly summary.
REAL LIFE: INTERVIEW / EXAM:
An interviewer may ask: How do you share a notebook with someone who does not use Jupyter?
REAL LIFE: DAILY LIFE:
It is like exporting a document as a PDF to send to a friend.</t>
        </is>
      </c>
      <c r="C19" s="29" t="inlineStr">
        <is>
          <t>03_Good_practice_Intermediate_JUP-018</t>
        </is>
      </c>
    </row>
    <row r="20" ht="409" customHeight="1">
      <c r="A20" s="29" t="inlineStr">
        <is>
          <t>Sharing notebooks
How do you share a notebook so others can read or run it?</t>
        </is>
      </c>
      <c r="B20" s="29" t="inlineStr">
        <is>
          <t>DEFINITION (SIMPLE):
Sharing a notebook means choosing a form that fits the reader, such as a rendered HTML report to read, a repository with an environment file to run, or a hosted link to edit.
HOW / WHY IT WORKS:
Readers who only need results should get HTML or PDF. Readers who must rerun it need the notebook, its data location and a list of packages. Readers who will edit should receive it through version control. Always check for secrets and private data in code and outputs first. Hosted services add sharing links, but the provider's access rules and data location still apply.
SIMPLE EXPLANATION (HINGLISH):
Give the reader a format that matches what they need to do.
REAL-LIFE ANALOGY:
Sharing is choosing between showing a photograph, lending a model, or handing over the workshop.
FORMULA / RULE:
Read means HTML, run means repository plus environment, edit means version control.
EXAMPLE 1:
An HTML report for a manager.
EXAMPLE 2:
A repository link with a requirements file for a colleague.
EXAMPLE 3:
A hosted link for a workshop group.
RELATED CONCEPTS:
nbconvert, secrets in notebooks, version control, hosted notebooks
FAMILY / GROUP:
share, export, repository, link, access
WHERE IT IS USED:
Reports | Teams | Workshops
MINI CONVERSATION:
A: Can the client run the notebook? | B: Only if we send the data path and a requirements file with it.
COMMON MISTAKE:
✗ Sending the ipynb file is always enough → ✓ Readers also need data, packages and sometimes a clean export
DON'T CONFUSE WITH:
Read vs run: a rendered report versus a full working setup.
AVOID / DON'T:
Do not share a notebook before checking its outputs for private data.
MEMORY TRICK:
Read, run or edit decides the format.
REAL LIFE: PROJECT / WORK:
A client received an HTML summary and a separate repository for the engineering team.
REAL LIFE: INTERVIEW / EXAM:
An interviewer may ask: How do you share analysis with a non-technical stakeholder?
REAL LIFE: DAILY LIFE:
It is like choosing between sending a photo, lending a recipe or handing over the keys.</t>
        </is>
      </c>
      <c r="C20" s="29" t="inlineStr">
        <is>
          <t>03_Good_practice_Intermediate_JUP-019</t>
        </is>
      </c>
    </row>
    <row r="21" ht="409" customHeight="1">
      <c r="A21" s="29" t="inlineStr">
        <is>
          <t>Parameterised notebooks
How do you run the same notebook with different inputs?
pip install papermill
papermill report.ipynb out_march.ipynb -p month 2026-03 -p region west
papermill report.ipynb out_april.ipynb -p month 2026-04 -p region west</t>
        </is>
      </c>
      <c r="B21" s="29" t="inlineStr">
        <is>
          <t>MEANING (SHORT):
A parameterised notebook has one cell of input values that an external tool such as papermill can override, so the same analysis runs for many customers, dates or settings.
CODE:
pip install papermill
papermill report.ipynb out_march.ipynb -p month 2026-03 -p region west
papermill report.ipynb out_april.ipynb -p month 2026-04 -p region west
OUTPUT:
Two executed copies, one for each month, saved as new notebooks.
EXPLANATION:
The cell holding defaults is tagged parameters. Papermill injects a new cell after it with the supplied values, runs the notebook and saves the executed copy. This avoids editing the original and keeps one record per run. It suits scheduled reports and batch jobs. Combine with nbconvert to export each result as HTML.
SIMPLE EXPLANATION (HINGLISH):
Put the inputs in one cell and run the notebook again with new values.
REAL-LIFE ANALOGY:
A parameter cell is the dial on the front of a machine that otherwise stays the same.
SYNTAX PATTERN:
papermill input.ipynb output.ipynb -p name value
ANATOMY:
input = template | output = executed copy | -p = parameter | name value = setting
EXAMPLE 1:
A monthly sales report for each region.
EXAMPLE 2:
A customer health report with a customer id.
EXAMPLE 3:
A model check run on different dates.
VARIATION:
-f params.yaml   // read the values from a file
USED WITH:
nbconvert, schedulers, batch jobs
RELATED CONCEPTS:
nbconvert, notebook to script, reproducibility, remote kernels
ALTERNATIVES:
Quarto parameters | Plain script with arguments | Scheduler runs
WHERE IT IS USED:
Reporting | Batch runs | Customer work
MINI CONVERSATION:
A: I copied the notebook for each customer. | B: Parameterise it and run one template many times.
COMMON MISTAKE:
✗ You must copy a notebook to reuse it with new values → ✓ Parameters let one template run many times
COMMONLY CONFUSED WITH:
Parameters cell vs code edit: tagged inputs versus changing analysis code by hand.
AVOID / DON'T:
Do not scatter input values through the notebook.
WRONG CODE:
month = "2026-03"   # edited by hand in many cells
RIGHT CODE:
papermill report.ipynb out.ipynb -p month 2026-03
MEMORY TRICK:
One dial cell, many runs.
REAL LIFE: PROJECT / WORK:
Parameterising a weekly report removed hours of copy and paste for a support team.
REAL LIFE: INTERVIEW / EXAM:
An interviewer may ask: How do you run one notebook for many inputs?
REAL LIFE: DAILY LIFE:
It is like a washing machine that runs the same cycle with different settings.</t>
        </is>
      </c>
      <c r="C21" s="29" t="inlineStr">
        <is>
          <t>03_Good_practice_Advanced_JUP-020</t>
        </is>
      </c>
    </row>
    <row r="22" ht="409" customHeight="1">
      <c r="A22" s="29" t="inlineStr">
        <is>
          <t>Notebook to script
When and how do you move notebook code into a plain script or module?
# clean.py
def remove_blanks(rows):
    return [r for r in rows if r.strip()]
# in the notebook
from clean import remove_blanks
print(remove_blanks(["a", "", "b"]))</t>
        </is>
      </c>
      <c r="B22" s="29" t="inlineStr">
        <is>
          <t>MEANING (SHORT):
Promoting notebook code means placing stable logic into functions inside a normal file, importing them in the notebook, and running the file from the command line or a scheduler.
CODE:
# clean.py
def remove_blanks(rows):
    return [r for r in rows if r.strip()]
# in the notebook
from clean import remove_blanks
print(remove_blanks(["a", "", "b"]))
OUTPUT:
['a', 'b']
EXPLANATION:
Keep the notebook for exploring and explaining, and import the logic from a module. Functions in files can be tested, reviewed and reused. When the whole flow is ready, convert it with nbconvert or rewrite it as a command-line script, then schedule that script. In the notebook, the autoreload extension reloads edited modules without restarting the kernel.
SIMPLE EXPLANATION (HINGLISH):
Put reusable code in a file and import it, and keep the notebook for the story.
REAL-LIFE ANALOGY:
The notebook is the sketchpad and the module is the finished blueprint.
SYNTAX PATTERN:
from module import function
ANATOMY:
module = a python file | import = bring in | function = reusable step
EXAMPLE 1:
A cleaning function moved into clean.py.
EXAMPLE 2:
A scheduled script built from a finished notebook.
EXAMPLE 3:
Autoreload picking up an edited module.
VARIATION:
%load_ext autoreload
%autoreload 2   // reload edited modules automatically
USED WITH:
Modules, tests, schedulers
RELATED CONCEPTS:
testing notebook code, nbconvert, parameterised notebooks, performance and memory
ALTERNATIVES:
nbconvert --to script | Rewrite as a command-line tool
WHERE IT IS USED:
Production hand-off | Teams | Pipelines
MINI CONVERSATION:
A: Our nightly job runs a notebook and fails often. | B: Move the logic into a tested script and keep the notebook for reports.
COMMON MISTAKE:
✗ A notebook is fine as a long-term production job → ✓ Stable logic belongs in tested modules
COMMONLY CONFUSED WITH:
Module vs notebook: reusable tested code versus exploratory narrative.
AVOID / DON'T:
Do not copy the same code between notebooks.
WRONG CODE:
# same cleaning code pasted into five notebooks
RIGHT CODE:
from clean import remove_blanks
MEMORY TRICK:
Explore in notebooks, build in modules.
REAL LIFE: PROJECT / WORK:
Moving cleaning logic into a module let a team test it and reuse it in a nightly job.
REAL LIFE: INTERVIEW / EXAM:
An interviewer may ask: How do you take notebook code to production?
REAL LIFE: DAILY LIFE:
It is like turning a pencil sketch into a printed blueprint.</t>
        </is>
      </c>
      <c r="C22" s="29" t="inlineStr">
        <is>
          <t>03_Good_practice_Advanced_JUP-021</t>
        </is>
      </c>
    </row>
    <row r="23" ht="409" customHeight="1">
      <c r="A23" s="29" t="inlineStr">
        <is>
          <t>Widgets
How do you add sliders and buttons that change results in a notebook?
from ipywidgets import interact
def show(power):
    print(2 ** power)
interact(show, power=(1, 10))</t>
        </is>
      </c>
      <c r="B23" s="29" t="inlineStr">
        <is>
          <t>MEANING (SHORT):
The ipywidgets library adds interactive controls, such as sliders, dropdowns and buttons, that call a Python function whenever their value changes.
CODE:
from ipywidgets import interact
def show(power):
    print(2 ** power)
interact(show, power=(1, 10))
OUTPUT:
A slider from 1 to 10 and a printed value that updates as the slider moves.
EXPLANATION:
The interact helper turns function arguments into controls. For more control, create widgets and link them with observers. Widgets need a running kernel, so they do not work in a static HTML export. They are helpful for exploring parameters and teaching, but a separate app framework is better for end users. Support depends on the interface and extensions installed.
SIMPLE EXPLANATION (HINGLISH):
Add a slider or dropdown that reruns a function when you move it.
REAL-LIFE ANALOGY:
Widgets are the volume knobs on your analysis.
SYNTAX PATTERN:
interact(function, arg=(min, max))
ANATOMY:
interact = helper | function = what to run | arg = control | (min, max) = slider range
EXAMPLE 1:
A slider that changes a chart threshold.
EXAMPLE 2:
A dropdown that selects a region.
EXAMPLE 3:
A button that reloads a sample.
VARIATION:
widgets.IntSlider()   // create a control by hand
USED WITH:
ipywidgets, plotting, teaching
RELATED CONCEPTS:
plotting inline, displaying data, sharing, hosted notebooks
ALTERNATIVES:
Streamlit | Dash | Voila
WHERE IT IS USED:
Exploration | Teaching | Demos
MINI CONVERSATION:
A: Can the client move the slider in the HTML report? | B: No, widgets need a live kernel, so use an app tool instead.
COMMON MISTAKE:
✗ Widgets work in any exported file → ✓ Most need a running kernel
COMMONLY CONFUSED WITH:
Widgets vs dashboards: controls inside a notebook versus a separate app.
AVOID / DON'T:
Do not build a customer-facing product out of widgets alone.
WRONG CODE:
interact(show)   # no range for the argument
RIGHT CODE:
interact(show, power=(1, 10))
MEMORY TRICK:
Give the function in, get a knob out.
REAL LIFE: PROJECT / WORK:
A slider helped a client explore a threshold live during a workshop.
REAL LIFE: INTERVIEW / EXAM:
An interviewer may ask: How can a notebook be made interactive?
REAL LIFE: DAILY LIFE:
It is like adding a dial to a radio to tune it.</t>
        </is>
      </c>
      <c r="C23" s="29" t="inlineStr">
        <is>
          <t>04_Advanced_Advanced_JUP-022</t>
        </is>
      </c>
    </row>
    <row r="24" ht="409" customHeight="1">
      <c r="A24" s="29" t="inlineStr">
        <is>
          <t>Remote kernels
How do you run notebook code on a more powerful or secure machine?
ssh -L 8888:localhost:8888 user@server
jupyter lab --no-browser --port 8888</t>
        </is>
      </c>
      <c r="B24" s="29" t="inlineStr">
        <is>
          <t>MEANING (SHORT):
Running the server on another machine and connecting through an SSH tunnel lets you work in your local browser while the code and data stay on the remote host.
CODE:
ssh -L 8888:localhost:8888 user@server
jupyter lab --no-browser --port 8888
OUTPUT:
A server message with a local address and a token to open in your browser.
EXPLANATION:
The first command forwards your local port 8888 to the server. The second starts JupyterLab on the server without opening a browser. Open the printed address on your laptop and paste the token when asked. Never expose the notebook port directly on a public network, because anyone who reaches it can run code. Use the SSH tunnel or an approved company gateway.
SIMPLE EXPLANATION (HINGLISH):
Run the server on the big machine and view it safely through a tunnel.
REAL-LIFE ANALOGY:
A remote kernel is a long cable from your laptop screen to a bigger engine room.
SYNTAX PATTERN:
ssh -L local:localhost:remote user@host
ANATOMY:
-L = forward a port | 8888 = port number | user@host = remote login
EXAMPLE 1:
Using a company server with a graphics card.
EXAMPLE 2:
Working near data that must not leave a secure network.
EXAMPLE 3:
Reconnecting to a long job after closing the laptop.
VARIATION:
tmux on the server   // keeps the session alive after disconnects
USED WITH:
SSH, tmux, JupyterHub
RELATED CONCEPTS:
kernels, hosted notebooks, performance and memory, secrets in notebooks
ALTERNATIVES:
JupyterHub | VS Code remote | Hosted platform
WHERE IT IS USED:
Secure data work | Heavy models | Shared servers
MINI CONVERSATION:
A: Can I open the server port to everyone for the demo? | B: No, use an SSH tunnel so only you can connect.
COMMON MISTAKE:
✗ A notebook server is safe on a public port → ✓ Anyone who reaches it can run code
COMMONLY CONFUSED WITH:
Remote kernel vs hosted notebook: your own server versus a provider's service.
AVOID / DON'T:
Do not expose a notebook server to the internet without proper protection.
WRONG CODE:
jupyter lab --ip=0.0.0.0   # open to every network
RIGHT CODE:
ssh -L 8888:localhost:8888 user@server
MEMORY TRICK:
Tunnel in, never open the port.
REAL LIFE: PROJECT / WORK:
A tunnel let an engineer analyse data that could not leave the customer's network.
REAL LIFE: INTERVIEW / EXAM:
An interviewer may ask: How do you use a notebook on a remote server securely?
REAL LIFE: DAILY LIFE:
It is like controlling a far-away computer through a private line.</t>
        </is>
      </c>
      <c r="C24" s="29" t="inlineStr">
        <is>
          <t>04_Advanced_Advanced_JUP-023</t>
        </is>
      </c>
    </row>
    <row r="25" ht="409" customHeight="1">
      <c r="A25" s="29" t="inlineStr">
        <is>
          <t>Performance and memory
How do you find out why a notebook is slow or runs out of memory?
import sys
data = list(range(1000000))
print(sys.getsizeof(data) &gt; 1000)
del data
import gc
gc.collect()
print("freed")</t>
        </is>
      </c>
      <c r="B25" s="29" t="inlineStr">
        <is>
          <t>MEANING (SHORT):
Performance work starts by timing steps and checking memory use, then reducing data early, using faster formats, and freeing objects you no longer need.
CODE:
import sys
data = list(range(1000000))
print(sys.getsizeof(data) &gt; 1000)
del data
import gc
gc.collect()
print("freed")
OUTPUT:
True
freed
EXPLANATION:
Use the time magics to find the slow cell. Check the size of tables before copying them. Load only the columns and rows you need, read big files in chunks, and sample while developing. Delete large variables you no longer need, or restart the kernel. Faster file formats, such as columnar ones, reduce load time. Do not optimise a step that takes seconds.
SIMPLE EXPLANATION (HINGLISH):
Time it, size it, then shrink or free the biggest part.
REAL-LIFE ANALOGY:
Speeding up code without measuring is repairing a car without finding the fault.
SYNTAX PATTERN:
%%time | del name | gc.collect()
ANATOMY:
%%time = measure | del = drop the name | gc.collect = free unused objects
EXAMPLE 1:
Reading only three columns from a wide file.
EXAMPLE 2:
Sampling ten percent of rows while developing.
EXAMPLE 3:
Deleting a large table after summarising it.
VARIATION:
pd.read_csv(chunksize=...)   // read a large file in pieces
USED WITH:
pandas, timing magics, columnar formats
RELATED CONCEPTS:
magic commands, displaying data, remote kernels, notebook to script
ALTERNATIVES:
Profilers | Remote machines | Faster libraries
WHERE IT IS USED:
Large data | Slow notebooks | Hosted notebooks
MINI CONVERSATION:
A: The kernel keeps dying on this file. | B: It may be running out of memory, so load fewer columns or read in chunks.
COMMON MISTAKE:
✗ A bigger laptop is the only fix for a slow notebook → ✓ Loading less data and measuring often helps more
COMMONLY CONFUSED WITH:
Time problem vs memory problem: slow steps versus too much data held at once.
AVOID / DON'T:
Do not copy a huge table many times in memory.
WRONG CODE:
df2 = df.copy()
df3 = df.copy()   # many copies of a huge table
RIGHT CODE:
df = df[["city", "sales"]]
MEMORY TRICK:
Measure it, shrink it, then free it.
REAL LIFE: PROJECT / WORK:
Reading only the needed columns made a slow load much faster.
REAL LIFE: INTERVIEW / EXAM:
An interviewer may ask: How do you debug a notebook that runs out of memory?
REAL LIFE: DAILY LIFE:
It is like clearing a crowded desk so you can work.</t>
        </is>
      </c>
      <c r="C25" s="29" t="inlineStr">
        <is>
          <t>04_Advanced_Advanced_JUP-024</t>
        </is>
      </c>
    </row>
    <row r="26" ht="409" customHeight="1">
      <c r="A26" s="29" t="inlineStr">
        <is>
          <t>Testing notebook code
How do you test logic that lives in a notebook?
# test_clean.py
from clean import remove_blanks
def test_remove_blanks():
    assert remove_blanks(["a", "", "b"]) == ["a", "b"]
# run in a terminal
pytest -q</t>
        </is>
      </c>
      <c r="B26" s="29" t="inlineStr">
        <is>
          <t>MEANING (SHORT):
Notebook code is tested by moving the logic into importable functions and checking them with a test runner, or by running the whole notebook automatically to catch errors.
CODE:
# test_clean.py
from clean import remove_blanks
def test_remove_blanks():
    assert remove_blanks(["a", "", "b"]) == ["a", "b"]
# run in a terminal
pytest -q
OUTPUT:
1 passed
EXPLANATION:
Tests need importable code, which is why logic belongs in modules. Plain asserts inside a cell give quick checks while exploring. To check that a whole notebook still runs, execute it in an automated job with nbconvert or papermill, and fail the job on any error. Tools that run notebooks as tests exist too, but the function approach is usually simplest and clearest.
SIMPLE EXPLANATION (HINGLISH):
Move logic into functions and test them, and run the whole notebook in automation.
REAL-LIFE ANALOGY:
A test is a smoke alarm for the code you cannot watch all day.
SYNTAX PATTERN:
def test_name(): assert result == expected
ANATOMY:
test_ = pytest finds it | assert = the check | == expected = the rule
EXAMPLE 1:
A test for a cleaning function.
EXAMPLE 2:
An automated run that fails on any cell error.
EXAMPLE 3:
A quick assert inside an exploring cell.
VARIATION:
assert in a cell   // quick check during exploration
USED WITH:
pytest, nbconvert, CI pipelines
RELATED CONCEPTS:
notebook to script, restart and run all, parameterised notebooks, reproducibility
ALTERNATIVES:
nbval | testbook | Manual checks
WHERE IT IS USED:
Team projects | Pipelines | Production hand-off
MINI CONVERSATION:
A: Someone changed the cleaning cell and the totals broke. | B: A small test on the function would have caught it.
COMMON MISTAKE:
✗ Notebook code cannot be tested → ✓ Move logic into functions or run the notebook in automation
COMMONLY CONFUSED WITH:
Unit test vs notebook run: one function checked versus the whole notebook executed.
AVOID / DON'T:
Do not leave key business logic only inside untested cells.
WRONG CODE:
remove_blanks(["a", "", "b"])   # looked at by eye only
RIGHT CODE:
assert remove_blanks(["a", "", "b"]) == ["a", "b"]
MEMORY TRICK:
Make it a function, then make it a test.
REAL LIFE: PROJECT / WORK:
A small test caught a changed filter before a report went to a customer.
REAL LIFE: INTERVIEW / EXAM:
An interviewer may ask: How do you test code in a notebook?
REAL LIFE: DAILY LIFE:
It is like fitting a smoke alarm in a room you cannot watch.</t>
        </is>
      </c>
      <c r="C26" s="29" t="inlineStr">
        <is>
          <t>04_Advanced_Advanced_JUP-025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What does a notebook store besides the code?
A) Nothing else B) Only passwords C) Only images of the screen D) Outputs and notes
FILL: A notebook file uses the extension ____
APPLY: A colleague wants to see your analysis steps and charts together. What do you share?</t>
        </is>
      </c>
      <c r="B2" s="29" t="inlineStr">
        <is>
          <t>MCQ answer: D  Outputs and text cells are saved in the file with the code.
Fill answer: ipynb
Apply: A notebook</t>
        </is>
      </c>
      <c r="C2" s="29" t="inlineStr">
        <is>
          <t>01_Basics_Beginner_JUP-001_quiz</t>
        </is>
      </c>
    </row>
    <row r="3" ht="108" customHeight="1">
      <c r="A3" s="29" t="inlineStr">
        <is>
          <t>MCQ: Which cell type is only displayed as formatted text?
A) Markdown B) Kernel C) Code D) Output
FILL: The number in square brackets beside a code cell shows its execution ____
APPLY: You need to explain a filtering step above its code. Which cell do you add?</t>
        </is>
      </c>
      <c r="B3" s="29" t="inlineStr">
        <is>
          <t>MCQ answer: A  Markdown cells render text and never run code.
Fill answer: count
Apply: A markdown cell</t>
        </is>
      </c>
      <c r="C3" s="29" t="inlineStr">
        <is>
          <t>01_Basics_Beginner_JUP-002_quiz</t>
        </is>
      </c>
    </row>
    <row r="4" ht="121.5" customHeight="1">
      <c r="A4" s="29" t="inlineStr">
        <is>
          <t>MCQ: What does a kernel hold in memory?
A) Only the file name B) Your variables and imports C) The screen colour D) The browser history
FILL: Stopping one stuck cell without losing variables is called an ____
APPLY: A cell has run for ten minutes with no end and you want to keep your data. What do you do?</t>
        </is>
      </c>
      <c r="B4" s="29" t="inlineStr">
        <is>
          <t>MCQ answer: B  State from run cells lives in the kernel process.
Fill answer: interrupt
Apply: Interrupt the kernel</t>
        </is>
      </c>
      <c r="C4" s="29" t="inlineStr">
        <is>
          <t>01_Basics_Beginner_JUP-003_quiz</t>
        </is>
      </c>
    </row>
    <row r="5" ht="108" customHeight="1">
      <c r="A5" s="29" t="inlineStr">
        <is>
          <t>MCQ: What is the best test of whether a notebook is reliable?
A) Delete old cells B) Increase font size C) Restart and run all D) Add more outputs
FILL: Numbers shown beside code cells reveal the actual run ____
APPLY: Your totals look wrong after many edits. What do you try first?</t>
        </is>
      </c>
      <c r="B5" s="29" t="inlineStr">
        <is>
          <t>MCQ answer: C  A clean run proves the page alone produces the results.
Fill answer: order
Apply: Restart the kernel and run all cells</t>
        </is>
      </c>
      <c r="C5" s="29" t="inlineStr">
        <is>
          <t>01_Basics_Beginner_JUP-004_quiz</t>
        </is>
      </c>
    </row>
    <row r="6" ht="108" customHeight="1">
      <c r="A6" s="29" t="inlineStr">
        <is>
          <t>MCQ: Which file type opens in both interfaces?
A) ipynb B) exe C) mp3 D) docx
FILL: A richer interface with a file browser and terminal tabs is called ____
APPLY: You need a terminal and three files open together. Which interface fits?</t>
        </is>
      </c>
      <c r="B6" s="29" t="inlineStr">
        <is>
          <t>MCQ answer: A  Both interfaces are front ends for the same notebook files.
Fill answer: JupyterLab
Apply: JupyterLab</t>
        </is>
      </c>
      <c r="C6" s="29" t="inlineStr">
        <is>
          <t>01_Basics_Beginner_JUP-005_quiz</t>
        </is>
      </c>
    </row>
    <row r="7" ht="135" customHeight="1">
      <c r="A7" s="29" t="inlineStr">
        <is>
          <t>MCQ: What should you check before using customer data in a hosted notebook?
A) The font B) The mouse speed C) The tab colour D) Where the data is processed
FILL: A shared notebook server for a company is often called a Jupyter____
APPLY: A learner cannot install Python on a locked laptop. What can they use?</t>
        </is>
      </c>
      <c r="B7" s="29" t="inlineStr">
        <is>
          <t>MCQ answer: D  Hosted code and data run on a provider's servers.
Fill answer: Hub
Apply: A hosted notebook in the browser</t>
        </is>
      </c>
      <c r="C7" s="29" t="inlineStr">
        <is>
          <t>01_Basics_Beginner_JUP-006_quiz</t>
        </is>
      </c>
    </row>
    <row r="8" ht="108" customHeight="1">
      <c r="A8" s="29" t="inlineStr">
        <is>
          <t>MCQ: Which key enters command mode?
A) Caps Lock B) Esc C) Tab D) Delete
FILL: Running a cell and jumping to the next one uses Shift plus ____
APPLY: You want a new cell below without the mouse. What do you press in command mode?</t>
        </is>
      </c>
      <c r="B8" s="29" t="inlineStr">
        <is>
          <t>MCQ answer: B  Esc leaves editing so single-key cell shortcuts work.
Fill answer: Enter
Apply: B</t>
        </is>
      </c>
      <c r="C8" s="29" t="inlineStr">
        <is>
          <t>02_Daily_use_Beginner_JUP-007_quiz</t>
        </is>
      </c>
    </row>
    <row r="9" ht="135" customHeight="1">
      <c r="A9" s="29" t="inlineStr">
        <is>
          <t>MCQ: Which symbol starts a top-level heading?
A) An ampersand B) A dollar sign C) A hash sign D) A percent sign
FILL: Wrapping words in double asterisks makes them ____
HINDI TO TASK: Write a heading and two bullet points in a markdown cell.
PRACTICE QUESTION: What does a single dash at the start of a line create?</t>
        </is>
      </c>
      <c r="B9" s="29" t="inlineStr">
        <is>
          <t>MCQ answer: C  One hash at the start of a line makes the biggest heading.
Fill answer: bold
Task answer:
# Cleaning
- Removed blanks
- Fixed dates
Practice answer:
A bullet list item.</t>
        </is>
      </c>
      <c r="C9" s="29" t="inlineStr">
        <is>
          <t>02_Daily_use_Beginner_JUP-008_quiz</t>
        </is>
      </c>
    </row>
    <row r="10" ht="135" customHeight="1">
      <c r="A10" s="29" t="inlineStr">
        <is>
          <t>MCQ: Which prefix makes a cell magic?
A) Two percent signs B) Two hash signs C) Two ampersands D) Two at signs
FILL: A leading exclamation mark runs a ____ command
HINDI TO TASK: Time a cell that builds a list of a million numbers.
PRACTICE QUESTION: Which magic repeats a line many times to measure speed?</t>
        </is>
      </c>
      <c r="B10" s="29" t="inlineStr">
        <is>
          <t>MCQ answer: A  A double percent sign applies to the whole cell.
Fill answer: shell
Task answer:
%%time
nums = list(range(1000000))
Practice answer:
%timeit</t>
        </is>
      </c>
      <c r="C10" s="29" t="inlineStr">
        <is>
          <t>02_Daily_use_Intermediate_JUP-009_quiz</t>
        </is>
      </c>
    </row>
    <row r="11" ht="121.5" customHeight="1">
      <c r="A11" s="29" t="inlineStr">
        <is>
          <t>MCQ: What shows automatically at the end of a cell?
A) Every line B) Nothing C) The first line D) The last expression
FILL: To see the first rows of a table you call ____
HINDI TO TASK: Show both tables from one cell.
PRACTICE QUESTION: Which pandas call gives random rows instead of the first ones?</t>
        </is>
      </c>
      <c r="B11" s="29" t="inlineStr">
        <is>
          <t>MCQ answer: D  Only the final expression value is rendered.
Fill answer: head
Task answer:
display(df)
display(df2)
Practice answer:
sample</t>
        </is>
      </c>
      <c r="C11" s="29" t="inlineStr">
        <is>
          <t>02_Daily_use_Beginner_JUP-010_quiz</t>
        </is>
      </c>
    </row>
    <row r="12" ht="108" customHeight="1">
      <c r="A12" s="29" t="inlineStr">
        <is>
          <t>MCQ: Which call writes a chart to a file?
A) head B) display C) savefig D) print
FILL: A chart needs a title and labelled ____
HINDI TO TASK: Draw a line chart of three numbers with a title.
PRACTICE QUESTION: Why call plt.show between two charts?</t>
        </is>
      </c>
      <c r="B12" s="29" t="inlineStr">
        <is>
          <t>MCQ answer: C  savefig stores the figure as an image.
Fill answer: axes
Task answer:
plt.plot([1, 3, 2])
plt.title("Trend")
plt.show()
Practice answer:
It finishes the first figure so the next starts fresh.</t>
        </is>
      </c>
      <c r="C12" s="29" t="inlineStr">
        <is>
          <t>02_Daily_use_Beginner_JUP-011_quiz</t>
        </is>
      </c>
    </row>
    <row r="13" ht="121.5" customHeight="1">
      <c r="A13" s="29" t="inlineStr">
        <is>
          <t>MCQ: Which form installs into the kernel's environment?
A) ls B) %pip install C) cd D) pip
FILL: After upgrading an imported package you should ____ the kernel
HINDI TO TASK: Install the requests library from a notebook.
PRACTICE QUESTION: Why restart the kernel after upgrading an imported package?</t>
        </is>
      </c>
      <c r="B13" s="29" t="inlineStr">
        <is>
          <t>MCQ answer: B  The magic is tied to the running kernel.
Fill answer: restart
Task answer:
%pip install requests
Practice answer:
The old version stays loaded in memory until restart.</t>
        </is>
      </c>
      <c r="C13" s="29" t="inlineStr">
        <is>
          <t>02_Daily_use_Intermediate_JUP-012_quiz</t>
        </is>
      </c>
    </row>
    <row r="14" ht="121.5" customHeight="1">
      <c r="A14" s="29" t="inlineStr">
        <is>
          <t>MCQ: Which package lets an environment appear as a Jupyter kernel?
A) ipykernel B) numpy C) flask D) pytest
FILL: Showing every registered kernel uses jupyter ____ list
HINDI TO TASK: Register the active environment as a kernel called demo.
PRACTICE QUESTION: Why register an environment as a kernel?</t>
        </is>
      </c>
      <c r="B14" s="29" t="inlineStr">
        <is>
          <t>MCQ answer: A  ipykernel registers the environment with Jupyter.
Fill answer: kernelspec
Task answer:
python -m ipykernel install --user --name demo
Practice answer:
So notebooks can run with that environment's packages.</t>
        </is>
      </c>
      <c r="C14" s="29" t="inlineStr">
        <is>
          <t>02_Daily_use_Intermediate_JUP-013_quiz</t>
        </is>
      </c>
    </row>
    <row r="15" ht="94.5" customHeight="1">
      <c r="A15" s="29" t="inlineStr">
        <is>
          <t>MCQ: What does restart and run all start with?
A) Changing the theme B) Clearing kernel memory C) Deleting the file D) Closing the browser
FILL: The check works because it removes leftover ____
APPLY: You finished editing and want to share. What do you do first?</t>
        </is>
      </c>
      <c r="B15" s="29" t="inlineStr">
        <is>
          <t>MCQ answer: B  A clean state is what makes the check honest.
Fill answer: state
Apply: Restart the kernel and run all cells</t>
        </is>
      </c>
      <c r="C15" s="29" t="inlineStr">
        <is>
          <t>02_Daily_use_Beginner_JUP-014_quiz</t>
        </is>
      </c>
    </row>
    <row r="16" ht="94.5" customHeight="1">
      <c r="A16" s="29" t="inlineStr">
        <is>
          <t>MCQ: Which item helps make random steps repeatable?
A) A new tab B) More colours C) A bigger font D) A fixed seed
FILL: A path that starts from the project folder is called a ____ path
APPLY: Two analysts get different sampled rows. What do you add?</t>
        </is>
      </c>
      <c r="B16" s="29" t="inlineStr">
        <is>
          <t>MCQ answer: D  A seed makes random choices follow the same sequence.
Fill answer: relative
Apply: A fixed random seed</t>
        </is>
      </c>
      <c r="C16" s="29" t="inlineStr">
        <is>
          <t>03_Good_practice_Intermediate_JUP-015_quiz</t>
        </is>
      </c>
    </row>
    <row r="17" ht="121.5" customHeight="1">
      <c r="A17" s="29" t="inlineStr">
        <is>
          <t>MCQ: Where should an API key be stored for a notebook?
A) In a chart title B) In the file name C) In the environment D) In a markdown cell
FILL: A key that has been exposed must be ____
HINDI TO TASK: Read a key named DATA_KEY from the environment.
PRACTICE QUESTION: Why is deleting the cell not enough after a leak?</t>
        </is>
      </c>
      <c r="B17" s="29" t="inlineStr">
        <is>
          <t>MCQ answer: C  The environment keeps the value outside the saved file.
Fill answer: rotated
Task answer:
import os
key = os.environ.get("DATA_KEY")
Practice answer:
Saved history and copies can still contain the key.</t>
        </is>
      </c>
      <c r="C17" s="29" t="inlineStr">
        <is>
          <t>03_Good_practice_Intermediate_JUP-016_quiz</t>
        </is>
      </c>
    </row>
    <row r="18" ht="108" customHeight="1">
      <c r="A18" s="29" t="inlineStr">
        <is>
          <t>MCQ: What does clearing outputs remove?
A) Results and images B) The kernel C) The file name D) All code
FILL: A pre-commit hook can strip outputs ____
HINDI TO TASK: Clear the outputs of report.ipynb in place.
PRACTICE QUESTION: Why do outputs make Git diffs noisy?</t>
        </is>
      </c>
      <c r="B18" s="29" t="inlineStr">
        <is>
          <t>MCQ answer: A  Only the saved results are stripped, and the code stays.
Fill answer: automatically
Task answer:
jupyter nbconvert --clear-output --inplace report.ipynb
Practice answer:
They store images, tables and counters that change on every run.</t>
        </is>
      </c>
      <c r="C18" s="29" t="inlineStr">
        <is>
          <t>03_Good_practice_Intermediate_JUP-017_quiz</t>
        </is>
      </c>
    </row>
    <row r="19" ht="108" customHeight="1">
      <c r="A19" s="29" t="inlineStr">
        <is>
          <t>MCQ: Which option hides the code cells in the export?
A) --to B) --kernel C) --inplace D) --no-input
FILL: The format flag for nbconvert is --____
HINDI TO TASK: Export summary.ipynb to HTML.
PRACTICE QUESTION: Why use the execute option while converting?</t>
        </is>
      </c>
      <c r="B19" s="29" t="inlineStr">
        <is>
          <t>MCQ answer: D  It leaves only text and outputs for the reader.
Fill answer: to
Task answer:
jupyter nbconvert --to html summary.ipynb
Practice answer:
It runs every cell first, which proves the notebook runs cleanly.</t>
        </is>
      </c>
      <c r="C19" s="29" t="inlineStr">
        <is>
          <t>03_Good_practice_Intermediate_JUP-018_quiz</t>
        </is>
      </c>
    </row>
    <row r="20" ht="94.5" customHeight="1">
      <c r="A20" s="29" t="inlineStr">
        <is>
          <t>MCQ: Which format suits a manager who only reads results?
A) Raw kernel B) Environment folder C) HTML report D) Source repository
FILL: A reader who must rerun the notebook also needs its ____ list
APPLY: A client wants only the findings. What do you send?</t>
        </is>
      </c>
      <c r="B20" s="29" t="inlineStr">
        <is>
          <t>MCQ answer: C  A rendered report needs no installation.
Fill answer: package
Apply: A rendered HTML or PDF report</t>
        </is>
      </c>
      <c r="C20" s="29" t="inlineStr">
        <is>
          <t>03_Good_practice_Intermediate_JUP-019_quiz</t>
        </is>
      </c>
    </row>
    <row r="21" ht="121.5" customHeight="1">
      <c r="A21" s="29" t="inlineStr">
        <is>
          <t>MCQ: What does papermill do with a parameters cell?
A) Encrypts it B) Overrides its values C) Hides it D) Deletes it
FILL: Papermill saves each run as a separate executed ____
HINDI TO TASK: Run report.ipynb with region east and save it as east.ipynb.
PRACTICE QUESTION: Why keep parameters in one cell?</t>
        </is>
      </c>
      <c r="B21" s="29" t="inlineStr">
        <is>
          <t>MCQ answer: B  Supplied values replace the defaults for that run.
Fill answer: notebook
Task answer:
papermill report.ipynb east.ipynb -p region east
Practice answer:
One place makes values easy to find, override and record.</t>
        </is>
      </c>
      <c r="C21" s="29" t="inlineStr">
        <is>
          <t>03_Good_practice_Advanced_JUP-020_quiz</t>
        </is>
      </c>
    </row>
    <row r="22" ht="148.5" customHeight="1">
      <c r="A22" s="29" t="inlineStr">
        <is>
          <t>MCQ: Where should stable reusable logic live?
A) In a tested module B) In one huge cell C) In a comment D) In a chart title
FILL: Reloading edited modules without a restart uses the ____ extension
HINDI TO TASK: Import a function named clean_rows from a file called tools.py.
PRACTICE QUESTION: Why move code out of the notebook?</t>
        </is>
      </c>
      <c r="B22" s="29" t="inlineStr">
        <is>
          <t>MCQ answer: A  Modules can be tested, reviewed and reused.
Fill answer: autoreload
Task answer:
from tools import clean_rows
Practice answer:
Files can be tested, reviewed and reused, which notebooks make harder.</t>
        </is>
      </c>
      <c r="C22" s="29" t="inlineStr">
        <is>
          <t>03_Good_practice_Advanced_JUP-021_quiz</t>
        </is>
      </c>
    </row>
    <row r="23" ht="108" customHeight="1">
      <c r="A23" s="29" t="inlineStr">
        <is>
          <t>MCQ: What do widgets need to work?
A) A printer B) No code C) A static export D) A running kernel
FILL: The helper that turns arguments into controls is called ____
HINDI TO TASK: Add a slider from 0 to 5 for an argument named n.
PRACTICE QUESTION: Why do widgets not work in a plain HTML export?</t>
        </is>
      </c>
      <c r="B23" s="29" t="inlineStr">
        <is>
          <t>MCQ answer: D  Changes call Python code in the live kernel.
Fill answer: interact
Task answer:
interact(show, n=(0, 5))
Practice answer:
They call Python in a live kernel, which a static file lacks.</t>
        </is>
      </c>
      <c r="C23" s="29" t="inlineStr">
        <is>
          <t>04_Advanced_Advanced_JUP-022_quiz</t>
        </is>
      </c>
    </row>
    <row r="24" ht="121.5" customHeight="1">
      <c r="A24" s="29" t="inlineStr">
        <is>
          <t>MCQ: Which method safely reaches a remote notebook server?
A) Disabling the token B) An SSH tunnel C) A shared password in chat D) An open public port
FILL: The ssh flag that forwards a local port is -____
HINDI TO TASK: Forward local port 9999 to port 9999 on host dev.
PRACTICE QUESTION: Why avoid exposing the notebook port publicly?</t>
        </is>
      </c>
      <c r="B24" s="29" t="inlineStr">
        <is>
          <t>MCQ answer: B  A tunnel keeps the port private to the connecting user.
Fill answer: L
Task answer:
ssh -L 9999:localhost:9999 user@dev
Practice answer:
Anyone who reaches it could run code on the server.</t>
        </is>
      </c>
      <c r="C24" s="29" t="inlineStr">
        <is>
          <t>04_Advanced_Advanced_JUP-023_quiz</t>
        </is>
      </c>
    </row>
    <row r="25" ht="121.5" customHeight="1">
      <c r="A25" s="29" t="inlineStr">
        <is>
          <t>MCQ: What should you do before optimising a slow notebook?
A) Rewrite everything B) Delete the notebook C) Measure the slow step D) Buy new hardware
FILL: Reading a large file in pieces is called reading in ____
HINDI TO TASK: Delete a variable named big and free memory.
PRACTICE QUESTION: Why load only the columns you need?</t>
        </is>
      </c>
      <c r="B25" s="29" t="inlineStr">
        <is>
          <t>MCQ answer: C  Measuring shows where time is actually going.
Fill answer: chunks
Task answer:
import gc
del big
gc.collect()
Practice answer:
Fewer columns means less memory used and faster loading.</t>
        </is>
      </c>
      <c r="C25" s="29" t="inlineStr">
        <is>
          <t>04_Advanced_Advanced_JUP-024_quiz</t>
        </is>
      </c>
    </row>
    <row r="26" ht="121.5" customHeight="1">
      <c r="A26" s="29" t="inlineStr">
        <is>
          <t>MCQ: What makes notebook logic easy to test?
A) Longer cells B) Bigger charts C) Importable functions D) More outputs
FILL: The statement used to check a result in a test is ____
HINDI TO TASK: Write a test that checks double(2) equals 4.
PRACTICE QUESTION: Why move logic into modules before testing it?</t>
        </is>
      </c>
      <c r="B26" s="29" t="inlineStr">
        <is>
          <t>MCQ answer: C  Test tools can import and call functions directly.
Fill answer: assert
Task answer:
def test_double():
    assert double(2) == 4
Practice answer:
Tests can only import code that lives in importable files.</t>
        </is>
      </c>
      <c r="C26" s="29" t="inlineStr">
        <is>
          <t>04_Advanced_Advanced_JUP-025_quiz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15</v>
      </c>
    </row>
    <row r="3">
      <c r="A3" t="inlineStr">
        <is>
          <t>Topic (56-pt)</t>
        </is>
      </c>
      <c r="B3" t="n">
        <v>10</v>
      </c>
    </row>
    <row r="5">
      <c r="A5" s="21" t="inlineStr">
        <is>
          <t>Cards by topic</t>
        </is>
      </c>
    </row>
    <row r="6">
      <c r="A6" t="inlineStr">
        <is>
          <t>02 Daily use</t>
        </is>
      </c>
      <c r="B6" t="n">
        <v>8</v>
      </c>
    </row>
    <row r="7">
      <c r="A7" t="inlineStr">
        <is>
          <t>03 Good practice</t>
        </is>
      </c>
      <c r="B7" t="n">
        <v>7</v>
      </c>
    </row>
    <row r="8">
      <c r="A8" t="inlineStr">
        <is>
          <t>01 Basics</t>
        </is>
      </c>
      <c r="B8" t="n">
        <v>6</v>
      </c>
    </row>
    <row r="9">
      <c r="A9" t="inlineStr">
        <is>
          <t>04 Advanced</t>
        </is>
      </c>
      <c r="B9" t="n">
        <v>4</v>
      </c>
    </row>
    <row r="11">
      <c r="A11" s="21" t="inlineStr">
        <is>
          <t>Cards by level</t>
        </is>
      </c>
    </row>
    <row r="12">
      <c r="A12" t="inlineStr">
        <is>
          <t>Beginner</t>
        </is>
      </c>
      <c r="B12" t="n">
        <v>11</v>
      </c>
    </row>
    <row r="13">
      <c r="A13" t="inlineStr">
        <is>
          <t>Intermediate</t>
        </is>
      </c>
      <c r="B13" t="n">
        <v>8</v>
      </c>
    </row>
    <row r="14">
      <c r="A14" t="inlineStr">
        <is>
          <t>Advanced</t>
        </is>
      </c>
      <c r="B14" t="n">
        <v>6</v>
      </c>
    </row>
    <row r="16">
      <c r="A16" s="21" t="inlineStr">
        <is>
          <t>Cards by source</t>
        </is>
      </c>
    </row>
    <row r="17">
      <c r="A17" t="inlineStr">
        <is>
          <t>Claude knowledge</t>
        </is>
      </c>
      <c r="B17" t="n">
        <v>25</v>
      </c>
    </row>
    <row r="19">
      <c r="A19" s="21" t="inlineStr">
        <is>
          <t>Error check</t>
        </is>
      </c>
    </row>
    <row r="20">
      <c r="A20"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2026-10-07T12:21:26Z</dcterms:created>
  <dcterms:modified xmlns:dcterms="http://purl.org/dc/terms/" xmlns:xsi="http://www.w3.org/2001/XMLSchema-instance" xsi:type="dcterms:W3CDTF">2026-10-07T12:21:26Z</dcterms:modified>
</cp:coreProperties>
</file>