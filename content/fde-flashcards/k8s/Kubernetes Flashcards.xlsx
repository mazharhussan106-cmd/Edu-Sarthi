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ode concept (56-pt) cards" sheetId="2" state="visible" r:id="rId2"/>
    <sheet xmlns:r="http://schemas.openxmlformats.org/officeDocument/2006/relationships" name="Code card view" sheetId="3" state="visible" r:id="rId3"/>
    <sheet xmlns:r="http://schemas.openxmlformats.org/officeDocument/2006/relationships" name="Topic (56-pt) cards" sheetId="4" state="visible" r:id="rId4"/>
    <sheet xmlns:r="http://schemas.openxmlformats.org/officeDocument/2006/relationships" name="Topic card view" sheetId="5" state="visible" r:id="rId5"/>
    <sheet xmlns:r="http://schemas.openxmlformats.org/officeDocument/2006/relationships" name="Anki Import" sheetId="6" state="visible" r:id="rId6"/>
    <sheet xmlns:r="http://schemas.openxmlformats.org/officeDocument/2006/relationships" name="Anki Quiz" sheetId="7" state="visible" r:id="rId7"/>
    <sheet xmlns:r="http://schemas.openxmlformats.org/officeDocument/2006/relationships" name="Summary" sheetId="8" state="visible" r:id="rId8"/>
  </sheets>
  <definedNames>
    <definedName name="_xlnm._FilterDatabase" localSheetId="1" hidden="1">'Code concept (56-pt) cards'!$A$2:$BN$37</definedName>
    <definedName name="_xlnm._FilterDatabase" localSheetId="3" hidden="1">'Topic (56-pt) cards'!$A$2:$BB$12</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sz val="14"/>
    </font>
    <font>
      <sz val="11"/>
    </font>
    <font>
      <b val="1"/>
      <sz val="11"/>
    </font>
    <font>
      <b val="1"/>
      <color rgb="00FFFFFF"/>
    </font>
    <font>
      <b val="1"/>
    </font>
    <font>
      <name val="Consolas"/>
      <sz val="10"/>
    </font>
    <font>
      <b val="1"/>
      <color rgb="001F3864"/>
      <sz val="16"/>
    </font>
    <font>
      <b val="1"/>
      <color rgb="00C00000"/>
      <sz val="12"/>
    </font>
    <font>
      <b val="1"/>
      <color rgb="00FFFFFF"/>
      <sz val="12"/>
    </font>
    <font>
      <b val="1"/>
      <color rgb="001F3864"/>
    </font>
  </fonts>
  <fills count="21">
    <fill>
      <patternFill/>
    </fill>
    <fill>
      <patternFill patternType="gray125"/>
    </fill>
    <fill>
      <patternFill patternType="solid">
        <fgColor rgb="00FFF4D6"/>
      </patternFill>
    </fill>
    <fill>
      <patternFill patternType="solid">
        <fgColor rgb="00374151"/>
      </patternFill>
    </fill>
    <fill>
      <patternFill patternType="solid">
        <fgColor rgb="001F3A68"/>
      </patternFill>
    </fill>
    <fill>
      <patternFill patternType="solid">
        <fgColor rgb="000F7F74"/>
      </patternFill>
    </fill>
    <fill>
      <patternFill patternType="solid">
        <fgColor rgb="00B35500"/>
      </patternFill>
    </fill>
    <fill>
      <patternFill patternType="solid">
        <fgColor rgb="00475569"/>
      </patternFill>
    </fill>
    <fill>
      <patternFill patternType="solid">
        <fgColor rgb="005B21B6"/>
      </patternFill>
    </fill>
    <fill>
      <patternFill patternType="solid">
        <fgColor rgb="00E5E7EB"/>
      </patternFill>
    </fill>
    <fill>
      <patternFill patternType="solid">
        <fgColor rgb="00DBE4F3"/>
      </patternFill>
    </fill>
    <fill>
      <patternFill patternType="solid">
        <fgColor rgb="00D5EFEC"/>
      </patternFill>
    </fill>
    <fill>
      <patternFill patternType="solid">
        <fgColor rgb="00F8E3CF"/>
      </patternFill>
    </fill>
    <fill>
      <patternFill patternType="solid">
        <fgColor rgb="00E2E8F0"/>
      </patternFill>
    </fill>
    <fill>
      <patternFill patternType="solid">
        <fgColor rgb="00E9DDFB"/>
      </patternFill>
    </fill>
    <fill>
      <patternFill patternType="solid">
        <fgColor rgb="00FFF2CC"/>
      </patternFill>
    </fill>
    <fill>
      <patternFill patternType="solid">
        <fgColor rgb="001F5FA8"/>
      </patternFill>
    </fill>
    <fill>
      <patternFill patternType="solid">
        <fgColor rgb="00F2F2F2"/>
      </patternFill>
    </fill>
    <fill>
      <patternFill patternType="solid">
        <fgColor rgb="002F7D4F"/>
      </patternFill>
    </fill>
    <fill>
      <patternFill patternType="solid">
        <fgColor rgb="00C2561A"/>
      </patternFill>
    </fill>
    <fill>
      <patternFill patternType="solid">
        <fgColor rgb="001F3864"/>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2" borderId="0" pivotButton="0" quotePrefix="0" xfId="0"/>
    <xf numFmtId="0" fontId="4" fillId="3" borderId="0" applyAlignment="1" pivotButton="0" quotePrefix="0" xfId="0">
      <alignment horizontal="center"/>
    </xf>
    <xf numFmtId="0" fontId="4" fillId="4" borderId="0" applyAlignment="1" pivotButton="0" quotePrefix="0" xfId="0">
      <alignment horizontal="center"/>
    </xf>
    <xf numFmtId="0" fontId="4" fillId="5" borderId="0" applyAlignment="1" pivotButton="0" quotePrefix="0" xfId="0">
      <alignment horizontal="center"/>
    </xf>
    <xf numFmtId="0" fontId="4" fillId="6" borderId="0" applyAlignment="1" pivotButton="0" quotePrefix="0" xfId="0">
      <alignment horizontal="center"/>
    </xf>
    <xf numFmtId="0" fontId="4" fillId="7" borderId="0" applyAlignment="1" pivotButton="0" quotePrefix="0" xfId="0">
      <alignment horizontal="center"/>
    </xf>
    <xf numFmtId="0" fontId="4" fillId="8" borderId="0" applyAlignment="1" pivotButton="0" quotePrefix="0" xfId="0">
      <alignment horizontal="center"/>
    </xf>
    <xf numFmtId="0" fontId="5" fillId="9" borderId="1" applyAlignment="1" pivotButton="0" quotePrefix="0" xfId="0">
      <alignment vertical="top" wrapText="1"/>
    </xf>
    <xf numFmtId="0" fontId="5" fillId="10" borderId="1" applyAlignment="1" pivotButton="0" quotePrefix="0" xfId="0">
      <alignment vertical="top" wrapText="1"/>
    </xf>
    <xf numFmtId="0" fontId="5" fillId="11" borderId="1" applyAlignment="1" pivotButton="0" quotePrefix="0" xfId="0">
      <alignment vertical="top" wrapText="1"/>
    </xf>
    <xf numFmtId="0" fontId="5" fillId="12" borderId="1" applyAlignment="1" pivotButton="0" quotePrefix="0" xfId="0">
      <alignment vertical="top" wrapText="1"/>
    </xf>
    <xf numFmtId="0" fontId="5" fillId="13" borderId="1" applyAlignment="1" pivotButton="0" quotePrefix="0" xfId="0">
      <alignment vertical="top" wrapText="1"/>
    </xf>
    <xf numFmtId="0" fontId="5" fillId="1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6" fillId="2" borderId="1" applyAlignment="1" pivotButton="0" quotePrefix="0" xfId="0">
      <alignment vertical="top" wrapText="1"/>
    </xf>
    <xf numFmtId="0" fontId="7" fillId="0" borderId="0" pivotButton="0" quotePrefix="0" xfId="0"/>
    <xf numFmtId="0" fontId="5" fillId="0" borderId="0" pivotButton="0" quotePrefix="0" xfId="0"/>
    <xf numFmtId="0" fontId="8" fillId="15" borderId="1" pivotButton="0" quotePrefix="0" xfId="0"/>
    <xf numFmtId="0" fontId="9" fillId="16" borderId="0" applyAlignment="1" pivotButton="0" quotePrefix="0" xfId="0">
      <alignment horizontal="center"/>
    </xf>
    <xf numFmtId="0" fontId="10" fillId="17" borderId="1" applyAlignment="1" pivotButton="0" quotePrefix="0" xfId="0">
      <alignment vertical="top" wrapText="1"/>
    </xf>
    <xf numFmtId="0" fontId="9" fillId="18" borderId="0" applyAlignment="1" pivotButton="0" quotePrefix="0" xfId="0">
      <alignment horizontal="center"/>
    </xf>
    <xf numFmtId="0" fontId="6" fillId="0" borderId="1" applyAlignment="1" pivotButton="0" quotePrefix="0" xfId="0">
      <alignment vertical="top" wrapText="1"/>
    </xf>
    <xf numFmtId="0" fontId="9" fillId="19" borderId="0" applyAlignment="1" pivotButton="0" quotePrefix="0" xfId="0">
      <alignment horizontal="center"/>
    </xf>
    <xf numFmtId="0" fontId="4" fillId="2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s="1" t="inlineStr">
        <is>
          <t>Kubernetes – Beginner to Advanced Flashcards</t>
        </is>
      </c>
    </row>
    <row r="2">
      <c r="A2" s="2" t="inlineStr">
        <is>
          <t>Subject: Kubernetes   ·   Learner: Self learner, English   ·   Cards: 45</t>
        </is>
      </c>
    </row>
    <row r="3">
      <c r="A3" s="2" t="inlineStr">
        <is>
          <t>Source: Claude knowledge</t>
        </is>
      </c>
    </row>
    <row r="4">
      <c r="A4" s="2" t="inlineStr"/>
    </row>
    <row r="5">
      <c r="A5" s="3" t="inlineStr">
        <is>
          <t>How to study a card</t>
        </is>
      </c>
    </row>
    <row r="6">
      <c r="A6" s="2" t="inlineStr">
        <is>
          <t>1. Read Side 1 only. Try to say the meaning, answer or formula out loud before looking further.</t>
        </is>
      </c>
    </row>
    <row r="7">
      <c r="A7" s="2" t="inlineStr">
        <is>
          <t>2. Check yourself against Side 2. Read the examples and the common mistake.</t>
        </is>
      </c>
    </row>
    <row r="8">
      <c r="A8" s="2" t="inlineStr">
        <is>
          <t>3. Do the practice on Side 3 without looking back. Then mark Status: New → Learning → Known.</t>
        </is>
      </c>
    </row>
    <row r="9">
      <c r="A9" s="2" t="inlineStr">
        <is>
          <t>4. Review on days 1, 3, 7, 15, 30, 60 after first study: write the date or ✓ in that day's column.</t>
        </is>
      </c>
    </row>
    <row r="10">
      <c r="A10" s="2" t="inlineStr">
        <is>
          <t xml:space="preserve">   Got it wrong on a review? Start that card's days again from Day 1.</t>
        </is>
      </c>
    </row>
    <row r="11">
      <c r="A11" s="2" t="inlineStr">
        <is>
          <t>5. Follow 'Study order': prerequisites come first, then easy to hard.</t>
        </is>
      </c>
    </row>
    <row r="12">
      <c r="A12" s="2" t="inlineStr"/>
    </row>
    <row r="13">
      <c r="A13" s="3" t="inlineStr">
        <is>
          <t>Colours</t>
        </is>
      </c>
    </row>
    <row r="14">
      <c r="A14" s="4" t="inlineStr">
        <is>
          <t>Shaded cells were added by Claude, not taken from your own book or notes. Check them against a trusted source,</t>
        </is>
      </c>
    </row>
    <row r="15">
      <c r="A15" s="2" t="inlineStr">
        <is>
          <t>and mark the card 'Fix' in the OK / Fix column if anything is wrong. Unshaded cells came from your 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3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18" customWidth="1" min="11" max="11"/>
    <col width="42" customWidth="1" min="12" max="12"/>
    <col width="42" customWidth="1" min="13" max="13"/>
    <col width="42" customWidth="1" min="14" max="14"/>
    <col width="42" customWidth="1" min="15" max="15"/>
    <col width="42" customWidth="1" min="16" max="16"/>
    <col width="42" customWidth="1" min="17" max="17"/>
    <col width="18" customWidth="1" min="18" max="18"/>
    <col width="18" customWidth="1" min="19" max="19"/>
    <col width="42" customWidth="1" min="20" max="20"/>
    <col width="42" customWidth="1" min="21" max="21"/>
    <col width="42" customWidth="1" min="22" max="22"/>
    <col width="42" customWidth="1" min="23" max="23"/>
    <col width="42" customWidth="1" min="24" max="24"/>
    <col width="18" customWidth="1" min="25" max="25"/>
    <col width="18" customWidth="1" min="26" max="26"/>
    <col width="42" customWidth="1" min="27" max="27"/>
    <col width="42" customWidth="1" min="28" max="28"/>
    <col width="42" customWidth="1" min="29" max="29"/>
    <col width="42" customWidth="1" min="30" max="30"/>
    <col width="18" customWidth="1" min="31" max="31"/>
    <col width="18" customWidth="1" min="32" max="32"/>
    <col width="18"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 width="42" customWidth="1" min="44" max="44"/>
    <col width="42" customWidth="1" min="45" max="45"/>
    <col width="42" customWidth="1" min="46" max="46"/>
    <col width="42" customWidth="1" min="47" max="47"/>
    <col width="18" customWidth="1" min="48" max="48"/>
    <col width="18" customWidth="1" min="49" max="49"/>
    <col width="42" customWidth="1" min="50" max="50"/>
    <col width="42" customWidth="1" min="51" max="51"/>
    <col width="42" customWidth="1" min="52" max="52"/>
    <col width="42" customWidth="1" min="53" max="53"/>
    <col width="42" customWidth="1" min="54" max="54"/>
    <col width="42" customWidth="1" min="55" max="55"/>
    <col width="18" customWidth="1" min="56" max="56"/>
    <col width="42" customWidth="1" min="57" max="57"/>
    <col width="18" customWidth="1" min="58" max="58"/>
    <col width="9" customWidth="1" min="59" max="59"/>
    <col width="9" customWidth="1" min="60" max="60"/>
    <col width="9" customWidth="1" min="61" max="61"/>
    <col width="9" customWidth="1" min="62" max="62"/>
    <col width="9" customWidth="1" min="63" max="63"/>
    <col width="9" customWidth="1" min="64" max="64"/>
    <col width="18" customWidth="1" min="65" max="65"/>
    <col width="18" customWidth="1" min="66" max="66"/>
  </cols>
  <sheetData>
    <row r="1">
      <c r="A1" s="5" t="inlineStr">
        <is>
          <t>Card</t>
        </is>
      </c>
      <c r="F1" s="6" t="inlineStr">
        <is>
          <t>Side 1 · Recognition</t>
        </is>
      </c>
      <c r="R1" s="7" t="inlineStr">
        <is>
          <t>Side 2 · Understanding</t>
        </is>
      </c>
      <c r="AT1" s="8" t="inlineStr">
        <is>
          <t>Side 3 · Real life &amp; Practice</t>
        </is>
      </c>
      <c r="BD1" s="9" t="inlineStr">
        <is>
          <t>Auto</t>
        </is>
      </c>
      <c r="BF1" s="10" t="inlineStr">
        <is>
          <t>My review</t>
        </is>
      </c>
    </row>
    <row r="2">
      <c r="A2" s="11" t="inlineStr">
        <is>
          <t>ID</t>
        </is>
      </c>
      <c r="B2" s="11" t="inlineStr">
        <is>
          <t>Topic</t>
        </is>
      </c>
      <c r="C2" s="11" t="inlineStr">
        <is>
          <t>Level</t>
        </is>
      </c>
      <c r="D2" s="11" t="inlineStr">
        <is>
          <t>Study order</t>
        </is>
      </c>
      <c r="E2" s="11" t="inlineStr">
        <is>
          <t>Source</t>
        </is>
      </c>
      <c r="F2" s="12" t="inlineStr">
        <is>
          <t>Concept</t>
        </is>
      </c>
      <c r="G2" s="12" t="inlineStr">
        <is>
          <t>Recall cue</t>
        </is>
      </c>
      <c r="H2" s="12" t="inlineStr">
        <is>
          <t>Read aloud</t>
        </is>
      </c>
      <c r="I2" s="12" t="inlineStr">
        <is>
          <t>Type</t>
        </is>
      </c>
      <c r="J2" s="12" t="inlineStr">
        <is>
          <t>How often used</t>
        </is>
      </c>
      <c r="K2" s="12" t="inlineStr">
        <is>
          <t>Importance (1-5)</t>
        </is>
      </c>
      <c r="L2" s="12" t="inlineStr">
        <is>
          <t>Origin / why it exists</t>
        </is>
      </c>
      <c r="M2" s="12" t="inlineStr">
        <is>
          <t>Pro tip</t>
        </is>
      </c>
      <c r="N2" s="12" t="inlineStr">
        <is>
          <t>Typing hint</t>
        </is>
      </c>
      <c r="O2" s="12" t="inlineStr">
        <is>
          <t>Memory story</t>
        </is>
      </c>
      <c r="P2" s="12" t="inlineStr">
        <is>
          <t>Picture it</t>
        </is>
      </c>
      <c r="Q2" s="12" t="inlineStr">
        <is>
          <t>Emotion hook</t>
        </is>
      </c>
      <c r="R2" s="13" t="inlineStr">
        <is>
          <t>Meaning (short)</t>
        </is>
      </c>
      <c r="S2" s="13" t="inlineStr">
        <is>
          <t>Meaning in learner's language</t>
        </is>
      </c>
      <c r="T2" s="13" t="inlineStr">
        <is>
          <t>Code</t>
        </is>
      </c>
      <c r="U2" s="13" t="inlineStr">
        <is>
          <t>Output</t>
        </is>
      </c>
      <c r="V2" s="13" t="inlineStr">
        <is>
          <t>Explanation</t>
        </is>
      </c>
      <c r="W2" s="13" t="inlineStr">
        <is>
          <t>Simple explanation (Hinglish)</t>
        </is>
      </c>
      <c r="X2" s="13" t="inlineStr">
        <is>
          <t>Real-life analogy</t>
        </is>
      </c>
      <c r="Y2" s="13" t="inlineStr">
        <is>
          <t>Syntax pattern</t>
        </is>
      </c>
      <c r="Z2" s="13" t="inlineStr">
        <is>
          <t>Anatomy</t>
        </is>
      </c>
      <c r="AA2" s="13" t="inlineStr">
        <is>
          <t>Example 1</t>
        </is>
      </c>
      <c r="AB2" s="13" t="inlineStr">
        <is>
          <t>Example 2</t>
        </is>
      </c>
      <c r="AC2" s="13" t="inlineStr">
        <is>
          <t>Example 3</t>
        </is>
      </c>
      <c r="AD2" s="13" t="inlineStr">
        <is>
          <t>Variation</t>
        </is>
      </c>
      <c r="AE2" s="13" t="inlineStr">
        <is>
          <t>Used with</t>
        </is>
      </c>
      <c r="AF2" s="13" t="inlineStr">
        <is>
          <t>Related concepts</t>
        </is>
      </c>
      <c r="AG2" s="13" t="inlineStr">
        <is>
          <t>Alternatives</t>
        </is>
      </c>
      <c r="AH2" s="13" t="inlineStr">
        <is>
          <t>Family / group</t>
        </is>
      </c>
      <c r="AI2" s="13" t="inlineStr">
        <is>
          <t>Where it is used</t>
        </is>
      </c>
      <c r="AJ2" s="13" t="inlineStr">
        <is>
          <t>Mini conversation</t>
        </is>
      </c>
      <c r="AK2" s="13" t="inlineStr">
        <is>
          <t>Common mistake</t>
        </is>
      </c>
      <c r="AL2" s="13" t="inlineStr">
        <is>
          <t>Commonly confused with</t>
        </is>
      </c>
      <c r="AM2" s="13" t="inlineStr">
        <is>
          <t>Avoid / don't</t>
        </is>
      </c>
      <c r="AN2" s="13" t="inlineStr">
        <is>
          <t>Wrong code</t>
        </is>
      </c>
      <c r="AO2" s="13" t="inlineStr">
        <is>
          <t>Right code</t>
        </is>
      </c>
      <c r="AP2" s="13" t="inlineStr">
        <is>
          <t>Memory trick</t>
        </is>
      </c>
      <c r="AQ2" s="13" t="inlineStr">
        <is>
          <t>Real life: project / work</t>
        </is>
      </c>
      <c r="AR2" s="13" t="inlineStr">
        <is>
          <t>Real life: interview / exam</t>
        </is>
      </c>
      <c r="AS2" s="13" t="inlineStr">
        <is>
          <t>Real life: daily life</t>
        </is>
      </c>
      <c r="AT2" s="14" t="inlineStr">
        <is>
          <t>MCQ question</t>
        </is>
      </c>
      <c r="AU2" s="14" t="inlineStr">
        <is>
          <t>MCQ options</t>
        </is>
      </c>
      <c r="AV2" s="14" t="inlineStr">
        <is>
          <t>MCQ answer</t>
        </is>
      </c>
      <c r="AW2" s="14" t="inlineStr">
        <is>
          <t>Why that answer</t>
        </is>
      </c>
      <c r="AX2" s="14" t="inlineStr">
        <is>
          <t>Fill the blank</t>
        </is>
      </c>
      <c r="AY2" s="14" t="inlineStr">
        <is>
          <t>Try it yourself</t>
        </is>
      </c>
      <c r="AZ2" s="14" t="inlineStr">
        <is>
          <t>Task answer</t>
        </is>
      </c>
      <c r="BA2" s="14" t="inlineStr">
        <is>
          <t>Write your own</t>
        </is>
      </c>
      <c r="BB2" s="14" t="inlineStr">
        <is>
          <t>Practice question</t>
        </is>
      </c>
      <c r="BC2" s="14" t="inlineStr">
        <is>
          <t>Practice answer</t>
        </is>
      </c>
      <c r="BD2" s="15" t="inlineStr">
        <is>
          <t>Importance ★</t>
        </is>
      </c>
      <c r="BE2" s="15" t="inlineStr">
        <is>
          <t>Quick recall (reverse)</t>
        </is>
      </c>
      <c r="BF2" s="16" t="inlineStr">
        <is>
          <t>Status</t>
        </is>
      </c>
      <c r="BG2" s="16" t="inlineStr">
        <is>
          <t>Day 1</t>
        </is>
      </c>
      <c r="BH2" s="16" t="inlineStr">
        <is>
          <t>Day 3</t>
        </is>
      </c>
      <c r="BI2" s="16" t="inlineStr">
        <is>
          <t>Day 7</t>
        </is>
      </c>
      <c r="BJ2" s="16" t="inlineStr">
        <is>
          <t>Day 15</t>
        </is>
      </c>
      <c r="BK2" s="16" t="inlineStr">
        <is>
          <t>Day 30</t>
        </is>
      </c>
      <c r="BL2" s="16" t="inlineStr">
        <is>
          <t>Day 60</t>
        </is>
      </c>
      <c r="BM2" s="16" t="inlineStr">
        <is>
          <t>OK / Fix</t>
        </is>
      </c>
      <c r="BN2" s="16" t="inlineStr">
        <is>
          <t>My note</t>
        </is>
      </c>
    </row>
    <row r="3" ht="121.5" customHeight="1">
      <c r="A3" s="17" t="inlineStr">
        <is>
          <t>K8S-004</t>
        </is>
      </c>
      <c r="B3" s="17" t="inlineStr">
        <is>
          <t>01 Architecture</t>
        </is>
      </c>
      <c r="C3" s="17" t="inlineStr">
        <is>
          <t>Beginner</t>
        </is>
      </c>
      <c r="D3" s="17" t="n">
        <v>4</v>
      </c>
      <c r="E3" s="17" t="inlineStr">
        <is>
          <t>Claude knowledge</t>
        </is>
      </c>
      <c r="F3" s="18" t="inlineStr">
        <is>
          <t>kubectl</t>
        </is>
      </c>
      <c r="G3" s="18" t="inlineStr">
        <is>
          <t>Which command line tool talks to a Kubernetes cluster?</t>
        </is>
      </c>
      <c r="H3" s="17" t="n"/>
      <c r="I3" s="18" t="inlineStr">
        <is>
          <t>Command line tool</t>
        </is>
      </c>
      <c r="J3" s="18" t="inlineStr">
        <is>
          <t>Very high</t>
        </is>
      </c>
      <c r="K3" s="18" t="n">
        <v>5</v>
      </c>
      <c r="L3" s="18" t="inlineStr">
        <is>
          <t>Clusters are controlled through an API, so a command line client was built to send requests to it.</t>
        </is>
      </c>
      <c r="M3" s="18" t="inlineStr">
        <is>
          <t>Use kubectl get with -o wide or -o yaml to see more detail.</t>
        </is>
      </c>
      <c r="N3" s="17" t="n"/>
      <c r="O3" s="18" t="inlineStr">
        <is>
          <t>kubectl is the remote control for the cluster.</t>
        </is>
      </c>
      <c r="P3" s="18" t="inlineStr">
        <is>
          <t>A terminal listing pods with their status.</t>
        </is>
      </c>
      <c r="Q3" s="18" t="inlineStr">
        <is>
          <t>The thrill of seeing your first pod running.</t>
        </is>
      </c>
      <c r="R3" s="18" t="inlineStr">
        <is>
          <t>kubectl sends requests to the Kubernetes API server to create, read, update and delete resources, using a kubeconfig file for the cluster address and credentials.</t>
        </is>
      </c>
      <c r="S3" s="17" t="n"/>
      <c r="T3" s="19" t="inlineStr">
        <is>
          <t>kubectl get pods -n shop
kubectl get deploy,svc -o wide
kubectl apply -f deployment.yaml
kubectl describe pod web-7d9f -n shop
kubectl delete -f deployment.yaml</t>
        </is>
      </c>
      <c r="U3" s="19" t="inlineStr">
        <is>
          <t>The commands list pods, show deployments and services with extra columns, create or update resources from a file, show details, and delete the resources again.</t>
        </is>
      </c>
      <c r="V3" s="18" t="inlineStr">
        <is>
          <t>get lists, describe shows details and events, apply sends a declarative definition, and delete removes. The -n flag picks a namespace, and -A means all namespaces. Output formats such as yaml and json help scripting. Shorthand names such as po, svc and deploy save typing. Always check the current context before changing anything.</t>
        </is>
      </c>
      <c r="W3" s="18" t="inlineStr">
        <is>
          <t>Use get, describe, apply and delete, and always check the namespace and context.</t>
        </is>
      </c>
      <c r="X3" s="18" t="inlineStr">
        <is>
          <t>kubectl is the remote control for the cluster.</t>
        </is>
      </c>
      <c r="Y3" s="19" t="inlineStr">
        <is>
          <t>kubectl &lt;verb&gt; &lt;resource&gt; [name] [-n namespace] [-o format]</t>
        </is>
      </c>
      <c r="Z3" s="18" t="inlineStr">
        <is>
          <t>get = list | describe = detail | apply = declare | delete = remove | -n = namespace</t>
        </is>
      </c>
      <c r="AA3" s="19" t="inlineStr">
        <is>
          <t>kubectl get pods -A</t>
        </is>
      </c>
      <c r="AB3" s="19" t="inlineStr">
        <is>
          <t>kubectl get pod web-1 -o yaml</t>
        </is>
      </c>
      <c r="AC3" s="19" t="inlineStr">
        <is>
          <t>kubectl api-resources</t>
        </is>
      </c>
      <c r="AD3" s="19" t="inlineStr">
        <is>
          <t>kubectl explain deployment.spec.strategy   // built-in field documentation</t>
        </is>
      </c>
      <c r="AE3" s="18" t="inlineStr">
        <is>
          <t>contexts, namespaces, YAML files</t>
        </is>
      </c>
      <c r="AF3" s="18" t="inlineStr">
        <is>
          <t>clusters and contexts, namespaces, debugging with describe and logs, Deployments</t>
        </is>
      </c>
      <c r="AG3" s="18" t="inlineStr">
        <is>
          <t>Dashboards | k9s | Lens</t>
        </is>
      </c>
      <c r="AH3" s="17" t="n"/>
      <c r="AI3" s="18" t="inlineStr">
        <is>
          <t>Daily operations | Debugging | Automation</t>
        </is>
      </c>
      <c r="AJ3" s="18" t="inlineStr">
        <is>
          <t>A: I applied the file but cannot see the pod. | B: Add the namespace with -n, or look in all namespaces with -A.</t>
        </is>
      </c>
      <c r="AK3" s="18" t="inlineStr">
        <is>
          <t>✗ kubectl apply and create are the same → ✓ apply is declarative and can update, create fails if the object already exists</t>
        </is>
      </c>
      <c r="AL3" s="18" t="inlineStr">
        <is>
          <t>apply vs create: apply updates to match the file, create only makes a new object.</t>
        </is>
      </c>
      <c r="AM3" s="18" t="inlineStr">
        <is>
          <t>Do not run changes without checking the current context.</t>
        </is>
      </c>
      <c r="AN3" s="19" t="inlineStr">
        <is>
          <t>kubectl get pods   # empty because the app is in another namespace</t>
        </is>
      </c>
      <c r="AO3" s="19" t="inlineStr">
        <is>
          <t>kubectl get pods -n shop</t>
        </is>
      </c>
      <c r="AP3" s="18" t="inlineStr">
        <is>
          <t>Check namespace and context before every command.</t>
        </is>
      </c>
      <c r="AQ3" s="18" t="inlineStr">
        <is>
          <t>Always printing the context in the shell prompt avoided changes on the wrong cluster.</t>
        </is>
      </c>
      <c r="AR3" s="18" t="inlineStr">
        <is>
          <t>An interviewer may ask: What is the difference between apply and create?</t>
        </is>
      </c>
      <c r="AS3" s="18" t="inlineStr">
        <is>
          <t>It is like a remote control for the cluster.</t>
        </is>
      </c>
      <c r="AT3" s="18" t="inlineStr">
        <is>
          <t>Which verb shows detailed information and events for an object?</t>
        </is>
      </c>
      <c r="AU3" s="18" t="inlineStr">
        <is>
          <t>A) describe B) apply C) get D) delete</t>
        </is>
      </c>
      <c r="AV3" s="18" t="inlineStr">
        <is>
          <t>A</t>
        </is>
      </c>
      <c r="AW3" s="18" t="inlineStr">
        <is>
          <t>describe prints details and recent events.</t>
        </is>
      </c>
      <c r="AX3" s="19" t="inlineStr">
        <is>
          <t>The flag that selects a namespace is ____ → -n</t>
        </is>
      </c>
      <c r="AY3" s="18" t="inlineStr">
        <is>
          <t>List all pods in every namespace.</t>
        </is>
      </c>
      <c r="AZ3" s="19" t="inlineStr">
        <is>
          <t>kubectl get pods -A</t>
        </is>
      </c>
      <c r="BA3" s="18" t="inlineStr">
        <is>
          <t>Write the command to see the YAML of a deployment named web.</t>
        </is>
      </c>
      <c r="BB3" s="19" t="inlineStr">
        <is>
          <t>What does -A mean?</t>
        </is>
      </c>
      <c r="BC3" s="19" t="inlineStr">
        <is>
          <t>All namespaces.</t>
        </is>
      </c>
      <c r="BD3" s="17">
        <f>IF(K3="","",REPT("★",K3)&amp;REPT("☆",5-K3)&amp;" ("&amp;K3&amp;"/5)")</f>
        <v/>
      </c>
      <c r="BE3" s="17">
        <f>IF(S3="","","Meaning: "&amp;S3&amp;"  =  ______   (Answer: "&amp;F3&amp;")")</f>
        <v/>
      </c>
      <c r="BF3" s="17" t="inlineStr">
        <is>
          <t>New</t>
        </is>
      </c>
      <c r="BG3" s="17" t="n"/>
      <c r="BH3" s="17" t="n"/>
      <c r="BI3" s="17" t="n"/>
      <c r="BJ3" s="17" t="n"/>
      <c r="BK3" s="17" t="n"/>
      <c r="BL3" s="17" t="n"/>
      <c r="BM3" s="17" t="n"/>
      <c r="BN3" s="17" t="n"/>
    </row>
    <row r="4" ht="121.5" customHeight="1">
      <c r="A4" s="17" t="inlineStr">
        <is>
          <t>K8S-005</t>
        </is>
      </c>
      <c r="B4" s="17" t="inlineStr">
        <is>
          <t>01 Architecture</t>
        </is>
      </c>
      <c r="C4" s="17" t="inlineStr">
        <is>
          <t>Intermediate</t>
        </is>
      </c>
      <c r="D4" s="17" t="n">
        <v>5</v>
      </c>
      <c r="E4" s="17" t="inlineStr">
        <is>
          <t>Claude knowledge</t>
        </is>
      </c>
      <c r="F4" s="18" t="inlineStr">
        <is>
          <t>Clusters and contexts</t>
        </is>
      </c>
      <c r="G4" s="18" t="inlineStr">
        <is>
          <t>How do you switch between several clusters and users safely?</t>
        </is>
      </c>
      <c r="H4" s="17" t="n"/>
      <c r="I4" s="18" t="inlineStr">
        <is>
          <t>Command line tool</t>
        </is>
      </c>
      <c r="J4" s="18" t="inlineStr">
        <is>
          <t>High</t>
        </is>
      </c>
      <c r="K4" s="18" t="n">
        <v>5</v>
      </c>
      <c r="L4" s="18" t="inlineStr">
        <is>
          <t>People work with several clusters, so a kubeconfig file stores clusters, users and contexts that combine them.</t>
        </is>
      </c>
      <c r="M4" s="18" t="inlineStr">
        <is>
          <t>Show the current context in your shell prompt, and use a read-only user for production when you can.</t>
        </is>
      </c>
      <c r="N4" s="17" t="n"/>
      <c r="O4" s="18" t="inlineStr">
        <is>
          <t>A context is a saved key plus an address that tells kubectl where and as whom to act.</t>
        </is>
      </c>
      <c r="P4" s="18" t="inlineStr">
        <is>
          <t>A list of contexts with one marked as current.</t>
        </is>
      </c>
      <c r="Q4" s="18" t="inlineStr">
        <is>
          <t>The caution of checking before pressing enter.</t>
        </is>
      </c>
      <c r="R4" s="18" t="inlineStr">
        <is>
          <t>A kubeconfig file lists clusters, users and contexts, a context pairs a cluster with a user and optional namespace, and the current context decides where kubectl acts.</t>
        </is>
      </c>
      <c r="S4" s="17" t="n"/>
      <c r="T4" s="19" t="inlineStr">
        <is>
          <t>kubectl config get-contexts
kubectl config current-context
kubectl config use-context staging
kubectl config set-context --current --namespace=shop
kubectl --context prod-readonly get pods -n shop</t>
        </is>
      </c>
      <c r="U4" s="19" t="inlineStr">
        <is>
          <t>The commands list contexts, show the active one, switch to staging, set a default namespace, and run one command against another context.</t>
        </is>
      </c>
      <c r="V4" s="18" t="inlineStr">
        <is>
          <t>The default file is in the .kube folder in the home directory, and the KUBECONFIG variable can point to several files. Cloud tools can write entries for managed clusters. The --context flag runs a single command against another cluster without switching. A mistaken context is a common cause of changes on production. Tools can colour the prompt per context.</t>
        </is>
      </c>
      <c r="W4" s="18" t="inlineStr">
        <is>
          <t>A context says which cluster, which user and which namespace, so check it before every change.</t>
        </is>
      </c>
      <c r="X4" s="18" t="inlineStr">
        <is>
          <t>A context is a saved key and address telling kubectl where and as whom to act.</t>
        </is>
      </c>
      <c r="Y4" s="19" t="inlineStr">
        <is>
          <t>kubectl config use-context NAME | kubectl --context NAME ...</t>
        </is>
      </c>
      <c r="Z4" s="18" t="inlineStr">
        <is>
          <t>cluster = server address | user = credentials | context = cluster + user + namespace</t>
        </is>
      </c>
      <c r="AA4" s="19" t="inlineStr">
        <is>
          <t>kubectl config view --minify</t>
        </is>
      </c>
      <c r="AB4" s="19" t="inlineStr">
        <is>
          <t>export KUBECONFIG=~/.kube/a:~/.kube/b</t>
        </is>
      </c>
      <c r="AC4" s="19" t="inlineStr">
        <is>
          <t>aws eks update-kubeconfig --name my-cluster</t>
        </is>
      </c>
      <c r="AD4" s="19" t="inlineStr">
        <is>
          <t>kubectx and kubens   // faster switching tools</t>
        </is>
      </c>
      <c r="AE4" s="18" t="inlineStr">
        <is>
          <t>managed offerings, namespaces, RBAC</t>
        </is>
      </c>
      <c r="AF4" s="18" t="inlineStr">
        <is>
          <t>kubectl, namespaces, managed offerings, RBAC</t>
        </is>
      </c>
      <c r="AG4" s="18" t="inlineStr">
        <is>
          <t>kubectx | per-cluster kubeconfig files</t>
        </is>
      </c>
      <c r="AH4" s="17" t="n"/>
      <c r="AI4" s="18" t="inlineStr">
        <is>
          <t>Daily work | Multi-cluster teams | Production safety</t>
        </is>
      </c>
      <c r="AJ4" s="18" t="inlineStr">
        <is>
          <t>A: I deleted pods on the wrong cluster. | B: Always check current-context before running changes.</t>
        </is>
      </c>
      <c r="AK4" s="18" t="inlineStr">
        <is>
          <t>✗ kubectl always talks to the cluster from the last command → ✓ It uses the current context stored in the kubeconfig file</t>
        </is>
      </c>
      <c r="AL4" s="18" t="inlineStr">
        <is>
          <t>Cluster vs context: a cluster is a server, a context is a cluster plus user plus namespace.</t>
        </is>
      </c>
      <c r="AM4" s="18" t="inlineStr">
        <is>
          <t>Do not run deletes before confirming the context.</t>
        </is>
      </c>
      <c r="AN4" s="19" t="inlineStr">
        <is>
          <t>kubectl delete pods --all   # wrong cluster by mistake</t>
        </is>
      </c>
      <c r="AO4" s="19" t="inlineStr">
        <is>
          <t>kubectl config current-context &amp;&amp; kubectl delete pods --all -n shop</t>
        </is>
      </c>
      <c r="AP4" s="18" t="inlineStr">
        <is>
          <t>Look at the context before you leap.</t>
        </is>
      </c>
      <c r="AQ4" s="18" t="inlineStr">
        <is>
          <t>A prompt showing the context prevented a destructive command on production.</t>
        </is>
      </c>
      <c r="AR4" s="18" t="inlineStr">
        <is>
          <t>An interviewer may ask: What is a kubeconfig context?</t>
        </is>
      </c>
      <c r="AS4" s="18" t="inlineStr">
        <is>
          <t>It is like a saved key plus an address.</t>
        </is>
      </c>
      <c r="AT4" s="18" t="inlineStr">
        <is>
          <t>What does a context combine?</t>
        </is>
      </c>
      <c r="AU4" s="18" t="inlineStr">
        <is>
          <t>A) A pod and a node B) A cluster, a user and a namespace C) An image and a tag D) A volume and a claim</t>
        </is>
      </c>
      <c r="AV4" s="18" t="inlineStr">
        <is>
          <t>B</t>
        </is>
      </c>
      <c r="AW4" s="18" t="inlineStr">
        <is>
          <t>It selects where and as whom to act.</t>
        </is>
      </c>
      <c r="AX4" s="19" t="inlineStr">
        <is>
          <t>The environment variable that points kubectl to one or more config files is ____ → KUBECONFIG</t>
        </is>
      </c>
      <c r="AY4" s="18" t="inlineStr">
        <is>
          <t>Switch to the context named staging.</t>
        </is>
      </c>
      <c r="AZ4" s="19" t="inlineStr">
        <is>
          <t>kubectl config use-context staging</t>
        </is>
      </c>
      <c r="BA4" s="18" t="inlineStr">
        <is>
          <t>Write the commands to set shop as the default namespace.</t>
        </is>
      </c>
      <c r="BB4" s="19" t="inlineStr">
        <is>
          <t>How do you run one command against another cluster without switching?</t>
        </is>
      </c>
      <c r="BC4" s="19" t="inlineStr">
        <is>
          <t>Use the --context flag.</t>
        </is>
      </c>
      <c r="BD4" s="17">
        <f>IF(K4="","",REPT("★",K4)&amp;REPT("☆",5-K4)&amp;" ("&amp;K4&amp;"/5)")</f>
        <v/>
      </c>
      <c r="BE4" s="17">
        <f>IF(S4="","","Meaning: "&amp;S4&amp;"  =  ______   (Answer: "&amp;F4&amp;")")</f>
        <v/>
      </c>
      <c r="BF4" s="17" t="inlineStr">
        <is>
          <t>New</t>
        </is>
      </c>
      <c r="BG4" s="17" t="n"/>
      <c r="BH4" s="17" t="n"/>
      <c r="BI4" s="17" t="n"/>
      <c r="BJ4" s="17" t="n"/>
      <c r="BK4" s="17" t="n"/>
      <c r="BL4" s="17" t="n"/>
      <c r="BM4" s="17" t="n"/>
      <c r="BN4" s="17" t="n"/>
    </row>
    <row r="5" ht="162" customHeight="1">
      <c r="A5" s="17" t="inlineStr">
        <is>
          <t>K8S-007</t>
        </is>
      </c>
      <c r="B5" s="17" t="inlineStr">
        <is>
          <t>02 Workloads</t>
        </is>
      </c>
      <c r="C5" s="17" t="inlineStr">
        <is>
          <t>Beginner</t>
        </is>
      </c>
      <c r="D5" s="17" t="n">
        <v>7</v>
      </c>
      <c r="E5" s="17" t="inlineStr">
        <is>
          <t>Claude knowledge</t>
        </is>
      </c>
      <c r="F5" s="18" t="inlineStr">
        <is>
          <t>Pods</t>
        </is>
      </c>
      <c r="G5" s="18" t="inlineStr">
        <is>
          <t>Which smallest unit does Kubernetes run, holding one or more containers?</t>
        </is>
      </c>
      <c r="H5" s="17" t="n"/>
      <c r="I5" s="18" t="inlineStr">
        <is>
          <t>Resource</t>
        </is>
      </c>
      <c r="J5" s="18" t="inlineStr">
        <is>
          <t>Very high</t>
        </is>
      </c>
      <c r="K5" s="18" t="n">
        <v>5</v>
      </c>
      <c r="L5" s="18" t="inlineStr">
        <is>
          <t>Containers that must work closely together need to share networking and storage, so Kubernetes groups them in a pod.</t>
        </is>
      </c>
      <c r="M5" s="18" t="inlineStr">
        <is>
          <t>Run one main container per pod, and add helpers only when they must share the same lifecycle.</t>
        </is>
      </c>
      <c r="N5" s="17" t="n"/>
      <c r="O5" s="18" t="inlineStr">
        <is>
          <t>A pod is a flat shared by a few roommates who use the same address and kitchen.</t>
        </is>
      </c>
      <c r="P5" s="18" t="inlineStr">
        <is>
          <t>A box containing one main container and a helper sharing one IP.</t>
        </is>
      </c>
      <c r="Q5" s="18" t="inlineStr">
        <is>
          <t>The clarity of seeing what actually runs.</t>
        </is>
      </c>
      <c r="R5" s="18" t="inlineStr">
        <is>
          <t>A pod is the smallest deployable unit, with one or more containers that share an IP address, ports and volumes, and are scheduled together on one node.</t>
        </is>
      </c>
      <c r="S5" s="17" t="n"/>
      <c r="T5" s="19" t="inlineStr">
        <is>
          <t>apiVersion: v1
kind: Pod
metadata:
  name: web
  labels:
    app: web
spec:
  containers:
    - name: app
      image: nginx:1.27
      ports:
        - containerPort: 80</t>
        </is>
      </c>
      <c r="U5" s="19" t="inlineStr">
        <is>
          <t>A pod named web runs one nginx container on port 80 with the label app web.</t>
        </is>
      </c>
      <c r="V5" s="18" t="inlineStr">
        <is>
          <t>Containers in one pod reach each other on localhost and share volumes. Pods are temporary, and when one dies it is not repaired, but replaced by a controller with a new name and IP. Creating bare pods is rare, as controllers such as Deployments manage them. Sidecars are helper containers in the same pod, such as log shippers.</t>
        </is>
      </c>
      <c r="W5" s="18" t="inlineStr">
        <is>
          <t>A pod wraps one or more containers that share an address, and it is disposable.</t>
        </is>
      </c>
      <c r="X5" s="18" t="inlineStr">
        <is>
          <t>A pod is a flat shared by a few roommates with one address and kitchen.</t>
        </is>
      </c>
      <c r="Y5" s="19" t="inlineStr">
        <is>
          <t>apiVersion: v1 / kind: Pod / spec: containers: [...]</t>
        </is>
      </c>
      <c r="Z5" s="18" t="inlineStr">
        <is>
          <t>metadata = name and labels | spec.containers = what runs | image = container image</t>
        </is>
      </c>
      <c r="AA5" s="19" t="inlineStr">
        <is>
          <t>kubectl run web --image=nginx:1.27</t>
        </is>
      </c>
      <c r="AB5" s="19" t="inlineStr">
        <is>
          <t>kubectl get pod web -o wide</t>
        </is>
      </c>
      <c r="AC5" s="19" t="inlineStr">
        <is>
          <t>kubectl delete pod web</t>
        </is>
      </c>
      <c r="AD5" s="19" t="inlineStr">
        <is>
          <t>initContainers: [...]   // run setup containers before the main one</t>
        </is>
      </c>
      <c r="AE5" s="18" t="inlineStr">
        <is>
          <t>Deployments, Services, volumes</t>
        </is>
      </c>
      <c r="AF5" s="18" t="inlineStr">
        <is>
          <t>ReplicaSets, Deployments, labels and selectors, probes</t>
        </is>
      </c>
      <c r="AG5" s="18" t="inlineStr">
        <is>
          <t>Deployments | Jobs</t>
        </is>
      </c>
      <c r="AH5" s="17" t="n"/>
      <c r="AI5" s="18" t="inlineStr">
        <is>
          <t>Every workload | Debugging | Sidecars</t>
        </is>
      </c>
      <c r="AJ5" s="18" t="inlineStr">
        <is>
          <t>A: I deleted the pod and the app lost its data. | B: Pods are disposable, so use a volume for data.</t>
        </is>
      </c>
      <c r="AK5" s="18" t="inlineStr">
        <is>
          <t>✗ A pod is a container → ✓ A pod can hold several containers that share networking and storage</t>
        </is>
      </c>
      <c r="AL5" s="18" t="inlineStr">
        <is>
          <t>Pod vs container: a pod is the wrapper, containers run inside it.</t>
        </is>
      </c>
      <c r="AM5" s="18" t="inlineStr">
        <is>
          <t>Do not rely on a pod's IP, since it changes.</t>
        </is>
      </c>
      <c r="AN5" s="19" t="inlineStr">
        <is>
          <t>kind: Pod   # created alone for production</t>
        </is>
      </c>
      <c r="AO5" s="19" t="inlineStr">
        <is>
          <t>kind: Deployment   # manages pods for you</t>
        </is>
      </c>
      <c r="AP5" s="18" t="inlineStr">
        <is>
          <t>Pods are pets that get replaced, not repaired.</t>
        </is>
      </c>
      <c r="AQ5" s="18" t="inlineStr">
        <is>
          <t>Adding a log shipping sidecar to a pod collected logs without changing the app.</t>
        </is>
      </c>
      <c r="AR5" s="18" t="inlineStr">
        <is>
          <t>An interviewer may ask: What is the difference between a pod and a container?</t>
        </is>
      </c>
      <c r="AS5" s="18" t="inlineStr">
        <is>
          <t>It is like roommates sharing a flat.</t>
        </is>
      </c>
      <c r="AT5" s="18" t="inlineStr">
        <is>
          <t>What do containers in one pod share?</t>
        </is>
      </c>
      <c r="AU5" s="18" t="inlineStr">
        <is>
          <t>A) Their images B) The node's disk only C) Nothing D) Network address and volumes</t>
        </is>
      </c>
      <c r="AV5" s="18" t="inlineStr">
        <is>
          <t>D</t>
        </is>
      </c>
      <c r="AW5" s="18" t="inlineStr">
        <is>
          <t>Pods share an IP, ports and mounted volumes.</t>
        </is>
      </c>
      <c r="AX5" s="19" t="inlineStr">
        <is>
          <t>A helper container in the same pod is called a ____ → sidecar</t>
        </is>
      </c>
      <c r="AY5" s="18" t="inlineStr">
        <is>
          <t>Run a pod called web using the nginx image.</t>
        </is>
      </c>
      <c r="AZ5" s="19" t="inlineStr">
        <is>
          <t>kubectl run web --image=nginx:1.27</t>
        </is>
      </c>
      <c r="BA5" s="18" t="inlineStr">
        <is>
          <t>Write a pod with two containers sharing a volume.</t>
        </is>
      </c>
      <c r="BB5" s="19" t="inlineStr">
        <is>
          <t>Why not rely on a pod's IP address?</t>
        </is>
      </c>
      <c r="BC5" s="19" t="inlineStr">
        <is>
          <t>A replacement pod gets a new IP.</t>
        </is>
      </c>
      <c r="BD5" s="17">
        <f>IF(K5="","",REPT("★",K5)&amp;REPT("☆",5-K5)&amp;" ("&amp;K5&amp;"/5)")</f>
        <v/>
      </c>
      <c r="BE5" s="17">
        <f>IF(S5="","","Meaning: "&amp;S5&amp;"  =  ______   (Answer: "&amp;F5&amp;")")</f>
        <v/>
      </c>
      <c r="BF5" s="17" t="inlineStr">
        <is>
          <t>New</t>
        </is>
      </c>
      <c r="BG5" s="17" t="n"/>
      <c r="BH5" s="17" t="n"/>
      <c r="BI5" s="17" t="n"/>
      <c r="BJ5" s="17" t="n"/>
      <c r="BK5" s="17" t="n"/>
      <c r="BL5" s="17" t="n"/>
      <c r="BM5" s="17" t="n"/>
      <c r="BN5" s="17" t="n"/>
    </row>
    <row r="6" ht="256.5" customHeight="1">
      <c r="A6" s="17" t="inlineStr">
        <is>
          <t>K8S-009</t>
        </is>
      </c>
      <c r="B6" s="17" t="inlineStr">
        <is>
          <t>02 Workloads</t>
        </is>
      </c>
      <c r="C6" s="17" t="inlineStr">
        <is>
          <t>Beginner</t>
        </is>
      </c>
      <c r="D6" s="17" t="n">
        <v>9</v>
      </c>
      <c r="E6" s="17" t="inlineStr">
        <is>
          <t>Claude knowledge</t>
        </is>
      </c>
      <c r="F6" s="18" t="inlineStr">
        <is>
          <t>Deployments</t>
        </is>
      </c>
      <c r="G6" s="18" t="inlineStr">
        <is>
          <t>Which resource manages stateless apps with replicas, updates and rollbacks?</t>
        </is>
      </c>
      <c r="H6" s="17" t="n"/>
      <c r="I6" s="18" t="inlineStr">
        <is>
          <t>Resource</t>
        </is>
      </c>
      <c r="J6" s="18" t="inlineStr">
        <is>
          <t>Very high</t>
        </is>
      </c>
      <c r="K6" s="18" t="n">
        <v>5</v>
      </c>
      <c r="L6" s="18" t="inlineStr">
        <is>
          <t>Teams need to run several copies and update them safely, so Deployments manage ReplicaSets and handle gradual rollouts.</t>
        </is>
      </c>
      <c r="M6" s="18" t="inlineStr">
        <is>
          <t>Change the Deployment template to roll out a new version, and never edit pods directly.</t>
        </is>
      </c>
      <c r="N6" s="17" t="n"/>
      <c r="O6" s="18" t="inlineStr">
        <is>
          <t>A Deployment is a project manager who keeps the right team size and swaps people in gradually.</t>
        </is>
      </c>
      <c r="P6" s="18" t="inlineStr">
        <is>
          <t>A Deployment owning ReplicaSets which own pods.</t>
        </is>
      </c>
      <c r="Q6" s="18" t="inlineStr">
        <is>
          <t>The ease of shipping a new version with one command.</t>
        </is>
      </c>
      <c r="R6" s="18" t="inlineStr">
        <is>
          <t>A Deployment declares a pod template and a replica count, and creates and updates ReplicaSets so the cluster moves smoothly from one version to the next.</t>
        </is>
      </c>
      <c r="S6" s="17" t="n"/>
      <c r="T6" s="19" t="inlineStr">
        <is>
          <t>apiVersion: apps/v1
kind: Deployment
metadata:
  name: web
spec:
  replicas: 3
  selector:
    matchLabels:
      app: web
  template:
    metadata:
      labels:
        app: web
    spec:
      containers:
        - name: app
          image: acme/web:1.4.2
          ports:
            - containerPort: 8080</t>
        </is>
      </c>
      <c r="U6" s="19" t="inlineStr">
        <is>
          <t>Three pods of the web app run, and changing the image tag triggers a rolling update.</t>
        </is>
      </c>
      <c r="V6" s="18" t="inlineStr">
        <is>
          <t>The selector must match the template labels. Changing the template, such as the image, creates a new ReplicaSet and shifts pods gradually. The rollout status and history can be checked, and a rollback returns to the previous ReplicaSet. Deployments suit stateless services. Scale with the replicas field or with kubectl scale.</t>
        </is>
      </c>
      <c r="W6" s="18" t="inlineStr">
        <is>
          <t>Describe the pod template and replicas, and change the image to roll out a new version.</t>
        </is>
      </c>
      <c r="X6" s="18" t="inlineStr">
        <is>
          <t>A Deployment is a project manager who keeps the right team size and swaps people in gradually.</t>
        </is>
      </c>
      <c r="Y6" s="19" t="inlineStr">
        <is>
          <t>apiVersion: apps/v1 / kind: Deployment / spec: replicas, selector, template</t>
        </is>
      </c>
      <c r="Z6" s="18" t="inlineStr">
        <is>
          <t>replicas = copies | selector = which pods | template = pod blueprint</t>
        </is>
      </c>
      <c r="AA6" s="19" t="inlineStr">
        <is>
          <t>kubectl scale deployment web --replicas=5</t>
        </is>
      </c>
      <c r="AB6" s="19" t="inlineStr">
        <is>
          <t>kubectl set image deployment/web app=acme/web:1.4.3</t>
        </is>
      </c>
      <c r="AC6" s="19" t="inlineStr">
        <is>
          <t>kubectl rollout status deployment/web</t>
        </is>
      </c>
      <c r="AD6" s="19" t="inlineStr">
        <is>
          <t>kubectl create deployment web --image=nginx --dry-run=client -o yaml   // generate a starter file</t>
        </is>
      </c>
      <c r="AE6" s="18" t="inlineStr">
        <is>
          <t>Services, probes, resource limits</t>
        </is>
      </c>
      <c r="AF6" s="18" t="inlineStr">
        <is>
          <t>ReplicaSets, rolling updates and rollbacks, Services, probes</t>
        </is>
      </c>
      <c r="AG6" s="18" t="inlineStr">
        <is>
          <t>StatefulSets | Argo Rollouts</t>
        </is>
      </c>
      <c r="AH6" s="17" t="n"/>
      <c r="AI6" s="18" t="inlineStr">
        <is>
          <t>Web services | APIs | Workers</t>
        </is>
      </c>
      <c r="AJ6" s="18" t="inlineStr">
        <is>
          <t>A: How do I release the new image? | B: Change the image in the Deployment and watch the rollout.</t>
        </is>
      </c>
      <c r="AK6" s="18" t="inlineStr">
        <is>
          <t>✗ A Deployment runs the containers itself → ✓ It manages ReplicaSets, which manage pods</t>
        </is>
      </c>
      <c r="AL6" s="18" t="inlineStr">
        <is>
          <t>Deployment vs StatefulSet: Deployments suit stateless pods, StatefulSets give stable identities.</t>
        </is>
      </c>
      <c r="AM6" s="18" t="inlineStr">
        <is>
          <t>Do not use the latest tag in Deployments.</t>
        </is>
      </c>
      <c r="AN6" s="19" t="inlineStr">
        <is>
          <t>image: acme/web:latest</t>
        </is>
      </c>
      <c r="AO6" s="19" t="inlineStr">
        <is>
          <t>image: acme/web:1.4.2</t>
        </is>
      </c>
      <c r="AP6" s="18" t="inlineStr">
        <is>
          <t>Pin the tag, change the template, watch the rollout.</t>
        </is>
      </c>
      <c r="AQ6" s="18" t="inlineStr">
        <is>
          <t>A Deployment let the team roll out weekly releases with zero downtime.</t>
        </is>
      </c>
      <c r="AR6" s="18" t="inlineStr">
        <is>
          <t>An interviewer may ask: How does a Deployment roll out a new version?</t>
        </is>
      </c>
      <c r="AS6" s="18" t="inlineStr">
        <is>
          <t>It is like a manager swapping workers in gradually.</t>
        </is>
      </c>
      <c r="AT6" s="18" t="inlineStr">
        <is>
          <t>What does a Deployment create to manage pods?</t>
        </is>
      </c>
      <c r="AU6" s="18" t="inlineStr">
        <is>
          <t>A) Secrets B) Nodes C) ReplicaSets D) Namespaces</t>
        </is>
      </c>
      <c r="AV6" s="18" t="inlineStr">
        <is>
          <t>C</t>
        </is>
      </c>
      <c r="AW6" s="18" t="inlineStr">
        <is>
          <t>Each version has its own ReplicaSet.</t>
        </is>
      </c>
      <c r="AX6" s="19" t="inlineStr">
        <is>
          <t>The field that sets the number of copies is ____ → replicas</t>
        </is>
      </c>
      <c r="AY6" s="18" t="inlineStr">
        <is>
          <t>Scale the deployment web to five copies.</t>
        </is>
      </c>
      <c r="AZ6" s="19" t="inlineStr">
        <is>
          <t>kubectl scale deployment web --replicas=5</t>
        </is>
      </c>
      <c r="BA6" s="18" t="inlineStr">
        <is>
          <t>Write a Deployment with two replicas and a fixed image tag.</t>
        </is>
      </c>
      <c r="BB6" s="19" t="inlineStr">
        <is>
          <t>Why must the selector match the template labels?</t>
        </is>
      </c>
      <c r="BC6" s="19" t="inlineStr">
        <is>
          <t>Otherwise the Deployment cannot find its pods.</t>
        </is>
      </c>
      <c r="BD6" s="17">
        <f>IF(K6="","",REPT("★",K6)&amp;REPT("☆",5-K6)&amp;" ("&amp;K6&amp;"/5)")</f>
        <v/>
      </c>
      <c r="BE6" s="17">
        <f>IF(S6="","","Meaning: "&amp;S6&amp;"  =  ______   (Answer: "&amp;F6&amp;")")</f>
        <v/>
      </c>
      <c r="BF6" s="17" t="inlineStr">
        <is>
          <t>New</t>
        </is>
      </c>
      <c r="BG6" s="17" t="n"/>
      <c r="BH6" s="17" t="n"/>
      <c r="BI6" s="17" t="n"/>
      <c r="BJ6" s="17" t="n"/>
      <c r="BK6" s="17" t="n"/>
      <c r="BL6" s="17" t="n"/>
      <c r="BM6" s="17" t="n"/>
      <c r="BN6" s="17" t="n"/>
    </row>
    <row r="7" ht="409" customHeight="1">
      <c r="A7" s="17" t="inlineStr">
        <is>
          <t>K8S-010</t>
        </is>
      </c>
      <c r="B7" s="17" t="inlineStr">
        <is>
          <t>02 Workloads</t>
        </is>
      </c>
      <c r="C7" s="17" t="inlineStr">
        <is>
          <t>Intermediate</t>
        </is>
      </c>
      <c r="D7" s="17" t="n">
        <v>10</v>
      </c>
      <c r="E7" s="17" t="inlineStr">
        <is>
          <t>Claude knowledge</t>
        </is>
      </c>
      <c r="F7" s="18" t="inlineStr">
        <is>
          <t>StatefulSets</t>
        </is>
      </c>
      <c r="G7" s="18" t="inlineStr">
        <is>
          <t>Which resource runs pods that need stable names and their own storage?</t>
        </is>
      </c>
      <c r="H7" s="17" t="n"/>
      <c r="I7" s="18" t="inlineStr">
        <is>
          <t>Resource</t>
        </is>
      </c>
      <c r="J7" s="18" t="inlineStr">
        <is>
          <t>Medium</t>
        </is>
      </c>
      <c r="K7" s="18" t="n">
        <v>4</v>
      </c>
      <c r="L7" s="18" t="inlineStr">
        <is>
          <t>Databases and clusters need fixed identities and persistent disks, which plain Deployments do not guarantee.</t>
        </is>
      </c>
      <c r="M7" s="18" t="inlineStr">
        <is>
          <t>Prefer managed databases, and use StatefulSets only when you must run stateful software yourself.</t>
        </is>
      </c>
      <c r="N7" s="17" t="n"/>
      <c r="O7" s="18" t="inlineStr">
        <is>
          <t>A StatefulSet gives each pod its own name tag and its own locker that stay the same after restarts.</t>
        </is>
      </c>
      <c r="P7" s="18" t="inlineStr">
        <is>
          <t>Pods named db-0, db-1 and db-2 each with their own disk.</t>
        </is>
      </c>
      <c r="Q7" s="18" t="inlineStr">
        <is>
          <t>The calm of stable identities for stateful software.</t>
        </is>
      </c>
      <c r="R7" s="18" t="inlineStr">
        <is>
          <t>A StatefulSet creates pods with stable ordinal names and stable storage, and starts, stops and updates them in order.</t>
        </is>
      </c>
      <c r="S7" s="17" t="n"/>
      <c r="T7" s="19" t="inlineStr">
        <is>
          <t>apiVersion: apps/v1
kind: StatefulSet
metadata:
  name: db
spec:
  serviceName: db
  replicas: 3
  selector:
    matchLabels: { app: db }
  template:
    metadata:
      labels: { app: db }
    spec:
      containers:
        - name: pg
          image: postgres:16
          env:
            - name: POSTGRES_PASSWORD
              valueFrom: { secretKeyRef: { name: db-secret, key: password } }
            - name: PGDATA
              value: /var/lib/postgresql/data/pgdata
          volumeMounts:
            - { name: data, mountPath: /var/lib/postgresql/data }
  volumeClaimTemplates:
    - metadata: { name: data }
      spec:
        accessModes: ["ReadWriteOnce"]
        resources: { requests: { storage: 20Gi } }</t>
        </is>
      </c>
      <c r="U7" s="19" t="inlineStr">
        <is>
          <t>Pods db-0, db-1 and db-2 start in order, each with its own 20Gi volume that survives restarts.</t>
        </is>
      </c>
      <c r="V7" s="18" t="inlineStr">
        <is>
          <t>Each pod gets a stable DNS name through a headless service, such as db-0.db. The headless Service named in serviceName must be created separately, and the Secret must exist. Volumes created from the claim template stay when pods are deleted and are reattached to the same pod name. Scaling down does not delete volumes. Ordered updates reduce risk for clustered software. Running databases in Kubernetes also needs backups and careful upgrades.</t>
        </is>
      </c>
      <c r="W7" s="18" t="inlineStr">
        <is>
          <t>Use a StatefulSet for apps that need fixed names and their own disks.</t>
        </is>
      </c>
      <c r="X7" s="18" t="inlineStr">
        <is>
          <t>A StatefulSet gives each pod its own name tag and its own locker that stay the same after restarts.</t>
        </is>
      </c>
      <c r="Y7" s="19" t="inlineStr">
        <is>
          <t>kind: StatefulSet / serviceName / volumeClaimTemplates</t>
        </is>
      </c>
      <c r="Z7" s="18" t="inlineStr">
        <is>
          <t>ordinal = db-0, db-1 | headless service = stable DNS | volumeClaimTemplates = per-pod storage</t>
        </is>
      </c>
      <c r="AA7" s="19" t="inlineStr">
        <is>
          <t>kubectl get pods -l app=db</t>
        </is>
      </c>
      <c r="AB7" s="19" t="inlineStr">
        <is>
          <t>db-0.db.shop.svc.cluster.local</t>
        </is>
      </c>
      <c r="AC7" s="19" t="inlineStr">
        <is>
          <t>podManagementPolicy: Parallel</t>
        </is>
      </c>
      <c r="AD7" s="19" t="inlineStr">
        <is>
          <t>updateStrategy: { type: RollingUpdate, rollingUpdate: { partition: 2 } }   // staged updates</t>
        </is>
      </c>
      <c r="AE7" s="18" t="inlineStr">
        <is>
          <t>headless Services, PersistentVolumes, databases</t>
        </is>
      </c>
      <c r="AF7" s="18" t="inlineStr">
        <is>
          <t>Deployments, PersistentVolumes and claims, Services, storage classes</t>
        </is>
      </c>
      <c r="AG7" s="18" t="inlineStr">
        <is>
          <t>Managed databases | operators</t>
        </is>
      </c>
      <c r="AH7" s="17" t="n"/>
      <c r="AI7" s="18" t="inlineStr">
        <is>
          <t>Databases | Message brokers | Clustered software</t>
        </is>
      </c>
      <c r="AJ7" s="18" t="inlineStr">
        <is>
          <t>A: Why does the pod keep its name and disk after a restart? | B: It is managed by a StatefulSet with a claim template.</t>
        </is>
      </c>
      <c r="AK7" s="18" t="inlineStr">
        <is>
          <t>✗ StatefulSets make databases safe and easy → ✓ They give identity and storage, but backups and operations are still your job</t>
        </is>
      </c>
      <c r="AL7" s="18" t="inlineStr">
        <is>
          <t>StatefulSet vs Deployment: stable identity and storage versus interchangeable pods.</t>
        </is>
      </c>
      <c r="AM7" s="18" t="inlineStr">
        <is>
          <t>Do not run production databases without tested backups.</t>
        </is>
      </c>
      <c r="AN7" s="19" t="inlineStr">
        <is>
          <t>kind: Deployment   # for a database needing stable disks</t>
        </is>
      </c>
      <c r="AO7" s="19" t="inlineStr">
        <is>
          <t>kind: StatefulSet   # stable names and per-pod volumes</t>
        </is>
      </c>
      <c r="AP7" s="18" t="inlineStr">
        <is>
          <t>Stable names, own disks, ordered life.</t>
        </is>
      </c>
      <c r="AQ7" s="18" t="inlineStr">
        <is>
          <t>Using a managed database instead of a StatefulSet removed a lot of operational work.</t>
        </is>
      </c>
      <c r="AR7" s="18" t="inlineStr">
        <is>
          <t>An interviewer may ask: When would you use a StatefulSet?</t>
        </is>
      </c>
      <c r="AS7" s="18" t="inlineStr">
        <is>
          <t>It is like name tags and lockers that stay the same.</t>
        </is>
      </c>
      <c r="AT7" s="18" t="inlineStr">
        <is>
          <t>What do StatefulSet pods have that Deployment pods do not?</t>
        </is>
      </c>
      <c r="AU7" s="18" t="inlineStr">
        <is>
          <t>A) More CPU B) Stable names and per-pod storage C) Free licences D) Public IPs</t>
        </is>
      </c>
      <c r="AV7" s="18" t="inlineStr">
        <is>
          <t>B</t>
        </is>
      </c>
      <c r="AW7" s="18" t="inlineStr">
        <is>
          <t>Each ordinal pod keeps its identity and volume.</t>
        </is>
      </c>
      <c r="AX7" s="19" t="inlineStr">
        <is>
          <t>A service without a cluster IP used for stable pod names is ____ → headless</t>
        </is>
      </c>
      <c r="AY7" s="18" t="inlineStr">
        <is>
          <t>Give each StatefulSet pod its own volume claim.</t>
        </is>
      </c>
      <c r="AZ7" s="19" t="inlineStr">
        <is>
          <t>volumeClaimTemplates:
  - metadata: { name: data }
    spec: { accessModes: ["ReadWriteOnce"], resources: { requests: { storage: 20Gi } } }</t>
        </is>
      </c>
      <c r="BA7" s="18" t="inlineStr">
        <is>
          <t>List two reasons to prefer a managed database over a StatefulSet.</t>
        </is>
      </c>
      <c r="BB7" s="19" t="inlineStr">
        <is>
          <t>Are volumes deleted when a StatefulSet scales down?</t>
        </is>
      </c>
      <c r="BC7" s="19" t="inlineStr">
        <is>
          <t>No, they are kept for safety.</t>
        </is>
      </c>
      <c r="BD7" s="17">
        <f>IF(K7="","",REPT("★",K7)&amp;REPT("☆",5-K7)&amp;" ("&amp;K7&amp;"/5)")</f>
        <v/>
      </c>
      <c r="BE7" s="17">
        <f>IF(S7="","","Meaning: "&amp;S7&amp;"  =  ______   (Answer: "&amp;F7&amp;")")</f>
        <v/>
      </c>
      <c r="BF7" s="17" t="inlineStr">
        <is>
          <t>New</t>
        </is>
      </c>
      <c r="BG7" s="17" t="n"/>
      <c r="BH7" s="17" t="n"/>
      <c r="BI7" s="17" t="n"/>
      <c r="BJ7" s="17" t="n"/>
      <c r="BK7" s="17" t="n"/>
      <c r="BL7" s="17" t="n"/>
      <c r="BM7" s="17" t="n"/>
      <c r="BN7" s="17" t="n"/>
    </row>
    <row r="8" ht="270" customHeight="1">
      <c r="A8" s="17" t="inlineStr">
        <is>
          <t>K8S-011</t>
        </is>
      </c>
      <c r="B8" s="17" t="inlineStr">
        <is>
          <t>02 Workloads</t>
        </is>
      </c>
      <c r="C8" s="17" t="inlineStr">
        <is>
          <t>Intermediate</t>
        </is>
      </c>
      <c r="D8" s="17" t="n">
        <v>11</v>
      </c>
      <c r="E8" s="17" t="inlineStr">
        <is>
          <t>Claude knowledge</t>
        </is>
      </c>
      <c r="F8" s="18" t="inlineStr">
        <is>
          <t>DaemonSets</t>
        </is>
      </c>
      <c r="G8" s="18" t="inlineStr">
        <is>
          <t>Which resource runs exactly one pod on every node, or on chosen nodes?</t>
        </is>
      </c>
      <c r="H8" s="17" t="n"/>
      <c r="I8" s="18" t="inlineStr">
        <is>
          <t>Resource</t>
        </is>
      </c>
      <c r="J8" s="18" t="inlineStr">
        <is>
          <t>Medium</t>
        </is>
      </c>
      <c r="K8" s="18" t="n">
        <v>3</v>
      </c>
      <c r="L8" s="18" t="inlineStr">
        <is>
          <t>Some agents, such as log shippers and monitors, must run on every machine, so a controller keeps one copy per node.</t>
        </is>
      </c>
      <c r="M8" s="18" t="inlineStr">
        <is>
          <t>Use node selectors or tolerations to limit a DaemonSet to the right nodes.</t>
        </is>
      </c>
      <c r="N8" s="17" t="n"/>
      <c r="O8" s="18" t="inlineStr">
        <is>
          <t>A DaemonSet is a guard posted at every gate of the city.</t>
        </is>
      </c>
      <c r="P8" s="18" t="inlineStr">
        <is>
          <t>One pod icon on each node in a cluster.</t>
        </is>
      </c>
      <c r="Q8" s="18" t="inlineStr">
        <is>
          <t>The convenience of an agent that appears on new nodes by itself.</t>
        </is>
      </c>
      <c r="R8" s="18" t="inlineStr">
        <is>
          <t>A DaemonSet ensures a copy of a pod runs on all or selected nodes, and adds or removes pods as nodes join or leave.</t>
        </is>
      </c>
      <c r="S8" s="17" t="n"/>
      <c r="T8" s="19" t="inlineStr">
        <is>
          <t>apiVersion: apps/v1
kind: DaemonSet
metadata:
  name: log-agent
spec:
  selector:
    matchLabels: { app: log-agent }
  template:
    metadata:
      labels: { app: log-agent }
    spec:
      containers:
        - name: agent
          image: fluent/fluent-bit:3.1
          volumeMounts:
            - { name: varlog, mountPath: /var/log }
      volumes:
        - name: varlog
          hostPath: { path: /var/log }</t>
        </is>
      </c>
      <c r="U8" s="19" t="inlineStr">
        <is>
          <t>One log agent pod runs on each node and reads that node's logs.</t>
        </is>
      </c>
      <c r="V8" s="18" t="inlineStr">
        <is>
          <t>When a node is added, the DaemonSet creates a pod on it automatically. Typical uses are log collectors, monitoring agents, network plugins and storage drivers. Pods often need access to host paths, so security review matters. Tolerations let them run on tainted nodes. Updates roll node by node.</t>
        </is>
      </c>
      <c r="W8" s="18" t="inlineStr">
        <is>
          <t>A DaemonSet puts one agent pod on every node.</t>
        </is>
      </c>
      <c r="X8" s="18" t="inlineStr">
        <is>
          <t>A DaemonSet is a guard posted at every gate of the city.</t>
        </is>
      </c>
      <c r="Y8" s="19" t="inlineStr">
        <is>
          <t>kind: DaemonSet / spec.template</t>
        </is>
      </c>
      <c r="Z8" s="18" t="inlineStr">
        <is>
          <t>one pod per node | nodeSelector = limit nodes | tolerations = run on tainted nodes</t>
        </is>
      </c>
      <c r="AA8" s="19" t="inlineStr">
        <is>
          <t>kubectl get ds -n monitoring</t>
        </is>
      </c>
      <c r="AB8" s="19" t="inlineStr">
        <is>
          <t>nodeSelector: { disktype: ssd }</t>
        </is>
      </c>
      <c r="AC8" s="19" t="inlineStr">
        <is>
          <t>tolerations: [{ operator: Exists }]</t>
        </is>
      </c>
      <c r="AD8" s="19" t="inlineStr">
        <is>
          <t>updateStrategy: { type: OnDelete }   // update only when pods are deleted</t>
        </is>
      </c>
      <c r="AE8" s="18" t="inlineStr">
        <is>
          <t>log shippers, monitoring, security agents</t>
        </is>
      </c>
      <c r="AF8" s="18" t="inlineStr">
        <is>
          <t>pods, nodes, taints and tolerations, logging and monitoring</t>
        </is>
      </c>
      <c r="AG8" s="18" t="inlineStr">
        <is>
          <t>Sidecar containers | agents on the host</t>
        </is>
      </c>
      <c r="AH8" s="17" t="n"/>
      <c r="AI8" s="18" t="inlineStr">
        <is>
          <t>Logging | Monitoring | Networking plug-ins</t>
        </is>
      </c>
      <c r="AJ8" s="18" t="inlineStr">
        <is>
          <t>A: How do we get a log agent on every node? | B: Run it as a DaemonSet.</t>
        </is>
      </c>
      <c r="AK8" s="18" t="inlineStr">
        <is>
          <t>✗ DaemonSet pods run only on worker nodes → ✓ They run wherever tolerations and selectors allow</t>
        </is>
      </c>
      <c r="AL8" s="17" t="n"/>
      <c r="AM8" s="18" t="inlineStr">
        <is>
          <t>Do not grant host access to agents without review.</t>
        </is>
      </c>
      <c r="AN8" s="19" t="inlineStr">
        <is>
          <t>kind: Deployment   # an agent that must be on every node</t>
        </is>
      </c>
      <c r="AO8" s="19" t="inlineStr">
        <is>
          <t>kind: DaemonSet</t>
        </is>
      </c>
      <c r="AP8" s="18" t="inlineStr">
        <is>
          <t>One pod per node, automatically.</t>
        </is>
      </c>
      <c r="AQ8" s="18" t="inlineStr">
        <is>
          <t>A log DaemonSet gave a customer logs from every new node without extra setup.</t>
        </is>
      </c>
      <c r="AR8" s="18" t="inlineStr">
        <is>
          <t>An interviewer may ask: What is a DaemonSet used for?</t>
        </is>
      </c>
      <c r="AS8" s="18" t="inlineStr">
        <is>
          <t>It is like a guard at each gate.</t>
        </is>
      </c>
      <c r="AT8" s="18" t="inlineStr">
        <is>
          <t>How many pods does a DaemonSet run per node?</t>
        </is>
      </c>
      <c r="AU8" s="18" t="inlineStr">
        <is>
          <t>A) As many as possible B) Zero C) Three D) One</t>
        </is>
      </c>
      <c r="AV8" s="18" t="inlineStr">
        <is>
          <t>D</t>
        </is>
      </c>
      <c r="AW8" s="18" t="inlineStr">
        <is>
          <t>It keeps a single copy on each matching node.</t>
        </is>
      </c>
      <c r="AX8" s="19" t="inlineStr">
        <is>
          <t>Allowing pods onto tainted nodes uses a ____ → toleration</t>
        </is>
      </c>
      <c r="AY8" s="18" t="inlineStr">
        <is>
          <t>Run a log agent on every node.</t>
        </is>
      </c>
      <c r="AZ8" s="19" t="inlineStr">
        <is>
          <t>kind: DaemonSet</t>
        </is>
      </c>
      <c r="BA8" s="18" t="inlineStr">
        <is>
          <t>Name three agents that should run as DaemonSets.</t>
        </is>
      </c>
      <c r="BB8" s="19" t="inlineStr">
        <is>
          <t>How many pods does a DaemonSet keep per node?</t>
        </is>
      </c>
      <c r="BC8" s="19" t="inlineStr">
        <is>
          <t>One on each matching node.</t>
        </is>
      </c>
      <c r="BD8" s="17">
        <f>IF(K8="","",REPT("★",K8)&amp;REPT("☆",5-K8)&amp;" ("&amp;K8&amp;"/5)")</f>
        <v/>
      </c>
      <c r="BE8" s="17">
        <f>IF(S8="","","Meaning: "&amp;S8&amp;"  =  ______   (Answer: "&amp;F8&amp;")")</f>
        <v/>
      </c>
      <c r="BF8" s="17" t="inlineStr">
        <is>
          <t>New</t>
        </is>
      </c>
      <c r="BG8" s="17" t="n"/>
      <c r="BH8" s="17" t="n"/>
      <c r="BI8" s="17" t="n"/>
      <c r="BJ8" s="17" t="n"/>
      <c r="BK8" s="17" t="n"/>
      <c r="BL8" s="17" t="n"/>
      <c r="BM8" s="17" t="n"/>
      <c r="BN8" s="17" t="n"/>
    </row>
    <row r="9" ht="256.5" customHeight="1">
      <c r="A9" s="17" t="inlineStr">
        <is>
          <t>K8S-012</t>
        </is>
      </c>
      <c r="B9" s="17" t="inlineStr">
        <is>
          <t>02 Workloads</t>
        </is>
      </c>
      <c r="C9" s="17" t="inlineStr">
        <is>
          <t>Intermediate</t>
        </is>
      </c>
      <c r="D9" s="17" t="n">
        <v>12</v>
      </c>
      <c r="E9" s="17" t="inlineStr">
        <is>
          <t>Claude knowledge</t>
        </is>
      </c>
      <c r="F9" s="18" t="inlineStr">
        <is>
          <t>Jobs and CronJobs</t>
        </is>
      </c>
      <c r="G9" s="18" t="inlineStr">
        <is>
          <t>Which resources run tasks to completion once or on a schedule?</t>
        </is>
      </c>
      <c r="H9" s="17" t="n"/>
      <c r="I9" s="18" t="inlineStr">
        <is>
          <t>Resource</t>
        </is>
      </c>
      <c r="J9" s="18" t="inlineStr">
        <is>
          <t>High</t>
        </is>
      </c>
      <c r="K9" s="18" t="n">
        <v>4</v>
      </c>
      <c r="L9" s="18" t="inlineStr">
        <is>
          <t>Not all work runs forever, so Jobs run pods until they finish and CronJobs create Jobs on a schedule.</t>
        </is>
      </c>
      <c r="M9" s="18" t="inlineStr">
        <is>
          <t>Make jobs idempotent, and set limits for retries and cleanup.</t>
        </is>
      </c>
      <c r="N9" s="17" t="n"/>
      <c r="O9" s="18" t="inlineStr">
        <is>
          <t>A Job is a one-off errand, and a CronJob is a recurring appointment that creates errands.</t>
        </is>
      </c>
      <c r="P9" s="18" t="inlineStr">
        <is>
          <t>A pod running and ending with a completed status.</t>
        </is>
      </c>
      <c r="Q9" s="18" t="inlineStr">
        <is>
          <t>The tidiness of batch work that cleans up after itself.</t>
        </is>
      </c>
      <c r="R9" s="18" t="inlineStr">
        <is>
          <t>A Job runs one or more pods until a set number complete successfully, and a CronJob creates Jobs on a cron schedule.</t>
        </is>
      </c>
      <c r="S9" s="17" t="n"/>
      <c r="T9" s="19" t="inlineStr">
        <is>
          <t>apiVersion: batch/v1
kind: CronJob
metadata:
  name: nightly-report
spec:
  schedule: "0 2 * * *"
  concurrencyPolicy: Forbid
  successfulJobsHistoryLimit: 3
  jobTemplate:
    spec:
      backoffLimit: 2
      ttlSecondsAfterFinished: 86400
      template:
        spec:
          restartPolicy: OnFailure
          containers:
            - name: report
              image: acme/report:2.0
              args: ["--date", "yesterday"]</t>
        </is>
      </c>
      <c r="U9" s="19" t="inlineStr">
        <is>
          <t>Every night at 02:00 a Job runs the report, retries twice on failure, and cleans up after a day.</t>
        </is>
      </c>
      <c r="V9" s="18" t="inlineStr">
        <is>
          <t>The restart policy for Job pods must be OnFailure or Never. backoffLimit sets retries. concurrencyPolicy decides what happens if a run is still going when the next starts. The schedule uses the time zone of kube-controller-manager (often UTC) unless timeZone is set unless a time zone is set. Jobs can run in parallel with completions and parallelism settings.</t>
        </is>
      </c>
      <c r="W9" s="18" t="inlineStr">
        <is>
          <t>Use a Job for one-off work and a CronJob for scheduled work.</t>
        </is>
      </c>
      <c r="X9" s="18" t="inlineStr">
        <is>
          <t>A Job is a one-off errand, and a CronJob is a recurring appointment that creates errands.</t>
        </is>
      </c>
      <c r="Y9" s="19" t="inlineStr">
        <is>
          <t>kind: Job | kind: CronJob / schedule: "cron"</t>
        </is>
      </c>
      <c r="Z9" s="18" t="inlineStr">
        <is>
          <t>schedule = cron time | backoffLimit = retries | concurrencyPolicy = overlap rule | ttl = cleanup</t>
        </is>
      </c>
      <c r="AA9" s="19" t="inlineStr">
        <is>
          <t>kubectl create job test --from=cronjob/nightly-report</t>
        </is>
      </c>
      <c r="AB9" s="19" t="inlineStr">
        <is>
          <t>completions: 5, parallelism: 2</t>
        </is>
      </c>
      <c r="AC9" s="19" t="inlineStr">
        <is>
          <t>timeZone: "Asia/Kolkata"</t>
        </is>
      </c>
      <c r="AD9" s="19" t="inlineStr">
        <is>
          <t>suspend: true   // pause a CronJob without deleting it</t>
        </is>
      </c>
      <c r="AE9" s="18" t="inlineStr">
        <is>
          <t>idempotency, schedules, monitoring</t>
        </is>
      </c>
      <c r="AF9" s="18" t="inlineStr">
        <is>
          <t>pods, schedules in Airflow, retries, alerts</t>
        </is>
      </c>
      <c r="AG9" s="18" t="inlineStr">
        <is>
          <t>Airflow | external schedulers</t>
        </is>
      </c>
      <c r="AH9" s="17" t="n"/>
      <c r="AI9" s="18" t="inlineStr">
        <is>
          <t>Reports | Cleanup | Migrations</t>
        </is>
      </c>
      <c r="AJ9" s="18" t="inlineStr">
        <is>
          <t>A: The nightly job overlaps with the next run. | B: Set concurrencyPolicy to Forbid.</t>
        </is>
      </c>
      <c r="AK9" s="18" t="inlineStr">
        <is>
          <t>✗ A Job pod restarts forever like a Deployment pod → ✓ It runs to completion, then stops</t>
        </is>
      </c>
      <c r="AL9" s="18" t="inlineStr">
        <is>
          <t>Job vs CronJob: a Job runs once, a CronJob creates Jobs on a schedule.</t>
        </is>
      </c>
      <c r="AM9" s="18" t="inlineStr">
        <is>
          <t>Do not leave finished Jobs piling up.</t>
        </is>
      </c>
      <c r="AN9" s="19" t="inlineStr">
        <is>
          <t>restartPolicy: Always   # a Job pod would never complete</t>
        </is>
      </c>
      <c r="AO9" s="19" t="inlineStr">
        <is>
          <t>restartPolicy: OnFailure</t>
        </is>
      </c>
      <c r="AP9" s="18" t="inlineStr">
        <is>
          <t>Jobs finish, Deployments never end.</t>
        </is>
      </c>
      <c r="AQ9" s="18" t="inlineStr">
        <is>
          <t>Setting ttlSecondsAfterFinished stopped old completed pods piling up in a cluster.</t>
        </is>
      </c>
      <c r="AR9" s="18" t="inlineStr">
        <is>
          <t>An interviewer may ask: What is the difference between a Job and a Deployment?</t>
        </is>
      </c>
      <c r="AS9" s="18" t="inlineStr">
        <is>
          <t>It is like an errand versus an appointment.</t>
        </is>
      </c>
      <c r="AT9" s="18" t="inlineStr">
        <is>
          <t>Which restart policy is allowed for Job pods?</t>
        </is>
      </c>
      <c r="AU9" s="18" t="inlineStr">
        <is>
          <t>A) OnFailure B) Always C) Reboot D) Forever</t>
        </is>
      </c>
      <c r="AV9" s="18" t="inlineStr">
        <is>
          <t>A</t>
        </is>
      </c>
      <c r="AW9" s="18" t="inlineStr">
        <is>
          <t>Always would never let the Job complete.</t>
        </is>
      </c>
      <c r="AX9" s="19" t="inlineStr">
        <is>
          <t>The field that sets the number of retries for a Job is ____ → backoffLimit</t>
        </is>
      </c>
      <c r="AY9" s="18" t="inlineStr">
        <is>
          <t>Create a one-off job from an existing CronJob.</t>
        </is>
      </c>
      <c r="AZ9" s="19" t="inlineStr">
        <is>
          <t>kubectl create job test --from=cronjob/nightly-report</t>
        </is>
      </c>
      <c r="BA9" s="18" t="inlineStr">
        <is>
          <t>Write a CronJob that runs every Monday at nine.</t>
        </is>
      </c>
      <c r="BB9" s="19" t="inlineStr">
        <is>
          <t>What does concurrencyPolicy Forbid do?</t>
        </is>
      </c>
      <c r="BC9" s="19" t="inlineStr">
        <is>
          <t>It skips a new run while the previous one is still running.</t>
        </is>
      </c>
      <c r="BD9" s="17">
        <f>IF(K9="","",REPT("★",K9)&amp;REPT("☆",5-K9)&amp;" ("&amp;K9&amp;"/5)")</f>
        <v/>
      </c>
      <c r="BE9" s="17">
        <f>IF(S9="","","Meaning: "&amp;S9&amp;"  =  ______   (Answer: "&amp;F9&amp;")")</f>
        <v/>
      </c>
      <c r="BF9" s="17" t="inlineStr">
        <is>
          <t>New</t>
        </is>
      </c>
      <c r="BG9" s="17" t="n"/>
      <c r="BH9" s="17" t="n"/>
      <c r="BI9" s="17" t="n"/>
      <c r="BJ9" s="17" t="n"/>
      <c r="BK9" s="17" t="n"/>
      <c r="BL9" s="17" t="n"/>
      <c r="BM9" s="17" t="n"/>
      <c r="BN9" s="17" t="n"/>
    </row>
    <row r="10" ht="175.5" customHeight="1">
      <c r="A10" s="17" t="inlineStr">
        <is>
          <t>K8S-013</t>
        </is>
      </c>
      <c r="B10" s="17" t="inlineStr">
        <is>
          <t>02 Workloads</t>
        </is>
      </c>
      <c r="C10" s="17" t="inlineStr">
        <is>
          <t>Beginner</t>
        </is>
      </c>
      <c r="D10" s="17" t="n">
        <v>13</v>
      </c>
      <c r="E10" s="17" t="inlineStr">
        <is>
          <t>Claude knowledge</t>
        </is>
      </c>
      <c r="F10" s="18" t="inlineStr">
        <is>
          <t>Labels and selectors</t>
        </is>
      </c>
      <c r="G10" s="18" t="inlineStr">
        <is>
          <t>Which key-value tags group objects, and how do other objects find them?</t>
        </is>
      </c>
      <c r="H10" s="17" t="n"/>
      <c r="I10" s="18" t="inlineStr">
        <is>
          <t>Resource</t>
        </is>
      </c>
      <c r="J10" s="18" t="inlineStr">
        <is>
          <t>Very high</t>
        </is>
      </c>
      <c r="K10" s="18" t="n">
        <v>5</v>
      </c>
      <c r="L10" s="18" t="inlineStr">
        <is>
          <t>Kubernetes objects must find each other without fixed names, so labels tag them and selectors query those tags.</t>
        </is>
      </c>
      <c r="M10" s="18" t="inlineStr">
        <is>
          <t>Agree a standard set of labels such as app, tier and env across all teams.</t>
        </is>
      </c>
      <c r="N10" s="17" t="n"/>
      <c r="O10" s="18" t="inlineStr">
        <is>
          <t>Labels are colour stickers, and selectors are people asking for everything with the red sticker.</t>
        </is>
      </c>
      <c r="P10" s="18" t="inlineStr">
        <is>
          <t>Pods with coloured tags and a selector picking the red ones.</t>
        </is>
      </c>
      <c r="Q10" s="18" t="inlineStr">
        <is>
          <t>The ease of grouping objects by meaning.</t>
        </is>
      </c>
      <c r="R10" s="18" t="inlineStr">
        <is>
          <t>Labels are key-value pairs attached to objects, and label selectors choose objects by matching those pairs, which is how Services, Deployments and other controllers find pods.</t>
        </is>
      </c>
      <c r="S10" s="17" t="n"/>
      <c r="T10" s="19" t="inlineStr">
        <is>
          <t>metadata:
  labels:
    app: web
    tier: frontend
    env: prod
# a Deployment selects them with matchLabels (a Service uses a plain map: selector: { app: web }):
selector:
  matchLabels:
    app: web
# command line:
# kubectl get pods -l app=web,env=prod</t>
        </is>
      </c>
      <c r="U10" s="19" t="inlineStr">
        <is>
          <t>Only pods that have both app web and env prod are returned or selected.</t>
        </is>
      </c>
      <c r="V10" s="18" t="inlineStr">
        <is>
          <t>Labels are for identifying and grouping, and annotations are for non-identifying notes. A selector with several labels means all must match. Changing labels on running pods changes what selects them, which can disconnect them from a Service. Equality and set-based selectors exist, such as env in (prod, staging).</t>
        </is>
      </c>
      <c r="W10" s="18" t="inlineStr">
        <is>
          <t>Label objects consistently, and use selectors in Services and controllers to find them.</t>
        </is>
      </c>
      <c r="X10" s="18" t="inlineStr">
        <is>
          <t>Labels are colour stickers, and selectors are people asking for everything with the red sticker.</t>
        </is>
      </c>
      <c r="Y10" s="19" t="inlineStr">
        <is>
          <t>labels: { key: value } | Deployment: selector: { matchLabels: { key: value } } | Service: selector: { key: value }</t>
        </is>
      </c>
      <c r="Z10" s="18" t="inlineStr">
        <is>
          <t>labels = tags | selector = query | annotations = notes</t>
        </is>
      </c>
      <c r="AA10" s="19" t="inlineStr">
        <is>
          <t>kubectl get pods -l tier=frontend</t>
        </is>
      </c>
      <c r="AB10" s="19" t="inlineStr">
        <is>
          <t>kubectl label pod web-1 env=debug</t>
        </is>
      </c>
      <c r="AC10" s="19" t="inlineStr">
        <is>
          <t>matchExpressions: [{ key: env, operator: In, values: [prod, staging] }]</t>
        </is>
      </c>
      <c r="AD10" s="19" t="inlineStr">
        <is>
          <t>kubectl get pods --show-labels   // see every label</t>
        </is>
      </c>
      <c r="AE10" s="18" t="inlineStr">
        <is>
          <t>Services, Deployments, network policies</t>
        </is>
      </c>
      <c r="AF10" s="18" t="inlineStr">
        <is>
          <t>Services, Deployments, namespaces, network policies</t>
        </is>
      </c>
      <c r="AG10" s="18" t="inlineStr">
        <is>
          <t>Namespaces for coarse separation</t>
        </is>
      </c>
      <c r="AH10" s="17" t="n"/>
      <c r="AI10" s="18" t="inlineStr">
        <is>
          <t>Every cluster | Services | Cost reports</t>
        </is>
      </c>
      <c r="AJ10" s="18" t="inlineStr">
        <is>
          <t>A: The Service has no endpoints. | B: Its selector does not match the pod labels.</t>
        </is>
      </c>
      <c r="AK10" s="18" t="inlineStr">
        <is>
          <t>✗ Labels and annotations are the same → ✓ Labels are used for selection, annotations only hold extra information</t>
        </is>
      </c>
      <c r="AL10" s="18" t="inlineStr">
        <is>
          <t>Label vs annotation: labels select, annotations describe.</t>
        </is>
      </c>
      <c r="AM10" s="18" t="inlineStr">
        <is>
          <t>Do not change pod labels without checking the Services that select them.</t>
        </is>
      </c>
      <c r="AN10" s="19" t="inlineStr">
        <is>
          <t>selector: { matchLabels: { app: web-app } }   # pods are labelled web</t>
        </is>
      </c>
      <c r="AO10" s="19" t="inlineStr">
        <is>
          <t>selector: { matchLabels: { app: web } }</t>
        </is>
      </c>
      <c r="AP10" s="18" t="inlineStr">
        <is>
          <t>Selectors only see matching labels.</t>
        </is>
      </c>
      <c r="AQ10" s="18" t="inlineStr">
        <is>
          <t>A label typo explained why a Service had no pods behind it.</t>
        </is>
      </c>
      <c r="AR10" s="18" t="inlineStr">
        <is>
          <t>An interviewer may ask: How does a Service find its pods?</t>
        </is>
      </c>
      <c r="AS10" s="18" t="inlineStr">
        <is>
          <t>It is like colour stickers and people asking for the red ones.</t>
        </is>
      </c>
      <c r="AT10" s="18" t="inlineStr">
        <is>
          <t>What does a Service use to find pods?</t>
        </is>
      </c>
      <c r="AU10" s="18" t="inlineStr">
        <is>
          <t>A) Pod names B) Image tags C) A label selector D) Node names</t>
        </is>
      </c>
      <c r="AV10" s="18" t="inlineStr">
        <is>
          <t>C</t>
        </is>
      </c>
      <c r="AW10" s="18" t="inlineStr">
        <is>
          <t>Selectors match pod labels.</t>
        </is>
      </c>
      <c r="AX10" s="19" t="inlineStr">
        <is>
          <t>Non-identifying notes on objects are called ____ → annotations</t>
        </is>
      </c>
      <c r="AY10" s="18" t="inlineStr">
        <is>
          <t>List pods labelled app web.</t>
        </is>
      </c>
      <c r="AZ10" s="19" t="inlineStr">
        <is>
          <t>kubectl get pods -l app=web</t>
        </is>
      </c>
      <c r="BA10" s="18" t="inlineStr">
        <is>
          <t>Choose a standard label set for all workloads.</t>
        </is>
      </c>
      <c r="BB10" s="19" t="inlineStr">
        <is>
          <t>What happens if a Service selector does not match any pod?</t>
        </is>
      </c>
      <c r="BC10" s="19" t="inlineStr">
        <is>
          <t>It has no endpoints, so traffic goes nowhere.</t>
        </is>
      </c>
      <c r="BD10" s="17">
        <f>IF(K10="","",REPT("★",K10)&amp;REPT("☆",5-K10)&amp;" ("&amp;K10&amp;"/5)")</f>
        <v/>
      </c>
      <c r="BE10" s="17">
        <f>IF(S10="","","Meaning: "&amp;S10&amp;"  =  ______   (Answer: "&amp;F10&amp;")")</f>
        <v/>
      </c>
      <c r="BF10" s="17" t="inlineStr">
        <is>
          <t>New</t>
        </is>
      </c>
      <c r="BG10" s="17" t="n"/>
      <c r="BH10" s="17" t="n"/>
      <c r="BI10" s="17" t="n"/>
      <c r="BJ10" s="17" t="n"/>
      <c r="BK10" s="17" t="n"/>
      <c r="BL10" s="17" t="n"/>
      <c r="BM10" s="17" t="n"/>
      <c r="BN10" s="17" t="n"/>
    </row>
    <row r="11" ht="121.5" customHeight="1">
      <c r="A11" s="17" t="inlineStr">
        <is>
          <t>K8S-014</t>
        </is>
      </c>
      <c r="B11" s="17" t="inlineStr">
        <is>
          <t>02 Workloads</t>
        </is>
      </c>
      <c r="C11" s="17" t="inlineStr">
        <is>
          <t>Beginner</t>
        </is>
      </c>
      <c r="D11" s="17" t="n">
        <v>14</v>
      </c>
      <c r="E11" s="17" t="inlineStr">
        <is>
          <t>Claude knowledge</t>
        </is>
      </c>
      <c r="F11" s="18" t="inlineStr">
        <is>
          <t>Namespaces</t>
        </is>
      </c>
      <c r="G11" s="18" t="inlineStr">
        <is>
          <t>Which feature divides a cluster into separate virtual areas?</t>
        </is>
      </c>
      <c r="H11" s="17" t="n"/>
      <c r="I11" s="18" t="inlineStr">
        <is>
          <t>Resource</t>
        </is>
      </c>
      <c r="J11" s="18" t="inlineStr">
        <is>
          <t>Very high</t>
        </is>
      </c>
      <c r="K11" s="18" t="n">
        <v>5</v>
      </c>
      <c r="L11" s="18" t="inlineStr">
        <is>
          <t>Many teams and environments share a cluster, so namespaces give each its own scope for names and policies.</t>
        </is>
      </c>
      <c r="M11" s="18" t="inlineStr">
        <is>
          <t>Use a namespace per team or environment, and attach quotas and policies to it.</t>
        </is>
      </c>
      <c r="N11" s="17" t="n"/>
      <c r="O11" s="18" t="inlineStr">
        <is>
          <t>Namespaces are rooms in a shared office, each with its own rules and supplies.</t>
        </is>
      </c>
      <c r="P11" s="18" t="inlineStr">
        <is>
          <t>A cluster split into rooms named dev, staging and shop.</t>
        </is>
      </c>
      <c r="Q11" s="18" t="inlineStr">
        <is>
          <t>The tidiness of environments that stay neatly separated.</t>
        </is>
      </c>
      <c r="R11" s="18" t="inlineStr">
        <is>
          <t>A namespace is a named scope within a cluster, so object names need to be unique only inside it, and quotas, policies and permissions can be applied per namespace.</t>
        </is>
      </c>
      <c r="S11" s="17" t="n"/>
      <c r="T11" s="19" t="inlineStr">
        <is>
          <t>kubectl create namespace shop
kubectl get pods -n shop
kubectl config set-context --current --namespace=shop
kubectl get all -n shop
kubectl delete namespace shop</t>
        </is>
      </c>
      <c r="U11" s="19" t="inlineStr">
        <is>
          <t>The namespace shop is created, used for commands, and deleting it removes everything inside it.</t>
        </is>
      </c>
      <c r="V11" s="18" t="inlineStr">
        <is>
          <t>Default namespaces include default, kube-system and kube-public. Some resources, such as nodes and PersistentVolumes, are cluster-wide and not namespaced. Services can be reached across namespaces by their full DNS names. Namespaces are not a strong security boundary on their own, so combine them with RBAC and network policies.</t>
        </is>
      </c>
      <c r="W11" s="18" t="inlineStr">
        <is>
          <t>Use namespaces to separate teams and environments, and add quotas and permissions to each.</t>
        </is>
      </c>
      <c r="X11" s="18" t="inlineStr">
        <is>
          <t>Namespaces are rooms in a shared office, each with its own rules and supplies.</t>
        </is>
      </c>
      <c r="Y11" s="19" t="inlineStr">
        <is>
          <t>kubectl create namespace NAME | metadata: namespace: NAME</t>
        </is>
      </c>
      <c r="Z11" s="18" t="inlineStr">
        <is>
          <t>default = no namespace given | kube-system = system parts | -n = choose one</t>
        </is>
      </c>
      <c r="AA11" s="19" t="inlineStr">
        <is>
          <t>kubectl get ns</t>
        </is>
      </c>
      <c r="AB11" s="19" t="inlineStr">
        <is>
          <t>metadata: { namespace: staging }</t>
        </is>
      </c>
      <c r="AC11" s="19" t="inlineStr">
        <is>
          <t>api.shop.svc.cluster.local</t>
        </is>
      </c>
      <c r="AD11" s="19" t="inlineStr">
        <is>
          <t>kubectl get pods --all-namespaces   // across the whole cluster</t>
        </is>
      </c>
      <c r="AE11" s="18" t="inlineStr">
        <is>
          <t>RBAC, quotas, network policies</t>
        </is>
      </c>
      <c r="AF11" s="18" t="inlineStr">
        <is>
          <t>labels and selectors, RBAC, quotas, DNS in the cluster</t>
        </is>
      </c>
      <c r="AG11" s="18" t="inlineStr">
        <is>
          <t>Separate clusters for strong isolation</t>
        </is>
      </c>
      <c r="AH11" s="17" t="n"/>
      <c r="AI11" s="18" t="inlineStr">
        <is>
          <t>Teams | Environments | Quotas</t>
        </is>
      </c>
      <c r="AJ11" s="18" t="inlineStr">
        <is>
          <t>A: Can staging and shop both have a Service called api? | B: Yes, namespaces keep the names separate.</t>
        </is>
      </c>
      <c r="AK11" s="18" t="inlineStr">
        <is>
          <t>✗ Namespaces fully isolate teams from each other → ✓ They separate names and policies, but need RBAC and network rules for real isolation</t>
        </is>
      </c>
      <c r="AL11" s="17" t="n"/>
      <c r="AM11" s="18" t="inlineStr">
        <is>
          <t>Do not put everything in the default namespace.</t>
        </is>
      </c>
      <c r="AN11" s="19" t="inlineStr">
        <is>
          <t>kubectl delete namespace shop   # without checking contents</t>
        </is>
      </c>
      <c r="AO11" s="19" t="inlineStr">
        <is>
          <t>kubectl get all,cm,secret,pvc -n shop &amp;&amp; kubectl delete namespace shop</t>
        </is>
      </c>
      <c r="AP11" s="18" t="inlineStr">
        <is>
          <t>Namespaces separate names, not security alone.</t>
        </is>
      </c>
      <c r="AQ11" s="18" t="inlineStr">
        <is>
          <t>Giving each team a namespace with quotas stopped one team starving the others.</t>
        </is>
      </c>
      <c r="AR11" s="18" t="inlineStr">
        <is>
          <t>An interviewer may ask: Are namespaces a security boundary?</t>
        </is>
      </c>
      <c r="AS11" s="18" t="inlineStr">
        <is>
          <t>It is like rooms in a shared office.</t>
        </is>
      </c>
      <c r="AT11" s="18" t="inlineStr">
        <is>
          <t>What happens when a namespace is deleted?</t>
        </is>
      </c>
      <c r="AU11" s="18" t="inlineStr">
        <is>
          <t>A) Everything inside it is deleted B) Nothing C) Nodes are removed D) Only pods stop</t>
        </is>
      </c>
      <c r="AV11" s="18" t="inlineStr">
        <is>
          <t>A</t>
        </is>
      </c>
      <c r="AW11" s="18" t="inlineStr">
        <is>
          <t>Namespaced objects are removed with it.</t>
        </is>
      </c>
      <c r="AX11" s="19" t="inlineStr">
        <is>
          <t>The namespace that holds the system parts is ____ → kube-system</t>
        </is>
      </c>
      <c r="AY11" s="18" t="inlineStr">
        <is>
          <t>Create a namespace called shop.</t>
        </is>
      </c>
      <c r="AZ11" s="19" t="inlineStr">
        <is>
          <t>kubectl create namespace shop</t>
        </is>
      </c>
      <c r="BA11" s="18" t="inlineStr">
        <is>
          <t>Plan namespaces for dev, staging and production.</t>
        </is>
      </c>
      <c r="BB11" s="19" t="inlineStr">
        <is>
          <t>Are nodes namespaced?</t>
        </is>
      </c>
      <c r="BC11" s="19" t="inlineStr">
        <is>
          <t>No, they are cluster-wide.</t>
        </is>
      </c>
      <c r="BD11" s="17">
        <f>IF(K11="","",REPT("★",K11)&amp;REPT("☆",5-K11)&amp;" ("&amp;K11&amp;"/5)")</f>
        <v/>
      </c>
      <c r="BE11" s="17">
        <f>IF(S11="","","Meaning: "&amp;S11&amp;"  =  ______   (Answer: "&amp;F11&amp;")")</f>
        <v/>
      </c>
      <c r="BF11" s="17" t="inlineStr">
        <is>
          <t>New</t>
        </is>
      </c>
      <c r="BG11" s="17" t="n"/>
      <c r="BH11" s="17" t="n"/>
      <c r="BI11" s="17" t="n"/>
      <c r="BJ11" s="17" t="n"/>
      <c r="BK11" s="17" t="n"/>
      <c r="BL11" s="17" t="n"/>
      <c r="BM11" s="17" t="n"/>
      <c r="BN11" s="17" t="n"/>
    </row>
    <row r="12" ht="162" customHeight="1">
      <c r="A12" s="17" t="inlineStr">
        <is>
          <t>K8S-015</t>
        </is>
      </c>
      <c r="B12" s="17" t="inlineStr">
        <is>
          <t>02 Workloads</t>
        </is>
      </c>
      <c r="C12" s="17" t="inlineStr">
        <is>
          <t>Intermediate</t>
        </is>
      </c>
      <c r="D12" s="17" t="n">
        <v>15</v>
      </c>
      <c r="E12" s="17" t="inlineStr">
        <is>
          <t>Claude knowledge</t>
        </is>
      </c>
      <c r="F12" s="18" t="inlineStr">
        <is>
          <t>Rolling updates and rollbacks</t>
        </is>
      </c>
      <c r="G12" s="18" t="inlineStr">
        <is>
          <t>How does Kubernetes replace old pods with new ones without downtime, and how do you undo it?</t>
        </is>
      </c>
      <c r="H12" s="17" t="n"/>
      <c r="I12" s="18" t="inlineStr">
        <is>
          <t>Operation</t>
        </is>
      </c>
      <c r="J12" s="18" t="inlineStr">
        <is>
          <t>Very high</t>
        </is>
      </c>
      <c r="K12" s="18" t="n">
        <v>5</v>
      </c>
      <c r="L12" s="18" t="inlineStr">
        <is>
          <t>Releases must not take the app offline, so Deployments replace pods in steps and keep history for going back.</t>
        </is>
      </c>
      <c r="M12" s="18" t="inlineStr">
        <is>
          <t>Set readiness probes, because the rollout waits for them before continuing.</t>
        </is>
      </c>
      <c r="N12" s="17" t="n"/>
      <c r="O12" s="18" t="inlineStr">
        <is>
          <t>A rolling update changes the crew a few at a time while the ship stays sailing.</t>
        </is>
      </c>
      <c r="P12" s="18" t="inlineStr">
        <is>
          <t>Old pods fading out as new pods appear a few at a time.</t>
        </is>
      </c>
      <c r="Q12" s="18" t="inlineStr">
        <is>
          <t>The calm of releases that never need downtime.</t>
        </is>
      </c>
      <c r="R12" s="18" t="inlineStr">
        <is>
          <t>A rolling update gradually creates pods with the new template and removes old ones within limits set by maxSurge and maxUnavailable, and rollout commands report progress, pause or revert it.</t>
        </is>
      </c>
      <c r="S12" s="17" t="n"/>
      <c r="T12" s="19" t="inlineStr">
        <is>
          <t>spec:
  strategy:
    type: RollingUpdate
    rollingUpdate:
      maxSurge: 1
      maxUnavailable: 0
# commands
# kubectl set image deployment/web app=acme/web:1.4.3
# kubectl rollout status deployment/web
# kubectl rollout history deployment/web
# kubectl rollout undo deployment/web</t>
        </is>
      </c>
      <c r="U12" s="19" t="inlineStr">
        <is>
          <t>One extra pod is created at a time, no pod is removed until its replacement is ready, and undo returns to the previous version.</t>
        </is>
      </c>
      <c r="V12" s="18" t="inlineStr">
        <is>
          <t>maxSurge says how many extra pods may exist during the update, and maxUnavailable how many may be missing. Readiness probes make new pods wait until they are healthy before receiving traffic. Failed rollouts can stall, so progressDeadlineSeconds sets a limit. Revision history is kept for rollbacks. Database changes must stay compatible with both versions.</t>
        </is>
      </c>
      <c r="W12" s="18" t="inlineStr">
        <is>
          <t>Update the image, watch the rollout, and undo if the new version misbehaves.</t>
        </is>
      </c>
      <c r="X12" s="18" t="inlineStr">
        <is>
          <t>A rolling update changes the crew a few at a time while the ship stays sailing.</t>
        </is>
      </c>
      <c r="Y12" s="19" t="inlineStr">
        <is>
          <t>kubectl rollout status|history|undo|pause|resume deployment/NAME</t>
        </is>
      </c>
      <c r="Z12" s="18" t="inlineStr">
        <is>
          <t>maxSurge = extra pods | maxUnavailable = missing pods | undo = go back</t>
        </is>
      </c>
      <c r="AA12" s="19" t="inlineStr">
        <is>
          <t>kubectl rollout undo deployment/web --to-revision=2</t>
        </is>
      </c>
      <c r="AB12" s="19" t="inlineStr">
        <is>
          <t>kubectl rollout pause deployment/web</t>
        </is>
      </c>
      <c r="AC12" s="19" t="inlineStr">
        <is>
          <t>progressDeadlineSeconds: 600</t>
        </is>
      </c>
      <c r="AD12" s="19" t="inlineStr">
        <is>
          <t>strategy: { type: Recreate }   // stop all old pods first, with downtime</t>
        </is>
      </c>
      <c r="AE12" s="18" t="inlineStr">
        <is>
          <t>readiness probes, Deployments, CI/CD</t>
        </is>
      </c>
      <c r="AF12" s="18" t="inlineStr">
        <is>
          <t>Deployments, probes, rollbacks in CI/CD, canary releases</t>
        </is>
      </c>
      <c r="AG12" s="18" t="inlineStr">
        <is>
          <t>Blue-green | canary with a mesh</t>
        </is>
      </c>
      <c r="AH12" s="17" t="n"/>
      <c r="AI12" s="18" t="inlineStr">
        <is>
          <t>Every release | Incident response | CI pipelines</t>
        </is>
      </c>
      <c r="AJ12" s="18" t="inlineStr">
        <is>
          <t>A: The new version is failing. | B: Run kubectl rollout undo to return to the previous one.</t>
        </is>
      </c>
      <c r="AK12" s="18" t="inlineStr">
        <is>
          <t>✗ A rolling update never causes downtime → ✓ Without readiness probes, traffic can reach pods that are not ready</t>
        </is>
      </c>
      <c r="AL12" s="18" t="inlineStr">
        <is>
          <t>RollingUpdate vs Recreate: rolling replaces gradually, recreate stops everything first.</t>
        </is>
      </c>
      <c r="AM12" s="18" t="inlineStr">
        <is>
          <t>Do not roll out without readiness probes.</t>
        </is>
      </c>
      <c r="AN12" s="19" t="inlineStr">
        <is>
          <t>maxUnavailable: 100%   # takes the app down</t>
        </is>
      </c>
      <c r="AO12" s="19" t="inlineStr">
        <is>
          <t>maxUnavailable: 0</t>
        </is>
      </c>
      <c r="AP12" s="18" t="inlineStr">
        <is>
          <t>Surge up, wait ready, then remove old.</t>
        </is>
      </c>
      <c r="AQ12" s="18" t="inlineStr">
        <is>
          <t>A quick rollout undo restored service within a minute after a faulty release.</t>
        </is>
      </c>
      <c r="AR12" s="18" t="inlineStr">
        <is>
          <t>An interviewer may ask: How do you roll back a Deployment?</t>
        </is>
      </c>
      <c r="AS12" s="18" t="inlineStr">
        <is>
          <t>It is like changing a ship's crew while sailing.</t>
        </is>
      </c>
      <c r="AT12" s="18" t="inlineStr">
        <is>
          <t>Which command returns to the previous version?</t>
        </is>
      </c>
      <c r="AU12" s="18" t="inlineStr">
        <is>
          <t>A) kubectl drain B) kubectl rollout undo C) kubectl delete D) kubectl scale</t>
        </is>
      </c>
      <c r="AV12" s="18" t="inlineStr">
        <is>
          <t>B</t>
        </is>
      </c>
      <c r="AW12" s="18" t="inlineStr">
        <is>
          <t>It restores the previous ReplicaSet.</t>
        </is>
      </c>
      <c r="AX12" s="19" t="inlineStr">
        <is>
          <t>The setting for extra pods during an update is max____ → Surge</t>
        </is>
      </c>
      <c r="AY12" s="18" t="inlineStr">
        <is>
          <t>Roll back the deployment web to the previous revision.</t>
        </is>
      </c>
      <c r="AZ12" s="19" t="inlineStr">
        <is>
          <t>kubectl rollout undo deployment/web</t>
        </is>
      </c>
      <c r="BA12" s="18" t="inlineStr">
        <is>
          <t>Write a strategy that never removes a pod before its replacement is ready.</t>
        </is>
      </c>
      <c r="BB12" s="19" t="inlineStr">
        <is>
          <t>Why are readiness probes important during rollouts?</t>
        </is>
      </c>
      <c r="BC12" s="19" t="inlineStr">
        <is>
          <t>Traffic should reach only pods that are ready.</t>
        </is>
      </c>
      <c r="BD12" s="17">
        <f>IF(K12="","",REPT("★",K12)&amp;REPT("☆",5-K12)&amp;" ("&amp;K12&amp;"/5)")</f>
        <v/>
      </c>
      <c r="BE12" s="17">
        <f>IF(S12="","","Meaning: "&amp;S12&amp;"  =  ______   (Answer: "&amp;F12&amp;")")</f>
        <v/>
      </c>
      <c r="BF12" s="17" t="inlineStr">
        <is>
          <t>New</t>
        </is>
      </c>
      <c r="BG12" s="17" t="n"/>
      <c r="BH12" s="17" t="n"/>
      <c r="BI12" s="17" t="n"/>
      <c r="BJ12" s="17" t="n"/>
      <c r="BK12" s="17" t="n"/>
      <c r="BL12" s="17" t="n"/>
      <c r="BM12" s="17" t="n"/>
      <c r="BN12" s="17" t="n"/>
    </row>
    <row r="13" ht="189" customHeight="1">
      <c r="A13" s="17" t="inlineStr">
        <is>
          <t>K8S-016</t>
        </is>
      </c>
      <c r="B13" s="17" t="inlineStr">
        <is>
          <t>03 Config and Storage</t>
        </is>
      </c>
      <c r="C13" s="17" t="inlineStr">
        <is>
          <t>Beginner</t>
        </is>
      </c>
      <c r="D13" s="17" t="n">
        <v>16</v>
      </c>
      <c r="E13" s="17" t="inlineStr">
        <is>
          <t>Claude knowledge</t>
        </is>
      </c>
      <c r="F13" s="18" t="inlineStr">
        <is>
          <t>ConfigMaps</t>
        </is>
      </c>
      <c r="G13" s="18" t="inlineStr">
        <is>
          <t>Which object holds non-secret configuration separate from container images?</t>
        </is>
      </c>
      <c r="H13" s="17" t="n"/>
      <c r="I13" s="18" t="inlineStr">
        <is>
          <t>Resource</t>
        </is>
      </c>
      <c r="J13" s="18" t="inlineStr">
        <is>
          <t>Very high</t>
        </is>
      </c>
      <c r="K13" s="18" t="n">
        <v>5</v>
      </c>
      <c r="L13" s="18" t="inlineStr">
        <is>
          <t>Configuration changes between environments, so settings are kept in objects outside the image.</t>
        </is>
      </c>
      <c r="M13" s="18" t="inlineStr">
        <is>
          <t>Mount a ConfigMap as files for config files, and inject as environment variables for simple settings.</t>
        </is>
      </c>
      <c r="N13" s="17" t="n"/>
      <c r="O13" s="18" t="inlineStr">
        <is>
          <t>A ConfigMap is a settings sheet handed to a container at start.</t>
        </is>
      </c>
      <c r="P13" s="18" t="inlineStr">
        <is>
          <t>A key-value sheet feeding into a pod.</t>
        </is>
      </c>
      <c r="Q13" s="18" t="inlineStr">
        <is>
          <t>The ease of changing settings without rebuilding images.</t>
        </is>
      </c>
      <c r="R13" s="18" t="inlineStr">
        <is>
          <t>A ConfigMap stores non-confidential configuration as key-value pairs or files, which pods consume as environment variables, command arguments or mounted files.</t>
        </is>
      </c>
      <c r="S13" s="17" t="n"/>
      <c r="T13" s="19" t="inlineStr">
        <is>
          <t>apiVersion: v1
kind: ConfigMap
metadata:
  name: web-config
data:
  LOG_LEVEL: info
  app.properties: |
    feature.search=true
---
# in the pod spec
# envFrom: [{ configMapRef: { name: web-config } }]
# volumes: [{ name: cfg, configMap: { name: web-config } }]</t>
        </is>
      </c>
      <c r="U13" s="19" t="inlineStr">
        <is>
          <t>The pod receives LOG_LEVEL as an environment variable, or the app.properties file in a mounted folder.</t>
        </is>
      </c>
      <c r="V13" s="18" t="inlineStr">
        <is>
          <t>Values must be strings. Environment variables are fixed when a pod starts, so changes need a restart. Mounted files are updated by Kubernetes after a short delay, although the app must reread them. ConfigMaps are limited in size. Never put passwords there, because they are not encrypted or protected like Secrets.</t>
        </is>
      </c>
      <c r="W13" s="18" t="inlineStr">
        <is>
          <t>Store non-secret settings in a ConfigMap, and inject them as variables or files.</t>
        </is>
      </c>
      <c r="X13" s="18" t="inlineStr">
        <is>
          <t>A ConfigMap is a settings sheet handed to a container at start.</t>
        </is>
      </c>
      <c r="Y13" s="19" t="inlineStr">
        <is>
          <t>kind: ConfigMap / data: { key: value }</t>
        </is>
      </c>
      <c r="Z13" s="18" t="inlineStr">
        <is>
          <t>data = key-value pairs | envFrom = environment variables | volume = files</t>
        </is>
      </c>
      <c r="AA13" s="19" t="inlineStr">
        <is>
          <t>kubectl create configmap web-config --from-literal=LOG_LEVEL=info</t>
        </is>
      </c>
      <c r="AB13" s="19" t="inlineStr">
        <is>
          <t>kubectl create configmap app --from-file=app.properties</t>
        </is>
      </c>
      <c r="AC13" s="19" t="inlineStr">
        <is>
          <t>valueFrom: { configMapKeyRef: { name: web-config, key: LOG_LEVEL } }</t>
        </is>
      </c>
      <c r="AD13" s="19" t="inlineStr">
        <is>
          <t>immutable: true   // protect a ConfigMap from changes</t>
        </is>
      </c>
      <c r="AE13" s="18" t="inlineStr">
        <is>
          <t>environment variables, volumes, Deployments</t>
        </is>
      </c>
      <c r="AF13" s="18" t="inlineStr">
        <is>
          <t>Secrets, environment variables, volumes, Deployments</t>
        </is>
      </c>
      <c r="AG13" s="18" t="inlineStr">
        <is>
          <t>Config files baked into images | external config services</t>
        </is>
      </c>
      <c r="AH13" s="17" t="n"/>
      <c r="AI13" s="18" t="inlineStr">
        <is>
          <t>Per-environment settings | Feature switches | Config files</t>
        </is>
      </c>
      <c r="AJ13" s="18" t="inlineStr">
        <is>
          <t>A: I changed the ConfigMap but the app still has the old value. | B: Environment variables load at start, so restart the pods.</t>
        </is>
      </c>
      <c r="AK13" s="18" t="inlineStr">
        <is>
          <t>✗ A ConfigMap is a safe place for passwords → ✓ Use Secrets, and ideally an external secret manager</t>
        </is>
      </c>
      <c r="AL13" s="18" t="inlineStr">
        <is>
          <t>ConfigMap vs Secret: ConfigMap is for plain settings, Secret is for sensitive values.</t>
        </is>
      </c>
      <c r="AM13" s="18" t="inlineStr">
        <is>
          <t>Do not store credentials in ConfigMaps.</t>
        </is>
      </c>
      <c r="AN13" s="19" t="inlineStr">
        <is>
          <t>data: { DB_PASSWORD: hunter2 }</t>
        </is>
      </c>
      <c r="AO13" s="19" t="inlineStr">
        <is>
          <t>kind: Secret   # for DB_PASSWORD</t>
        </is>
      </c>
      <c r="AP13" s="18" t="inlineStr">
        <is>
          <t>Plain settings go in ConfigMaps, secrets go elsewhere.</t>
        </is>
      </c>
      <c r="AQ13" s="18" t="inlineStr">
        <is>
          <t>Moving settings into ConfigMaps let one image run unchanged in three environments.</t>
        </is>
      </c>
      <c r="AR13" s="18" t="inlineStr">
        <is>
          <t>An interviewer may ask: What is the difference between a ConfigMap and a Secret?</t>
        </is>
      </c>
      <c r="AS13" s="18" t="inlineStr">
        <is>
          <t>It is like a settings sheet handed over at start.</t>
        </is>
      </c>
      <c r="AT13" s="18" t="inlineStr">
        <is>
          <t>When are environment variables from a ConfigMap read?</t>
        </is>
      </c>
      <c r="AU13" s="18" t="inlineStr">
        <is>
          <t>A) Continuously B) Every minute C) Never D) When the pod starts</t>
        </is>
      </c>
      <c r="AV13" s="18" t="inlineStr">
        <is>
          <t>D</t>
        </is>
      </c>
      <c r="AW13" s="18" t="inlineStr">
        <is>
          <t>Environment variables are fixed at container start.</t>
        </is>
      </c>
      <c r="AX13" s="19" t="inlineStr">
        <is>
          <t>All values in a ConfigMap are stored as ____ → strings</t>
        </is>
      </c>
      <c r="AY13" s="18" t="inlineStr">
        <is>
          <t>Create a ConfigMap with LOG_LEVEL set to info.</t>
        </is>
      </c>
      <c r="AZ13" s="19" t="inlineStr">
        <is>
          <t>kubectl create configmap web-config --from-literal=LOG_LEVEL=info</t>
        </is>
      </c>
      <c r="BA13" s="18" t="inlineStr">
        <is>
          <t>Mount a ConfigMap as a file inside a pod.</t>
        </is>
      </c>
      <c r="BB13" s="19" t="inlineStr">
        <is>
          <t>Why restart pods after changing an environment ConfigMap?</t>
        </is>
      </c>
      <c r="BC13" s="19" t="inlineStr">
        <is>
          <t>Environment variables are read only at start.</t>
        </is>
      </c>
      <c r="BD13" s="17">
        <f>IF(K13="","",REPT("★",K13)&amp;REPT("☆",5-K13)&amp;" ("&amp;K13&amp;"/5)")</f>
        <v/>
      </c>
      <c r="BE13" s="17">
        <f>IF(S13="","","Meaning: "&amp;S13&amp;"  =  ______   (Answer: "&amp;F13&amp;")")</f>
        <v/>
      </c>
      <c r="BF13" s="17" t="inlineStr">
        <is>
          <t>New</t>
        </is>
      </c>
      <c r="BG13" s="17" t="n"/>
      <c r="BH13" s="17" t="n"/>
      <c r="BI13" s="17" t="n"/>
      <c r="BJ13" s="17" t="n"/>
      <c r="BK13" s="17" t="n"/>
      <c r="BL13" s="17" t="n"/>
      <c r="BM13" s="17" t="n"/>
      <c r="BN13" s="17" t="n"/>
    </row>
    <row r="14" ht="148.5" customHeight="1">
      <c r="A14" s="17" t="inlineStr">
        <is>
          <t>K8S-017</t>
        </is>
      </c>
      <c r="B14" s="17" t="inlineStr">
        <is>
          <t>03 Config and Storage</t>
        </is>
      </c>
      <c r="C14" s="17" t="inlineStr">
        <is>
          <t>Intermediate</t>
        </is>
      </c>
      <c r="D14" s="17" t="n">
        <v>17</v>
      </c>
      <c r="E14" s="17" t="inlineStr">
        <is>
          <t>Claude knowledge</t>
        </is>
      </c>
      <c r="F14" s="18" t="inlineStr">
        <is>
          <t>Secrets</t>
        </is>
      </c>
      <c r="G14" s="18" t="inlineStr">
        <is>
          <t>Which object holds sensitive values such as passwords and tokens?</t>
        </is>
      </c>
      <c r="H14" s="17" t="n"/>
      <c r="I14" s="18" t="inlineStr">
        <is>
          <t>Resource</t>
        </is>
      </c>
      <c r="J14" s="18" t="inlineStr">
        <is>
          <t>Very high</t>
        </is>
      </c>
      <c r="K14" s="18" t="n">
        <v>5</v>
      </c>
      <c r="L14" s="18" t="inlineStr">
        <is>
          <t>Credentials must reach pods without being baked into images, so Secrets store them separately with tighter access.</t>
        </is>
      </c>
      <c r="M14" s="18" t="inlineStr">
        <is>
          <t>Remember that Secrets are base64 encoded, not encrypted by default, so enable encryption at rest and restrict access.</t>
        </is>
      </c>
      <c r="N14" s="17" t="n"/>
      <c r="O14" s="18" t="inlineStr">
        <is>
          <t>A Secret is a sealed envelope, but the seal is only strong if the cluster is configured to protect it.</t>
        </is>
      </c>
      <c r="P14" s="18" t="inlineStr">
        <is>
          <t>A pod mounting a secret as a file.</t>
        </is>
      </c>
      <c r="Q14" s="18" t="inlineStr">
        <is>
          <t>The responsibility of handling sensitive values carefully.</t>
        </is>
      </c>
      <c r="R14" s="18" t="inlineStr">
        <is>
          <t>A Secret stores small sensitive values, base64 encoded, which can be injected as environment variables or mounted as files, with access controlled by RBAC.</t>
        </is>
      </c>
      <c r="S14" s="17" t="n"/>
      <c r="T14" s="19" t="inlineStr">
        <is>
          <t>kubectl create secret generic db --from-literal=password='s3cr3t'
# in the pod spec
env:
  - name: DB_PASSWORD
    valueFrom:
      secretKeyRef: { name: db, key: password }
volumes:
  - name: creds
    secret: { secretName: db }</t>
        </is>
      </c>
      <c r="U14" s="19" t="inlineStr">
        <is>
          <t>The pod receives the password as an environment variable or as a file in a mounted folder.</t>
        </is>
      </c>
      <c r="V14" s="18" t="inlineStr">
        <is>
          <t>Base64 is only encoding, so anyone who can read the Secret can decode it. Use encryption at rest, tight RBAC and avoid committing manifests with secret values. Files are safer than environment variables, since variables can leak through logs and child processes. External secret managers can sync values into Secrets. Rotate regularly.</t>
        </is>
      </c>
      <c r="W14" s="18" t="inlineStr">
        <is>
          <t>Store sensitive values in Secrets, restrict who can read them, and prefer an external secret manager.</t>
        </is>
      </c>
      <c r="X14" s="18" t="inlineStr">
        <is>
          <t>A Secret is a sealed envelope, but the seal is only strong if the cluster protects it.</t>
        </is>
      </c>
      <c r="Y14" s="19" t="inlineStr">
        <is>
          <t>kind: Secret / type: Opaque / data: base64</t>
        </is>
      </c>
      <c r="Z14" s="18" t="inlineStr">
        <is>
          <t>data = base64 values | secretKeyRef = one key as variable | secret volume = files</t>
        </is>
      </c>
      <c r="AA14" s="19" t="inlineStr">
        <is>
          <t>kubectl get secret db -o jsonpath='{.data.password}' | base64 -d</t>
        </is>
      </c>
      <c r="AB14" s="19" t="inlineStr">
        <is>
          <t>type: kubernetes.io/tls</t>
        </is>
      </c>
      <c r="AC14" s="19" t="inlineStr">
        <is>
          <t>ExternalSecret syncing from a cloud vault</t>
        </is>
      </c>
      <c r="AD14" s="19" t="inlineStr">
        <is>
          <t>stringData: { password: s3cr3t }   // plain text input, stored encoded</t>
        </is>
      </c>
      <c r="AE14" s="18" t="inlineStr">
        <is>
          <t>RBAC, external secret managers, volumes</t>
        </is>
      </c>
      <c r="AF14" s="18" t="inlineStr">
        <is>
          <t>ConfigMaps, RBAC, image pull secrets, credentials in pipelines</t>
        </is>
      </c>
      <c r="AG14" s="18" t="inlineStr">
        <is>
          <t>External secret managers | sealed secrets</t>
        </is>
      </c>
      <c r="AH14" s="17" t="n"/>
      <c r="AI14" s="18" t="inlineStr">
        <is>
          <t>Database passwords | TLS certificates | API keys</t>
        </is>
      </c>
      <c r="AJ14" s="18" t="inlineStr">
        <is>
          <t>A: Are Secrets encrypted? | B: Only if encryption at rest is enabled, as base64 is just encoding.</t>
        </is>
      </c>
      <c r="AK14" s="18" t="inlineStr">
        <is>
          <t>✗ Base64 means the Secret is encrypted → ✓ Base64 is reversible encoding, not protection</t>
        </is>
      </c>
      <c r="AL14" s="18" t="inlineStr">
        <is>
          <t>Secret vs ConfigMap: both are key-value stores, but a Secret gets extra handling and access control.</t>
        </is>
      </c>
      <c r="AM14" s="18" t="inlineStr">
        <is>
          <t>Do not commit Secret manifests with real values to Git.</t>
        </is>
      </c>
      <c r="AN14" s="19" t="inlineStr">
        <is>
          <t>data: { password: s3cr3t }   # must be base64 in data</t>
        </is>
      </c>
      <c r="AO14" s="19" t="inlineStr">
        <is>
          <t>stringData: { password: s3cr3t }   # or encode the value</t>
        </is>
      </c>
      <c r="AP14" s="18" t="inlineStr">
        <is>
          <t>Base64 hides nothing, so lock it with RBAC.</t>
        </is>
      </c>
      <c r="AQ14" s="18" t="inlineStr">
        <is>
          <t>Syncing secrets from a cloud vault removed passwords from Git manifests.</t>
        </is>
      </c>
      <c r="AR14" s="18" t="inlineStr">
        <is>
          <t>An interviewer may ask: Are Kubernetes Secrets secure by default?</t>
        </is>
      </c>
      <c r="AS14" s="18" t="inlineStr">
        <is>
          <t>It is like an envelope whose seal depends on the cluster.</t>
        </is>
      </c>
      <c r="AT14" s="18" t="inlineStr">
        <is>
          <t>What is base64 in a Secret?</t>
        </is>
      </c>
      <c r="AU14" s="18" t="inlineStr">
        <is>
          <t>A) Hashing B) Strong encryption C) Compression D) Reversible encoding</t>
        </is>
      </c>
      <c r="AV14" s="18" t="inlineStr">
        <is>
          <t>D</t>
        </is>
      </c>
      <c r="AW14" s="18" t="inlineStr">
        <is>
          <t>Anyone can decode it.</t>
        </is>
      </c>
      <c r="AX14" s="19" t="inlineStr">
        <is>
          <t>Protecting Secrets stored in etcd needs encryption at ____ → rest</t>
        </is>
      </c>
      <c r="AY14" s="18" t="inlineStr">
        <is>
          <t>Create a secret called db with a password value.</t>
        </is>
      </c>
      <c r="AZ14" s="19" t="inlineStr">
        <is>
          <t>kubectl create secret generic db --from-literal=password='s3cr3t'</t>
        </is>
      </c>
      <c r="BA14" s="18" t="inlineStr">
        <is>
          <t>List three steps to protect Secrets in a cluster.</t>
        </is>
      </c>
      <c r="BB14" s="19" t="inlineStr">
        <is>
          <t>Why prefer mounted secret files over environment variables?</t>
        </is>
      </c>
      <c r="BC14" s="19" t="inlineStr">
        <is>
          <t>Variables can leak through logs and child processes.</t>
        </is>
      </c>
      <c r="BD14" s="17">
        <f>IF(K14="","",REPT("★",K14)&amp;REPT("☆",5-K14)&amp;" ("&amp;K14&amp;"/5)")</f>
        <v/>
      </c>
      <c r="BE14" s="17">
        <f>IF(S14="","","Meaning: "&amp;S14&amp;"  =  ______   (Answer: "&amp;F14&amp;")")</f>
        <v/>
      </c>
      <c r="BF14" s="17" t="inlineStr">
        <is>
          <t>New</t>
        </is>
      </c>
      <c r="BG14" s="17" t="n"/>
      <c r="BH14" s="17" t="n"/>
      <c r="BI14" s="17" t="n"/>
      <c r="BJ14" s="17" t="n"/>
      <c r="BK14" s="17" t="n"/>
      <c r="BL14" s="17" t="n"/>
      <c r="BM14" s="17" t="n"/>
      <c r="BN14" s="17" t="n"/>
    </row>
    <row r="15" ht="202.5" customHeight="1">
      <c r="A15" s="17" t="inlineStr">
        <is>
          <t>K8S-018</t>
        </is>
      </c>
      <c r="B15" s="17" t="inlineStr">
        <is>
          <t>03 Config and Storage</t>
        </is>
      </c>
      <c r="C15" s="17" t="inlineStr">
        <is>
          <t>Intermediate</t>
        </is>
      </c>
      <c r="D15" s="17" t="n">
        <v>18</v>
      </c>
      <c r="E15" s="17" t="inlineStr">
        <is>
          <t>Claude knowledge</t>
        </is>
      </c>
      <c r="F15" s="18" t="inlineStr">
        <is>
          <t>Volumes</t>
        </is>
      </c>
      <c r="G15" s="18" t="inlineStr">
        <is>
          <t>Which feature gives containers storage beyond their own temporary file system?</t>
        </is>
      </c>
      <c r="H15" s="17" t="n"/>
      <c r="I15" s="18" t="inlineStr">
        <is>
          <t>Resource</t>
        </is>
      </c>
      <c r="J15" s="18" t="inlineStr">
        <is>
          <t>High</t>
        </is>
      </c>
      <c r="K15" s="18" t="n">
        <v>4</v>
      </c>
      <c r="L15" s="18" t="inlineStr">
        <is>
          <t>A container's file system disappears with it, so pods can mount volumes that last longer or are shared between containers.</t>
        </is>
      </c>
      <c r="M15" s="18" t="inlineStr">
        <is>
          <t>Use emptyDir for scratch space, and persistent volumes for data that must survive.</t>
        </is>
      </c>
      <c r="N15" s="17" t="n"/>
      <c r="O15" s="18" t="inlineStr">
        <is>
          <t>A volume is a shelf attached to the pod that keeps things beyond one container's life.</t>
        </is>
      </c>
      <c r="P15" s="18" t="inlineStr">
        <is>
          <t>Two containers in a pod sharing one folder.</t>
        </is>
      </c>
      <c r="Q15" s="18" t="inlineStr">
        <is>
          <t>The comfort of data that survives a container restart.</t>
        </is>
      </c>
      <c r="R15" s="18" t="inlineStr">
        <is>
          <t>A volume is a directory made available to containers in a pod, with types such as emptyDir for temporary shared space, configMap and secret for config, and persistentVolumeClaim for durable storage.</t>
        </is>
      </c>
      <c r="S15" s="17" t="n"/>
      <c r="T15" s="19" t="inlineStr">
        <is>
          <t>spec:
  containers:
    - name: app
      image: acme/app:1.0
      volumeMounts:
        - { name: scratch, mountPath: /tmp/work }
        - { name: data, mountPath: /var/lib/app }
  volumes:
    - name: scratch
      emptyDir: {}
    - name: data
      persistentVolumeClaim: { claimName: app-data }</t>
        </is>
      </c>
      <c r="U15" s="19" t="inlineStr">
        <is>
          <t>The app uses a temporary shared folder that vanishes with the pod and a persistent folder backed by a claim.</t>
        </is>
      </c>
      <c r="V15" s="18" t="inlineStr">
        <is>
          <t>emptyDir lives as long as the pod and is shared between its containers. hostPath mounts a node folder and is risky. Persistent volume claims connect to real storage that outlives pods. Volume mounts can be read-only. Projected volumes combine several sources. Access modes limit how many nodes may mount a volume.</t>
        </is>
      </c>
      <c r="W15" s="18" t="inlineStr">
        <is>
          <t>Declare volumes in the pod and mount them into containers, using claims for durable data.</t>
        </is>
      </c>
      <c r="X15" s="18" t="inlineStr">
        <is>
          <t>A volume is a shelf attached to the pod that keeps things beyond one container's life.</t>
        </is>
      </c>
      <c r="Y15" s="19" t="inlineStr">
        <is>
          <t>volumes: [{ name, type }] and volumeMounts: [{ name, mountPath }]</t>
        </is>
      </c>
      <c r="Z15" s="18" t="inlineStr">
        <is>
          <t>volumes = what exists | volumeMounts = where it appears | emptyDir = temporary</t>
        </is>
      </c>
      <c r="AA15" s="19" t="inlineStr">
        <is>
          <t>emptyDir: { medium: Memory }</t>
        </is>
      </c>
      <c r="AB15" s="19" t="inlineStr">
        <is>
          <t>configMap: { name: web-config }</t>
        </is>
      </c>
      <c r="AC15" s="19" t="inlineStr">
        <is>
          <t>readOnly: true</t>
        </is>
      </c>
      <c r="AD15" s="19" t="inlineStr">
        <is>
          <t>hostPath: { path: /data }   // risky, ties the pod to a node</t>
        </is>
      </c>
      <c r="AE15" s="18" t="inlineStr">
        <is>
          <t>PersistentVolumeClaims, ConfigMaps, sidecars</t>
        </is>
      </c>
      <c r="AF15" s="18" t="inlineStr">
        <is>
          <t>PersistentVolumes and claims, ConfigMaps, StatefulSets, storage classes</t>
        </is>
      </c>
      <c r="AG15" s="18" t="inlineStr">
        <is>
          <t>Object storage from the application</t>
        </is>
      </c>
      <c r="AH15" s="17" t="n"/>
      <c r="AI15" s="18" t="inlineStr">
        <is>
          <t>Shared scratch | Config files | Databases</t>
        </is>
      </c>
      <c r="AJ15" s="18" t="inlineStr">
        <is>
          <t>A: Our data vanished when the pod restarted. | B: It was in the container file system, so use a persistent volume.</t>
        </is>
      </c>
      <c r="AK15" s="18" t="inlineStr">
        <is>
          <t>✗ Data written inside a container survives pod replacement → ✓ Only data on a persistent volume survives</t>
        </is>
      </c>
      <c r="AL15" s="18" t="inlineStr">
        <is>
          <t>emptyDir vs PVC: emptyDir lasts as long as the pod, a claim outlives it.</t>
        </is>
      </c>
      <c r="AM15" s="18" t="inlineStr">
        <is>
          <t>Do not use hostPath for application data.</t>
        </is>
      </c>
      <c r="AN15" s="19" t="inlineStr">
        <is>
          <t># data written to /app/data with no volume</t>
        </is>
      </c>
      <c r="AO15" s="19" t="inlineStr">
        <is>
          <t>volumeMounts: [{ name: data, mountPath: /app/data }]</t>
        </is>
      </c>
      <c r="AP15" s="18" t="inlineStr">
        <is>
          <t>Without a volume, data does not survive.</t>
        </is>
      </c>
      <c r="AQ15" s="18" t="inlineStr">
        <is>
          <t>Mounting a persistent volume kept uploaded files across pod restarts.</t>
        </is>
      </c>
      <c r="AR15" s="18" t="inlineStr">
        <is>
          <t>An interviewer may ask: What is an emptyDir volume?</t>
        </is>
      </c>
      <c r="AS15" s="18" t="inlineStr">
        <is>
          <t>It is like a shelf attached to the pod.</t>
        </is>
      </c>
      <c r="AT15" s="18" t="inlineStr">
        <is>
          <t>How long does an emptyDir volume last?</t>
        </is>
      </c>
      <c r="AU15" s="18" t="inlineStr">
        <is>
          <t>A) Until the node reboots only B) One minute C) As long as the pod D) Forever</t>
        </is>
      </c>
      <c r="AV15" s="18" t="inlineStr">
        <is>
          <t>C</t>
        </is>
      </c>
      <c r="AW15" s="18" t="inlineStr">
        <is>
          <t>It is created and deleted with the pod.</t>
        </is>
      </c>
      <c r="AX15" s="19" t="inlineStr">
        <is>
          <t>Where a volume appears in the container is its mount ____ → path</t>
        </is>
      </c>
      <c r="AY15" s="18" t="inlineStr">
        <is>
          <t>Mount a temporary folder at /tmp/work.</t>
        </is>
      </c>
      <c r="AZ15" s="19" t="inlineStr">
        <is>
          <t>volumes: [{ name: scratch, emptyDir: {} }] and volumeMounts: [{ name: scratch, mountPath: /tmp/work }]</t>
        </is>
      </c>
      <c r="BA15" s="18" t="inlineStr">
        <is>
          <t>Write a pod with two containers sharing an emptyDir.</t>
        </is>
      </c>
      <c r="BB15" s="19" t="inlineStr">
        <is>
          <t>Why is hostPath risky?</t>
        </is>
      </c>
      <c r="BC15" s="19" t="inlineStr">
        <is>
          <t>It ties pods to a node and exposes host files.</t>
        </is>
      </c>
      <c r="BD15" s="17">
        <f>IF(K15="","",REPT("★",K15)&amp;REPT("☆",5-K15)&amp;" ("&amp;K15&amp;"/5)")</f>
        <v/>
      </c>
      <c r="BE15" s="17">
        <f>IF(S15="","","Meaning: "&amp;S15&amp;"  =  ______   (Answer: "&amp;F15&amp;")")</f>
        <v/>
      </c>
      <c r="BF15" s="17" t="inlineStr">
        <is>
          <t>New</t>
        </is>
      </c>
      <c r="BG15" s="17" t="n"/>
      <c r="BH15" s="17" t="n"/>
      <c r="BI15" s="17" t="n"/>
      <c r="BJ15" s="17" t="n"/>
      <c r="BK15" s="17" t="n"/>
      <c r="BL15" s="17" t="n"/>
      <c r="BM15" s="17" t="n"/>
      <c r="BN15" s="17" t="n"/>
    </row>
    <row r="16" ht="135" customHeight="1">
      <c r="A16" s="17" t="inlineStr">
        <is>
          <t>K8S-019</t>
        </is>
      </c>
      <c r="B16" s="17" t="inlineStr">
        <is>
          <t>03 Config and Storage</t>
        </is>
      </c>
      <c r="C16" s="17" t="inlineStr">
        <is>
          <t>Intermediate</t>
        </is>
      </c>
      <c r="D16" s="17" t="n">
        <v>19</v>
      </c>
      <c r="E16" s="17" t="inlineStr">
        <is>
          <t>Claude knowledge</t>
        </is>
      </c>
      <c r="F16" s="18" t="inlineStr">
        <is>
          <t>PersistentVolumes and claims</t>
        </is>
      </c>
      <c r="G16" s="18" t="inlineStr">
        <is>
          <t>Which two objects separate real storage from the request for it?</t>
        </is>
      </c>
      <c r="H16" s="17" t="n"/>
      <c r="I16" s="18" t="inlineStr">
        <is>
          <t>Resource</t>
        </is>
      </c>
      <c r="J16" s="18" t="inlineStr">
        <is>
          <t>High</t>
        </is>
      </c>
      <c r="K16" s="18" t="n">
        <v>5</v>
      </c>
      <c r="L16" s="18" t="inlineStr">
        <is>
          <t>Developers want storage without knowing the infrastructure, so claims request storage and volumes supply it.</t>
        </is>
      </c>
      <c r="M16" s="18" t="inlineStr">
        <is>
          <t>Request storage with a claim and let a storage class provision it automatically.</t>
        </is>
      </c>
      <c r="N16" s="17" t="n"/>
      <c r="O16" s="18" t="inlineStr">
        <is>
          <t>A claim is an order slip for storage, and a persistent volume is the real disk delivered against it.</t>
        </is>
      </c>
      <c r="P16" s="18" t="inlineStr">
        <is>
          <t>A claim linking a pod to a volume backed by a cloud disk.</t>
        </is>
      </c>
      <c r="Q16" s="18" t="inlineStr">
        <is>
          <t>The ease of asking for storage by size.</t>
        </is>
      </c>
      <c r="R16" s="18" t="inlineStr">
        <is>
          <t>A PersistentVolume is a piece of cluster storage, and a PersistentVolumeClaim is a request for storage by size and access mode, which Kubernetes binds to a suitable volume.</t>
        </is>
      </c>
      <c r="S16" s="17" t="n"/>
      <c r="T16" s="19" t="inlineStr">
        <is>
          <t>apiVersion: v1
kind: PersistentVolumeClaim
metadata:
  name: app-data
spec:
  accessModes: ["ReadWriteOnce"]
  storageClassName: standard
  resources:
    requests:
      storage: 10Gi</t>
        </is>
      </c>
      <c r="U16" s="19" t="inlineStr">
        <is>
          <t>A 10Gi volume is provisioned and bound to the claim, which pods can then mount.</t>
        </is>
      </c>
      <c r="V16" s="18" t="inlineStr">
        <is>
          <t>With dynamic provisioning, creating a claim makes the storage class create the underlying disk. Access modes include ReadWriteOnce for one node, ReadOnlyMany and ReadWriteMany for shared access, where the storage supports it. The reclaim policy decides if the data is kept or deleted after the claim is removed. Volume expansion may be allowed by the class.</t>
        </is>
      </c>
      <c r="W16" s="18" t="inlineStr">
        <is>
          <t>Create a claim with a size and class, and mount it in the pod.</t>
        </is>
      </c>
      <c r="X16" s="18" t="inlineStr">
        <is>
          <t>A claim is an order slip for storage, and a persistent volume is the real disk delivered against it.</t>
        </is>
      </c>
      <c r="Y16" s="19" t="inlineStr">
        <is>
          <t>kind: PersistentVolumeClaim / spec: accessModes, resources, storageClassName</t>
        </is>
      </c>
      <c r="Z16" s="18" t="inlineStr">
        <is>
          <t>PVC = request | PV = supplied storage | accessModes = who can mount | reclaimPolicy = after deletion</t>
        </is>
      </c>
      <c r="AA16" s="19" t="inlineStr">
        <is>
          <t>kubectl get pvc,pv</t>
        </is>
      </c>
      <c r="AB16" s="19" t="inlineStr">
        <is>
          <t>persistentVolumeReclaimPolicy: Retain</t>
        </is>
      </c>
      <c r="AC16" s="19" t="inlineStr">
        <is>
          <t>allowVolumeExpansion: true</t>
        </is>
      </c>
      <c r="AD16" s="19" t="inlineStr">
        <is>
          <t>volumeMode: Block   // raw block device instead of a file system</t>
        </is>
      </c>
      <c r="AE16" s="18" t="inlineStr">
        <is>
          <t>StatefulSets, storage classes, backups</t>
        </is>
      </c>
      <c r="AF16" s="18" t="inlineStr">
        <is>
          <t>volumes, storage classes, StatefulSets, backups</t>
        </is>
      </c>
      <c r="AG16" s="18" t="inlineStr">
        <is>
          <t>Object storage | managed databases</t>
        </is>
      </c>
      <c r="AH16" s="17" t="n"/>
      <c r="AI16" s="18" t="inlineStr">
        <is>
          <t>Databases | Uploads | Stateful apps</t>
        </is>
      </c>
      <c r="AJ16" s="18" t="inlineStr">
        <is>
          <t>A: The claim is stuck in pending. | B: No storage class could provision it, so check the class and capacity.</t>
        </is>
      </c>
      <c r="AK16" s="18" t="inlineStr">
        <is>
          <t>✗ Deleting a pod deletes its persistent volume → ✓ The claim and volume remain until you delete the claim, and the reclaim policy then decides</t>
        </is>
      </c>
      <c r="AL16" s="18" t="inlineStr">
        <is>
          <t>PV vs PVC: the volume is the storage, the claim is the request.</t>
        </is>
      </c>
      <c r="AM16" s="18" t="inlineStr">
        <is>
          <t>Do not delete claims holding data without a backup.</t>
        </is>
      </c>
      <c r="AN16" s="19" t="inlineStr">
        <is>
          <t>accessModes: ["ReadWriteMany"]   # on disk storage that supports one node only</t>
        </is>
      </c>
      <c r="AO16" s="19" t="inlineStr">
        <is>
          <t>accessModes: ["ReadWriteOnce"]</t>
        </is>
      </c>
      <c r="AP16" s="18" t="inlineStr">
        <is>
          <t>The claim asks and the volume supplies.</t>
        </is>
      </c>
      <c r="AQ16" s="18" t="inlineStr">
        <is>
          <t>Reading the claim events showed a missing storage class behind a pending database.</t>
        </is>
      </c>
      <c r="AR16" s="18" t="inlineStr">
        <is>
          <t>An interviewer may ask: What does the reclaim policy do?</t>
        </is>
      </c>
      <c r="AS16" s="18" t="inlineStr">
        <is>
          <t>It is like an order slip and a delivered disk.</t>
        </is>
      </c>
      <c r="AT16" s="18" t="inlineStr">
        <is>
          <t>What does a PersistentVolumeClaim do?</t>
        </is>
      </c>
      <c r="AU16" s="18" t="inlineStr">
        <is>
          <t>A) Stores secrets B) Requests storage C) Runs a pod D) Defines a node</t>
        </is>
      </c>
      <c r="AV16" s="18" t="inlineStr">
        <is>
          <t>B</t>
        </is>
      </c>
      <c r="AW16" s="18" t="inlineStr">
        <is>
          <t>It asks for size and access mode.</t>
        </is>
      </c>
      <c r="AX16" s="19" t="inlineStr">
        <is>
          <t>The access mode for a single node writer is ReadWrite____ → Once</t>
        </is>
      </c>
      <c r="AY16" s="18" t="inlineStr">
        <is>
          <t>Request 10Gi of single-node storage.</t>
        </is>
      </c>
      <c r="AZ16" s="19" t="inlineStr">
        <is>
          <t>kind: PersistentVolumeClaim with accessModes ReadWriteOnce and requests storage 10Gi</t>
        </is>
      </c>
      <c r="BA16" s="18" t="inlineStr">
        <is>
          <t>Write a claim for 20Gi of single-node storage.</t>
        </is>
      </c>
      <c r="BB16" s="19" t="inlineStr">
        <is>
          <t>What does a claim ask for?</t>
        </is>
      </c>
      <c r="BC16" s="19" t="inlineStr">
        <is>
          <t>Storage of a given size and access mode.</t>
        </is>
      </c>
      <c r="BD16" s="17">
        <f>IF(K16="","",REPT("★",K16)&amp;REPT("☆",5-K16)&amp;" ("&amp;K16&amp;"/5)")</f>
        <v/>
      </c>
      <c r="BE16" s="17">
        <f>IF(S16="","","Meaning: "&amp;S16&amp;"  =  ______   (Answer: "&amp;F16&amp;")")</f>
        <v/>
      </c>
      <c r="BF16" s="17" t="inlineStr">
        <is>
          <t>New</t>
        </is>
      </c>
      <c r="BG16" s="17" t="n"/>
      <c r="BH16" s="17" t="n"/>
      <c r="BI16" s="17" t="n"/>
      <c r="BJ16" s="17" t="n"/>
      <c r="BK16" s="17" t="n"/>
      <c r="BL16" s="17" t="n"/>
      <c r="BM16" s="17" t="n"/>
      <c r="BN16" s="17" t="n"/>
    </row>
    <row r="17" ht="135" customHeight="1">
      <c r="A17" s="17" t="inlineStr">
        <is>
          <t>K8S-020</t>
        </is>
      </c>
      <c r="B17" s="17" t="inlineStr">
        <is>
          <t>03 Config and Storage</t>
        </is>
      </c>
      <c r="C17" s="17" t="inlineStr">
        <is>
          <t>Intermediate</t>
        </is>
      </c>
      <c r="D17" s="17" t="n">
        <v>20</v>
      </c>
      <c r="E17" s="17" t="inlineStr">
        <is>
          <t>Claude knowledge</t>
        </is>
      </c>
      <c r="F17" s="18" t="inlineStr">
        <is>
          <t>Storage classes</t>
        </is>
      </c>
      <c r="G17" s="18" t="inlineStr">
        <is>
          <t>Which objects describe the kinds of storage a cluster can provide on demand?</t>
        </is>
      </c>
      <c r="H17" s="17" t="n"/>
      <c r="I17" s="18" t="inlineStr">
        <is>
          <t>Resource</t>
        </is>
      </c>
      <c r="J17" s="18" t="inlineStr">
        <is>
          <t>Medium</t>
        </is>
      </c>
      <c r="K17" s="18" t="n">
        <v>4</v>
      </c>
      <c r="L17" s="18" t="inlineStr">
        <is>
          <t>Different workloads need fast or cheap disks, so storage classes name the types and how to create them.</t>
        </is>
      </c>
      <c r="M17" s="18" t="inlineStr">
        <is>
          <t>Mark one class as default, and choose classes by speed and cost for each workload.</t>
        </is>
      </c>
      <c r="N17" s="17" t="n"/>
      <c r="O17" s="18" t="inlineStr">
        <is>
          <t>A storage class is a menu of disk types with a dish to order for each need.</t>
        </is>
      </c>
      <c r="P17" s="18" t="inlineStr">
        <is>
          <t>Classes named standard and fast, each pointing to a different disk type.</t>
        </is>
      </c>
      <c r="Q17" s="18" t="inlineStr">
        <is>
          <t>The ease of choosing storage by name.</t>
        </is>
      </c>
      <c r="R17" s="18" t="inlineStr">
        <is>
          <t>A StorageClass names a provisioner and its parameters, such as disk type and reclaim policy, so claims can request storage that is created automatically.</t>
        </is>
      </c>
      <c r="S17" s="17" t="n"/>
      <c r="T17" s="19" t="inlineStr">
        <is>
          <t>apiVersion: storage.k8s.io/v1
kind: StorageClass
metadata:
  name: fast
provisioner: ebs.csi.aws.com
parameters:
  type: gp3
reclaimPolicy: Delete
allowVolumeExpansion: true
volumeBindingMode: WaitForFirstConsumer</t>
        </is>
      </c>
      <c r="U17" s="19" t="inlineStr">
        <is>
          <t>Claims that name the class fast get gp3 disks created on demand in the right zone.</t>
        </is>
      </c>
      <c r="V17" s="18" t="inlineStr">
        <is>
          <t>The provisioner is a CSI driver for the cloud or storage system. WaitForFirstConsumer delays creation until a pod is placed, so the disk is made in the same zone. One class can be the default for claims that name none. The reclaim policy sets what happens to the disk after deletion of the claim. Parameters differ by provider.</t>
        </is>
      </c>
      <c r="W17" s="18" t="inlineStr">
        <is>
          <t>Define classes for the storage types you offer, and let claims pick one by name.</t>
        </is>
      </c>
      <c r="X17" s="18" t="inlineStr">
        <is>
          <t>A storage class is a menu of disk types with a dish to order for each need.</t>
        </is>
      </c>
      <c r="Y17" s="19" t="inlineStr">
        <is>
          <t>kind: StorageClass / provisioner / parameters</t>
        </is>
      </c>
      <c r="Z17" s="18" t="inlineStr">
        <is>
          <t>provisioner = who creates | parameters = disk settings | volumeBindingMode = when to create</t>
        </is>
      </c>
      <c r="AA17" s="19" t="inlineStr">
        <is>
          <t>kubectl get storageclass</t>
        </is>
      </c>
      <c r="AB17" s="19" t="inlineStr">
        <is>
          <t>storageclass.kubernetes.io/is-default-class: "true"</t>
        </is>
      </c>
      <c r="AC17" s="19" t="inlineStr">
        <is>
          <t>storageClassName: fast</t>
        </is>
      </c>
      <c r="AD17" s="19" t="inlineStr">
        <is>
          <t>reclaimPolicy: Retain   // keep the disk after the claim is deleted</t>
        </is>
      </c>
      <c r="AE17" s="18" t="inlineStr">
        <is>
          <t>PersistentVolumeClaims, StatefulSets, CSI drivers</t>
        </is>
      </c>
      <c r="AF17" s="18" t="inlineStr">
        <is>
          <t>PersistentVolumes and claims, StatefulSets, volumes, cloud basics</t>
        </is>
      </c>
      <c r="AG17" s="18" t="inlineStr">
        <is>
          <t>Manually created volumes</t>
        </is>
      </c>
      <c r="AH17" s="17" t="n"/>
      <c r="AI17" s="18" t="inlineStr">
        <is>
          <t>Cloud clusters | Databases | Cost control</t>
        </is>
      </c>
      <c r="AJ17" s="18" t="inlineStr">
        <is>
          <t>A: Which disk type does the claim get? | B: Whatever the storage class says, such as gp3.</t>
        </is>
      </c>
      <c r="AK17" s="18" t="inlineStr">
        <is>
          <t>✗ All storage in a cluster is the same → ✓ Classes differ in speed, cost, zone and features</t>
        </is>
      </c>
      <c r="AL17" s="17" t="n"/>
      <c r="AM17" s="18" t="inlineStr">
        <is>
          <t>Do not use a Delete policy for data you must keep.</t>
        </is>
      </c>
      <c r="AN17" s="19" t="inlineStr">
        <is>
          <t>reclaimPolicy: Delete   # for irreplaceable data</t>
        </is>
      </c>
      <c r="AO17" s="19" t="inlineStr">
        <is>
          <t>reclaimPolicy: Retain</t>
        </is>
      </c>
      <c r="AP17" s="18" t="inlineStr">
        <is>
          <t>Class chooses the disk, policy decides its fate.</t>
        </is>
      </c>
      <c r="AQ17" s="18" t="inlineStr">
        <is>
          <t>A fast storage class for databases and a cheap one for logs cut the monthly bill.</t>
        </is>
      </c>
      <c r="AR17" s="18" t="inlineStr">
        <is>
          <t>An interviewer may ask: Why use WaitForFirstConsumer?</t>
        </is>
      </c>
      <c r="AS17" s="18" t="inlineStr">
        <is>
          <t>It is like a menu of disk types.</t>
        </is>
      </c>
      <c r="AT17" s="18" t="inlineStr">
        <is>
          <t>What does a StorageClass name?</t>
        </is>
      </c>
      <c r="AU17" s="18" t="inlineStr">
        <is>
          <t>A) A provisioner and parameters B) A namespace C) A node D) A pod</t>
        </is>
      </c>
      <c r="AV17" s="18" t="inlineStr">
        <is>
          <t>A</t>
        </is>
      </c>
      <c r="AW17" s="18" t="inlineStr">
        <is>
          <t>It tells Kubernetes how to create storage.</t>
        </is>
      </c>
      <c r="AX17" s="19" t="inlineStr">
        <is>
          <t>The plug-in standard used by provisioners is called ____ → CSI</t>
        </is>
      </c>
      <c r="AY17" s="18" t="inlineStr">
        <is>
          <t>List the storage classes in the cluster.</t>
        </is>
      </c>
      <c r="AZ17" s="19" t="inlineStr">
        <is>
          <t>kubectl get storageclass</t>
        </is>
      </c>
      <c r="BA17" s="18" t="inlineStr">
        <is>
          <t>Describe when you would use a fast class and a cheap class.</t>
        </is>
      </c>
      <c r="BB17" s="19" t="inlineStr">
        <is>
          <t>Why delay volume creation until a pod is placed?</t>
        </is>
      </c>
      <c r="BC17" s="19" t="inlineStr">
        <is>
          <t>So the disk is created in the same zone as the pod.</t>
        </is>
      </c>
      <c r="BD17" s="17">
        <f>IF(K17="","",REPT("★",K17)&amp;REPT("☆",5-K17)&amp;" ("&amp;K17&amp;"/5)")</f>
        <v/>
      </c>
      <c r="BE17" s="17">
        <f>IF(S17="","","Meaning: "&amp;S17&amp;"  =  ______   (Answer: "&amp;F17&amp;")")</f>
        <v/>
      </c>
      <c r="BF17" s="17" t="inlineStr">
        <is>
          <t>New</t>
        </is>
      </c>
      <c r="BG17" s="17" t="n"/>
      <c r="BH17" s="17" t="n"/>
      <c r="BI17" s="17" t="n"/>
      <c r="BJ17" s="17" t="n"/>
      <c r="BK17" s="17" t="n"/>
      <c r="BL17" s="17" t="n"/>
      <c r="BM17" s="17" t="n"/>
      <c r="BN17" s="17" t="n"/>
    </row>
    <row r="18" ht="189" customHeight="1">
      <c r="A18" s="17" t="inlineStr">
        <is>
          <t>K8S-021</t>
        </is>
      </c>
      <c r="B18" s="17" t="inlineStr">
        <is>
          <t>03 Config and Storage</t>
        </is>
      </c>
      <c r="C18" s="17" t="inlineStr">
        <is>
          <t>Beginner</t>
        </is>
      </c>
      <c r="D18" s="17" t="n">
        <v>21</v>
      </c>
      <c r="E18" s="17" t="inlineStr">
        <is>
          <t>Claude knowledge</t>
        </is>
      </c>
      <c r="F18" s="18" t="inlineStr">
        <is>
          <t>Environment variables in pods</t>
        </is>
      </c>
      <c r="G18" s="18" t="inlineStr">
        <is>
          <t>How do you give containers settings through environment variables?</t>
        </is>
      </c>
      <c r="H18" s="17" t="n"/>
      <c r="I18" s="18" t="inlineStr">
        <is>
          <t>Resource</t>
        </is>
      </c>
      <c r="J18" s="18" t="inlineStr">
        <is>
          <t>Very high</t>
        </is>
      </c>
      <c r="K18" s="18" t="n">
        <v>5</v>
      </c>
      <c r="L18" s="18" t="inlineStr">
        <is>
          <t>Twelve-factor apps read settings from the environment, so pods can inject variables from literals, ConfigMaps, Secrets and pod fields.</t>
        </is>
      </c>
      <c r="M18" s="18" t="inlineStr">
        <is>
          <t>Source values from ConfigMaps and Secrets instead of hard-coding them in the pod spec.</t>
        </is>
      </c>
      <c r="N18" s="17" t="n"/>
      <c r="O18" s="18" t="inlineStr">
        <is>
          <t>Environment variables are notes pinned inside the container before it starts.</t>
        </is>
      </c>
      <c r="P18" s="18" t="inlineStr">
        <is>
          <t>A pod spec listing variables with different sources.</t>
        </is>
      </c>
      <c r="Q18" s="18" t="inlineStr">
        <is>
          <t>The clarity of seeing where each setting comes from.</t>
        </is>
      </c>
      <c r="R18" s="18" t="inlineStr">
        <is>
          <t>The env field sets variables from literal values, ConfigMap keys, Secret keys or pod information through the downward API, and envFrom loads whole ConfigMaps or Secrets.</t>
        </is>
      </c>
      <c r="S18" s="17" t="n"/>
      <c r="T18" s="19" t="inlineStr">
        <is>
          <t>env:
  - name: LOG_LEVEL
    value: "info"
  - name: DB_HOST
    valueFrom:
      configMapKeyRef: { name: web-config, key: db_host }
  - name: DB_PASSWORD
    valueFrom:
      secretKeyRef: { name: db, key: password }
  - name: POD_NAME
    valueFrom:
      fieldRef: { fieldPath: metadata.name }</t>
        </is>
      </c>
      <c r="U18" s="19" t="inlineStr">
        <is>
          <t>The container starts with LOG_LEVEL, DB_HOST, DB_PASSWORD and POD_NAME set from their sources.</t>
        </is>
      </c>
      <c r="V18" s="18" t="inlineStr">
        <is>
          <t>Values are fixed when the container starts, so changes need a restart. The downward API exposes information such as the pod name and namespace. Variables can refer to others using dollar and parentheses. Be careful with secrets in variables, since they may appear in logs or process listings. Check for a variable with kubectl exec and env.</t>
        </is>
      </c>
      <c r="W18" s="18" t="inlineStr">
        <is>
          <t>Use env with value or valueFrom, and restart pods after changes.</t>
        </is>
      </c>
      <c r="X18" s="18" t="inlineStr">
        <is>
          <t>Environment variables are notes pinned inside the container before it starts.</t>
        </is>
      </c>
      <c r="Y18" s="19" t="inlineStr">
        <is>
          <t>env: [{ name, value | valueFrom }]</t>
        </is>
      </c>
      <c r="Z18" s="18" t="inlineStr">
        <is>
          <t>value = literal | configMapKeyRef = from ConfigMap | secretKeyRef = from Secret | fieldRef = pod info</t>
        </is>
      </c>
      <c r="AA18" s="19" t="inlineStr">
        <is>
          <t>kubectl exec web-1 -- env</t>
        </is>
      </c>
      <c r="AB18" s="19" t="inlineStr">
        <is>
          <t>envFrom: [{ configMapRef: { name: web-config } }]</t>
        </is>
      </c>
      <c r="AC18" s="19" t="inlineStr">
        <is>
          <t>fieldRef: { fieldPath: status.podIP }</t>
        </is>
      </c>
      <c r="AD18" s="19" t="inlineStr">
        <is>
          <t>resourceFieldRef: { resource: limits.memory }   // expose limits</t>
        </is>
      </c>
      <c r="AE18" s="18" t="inlineStr">
        <is>
          <t>ConfigMaps, Secrets, twelve-factor apps</t>
        </is>
      </c>
      <c r="AF18" s="18" t="inlineStr">
        <is>
          <t>ConfigMaps, Secrets, Deployments, environment variables in Node</t>
        </is>
      </c>
      <c r="AG18" s="18" t="inlineStr">
        <is>
          <t>Mounted config files</t>
        </is>
      </c>
      <c r="AH18" s="17" t="n"/>
      <c r="AI18" s="18" t="inlineStr">
        <is>
          <t>Application settings | Credentials | Pod metadata</t>
        </is>
      </c>
      <c r="AJ18" s="18" t="inlineStr">
        <is>
          <t>A: How does the app know its pod name? | B: Inject it with fieldRef from the downward API.</t>
        </is>
      </c>
      <c r="AK18" s="18" t="inlineStr">
        <is>
          <t>✗ Changing a ConfigMap updates env variables in running pods → ✓ Variables are read at start, so pods must restart</t>
        </is>
      </c>
      <c r="AL18" s="18" t="inlineStr">
        <is>
          <t>env vs envFrom: env sets named variables, envFrom imports all keys.</t>
        </is>
      </c>
      <c r="AM18" s="18" t="inlineStr">
        <is>
          <t>Do not print environment variables with secrets in logs.</t>
        </is>
      </c>
      <c r="AN18" s="19" t="inlineStr">
        <is>
          <t>env: [{ name: DB_PASSWORD, value: "hunter2" }]</t>
        </is>
      </c>
      <c r="AO18" s="19" t="inlineStr">
        <is>
          <t>env: [{ name: DB_PASSWORD, valueFrom: { secretKeyRef: { name: db, key: password } } }]</t>
        </is>
      </c>
      <c r="AP18" s="18" t="inlineStr">
        <is>
          <t>Read from sources, never type secrets.</t>
        </is>
      </c>
      <c r="AQ18" s="18" t="inlineStr">
        <is>
          <t>Sourcing variables from Secrets removed passwords from the Deployment file.</t>
        </is>
      </c>
      <c r="AR18" s="18" t="inlineStr">
        <is>
          <t>An interviewer may ask: How do you pass the pod name to the application?</t>
        </is>
      </c>
      <c r="AS18" s="18" t="inlineStr">
        <is>
          <t>It is like notes pinned inside the container.</t>
        </is>
      </c>
      <c r="AT18" s="18" t="inlineStr">
        <is>
          <t>Which field loads every key of a ConfigMap as variables?</t>
        </is>
      </c>
      <c r="AU18" s="18" t="inlineStr">
        <is>
          <t>A) labels B) envFrom C) env D) args</t>
        </is>
      </c>
      <c r="AV18" s="18" t="inlineStr">
        <is>
          <t>B</t>
        </is>
      </c>
      <c r="AW18" s="18" t="inlineStr">
        <is>
          <t>envFrom imports all keys.</t>
        </is>
      </c>
      <c r="AX18" s="19" t="inlineStr">
        <is>
          <t>The feature that exposes pod information to the container is the ____ API → downward</t>
        </is>
      </c>
      <c r="AY18" s="18" t="inlineStr">
        <is>
          <t>Set LOG_LEVEL to info for a container.</t>
        </is>
      </c>
      <c r="AZ18" s="19" t="inlineStr">
        <is>
          <t>env: [{ name: LOG_LEVEL, value: "info" }]</t>
        </is>
      </c>
      <c r="BA18" s="18" t="inlineStr">
        <is>
          <t>Write env entries from a ConfigMap and a Secret.</t>
        </is>
      </c>
      <c r="BB18" s="19" t="inlineStr">
        <is>
          <t>When are env variables read?</t>
        </is>
      </c>
      <c r="BC18" s="19" t="inlineStr">
        <is>
          <t>When the container starts.</t>
        </is>
      </c>
      <c r="BD18" s="17">
        <f>IF(K18="","",REPT("★",K18)&amp;REPT("☆",5-K18)&amp;" ("&amp;K18&amp;"/5)")</f>
        <v/>
      </c>
      <c r="BE18" s="17">
        <f>IF(S18="","","Meaning: "&amp;S18&amp;"  =  ______   (Answer: "&amp;F18&amp;")")</f>
        <v/>
      </c>
      <c r="BF18" s="17" t="inlineStr">
        <is>
          <t>New</t>
        </is>
      </c>
      <c r="BG18" s="17" t="n"/>
      <c r="BH18" s="17" t="n"/>
      <c r="BI18" s="17" t="n"/>
      <c r="BJ18" s="17" t="n"/>
      <c r="BK18" s="17" t="n"/>
      <c r="BL18" s="17" t="n"/>
      <c r="BM18" s="17" t="n"/>
      <c r="BN18" s="17" t="n"/>
    </row>
    <row r="19" ht="148.5" customHeight="1">
      <c r="A19" s="17" t="inlineStr">
        <is>
          <t>K8S-022</t>
        </is>
      </c>
      <c r="B19" s="17" t="inlineStr">
        <is>
          <t>04 Networking</t>
        </is>
      </c>
      <c r="C19" s="17" t="inlineStr">
        <is>
          <t>Beginner</t>
        </is>
      </c>
      <c r="D19" s="17" t="n">
        <v>22</v>
      </c>
      <c r="E19" s="17" t="inlineStr">
        <is>
          <t>Claude knowledge</t>
        </is>
      </c>
      <c r="F19" s="18" t="inlineStr">
        <is>
          <t>Services</t>
        </is>
      </c>
      <c r="G19" s="18" t="inlineStr">
        <is>
          <t>Which object gives pods a stable address and load balances across them?</t>
        </is>
      </c>
      <c r="H19" s="17" t="n"/>
      <c r="I19" s="18" t="inlineStr">
        <is>
          <t>Resource</t>
        </is>
      </c>
      <c r="J19" s="18" t="inlineStr">
        <is>
          <t>Very high</t>
        </is>
      </c>
      <c r="K19" s="18" t="n">
        <v>5</v>
      </c>
      <c r="L19" s="18" t="inlineStr">
        <is>
          <t>Pods come and go with changing IPs, so a Service provides one fixed name and address in front of a changing set of pods.</t>
        </is>
      </c>
      <c r="M19" s="18" t="inlineStr">
        <is>
          <t>Use ClusterIP for internal traffic, and expose to the outside through an Ingress or LoadBalancer.</t>
        </is>
      </c>
      <c r="N19" s="17" t="n"/>
      <c r="O19" s="18" t="inlineStr">
        <is>
          <t>A Service is a reception desk with one phone number that forwards calls to whoever is on shift.</t>
        </is>
      </c>
      <c r="P19" s="18" t="inlineStr">
        <is>
          <t>One stable address spreading traffic to three pods.</t>
        </is>
      </c>
      <c r="Q19" s="18" t="inlineStr">
        <is>
          <t>The relief of an address that never changes.</t>
        </is>
      </c>
      <c r="R19" s="18" t="inlineStr">
        <is>
          <t>A Service selects pods by label and exposes them on a stable virtual IP and DNS name, in types ClusterIP, NodePort and LoadBalancer.</t>
        </is>
      </c>
      <c r="S19" s="17" t="n"/>
      <c r="T19" s="19" t="inlineStr">
        <is>
          <t>apiVersion: v1
kind: Service
metadata:
  name: web
spec:
  type: ClusterIP
  selector:
    app: web
  ports:
    - port: 80
      targetPort: 8080</t>
        </is>
      </c>
      <c r="U19" s="19" t="inlineStr">
        <is>
          <t>Traffic to web on port 80 inside the cluster reaches port 8080 of any ready pod labelled app web.</t>
        </is>
      </c>
      <c r="V19" s="18" t="inlineStr">
        <is>
          <t>ClusterIP is reachable only inside the cluster. NodePort opens the same port on every node. LoadBalancer asks the cloud for an external load balancer. Only ready pods receive traffic. Port is the Service port and targetPort is the container port. A headless Service, with clusterIP None, returns pod addresses directly.</t>
        </is>
      </c>
      <c r="W19" s="18" t="inlineStr">
        <is>
          <t>A Service gives a stable name and balances traffic across matching ready pods.</t>
        </is>
      </c>
      <c r="X19" s="18" t="inlineStr">
        <is>
          <t>A Service is a reception desk with one phone number that forwards calls to whoever is on shift.</t>
        </is>
      </c>
      <c r="Y19" s="19" t="inlineStr">
        <is>
          <t>kind: Service / spec: type, selector, ports</t>
        </is>
      </c>
      <c r="Z19" s="18" t="inlineStr">
        <is>
          <t>selector = which pods | port = Service port | targetPort = container port | type = exposure</t>
        </is>
      </c>
      <c r="AA19" s="19" t="inlineStr">
        <is>
          <t>kubectl expose deployment web --port=80 --target-port=8080</t>
        </is>
      </c>
      <c r="AB19" s="19" t="inlineStr">
        <is>
          <t>type: LoadBalancer</t>
        </is>
      </c>
      <c r="AC19" s="19" t="inlineStr">
        <is>
          <t>kubectl get endpointslices -l kubernetes.io/service-name=web</t>
        </is>
      </c>
      <c r="AD19" s="19" t="inlineStr">
        <is>
          <t>clusterIP: None   // headless Service</t>
        </is>
      </c>
      <c r="AE19" s="18" t="inlineStr">
        <is>
          <t>Deployments, Ingress, DNS</t>
        </is>
      </c>
      <c r="AF19" s="18" t="inlineStr">
        <is>
          <t>labels and selectors, Ingress, DNS in the cluster, probes</t>
        </is>
      </c>
      <c r="AG19" s="18" t="inlineStr">
        <is>
          <t>Ingress | service mesh</t>
        </is>
      </c>
      <c r="AH19" s="17" t="n"/>
      <c r="AI19" s="18" t="inlineStr">
        <is>
          <t>Every networked app | Internal APIs | Databases</t>
        </is>
      </c>
      <c r="AJ19" s="18" t="inlineStr">
        <is>
          <t>A: Requests to the Service time out. | B: Check that endpoints exist, so the selector matches ready pods.</t>
        </is>
      </c>
      <c r="AK19" s="18" t="inlineStr">
        <is>
          <t>✗ A Service type of NodePort is the best way to expose production apps → ✓ Ingress or a LoadBalancer is usually better</t>
        </is>
      </c>
      <c r="AL19" s="18" t="inlineStr">
        <is>
          <t>port vs targetPort: port is the Service side, targetPort is the container side.</t>
        </is>
      </c>
      <c r="AM19" s="18" t="inlineStr">
        <is>
          <t>Do not point a selector at labels the pods do not have.</t>
        </is>
      </c>
      <c r="AN19" s="19" t="inlineStr">
        <is>
          <t>selector: { app: web-app }</t>
        </is>
      </c>
      <c r="AO19" s="19" t="inlineStr">
        <is>
          <t>selector: { app: web }</t>
        </is>
      </c>
      <c r="AP19" s="18" t="inlineStr">
        <is>
          <t>Port is the front door, targetPort is the room.</t>
        </is>
      </c>
      <c r="AQ19" s="18" t="inlineStr">
        <is>
          <t>Checking endpoints showed that a label typo left a Service with no pods.</t>
        </is>
      </c>
      <c r="AR19" s="18" t="inlineStr">
        <is>
          <t>An interviewer may ask: What are the Service types?</t>
        </is>
      </c>
      <c r="AS19" s="18" t="inlineStr">
        <is>
          <t>It is like a reception desk with one phone number.</t>
        </is>
      </c>
      <c r="AT19" s="18" t="inlineStr">
        <is>
          <t>Which Service type is reachable only inside the cluster?</t>
        </is>
      </c>
      <c r="AU19" s="18" t="inlineStr">
        <is>
          <t>A) NodePort B) LoadBalancer C) ClusterIP D) Ingress</t>
        </is>
      </c>
      <c r="AV19" s="18" t="inlineStr">
        <is>
          <t>C</t>
        </is>
      </c>
      <c r="AW19" s="18" t="inlineStr">
        <is>
          <t>ClusterIP is internal by default.</t>
        </is>
      </c>
      <c r="AX19" s="19" t="inlineStr">
        <is>
          <t>The list of pod addresses behind a Service is its ____ → endpoints</t>
        </is>
      </c>
      <c r="AY19" s="18" t="inlineStr">
        <is>
          <t>Expose the deployment web on port 80.</t>
        </is>
      </c>
      <c r="AZ19" s="19" t="inlineStr">
        <is>
          <t>kubectl expose deployment web --port=80</t>
        </is>
      </c>
      <c r="BA19" s="18" t="inlineStr">
        <is>
          <t>Write a Service sending port 80 to container port 3000.</t>
        </is>
      </c>
      <c r="BB19" s="19" t="inlineStr">
        <is>
          <t>Which pods receive traffic from a Service?</t>
        </is>
      </c>
      <c r="BC19" s="19" t="inlineStr">
        <is>
          <t>Ready pods whose labels match the selector.</t>
        </is>
      </c>
      <c r="BD19" s="17">
        <f>IF(K19="","",REPT("★",K19)&amp;REPT("☆",5-K19)&amp;" ("&amp;K19&amp;"/5)")</f>
        <v/>
      </c>
      <c r="BE19" s="17">
        <f>IF(S19="","","Meaning: "&amp;S19&amp;"  =  ______   (Answer: "&amp;F19&amp;")")</f>
        <v/>
      </c>
      <c r="BF19" s="17" t="inlineStr">
        <is>
          <t>New</t>
        </is>
      </c>
      <c r="BG19" s="17" t="n"/>
      <c r="BH19" s="17" t="n"/>
      <c r="BI19" s="17" t="n"/>
      <c r="BJ19" s="17" t="n"/>
      <c r="BK19" s="17" t="n"/>
      <c r="BL19" s="17" t="n"/>
      <c r="BM19" s="17" t="n"/>
      <c r="BN19" s="17" t="n"/>
    </row>
    <row r="20" ht="297" customHeight="1">
      <c r="A20" s="17" t="inlineStr">
        <is>
          <t>K8S-023</t>
        </is>
      </c>
      <c r="B20" s="17" t="inlineStr">
        <is>
          <t>04 Networking</t>
        </is>
      </c>
      <c r="C20" s="17" t="inlineStr">
        <is>
          <t>Intermediate</t>
        </is>
      </c>
      <c r="D20" s="17" t="n">
        <v>23</v>
      </c>
      <c r="E20" s="17" t="inlineStr">
        <is>
          <t>Claude knowledge</t>
        </is>
      </c>
      <c r="F20" s="18" t="inlineStr">
        <is>
          <t>Ingress</t>
        </is>
      </c>
      <c r="G20" s="18" t="inlineStr">
        <is>
          <t>Which object routes outside HTTP traffic to Services by host and path?</t>
        </is>
      </c>
      <c r="H20" s="17" t="n"/>
      <c r="I20" s="18" t="inlineStr">
        <is>
          <t>Resource</t>
        </is>
      </c>
      <c r="J20" s="18" t="inlineStr">
        <is>
          <t>Very high</t>
        </is>
      </c>
      <c r="K20" s="18" t="n">
        <v>5</v>
      </c>
      <c r="L20" s="18" t="inlineStr">
        <is>
          <t>One load balancer per Service is costly, so Ingress shares one entry point and routes by rules.</t>
        </is>
      </c>
      <c r="M20" s="18" t="inlineStr">
        <is>
          <t>Install an ingress controller first, since the Ingress object alone does nothing.</t>
        </is>
      </c>
      <c r="N20" s="17" t="n"/>
      <c r="O20" s="18" t="inlineStr">
        <is>
          <t>Ingress is the building's front desk that directs visitors to the right office by name.</t>
        </is>
      </c>
      <c r="P20" s="18" t="inlineStr">
        <is>
          <t>One entry point splitting to several Services by path.</t>
        </is>
      </c>
      <c r="Q20" s="18" t="inlineStr">
        <is>
          <t>The tidiness of one entry for many apps.</t>
        </is>
      </c>
      <c r="R20" s="18" t="inlineStr">
        <is>
          <t>An Ingress defines HTTP and HTTPS routing rules by host and path, which an ingress controller such as Traefik or a cloud load balancer controller implements, often with TLS certificates.</t>
        </is>
      </c>
      <c r="S20" s="17" t="n"/>
      <c r="T20" s="19" t="inlineStr">
        <is>
          <t>apiVersion: networking.k8s.io/v1
kind: Ingress
metadata:
  name: shop
spec:
  ingressClassName: traefik   # use the class name of the controller you installed
  tls:
    - hosts: [shop.example.com]
      secretName: shop-tls
  rules:
    - host: shop.example.com
      http:
        paths:
          - path: /api
            pathType: Prefix
            backend: { service: { name: api, port: { number: 80 } } }
          - path: /
            pathType: Prefix
            backend: { service: { name: web, port: { number: 80 } } }</t>
        </is>
      </c>
      <c r="U20" s="19" t="inlineStr">
        <is>
          <t>Requests to shop.example.com/api go to the api Service, and everything else goes to web, over HTTPS.</t>
        </is>
      </c>
      <c r="V20" s="18" t="inlineStr">
        <is>
          <t>The controller runs in the cluster and watches Ingress objects. TLS certificates are stored in Secrets and can be issued automatically with cert-manager. The Gateway API is a newer, more expressive alternative. Rules are matched by host and path. Annotations tune controller behaviour.</t>
        </is>
      </c>
      <c r="W20" s="18" t="inlineStr">
        <is>
          <t>Install a controller, then write Ingress rules from hosts and paths to Services.</t>
        </is>
      </c>
      <c r="X20" s="18" t="inlineStr">
        <is>
          <t>Ingress is the front desk that directs visitors to the right office by name.</t>
        </is>
      </c>
      <c r="Y20" s="19" t="inlineStr">
        <is>
          <t>kind: Ingress / spec: rules, tls, ingressClassName</t>
        </is>
      </c>
      <c r="Z20" s="18" t="inlineStr">
        <is>
          <t>host = domain | path = URL part | backend = Service | tls = certificate secret</t>
        </is>
      </c>
      <c r="AA20" s="19" t="inlineStr">
        <is>
          <t>kubectl get ingress</t>
        </is>
      </c>
      <c r="AB20" s="19" t="inlineStr">
        <is>
          <t>cert-manager.io/cluster-issuer: letsencrypt</t>
        </is>
      </c>
      <c r="AC20" s="19" t="inlineStr">
        <is>
          <t>pathType: Exact</t>
        </is>
      </c>
      <c r="AD20" s="19" t="inlineStr">
        <is>
          <t>kind: HTTPRoute   // the Gateway API form</t>
        </is>
      </c>
      <c r="AE20" s="18" t="inlineStr">
        <is>
          <t>Services, TLS, cert-manager</t>
        </is>
      </c>
      <c r="AF20" s="18" t="inlineStr">
        <is>
          <t>Services, DNS, HTTPS and TLS, certificates</t>
        </is>
      </c>
      <c r="AG20" s="18" t="inlineStr">
        <is>
          <t>Gateway API | LoadBalancer per Service</t>
        </is>
      </c>
      <c r="AH20" s="17" t="n"/>
      <c r="AI20" s="18" t="inlineStr">
        <is>
          <t>Web apps | APIs | Multi-app clusters</t>
        </is>
      </c>
      <c r="AJ20" s="18" t="inlineStr">
        <is>
          <t>A: I created an Ingress but nothing happens. | B: There is no ingress controller installed yet.</t>
        </is>
      </c>
      <c r="AK20" s="18" t="inlineStr">
        <is>
          <t>✗ An Ingress works without a controller → ✓ A controller must run to act on the rules</t>
        </is>
      </c>
      <c r="AL20" s="18" t="inlineStr">
        <is>
          <t>Ingress vs Service: Ingress routes HTTP into Services, Service balances to pods.</t>
        </is>
      </c>
      <c r="AM20" s="18" t="inlineStr">
        <is>
          <t>Do not forget the TLS secret for HTTPS hosts.</t>
        </is>
      </c>
      <c r="AN20" s="19" t="inlineStr">
        <is>
          <t>kind: Ingress   # applied with no controller installed</t>
        </is>
      </c>
      <c r="AO20" s="19" t="inlineStr">
        <is>
          <t># install any maintained ingress controller (for example Traefik, a cloud controller or a Gateway API implementation), then apply the Ingress</t>
        </is>
      </c>
      <c r="AP20" s="18" t="inlineStr">
        <is>
          <t>Without a controller there is no routing.</t>
        </is>
      </c>
      <c r="AQ20" s="18" t="inlineStr">
        <is>
          <t>One Ingress replaced five separate cloud load balancers and cut cost.</t>
        </is>
      </c>
      <c r="AR20" s="18" t="inlineStr">
        <is>
          <t>An interviewer may ask: What is the difference between Ingress and a Service?</t>
        </is>
      </c>
      <c r="AS20" s="18" t="inlineStr">
        <is>
          <t>It is like a front desk directing visitors.</t>
        </is>
      </c>
      <c r="AT20" s="18" t="inlineStr">
        <is>
          <t>What must run for Ingress rules to work?</t>
        </is>
      </c>
      <c r="AU20" s="18" t="inlineStr">
        <is>
          <t>A) An ingress controller B) A DaemonSet only C) A CronJob D) A StatefulSet</t>
        </is>
      </c>
      <c r="AV20" s="18" t="inlineStr">
        <is>
          <t>A</t>
        </is>
      </c>
      <c r="AW20" s="18" t="inlineStr">
        <is>
          <t>The controller implements the rules.</t>
        </is>
      </c>
      <c r="AX20" s="19" t="inlineStr">
        <is>
          <t>Certificates for Ingress are stored in a ____ → Secret</t>
        </is>
      </c>
      <c r="AY20" s="18" t="inlineStr">
        <is>
          <t>List the Ingress objects.</t>
        </is>
      </c>
      <c r="AZ20" s="19" t="inlineStr">
        <is>
          <t>kubectl get ingress</t>
        </is>
      </c>
      <c r="BA20" s="18" t="inlineStr">
        <is>
          <t>Write rules sending /api and / to two Services.</t>
        </is>
      </c>
      <c r="BB20" s="19" t="inlineStr">
        <is>
          <t>What does pathType Prefix do?</t>
        </is>
      </c>
      <c r="BC20" s="19" t="inlineStr">
        <is>
          <t>It matches any path beginning with the given text.</t>
        </is>
      </c>
      <c r="BD20" s="17">
        <f>IF(K20="","",REPT("★",K20)&amp;REPT("☆",5-K20)&amp;" ("&amp;K20&amp;"/5)")</f>
        <v/>
      </c>
      <c r="BE20" s="17">
        <f>IF(S20="","","Meaning: "&amp;S20&amp;"  =  ______   (Answer: "&amp;F20&amp;")")</f>
        <v/>
      </c>
      <c r="BF20" s="17" t="inlineStr">
        <is>
          <t>New</t>
        </is>
      </c>
      <c r="BG20" s="17" t="n"/>
      <c r="BH20" s="17" t="n"/>
      <c r="BI20" s="17" t="n"/>
      <c r="BJ20" s="17" t="n"/>
      <c r="BK20" s="17" t="n"/>
      <c r="BL20" s="17" t="n"/>
      <c r="BM20" s="17" t="n"/>
      <c r="BN20" s="17" t="n"/>
    </row>
    <row r="21" ht="202.5" customHeight="1">
      <c r="A21" s="17" t="inlineStr">
        <is>
          <t>K8S-025</t>
        </is>
      </c>
      <c r="B21" s="17" t="inlineStr">
        <is>
          <t>04 Networking</t>
        </is>
      </c>
      <c r="C21" s="17" t="inlineStr">
        <is>
          <t>Advanced</t>
        </is>
      </c>
      <c r="D21" s="17" t="n">
        <v>25</v>
      </c>
      <c r="E21" s="17" t="inlineStr">
        <is>
          <t>Claude knowledge</t>
        </is>
      </c>
      <c r="F21" s="18" t="inlineStr">
        <is>
          <t>Network policies</t>
        </is>
      </c>
      <c r="G21" s="18" t="inlineStr">
        <is>
          <t>Which objects restrict which pods may talk to each other?</t>
        </is>
      </c>
      <c r="H21" s="17" t="n"/>
      <c r="I21" s="18" t="inlineStr">
        <is>
          <t>Resource</t>
        </is>
      </c>
      <c r="J21" s="18" t="inlineStr">
        <is>
          <t>High</t>
        </is>
      </c>
      <c r="K21" s="18" t="n">
        <v>5</v>
      </c>
      <c r="L21" s="18" t="inlineStr">
        <is>
          <t>By default every pod can reach every other pod, so network policies add firewall-like rules at pod level.</t>
        </is>
      </c>
      <c r="M21" s="18" t="inlineStr">
        <is>
          <t>Start with a default deny policy per namespace, then allow only needed flows.</t>
        </is>
      </c>
      <c r="N21" s="17" t="n"/>
      <c r="O21" s="18" t="inlineStr">
        <is>
          <t>A network policy is a guest list at each pod's door.</t>
        </is>
      </c>
      <c r="P21" s="18" t="inlineStr">
        <is>
          <t>Arrows allowed between frontend and api but blocked to the database.</t>
        </is>
      </c>
      <c r="Q21" s="18" t="inlineStr">
        <is>
          <t>The confidence of limited blast radius.</t>
        </is>
      </c>
      <c r="R21" s="18" t="inlineStr">
        <is>
          <t>A NetworkPolicy selects pods and lists allowed ingress and egress traffic by pod, namespace or IP range, and it is enforced by a network plug-in that supports it.</t>
        </is>
      </c>
      <c r="S21" s="17" t="n"/>
      <c r="T21" s="19" t="inlineStr">
        <is>
          <t>apiVersion: networking.k8s.io/v1
kind: NetworkPolicy
metadata:
  name: db-allow-api
  namespace: shop
spec:
  podSelector:
    matchLabels: { app: db }
  policyTypes: [Ingress]
  ingress:
    - from:
        - podSelector:
            matchLabels: { app: api }
      ports:
        - { protocol: TCP, port: 5432 }</t>
        </is>
      </c>
      <c r="U21" s="19" t="inlineStr">
        <is>
          <t>Only pods labelled app api can reach the db pods on port 5432, and other ingress is denied.</t>
        </is>
      </c>
      <c r="V21" s="18" t="inlineStr">
        <is>
          <t>Once a pod is selected by a policy for a direction, all traffic not allowed is denied. Policies are additive. Without a plug-in that enforces them, policies have no effect. Egress rules also need DNS allowed. A default deny policy uses an empty podSelector.</t>
        </is>
      </c>
      <c r="W21" s="18" t="inlineStr">
        <is>
          <t>Deny by default, then allow specific pods and ports.</t>
        </is>
      </c>
      <c r="X21" s="18" t="inlineStr">
        <is>
          <t>A network policy is a guest list at each pod's door.</t>
        </is>
      </c>
      <c r="Y21" s="19" t="inlineStr">
        <is>
          <t>kind: NetworkPolicy / podSelector / policyTypes / ingress / egress</t>
        </is>
      </c>
      <c r="Z21" s="18" t="inlineStr">
        <is>
          <t>podSelector = who is protected | from and to = allowed peers | ports = allowed ports</t>
        </is>
      </c>
      <c r="AA21" s="19" t="inlineStr">
        <is>
          <t>podSelector: {}   // all pods in the namespace</t>
        </is>
      </c>
      <c r="AB21" s="19" t="inlineStr">
        <is>
          <t>policyTypes: [Ingress, Egress]</t>
        </is>
      </c>
      <c r="AC21" s="19" t="inlineStr">
        <is>
          <t>ipBlock: { cidr: 10.0.0.0/16 }</t>
        </is>
      </c>
      <c r="AD21" s="19" t="inlineStr">
        <is>
          <t>namespaceSelector: { matchLabels: { team: web } }   // allow a whole namespace</t>
        </is>
      </c>
      <c r="AE21" s="18" t="inlineStr">
        <is>
          <t>labels, namespaces, CNI plug-ins</t>
        </is>
      </c>
      <c r="AF21" s="18" t="inlineStr">
        <is>
          <t>labels and selectors, namespaces, zero trust, firewalls</t>
        </is>
      </c>
      <c r="AG21" s="18" t="inlineStr">
        <is>
          <t>Service mesh policies | cloud security groups</t>
        </is>
      </c>
      <c r="AH21" s="17" t="n"/>
      <c r="AI21" s="18" t="inlineStr">
        <is>
          <t>Multi-tenant clusters | Databases | Compliance</t>
        </is>
      </c>
      <c r="AJ21" s="18" t="inlineStr">
        <is>
          <t>A: Any pod can reach our database. | B: Add a network policy that allows only the api.</t>
        </is>
      </c>
      <c r="AK21" s="18" t="inlineStr">
        <is>
          <t>✗ Network policies work on any cluster → ✓ They need a network plug-in that enforces them</t>
        </is>
      </c>
      <c r="AL21" s="18" t="inlineStr">
        <is>
          <t>Network policy vs security group: one is per pod inside the cluster, the other is per cloud instance.</t>
        </is>
      </c>
      <c r="AM21" s="18" t="inlineStr">
        <is>
          <t>Do not forget to allow DNS in egress rules.</t>
        </is>
      </c>
      <c r="AN21" s="19" t="inlineStr">
        <is>
          <t>podSelector: {}   # with no rules, intended as allow all</t>
        </is>
      </c>
      <c r="AO21" s="19" t="inlineStr">
        <is>
          <t>ingress: [{ from: [{ podSelector: { matchLabels: { app: api } } }] }]</t>
        </is>
      </c>
      <c r="AP21" s="18" t="inlineStr">
        <is>
          <t>Select the pod, list who may enter.</t>
        </is>
      </c>
      <c r="AQ21" s="18" t="inlineStr">
        <is>
          <t>A default deny policy limited a compromised pod's reach to nothing else.</t>
        </is>
      </c>
      <c r="AR21" s="18" t="inlineStr">
        <is>
          <t>An interviewer may ask: What happens to pods not selected by any policy?</t>
        </is>
      </c>
      <c r="AS21" s="18" t="inlineStr">
        <is>
          <t>It is like a guest list at the door.</t>
        </is>
      </c>
      <c r="AT21" s="18" t="inlineStr">
        <is>
          <t>What happens to pods not selected by any policy?</t>
        </is>
      </c>
      <c r="AU21" s="18" t="inlineStr">
        <is>
          <t>A) They stop B) They restart C) All traffic is denied D) All traffic is allowed</t>
        </is>
      </c>
      <c r="AV21" s="18" t="inlineStr">
        <is>
          <t>D</t>
        </is>
      </c>
      <c r="AW21" s="18" t="inlineStr">
        <is>
          <t>Policies apply only to selected pods.</t>
        </is>
      </c>
      <c r="AX21" s="19" t="inlineStr">
        <is>
          <t>A policy that blocks everything for selected pods is called default ____ → deny</t>
        </is>
      </c>
      <c r="AY21" s="18" t="inlineStr">
        <is>
          <t>Select every pod in a namespace.</t>
        </is>
      </c>
      <c r="AZ21" s="19" t="inlineStr">
        <is>
          <t>podSelector: {}</t>
        </is>
      </c>
      <c r="BA21" s="18" t="inlineStr">
        <is>
          <t>Write a policy letting only the web pods reach the api on port 8080.</t>
        </is>
      </c>
      <c r="BB21" s="19" t="inlineStr">
        <is>
          <t>Why can policies have no effect?</t>
        </is>
      </c>
      <c r="BC21" s="19" t="inlineStr">
        <is>
          <t>The network plug-in may not enforce them.</t>
        </is>
      </c>
      <c r="BD21" s="17">
        <f>IF(K21="","",REPT("★",K21)&amp;REPT("☆",5-K21)&amp;" ("&amp;K21&amp;"/5)")</f>
        <v/>
      </c>
      <c r="BE21" s="17">
        <f>IF(S21="","","Meaning: "&amp;S21&amp;"  =  ______   (Answer: "&amp;F21&amp;")")</f>
        <v/>
      </c>
      <c r="BF21" s="17" t="inlineStr">
        <is>
          <t>New</t>
        </is>
      </c>
      <c r="BG21" s="17" t="n"/>
      <c r="BH21" s="17" t="n"/>
      <c r="BI21" s="17" t="n"/>
      <c r="BJ21" s="17" t="n"/>
      <c r="BK21" s="17" t="n"/>
      <c r="BL21" s="17" t="n"/>
      <c r="BM21" s="17" t="n"/>
      <c r="BN21" s="17" t="n"/>
    </row>
    <row r="22" ht="229.5" customHeight="1">
      <c r="A22" s="17" t="inlineStr">
        <is>
          <t>K8S-028</t>
        </is>
      </c>
      <c r="B22" s="17" t="inlineStr">
        <is>
          <t>05 Reliability</t>
        </is>
      </c>
      <c r="C22" s="17" t="inlineStr">
        <is>
          <t>Beginner</t>
        </is>
      </c>
      <c r="D22" s="17" t="n">
        <v>28</v>
      </c>
      <c r="E22" s="17" t="inlineStr">
        <is>
          <t>Claude knowledge</t>
        </is>
      </c>
      <c r="F22" s="18" t="inlineStr">
        <is>
          <t>Liveness and readiness probes</t>
        </is>
      </c>
      <c r="G22" s="18" t="inlineStr">
        <is>
          <t>Which checks tell Kubernetes whether to restart a container or send it traffic?</t>
        </is>
      </c>
      <c r="H22" s="17" t="n"/>
      <c r="I22" s="18" t="inlineStr">
        <is>
          <t>Resource setting</t>
        </is>
      </c>
      <c r="J22" s="18" t="inlineStr">
        <is>
          <t>Very high</t>
        </is>
      </c>
      <c r="K22" s="18" t="n">
        <v>5</v>
      </c>
      <c r="L22" s="18" t="inlineStr">
        <is>
          <t>A running process may be stuck or not ready yet, so probes let the kubelet test health and react.</t>
        </is>
      </c>
      <c r="M22" s="18" t="inlineStr">
        <is>
          <t>Use readiness to control traffic and liveness only to restart a truly stuck app.</t>
        </is>
      </c>
      <c r="N22" s="17" t="n"/>
      <c r="O22" s="18" t="inlineStr">
        <is>
          <t>Readiness is a green light for guests, and liveness is a pulse check that calls the doctor.</t>
        </is>
      </c>
      <c r="P22" s="18" t="inlineStr">
        <is>
          <t>A pod with two health checks and different outcomes.</t>
        </is>
      </c>
      <c r="Q22" s="18" t="inlineStr">
        <is>
          <t>The comfort of pods that heal and wait their turn.</t>
        </is>
      </c>
      <c r="R22" s="18" t="inlineStr">
        <is>
          <t>A readiness probe decides whether a pod receives traffic, a liveness probe restarts a container that fails, and a startup probe protects slow starters.</t>
        </is>
      </c>
      <c r="S22" s="17" t="n"/>
      <c r="T22" s="19" t="inlineStr">
        <is>
          <t>containers:
  - name: app
    image: acme/web:1.4.2
    readinessProbe:
      httpGet: { path: /ready, port: 8080 }
      periodSeconds: 5
    livenessProbe:
      httpGet: { path: /healthz, port: 8080 }
      initialDelaySeconds: 20
      periodSeconds: 10
      failureThreshold: 3
    startupProbe:
      httpGet: { path: /healthz, port: 8080 }
      failureThreshold: 30
      periodSeconds: 2</t>
        </is>
      </c>
      <c r="U22" s="19" t="inlineStr">
        <is>
          <t>Traffic is withheld until ready passes, a stuck container is restarted after three failed liveness checks, and slow startup is tolerated.</t>
        </is>
      </c>
      <c r="V22" s="18" t="inlineStr">
        <is>
          <t>Failing readiness removes the pod from Service endpoints without restarting it. Failing liveness restarts the container, so a check that depends on a database can cause restart storms. Probes can be HTTP, TCP or commands. Startup probes disable the others until they succeed. Tune thresholds to avoid false failures.</t>
        </is>
      </c>
      <c r="W22" s="18" t="inlineStr">
        <is>
          <t>Ready means send traffic, live means do not restart, and startup covers slow boots.</t>
        </is>
      </c>
      <c r="X22" s="18" t="inlineStr">
        <is>
          <t>Readiness is a green light for guests, and liveness is a pulse check that calls the doctor.</t>
        </is>
      </c>
      <c r="Y22" s="19" t="inlineStr">
        <is>
          <t>readinessProbe | livenessProbe | startupProbe with httpGet, tcpSocket or exec</t>
        </is>
      </c>
      <c r="Z22" s="18" t="inlineStr">
        <is>
          <t>periodSeconds = interval | failureThreshold = failures allowed | initialDelaySeconds = first wait</t>
        </is>
      </c>
      <c r="AA22" s="19" t="inlineStr">
        <is>
          <t>tcpSocket: { port: 5432 }</t>
        </is>
      </c>
      <c r="AB22" s="19" t="inlineStr">
        <is>
          <t>exec: { command: ["cat", "/tmp/healthy"] }</t>
        </is>
      </c>
      <c r="AC22" s="19" t="inlineStr">
        <is>
          <t>timeoutSeconds: 2</t>
        </is>
      </c>
      <c r="AD22" s="19" t="inlineStr">
        <is>
          <t>grpc: { port: 9000 }   // probe a gRPC health service</t>
        </is>
      </c>
      <c r="AE22" s="18" t="inlineStr">
        <is>
          <t>Services, rolling updates, resource limits</t>
        </is>
      </c>
      <c r="AF22" s="18" t="inlineStr">
        <is>
          <t>Services, rolling updates, HEALTHCHECK in Docker, requests and limits</t>
        </is>
      </c>
      <c r="AG22" s="18" t="inlineStr">
        <is>
          <t>Application-level self checks</t>
        </is>
      </c>
      <c r="AH22" s="17" t="n"/>
      <c r="AI22" s="18" t="inlineStr">
        <is>
          <t>Every production pod | Rollouts | Self-healing</t>
        </is>
      </c>
      <c r="AJ22" s="18" t="inlineStr">
        <is>
          <t>A: Pods restart endlessly when the database is slow. | B: The liveness probe depends on the database, so make it check only the app itself.</t>
        </is>
      </c>
      <c r="AK22" s="18" t="inlineStr">
        <is>
          <t>✗ Liveness and readiness probes do the same job → ✓ Readiness controls traffic, liveness triggers restarts</t>
        </is>
      </c>
      <c r="AL22" s="18" t="inlineStr">
        <is>
          <t>Liveness vs readiness: restart versus route traffic.</t>
        </is>
      </c>
      <c r="AM22" s="18" t="inlineStr">
        <is>
          <t>Do not make liveness depend on outside systems.</t>
        </is>
      </c>
      <c r="AN22" s="19" t="inlineStr">
        <is>
          <t>livenessProbe: { httpGet: { path: /db-check, port: 8080 } }</t>
        </is>
      </c>
      <c r="AO22" s="19" t="inlineStr">
        <is>
          <t>livenessProbe: { httpGet: { path: /healthz, port: 8080 } }</t>
        </is>
      </c>
      <c r="AP22" s="18" t="inlineStr">
        <is>
          <t>Readiness routes traffic, liveness restarts containers.</t>
        </is>
      </c>
      <c r="AQ22" s="18" t="inlineStr">
        <is>
          <t>Separating readiness from liveness stopped restart loops during database slowness.</t>
        </is>
      </c>
      <c r="AR22" s="18" t="inlineStr">
        <is>
          <t>An interviewer may ask: What is the difference between liveness and readiness?</t>
        </is>
      </c>
      <c r="AS22" s="18" t="inlineStr">
        <is>
          <t>It is like a green light and a pulse check.</t>
        </is>
      </c>
      <c r="AT22" s="18" t="inlineStr">
        <is>
          <t>What happens when readiness fails?</t>
        </is>
      </c>
      <c r="AU22" s="18" t="inlineStr">
        <is>
          <t>A) The node reboots B) The container restarts C) The pod is removed from Service endpoints D) The image is deleted</t>
        </is>
      </c>
      <c r="AV22" s="18" t="inlineStr">
        <is>
          <t>C</t>
        </is>
      </c>
      <c r="AW22" s="18" t="inlineStr">
        <is>
          <t>It stops receiving traffic but keeps running.</t>
        </is>
      </c>
      <c r="AX22" s="19" t="inlineStr">
        <is>
          <t>The probe that protects slow starters is the ____ probe → startup</t>
        </is>
      </c>
      <c r="AY22" s="18" t="inlineStr">
        <is>
          <t>Add a readiness check on /ready port 8080.</t>
        </is>
      </c>
      <c r="AZ22" s="19" t="inlineStr">
        <is>
          <t>readinessProbe: { httpGet: { path: /ready, port: 8080 } }</t>
        </is>
      </c>
      <c r="BA22" s="18" t="inlineStr">
        <is>
          <t>Write liveness and readiness probes with different paths.</t>
        </is>
      </c>
      <c r="BB22" s="19" t="inlineStr">
        <is>
          <t>What does a failing liveness probe cause?</t>
        </is>
      </c>
      <c r="BC22" s="19" t="inlineStr">
        <is>
          <t>A container restart.</t>
        </is>
      </c>
      <c r="BD22" s="17">
        <f>IF(K22="","",REPT("★",K22)&amp;REPT("☆",5-K22)&amp;" ("&amp;K22&amp;"/5)")</f>
        <v/>
      </c>
      <c r="BE22" s="17">
        <f>IF(S22="","","Meaning: "&amp;S22&amp;"  =  ______   (Answer: "&amp;F22&amp;")")</f>
        <v/>
      </c>
      <c r="BF22" s="17" t="inlineStr">
        <is>
          <t>New</t>
        </is>
      </c>
      <c r="BG22" s="17" t="n"/>
      <c r="BH22" s="17" t="n"/>
      <c r="BI22" s="17" t="n"/>
      <c r="BJ22" s="17" t="n"/>
      <c r="BK22" s="17" t="n"/>
      <c r="BL22" s="17" t="n"/>
      <c r="BM22" s="17" t="n"/>
      <c r="BN22" s="17" t="n"/>
    </row>
    <row r="23" ht="148.5" customHeight="1">
      <c r="A23" s="17" t="inlineStr">
        <is>
          <t>K8S-029</t>
        </is>
      </c>
      <c r="B23" s="17" t="inlineStr">
        <is>
          <t>05 Reliability</t>
        </is>
      </c>
      <c r="C23" s="17" t="inlineStr">
        <is>
          <t>Intermediate</t>
        </is>
      </c>
      <c r="D23" s="17" t="n">
        <v>29</v>
      </c>
      <c r="E23" s="17" t="inlineStr">
        <is>
          <t>Claude knowledge</t>
        </is>
      </c>
      <c r="F23" s="18" t="inlineStr">
        <is>
          <t>Requests and limits</t>
        </is>
      </c>
      <c r="G23" s="18" t="inlineStr">
        <is>
          <t>Which settings reserve and cap CPU and memory for containers?</t>
        </is>
      </c>
      <c r="H23" s="17" t="n"/>
      <c r="I23" s="18" t="inlineStr">
        <is>
          <t>Resource setting</t>
        </is>
      </c>
      <c r="J23" s="18" t="inlineStr">
        <is>
          <t>Very high</t>
        </is>
      </c>
      <c r="K23" s="18" t="n">
        <v>5</v>
      </c>
      <c r="L23" s="18" t="inlineStr">
        <is>
          <t>Pods share nodes, so the scheduler needs to know how much each needs and the kubelet needs to stop greedy ones.</t>
        </is>
      </c>
      <c r="M23" s="18" t="inlineStr">
        <is>
          <t>Set requests from measured usage, and set memory limits to protect the node.</t>
        </is>
      </c>
      <c r="N23" s="17" t="n"/>
      <c r="O23" s="18" t="inlineStr">
        <is>
          <t>A request is a reserved seat, and a limit is the cap on how much a guest may eat.</t>
        </is>
      </c>
      <c r="P23" s="18" t="inlineStr">
        <is>
          <t>A bar showing reserved and maximum usage for a container.</t>
        </is>
      </c>
      <c r="Q23" s="18" t="inlineStr">
        <is>
          <t>The calm of sharing a node in a predictable way.</t>
        </is>
      </c>
      <c r="R23" s="18" t="inlineStr">
        <is>
          <t>A request is the amount the scheduler reserves for scheduling decisions, and a limit is the maximum a container may use, with CPU throttled and memory exceeded causing an out-of-memory kill.</t>
        </is>
      </c>
      <c r="S23" s="17" t="n"/>
      <c r="T23" s="19" t="inlineStr">
        <is>
          <t>resources:
  requests:
    cpu: 250m
    memory: 256Mi
  limits:
    cpu: "1"
    memory: 512Mi</t>
        </is>
      </c>
      <c r="U23" s="19" t="inlineStr">
        <is>
          <t>The scheduler places the pod on a node with 250 millicores and 256Mi free, and the container is killed if it exceeds 512Mi.</t>
        </is>
      </c>
      <c r="V23" s="18" t="inlineStr">
        <is>
          <t>CPU is measured in cores, where 500m is half a core. Exceeding a CPU limit slows the container, while exceeding a memory limit kills it with status OOMKilled. Pods are classed as Guaranteed, Burstable or BestEffort, which decides eviction order. Without requests, scheduling is blind. Limit ranges and quotas set defaults per namespace.</t>
        </is>
      </c>
      <c r="W23" s="18" t="inlineStr">
        <is>
          <t>Requests reserve capacity for scheduling, and limits cap usage.</t>
        </is>
      </c>
      <c r="X23" s="18" t="inlineStr">
        <is>
          <t>A request is a reserved seat, and a limit is the cap on how much a guest may eat.</t>
        </is>
      </c>
      <c r="Y23" s="19" t="inlineStr">
        <is>
          <t>resources: { requests: { cpu, memory }, limits: { cpu, memory } }</t>
        </is>
      </c>
      <c r="Z23" s="18" t="inlineStr">
        <is>
          <t>requests = reserved | limits = maximum | m = millicores | Mi = mebibytes</t>
        </is>
      </c>
      <c r="AA23" s="19" t="inlineStr">
        <is>
          <t>kubectl top pods</t>
        </is>
      </c>
      <c r="AB23" s="19" t="inlineStr">
        <is>
          <t>kubectl describe pod web-1   // shows OOMKilled</t>
        </is>
      </c>
      <c r="AC23" s="19" t="inlineStr">
        <is>
          <t>cpu: 100m</t>
        </is>
      </c>
      <c r="AD23" s="19" t="inlineStr">
        <is>
          <t>LimitRange   // default requests per namespace</t>
        </is>
      </c>
      <c r="AE23" s="18" t="inlineStr">
        <is>
          <t>autoscaling, quotas, monitoring</t>
        </is>
      </c>
      <c r="AF23" s="18" t="inlineStr">
        <is>
          <t>autoscaling, quotas, nodes, resource limits in Docker</t>
        </is>
      </c>
      <c r="AG23" s="18" t="inlineStr">
        <is>
          <t>Vertical pod autoscaler</t>
        </is>
      </c>
      <c r="AH23" s="17" t="n"/>
      <c r="AI23" s="18" t="inlineStr">
        <is>
          <t>Every workload | Capacity planning | Cost control</t>
        </is>
      </c>
      <c r="AJ23" s="18" t="inlineStr">
        <is>
          <t>A: The pod restarts with OOMKilled. | B: It exceeded its memory limit, so raise it or fix the leak.</t>
        </is>
      </c>
      <c r="AK23" s="18" t="inlineStr">
        <is>
          <t>✗ CPU limits kill containers like memory limits → ✓ CPU is throttled, and only memory overuse causes a kill</t>
        </is>
      </c>
      <c r="AL23" s="18" t="inlineStr">
        <is>
          <t>Request vs limit: request reserves, limit caps.</t>
        </is>
      </c>
      <c r="AM23" s="18" t="inlineStr">
        <is>
          <t>Do not run pods without requests.</t>
        </is>
      </c>
      <c r="AN23" s="19" t="inlineStr">
        <is>
          <t>resources: {}   # unknown needs</t>
        </is>
      </c>
      <c r="AO23" s="19" t="inlineStr">
        <is>
          <t>resources: { requests: { cpu: 250m, memory: 256Mi }, limits: { memory: 512Mi } }</t>
        </is>
      </c>
      <c r="AP23" s="18" t="inlineStr">
        <is>
          <t>Requests help schedule, limits help restrain usage.</t>
        </is>
      </c>
      <c r="AQ23" s="18" t="inlineStr">
        <is>
          <t>Setting requests from measured usage ended random evictions on a busy node.</t>
        </is>
      </c>
      <c r="AR23" s="18" t="inlineStr">
        <is>
          <t>An interviewer may ask: What happens when a container exceeds its memory limit?</t>
        </is>
      </c>
      <c r="AS23" s="18" t="inlineStr">
        <is>
          <t>It is like a reserved seat and a cap on eating.</t>
        </is>
      </c>
      <c r="AT23" s="18" t="inlineStr">
        <is>
          <t>What happens when a container exceeds its memory limit?</t>
        </is>
      </c>
      <c r="AU23" s="18" t="inlineStr">
        <is>
          <t>A) It is killed with OOMKilled B) It gets more memory C) It is throttled D) It is ignored</t>
        </is>
      </c>
      <c r="AV23" s="18" t="inlineStr">
        <is>
          <t>A</t>
        </is>
      </c>
      <c r="AW23" s="18" t="inlineStr">
        <is>
          <t>Memory cannot be throttled.</t>
        </is>
      </c>
      <c r="AX23" s="19" t="inlineStr">
        <is>
          <t>500m of CPU means half a ____ → core</t>
        </is>
      </c>
      <c r="AY23" s="18" t="inlineStr">
        <is>
          <t>Request 250 millicores and 256Mi memory.</t>
        </is>
      </c>
      <c r="AZ23" s="19" t="inlineStr">
        <is>
          <t>resources: { requests: { cpu: 250m, memory: 256Mi } }</t>
        </is>
      </c>
      <c r="BA23" s="18" t="inlineStr">
        <is>
          <t>Write requests and a memory limit for an API container.</t>
        </is>
      </c>
      <c r="BB23" s="19" t="inlineStr">
        <is>
          <t>What does OOMKilled mean?</t>
        </is>
      </c>
      <c r="BC23" s="19" t="inlineStr">
        <is>
          <t>The container exceeded its memory limit and was killed.</t>
        </is>
      </c>
      <c r="BD23" s="17">
        <f>IF(K23="","",REPT("★",K23)&amp;REPT("☆",5-K23)&amp;" ("&amp;K23&amp;"/5)")</f>
        <v/>
      </c>
      <c r="BE23" s="17">
        <f>IF(S23="","","Meaning: "&amp;S23&amp;"  =  ______   (Answer: "&amp;F23&amp;")")</f>
        <v/>
      </c>
      <c r="BF23" s="17" t="inlineStr">
        <is>
          <t>New</t>
        </is>
      </c>
      <c r="BG23" s="17" t="n"/>
      <c r="BH23" s="17" t="n"/>
      <c r="BI23" s="17" t="n"/>
      <c r="BJ23" s="17" t="n"/>
      <c r="BK23" s="17" t="n"/>
      <c r="BL23" s="17" t="n"/>
      <c r="BM23" s="17" t="n"/>
      <c r="BN23" s="17" t="n"/>
    </row>
    <row r="24" ht="202.5" customHeight="1">
      <c r="A24" s="17" t="inlineStr">
        <is>
          <t>K8S-030</t>
        </is>
      </c>
      <c r="B24" s="17" t="inlineStr">
        <is>
          <t>05 Reliability</t>
        </is>
      </c>
      <c r="C24" s="17" t="inlineStr">
        <is>
          <t>Intermediate</t>
        </is>
      </c>
      <c r="D24" s="17" t="n">
        <v>30</v>
      </c>
      <c r="E24" s="17" t="inlineStr">
        <is>
          <t>Claude knowledge</t>
        </is>
      </c>
      <c r="F24" s="18" t="inlineStr">
        <is>
          <t>Autoscaling</t>
        </is>
      </c>
      <c r="G24" s="18" t="inlineStr">
        <is>
          <t>Which features add pods or nodes automatically as load changes?</t>
        </is>
      </c>
      <c r="H24" s="17" t="n"/>
      <c r="I24" s="18" t="inlineStr">
        <is>
          <t>Resource</t>
        </is>
      </c>
      <c r="J24" s="18" t="inlineStr">
        <is>
          <t>High</t>
        </is>
      </c>
      <c r="K24" s="18" t="n">
        <v>4</v>
      </c>
      <c r="L24" s="18" t="inlineStr">
        <is>
          <t>Load varies, so Kubernetes can scale pod counts, pod sizes and node counts automatically.</t>
        </is>
      </c>
      <c r="M24" s="18" t="inlineStr">
        <is>
          <t>Set CPU requests properly, since the horizontal autoscaler uses them as the baseline.</t>
        </is>
      </c>
      <c r="N24" s="17" t="n"/>
      <c r="O24" s="18" t="inlineStr">
        <is>
          <t>Autoscaling is a restaurant opening more tables as the crowd arrives.</t>
        </is>
      </c>
      <c r="P24" s="18" t="inlineStr">
        <is>
          <t>A graph of load with the pod count following it.</t>
        </is>
      </c>
      <c r="Q24" s="18" t="inlineStr">
        <is>
          <t>The calm of capacity that appears automatically.</t>
        </is>
      </c>
      <c r="R24" s="18" t="inlineStr">
        <is>
          <t>The Horizontal Pod Autoscaler changes replica counts from metrics such as CPU, the Vertical Pod Autoscaler adjusts requests, and a cluster autoscaler adds or removes nodes.</t>
        </is>
      </c>
      <c r="S24" s="17" t="n"/>
      <c r="T24" s="19" t="inlineStr">
        <is>
          <t>apiVersion: autoscaling/v2
kind: HorizontalPodAutoscaler
metadata:
  name: web
spec:
  scaleTargetRef: { apiVersion: apps/v1, kind: Deployment, name: web }
  minReplicas: 2
  maxReplicas: 10
  metrics:
    - type: Resource
      resource:
        name: cpu
        target: { type: Utilization, averageUtilization: 60 }</t>
        </is>
      </c>
      <c r="U24" s="19" t="inlineStr">
        <is>
          <t>The Deployment scales between two and ten pods to keep average CPU near sixty percent of requests.</t>
        </is>
      </c>
      <c r="V24" s="18" t="inlineStr">
        <is>
          <t>The metrics server must be installed. Utilisation is measured against requests, so missing requests break scaling. Scale-up is fast and scale-down is slow to avoid flapping. Custom metrics can scale on queue length. When pods cannot be scheduled, the cluster autoscaler adds nodes.</t>
        </is>
      </c>
      <c r="W24" s="18" t="inlineStr">
        <is>
          <t>Set min and max replicas and a target, and the autoscaler adjusts counts.</t>
        </is>
      </c>
      <c r="X24" s="18" t="inlineStr">
        <is>
          <t>Autoscaling is a restaurant opening more tables as the crowd arrives.</t>
        </is>
      </c>
      <c r="Y24" s="19" t="inlineStr">
        <is>
          <t>kind: HorizontalPodAutoscaler / minReplicas / maxReplicas / metrics</t>
        </is>
      </c>
      <c r="Z24" s="18" t="inlineStr">
        <is>
          <t>HPA = more pods | VPA = bigger pods | cluster autoscaler = more nodes</t>
        </is>
      </c>
      <c r="AA24" s="19" t="inlineStr">
        <is>
          <t>kubectl autoscale deployment web --min=2 --max=10 --cpu-percent=60</t>
        </is>
      </c>
      <c r="AB24" s="19" t="inlineStr">
        <is>
          <t>kubectl get hpa</t>
        </is>
      </c>
      <c r="AC24" s="19" t="inlineStr">
        <is>
          <t>type: Pods with a custom metric</t>
        </is>
      </c>
      <c r="AD24" s="19" t="inlineStr">
        <is>
          <t>behavior: { scaleDown: { stabilizationWindowSeconds: 300 } }   // slow scale-down</t>
        </is>
      </c>
      <c r="AE24" s="18" t="inlineStr">
        <is>
          <t>requests and limits, metrics server, Deployments</t>
        </is>
      </c>
      <c r="AF24" s="18" t="inlineStr">
        <is>
          <t>requests and limits, Deployments, cloud auto scaling, monitoring</t>
        </is>
      </c>
      <c r="AG24" s="18" t="inlineStr">
        <is>
          <t>KEDA for event-driven scaling</t>
        </is>
      </c>
      <c r="AH24" s="17" t="n"/>
      <c r="AI24" s="18" t="inlineStr">
        <is>
          <t>Web services | Workers | Cost control</t>
        </is>
      </c>
      <c r="AJ24" s="18" t="inlineStr">
        <is>
          <t>A: The HPA shows unknown metrics. | B: The metrics server or the CPU requests are missing.</t>
        </is>
      </c>
      <c r="AK24" s="18" t="inlineStr">
        <is>
          <t>✗ Autoscaling works without resource requests → ✓ Utilisation is a share of requests, so they are required</t>
        </is>
      </c>
      <c r="AL24" s="18" t="inlineStr">
        <is>
          <t>HPA vs cluster autoscaler: pods versus nodes.</t>
        </is>
      </c>
      <c r="AM24" s="18" t="inlineStr">
        <is>
          <t>Do not set minReplicas to one for critical services.</t>
        </is>
      </c>
      <c r="AN24" s="19" t="inlineStr">
        <is>
          <t>resources: {}   # HPA on CPU utilisation cannot work without CPU requests</t>
        </is>
      </c>
      <c r="AO24" s="19" t="inlineStr">
        <is>
          <t>kubectl autoscale deployment web --min=2 --max=10 --cpu-percent=60</t>
        </is>
      </c>
      <c r="AP24" s="18" t="inlineStr">
        <is>
          <t>HPA scales pods, cluster autoscaler scales nodes.</t>
        </is>
      </c>
      <c r="AQ24" s="18" t="inlineStr">
        <is>
          <t>An HPA absorbed evening traffic peaks without manual scaling.</t>
        </is>
      </c>
      <c r="AR24" s="18" t="inlineStr">
        <is>
          <t>An interviewer may ask: What does the HPA need to work?</t>
        </is>
      </c>
      <c r="AS24" s="18" t="inlineStr">
        <is>
          <t>It is like a restaurant opening more tables.</t>
        </is>
      </c>
      <c r="AT24" s="18" t="inlineStr">
        <is>
          <t>Which autoscaler changes the number of pods?</t>
        </is>
      </c>
      <c r="AU24" s="18" t="inlineStr">
        <is>
          <t>A) Cluster autoscaler B) VPA C) kubelet D) HPA</t>
        </is>
      </c>
      <c r="AV24" s="18" t="inlineStr">
        <is>
          <t>D</t>
        </is>
      </c>
      <c r="AW24" s="18" t="inlineStr">
        <is>
          <t>The horizontal autoscaler changes replicas.</t>
        </is>
      </c>
      <c r="AX24" s="19" t="inlineStr">
        <is>
          <t>The add-on that supplies CPU and memory usage numbers to the autoscaler is the ____ server → metrics</t>
        </is>
      </c>
      <c r="AY24" s="18" t="inlineStr">
        <is>
          <t>Autoscale web between two and ten pods at sixty percent CPU.</t>
        </is>
      </c>
      <c r="AZ24" s="19" t="inlineStr">
        <is>
          <t>kubectl autoscale deployment web --min=2 --max=10 --cpu-percent=60</t>
        </is>
      </c>
      <c r="BA24" s="18" t="inlineStr">
        <is>
          <t>Write an HPA for a worker Deployment.</t>
        </is>
      </c>
      <c r="BB24" s="19" t="inlineStr">
        <is>
          <t>Why does the HPA need CPU requests?</t>
        </is>
      </c>
      <c r="BC24" s="19" t="inlineStr">
        <is>
          <t>Utilisation is measured against the requested amount.</t>
        </is>
      </c>
      <c r="BD24" s="17">
        <f>IF(K24="","",REPT("★",K24)&amp;REPT("☆",5-K24)&amp;" ("&amp;K24&amp;"/5)")</f>
        <v/>
      </c>
      <c r="BE24" s="17">
        <f>IF(S24="","","Meaning: "&amp;S24&amp;"  =  ______   (Answer: "&amp;F24&amp;")")</f>
        <v/>
      </c>
      <c r="BF24" s="17" t="inlineStr">
        <is>
          <t>New</t>
        </is>
      </c>
      <c r="BG24" s="17" t="n"/>
      <c r="BH24" s="17" t="n"/>
      <c r="BI24" s="17" t="n"/>
      <c r="BJ24" s="17" t="n"/>
      <c r="BK24" s="17" t="n"/>
      <c r="BL24" s="17" t="n"/>
      <c r="BM24" s="17" t="n"/>
      <c r="BN24" s="17" t="n"/>
    </row>
    <row r="25" ht="121.5" customHeight="1">
      <c r="A25" s="17" t="inlineStr">
        <is>
          <t>K8S-033</t>
        </is>
      </c>
      <c r="B25" s="17" t="inlineStr">
        <is>
          <t>05 Reliability</t>
        </is>
      </c>
      <c r="C25" s="17" t="inlineStr">
        <is>
          <t>Advanced</t>
        </is>
      </c>
      <c r="D25" s="17" t="n">
        <v>33</v>
      </c>
      <c r="E25" s="17" t="inlineStr">
        <is>
          <t>Claude knowledge</t>
        </is>
      </c>
      <c r="F25" s="18" t="inlineStr">
        <is>
          <t>Pod disruption budgets</t>
        </is>
      </c>
      <c r="G25" s="18" t="inlineStr">
        <is>
          <t>Which objects limit how many pods may be down during voluntary disruptions?</t>
        </is>
      </c>
      <c r="H25" s="17" t="n"/>
      <c r="I25" s="18" t="inlineStr">
        <is>
          <t>Resource</t>
        </is>
      </c>
      <c r="J25" s="18" t="inlineStr">
        <is>
          <t>Medium</t>
        </is>
      </c>
      <c r="K25" s="18" t="n">
        <v>4</v>
      </c>
      <c r="L25" s="18" t="inlineStr">
        <is>
          <t>Node drains and upgrades remove pods on purpose, so a budget protects availability during maintenance.</t>
        </is>
      </c>
      <c r="M25" s="18" t="inlineStr">
        <is>
          <t>Set a budget for every replicated service, but leave room for drains to progress.</t>
        </is>
      </c>
      <c r="N25" s="17" t="n"/>
      <c r="O25" s="18" t="inlineStr">
        <is>
          <t>A disruption budget is a rule that says at least two staff must stay on shift.</t>
        </is>
      </c>
      <c r="P25" s="18" t="inlineStr">
        <is>
          <t>Three pods with at least two required to stay up.</t>
        </is>
      </c>
      <c r="Q25" s="18" t="inlineStr">
        <is>
          <t>The comfort of maintenance that stays safe.</t>
        </is>
      </c>
      <c r="R25" s="18" t="inlineStr">
        <is>
          <t>A PodDisruptionBudget states the minimum available or maximum unavailable pods for a set of pods, which voluntary evictions such as drains must respect.</t>
        </is>
      </c>
      <c r="S25" s="17" t="n"/>
      <c r="T25" s="19" t="inlineStr">
        <is>
          <t>apiVersion: policy/v1
kind: PodDisruptionBudget
metadata:
  name: web
spec:
  minAvailable: 2
  selector:
    matchLabels:
      app: web</t>
        </is>
      </c>
      <c r="U25" s="19" t="inlineStr">
        <is>
          <t>Draining a node cannot take web below two available pods.</t>
        </is>
      </c>
      <c r="V25" s="18" t="inlineStr">
        <is>
          <t>Budgets apply to voluntary disruptions, such as drains and upgrades, and not to crashes. A budget that equals the replica count blocks drains forever. Use maxUnavailable for easy scaling. Autoscalers respect budgets when removing nodes. Combine with spread rules to avoid all replicas on one node.</t>
        </is>
      </c>
      <c r="W25" s="18" t="inlineStr">
        <is>
          <t>Declare how many pods must stay up during maintenance.</t>
        </is>
      </c>
      <c r="X25" s="18" t="inlineStr">
        <is>
          <t>A disruption budget says at least two staff must stay on shift.</t>
        </is>
      </c>
      <c r="Y25" s="19" t="inlineStr">
        <is>
          <t>kind: PodDisruptionBudget / minAvailable or maxUnavailable / selector</t>
        </is>
      </c>
      <c r="Z25" s="18" t="inlineStr">
        <is>
          <t>minAvailable = floor | maxUnavailable = ceiling | selector = pods protected</t>
        </is>
      </c>
      <c r="AA25" s="19" t="inlineStr">
        <is>
          <t>maxUnavailable: 1</t>
        </is>
      </c>
      <c r="AB25" s="19" t="inlineStr">
        <is>
          <t>kubectl get pdb</t>
        </is>
      </c>
      <c r="AC25" s="19" t="inlineStr">
        <is>
          <t>minAvailable: 50%</t>
        </is>
      </c>
      <c r="AD25" s="19" t="inlineStr">
        <is>
          <t>unhealthyPodEvictionPolicy: AlwaysAllow   // allow evicting broken pods</t>
        </is>
      </c>
      <c r="AE25" s="18" t="inlineStr">
        <is>
          <t>drains, upgrades, autoscaling</t>
        </is>
      </c>
      <c r="AF25" s="18" t="inlineStr">
        <is>
          <t>nodes, affinity and spreading, rolling updates, upgrades</t>
        </is>
      </c>
      <c r="AG25" s="18" t="inlineStr">
        <is>
          <t>Manual coordination</t>
        </is>
      </c>
      <c r="AH25" s="17" t="n"/>
      <c r="AI25" s="18" t="inlineStr">
        <is>
          <t>Node upgrades | Autoscaling | Replicated services</t>
        </is>
      </c>
      <c r="AJ25" s="18" t="inlineStr">
        <is>
          <t>A: The drain hangs forever. | B: The budget requires all replicas, so lower minAvailable.</t>
        </is>
      </c>
      <c r="AK25" s="18" t="inlineStr">
        <is>
          <t>✗ A budget protects against crashes → ✓ It applies only to voluntary disruptions</t>
        </is>
      </c>
      <c r="AL25" s="18" t="inlineStr">
        <is>
          <t>PDB vs replicas: replicas provide copies, a PDB limits planned removals.</t>
        </is>
      </c>
      <c r="AM25" s="18" t="inlineStr">
        <is>
          <t>Do not set minAvailable equal to the replica count.</t>
        </is>
      </c>
      <c r="AN25" s="19" t="inlineStr">
        <is>
          <t>minAvailable: 3   # with three replicas, drains block forever</t>
        </is>
      </c>
      <c r="AO25" s="19" t="inlineStr">
        <is>
          <t>minAvailable: 2</t>
        </is>
      </c>
      <c r="AP25" s="18" t="inlineStr">
        <is>
          <t>Budgets limit planned outages only.</t>
        </is>
      </c>
      <c r="AQ25" s="18" t="inlineStr">
        <is>
          <t>A budget let node upgrades roll through without any visible outage.</t>
        </is>
      </c>
      <c r="AR25" s="18" t="inlineStr">
        <is>
          <t>An interviewer may ask: What does a PodDisruptionBudget protect against?</t>
        </is>
      </c>
      <c r="AS25" s="18" t="inlineStr">
        <is>
          <t>It is like a rule keeping staff on shift.</t>
        </is>
      </c>
      <c r="AT25" s="18" t="inlineStr">
        <is>
          <t>Which events does a PDB cover?</t>
        </is>
      </c>
      <c r="AU25" s="18" t="inlineStr">
        <is>
          <t>A) Voluntary disruptions such as drains B) Crashes C) Power cuts D) Bugs</t>
        </is>
      </c>
      <c r="AV25" s="18" t="inlineStr">
        <is>
          <t>A</t>
        </is>
      </c>
      <c r="AW25" s="18" t="inlineStr">
        <is>
          <t>Involuntary failures bypass budgets.</t>
        </is>
      </c>
      <c r="AX25" s="19" t="inlineStr">
        <is>
          <t>Draining a node is a ____ disruption → voluntary</t>
        </is>
      </c>
      <c r="AY25" s="18" t="inlineStr">
        <is>
          <t>Keep at least two web pods available.</t>
        </is>
      </c>
      <c r="AZ25" s="19" t="inlineStr">
        <is>
          <t>minAvailable: 2</t>
        </is>
      </c>
      <c r="BA25" s="18" t="inlineStr">
        <is>
          <t>Write a budget that allows one web pod to be down.</t>
        </is>
      </c>
      <c r="BB25" s="19" t="inlineStr">
        <is>
          <t>Why can a budget block a drain forever?</t>
        </is>
      </c>
      <c r="BC25" s="19" t="inlineStr">
        <is>
          <t>It may require every replica to stay up.</t>
        </is>
      </c>
      <c r="BD25" s="17">
        <f>IF(K25="","",REPT("★",K25)&amp;REPT("☆",5-K25)&amp;" ("&amp;K25&amp;"/5)")</f>
        <v/>
      </c>
      <c r="BE25" s="17">
        <f>IF(S25="","","Meaning: "&amp;S25&amp;"  =  ______   (Answer: "&amp;F25&amp;")")</f>
        <v/>
      </c>
      <c r="BF25" s="17" t="inlineStr">
        <is>
          <t>New</t>
        </is>
      </c>
      <c r="BG25" s="17" t="n"/>
      <c r="BH25" s="17" t="n"/>
      <c r="BI25" s="17" t="n"/>
      <c r="BJ25" s="17" t="n"/>
      <c r="BK25" s="17" t="n"/>
      <c r="BL25" s="17" t="n"/>
      <c r="BM25" s="17" t="n"/>
      <c r="BN25" s="17" t="n"/>
    </row>
    <row r="26" ht="162" customHeight="1">
      <c r="A26" s="17" t="inlineStr">
        <is>
          <t>K8S-034</t>
        </is>
      </c>
      <c r="B26" s="17" t="inlineStr">
        <is>
          <t>05 Reliability</t>
        </is>
      </c>
      <c r="C26" s="17" t="inlineStr">
        <is>
          <t>Intermediate</t>
        </is>
      </c>
      <c r="D26" s="17" t="n">
        <v>34</v>
      </c>
      <c r="E26" s="17" t="inlineStr">
        <is>
          <t>Claude knowledge</t>
        </is>
      </c>
      <c r="F26" s="18" t="inlineStr">
        <is>
          <t>Resource quotas</t>
        </is>
      </c>
      <c r="G26" s="18" t="inlineStr">
        <is>
          <t>Which objects cap total resources used in a namespace?</t>
        </is>
      </c>
      <c r="H26" s="17" t="n"/>
      <c r="I26" s="18" t="inlineStr">
        <is>
          <t>Resource</t>
        </is>
      </c>
      <c r="J26" s="18" t="inlineStr">
        <is>
          <t>Medium</t>
        </is>
      </c>
      <c r="K26" s="18" t="n">
        <v>4</v>
      </c>
      <c r="L26" s="18" t="inlineStr">
        <is>
          <t>Shared clusters need fairness, so quotas limit what each team's namespace can consume.</t>
        </is>
      </c>
      <c r="M26" s="18" t="inlineStr">
        <is>
          <t>Pair quotas with a LimitRange so pods get default requests.</t>
        </is>
      </c>
      <c r="N26" s="17" t="n"/>
      <c r="O26" s="18" t="inlineStr">
        <is>
          <t>A quota is a household budget for a namespace.</t>
        </is>
      </c>
      <c r="P26" s="18" t="inlineStr">
        <is>
          <t>A namespace bar filling towards its limit.</t>
        </is>
      </c>
      <c r="Q26" s="18" t="inlineStr">
        <is>
          <t>The fairness of capacity that is shared evenly.</t>
        </is>
      </c>
      <c r="R26" s="18" t="inlineStr">
        <is>
          <t>A ResourceQuota limits the total CPU, memory, storage and object counts in a namespace, and rejects new objects that would exceed it.</t>
        </is>
      </c>
      <c r="S26" s="17" t="n"/>
      <c r="T26" s="19" t="inlineStr">
        <is>
          <t>apiVersion: v1
kind: ResourceQuota
metadata:
  name: team-a
  namespace: team-a
spec:
  hard:
    requests.cpu: "10"
    requests.memory: 20Gi
    limits.memory: 40Gi
    pods: "50"
    persistentvolumeclaims: "10"</t>
        </is>
      </c>
      <c r="U26" s="19" t="inlineStr">
        <is>
          <t>The namespace team-a cannot request more than ten CPUs, 20Gi memory or fifty pods in total.</t>
        </is>
      </c>
      <c r="V26" s="18" t="inlineStr">
        <is>
          <t>When a quota covers CPU or memory, pods must declare requests and limits, or they are rejected. A LimitRange supplies defaults. Used and hard values show in kubectl describe quota. Quotas stop one team from starving others. They cap totals, not single pods.</t>
        </is>
      </c>
      <c r="W26" s="18" t="inlineStr">
        <is>
          <t>Set a quota per namespace, and give pods default requests with a LimitRange.</t>
        </is>
      </c>
      <c r="X26" s="18" t="inlineStr">
        <is>
          <t>A quota is a household budget for a namespace.</t>
        </is>
      </c>
      <c r="Y26" s="19" t="inlineStr">
        <is>
          <t>kind: ResourceQuota / spec.hard</t>
        </is>
      </c>
      <c r="Z26" s="18" t="inlineStr">
        <is>
          <t>hard = maximum totals | used = current | LimitRange = defaults</t>
        </is>
      </c>
      <c r="AA26" s="19" t="inlineStr">
        <is>
          <t>kubectl describe quota -n team-a</t>
        </is>
      </c>
      <c r="AB26" s="19" t="inlineStr">
        <is>
          <t>count/deployments.apps: "20"</t>
        </is>
      </c>
      <c r="AC26" s="19" t="inlineStr">
        <is>
          <t>kind: LimitRange with default requests</t>
        </is>
      </c>
      <c r="AD26" s="19" t="inlineStr">
        <is>
          <t>scopeSelector for priority classes   // quotas by scope</t>
        </is>
      </c>
      <c r="AE26" s="18" t="inlineStr">
        <is>
          <t>namespaces, requests and limits, LimitRange</t>
        </is>
      </c>
      <c r="AF26" s="18" t="inlineStr">
        <is>
          <t>namespaces, requests and limits, autoscaling, cost control</t>
        </is>
      </c>
      <c r="AG26" s="18" t="inlineStr">
        <is>
          <t>Separate clusters</t>
        </is>
      </c>
      <c r="AH26" s="17" t="n"/>
      <c r="AI26" s="18" t="inlineStr">
        <is>
          <t>Multi-team clusters | Cost control | Fairness</t>
        </is>
      </c>
      <c r="AJ26" s="18" t="inlineStr">
        <is>
          <t>A: New pods are rejected as exceeding quota. | B: The namespace is at its limit, so raise it or free capacity.</t>
        </is>
      </c>
      <c r="AK26" s="18" t="inlineStr">
        <is>
          <t>✗ A quota limits each pod → ✓ It limits the namespace total</t>
        </is>
      </c>
      <c r="AL26" s="18" t="inlineStr">
        <is>
          <t>Quota vs limit: a quota caps a namespace, a limit caps one container.</t>
        </is>
      </c>
      <c r="AM26" s="18" t="inlineStr">
        <is>
          <t>Do not add a compute quota without defaults for requests.</t>
        </is>
      </c>
      <c r="AN26" s="19" t="inlineStr">
        <is>
          <t>hard: { requests.cpu: "10" }   # pods without requests are rejected</t>
        </is>
      </c>
      <c r="AO26" s="19" t="inlineStr">
        <is>
          <t># add a LimitRange with default requests too</t>
        </is>
      </c>
      <c r="AP26" s="18" t="inlineStr">
        <is>
          <t>Quotas cap totals, limits cap containers.</t>
        </is>
      </c>
      <c r="AQ26" s="18" t="inlineStr">
        <is>
          <t>Quotas stopped one team's runaway job from consuming the whole cluster.</t>
        </is>
      </c>
      <c r="AR26" s="18" t="inlineStr">
        <is>
          <t>An interviewer may ask: What is the difference between a quota and a limit?</t>
        </is>
      </c>
      <c r="AS26" s="18" t="inlineStr">
        <is>
          <t>It is like a household budget.</t>
        </is>
      </c>
      <c r="AT26" s="18" t="inlineStr">
        <is>
          <t>What does a ResourceQuota limit?</t>
        </is>
      </c>
      <c r="AU26" s="18" t="inlineStr">
        <is>
          <t>A) One container B) Total resources in a namespace C) One image D) One node</t>
        </is>
      </c>
      <c r="AV26" s="18" t="inlineStr">
        <is>
          <t>B</t>
        </is>
      </c>
      <c r="AW26" s="18" t="inlineStr">
        <is>
          <t>It caps namespace totals.</t>
        </is>
      </c>
      <c r="AX26" s="19" t="inlineStr">
        <is>
          <t>Default requests for pods come from a ____ → LimitRange</t>
        </is>
      </c>
      <c r="AY26" s="18" t="inlineStr">
        <is>
          <t>Show quota usage for the namespace team-a.</t>
        </is>
      </c>
      <c r="AZ26" s="19" t="inlineStr">
        <is>
          <t>kubectl describe quota -n team-a</t>
        </is>
      </c>
      <c r="BA26" s="18" t="inlineStr">
        <is>
          <t>Write a quota allowing ten pods and 8 CPUs.</t>
        </is>
      </c>
      <c r="BB26" s="19" t="inlineStr">
        <is>
          <t>Why can pods be rejected under a compute quota?</t>
        </is>
      </c>
      <c r="BC26" s="19" t="inlineStr">
        <is>
          <t>They must declare requests and limits.</t>
        </is>
      </c>
      <c r="BD26" s="17">
        <f>IF(K26="","",REPT("★",K26)&amp;REPT("☆",5-K26)&amp;" ("&amp;K26&amp;"/5)")</f>
        <v/>
      </c>
      <c r="BE26" s="17">
        <f>IF(S26="","","Meaning: "&amp;S26&amp;"  =  ______   (Answer: "&amp;F26&amp;")")</f>
        <v/>
      </c>
      <c r="BF26" s="17" t="inlineStr">
        <is>
          <t>New</t>
        </is>
      </c>
      <c r="BG26" s="17" t="n"/>
      <c r="BH26" s="17" t="n"/>
      <c r="BI26" s="17" t="n"/>
      <c r="BJ26" s="17" t="n"/>
      <c r="BK26" s="17" t="n"/>
      <c r="BL26" s="17" t="n"/>
      <c r="BM26" s="17" t="n"/>
      <c r="BN26" s="17" t="n"/>
    </row>
    <row r="27" ht="229.5" customHeight="1">
      <c r="A27" s="17" t="inlineStr">
        <is>
          <t>K8S-035</t>
        </is>
      </c>
      <c r="B27" s="17" t="inlineStr">
        <is>
          <t>06 Security</t>
        </is>
      </c>
      <c r="C27" s="17" t="inlineStr">
        <is>
          <t>Intermediate</t>
        </is>
      </c>
      <c r="D27" s="17" t="n">
        <v>35</v>
      </c>
      <c r="E27" s="17" t="inlineStr">
        <is>
          <t>Claude knowledge</t>
        </is>
      </c>
      <c r="F27" s="18" t="inlineStr">
        <is>
          <t>RBAC</t>
        </is>
      </c>
      <c r="G27" s="18" t="inlineStr">
        <is>
          <t>Which system decides who may do what to which resources in the cluster?</t>
        </is>
      </c>
      <c r="H27" s="17" t="n"/>
      <c r="I27" s="18" t="inlineStr">
        <is>
          <t>Resource</t>
        </is>
      </c>
      <c r="J27" s="18" t="inlineStr">
        <is>
          <t>Very high</t>
        </is>
      </c>
      <c r="K27" s="18" t="n">
        <v>5</v>
      </c>
      <c r="L27" s="18" t="inlineStr">
        <is>
          <t>Clusters hold powerful controls, so role-based access control grants only the verbs people and tools need.</t>
        </is>
      </c>
      <c r="M27" s="18" t="inlineStr">
        <is>
          <t>Grant namespaced Roles before cluster-wide ClusterRoles, and bind to groups.</t>
        </is>
      </c>
      <c r="N27" s="17" t="n"/>
      <c r="O27" s="18" t="inlineStr">
        <is>
          <t>RBAC is a keycard system where each card opens only certain doors.</t>
        </is>
      </c>
      <c r="P27" s="18" t="inlineStr">
        <is>
          <t>A role listing verbs on resources, bound to a user.</t>
        </is>
      </c>
      <c r="Q27" s="18" t="inlineStr">
        <is>
          <t>The assurance of access that stays limited.</t>
        </is>
      </c>
      <c r="R27" s="18" t="inlineStr">
        <is>
          <t>A Role lists allowed verbs on resources in a namespace, a ClusterRole does so cluster-wide, and a RoleBinding or ClusterRoleBinding gives that role to users, groups or service accounts.</t>
        </is>
      </c>
      <c r="S27" s="17" t="n"/>
      <c r="T27" s="19" t="inlineStr">
        <is>
          <t>apiVersion: rbac.authorization.k8s.io/v1
kind: Role
metadata: { name: pod-reader, namespace: shop }
rules:
  - apiGroups: [""]
    resources: ["pods", "pods/log"]
    verbs: ["get", "list", "watch"]
---
kind: RoleBinding
apiVersion: rbac.authorization.k8s.io/v1
metadata: { name: read-pods, namespace: shop }
subjects:
  - { kind: User, name: asha }
roleRef: { kind: Role, name: pod-reader, apiGroup: rbac.authorization.k8s.io }</t>
        </is>
      </c>
      <c r="U27" s="19" t="inlineStr">
        <is>
          <t>The user asha can read pods and their logs in the shop namespace only.</t>
        </is>
      </c>
      <c r="V27" s="18" t="inlineStr">
        <is>
          <t>Permissions are only additive, with no deny rules. Verbs include get, list, watch, create, update, patch and delete. Check access with kubectl auth can-i. Avoid cluster-admin except for few trusted people. Managed clusters link cloud identities to Kubernetes groups.</t>
        </is>
      </c>
      <c r="W27" s="18" t="inlineStr">
        <is>
          <t>Write Roles for needed verbs, bind them to subjects, and test with can-i.</t>
        </is>
      </c>
      <c r="X27" s="18" t="inlineStr">
        <is>
          <t>RBAC is a keycard system where each card opens only certain doors.</t>
        </is>
      </c>
      <c r="Y27" s="19" t="inlineStr">
        <is>
          <t>Role / ClusterRole + RoleBinding / ClusterRoleBinding</t>
        </is>
      </c>
      <c r="Z27" s="18" t="inlineStr">
        <is>
          <t>rules = verbs on resources | subjects = who | roleRef = which role</t>
        </is>
      </c>
      <c r="AA27" s="19" t="inlineStr">
        <is>
          <t>kubectl auth can-i delete pods -n shop --as asha</t>
        </is>
      </c>
      <c r="AB27" s="19" t="inlineStr">
        <is>
          <t>kind: ClusterRoleBinding to a group</t>
        </is>
      </c>
      <c r="AC27" s="19" t="inlineStr">
        <is>
          <t>verbs: ["*"]   // avoid</t>
        </is>
      </c>
      <c r="AD27" s="19" t="inlineStr">
        <is>
          <t>kubectl create rolebinding read-pods --role=pod-reader --user=asha -n shop   // quick binding</t>
        </is>
      </c>
      <c r="AE27" s="18" t="inlineStr">
        <is>
          <t>service accounts, namespaces, cloud identities</t>
        </is>
      </c>
      <c r="AF27" s="18" t="inlineStr">
        <is>
          <t>service accounts, namespaces, least privilege, IAM</t>
        </is>
      </c>
      <c r="AG27" s="18" t="inlineStr">
        <is>
          <t>Cloud identity integrations</t>
        </is>
      </c>
      <c r="AH27" s="17" t="n"/>
      <c r="AI27" s="18" t="inlineStr">
        <is>
          <t>Every shared cluster | Audits | CI access</t>
        </is>
      </c>
      <c r="AJ27" s="18" t="inlineStr">
        <is>
          <t>A: Can the pipeline delete namespaces? | B: Check with can-i, and give it only the verbs it needs.</t>
        </is>
      </c>
      <c r="AK27" s="18" t="inlineStr">
        <is>
          <t>✗ RBAC can deny actions explicitly → ✓ It only adds permissions, so absence means denied</t>
        </is>
      </c>
      <c r="AL27" s="18" t="inlineStr">
        <is>
          <t>Role vs ClusterRole: a Role is namespaced, a ClusterRole is cluster-wide.</t>
        </is>
      </c>
      <c r="AM27" s="18" t="inlineStr">
        <is>
          <t>Do not grant cluster-admin to applications.</t>
        </is>
      </c>
      <c r="AN27" s="19" t="inlineStr">
        <is>
          <t>verbs: ["*"]   # grants everything</t>
        </is>
      </c>
      <c r="AO27" s="19" t="inlineStr">
        <is>
          <t>verbs: ["get", "list", "watch"]</t>
        </is>
      </c>
      <c r="AP27" s="18" t="inlineStr">
        <is>
          <t>Roles hold verbs, bindings hand them out.</t>
        </is>
      </c>
      <c r="AQ27" s="18" t="inlineStr">
        <is>
          <t>Replacing cluster-admin for a pipeline with a narrow Role removed a major risk.</t>
        </is>
      </c>
      <c r="AR27" s="18" t="inlineStr">
        <is>
          <t>An interviewer may ask: What is the difference between a Role and a ClusterRole?</t>
        </is>
      </c>
      <c r="AS27" s="18" t="inlineStr">
        <is>
          <t>It is like keycards opening certain doors.</t>
        </is>
      </c>
      <c r="AT27" s="18" t="inlineStr">
        <is>
          <t>Which object gives a Role to a user?</t>
        </is>
      </c>
      <c r="AU27" s="18" t="inlineStr">
        <is>
          <t>A) ConfigMap B) Ingress C) RoleBinding D) Service</t>
        </is>
      </c>
      <c r="AV27" s="18" t="inlineStr">
        <is>
          <t>C</t>
        </is>
      </c>
      <c r="AW27" s="18" t="inlineStr">
        <is>
          <t>Bindings connect roles to subjects.</t>
        </is>
      </c>
      <c r="AX27" s="19" t="inlineStr">
        <is>
          <t>The command to test permissions is kubectl auth can-____ → i</t>
        </is>
      </c>
      <c r="AY27" s="18" t="inlineStr">
        <is>
          <t>Check whether asha can delete pods in shop.</t>
        </is>
      </c>
      <c r="AZ27" s="19" t="inlineStr">
        <is>
          <t>kubectl auth can-i delete pods -n shop --as asha</t>
        </is>
      </c>
      <c r="BA27" s="18" t="inlineStr">
        <is>
          <t>Write a Role that allows reading deployments in one namespace.</t>
        </is>
      </c>
      <c r="BB27" s="19" t="inlineStr">
        <is>
          <t>Does RBAC support deny rules?</t>
        </is>
      </c>
      <c r="BC27" s="19" t="inlineStr">
        <is>
          <t>No, permissions are only additive.</t>
        </is>
      </c>
      <c r="BD27" s="17">
        <f>IF(K27="","",REPT("★",K27)&amp;REPT("☆",5-K27)&amp;" ("&amp;K27&amp;"/5)")</f>
        <v/>
      </c>
      <c r="BE27" s="17">
        <f>IF(S27="","","Meaning: "&amp;S27&amp;"  =  ______   (Answer: "&amp;F27&amp;")")</f>
        <v/>
      </c>
      <c r="BF27" s="17" t="inlineStr">
        <is>
          <t>New</t>
        </is>
      </c>
      <c r="BG27" s="17" t="n"/>
      <c r="BH27" s="17" t="n"/>
      <c r="BI27" s="17" t="n"/>
      <c r="BJ27" s="17" t="n"/>
      <c r="BK27" s="17" t="n"/>
      <c r="BL27" s="17" t="n"/>
      <c r="BM27" s="17" t="n"/>
      <c r="BN27" s="17" t="n"/>
    </row>
    <row r="28" ht="121.5" customHeight="1">
      <c r="A28" s="17" t="inlineStr">
        <is>
          <t>K8S-036</t>
        </is>
      </c>
      <c r="B28" s="17" t="inlineStr">
        <is>
          <t>06 Security</t>
        </is>
      </c>
      <c r="C28" s="17" t="inlineStr">
        <is>
          <t>Intermediate</t>
        </is>
      </c>
      <c r="D28" s="17" t="n">
        <v>36</v>
      </c>
      <c r="E28" s="17" t="inlineStr">
        <is>
          <t>Claude knowledge</t>
        </is>
      </c>
      <c r="F28" s="18" t="inlineStr">
        <is>
          <t>Service accounts</t>
        </is>
      </c>
      <c r="G28" s="18" t="inlineStr">
        <is>
          <t>Which identities do pods use to call the Kubernetes API?</t>
        </is>
      </c>
      <c r="H28" s="17" t="n"/>
      <c r="I28" s="18" t="inlineStr">
        <is>
          <t>Resource</t>
        </is>
      </c>
      <c r="J28" s="18" t="inlineStr">
        <is>
          <t>High</t>
        </is>
      </c>
      <c r="K28" s="18" t="n">
        <v>4</v>
      </c>
      <c r="L28" s="18" t="inlineStr">
        <is>
          <t>Programs in pods sometimes need to talk to the API, so each pod runs as a service account with its own permissions.</t>
        </is>
      </c>
      <c r="M28" s="18" t="inlineStr">
        <is>
          <t>Create a service account per app, and turn off token mounting when the app does not use the API.</t>
        </is>
      </c>
      <c r="N28" s="17" t="n"/>
      <c r="O28" s="18" t="inlineStr">
        <is>
          <t>A service account is a staff badge issued to a program instead of a person.</t>
        </is>
      </c>
      <c r="P28" s="18" t="inlineStr">
        <is>
          <t>A pod carrying a badge linked to a role.</t>
        </is>
      </c>
      <c r="Q28" s="18" t="inlineStr">
        <is>
          <t>The tidiness of identities per workload.</t>
        </is>
      </c>
      <c r="R28" s="18" t="inlineStr">
        <is>
          <t>A ServiceAccount is an identity for processes in pods, to which RBAC roles are bound, and short-lived tokens are issued to the pod when it needs API access.</t>
        </is>
      </c>
      <c r="S28" s="17" t="n"/>
      <c r="T28" s="19" t="inlineStr">
        <is>
          <t>apiVersion: v1
kind: ServiceAccount
metadata: { name: report-job, namespace: shop }
automountServiceAccountToken: false
---
# pod spec
# serviceAccountName: report-job</t>
        </is>
      </c>
      <c r="U28" s="19" t="inlineStr">
        <is>
          <t>The pod runs as report-job with no API token mounted unless a role requires it.</t>
        </is>
      </c>
      <c r="V28" s="18" t="inlineStr">
        <is>
          <t>Every namespace has a default service account that should not hold special permissions. Tokens are projected, expire and are bound to the pod. Cloud integrations such as IRSA and workload identity map service accounts to cloud roles, so pods get cloud access without keys. Bind only the verbs needed.</t>
        </is>
      </c>
      <c r="W28" s="18" t="inlineStr">
        <is>
          <t>Give each app its own service account, bind narrow roles, and avoid token mounts when unused.</t>
        </is>
      </c>
      <c r="X28" s="18" t="inlineStr">
        <is>
          <t>A service account is a staff badge issued to a program.</t>
        </is>
      </c>
      <c r="Y28" s="19" t="inlineStr">
        <is>
          <t>kind: ServiceAccount / serviceAccountName in the pod spec</t>
        </is>
      </c>
      <c r="Z28" s="18" t="inlineStr">
        <is>
          <t>serviceAccountName = identity | automountServiceAccountToken = token mount | binding = permissions</t>
        </is>
      </c>
      <c r="AA28" s="19" t="inlineStr">
        <is>
          <t>kubectl create serviceaccount report-job -n shop</t>
        </is>
      </c>
      <c r="AB28" s="19" t="inlineStr">
        <is>
          <t>eks.amazonaws.com/role-arn annotation</t>
        </is>
      </c>
      <c r="AC28" s="19" t="inlineStr">
        <is>
          <t>kubectl get sa -n shop</t>
        </is>
      </c>
      <c r="AD28" s="19" t="inlineStr">
        <is>
          <t>kubectl create token report-job   // a short-lived token</t>
        </is>
      </c>
      <c r="AE28" s="18" t="inlineStr">
        <is>
          <t>RBAC, cloud identity, pods</t>
        </is>
      </c>
      <c r="AF28" s="18" t="inlineStr">
        <is>
          <t>RBAC, temporary credentials, secrets, pods</t>
        </is>
      </c>
      <c r="AG28" s="18" t="inlineStr">
        <is>
          <t>External identity systems</t>
        </is>
      </c>
      <c r="AH28" s="17" t="n"/>
      <c r="AI28" s="18" t="inlineStr">
        <is>
          <t>Controllers | Pipelines | Cloud access from pods</t>
        </is>
      </c>
      <c r="AJ28" s="18" t="inlineStr">
        <is>
          <t>A: How does the pod get cloud access without keys? | B: Map its service account to a cloud role.</t>
        </is>
      </c>
      <c r="AK28" s="18" t="inlineStr">
        <is>
          <t>✗ All pods should share the default service account → ✓ Each app needs its own, with only needed permissions</t>
        </is>
      </c>
      <c r="AL28" s="18" t="inlineStr">
        <is>
          <t>ServiceAccount vs user: service accounts are for pods, users are for people.</t>
        </is>
      </c>
      <c r="AM28" s="18" t="inlineStr">
        <is>
          <t>Do not bind powerful roles to the default service account.</t>
        </is>
      </c>
      <c r="AN28" s="19" t="inlineStr">
        <is>
          <t># pods all use the default service account</t>
        </is>
      </c>
      <c r="AO28" s="19" t="inlineStr">
        <is>
          <t>serviceAccountName: report-job</t>
        </is>
      </c>
      <c r="AP28" s="18" t="inlineStr">
        <is>
          <t>Give each workload its own badge.</t>
        </is>
      </c>
      <c r="AQ28" s="18" t="inlineStr">
        <is>
          <t>Mapping service accounts to cloud roles removed stored cloud keys from pods.</t>
        </is>
      </c>
      <c r="AR28" s="18" t="inlineStr">
        <is>
          <t>An interviewer may ask: How do pods authenticate to the API?</t>
        </is>
      </c>
      <c r="AS28" s="18" t="inlineStr">
        <is>
          <t>It is like a staff badge for a program.</t>
        </is>
      </c>
      <c r="AT28" s="18" t="inlineStr">
        <is>
          <t>Which identity do pods use for the API?</t>
        </is>
      </c>
      <c r="AU28" s="18" t="inlineStr">
        <is>
          <t>A) A label B) A node name C) A Secret key D) A service account</t>
        </is>
      </c>
      <c r="AV28" s="18" t="inlineStr">
        <is>
          <t>D</t>
        </is>
      </c>
      <c r="AW28" s="18" t="inlineStr">
        <is>
          <t>Pods run as service accounts.</t>
        </is>
      </c>
      <c r="AX28" s="19" t="inlineStr">
        <is>
          <t>The field that picks a pod's identity is service____ → AccountName</t>
        </is>
      </c>
      <c r="AY28" s="18" t="inlineStr">
        <is>
          <t>Create a service account called report-job.</t>
        </is>
      </c>
      <c r="AZ28" s="19" t="inlineStr">
        <is>
          <t>kubectl create serviceaccount report-job -n shop</t>
        </is>
      </c>
      <c r="BA28" s="18" t="inlineStr">
        <is>
          <t>Write a pod spec that uses a custom service account.</t>
        </is>
      </c>
      <c r="BB28" s="19" t="inlineStr">
        <is>
          <t>Why disable token mounting for some pods?</t>
        </is>
      </c>
      <c r="BC28" s="19" t="inlineStr">
        <is>
          <t>An unused token is an unneeded risk.</t>
        </is>
      </c>
      <c r="BD28" s="17">
        <f>IF(K28="","",REPT("★",K28)&amp;REPT("☆",5-K28)&amp;" ("&amp;K28&amp;"/5)")</f>
        <v/>
      </c>
      <c r="BE28" s="17">
        <f>IF(S28="","","Meaning: "&amp;S28&amp;"  =  ______   (Answer: "&amp;F28&amp;")")</f>
        <v/>
      </c>
      <c r="BF28" s="17" t="inlineStr">
        <is>
          <t>New</t>
        </is>
      </c>
      <c r="BG28" s="17" t="n"/>
      <c r="BH28" s="17" t="n"/>
      <c r="BI28" s="17" t="n"/>
      <c r="BJ28" s="17" t="n"/>
      <c r="BK28" s="17" t="n"/>
      <c r="BL28" s="17" t="n"/>
      <c r="BM28" s="17" t="n"/>
      <c r="BN28" s="17" t="n"/>
    </row>
    <row r="29" ht="148.5" customHeight="1">
      <c r="A29" s="17" t="inlineStr">
        <is>
          <t>K8S-037</t>
        </is>
      </c>
      <c r="B29" s="17" t="inlineStr">
        <is>
          <t>06 Security</t>
        </is>
      </c>
      <c r="C29" s="17" t="inlineStr">
        <is>
          <t>Advanced</t>
        </is>
      </c>
      <c r="D29" s="17" t="n">
        <v>37</v>
      </c>
      <c r="E29" s="17" t="inlineStr">
        <is>
          <t>Claude knowledge</t>
        </is>
      </c>
      <c r="F29" s="18" t="inlineStr">
        <is>
          <t>Pod security</t>
        </is>
      </c>
      <c r="G29" s="18" t="inlineStr">
        <is>
          <t>Which settings keep containers from running with dangerous privileges?</t>
        </is>
      </c>
      <c r="H29" s="17" t="n"/>
      <c r="I29" s="18" t="inlineStr">
        <is>
          <t>Resource setting</t>
        </is>
      </c>
      <c r="J29" s="18" t="inlineStr">
        <is>
          <t>High</t>
        </is>
      </c>
      <c r="K29" s="18" t="n">
        <v>5</v>
      </c>
      <c r="L29" s="18" t="inlineStr">
        <is>
          <t>A container with excess privileges can break out to the node, so pods are restricted through security contexts and admission standards.</t>
        </is>
      </c>
      <c r="M29" s="18" t="inlineStr">
        <is>
          <t>Run as non-root with a read-only file system and drop all capabilities.</t>
        </is>
      </c>
      <c r="N29" s="17" t="n"/>
      <c r="O29" s="18" t="inlineStr">
        <is>
          <t>Pod security is taking sharp tools away from visitors before they enter.</t>
        </is>
      </c>
      <c r="P29" s="18" t="inlineStr">
        <is>
          <t>A single pod drawn with every locked-down setting visible.</t>
        </is>
      </c>
      <c r="Q29" s="18" t="inlineStr">
        <is>
          <t>The assurance of containers with no spare power.</t>
        </is>
      </c>
      <c r="R29" s="18" t="inlineStr">
        <is>
          <t>A securityContext sets user, privilege and capability options, and Pod Security Standards enforced by admission at namespace level, such as baseline and restricted, block risky pods.</t>
        </is>
      </c>
      <c r="S29" s="17" t="n"/>
      <c r="T29" s="19" t="inlineStr">
        <is>
          <t>securityContext:
  runAsNonRoot: true
  runAsUser: 10001
  allowPrivilegeEscalation: false
  readOnlyRootFilesystem: true
  capabilities:
    drop: ["ALL"]
  seccompProfile: { type: RuntimeDefault }
# label a namespace:
# pod-security.kubernetes.io/enforce: restricted</t>
        </is>
      </c>
      <c r="U29" s="19" t="inlineStr">
        <is>
          <t>The container runs as an unprivileged user with a read-only file system and no extra capabilities, and the namespace rejects riskier pods.</t>
        </is>
      </c>
      <c r="V29" s="18" t="inlineStr">
        <is>
          <t>Privileged containers, host networking and host paths give wide access and should be avoided. Levels are privileged, baseline and restricted. Policy engines such as Kyverno or OPA Gatekeeper add custom rules. Combine with image scanning and network policies. Read-only roots need writable volumes for temporary files.</t>
        </is>
      </c>
      <c r="W29" s="18" t="inlineStr">
        <is>
          <t>Run as non-root, block escalation, drop capabilities, and enforce the restricted standard.</t>
        </is>
      </c>
      <c r="X29" s="18" t="inlineStr">
        <is>
          <t>Pod security is taking sharp tools away from visitors before they enter.</t>
        </is>
      </c>
      <c r="Y29" s="19" t="inlineStr">
        <is>
          <t>securityContext: { runAsNonRoot, allowPrivilegeEscalation, capabilities }</t>
        </is>
      </c>
      <c r="Z29" s="18" t="inlineStr">
        <is>
          <t>runAsNonRoot = no root | capabilities drop = fewer powers | enforce label = namespace rule</t>
        </is>
      </c>
      <c r="AA29" s="19" t="inlineStr">
        <is>
          <t>privileged: false</t>
        </is>
      </c>
      <c r="AB29" s="19" t="inlineStr">
        <is>
          <t>kubectl label ns shop pod-security.kubernetes.io/enforce=restricted</t>
        </is>
      </c>
      <c r="AC29" s="19" t="inlineStr">
        <is>
          <t>hostNetwork: false</t>
        </is>
      </c>
      <c r="AD29" s="19" t="inlineStr">
        <is>
          <t>Kyverno policy requiring resource limits   // custom admission rule</t>
        </is>
      </c>
      <c r="AE29" s="18" t="inlineStr">
        <is>
          <t>image scanning, RBAC, admission policy</t>
        </is>
      </c>
      <c r="AF29" s="18" t="inlineStr">
        <is>
          <t>RBAC, image pull secrets, Docker non-root, network policies</t>
        </is>
      </c>
      <c r="AG29" s="18" t="inlineStr">
        <is>
          <t>Kyverno | OPA Gatekeeper</t>
        </is>
      </c>
      <c r="AH29" s="17" t="n"/>
      <c r="AI29" s="18" t="inlineStr">
        <is>
          <t>Production clusters | Compliance | Multi-tenant platforms</t>
        </is>
      </c>
      <c r="AJ29" s="18" t="inlineStr">
        <is>
          <t>A: A pod runs as root with host access. | B: Enforce the restricted standard in the namespace.</t>
        </is>
      </c>
      <c r="AK29" s="18" t="inlineStr">
        <is>
          <t>✗ Containers are isolated enough that privileges do not matter → ✓ Privileged settings can give access to the whole node</t>
        </is>
      </c>
      <c r="AL29" s="18" t="inlineStr">
        <is>
          <t>securityContext vs admission policy: one configures a pod, the other enforces rules on all pods.</t>
        </is>
      </c>
      <c r="AM29" s="18" t="inlineStr">
        <is>
          <t>Do not run privileged containers.</t>
        </is>
      </c>
      <c r="AN29" s="19" t="inlineStr">
        <is>
          <t>securityContext: { privileged: true }</t>
        </is>
      </c>
      <c r="AO29" s="19" t="inlineStr">
        <is>
          <t>securityContext: { runAsNonRoot: true, allowPrivilegeEscalation: false }</t>
        </is>
      </c>
      <c r="AP29" s="18" t="inlineStr">
        <is>
          <t>Non-root, read-only, no extra powers.</t>
        </is>
      </c>
      <c r="AQ29" s="18" t="inlineStr">
        <is>
          <t>Enforcing restricted standards blocked a risky image from starting.</t>
        </is>
      </c>
      <c r="AR29" s="18" t="inlineStr">
        <is>
          <t>An interviewer may ask: What are the Pod Security Standards?</t>
        </is>
      </c>
      <c r="AS29" s="18" t="inlineStr">
        <is>
          <t>It is like removing sharp tools before visitors enter.</t>
        </is>
      </c>
      <c r="AT29" s="18" t="inlineStr">
        <is>
          <t>Which setting prevents running as root?</t>
        </is>
      </c>
      <c r="AU29" s="18" t="inlineStr">
        <is>
          <t>A) runAsNonRoot B) hostNetwork C) hostPath D) privileged</t>
        </is>
      </c>
      <c r="AV29" s="18" t="inlineStr">
        <is>
          <t>A</t>
        </is>
      </c>
      <c r="AW29" s="18" t="inlineStr">
        <is>
          <t>It requires a non-root user.</t>
        </is>
      </c>
      <c r="AX29" s="19" t="inlineStr">
        <is>
          <t>The strictest Pod Security level is ____ → restricted</t>
        </is>
      </c>
      <c r="AY29" s="18" t="inlineStr">
        <is>
          <t>Drop all capabilities in a container.</t>
        </is>
      </c>
      <c r="AZ29" s="19" t="inlineStr">
        <is>
          <t>securityContext: { capabilities: { drop: ["ALL"] } }</t>
        </is>
      </c>
      <c r="BA29" s="18" t="inlineStr">
        <is>
          <t>Write a securityContext for an unprivileged container.</t>
        </is>
      </c>
      <c r="BB29" s="19" t="inlineStr">
        <is>
          <t>Why use a read-only root file system?</t>
        </is>
      </c>
      <c r="BC29" s="19" t="inlineStr">
        <is>
          <t>It stops processes writing to the container's root file system, so attackers cannot easily plant files or tools.</t>
        </is>
      </c>
      <c r="BD29" s="17">
        <f>IF(K29="","",REPT("★",K29)&amp;REPT("☆",5-K29)&amp;" ("&amp;K29&amp;"/5)")</f>
        <v/>
      </c>
      <c r="BE29" s="17">
        <f>IF(S29="","","Meaning: "&amp;S29&amp;"  =  ______   (Answer: "&amp;F29&amp;")")</f>
        <v/>
      </c>
      <c r="BF29" s="17" t="inlineStr">
        <is>
          <t>New</t>
        </is>
      </c>
      <c r="BG29" s="17" t="n"/>
      <c r="BH29" s="17" t="n"/>
      <c r="BI29" s="17" t="n"/>
      <c r="BJ29" s="17" t="n"/>
      <c r="BK29" s="17" t="n"/>
      <c r="BL29" s="17" t="n"/>
      <c r="BM29" s="17" t="n"/>
      <c r="BN29" s="17" t="n"/>
    </row>
    <row r="30" ht="121.5" customHeight="1">
      <c r="A30" s="17" t="inlineStr">
        <is>
          <t>K8S-038</t>
        </is>
      </c>
      <c r="B30" s="17" t="inlineStr">
        <is>
          <t>06 Security</t>
        </is>
      </c>
      <c r="C30" s="17" t="inlineStr">
        <is>
          <t>Intermediate</t>
        </is>
      </c>
      <c r="D30" s="17" t="n">
        <v>38</v>
      </c>
      <c r="E30" s="17" t="inlineStr">
        <is>
          <t>Claude knowledge</t>
        </is>
      </c>
      <c r="F30" s="18" t="inlineStr">
        <is>
          <t>Image pull secrets</t>
        </is>
      </c>
      <c r="G30" s="18" t="inlineStr">
        <is>
          <t>How does a cluster pull images from a private registry?</t>
        </is>
      </c>
      <c r="H30" s="17" t="n"/>
      <c r="I30" s="18" t="inlineStr">
        <is>
          <t>Resource</t>
        </is>
      </c>
      <c r="J30" s="18" t="inlineStr">
        <is>
          <t>High</t>
        </is>
      </c>
      <c r="K30" s="18" t="n">
        <v>4</v>
      </c>
      <c r="L30" s="18" t="inlineStr">
        <is>
          <t>Private images need credentials, so clusters store registry logins in Secrets that pods can use when pulling.</t>
        </is>
      </c>
      <c r="M30" s="18" t="inlineStr">
        <is>
          <t>Prefer cloud identity for registries over long-lived passwords.</t>
        </is>
      </c>
      <c r="N30" s="17" t="n"/>
      <c r="O30" s="18" t="inlineStr">
        <is>
          <t>Think of a library card that lets the cluster fetch private books.</t>
        </is>
      </c>
      <c r="P30" s="18" t="inlineStr">
        <is>
          <t>A pod spec referencing a secret that holds registry login.</t>
        </is>
      </c>
      <c r="Q30" s="18" t="inlineStr">
        <is>
          <t>The relief when a private image finally pulls.</t>
        </is>
      </c>
      <c r="R30" s="18" t="inlineStr">
        <is>
          <t>An image pull secret is a docker-registry Secret holding registry credentials, referenced by a pod or service account in imagePullSecrets.</t>
        </is>
      </c>
      <c r="S30" s="17" t="n"/>
      <c r="T30" s="19" t="inlineStr">
        <is>
          <t>kubectl create secret docker-registry regcred --docker-server=ghcr.io --docker-username=bot --docker-password="$TOKEN" -n shop
# pod spec
imagePullSecrets:
  - name: regcred
containers:
  - name: app
    image: ghcr.io/acme/web:1.4.2</t>
        </is>
      </c>
      <c r="U30" s="19" t="inlineStr">
        <is>
          <t>The kubelet logs in to ghcr.io with the stored credentials and pulls the private image.</t>
        </is>
      </c>
      <c r="V30" s="18" t="inlineStr">
        <is>
          <t>Without the secret, pods show ErrImagePull or ImagePullBackOff. The secret must be in the same namespace as the pod. Attaching it to the service account applies it to all its pods. Cloud registries often integrate with node roles so no secret is needed. Tokens should be read-only and short lived.</t>
        </is>
      </c>
      <c r="W30" s="18" t="inlineStr">
        <is>
          <t>Create a registry secret in the pod's namespace and reference it in imagePullSecrets.</t>
        </is>
      </c>
      <c r="X30" s="18" t="inlineStr">
        <is>
          <t>An image pull secret is a library card for fetching private books.</t>
        </is>
      </c>
      <c r="Y30" s="19" t="inlineStr">
        <is>
          <t>kubectl create secret docker-registry NAME --docker-server=... / imagePullSecrets</t>
        </is>
      </c>
      <c r="Z30" s="18" t="inlineStr">
        <is>
          <t>docker-registry secret = login | imagePullSecrets = pod reference | same namespace = required</t>
        </is>
      </c>
      <c r="AA30" s="19" t="inlineStr">
        <is>
          <t>kubectl patch serviceaccount default -p '{"imagePullSecrets":[{"name":"regcred"}]}'</t>
        </is>
      </c>
      <c r="AB30" s="19" t="inlineStr">
        <is>
          <t>kubectl describe pod web-1   // shows pull errors</t>
        </is>
      </c>
      <c r="AC30" s="19" t="inlineStr">
        <is>
          <t>image: ghcr.io/acme/web@sha256:abc123</t>
        </is>
      </c>
      <c r="AD30" s="19" t="inlineStr">
        <is>
          <t>node IAM role for ECR   // no secret needed on EKS</t>
        </is>
      </c>
      <c r="AE30" s="18" t="inlineStr">
        <is>
          <t>registries, service accounts, CI</t>
        </is>
      </c>
      <c r="AF30" s="18" t="inlineStr">
        <is>
          <t>registries and Docker Hub, service accounts, ImagePullBackOff, secrets</t>
        </is>
      </c>
      <c r="AG30" s="18" t="inlineStr">
        <is>
          <t>Cloud node roles | workload identity</t>
        </is>
      </c>
      <c r="AH30" s="17" t="n"/>
      <c r="AI30" s="18" t="inlineStr">
        <is>
          <t>Private registries | Enterprise clusters | CI</t>
        </is>
      </c>
      <c r="AJ30" s="18" t="inlineStr">
        <is>
          <t>A: The pod says ImagePullBackOff. | B: The cluster lacks registry credentials, so add an image pull secret.</t>
        </is>
      </c>
      <c r="AK30" s="18" t="inlineStr">
        <is>
          <t>✗ A secret in any namespace works for a pod → ✓ It must be in the pod's own namespace</t>
        </is>
      </c>
      <c r="AL30" s="18" t="inlineStr">
        <is>
          <t>Image pull secret vs app secret: one logs in to a registry, the other holds app data.</t>
        </is>
      </c>
      <c r="AM30" s="18" t="inlineStr">
        <is>
          <t>Do not use personal passwords for registry access.</t>
        </is>
      </c>
      <c r="AN30" s="19" t="inlineStr">
        <is>
          <t># secret created in default, pod runs in shop</t>
        </is>
      </c>
      <c r="AO30" s="19" t="inlineStr">
        <is>
          <t>kubectl create secret docker-registry regcred ... -n shop</t>
        </is>
      </c>
      <c r="AP30" s="18" t="inlineStr">
        <is>
          <t>Same namespace, referenced by name.</t>
        </is>
      </c>
      <c r="AQ30" s="18" t="inlineStr">
        <is>
          <t>Attaching a pull secret to the service account fixed pulls for every pod in a namespace.</t>
        </is>
      </c>
      <c r="AR30" s="18" t="inlineStr">
        <is>
          <t>An interviewer may ask: Why does a pod show ImagePullBackOff?</t>
        </is>
      </c>
      <c r="AS30" s="18" t="inlineStr">
        <is>
          <t>It is like a library card.</t>
        </is>
      </c>
      <c r="AT30" s="18" t="inlineStr">
        <is>
          <t>Where must an image pull secret live?</t>
        </is>
      </c>
      <c r="AU30" s="18" t="inlineStr">
        <is>
          <t>A) In the registry B) In kube-system only C) On the node D) In the pod's namespace</t>
        </is>
      </c>
      <c r="AV30" s="18" t="inlineStr">
        <is>
          <t>D</t>
        </is>
      </c>
      <c r="AW30" s="18" t="inlineStr">
        <is>
          <t>Secrets are namespaced.</t>
        </is>
      </c>
      <c r="AX30" s="19" t="inlineStr">
        <is>
          <t>A Secret holding image store logins is created with the type docker-____ → registry</t>
        </is>
      </c>
      <c r="AY30" s="18" t="inlineStr">
        <is>
          <t>Reference a pull secret named regcred in a pod.</t>
        </is>
      </c>
      <c r="AZ30" s="19" t="inlineStr">
        <is>
          <t>imagePullSecrets: [{ name: regcred }]</t>
        </is>
      </c>
      <c r="BA30" s="18" t="inlineStr">
        <is>
          <t>Write the command that creates a registry secret in shop.</t>
        </is>
      </c>
      <c r="BB30" s="19" t="inlineStr">
        <is>
          <t>What error appears without the secret?</t>
        </is>
      </c>
      <c r="BC30" s="19" t="inlineStr">
        <is>
          <t>ErrImagePull or ImagePullBackOff.</t>
        </is>
      </c>
      <c r="BD30" s="17">
        <f>IF(K30="","",REPT("★",K30)&amp;REPT("☆",5-K30)&amp;" ("&amp;K30&amp;"/5)")</f>
        <v/>
      </c>
      <c r="BE30" s="17">
        <f>IF(S30="","","Meaning: "&amp;S30&amp;"  =  ______   (Answer: "&amp;F30&amp;")")</f>
        <v/>
      </c>
      <c r="BF30" s="17" t="inlineStr">
        <is>
          <t>New</t>
        </is>
      </c>
      <c r="BG30" s="17" t="n"/>
      <c r="BH30" s="17" t="n"/>
      <c r="BI30" s="17" t="n"/>
      <c r="BJ30" s="17" t="n"/>
      <c r="BK30" s="17" t="n"/>
      <c r="BL30" s="17" t="n"/>
      <c r="BM30" s="17" t="n"/>
      <c r="BN30" s="17" t="n"/>
    </row>
    <row r="31" ht="121.5" customHeight="1">
      <c r="A31" s="17" t="inlineStr">
        <is>
          <t>K8S-039</t>
        </is>
      </c>
      <c r="B31" s="17" t="inlineStr">
        <is>
          <t>07 Tooling</t>
        </is>
      </c>
      <c r="C31" s="17" t="inlineStr">
        <is>
          <t>Intermediate</t>
        </is>
      </c>
      <c r="D31" s="17" t="n">
        <v>39</v>
      </c>
      <c r="E31" s="17" t="inlineStr">
        <is>
          <t>Claude knowledge</t>
        </is>
      </c>
      <c r="F31" s="18" t="inlineStr">
        <is>
          <t>Helm</t>
        </is>
      </c>
      <c r="G31" s="18" t="inlineStr">
        <is>
          <t>Which package manager installs and upgrades Kubernetes applications from charts?</t>
        </is>
      </c>
      <c r="H31" s="17" t="n"/>
      <c r="I31" s="18" t="inlineStr">
        <is>
          <t>Tool</t>
        </is>
      </c>
      <c r="J31" s="18" t="inlineStr">
        <is>
          <t>Very high</t>
        </is>
      </c>
      <c r="K31" s="18" t="n">
        <v>5</v>
      </c>
      <c r="L31" s="18" t="inlineStr">
        <is>
          <t>Apps need many YAML files that differ slightly per environment, so Helm packages them as charts with templates and values.</t>
        </is>
      </c>
      <c r="M31" s="18" t="inlineStr">
        <is>
          <t>Keep a values file per environment, and preview with helm template or diff.</t>
        </is>
      </c>
      <c r="N31" s="17" t="n"/>
      <c r="O31" s="18" t="inlineStr">
        <is>
          <t>Helm is an app store for the cluster, and values are the settings you choose when installing.</t>
        </is>
      </c>
      <c r="P31" s="18" t="inlineStr">
        <is>
          <t>A chart plus values producing final YAML.</t>
        </is>
      </c>
      <c r="Q31" s="18" t="inlineStr">
        <is>
          <t>The ease of installing a whole app in one command.</t>
        </is>
      </c>
      <c r="R31" s="18" t="inlineStr">
        <is>
          <t>A Helm chart bundles templated manifests with default values, and helm installs it as a release that can be upgraded, rolled back and removed.</t>
        </is>
      </c>
      <c r="S31" s="17" t="n"/>
      <c r="T31" s="19" t="inlineStr">
        <is>
          <t>helm repo add grafana https://grafana.github.io/helm-charts
helm install dash grafana/grafana -n shop -f values-prod.yaml
helm upgrade dash grafana/grafana -n shop -f values-prod.yaml
helm rollback dash 1 -n shop
helm template dash grafana/grafana -f values-prod.yaml</t>
        </is>
      </c>
      <c r="U31" s="19" t="inlineStr">
        <is>
          <t>The chart is installed as release dash, upgraded with new values, rolled back to revision one, and rendered locally for review.</t>
        </is>
      </c>
      <c r="V31" s="18" t="inlineStr">
        <is>
          <t>Templates use Go template syntax with values from values.yaml and overrides. Each install is a release with a revision history. Charts can depend on other charts. helm template renders YAML without installing, which helps review. Secrets in values files need care. Check where a chart's images come from, because some free public image repositories have moved or stopped updating.</t>
        </is>
      </c>
      <c r="W31" s="18" t="inlineStr">
        <is>
          <t>Install charts with values, upgrade releases, and roll back if needed.</t>
        </is>
      </c>
      <c r="X31" s="18" t="inlineStr">
        <is>
          <t>Helm is an app store for the cluster, and values are the settings you choose.</t>
        </is>
      </c>
      <c r="Y31" s="19" t="inlineStr">
        <is>
          <t>helm install RELEASE CHART -f values.yaml | helm upgrade | helm rollback</t>
        </is>
      </c>
      <c r="Z31" s="18" t="inlineStr">
        <is>
          <t>chart = package | values = settings | release = installed instance | revision = version</t>
        </is>
      </c>
      <c r="AA31" s="19" t="inlineStr">
        <is>
          <t>helm list -n shop</t>
        </is>
      </c>
      <c r="AB31" s="19" t="inlineStr">
        <is>
          <t>helm show values grafana/grafana</t>
        </is>
      </c>
      <c r="AC31" s="19" t="inlineStr">
        <is>
          <t>helm uninstall db -n shop</t>
        </is>
      </c>
      <c r="AD31" s="19" t="inlineStr">
        <is>
          <t>helm upgrade --install db ./chart   // install or upgrade in one command</t>
        </is>
      </c>
      <c r="AE31" s="18" t="inlineStr">
        <is>
          <t>values files, repositories, CI</t>
        </is>
      </c>
      <c r="AF31" s="18" t="inlineStr">
        <is>
          <t>Kustomize, Deployments, GitOps, secrets</t>
        </is>
      </c>
      <c r="AG31" s="18" t="inlineStr">
        <is>
          <t>Kustomize | plain manifests</t>
        </is>
      </c>
      <c r="AH31" s="17" t="n"/>
      <c r="AI31" s="18" t="inlineStr">
        <is>
          <t>Installing third-party apps | Packaging | Environments</t>
        </is>
      </c>
      <c r="AJ31" s="18" t="inlineStr">
        <is>
          <t>A: How do I install Postgres with custom settings? | B: Use the chart with a values file.</t>
        </is>
      </c>
      <c r="AK31" s="18" t="inlineStr">
        <is>
          <t>✗ Helm replaces the need to understand Kubernetes → ✓ It generates the same objects, and problems still need Kubernetes knowledge</t>
        </is>
      </c>
      <c r="AL31" s="18" t="inlineStr">
        <is>
          <t>Chart vs release: a chart is the package, a release is an installed instance.</t>
        </is>
      </c>
      <c r="AM31" s="18" t="inlineStr">
        <is>
          <t>Do not store secrets in plain values files in Git.</t>
        </is>
      </c>
      <c r="AN31" s="19" t="inlineStr">
        <is>
          <t>helm install postgresql   # missing release name and chart</t>
        </is>
      </c>
      <c r="AO31" s="19" t="inlineStr">
        <is>
          <t>helm install dash grafana/grafana</t>
        </is>
      </c>
      <c r="AP31" s="18" t="inlineStr">
        <is>
          <t>Chart is the box, release is the install.</t>
        </is>
      </c>
      <c r="AQ31" s="18" t="inlineStr">
        <is>
          <t>Helm charts let one app deploy to three environments with different values.</t>
        </is>
      </c>
      <c r="AR31" s="18" t="inlineStr">
        <is>
          <t>An interviewer may ask: What is the difference between a chart and a release?</t>
        </is>
      </c>
      <c r="AS31" s="18" t="inlineStr">
        <is>
          <t>It is like an app store.</t>
        </is>
      </c>
      <c r="AT31" s="18" t="inlineStr">
        <is>
          <t>What is a Helm release?</t>
        </is>
      </c>
      <c r="AU31" s="18" t="inlineStr">
        <is>
          <t>A) A node B) A package file C) An installed instance of a chart D) A pod</t>
        </is>
      </c>
      <c r="AV31" s="18" t="inlineStr">
        <is>
          <t>C</t>
        </is>
      </c>
      <c r="AW31" s="18" t="inlineStr">
        <is>
          <t>Each install creates a named release.</t>
        </is>
      </c>
      <c r="AX31" s="19" t="inlineStr">
        <is>
          <t>The file with default settings in a chart is ____.yaml → values</t>
        </is>
      </c>
      <c r="AY31" s="18" t="inlineStr">
        <is>
          <t>Roll back release db to revision 1.</t>
        </is>
      </c>
      <c r="AZ31" s="19" t="inlineStr">
        <is>
          <t>helm rollback db 1 -n shop</t>
        </is>
      </c>
      <c r="BA31" s="18" t="inlineStr">
        <is>
          <t>Write the commands to install a chart with a values file.</t>
        </is>
      </c>
      <c r="BB31" s="19" t="inlineStr">
        <is>
          <t>What does helm template do?</t>
        </is>
      </c>
      <c r="BC31" s="19" t="inlineStr">
        <is>
          <t>It renders the manifests without installing them.</t>
        </is>
      </c>
      <c r="BD31" s="17">
        <f>IF(K31="","",REPT("★",K31)&amp;REPT("☆",5-K31)&amp;" ("&amp;K31&amp;"/5)")</f>
        <v/>
      </c>
      <c r="BE31" s="17">
        <f>IF(S31="","","Meaning: "&amp;S31&amp;"  =  ______   (Answer: "&amp;F31&amp;")")</f>
        <v/>
      </c>
      <c r="BF31" s="17" t="inlineStr">
        <is>
          <t>New</t>
        </is>
      </c>
      <c r="BG31" s="17" t="n"/>
      <c r="BH31" s="17" t="n"/>
      <c r="BI31" s="17" t="n"/>
      <c r="BJ31" s="17" t="n"/>
      <c r="BK31" s="17" t="n"/>
      <c r="BL31" s="17" t="n"/>
      <c r="BM31" s="17" t="n"/>
      <c r="BN31" s="17" t="n"/>
    </row>
    <row r="32" ht="135" customHeight="1">
      <c r="A32" s="17" t="inlineStr">
        <is>
          <t>K8S-040</t>
        </is>
      </c>
      <c r="B32" s="17" t="inlineStr">
        <is>
          <t>07 Tooling</t>
        </is>
      </c>
      <c r="C32" s="17" t="inlineStr">
        <is>
          <t>Intermediate</t>
        </is>
      </c>
      <c r="D32" s="17" t="n">
        <v>40</v>
      </c>
      <c r="E32" s="17" t="inlineStr">
        <is>
          <t>Claude knowledge</t>
        </is>
      </c>
      <c r="F32" s="18" t="inlineStr">
        <is>
          <t>Kustomize</t>
        </is>
      </c>
      <c r="G32" s="18" t="inlineStr">
        <is>
          <t>Which tool customises plain YAML by layering overlays without templates?</t>
        </is>
      </c>
      <c r="H32" s="17" t="n"/>
      <c r="I32" s="18" t="inlineStr">
        <is>
          <t>Tool</t>
        </is>
      </c>
      <c r="J32" s="18" t="inlineStr">
        <is>
          <t>High</t>
        </is>
      </c>
      <c r="K32" s="18" t="n">
        <v>4</v>
      </c>
      <c r="L32" s="18" t="inlineStr">
        <is>
          <t>Copying manifests per environment leads to drift, so Kustomize patches a base with small overlays.</t>
        </is>
      </c>
      <c r="M32" s="18" t="inlineStr">
        <is>
          <t>Keep one base and an overlay folder per environment.</t>
        </is>
      </c>
      <c r="N32" s="17" t="n"/>
      <c r="O32" s="18" t="inlineStr">
        <is>
          <t>Kustomize is a transparent sheet laid over a base drawing to change details.</t>
        </is>
      </c>
      <c r="P32" s="18" t="inlineStr">
        <is>
          <t>A base folder with overlays for dev and prod.</t>
        </is>
      </c>
      <c r="Q32" s="18" t="inlineStr">
        <is>
          <t>The neatness of one base, many variants.</t>
        </is>
      </c>
      <c r="R32" s="18" t="inlineStr">
        <is>
          <t>Kustomize reads a kustomization file that lists resources and patches, and outputs customised manifests built into kubectl.</t>
        </is>
      </c>
      <c r="S32" s="17" t="n"/>
      <c r="T32" s="19" t="inlineStr">
        <is>
          <t># base/kustomization.yaml
resources: [deployment.yaml, service.yaml]
# overlays/prod/kustomization.yaml
resources: [../../base]
namespace: shop
replicas:
  - { name: web, count: 5 }
images:
  - { name: acme/web, newTag: 1.4.2 }
# apply: kubectl apply -k overlays/prod</t>
        </is>
      </c>
      <c r="U32" s="19" t="inlineStr">
        <is>
          <t>The prod overlay applies the base with five replicas and the pinned image tag in the shop namespace.</t>
        </is>
      </c>
      <c r="V32" s="18" t="inlineStr">
        <is>
          <t>Features include name prefixes, labels, image overrides, patches and config generators. Output can be previewed with kubectl kustomize. It works on plain YAML, so the base stays valid. Compared with Helm, it has no templates, but less power for packaging third-party apps.</t>
        </is>
      </c>
      <c r="W32" s="18" t="inlineStr">
        <is>
          <t>Keep a base, add overlays per environment, and apply with -k.</t>
        </is>
      </c>
      <c r="X32" s="18" t="inlineStr">
        <is>
          <t>Kustomize is a transparent sheet laid over a base drawing to change details.</t>
        </is>
      </c>
      <c r="Y32" s="19" t="inlineStr">
        <is>
          <t>kustomization.yaml with resources, patches, images, replicas</t>
        </is>
      </c>
      <c r="Z32" s="18" t="inlineStr">
        <is>
          <t>base = shared files | overlay = environment changes | patches = edits</t>
        </is>
      </c>
      <c r="AA32" s="19" t="inlineStr">
        <is>
          <t>kubectl kustomize overlays/prod</t>
        </is>
      </c>
      <c r="AB32" s="19" t="inlineStr">
        <is>
          <t>namePrefix: prod-</t>
        </is>
      </c>
      <c r="AC32" s="19" t="inlineStr">
        <is>
          <t>patches: [{ path: patch.yaml }]</t>
        </is>
      </c>
      <c r="AD32" s="19" t="inlineStr">
        <is>
          <t>configMapGenerator   // create ConfigMaps from files</t>
        </is>
      </c>
      <c r="AE32" s="18" t="inlineStr">
        <is>
          <t>kubectl, GitOps, overlays</t>
        </is>
      </c>
      <c r="AF32" s="18" t="inlineStr">
        <is>
          <t>Helm, Deployments, GitOps, Compose override files</t>
        </is>
      </c>
      <c r="AG32" s="18" t="inlineStr">
        <is>
          <t>Helm | plain copies</t>
        </is>
      </c>
      <c r="AH32" s="17" t="n"/>
      <c r="AI32" s="18" t="inlineStr">
        <is>
          <t>Environment variants | GitOps | Small teams</t>
        </is>
      </c>
      <c r="AJ32" s="18" t="inlineStr">
        <is>
          <t>A: Staging and prod differ only in replicas and tags. | B: Use a base and two Kustomize overlays.</t>
        </is>
      </c>
      <c r="AK32" s="18" t="inlineStr">
        <is>
          <t>✗ Kustomize needs templating knowledge → ✓ It patches plain YAML with no templates</t>
        </is>
      </c>
      <c r="AL32" s="18" t="inlineStr">
        <is>
          <t>Kustomize vs Helm: patches versus templates and packages.</t>
        </is>
      </c>
      <c r="AM32" s="18" t="inlineStr">
        <is>
          <t>Do not copy whole manifests per environment.</t>
        </is>
      </c>
      <c r="AN32" s="19" t="inlineStr">
        <is>
          <t># copy deployment.yaml into dev and prod folders</t>
        </is>
      </c>
      <c r="AO32" s="19" t="inlineStr">
        <is>
          <t>resources: [../../base]</t>
        </is>
      </c>
      <c r="AP32" s="18" t="inlineStr">
        <is>
          <t>Base once, overlay per place.</t>
        </is>
      </c>
      <c r="AQ32" s="18" t="inlineStr">
        <is>
          <t>Overlays replaced duplicated manifests and cut configuration drift.</t>
        </is>
      </c>
      <c r="AR32" s="18" t="inlineStr">
        <is>
          <t>An interviewer may ask: When would you choose Kustomize over Helm?</t>
        </is>
      </c>
      <c r="AS32" s="18" t="inlineStr">
        <is>
          <t>It is like a transparent sheet over a drawing.</t>
        </is>
      </c>
      <c r="AT32" s="18" t="inlineStr">
        <is>
          <t>Which flag applies a kustomization?</t>
        </is>
      </c>
      <c r="AU32" s="18" t="inlineStr">
        <is>
          <t>A) -f only B) -k C) -n D) -o</t>
        </is>
      </c>
      <c r="AV32" s="18" t="inlineStr">
        <is>
          <t>B</t>
        </is>
      </c>
      <c r="AW32" s="18" t="inlineStr">
        <is>
          <t>kubectl apply -k builds the folder.</t>
        </is>
      </c>
      <c r="AX32" s="19" t="inlineStr">
        <is>
          <t>The shared starting folder is the ____ → base</t>
        </is>
      </c>
      <c r="AY32" s="18" t="inlineStr">
        <is>
          <t>Preview the prod overlay without applying.</t>
        </is>
      </c>
      <c r="AZ32" s="19" t="inlineStr">
        <is>
          <t>kubectl kustomize overlays/prod</t>
        </is>
      </c>
      <c r="BA32" s="18" t="inlineStr">
        <is>
          <t>Write an overlay that sets three replicas.</t>
        </is>
      </c>
      <c r="BB32" s="19" t="inlineStr">
        <is>
          <t>Does Kustomize use templates?</t>
        </is>
      </c>
      <c r="BC32" s="19" t="inlineStr">
        <is>
          <t>No, it patches plain YAML.</t>
        </is>
      </c>
      <c r="BD32" s="17">
        <f>IF(K32="","",REPT("★",K32)&amp;REPT("☆",5-K32)&amp;" ("&amp;K32&amp;"/5)")</f>
        <v/>
      </c>
      <c r="BE32" s="17">
        <f>IF(S32="","","Meaning: "&amp;S32&amp;"  =  ______   (Answer: "&amp;F32&amp;")")</f>
        <v/>
      </c>
      <c r="BF32" s="17" t="inlineStr">
        <is>
          <t>New</t>
        </is>
      </c>
      <c r="BG32" s="17" t="n"/>
      <c r="BH32" s="17" t="n"/>
      <c r="BI32" s="17" t="n"/>
      <c r="BJ32" s="17" t="n"/>
      <c r="BK32" s="17" t="n"/>
      <c r="BL32" s="17" t="n"/>
      <c r="BM32" s="17" t="n"/>
      <c r="BN32" s="17" t="n"/>
    </row>
    <row r="33" ht="108" customHeight="1">
      <c r="A33" s="17" t="inlineStr">
        <is>
          <t>K8S-041</t>
        </is>
      </c>
      <c r="B33" s="17" t="inlineStr">
        <is>
          <t>07 Tooling</t>
        </is>
      </c>
      <c r="C33" s="17" t="inlineStr">
        <is>
          <t>Beginner</t>
        </is>
      </c>
      <c r="D33" s="17" t="n">
        <v>41</v>
      </c>
      <c r="E33" s="17" t="inlineStr">
        <is>
          <t>Claude knowledge</t>
        </is>
      </c>
      <c r="F33" s="18" t="inlineStr">
        <is>
          <t>Debugging with describe and logs</t>
        </is>
      </c>
      <c r="G33" s="18" t="inlineStr">
        <is>
          <t>Which two commands show why a pod is unhealthy?</t>
        </is>
      </c>
      <c r="H33" s="17" t="n"/>
      <c r="I33" s="18" t="inlineStr">
        <is>
          <t>Command</t>
        </is>
      </c>
      <c r="J33" s="18" t="inlineStr">
        <is>
          <t>Very high</t>
        </is>
      </c>
      <c r="K33" s="18" t="n">
        <v>5</v>
      </c>
      <c r="L33" s="18" t="inlineStr">
        <is>
          <t>Pod failures leave clues in events and container output, so two commands cover most investigations.</t>
        </is>
      </c>
      <c r="M33" s="18" t="inlineStr">
        <is>
          <t>Read the Events section at the bottom of describe first.</t>
        </is>
      </c>
      <c r="N33" s="17" t="n"/>
      <c r="O33" s="18" t="inlineStr">
        <is>
          <t>Describe is the case file, and logs are the witness statement.</t>
        </is>
      </c>
      <c r="P33" s="18" t="inlineStr">
        <is>
          <t>A pod description with events at the bottom.</t>
        </is>
      </c>
      <c r="Q33" s="18" t="inlineStr">
        <is>
          <t>The satisfaction of spotting the cause quickly.</t>
        </is>
      </c>
      <c r="R33" s="18" t="inlineStr">
        <is>
          <t>kubectl describe shows a pod's state, settings and events, and kubectl logs prints the container's output, including the previous crashed container.</t>
        </is>
      </c>
      <c r="S33" s="17" t="n"/>
      <c r="T33" s="19" t="inlineStr">
        <is>
          <t>kubectl get pods -n shop
kubectl describe pod web-7d9f -n shop
kubectl logs web-7d9f -n shop
kubectl logs web-7d9f -n shop --previous
kubectl logs deploy/web -n shop -f --tail=50</t>
        </is>
      </c>
      <c r="U33" s="19" t="inlineStr">
        <is>
          <t>The commands show pod status, events, current logs, logs of the last crashed container, and a live tail of the deployment.</t>
        </is>
      </c>
      <c r="V33" s="18" t="inlineStr">
        <is>
          <t>Events reveal scheduling failures, image problems, probe failures and OOM kills. Logs show application errors. --previous is essential for CrashLoopBackOff. For multi-container pods use -c to pick one. Logs disappear when pods are deleted, so central logging is important.</t>
        </is>
      </c>
      <c r="W33" s="18" t="inlineStr">
        <is>
          <t>Describe for events and state, logs for application output, previous for crashes.</t>
        </is>
      </c>
      <c r="X33" s="18" t="inlineStr">
        <is>
          <t>Describe is the case file, and logs are the witness statement.</t>
        </is>
      </c>
      <c r="Y33" s="19" t="inlineStr">
        <is>
          <t>kubectl describe pod NAME | kubectl logs NAME [-c container] [--previous]</t>
        </is>
      </c>
      <c r="Z33" s="18" t="inlineStr">
        <is>
          <t>describe = state and events | logs = output | --previous = last crash | -f = follow</t>
        </is>
      </c>
      <c r="AA33" s="19" t="inlineStr">
        <is>
          <t>kubectl logs web-1 -c sidecar</t>
        </is>
      </c>
      <c r="AB33" s="19" t="inlineStr">
        <is>
          <t>kubectl logs -l app=web --tail=20</t>
        </is>
      </c>
      <c r="AC33" s="19" t="inlineStr">
        <is>
          <t>kubectl get events --sort-by=.lastTimestamp</t>
        </is>
      </c>
      <c r="AD33" s="19" t="inlineStr">
        <is>
          <t>kubectl logs -f web-1   // stream live</t>
        </is>
      </c>
      <c r="AE33" s="18" t="inlineStr">
        <is>
          <t>events, probes, exec</t>
        </is>
      </c>
      <c r="AF33" s="18" t="inlineStr">
        <is>
          <t>events, exec, CrashLoopBackOff, logging</t>
        </is>
      </c>
      <c r="AG33" s="18" t="inlineStr">
        <is>
          <t>Central logging | k9s</t>
        </is>
      </c>
      <c r="AH33" s="17" t="n"/>
      <c r="AI33" s="18" t="inlineStr">
        <is>
          <t>Daily debugging | Incidents | Rollouts</t>
        </is>
      </c>
      <c r="AJ33" s="18" t="inlineStr">
        <is>
          <t>A: The pod restarts and the logs look empty. | B: Use --previous to read the crashed container's output.</t>
        </is>
      </c>
      <c r="AK33" s="18" t="inlineStr">
        <is>
          <t>✗ kubectl logs shows logs of a crashed container by default → ✓ It shows the current one, so add --previous</t>
        </is>
      </c>
      <c r="AL33" s="18" t="inlineStr">
        <is>
          <t>describe vs logs: describe shows cluster events, logs show app output.</t>
        </is>
      </c>
      <c r="AM33" s="18" t="inlineStr">
        <is>
          <t>Do not rely on pod logs after the pod is deleted.</t>
        </is>
      </c>
      <c r="AN33" s="19" t="inlineStr">
        <is>
          <t>kubectl logs web-1   # empty after a crash</t>
        </is>
      </c>
      <c r="AO33" s="19" t="inlineStr">
        <is>
          <t>kubectl logs web-1 --previous</t>
        </is>
      </c>
      <c r="AP33" s="18" t="inlineStr">
        <is>
          <t>If it crashed, read the earlier logs.</t>
        </is>
      </c>
      <c r="AQ33" s="18" t="inlineStr">
        <is>
          <t>Reading previous logs revealed a missing environment variable in a crash loop.</t>
        </is>
      </c>
      <c r="AR33" s="18" t="inlineStr">
        <is>
          <t>An interviewer may ask: How do you debug a crashing pod?</t>
        </is>
      </c>
      <c r="AS33" s="18" t="inlineStr">
        <is>
          <t>It is like a case file and a witness statement.</t>
        </is>
      </c>
      <c r="AT33" s="18" t="inlineStr">
        <is>
          <t>Which flag reads the output of the last crashed instance?</t>
        </is>
      </c>
      <c r="AU33" s="18" t="inlineStr">
        <is>
          <t>A) --crash B) --old C) --last D) --previous</t>
        </is>
      </c>
      <c r="AV33" s="18" t="inlineStr">
        <is>
          <t>D</t>
        </is>
      </c>
      <c r="AW33" s="18" t="inlineStr">
        <is>
          <t>It reads the prior instance's output.</t>
        </is>
      </c>
      <c r="AX33" s="19" t="inlineStr">
        <is>
          <t>The flag to pick one container in a pod is ____ → -c</t>
        </is>
      </c>
      <c r="AY33" s="18" t="inlineStr">
        <is>
          <t>Show the last 50 lines of deployment web logs.</t>
        </is>
      </c>
      <c r="AZ33" s="19" t="inlineStr">
        <is>
          <t>kubectl logs deploy/web --tail=50</t>
        </is>
      </c>
      <c r="BA33" s="18" t="inlineStr">
        <is>
          <t>Write the steps to debug a pod that restarts.</t>
        </is>
      </c>
      <c r="BB33" s="19" t="inlineStr">
        <is>
          <t>Where do you find scheduling failures?</t>
        </is>
      </c>
      <c r="BC33" s="19" t="inlineStr">
        <is>
          <t>In the Events section of describe.</t>
        </is>
      </c>
      <c r="BD33" s="17">
        <f>IF(K33="","",REPT("★",K33)&amp;REPT("☆",5-K33)&amp;" ("&amp;K33&amp;"/5)")</f>
        <v/>
      </c>
      <c r="BE33" s="17">
        <f>IF(S33="","","Meaning: "&amp;S33&amp;"  =  ______   (Answer: "&amp;F33&amp;")")</f>
        <v/>
      </c>
      <c r="BF33" s="17" t="inlineStr">
        <is>
          <t>New</t>
        </is>
      </c>
      <c r="BG33" s="17" t="n"/>
      <c r="BH33" s="17" t="n"/>
      <c r="BI33" s="17" t="n"/>
      <c r="BJ33" s="17" t="n"/>
      <c r="BK33" s="17" t="n"/>
      <c r="BL33" s="17" t="n"/>
      <c r="BM33" s="17" t="n"/>
      <c r="BN33" s="17" t="n"/>
    </row>
    <row r="34" ht="94.5" customHeight="1">
      <c r="A34" s="17" t="inlineStr">
        <is>
          <t>K8S-042</t>
        </is>
      </c>
      <c r="B34" s="17" t="inlineStr">
        <is>
          <t>07 Tooling</t>
        </is>
      </c>
      <c r="C34" s="17" t="inlineStr">
        <is>
          <t>Intermediate</t>
        </is>
      </c>
      <c r="D34" s="17" t="n">
        <v>42</v>
      </c>
      <c r="E34" s="17" t="inlineStr">
        <is>
          <t>Claude knowledge</t>
        </is>
      </c>
      <c r="F34" s="18" t="inlineStr">
        <is>
          <t>kubectl exec</t>
        </is>
      </c>
      <c r="G34" s="18" t="inlineStr">
        <is>
          <t>Which command runs a command inside a running container?</t>
        </is>
      </c>
      <c r="H34" s="17" t="n"/>
      <c r="I34" s="18" t="inlineStr">
        <is>
          <t>Command</t>
        </is>
      </c>
      <c r="J34" s="18" t="inlineStr">
        <is>
          <t>Very high</t>
        </is>
      </c>
      <c r="K34" s="18" t="n">
        <v>4</v>
      </c>
      <c r="L34" s="18" t="inlineStr">
        <is>
          <t>To inspect a live pod you need to look inside, so exec opens a shell or runs a command in its container.</t>
        </is>
      </c>
      <c r="M34" s="18" t="inlineStr">
        <is>
          <t>Use exec to inspect, and fix problems in the image or manifest.</t>
        </is>
      </c>
      <c r="N34" s="17" t="n"/>
      <c r="O34" s="18" t="inlineStr">
        <is>
          <t>Exec is a side door into the container's room.</t>
        </is>
      </c>
      <c r="P34" s="18" t="inlineStr">
        <is>
          <t>A terminal prompt shown inside a running pod box.</t>
        </is>
      </c>
      <c r="Q34" s="18" t="inlineStr">
        <is>
          <t>The comfort of finally seeing the pod's files.</t>
        </is>
      </c>
      <c r="R34" s="18" t="inlineStr">
        <is>
          <t>kubectl exec runs a command in a container of a pod, with -it for an interactive shell.</t>
        </is>
      </c>
      <c r="S34" s="17" t="n"/>
      <c r="T34" s="19" t="inlineStr">
        <is>
          <t>kubectl exec -it web-7d9f -n shop -- sh
kubectl exec web-7d9f -n shop -- env
kubectl exec web-7d9f -c app -- cat /etc/resolv.conf
kubectl debug -it web-7d9f --image=busybox --target=app</t>
        </is>
      </c>
      <c r="U34" s="19" t="inlineStr">
        <is>
          <t>A shell opens in the pod, environment variables print, DNS settings print, and a debug container attaches to a minimal image.</t>
        </is>
      </c>
      <c r="V34" s="18" t="inlineStr">
        <is>
          <t>The double dash separates kubectl options from the command. Slim images may lack a shell, so use kubectl debug to attach an ephemeral container with tools. Changes made inside are lost on restart. Access is controlled by RBAC permission on pods/exec, which should be limited in production.</t>
        </is>
      </c>
      <c r="W34" s="18" t="inlineStr">
        <is>
          <t>Use exec to look inside, and debug when the image has no shell.</t>
        </is>
      </c>
      <c r="X34" s="18" t="inlineStr">
        <is>
          <t>Exec is a side door into the container's room.</t>
        </is>
      </c>
      <c r="Y34" s="19" t="inlineStr">
        <is>
          <t>kubectl exec -it POD [-c CONTAINER] -- command</t>
        </is>
      </c>
      <c r="Z34" s="18" t="inlineStr">
        <is>
          <t>-it = interactive | -c = container | -- = separator | debug = ephemeral container</t>
        </is>
      </c>
      <c r="AA34" s="19" t="inlineStr">
        <is>
          <t>kubectl exec web-1 -- ls /app</t>
        </is>
      </c>
      <c r="AB34" s="19" t="inlineStr">
        <is>
          <t>kubectl exec -it db-0 -- psql -U postgres</t>
        </is>
      </c>
      <c r="AC34" s="19" t="inlineStr">
        <is>
          <t>kubectl debug node/node-1 -it --image=busybox</t>
        </is>
      </c>
      <c r="AD34" s="19" t="inlineStr">
        <is>
          <t>kubectl cp web-1:/tmp/out.txt ./out.txt   // copy files out</t>
        </is>
      </c>
      <c r="AE34" s="18" t="inlineStr">
        <is>
          <t>debugging, RBAC, ephemeral containers</t>
        </is>
      </c>
      <c r="AF34" s="18" t="inlineStr">
        <is>
          <t>debugging with describe and logs, port-forward, RBAC, Docker exec</t>
        </is>
      </c>
      <c r="AG34" s="18" t="inlineStr">
        <is>
          <t>kubectl debug | port-forward</t>
        </is>
      </c>
      <c r="AH34" s="17" t="n"/>
      <c r="AI34" s="18" t="inlineStr">
        <is>
          <t>Debugging | Database access | Inspection</t>
        </is>
      </c>
      <c r="AJ34" s="18" t="inlineStr">
        <is>
          <t>A: There is no shell in this image. | B: Use kubectl debug to attach a toolbox container.</t>
        </is>
      </c>
      <c r="AK34" s="18" t="inlineStr">
        <is>
          <t>✗ Changes made through exec are permanent → ✓ They vanish when the pod is replaced</t>
        </is>
      </c>
      <c r="AL34" s="18" t="inlineStr">
        <is>
          <t>exec vs debug: exec uses an existing container, debug adds a new tool container.</t>
        </is>
      </c>
      <c r="AM34" s="18" t="inlineStr">
        <is>
          <t>Do not patch production pods by hand.</t>
        </is>
      </c>
      <c r="AN34" s="19" t="inlineStr">
        <is>
          <t>kubectl exec -it web-1 sh</t>
        </is>
      </c>
      <c r="AO34" s="19" t="inlineStr">
        <is>
          <t>kubectl exec -it web-1 -- sh</t>
        </is>
      </c>
      <c r="AP34" s="18" t="inlineStr">
        <is>
          <t>Two dashes before the command.</t>
        </is>
      </c>
      <c r="AQ34" s="18" t="inlineStr">
        <is>
          <t>Using kubectl debug explained a DNS failure in a distroless pod.</t>
        </is>
      </c>
      <c r="AR34" s="18" t="inlineStr">
        <is>
          <t>An interviewer may ask: How do you debug a pod without a shell?</t>
        </is>
      </c>
      <c r="AS34" s="18" t="inlineStr">
        <is>
          <t>It is like a side door into a room.</t>
        </is>
      </c>
      <c r="AT34" s="18" t="inlineStr">
        <is>
          <t>What does the double dash do in exec?</t>
        </is>
      </c>
      <c r="AU34" s="18" t="inlineStr">
        <is>
          <t>A) Deletes the pod B) Selects the node C) Separates kubectl options from the command D) Starts a job</t>
        </is>
      </c>
      <c r="AV34" s="18" t="inlineStr">
        <is>
          <t>C</t>
        </is>
      </c>
      <c r="AW34" s="18" t="inlineStr">
        <is>
          <t>Everything after it is the command to run.</t>
        </is>
      </c>
      <c r="AX34" s="19" t="inlineStr">
        <is>
          <t>Attaching a temporary tool container uses kubectl ____ → debug</t>
        </is>
      </c>
      <c r="AY34" s="18" t="inlineStr">
        <is>
          <t>Open a shell in pod web-1.</t>
        </is>
      </c>
      <c r="AZ34" s="19" t="inlineStr">
        <is>
          <t>kubectl exec -it web-1 -- sh</t>
        </is>
      </c>
      <c r="BA34" s="18" t="inlineStr">
        <is>
          <t>Print the DNS config of a running pod.</t>
        </is>
      </c>
      <c r="BB34" s="19" t="inlineStr">
        <is>
          <t>Why use debug on distroless images?</t>
        </is>
      </c>
      <c r="BC34" s="19" t="inlineStr">
        <is>
          <t>They have no shell, so a tool container is needed.</t>
        </is>
      </c>
      <c r="BD34" s="17">
        <f>IF(K34="","",REPT("★",K34)&amp;REPT("☆",5-K34)&amp;" ("&amp;K34&amp;"/5)")</f>
        <v/>
      </c>
      <c r="BE34" s="17">
        <f>IF(S34="","","Meaning: "&amp;S34&amp;"  =  ______   (Answer: "&amp;F34&amp;")")</f>
        <v/>
      </c>
      <c r="BF34" s="17" t="inlineStr">
        <is>
          <t>New</t>
        </is>
      </c>
      <c r="BG34" s="17" t="n"/>
      <c r="BH34" s="17" t="n"/>
      <c r="BI34" s="17" t="n"/>
      <c r="BJ34" s="17" t="n"/>
      <c r="BK34" s="17" t="n"/>
      <c r="BL34" s="17" t="n"/>
      <c r="BM34" s="17" t="n"/>
      <c r="BN34" s="17" t="n"/>
    </row>
    <row r="35" ht="94.5" customHeight="1">
      <c r="A35" s="17" t="inlineStr">
        <is>
          <t>K8S-043</t>
        </is>
      </c>
      <c r="B35" s="17" t="inlineStr">
        <is>
          <t>07 Tooling</t>
        </is>
      </c>
      <c r="C35" s="17" t="inlineStr">
        <is>
          <t>Beginner</t>
        </is>
      </c>
      <c r="D35" s="17" t="n">
        <v>43</v>
      </c>
      <c r="E35" s="17" t="inlineStr">
        <is>
          <t>Claude knowledge</t>
        </is>
      </c>
      <c r="F35" s="18" t="inlineStr">
        <is>
          <t>port-forward</t>
        </is>
      </c>
      <c r="G35" s="18" t="inlineStr">
        <is>
          <t>Which command tunnels a local port to a pod or Service?</t>
        </is>
      </c>
      <c r="H35" s="17" t="n"/>
      <c r="I35" s="18" t="inlineStr">
        <is>
          <t>Command</t>
        </is>
      </c>
      <c r="J35" s="18" t="inlineStr">
        <is>
          <t>Very high</t>
        </is>
      </c>
      <c r="K35" s="18" t="n">
        <v>4</v>
      </c>
      <c r="L35" s="18" t="inlineStr">
        <is>
          <t>Internal services are not exposed outside, so developers forward a local port to reach them for testing.</t>
        </is>
      </c>
      <c r="M35" s="18" t="inlineStr">
        <is>
          <t>Forwarding to a Service lets kubectl pick one pod, but the tunnel still ends if that pod dies; it is not load balanced.</t>
        </is>
      </c>
      <c r="N35" s="17" t="n"/>
      <c r="O35" s="18" t="inlineStr">
        <is>
          <t>Port-forward is a private tunnel from your laptop into the cluster.</t>
        </is>
      </c>
      <c r="P35" s="18" t="inlineStr">
        <is>
          <t>Localhost port 8080 connected to a pod port 80.</t>
        </is>
      </c>
      <c r="Q35" s="18" t="inlineStr">
        <is>
          <t>The ease of reaching a hidden service in seconds.</t>
        </is>
      </c>
      <c r="R35" s="18" t="inlineStr">
        <is>
          <t>kubectl port-forward opens a local port that forwards traffic through the API server to a pod, deployment or Service port.</t>
        </is>
      </c>
      <c r="S35" s="17" t="n"/>
      <c r="T35" s="19" t="inlineStr">
        <is>
          <t>kubectl port-forward svc/web 8080:80 -n shop
kubectl port-forward pod/db-0 5433:5432 -n shop
curl http://localhost:8080/health</t>
        </is>
      </c>
      <c r="U35" s="19" t="inlineStr">
        <is>
          <t>Local port 8080 reaches the web Service, local port 5433 reaches the database pod, and the curl call shows the health response.</t>
        </is>
      </c>
      <c r="V35" s="18" t="inlineStr">
        <is>
          <t>The command runs until you stop it. It binds to localhost by default. It tests an app without exposing it publicly. Forwarding to a pod fixes one instance, which dies on restart. It needs permission on pods/portforward. It is for debugging, not for production access.</t>
        </is>
      </c>
      <c r="W35" s="18" t="inlineStr">
        <is>
          <t>Forward a local port to a Service or pod to reach it from your laptop.</t>
        </is>
      </c>
      <c r="X35" s="18" t="inlineStr">
        <is>
          <t>Port-forward is a private tunnel from your laptop into the cluster.</t>
        </is>
      </c>
      <c r="Y35" s="19" t="inlineStr">
        <is>
          <t>kubectl port-forward TYPE/NAME LOCAL:REMOTE</t>
        </is>
      </c>
      <c r="Z35" s="18" t="inlineStr">
        <is>
          <t>svc/web = target | 8080 = local port | 80 = remote port</t>
        </is>
      </c>
      <c r="AA35" s="19" t="inlineStr">
        <is>
          <t>kubectl port-forward deploy/api 3000:3000</t>
        </is>
      </c>
      <c r="AB35" s="19" t="inlineStr">
        <is>
          <t>kubectl port-forward --address 0.0.0.0 svc/web 8080:80</t>
        </is>
      </c>
      <c r="AC35" s="19" t="inlineStr">
        <is>
          <t>kubectl port-forward pod/web-1 9090</t>
        </is>
      </c>
      <c r="AD35" s="19" t="inlineStr">
        <is>
          <t>kubectl port-forward svc/web :80   // choose a free local port</t>
        </is>
      </c>
      <c r="AE35" s="18" t="inlineStr">
        <is>
          <t>debugging, databases, dashboards</t>
        </is>
      </c>
      <c r="AF35" s="18" t="inlineStr">
        <is>
          <t>Services, SSH tunnels, exec, ports</t>
        </is>
      </c>
      <c r="AG35" s="18" t="inlineStr">
        <is>
          <t>Ingress | VPN access</t>
        </is>
      </c>
      <c r="AH35" s="17" t="n"/>
      <c r="AI35" s="18" t="inlineStr">
        <is>
          <t>Development | Debugging | Dashboards</t>
        </is>
      </c>
      <c r="AJ35" s="18" t="inlineStr">
        <is>
          <t>A: How can I test the internal API from my laptop? | B: Port-forward the Service.</t>
        </is>
      </c>
      <c r="AK35" s="18" t="inlineStr">
        <is>
          <t>✗ port-forward exposes the service to the internet → ✓ It is local and temporary</t>
        </is>
      </c>
      <c r="AL35" s="18" t="inlineStr">
        <is>
          <t>port-forward vs NodePort: one is a temporary tunnel, the other is a permanent exposure.</t>
        </is>
      </c>
      <c r="AM35" s="18" t="inlineStr">
        <is>
          <t>Do not use port-forward as a production access method.</t>
        </is>
      </c>
      <c r="AN35" s="19" t="inlineStr">
        <is>
          <t>kubectl port-forward svc/web 80:8080   # local and remote swapped</t>
        </is>
      </c>
      <c r="AO35" s="19" t="inlineStr">
        <is>
          <t>kubectl port-forward svc/web 8080:80</t>
        </is>
      </c>
      <c r="AP35" s="18" t="inlineStr">
        <is>
          <t>Local number first, remote number second.</t>
        </is>
      </c>
      <c r="AQ35" s="18" t="inlineStr">
        <is>
          <t>Forwarding the database pod let a developer check data without exposing it.</t>
        </is>
      </c>
      <c r="AR35" s="18" t="inlineStr">
        <is>
          <t>An interviewer may ask: What does kubectl port-forward do?</t>
        </is>
      </c>
      <c r="AS35" s="18" t="inlineStr">
        <is>
          <t>It is like a private tunnel.</t>
        </is>
      </c>
      <c r="AT35" s="18" t="inlineStr">
        <is>
          <t>In kubectl port-forward svc/web 8080:80, which side of the colon is the laptop port?</t>
        </is>
      </c>
      <c r="AU35" s="18" t="inlineStr">
        <is>
          <t>A) The left side B) Both sides C) Neither side D) The right side</t>
        </is>
      </c>
      <c r="AV35" s="18" t="inlineStr">
        <is>
          <t>A</t>
        </is>
      </c>
      <c r="AW35" s="18" t="inlineStr">
        <is>
          <t>The format is local then remote.</t>
        </is>
      </c>
      <c r="AX35" s="19" t="inlineStr">
        <is>
          <t>The command runs until you ____ it → stop</t>
        </is>
      </c>
      <c r="AY35" s="18" t="inlineStr">
        <is>
          <t>Reach the web Service on local port 8080.</t>
        </is>
      </c>
      <c r="AZ35" s="19" t="inlineStr">
        <is>
          <t>kubectl port-forward svc/web 8080:80</t>
        </is>
      </c>
      <c r="BA35" s="18" t="inlineStr">
        <is>
          <t>Forward a local port to a database pod.</t>
        </is>
      </c>
      <c r="BB35" s="19" t="inlineStr">
        <is>
          <t>Is port-forward permanent?</t>
        </is>
      </c>
      <c r="BC35" s="19" t="inlineStr">
        <is>
          <t>No, it ends when the command stops.</t>
        </is>
      </c>
      <c r="BD35" s="17">
        <f>IF(K35="","",REPT("★",K35)&amp;REPT("☆",5-K35)&amp;" ("&amp;K35&amp;"/5)")</f>
        <v/>
      </c>
      <c r="BE35" s="17">
        <f>IF(S35="","","Meaning: "&amp;S35&amp;"  =  ______   (Answer: "&amp;F35&amp;")")</f>
        <v/>
      </c>
      <c r="BF35" s="17" t="inlineStr">
        <is>
          <t>New</t>
        </is>
      </c>
      <c r="BG35" s="17" t="n"/>
      <c r="BH35" s="17" t="n"/>
      <c r="BI35" s="17" t="n"/>
      <c r="BJ35" s="17" t="n"/>
      <c r="BK35" s="17" t="n"/>
      <c r="BL35" s="17" t="n"/>
      <c r="BM35" s="17" t="n"/>
      <c r="BN35" s="17" t="n"/>
    </row>
    <row r="36" ht="108" customHeight="1">
      <c r="A36" s="17" t="inlineStr">
        <is>
          <t>K8S-044</t>
        </is>
      </c>
      <c r="B36" s="17" t="inlineStr">
        <is>
          <t>07 Tooling</t>
        </is>
      </c>
      <c r="C36" s="17" t="inlineStr">
        <is>
          <t>Beginner</t>
        </is>
      </c>
      <c r="D36" s="17" t="n">
        <v>44</v>
      </c>
      <c r="E36" s="17" t="inlineStr">
        <is>
          <t>Claude knowledge</t>
        </is>
      </c>
      <c r="F36" s="18" t="inlineStr">
        <is>
          <t>Events</t>
        </is>
      </c>
      <c r="G36" s="18" t="inlineStr">
        <is>
          <t>Which records show what the cluster did or failed to do with an object?</t>
        </is>
      </c>
      <c r="H36" s="17" t="n"/>
      <c r="I36" s="18" t="inlineStr">
        <is>
          <t>Command</t>
        </is>
      </c>
      <c r="J36" s="18" t="inlineStr">
        <is>
          <t>High</t>
        </is>
      </c>
      <c r="K36" s="18" t="n">
        <v>4</v>
      </c>
      <c r="L36" s="18" t="inlineStr">
        <is>
          <t>Failures need explanations, so the cluster records events such as scheduling decisions, pulls and probe failures.</t>
        </is>
      </c>
      <c r="M36" s="18" t="inlineStr">
        <is>
          <t>Sort events by time and filter by object when searching.</t>
        </is>
      </c>
      <c r="N36" s="17" t="n"/>
      <c r="O36" s="18" t="inlineStr">
        <is>
          <t>Events are the cluster's diary entries about each object.</t>
        </is>
      </c>
      <c r="P36" s="18" t="inlineStr">
        <is>
          <t>A time-ordered list of warnings and normal events.</t>
        </is>
      </c>
      <c r="Q36" s="18" t="inlineStr">
        <is>
          <t>The relief of finding a clear message.</t>
        </is>
      </c>
      <c r="R36" s="18" t="inlineStr">
        <is>
          <t>Events are short records created by components about objects, such as Scheduled, Pulled, Failed or BackOff, and they expire after about an hour.</t>
        </is>
      </c>
      <c r="S36" s="17" t="n"/>
      <c r="T36" s="19" t="inlineStr">
        <is>
          <t>kubectl get events -n shop --sort-by=.lastTimestamp
kubectl get events -n shop --field-selector type=Warning
kubectl describe pod web-7d9f -n shop
kubectl get events -n shop --field-selector involvedObject.name=web-7d9f</t>
        </is>
      </c>
      <c r="U36" s="19" t="inlineStr">
        <is>
          <t>Events list newest last, warnings alone, pod details with events, and events for one pod.</t>
        </is>
      </c>
      <c r="V36" s="18" t="inlineStr">
        <is>
          <t>Events explain why a pod is pending, why an image failed to pull or why a probe fails. They are short lived, so collect them in monitoring for history. Warnings deserve attention. Controllers generate events for rollouts and scaling.</t>
        </is>
      </c>
      <c r="W36" s="18" t="inlineStr">
        <is>
          <t>Read events sorted by time and filter warnings to find causes.</t>
        </is>
      </c>
      <c r="X36" s="18" t="inlineStr">
        <is>
          <t>Events are the cluster's diary entries about each object.</t>
        </is>
      </c>
      <c r="Y36" s="19" t="inlineStr">
        <is>
          <t>kubectl get events --sort-by=.lastTimestamp</t>
        </is>
      </c>
      <c r="Z36" s="18" t="inlineStr">
        <is>
          <t>type = Normal or Warning | reason = short code | object = who it is about</t>
        </is>
      </c>
      <c r="AA36" s="19" t="inlineStr">
        <is>
          <t>kubectl get events -A --field-selector type=Warning</t>
        </is>
      </c>
      <c r="AB36" s="19" t="inlineStr">
        <is>
          <t>kubectl events --for pod/web-1</t>
        </is>
      </c>
      <c r="AC36" s="19" t="inlineStr">
        <is>
          <t>Reason FailedScheduling</t>
        </is>
      </c>
      <c r="AD36" s="19" t="inlineStr">
        <is>
          <t>kubectl get events -w   // watch live</t>
        </is>
      </c>
      <c r="AE36" s="18" t="inlineStr">
        <is>
          <t>describe, logs, monitoring</t>
        </is>
      </c>
      <c r="AF36" s="18" t="inlineStr">
        <is>
          <t>debugging with describe and logs, common failures, monitoring, alerts</t>
        </is>
      </c>
      <c r="AG36" s="18" t="inlineStr">
        <is>
          <t>Event exporters</t>
        </is>
      </c>
      <c r="AH36" s="17" t="n"/>
      <c r="AI36" s="18" t="inlineStr">
        <is>
          <t>Debugging | Incidents | Rollouts</t>
        </is>
      </c>
      <c r="AJ36" s="18" t="inlineStr">
        <is>
          <t>A: Why is the pod pending? | B: Events say FailedScheduling because no node has enough memory.</t>
        </is>
      </c>
      <c r="AK36" s="18" t="inlineStr">
        <is>
          <t>✗ Events are kept forever → ✓ They expire quickly, so export them if needed</t>
        </is>
      </c>
      <c r="AL36" s="18" t="inlineStr">
        <is>
          <t>Events vs logs: events come from the cluster, logs come from the app.</t>
        </is>
      </c>
      <c r="AM36" s="18" t="inlineStr">
        <is>
          <t>Do not depend on events for long-term history.</t>
        </is>
      </c>
      <c r="AN36" s="19" t="inlineStr">
        <is>
          <t>kubectl get events   # unsorted and in the default namespace only</t>
        </is>
      </c>
      <c r="AO36" s="19" t="inlineStr">
        <is>
          <t>kubectl get events -n shop --sort-by=.lastTimestamp</t>
        </is>
      </c>
      <c r="AP36" s="18" t="inlineStr">
        <is>
          <t>Sort events by time, then filter warnings.</t>
        </is>
      </c>
      <c r="AQ36" s="18" t="inlineStr">
        <is>
          <t>Events showed a node memory shortage behind pending pods.</t>
        </is>
      </c>
      <c r="AR36" s="18" t="inlineStr">
        <is>
          <t>An interviewer may ask: Where do you see why a pod is Pending?</t>
        </is>
      </c>
      <c r="AS36" s="18" t="inlineStr">
        <is>
          <t>It is like diary entries about each object.</t>
        </is>
      </c>
      <c r="AT36" s="18" t="inlineStr">
        <is>
          <t>How long do events usually last?</t>
        </is>
      </c>
      <c r="AU36" s="18" t="inlineStr">
        <is>
          <t>A) One second B) About an hour C) Forever D) One year</t>
        </is>
      </c>
      <c r="AV36" s="18" t="inlineStr">
        <is>
          <t>B</t>
        </is>
      </c>
      <c r="AW36" s="18" t="inlineStr">
        <is>
          <t>They expire quickly.</t>
        </is>
      </c>
      <c r="AX36" s="19" t="inlineStr">
        <is>
          <t>The event type that signals trouble is ____ → Warning</t>
        </is>
      </c>
      <c r="AY36" s="18" t="inlineStr">
        <is>
          <t>List warning events in namespace shop.</t>
        </is>
      </c>
      <c r="AZ36" s="19" t="inlineStr">
        <is>
          <t>kubectl get events -n shop --field-selector type=Warning</t>
        </is>
      </c>
      <c r="BA36" s="18" t="inlineStr">
        <is>
          <t>Find the reason a pod is pending using events.</t>
        </is>
      </c>
      <c r="BB36" s="19" t="inlineStr">
        <is>
          <t>Why export events?</t>
        </is>
      </c>
      <c r="BC36" s="19" t="inlineStr">
        <is>
          <t>They expire quickly, so history is lost.</t>
        </is>
      </c>
      <c r="BD36" s="17">
        <f>IF(K36="","",REPT("★",K36)&amp;REPT("☆",5-K36)&amp;" ("&amp;K36&amp;"/5)")</f>
        <v/>
      </c>
      <c r="BE36" s="17">
        <f>IF(S36="","","Meaning: "&amp;S36&amp;"  =  ______   (Answer: "&amp;F36&amp;")")</f>
        <v/>
      </c>
      <c r="BF36" s="17" t="inlineStr">
        <is>
          <t>New</t>
        </is>
      </c>
      <c r="BG36" s="17" t="n"/>
      <c r="BH36" s="17" t="n"/>
      <c r="BI36" s="17" t="n"/>
      <c r="BJ36" s="17" t="n"/>
      <c r="BK36" s="17" t="n"/>
      <c r="BL36" s="17" t="n"/>
      <c r="BM36" s="17" t="n"/>
      <c r="BN36" s="17" t="n"/>
    </row>
    <row r="37" ht="135" customHeight="1">
      <c r="A37" s="17" t="inlineStr">
        <is>
          <t>K8S-045</t>
        </is>
      </c>
      <c r="B37" s="17" t="inlineStr">
        <is>
          <t>07 Tooling</t>
        </is>
      </c>
      <c r="C37" s="17" t="inlineStr">
        <is>
          <t>Intermediate</t>
        </is>
      </c>
      <c r="D37" s="17" t="n">
        <v>45</v>
      </c>
      <c r="E37" s="17" t="inlineStr">
        <is>
          <t>Claude knowledge</t>
        </is>
      </c>
      <c r="F37" s="18" t="inlineStr">
        <is>
          <t>Common failures: CrashLoopBackOff and ImagePullBackOff</t>
        </is>
      </c>
      <c r="G37" s="18" t="inlineStr">
        <is>
          <t>Which two statuses show a crashing container and a failed image pull, and how do you fix them?</t>
        </is>
      </c>
      <c r="H37" s="17" t="n"/>
      <c r="I37" s="18" t="inlineStr">
        <is>
          <t>Debugging skill</t>
        </is>
      </c>
      <c r="J37" s="18" t="inlineStr">
        <is>
          <t>Very high</t>
        </is>
      </c>
      <c r="K37" s="18" t="n">
        <v>5</v>
      </c>
      <c r="L37" s="18" t="inlineStr">
        <is>
          <t>Two statuses appear in most cluster problems, so knowing their causes saves hours.</t>
        </is>
      </c>
      <c r="M37" s="18" t="inlineStr">
        <is>
          <t>Pending means scheduling, ImagePullBackOff means the image, CrashLoopBackOff means the app.</t>
        </is>
      </c>
      <c r="N37" s="17" t="n"/>
      <c r="O37" s="18" t="inlineStr">
        <is>
          <t>CrashLoop is a worker who keeps fainting at the door, and ImagePull is a delivery that never arrives.</t>
        </is>
      </c>
      <c r="P37" s="18" t="inlineStr">
        <is>
          <t>A status column with three common error states.</t>
        </is>
      </c>
      <c r="Q37" s="18" t="inlineStr">
        <is>
          <t>The calm of a clear checklist for the commonest failures.</t>
        </is>
      </c>
      <c r="R37" s="18" t="inlineStr">
        <is>
          <t>CrashLoopBackOff means the container starts and exits repeatedly with growing delays, and ImagePullBackOff means the image cannot be fetched, usually from a wrong name, tag or credentials.</t>
        </is>
      </c>
      <c r="S37" s="17" t="n"/>
      <c r="T37" s="19" t="inlineStr">
        <is>
          <t>kubectl get pods -n shop
kubectl describe pod web-7d9f -n shop   # events and exit code
kubectl logs web-7d9f -n shop --previous   # why it crashed
kubectl get pod web-7d9f -n shop -o jsonpath='{.status.containerStatuses[0].lastState}'
kubectl describe pod web-7d9f -n shop | grep -i -A3 "pull"</t>
        </is>
      </c>
      <c r="U37" s="19" t="inlineStr">
        <is>
          <t>The commands show the status, the events and exit code, the previous log, the last state and any pull errors.</t>
        </is>
      </c>
      <c r="V37" s="18" t="inlineStr">
        <is>
          <t>Causes of CrashLoopBackOff include application errors, missing variables or config, failed liveness probes, wrong commands and out-of-memory kills, with exit code 137. ImagePullBackOff comes from typos, missing tags, private registries without credentials or network limits. Pending means no node fits, due to resources, taints or volumes. Fix the cause, then the backoff resets.</t>
        </is>
      </c>
      <c r="W37" s="18" t="inlineStr">
        <is>
          <t>Read events, previous logs and exit codes, then fix the app, config or image reference.</t>
        </is>
      </c>
      <c r="X37" s="18" t="inlineStr">
        <is>
          <t>CrashLoop is a worker who keeps fainting at the door, and ImagePull is a delivery that never arrives.</t>
        </is>
      </c>
      <c r="Y37" s="19" t="inlineStr">
        <is>
          <t>kubectl describe pod | kubectl logs --previous</t>
        </is>
      </c>
      <c r="Z37" s="18" t="inlineStr">
        <is>
          <t>CrashLoopBackOff = app exits | ImagePullBackOff = image fetch fails | Pending = not scheduled | 137 = killed</t>
        </is>
      </c>
      <c r="AA37" s="19" t="inlineStr">
        <is>
          <t>Exit code 1 from an application error.</t>
        </is>
      </c>
      <c r="AB37" s="19" t="inlineStr">
        <is>
          <t>Exit code 137 from OOMKilled.</t>
        </is>
      </c>
      <c r="AC37" s="19" t="inlineStr">
        <is>
          <t>Failed to pull image with not found.</t>
        </is>
      </c>
      <c r="AD37" s="19" t="inlineStr">
        <is>
          <t>kubectl rollout restart deployment/web   // restart after fixing config</t>
        </is>
      </c>
      <c r="AE37" s="18" t="inlineStr">
        <is>
          <t>events, logs, probes</t>
        </is>
      </c>
      <c r="AF37" s="18" t="inlineStr">
        <is>
          <t>debugging with describe and logs, events, requests and limits, image pull secrets</t>
        </is>
      </c>
      <c r="AG37" s="18" t="inlineStr">
        <is>
          <t>Monitoring dashboards</t>
        </is>
      </c>
      <c r="AH37" s="17" t="n"/>
      <c r="AI37" s="18" t="inlineStr">
        <is>
          <t>Incidents | Daily operations | Interviews</t>
        </is>
      </c>
      <c r="AJ37" s="18" t="inlineStr">
        <is>
          <t>A: The pod shows CrashLoopBackOff. | B: Read the previous logs and exit code to find why it keeps dying.</t>
        </is>
      </c>
      <c r="AK37" s="18" t="inlineStr">
        <is>
          <t>✗ CrashLoopBackOff is an error of Kubernetes itself → ✓ It reports that the application keeps exiting</t>
        </is>
      </c>
      <c r="AL37" s="18" t="inlineStr">
        <is>
          <t>CrashLoopBackOff vs ImagePullBackOff: the app crashes versus the image cannot be pulled.</t>
        </is>
      </c>
      <c r="AM37" s="18" t="inlineStr">
        <is>
          <t>Do not just delete the pod without reading the cause.</t>
        </is>
      </c>
      <c r="AN37" s="19" t="inlineStr">
        <is>
          <t>kubectl delete pod web-1   # without reading logs or events</t>
        </is>
      </c>
      <c r="AO37" s="19" t="inlineStr">
        <is>
          <t>kubectl logs web-1 --previous &amp;&amp; kubectl describe pod web-1</t>
        </is>
      </c>
      <c r="AP37" s="18" t="inlineStr">
        <is>
          <t>Pending scheduling, Pull image, Crash app.</t>
        </is>
      </c>
      <c r="AQ37" s="18" t="inlineStr">
        <is>
          <t>Reading exit code 137 pointed to a memory limit behind a crash loop.</t>
        </is>
      </c>
      <c r="AR37" s="18" t="inlineStr">
        <is>
          <t>An interviewer may ask: How do you debug CrashLoopBackOff?</t>
        </is>
      </c>
      <c r="AS37" s="18" t="inlineStr">
        <is>
          <t>It is like a worker who keeps fainting at the door.</t>
        </is>
      </c>
      <c r="AT37" s="18" t="inlineStr">
        <is>
          <t>What does exit code 137 usually mean?</t>
        </is>
      </c>
      <c r="AU37" s="18" t="inlineStr">
        <is>
          <t>A) Network error B) Killed, often out of memory C) Wrong command D) Success</t>
        </is>
      </c>
      <c r="AV37" s="18" t="inlineStr">
        <is>
          <t>B</t>
        </is>
      </c>
      <c r="AW37" s="18" t="inlineStr">
        <is>
          <t>137 is a kill signal, commonly from memory limits.</t>
        </is>
      </c>
      <c r="AX37" s="19" t="inlineStr">
        <is>
          <t>A pod no node can host stays ____ → Pending</t>
        </is>
      </c>
      <c r="AY37" s="18" t="inlineStr">
        <is>
          <t>Read the logs of the previous crashed container.</t>
        </is>
      </c>
      <c r="AZ37" s="19" t="inlineStr">
        <is>
          <t>kubectl logs web-7d9f --previous</t>
        </is>
      </c>
      <c r="BA37" s="18" t="inlineStr">
        <is>
          <t>Write a checklist for a pod stuck in CrashLoopBackOff.</t>
        </is>
      </c>
      <c r="BB37" s="19" t="inlineStr">
        <is>
          <t>What causes ImagePullBackOff?</t>
        </is>
      </c>
      <c r="BC37" s="19" t="inlineStr">
        <is>
          <t>A wrong image name or tag, or missing registry credentials.</t>
        </is>
      </c>
      <c r="BD37" s="17">
        <f>IF(K37="","",REPT("★",K37)&amp;REPT("☆",5-K37)&amp;" ("&amp;K37&amp;"/5)")</f>
        <v/>
      </c>
      <c r="BE37" s="17">
        <f>IF(S37="","","Meaning: "&amp;S37&amp;"  =  ______   (Answer: "&amp;F37&amp;")")</f>
        <v/>
      </c>
      <c r="BF37" s="17" t="inlineStr">
        <is>
          <t>New</t>
        </is>
      </c>
      <c r="BG37" s="17" t="n"/>
      <c r="BH37" s="17" t="n"/>
      <c r="BI37" s="17" t="n"/>
      <c r="BJ37" s="17" t="n"/>
      <c r="BK37" s="17" t="n"/>
      <c r="BL37" s="17" t="n"/>
      <c r="BM37" s="17" t="n"/>
      <c r="BN37" s="17" t="n"/>
    </row>
  </sheetData>
  <autoFilter ref="A2:BN37"/>
  <mergeCells count="6">
    <mergeCell ref="AT1:BC1"/>
    <mergeCell ref="BD1:BE1"/>
    <mergeCell ref="F1:Q1"/>
    <mergeCell ref="A1:E1"/>
    <mergeCell ref="BF1:BN1"/>
    <mergeCell ref="R1:AS1"/>
  </mergeCells>
  <dataValidations count="2">
    <dataValidation sqref="BF3:BF37" showDropDown="0" showInputMessage="0" showErrorMessage="0" allowBlank="1" type="list">
      <formula1>"New,Learning,Known"</formula1>
    </dataValidation>
    <dataValidation sqref="BM3:BM37" showDropDown="0" showInputMessage="0" showErrorMessage="0" allowBlank="1" type="list">
      <formula1>"OK,Fix"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1"/>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Code concept (56-pt) · card view</t>
        </is>
      </c>
    </row>
    <row r="2">
      <c r="A2" s="21" t="inlineStr">
        <is>
          <t>Card ID chuno ▸</t>
        </is>
      </c>
      <c r="B2" s="22" t="inlineStr">
        <is>
          <t>K8S-004</t>
        </is>
      </c>
    </row>
    <row r="4">
      <c r="A4" s="23" t="inlineStr">
        <is>
          <t>FRONT · Recognition (pehchano)</t>
        </is>
      </c>
    </row>
    <row r="5" ht="30" customHeight="1">
      <c r="A5" s="24" t="inlineStr">
        <is>
          <t>ID</t>
        </is>
      </c>
      <c r="B5" s="17">
        <f>INDEX('Code concept (56-pt) cards'!$A$3:$BN$37,MATCH($B$2,'Code concept (56-pt) cards'!$A$3:$A$37,0),MATCH("ID",'Code concept (56-pt) cards'!$A$2:$BN$2,0))&amp;""</f>
        <v/>
      </c>
    </row>
    <row r="6" ht="30" customHeight="1">
      <c r="A6" s="24" t="inlineStr">
        <is>
          <t>Topic</t>
        </is>
      </c>
      <c r="B6" s="17">
        <f>INDEX('Code concept (56-pt) cards'!$A$3:$BN$37,MATCH($B$2,'Code concept (56-pt) cards'!$A$3:$A$37,0),MATCH("Topic",'Code concept (56-pt) cards'!$A$2:$BN$2,0))&amp;""</f>
        <v/>
      </c>
    </row>
    <row r="7" ht="30" customHeight="1">
      <c r="A7" s="24" t="inlineStr">
        <is>
          <t>Level</t>
        </is>
      </c>
      <c r="B7" s="17">
        <f>INDEX('Code concept (56-pt) cards'!$A$3:$BN$37,MATCH($B$2,'Code concept (56-pt) cards'!$A$3:$A$37,0),MATCH("Level",'Code concept (56-pt) cards'!$A$2:$BN$2,0))&amp;""</f>
        <v/>
      </c>
    </row>
    <row r="8" ht="30" customHeight="1">
      <c r="A8" s="24" t="inlineStr">
        <is>
          <t>Concept</t>
        </is>
      </c>
      <c r="B8" s="17">
        <f>INDEX('Code concept (56-pt) cards'!$A$3:$BN$37,MATCH($B$2,'Code concept (56-pt) cards'!$A$3:$A$37,0),MATCH("Concept",'Code concept (56-pt) cards'!$A$2:$BN$2,0))&amp;""</f>
        <v/>
      </c>
    </row>
    <row r="9" ht="30" customHeight="1">
      <c r="A9" s="24" t="inlineStr">
        <is>
          <t>Recall cue</t>
        </is>
      </c>
      <c r="B9" s="17">
        <f>INDEX('Code concept (56-pt) cards'!$A$3:$BN$37,MATCH($B$2,'Code concept (56-pt) cards'!$A$3:$A$37,0),MATCH("Recall cue",'Code concept (56-pt) cards'!$A$2:$BN$2,0))&amp;""</f>
        <v/>
      </c>
    </row>
    <row r="10" ht="30" customHeight="1">
      <c r="A10" s="24" t="inlineStr">
        <is>
          <t>Read aloud</t>
        </is>
      </c>
      <c r="B10" s="17">
        <f>INDEX('Code concept (56-pt) cards'!$A$3:$BN$37,MATCH($B$2,'Code concept (56-pt) cards'!$A$3:$A$37,0),MATCH("Read aloud",'Code concept (56-pt) cards'!$A$2:$BN$2,0))&amp;""</f>
        <v/>
      </c>
    </row>
    <row r="11" ht="30" customHeight="1">
      <c r="A11" s="24" t="inlineStr">
        <is>
          <t>Type</t>
        </is>
      </c>
      <c r="B11" s="17">
        <f>INDEX('Code concept (56-pt) cards'!$A$3:$BN$37,MATCH($B$2,'Code concept (56-pt) cards'!$A$3:$A$37,0),MATCH("Type",'Code concept (56-pt) cards'!$A$2:$BN$2,0))&amp;""</f>
        <v/>
      </c>
    </row>
    <row r="12" ht="30" customHeight="1">
      <c r="A12" s="24" t="inlineStr">
        <is>
          <t>How often used</t>
        </is>
      </c>
      <c r="B12" s="17">
        <f>INDEX('Code concept (56-pt) cards'!$A$3:$BN$37,MATCH($B$2,'Code concept (56-pt) cards'!$A$3:$A$37,0),MATCH("How often used",'Code concept (56-pt) cards'!$A$2:$BN$2,0))&amp;""</f>
        <v/>
      </c>
    </row>
    <row r="13" ht="30" customHeight="1">
      <c r="A13" s="24" t="inlineStr">
        <is>
          <t>Importance (1-5)</t>
        </is>
      </c>
      <c r="B13" s="17">
        <f>INDEX('Code concept (56-pt) cards'!$A$3:$BN$37,MATCH($B$2,'Code concept (56-pt) cards'!$A$3:$A$37,0),MATCH("Importance (1-5)",'Code concept (56-pt) cards'!$A$2:$BN$2,0))&amp;""</f>
        <v/>
      </c>
    </row>
    <row r="14" ht="30" customHeight="1">
      <c r="A14" s="24" t="inlineStr">
        <is>
          <t>Origin / why it exists</t>
        </is>
      </c>
      <c r="B14" s="17">
        <f>INDEX('Code concept (56-pt) cards'!$A$3:$BN$37,MATCH($B$2,'Code concept (56-pt) cards'!$A$3:$A$37,0),MATCH("Origin / why it exists",'Code concept (56-pt) cards'!$A$2:$BN$2,0))&amp;""</f>
        <v/>
      </c>
    </row>
    <row r="15" ht="30" customHeight="1">
      <c r="A15" s="24" t="inlineStr">
        <is>
          <t>Pro tip</t>
        </is>
      </c>
      <c r="B15" s="17">
        <f>INDEX('Code concept (56-pt) cards'!$A$3:$BN$37,MATCH($B$2,'Code concept (56-pt) cards'!$A$3:$A$37,0),MATCH("Pro tip",'Code concept (56-pt) cards'!$A$2:$BN$2,0))&amp;""</f>
        <v/>
      </c>
    </row>
    <row r="16" ht="30" customHeight="1">
      <c r="A16" s="24" t="inlineStr">
        <is>
          <t>Typing hint</t>
        </is>
      </c>
      <c r="B16" s="17">
        <f>INDEX('Code concept (56-pt) cards'!$A$3:$BN$37,MATCH($B$2,'Code concept (56-pt) cards'!$A$3:$A$37,0),MATCH("Typing hint",'Code concept (56-pt) cards'!$A$2:$BN$2,0))&amp;""</f>
        <v/>
      </c>
    </row>
    <row r="17" ht="30" customHeight="1">
      <c r="A17" s="24" t="inlineStr">
        <is>
          <t>Memory story</t>
        </is>
      </c>
      <c r="B17" s="17">
        <f>INDEX('Code concept (56-pt) cards'!$A$3:$BN$37,MATCH($B$2,'Code concept (56-pt) cards'!$A$3:$A$37,0),MATCH("Memory story",'Code concept (56-pt) cards'!$A$2:$BN$2,0))&amp;""</f>
        <v/>
      </c>
    </row>
    <row r="18" ht="30" customHeight="1">
      <c r="A18" s="24" t="inlineStr">
        <is>
          <t>Picture it</t>
        </is>
      </c>
      <c r="B18" s="17">
        <f>INDEX('Code concept (56-pt) cards'!$A$3:$BN$37,MATCH($B$2,'Code concept (56-pt) cards'!$A$3:$A$37,0),MATCH("Picture it",'Code concept (56-pt) cards'!$A$2:$BN$2,0))&amp;""</f>
        <v/>
      </c>
    </row>
    <row r="19" ht="30" customHeight="1">
      <c r="A19" s="24" t="inlineStr">
        <is>
          <t>Emotion hook</t>
        </is>
      </c>
      <c r="B19" s="17">
        <f>INDEX('Code concept (56-pt) cards'!$A$3:$BN$37,MATCH($B$2,'Code concept (56-pt) cards'!$A$3:$A$37,0),MATCH("Emotion hook",'Code concept (56-pt) cards'!$A$2:$BN$2,0))&amp;""</f>
        <v/>
      </c>
    </row>
    <row r="20" ht="30" customHeight="1">
      <c r="A20" s="24" t="inlineStr">
        <is>
          <t>Importance ★</t>
        </is>
      </c>
      <c r="B20" s="17">
        <f>INDEX('Code concept (56-pt) cards'!$A$3:$BN$37,MATCH($B$2,'Code concept (56-pt) cards'!$A$3:$A$37,0),MATCH("Importance ★",'Code concept (56-pt) cards'!$A$2:$BN$2,0))&amp;""</f>
        <v/>
      </c>
    </row>
    <row r="21">
      <c r="A21" s="25" t="inlineStr">
        <is>
          <t>BACK · Understanding (samjho)</t>
        </is>
      </c>
    </row>
    <row r="22" ht="30" customHeight="1">
      <c r="A22" s="24" t="inlineStr">
        <is>
          <t>Meaning (short)</t>
        </is>
      </c>
      <c r="B22" s="17">
        <f>INDEX('Code concept (56-pt) cards'!$A$3:$BN$37,MATCH($B$2,'Code concept (56-pt) cards'!$A$3:$A$37,0),MATCH("Meaning (short)",'Code concept (56-pt) cards'!$A$2:$BN$2,0))&amp;""</f>
        <v/>
      </c>
    </row>
    <row r="23" ht="30" customHeight="1">
      <c r="A23" s="24" t="inlineStr">
        <is>
          <t>Meaning in learner's language</t>
        </is>
      </c>
      <c r="B23" s="17">
        <f>INDEX('Code concept (56-pt) cards'!$A$3:$BN$37,MATCH($B$2,'Code concept (56-pt) cards'!$A$3:$A$37,0),MATCH("Meaning in learner's language",'Code concept (56-pt) cards'!$A$2:$BN$2,0))&amp;""</f>
        <v/>
      </c>
    </row>
    <row r="24" ht="378" customHeight="1">
      <c r="A24" s="24" t="inlineStr">
        <is>
          <t>Code</t>
        </is>
      </c>
      <c r="B24" s="26">
        <f>INDEX('Code concept (56-pt) cards'!$A$3:$BN$37,MATCH($B$2,'Code concept (56-pt) cards'!$A$3:$A$37,0),MATCH("Code",'Code concept (56-pt) cards'!$A$2:$BN$2,0))&amp;""</f>
        <v/>
      </c>
    </row>
    <row r="25" ht="30" customHeight="1">
      <c r="A25" s="24" t="inlineStr">
        <is>
          <t>Output</t>
        </is>
      </c>
      <c r="B25" s="26">
        <f>INDEX('Code concept (56-pt) cards'!$A$3:$BN$37,MATCH($B$2,'Code concept (56-pt) cards'!$A$3:$A$37,0),MATCH("Output",'Code concept (56-pt) cards'!$A$2:$BN$2,0))&amp;""</f>
        <v/>
      </c>
    </row>
    <row r="26" ht="67.5" customHeight="1">
      <c r="A26" s="24" t="inlineStr">
        <is>
          <t>Explanation</t>
        </is>
      </c>
      <c r="B26" s="17">
        <f>INDEX('Code concept (56-pt) cards'!$A$3:$BN$37,MATCH($B$2,'Code concept (56-pt) cards'!$A$3:$A$37,0),MATCH("Explanation",'Code concept (56-pt) cards'!$A$2:$BN$2,0))&amp;""</f>
        <v/>
      </c>
    </row>
    <row r="27" ht="30" customHeight="1">
      <c r="A27" s="24" t="inlineStr">
        <is>
          <t>Simple explanation (Hinglish)</t>
        </is>
      </c>
      <c r="B27" s="17">
        <f>INDEX('Code concept (56-pt) cards'!$A$3:$BN$37,MATCH($B$2,'Code concept (56-pt) cards'!$A$3:$A$37,0),MATCH("Simple explanation (Hinglish)",'Code concept (56-pt) cards'!$A$2:$BN$2,0))&amp;""</f>
        <v/>
      </c>
    </row>
    <row r="28" ht="30" customHeight="1">
      <c r="A28" s="24" t="inlineStr">
        <is>
          <t>Real-life analogy</t>
        </is>
      </c>
      <c r="B28" s="17">
        <f>INDEX('Code concept (56-pt) cards'!$A$3:$BN$37,MATCH($B$2,'Code concept (56-pt) cards'!$A$3:$A$37,0),MATCH("Real-life analogy",'Code concept (56-pt) cards'!$A$2:$BN$2,0))&amp;""</f>
        <v/>
      </c>
    </row>
    <row r="29" ht="30" customHeight="1">
      <c r="A29" s="24" t="inlineStr">
        <is>
          <t>Syntax pattern</t>
        </is>
      </c>
      <c r="B29" s="26">
        <f>INDEX('Code concept (56-pt) cards'!$A$3:$BN$37,MATCH($B$2,'Code concept (56-pt) cards'!$A$3:$A$37,0),MATCH("Syntax pattern",'Code concept (56-pt) cards'!$A$2:$BN$2,0))&amp;""</f>
        <v/>
      </c>
    </row>
    <row r="30" ht="30" customHeight="1">
      <c r="A30" s="24" t="inlineStr">
        <is>
          <t>Anatomy</t>
        </is>
      </c>
      <c r="B30" s="17">
        <f>INDEX('Code concept (56-pt) cards'!$A$3:$BN$37,MATCH($B$2,'Code concept (56-pt) cards'!$A$3:$A$37,0),MATCH("Anatomy",'Code concept (56-pt) cards'!$A$2:$BN$2,0))&amp;""</f>
        <v/>
      </c>
    </row>
    <row r="31" ht="30" customHeight="1">
      <c r="A31" s="24" t="inlineStr">
        <is>
          <t>Example 1</t>
        </is>
      </c>
      <c r="B31" s="26">
        <f>INDEX('Code concept (56-pt) cards'!$A$3:$BN$37,MATCH($B$2,'Code concept (56-pt) cards'!$A$3:$A$37,0),MATCH("Example 1",'Code concept (56-pt) cards'!$A$2:$BN$2,0))&amp;""</f>
        <v/>
      </c>
    </row>
    <row r="32" ht="30" customHeight="1">
      <c r="A32" s="24" t="inlineStr">
        <is>
          <t>Example 2</t>
        </is>
      </c>
      <c r="B32" s="26">
        <f>INDEX('Code concept (56-pt) cards'!$A$3:$BN$37,MATCH($B$2,'Code concept (56-pt) cards'!$A$3:$A$37,0),MATCH("Example 2",'Code concept (56-pt) cards'!$A$2:$BN$2,0))&amp;""</f>
        <v/>
      </c>
    </row>
    <row r="33" ht="30" customHeight="1">
      <c r="A33" s="24" t="inlineStr">
        <is>
          <t>Example 3</t>
        </is>
      </c>
      <c r="B33" s="26">
        <f>INDEX('Code concept (56-pt) cards'!$A$3:$BN$37,MATCH($B$2,'Code concept (56-pt) cards'!$A$3:$A$37,0),MATCH("Example 3",'Code concept (56-pt) cards'!$A$2:$BN$2,0))&amp;""</f>
        <v/>
      </c>
    </row>
    <row r="34" ht="30" customHeight="1">
      <c r="A34" s="24" t="inlineStr">
        <is>
          <t>Variation</t>
        </is>
      </c>
      <c r="B34" s="26">
        <f>INDEX('Code concept (56-pt) cards'!$A$3:$BN$37,MATCH($B$2,'Code concept (56-pt) cards'!$A$3:$A$37,0),MATCH("Variation",'Code concept (56-pt) cards'!$A$2:$BN$2,0))&amp;""</f>
        <v/>
      </c>
    </row>
    <row r="35" ht="30" customHeight="1">
      <c r="A35" s="24" t="inlineStr">
        <is>
          <t>Used with</t>
        </is>
      </c>
      <c r="B35" s="17">
        <f>INDEX('Code concept (56-pt) cards'!$A$3:$BN$37,MATCH($B$2,'Code concept (56-pt) cards'!$A$3:$A$37,0),MATCH("Used with",'Code concept (56-pt) cards'!$A$2:$BN$2,0))&amp;""</f>
        <v/>
      </c>
    </row>
    <row r="36" ht="30" customHeight="1">
      <c r="A36" s="24" t="inlineStr">
        <is>
          <t>Related concepts</t>
        </is>
      </c>
      <c r="B36" s="17">
        <f>INDEX('Code concept (56-pt) cards'!$A$3:$BN$37,MATCH($B$2,'Code concept (56-pt) cards'!$A$3:$A$37,0),MATCH("Related concepts",'Code concept (56-pt) cards'!$A$2:$BN$2,0))&amp;""</f>
        <v/>
      </c>
    </row>
    <row r="37" ht="30" customHeight="1">
      <c r="A37" s="24" t="inlineStr">
        <is>
          <t>Alternatives</t>
        </is>
      </c>
      <c r="B37" s="17">
        <f>INDEX('Code concept (56-pt) cards'!$A$3:$BN$37,MATCH($B$2,'Code concept (56-pt) cards'!$A$3:$A$37,0),MATCH("Alternatives",'Code concept (56-pt) cards'!$A$2:$BN$2,0))&amp;""</f>
        <v/>
      </c>
    </row>
    <row r="38" ht="30" customHeight="1">
      <c r="A38" s="24" t="inlineStr">
        <is>
          <t>Family / group</t>
        </is>
      </c>
      <c r="B38" s="17">
        <f>INDEX('Code concept (56-pt) cards'!$A$3:$BN$37,MATCH($B$2,'Code concept (56-pt) cards'!$A$3:$A$37,0),MATCH("Family / group",'Code concept (56-pt) cards'!$A$2:$BN$2,0))&amp;""</f>
        <v/>
      </c>
    </row>
    <row r="39" ht="30" customHeight="1">
      <c r="A39" s="24" t="inlineStr">
        <is>
          <t>Where it is used</t>
        </is>
      </c>
      <c r="B39" s="17">
        <f>INDEX('Code concept (56-pt) cards'!$A$3:$BN$37,MATCH($B$2,'Code concept (56-pt) cards'!$A$3:$A$37,0),MATCH("Where it is used",'Code concept (56-pt) cards'!$A$2:$BN$2,0))&amp;""</f>
        <v/>
      </c>
    </row>
    <row r="40" ht="30" customHeight="1">
      <c r="A40" s="24" t="inlineStr">
        <is>
          <t>Mini conversation</t>
        </is>
      </c>
      <c r="B40" s="17">
        <f>INDEX('Code concept (56-pt) cards'!$A$3:$BN$37,MATCH($B$2,'Code concept (56-pt) cards'!$A$3:$A$37,0),MATCH("Mini conversation",'Code concept (56-pt) cards'!$A$2:$BN$2,0))&amp;""</f>
        <v/>
      </c>
    </row>
    <row r="41" ht="30" customHeight="1">
      <c r="A41" s="24" t="inlineStr">
        <is>
          <t>Common mistake</t>
        </is>
      </c>
      <c r="B41" s="17">
        <f>INDEX('Code concept (56-pt) cards'!$A$3:$BN$37,MATCH($B$2,'Code concept (56-pt) cards'!$A$3:$A$37,0),MATCH("Common mistake",'Code concept (56-pt) cards'!$A$2:$BN$2,0))&amp;""</f>
        <v/>
      </c>
    </row>
    <row r="42" ht="30" customHeight="1">
      <c r="A42" s="24" t="inlineStr">
        <is>
          <t>Commonly confused with</t>
        </is>
      </c>
      <c r="B42" s="17">
        <f>INDEX('Code concept (56-pt) cards'!$A$3:$BN$37,MATCH($B$2,'Code concept (56-pt) cards'!$A$3:$A$37,0),MATCH("Commonly confused with",'Code concept (56-pt) cards'!$A$2:$BN$2,0))&amp;""</f>
        <v/>
      </c>
    </row>
    <row r="43" ht="30" customHeight="1">
      <c r="A43" s="24" t="inlineStr">
        <is>
          <t>Avoid / don't</t>
        </is>
      </c>
      <c r="B43" s="17">
        <f>INDEX('Code concept (56-pt) cards'!$A$3:$BN$37,MATCH($B$2,'Code concept (56-pt) cards'!$A$3:$A$37,0),MATCH("Avoid / don't",'Code concept (56-pt) cards'!$A$2:$BN$2,0))&amp;""</f>
        <v/>
      </c>
    </row>
    <row r="44" ht="30" customHeight="1">
      <c r="A44" s="24" t="inlineStr">
        <is>
          <t>Wrong code</t>
        </is>
      </c>
      <c r="B44" s="26">
        <f>INDEX('Code concept (56-pt) cards'!$A$3:$BN$37,MATCH($B$2,'Code concept (56-pt) cards'!$A$3:$A$37,0),MATCH("Wrong code",'Code concept (56-pt) cards'!$A$2:$BN$2,0))&amp;""</f>
        <v/>
      </c>
    </row>
    <row r="45" ht="30" customHeight="1">
      <c r="A45" s="24" t="inlineStr">
        <is>
          <t>Right code</t>
        </is>
      </c>
      <c r="B45" s="26">
        <f>INDEX('Code concept (56-pt) cards'!$A$3:$BN$37,MATCH($B$2,'Code concept (56-pt) cards'!$A$3:$A$37,0),MATCH("Right code",'Code concept (56-pt) cards'!$A$2:$BN$2,0))&amp;""</f>
        <v/>
      </c>
    </row>
    <row r="46" ht="30" customHeight="1">
      <c r="A46" s="24" t="inlineStr">
        <is>
          <t>Memory trick</t>
        </is>
      </c>
      <c r="B46" s="17">
        <f>INDEX('Code concept (56-pt) cards'!$A$3:$BN$37,MATCH($B$2,'Code concept (56-pt) cards'!$A$3:$A$37,0),MATCH("Memory trick",'Code concept (56-pt) cards'!$A$2:$BN$2,0))&amp;""</f>
        <v/>
      </c>
    </row>
    <row r="47" ht="30" customHeight="1">
      <c r="A47" s="24" t="inlineStr">
        <is>
          <t>Real life: project / work</t>
        </is>
      </c>
      <c r="B47" s="17">
        <f>INDEX('Code concept (56-pt) cards'!$A$3:$BN$37,MATCH($B$2,'Code concept (56-pt) cards'!$A$3:$A$37,0),MATCH("Real life: project / work",'Code concept (56-pt) cards'!$A$2:$BN$2,0))&amp;""</f>
        <v/>
      </c>
    </row>
    <row r="48" ht="30" customHeight="1">
      <c r="A48" s="24" t="inlineStr">
        <is>
          <t>Real life: interview / exam</t>
        </is>
      </c>
      <c r="B48" s="17">
        <f>INDEX('Code concept (56-pt) cards'!$A$3:$BN$37,MATCH($B$2,'Code concept (56-pt) cards'!$A$3:$A$37,0),MATCH("Real life: interview / exam",'Code concept (56-pt) cards'!$A$2:$BN$2,0))&amp;""</f>
        <v/>
      </c>
    </row>
    <row r="49" ht="30" customHeight="1">
      <c r="A49" s="24" t="inlineStr">
        <is>
          <t>Real life: daily life</t>
        </is>
      </c>
      <c r="B49" s="17">
        <f>INDEX('Code concept (56-pt) cards'!$A$3:$BN$37,MATCH($B$2,'Code concept (56-pt) cards'!$A$3:$A$37,0),MATCH("Real life: daily life",'Code concept (56-pt) cards'!$A$2:$BN$2,0))&amp;""</f>
        <v/>
      </c>
    </row>
    <row r="50">
      <c r="A50" s="27" t="inlineStr">
        <is>
          <t>PRACTICE · Khud karo</t>
        </is>
      </c>
    </row>
    <row r="51" ht="30" customHeight="1">
      <c r="A51" s="24" t="inlineStr">
        <is>
          <t>MCQ question</t>
        </is>
      </c>
      <c r="B51" s="17">
        <f>INDEX('Code concept (56-pt) cards'!$A$3:$BN$37,MATCH($B$2,'Code concept (56-pt) cards'!$A$3:$A$37,0),MATCH("MCQ question",'Code concept (56-pt) cards'!$A$2:$BN$2,0))&amp;""</f>
        <v/>
      </c>
    </row>
    <row r="52" ht="30" customHeight="1">
      <c r="A52" s="24" t="inlineStr">
        <is>
          <t>MCQ options</t>
        </is>
      </c>
      <c r="B52" s="17">
        <f>INDEX('Code concept (56-pt) cards'!$A$3:$BN$37,MATCH($B$2,'Code concept (56-pt) cards'!$A$3:$A$37,0),MATCH("MCQ options",'Code concept (56-pt) cards'!$A$2:$BN$2,0))&amp;""</f>
        <v/>
      </c>
    </row>
    <row r="53" ht="30" customHeight="1">
      <c r="A53" s="24" t="inlineStr">
        <is>
          <t>MCQ answer</t>
        </is>
      </c>
      <c r="B53" s="17">
        <f>INDEX('Code concept (56-pt) cards'!$A$3:$BN$37,MATCH($B$2,'Code concept (56-pt) cards'!$A$3:$A$37,0),MATCH("MCQ answer",'Code concept (56-pt) cards'!$A$2:$BN$2,0))&amp;""</f>
        <v/>
      </c>
    </row>
    <row r="54" ht="30" customHeight="1">
      <c r="A54" s="24" t="inlineStr">
        <is>
          <t>Why that answer</t>
        </is>
      </c>
      <c r="B54" s="17">
        <f>INDEX('Code concept (56-pt) cards'!$A$3:$BN$37,MATCH($B$2,'Code concept (56-pt) cards'!$A$3:$A$37,0),MATCH("Why that answer",'Code concept (56-pt) cards'!$A$2:$BN$2,0))&amp;""</f>
        <v/>
      </c>
    </row>
    <row r="55" ht="30" customHeight="1">
      <c r="A55" s="24" t="inlineStr">
        <is>
          <t>Fill the blank</t>
        </is>
      </c>
      <c r="B55" s="26">
        <f>INDEX('Code concept (56-pt) cards'!$A$3:$BN$37,MATCH($B$2,'Code concept (56-pt) cards'!$A$3:$A$37,0),MATCH("Fill the blank",'Code concept (56-pt) cards'!$A$2:$BN$2,0))&amp;""</f>
        <v/>
      </c>
    </row>
    <row r="56" ht="30" customHeight="1">
      <c r="A56" s="24" t="inlineStr">
        <is>
          <t>Try it yourself</t>
        </is>
      </c>
      <c r="B56" s="17">
        <f>INDEX('Code concept (56-pt) cards'!$A$3:$BN$37,MATCH($B$2,'Code concept (56-pt) cards'!$A$3:$A$37,0),MATCH("Try it yourself",'Code concept (56-pt) cards'!$A$2:$BN$2,0))&amp;""</f>
        <v/>
      </c>
    </row>
    <row r="57" ht="40.5" customHeight="1">
      <c r="A57" s="24" t="inlineStr">
        <is>
          <t>Task answer</t>
        </is>
      </c>
      <c r="B57" s="26">
        <f>INDEX('Code concept (56-pt) cards'!$A$3:$BN$37,MATCH($B$2,'Code concept (56-pt) cards'!$A$3:$A$37,0),MATCH("Task answer",'Code concept (56-pt) cards'!$A$2:$BN$2,0))&amp;""</f>
        <v/>
      </c>
    </row>
    <row r="58" ht="30" customHeight="1">
      <c r="A58" s="24" t="inlineStr">
        <is>
          <t>Write your own</t>
        </is>
      </c>
      <c r="B58" s="17">
        <f>INDEX('Code concept (56-pt) cards'!$A$3:$BN$37,MATCH($B$2,'Code concept (56-pt) cards'!$A$3:$A$37,0),MATCH("Write your own",'Code concept (56-pt) cards'!$A$2:$BN$2,0))&amp;""</f>
        <v/>
      </c>
    </row>
    <row r="59" ht="30" customHeight="1">
      <c r="A59" s="24" t="inlineStr">
        <is>
          <t>Practice question</t>
        </is>
      </c>
      <c r="B59" s="26">
        <f>INDEX('Code concept (56-pt) cards'!$A$3:$BN$37,MATCH($B$2,'Code concept (56-pt) cards'!$A$3:$A$37,0),MATCH("Practice question",'Code concept (56-pt) cards'!$A$2:$BN$2,0))&amp;""</f>
        <v/>
      </c>
    </row>
    <row r="60" ht="30" customHeight="1">
      <c r="A60" s="24" t="inlineStr">
        <is>
          <t>Practice answer</t>
        </is>
      </c>
      <c r="B60" s="26">
        <f>INDEX('Code concept (56-pt) cards'!$A$3:$BN$37,MATCH($B$2,'Code concept (56-pt) cards'!$A$3:$A$37,0),MATCH("Practice answer",'Code concept (56-pt) cards'!$A$2:$BN$2,0))&amp;""</f>
        <v/>
      </c>
    </row>
    <row r="61" ht="30" customHeight="1">
      <c r="A61" s="24" t="inlineStr">
        <is>
          <t>Quick recall (reverse)</t>
        </is>
      </c>
      <c r="B61" s="17">
        <f>INDEX('Code concept (56-pt) cards'!$A$3:$BN$37,MATCH($B$2,'Code concept (56-pt) cards'!$A$3:$A$37,0),MATCH("Quick recall (reverse)",'Code concept (56-pt) cards'!$A$2:$BN$2,0))&amp;""</f>
        <v/>
      </c>
    </row>
  </sheetData>
  <mergeCells count="3">
    <mergeCell ref="A4:B4"/>
    <mergeCell ref="A21:B21"/>
    <mergeCell ref="A50:B50"/>
  </mergeCells>
  <dataValidations count="1">
    <dataValidation sqref="B2" showDropDown="0" showInputMessage="0" showErrorMessage="0" allowBlank="0" type="list">
      <formula1>='Code concept (56-pt) cards'!$A$3:$A$37</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2" customWidth="1" min="7" max="7"/>
    <col width="18" customWidth="1" min="8" max="8"/>
    <col width="18" customWidth="1" min="9" max="9"/>
    <col width="18" customWidth="1" min="10" max="10"/>
    <col width="42" customWidth="1" min="11" max="11"/>
    <col width="42" customWidth="1" min="12" max="12"/>
    <col width="42" customWidth="1" min="13" max="13"/>
    <col width="42" customWidth="1" min="14" max="14"/>
    <col width="42" customWidth="1" min="15" max="15"/>
    <col width="42" customWidth="1" min="16" max="16"/>
    <col width="18" customWidth="1" min="17" max="17"/>
    <col width="42" customWidth="1" min="18" max="18"/>
    <col width="42" customWidth="1" min="19" max="19"/>
    <col width="42" customWidth="1" min="20" max="20"/>
    <col width="18" customWidth="1" min="21" max="21"/>
    <col width="42" customWidth="1" min="22" max="22"/>
    <col width="42" customWidth="1" min="23" max="23"/>
    <col width="42" customWidth="1" min="24" max="24"/>
    <col width="18"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18" customWidth="1" min="38" max="38"/>
    <col width="18" customWidth="1" min="39" max="39"/>
    <col width="42" customWidth="1" min="40" max="40"/>
    <col width="42" customWidth="1" min="41" max="41"/>
    <col width="42" customWidth="1" min="42" max="42"/>
    <col width="42" customWidth="1" min="43" max="43"/>
    <col width="18" customWidth="1" min="44" max="44"/>
    <col width="42" customWidth="1" min="45" max="45"/>
    <col width="18" customWidth="1" min="46" max="46"/>
    <col width="9" customWidth="1" min="47" max="47"/>
    <col width="9" customWidth="1" min="48" max="48"/>
    <col width="9" customWidth="1" min="49" max="49"/>
    <col width="9" customWidth="1" min="50" max="50"/>
    <col width="9" customWidth="1" min="51" max="51"/>
    <col width="9" customWidth="1" min="52" max="52"/>
    <col width="18" customWidth="1" min="53" max="53"/>
    <col width="18" customWidth="1" min="54" max="54"/>
  </cols>
  <sheetData>
    <row r="1">
      <c r="A1" s="5" t="inlineStr">
        <is>
          <t>Card</t>
        </is>
      </c>
      <c r="F1" s="6" t="inlineStr">
        <is>
          <t>Side 1 · Recognition</t>
        </is>
      </c>
      <c r="P1" s="7" t="inlineStr">
        <is>
          <t>Side 2 · Understanding</t>
        </is>
      </c>
      <c r="AJ1" s="8" t="inlineStr">
        <is>
          <t>Side 3 · Real life &amp; Practice</t>
        </is>
      </c>
      <c r="AR1" s="9" t="inlineStr">
        <is>
          <t>Auto</t>
        </is>
      </c>
      <c r="AT1" s="10" t="inlineStr">
        <is>
          <t>My review</t>
        </is>
      </c>
    </row>
    <row r="2">
      <c r="A2" s="11" t="inlineStr">
        <is>
          <t>ID</t>
        </is>
      </c>
      <c r="B2" s="11" t="inlineStr">
        <is>
          <t>Topic</t>
        </is>
      </c>
      <c r="C2" s="11" t="inlineStr">
        <is>
          <t>Level</t>
        </is>
      </c>
      <c r="D2" s="11" t="inlineStr">
        <is>
          <t>Study order</t>
        </is>
      </c>
      <c r="E2" s="11" t="inlineStr">
        <is>
          <t>Source</t>
        </is>
      </c>
      <c r="F2" s="12" t="inlineStr">
        <is>
          <t>Term / topic</t>
        </is>
      </c>
      <c r="G2" s="12" t="inlineStr">
        <is>
          <t>Recall cue</t>
        </is>
      </c>
      <c r="H2" s="12" t="inlineStr">
        <is>
          <t>Category</t>
        </is>
      </c>
      <c r="I2" s="12" t="inlineStr">
        <is>
          <t>How often used</t>
        </is>
      </c>
      <c r="J2" s="12" t="inlineStr">
        <is>
          <t>Importance (1-5)</t>
        </is>
      </c>
      <c r="K2" s="12" t="inlineStr">
        <is>
          <t>Origin / why it exists</t>
        </is>
      </c>
      <c r="L2" s="12" t="inlineStr">
        <is>
          <t>Pro tip</t>
        </is>
      </c>
      <c r="M2" s="12" t="inlineStr">
        <is>
          <t>Memory story</t>
        </is>
      </c>
      <c r="N2" s="12" t="inlineStr">
        <is>
          <t>Picture it</t>
        </is>
      </c>
      <c r="O2" s="12" t="inlineStr">
        <is>
          <t>Emotion hook</t>
        </is>
      </c>
      <c r="P2" s="13" t="inlineStr">
        <is>
          <t>Definition (simple)</t>
        </is>
      </c>
      <c r="Q2" s="13" t="inlineStr">
        <is>
          <t>Meaning in learner's language</t>
        </is>
      </c>
      <c r="R2" s="13" t="inlineStr">
        <is>
          <t>How / why it works</t>
        </is>
      </c>
      <c r="S2" s="13" t="inlineStr">
        <is>
          <t>Simple explanation (Hinglish)</t>
        </is>
      </c>
      <c r="T2" s="13" t="inlineStr">
        <is>
          <t>Real-life analogy</t>
        </is>
      </c>
      <c r="U2" s="13" t="inlineStr">
        <is>
          <t>Formula / rule</t>
        </is>
      </c>
      <c r="V2" s="13" t="inlineStr">
        <is>
          <t>Example 1</t>
        </is>
      </c>
      <c r="W2" s="13" t="inlineStr">
        <is>
          <t>Example 2</t>
        </is>
      </c>
      <c r="X2" s="13" t="inlineStr">
        <is>
          <t>Example 3</t>
        </is>
      </c>
      <c r="Y2" s="13" t="inlineStr">
        <is>
          <t>Related concepts</t>
        </is>
      </c>
      <c r="Z2" s="13" t="inlineStr">
        <is>
          <t>Family / group</t>
        </is>
      </c>
      <c r="AA2" s="13" t="inlineStr">
        <is>
          <t>Where it is used</t>
        </is>
      </c>
      <c r="AB2" s="13" t="inlineStr">
        <is>
          <t>Mini conversation</t>
        </is>
      </c>
      <c r="AC2" s="13" t="inlineStr">
        <is>
          <t>Common mistake</t>
        </is>
      </c>
      <c r="AD2" s="13" t="inlineStr">
        <is>
          <t>Don't confuse with</t>
        </is>
      </c>
      <c r="AE2" s="13" t="inlineStr">
        <is>
          <t>Avoid / don't</t>
        </is>
      </c>
      <c r="AF2" s="13" t="inlineStr">
        <is>
          <t>Memory trick</t>
        </is>
      </c>
      <c r="AG2" s="13" t="inlineStr">
        <is>
          <t>Real life: project / work</t>
        </is>
      </c>
      <c r="AH2" s="13" t="inlineStr">
        <is>
          <t>Real life: interview / exam</t>
        </is>
      </c>
      <c r="AI2" s="13" t="inlineStr">
        <is>
          <t>Real life: daily life</t>
        </is>
      </c>
      <c r="AJ2" s="14" t="inlineStr">
        <is>
          <t>MCQ question</t>
        </is>
      </c>
      <c r="AK2" s="14" t="inlineStr">
        <is>
          <t>MCQ options</t>
        </is>
      </c>
      <c r="AL2" s="14" t="inlineStr">
        <is>
          <t>MCQ answer</t>
        </is>
      </c>
      <c r="AM2" s="14" t="inlineStr">
        <is>
          <t>Why that answer</t>
        </is>
      </c>
      <c r="AN2" s="14" t="inlineStr">
        <is>
          <t>Fill the blank</t>
        </is>
      </c>
      <c r="AO2" s="14" t="inlineStr">
        <is>
          <t>Apply it</t>
        </is>
      </c>
      <c r="AP2" s="14" t="inlineStr">
        <is>
          <t>Explain it yourself</t>
        </is>
      </c>
      <c r="AQ2" s="14" t="inlineStr">
        <is>
          <t>Write your own</t>
        </is>
      </c>
      <c r="AR2" s="15" t="inlineStr">
        <is>
          <t>Importance ★</t>
        </is>
      </c>
      <c r="AS2" s="15" t="inlineStr">
        <is>
          <t>Quick recall (reverse)</t>
        </is>
      </c>
      <c r="AT2" s="16" t="inlineStr">
        <is>
          <t>Status</t>
        </is>
      </c>
      <c r="AU2" s="16" t="inlineStr">
        <is>
          <t>Day 1</t>
        </is>
      </c>
      <c r="AV2" s="16" t="inlineStr">
        <is>
          <t>Day 3</t>
        </is>
      </c>
      <c r="AW2" s="16" t="inlineStr">
        <is>
          <t>Day 7</t>
        </is>
      </c>
      <c r="AX2" s="16" t="inlineStr">
        <is>
          <t>Day 15</t>
        </is>
      </c>
      <c r="AY2" s="16" t="inlineStr">
        <is>
          <t>Day 30</t>
        </is>
      </c>
      <c r="AZ2" s="16" t="inlineStr">
        <is>
          <t>Day 60</t>
        </is>
      </c>
      <c r="BA2" s="16" t="inlineStr">
        <is>
          <t>OK / Fix</t>
        </is>
      </c>
      <c r="BB2" s="16" t="inlineStr">
        <is>
          <t>My note</t>
        </is>
      </c>
    </row>
    <row r="3" ht="108" customHeight="1">
      <c r="A3" s="17" t="inlineStr">
        <is>
          <t>K8S-001</t>
        </is>
      </c>
      <c r="B3" s="17" t="inlineStr">
        <is>
          <t>01 Architecture</t>
        </is>
      </c>
      <c r="C3" s="17" t="inlineStr">
        <is>
          <t>Beginner</t>
        </is>
      </c>
      <c r="D3" s="17" t="n">
        <v>1</v>
      </c>
      <c r="E3" s="17" t="inlineStr">
        <is>
          <t>Claude knowledge</t>
        </is>
      </c>
      <c r="F3" s="18" t="inlineStr">
        <is>
          <t>Why Kubernetes</t>
        </is>
      </c>
      <c r="G3" s="18" t="inlineStr">
        <is>
          <t>Which platform runs and manages many containers across many machines for you?</t>
        </is>
      </c>
      <c r="H3" s="18" t="inlineStr">
        <is>
          <t>Core concept</t>
        </is>
      </c>
      <c r="I3" s="18" t="inlineStr">
        <is>
          <t>Very high</t>
        </is>
      </c>
      <c r="J3" s="18" t="n">
        <v>5</v>
      </c>
      <c r="K3" s="18" t="inlineStr">
        <is>
          <t>Running a few containers by hand is easy, but running hundreds across servers needs automatic scheduling, healing and scaling, so Kubernetes was built.</t>
        </is>
      </c>
      <c r="L3" s="18" t="inlineStr">
        <is>
          <t>Describe the state you want, and let Kubernetes keep it true.</t>
        </is>
      </c>
      <c r="M3" s="18" t="inlineStr">
        <is>
          <t>Kubernetes is the harbour master who places every container ship and replaces any that sinks.</t>
        </is>
      </c>
      <c r="N3" s="18" t="inlineStr">
        <is>
          <t>A cluster of machines with containers moved around automatically.</t>
        </is>
      </c>
      <c r="O3" s="18" t="inlineStr">
        <is>
          <t>The relief of apps that restart and scale without midnight calls.</t>
        </is>
      </c>
      <c r="P3" s="18" t="inlineStr">
        <is>
          <t>Kubernetes is an open-source container orchestration platform that schedules containers onto machines, keeps the desired number running, handles networking and storage, and updates apps gradually.</t>
        </is>
      </c>
      <c r="Q3" s="17" t="n"/>
      <c r="R3" s="18" t="inlineStr">
        <is>
          <t>You declare what you want, such as three copies of a web app, and controllers constantly compare reality with that wish and fix differences. If a machine dies, the containers are started elsewhere. It adds service discovery, rolling updates and autoscaling. It also adds complexity, so small projects may not need it.</t>
        </is>
      </c>
      <c r="S3" s="18" t="inlineStr">
        <is>
          <t>You say what should run, and Kubernetes keeps it running and healthy across machines.</t>
        </is>
      </c>
      <c r="T3" s="18" t="inlineStr">
        <is>
          <t>Kubernetes is the harbour master who places every container ship and replaces any that sinks.</t>
        </is>
      </c>
      <c r="U3" s="18" t="inlineStr">
        <is>
          <t>Desired state declared, controllers keep reality equal to it.</t>
        </is>
      </c>
      <c r="V3" s="18" t="inlineStr">
        <is>
          <t>Asking for three copies of an API and getting them restarted when one crashes.</t>
        </is>
      </c>
      <c r="W3" s="18" t="inlineStr">
        <is>
          <t>A rolling update replacing old pods with new ones.</t>
        </is>
      </c>
      <c r="X3" s="18" t="inlineStr">
        <is>
          <t>Scaling out when traffic rises.</t>
        </is>
      </c>
      <c r="Y3" s="18" t="inlineStr">
        <is>
          <t>control plane, pods, Deployments, managed offerings</t>
        </is>
      </c>
      <c r="Z3" s="18" t="inlineStr">
        <is>
          <t>orchestration, cluster, desired state, controller, scheduler</t>
        </is>
      </c>
      <c r="AA3" s="18" t="inlineStr">
        <is>
          <t>Production platforms | Microservices | Customer clusters</t>
        </is>
      </c>
      <c r="AB3" s="18" t="inlineStr">
        <is>
          <t>A: A server died overnight, was the app down? | B: No, Kubernetes restarted its pods on other nodes.</t>
        </is>
      </c>
      <c r="AC3" s="18" t="inlineStr">
        <is>
          <t>✗ Every project should use Kubernetes → ✓ It suits many services at scale, and simpler options fit small apps</t>
        </is>
      </c>
      <c r="AD3" s="18" t="inlineStr">
        <is>
          <t>Docker vs Kubernetes: Docker runs containers on one machine, Kubernetes manages them across many.</t>
        </is>
      </c>
      <c r="AE3" s="18" t="inlineStr">
        <is>
          <t>Do not adopt Kubernetes for one small app without a reason.</t>
        </is>
      </c>
      <c r="AF3" s="18" t="inlineStr">
        <is>
          <t>Declare the state, controllers make it true.</t>
        </is>
      </c>
      <c r="AG3" s="18" t="inlineStr">
        <is>
          <t>Moving services to Kubernetes gave a customer automatic restarts and rolling updates.</t>
        </is>
      </c>
      <c r="AH3" s="18" t="inlineStr">
        <is>
          <t>An interviewer may ask: What problem does Kubernetes solve?</t>
        </is>
      </c>
      <c r="AI3" s="18" t="inlineStr">
        <is>
          <t>It is like a harbour master for container ships.</t>
        </is>
      </c>
      <c r="AJ3" s="18" t="inlineStr">
        <is>
          <t>What does Kubernetes keep true?</t>
        </is>
      </c>
      <c r="AK3" s="18" t="inlineStr">
        <is>
          <t>A) The logs B) The price C) The declared desired state D) The images</t>
        </is>
      </c>
      <c r="AL3" s="18" t="inlineStr">
        <is>
          <t>C</t>
        </is>
      </c>
      <c r="AM3" s="18" t="inlineStr">
        <is>
          <t>Controllers reconcile reality with the declaration.</t>
        </is>
      </c>
      <c r="AN3" s="18" t="inlineStr">
        <is>
          <t>Kubernetes works from a declared ____ state → desired</t>
        </is>
      </c>
      <c r="AO3" s="18" t="inlineStr">
        <is>
          <t>A team has hundreds of containers over many servers. What do they need? → An orchestrator such as Kubernetes</t>
        </is>
      </c>
      <c r="AP3" s="18" t="inlineStr">
        <is>
          <t>Explain Kubernetes in three lines.</t>
        </is>
      </c>
      <c r="AQ3" s="18" t="inlineStr">
        <is>
          <t>List two reasons to choose Kubernetes and two to avoid it.</t>
        </is>
      </c>
      <c r="AR3" s="17">
        <f>IF(J3="","",REPT("★",J3)&amp;REPT("☆",5-J3)&amp;" ("&amp;J3&amp;"/5)")</f>
        <v/>
      </c>
      <c r="AS3" s="17">
        <f>IF(Q3="","","Meaning: "&amp;Q3&amp;"  =  ______   (Answer: "&amp;F3&amp;")")</f>
        <v/>
      </c>
      <c r="AT3" s="17" t="inlineStr">
        <is>
          <t>New</t>
        </is>
      </c>
      <c r="AU3" s="17" t="n"/>
      <c r="AV3" s="17" t="n"/>
      <c r="AW3" s="17" t="n"/>
      <c r="AX3" s="17" t="n"/>
      <c r="AY3" s="17" t="n"/>
      <c r="AZ3" s="17" t="n"/>
      <c r="BA3" s="17" t="n"/>
      <c r="BB3" s="17" t="n"/>
    </row>
    <row r="4" ht="108" customHeight="1">
      <c r="A4" s="17" t="inlineStr">
        <is>
          <t>K8S-002</t>
        </is>
      </c>
      <c r="B4" s="17" t="inlineStr">
        <is>
          <t>01 Architecture</t>
        </is>
      </c>
      <c r="C4" s="17" t="inlineStr">
        <is>
          <t>Intermediate</t>
        </is>
      </c>
      <c r="D4" s="17" t="n">
        <v>2</v>
      </c>
      <c r="E4" s="17" t="inlineStr">
        <is>
          <t>Claude knowledge</t>
        </is>
      </c>
      <c r="F4" s="18" t="inlineStr">
        <is>
          <t>The control plane</t>
        </is>
      </c>
      <c r="G4" s="18" t="inlineStr">
        <is>
          <t>Which components make the decisions and keep the cluster state?</t>
        </is>
      </c>
      <c r="H4" s="18" t="inlineStr">
        <is>
          <t>Core concept</t>
        </is>
      </c>
      <c r="I4" s="18" t="inlineStr">
        <is>
          <t>High</t>
        </is>
      </c>
      <c r="J4" s="18" t="n">
        <v>5</v>
      </c>
      <c r="K4" s="18" t="inlineStr">
        <is>
          <t>A cluster needs a brain that stores the desired state, makes scheduling choices and exposes an interface, so the control plane was separated from the machines that run work.</t>
        </is>
      </c>
      <c r="L4" s="18" t="inlineStr">
        <is>
          <t>When the API server is unreachable, nothing can change, but running pods keep running.</t>
        </is>
      </c>
      <c r="M4" s="18" t="inlineStr">
        <is>
          <t>The control plane is the head office, and the nodes are branch offices doing the actual work.</t>
        </is>
      </c>
      <c r="N4" s="18" t="inlineStr">
        <is>
          <t>A group of components in the middle managing worker nodes around it.</t>
        </is>
      </c>
      <c r="O4" s="18" t="inlineStr">
        <is>
          <t>The understanding of what happens after kubectl apply.</t>
        </is>
      </c>
      <c r="P4" s="18" t="inlineStr">
        <is>
          <t>The control plane consists of the API server, etcd, the scheduler and the controller manager, which store state, accept requests, place pods on nodes and run controllers.</t>
        </is>
      </c>
      <c r="Q4" s="17" t="n"/>
      <c r="R4" s="18" t="inlineStr">
        <is>
          <t>The API server is the front door for all requests. etcd is the consistent store of cluster data. The scheduler picks a node for each new pod based on resources and rules. The controller manager runs loops, such as the one that keeps the right number of replicas. Managed services run the control plane for you.</t>
        </is>
      </c>
      <c r="S4" s="18" t="inlineStr">
        <is>
          <t>The API server takes requests, etcd stores state, the scheduler chooses nodes and controllers fix differences.</t>
        </is>
      </c>
      <c r="T4" s="18" t="inlineStr">
        <is>
          <t>The control plane is the head office, and nodes are branch offices doing the work.</t>
        </is>
      </c>
      <c r="U4" s="18" t="inlineStr">
        <is>
          <t>API server + etcd + scheduler + controllers = the brain.</t>
        </is>
      </c>
      <c r="V4" s="18" t="inlineStr">
        <is>
          <t>A new pod accepted by the API server and placed by the scheduler.</t>
        </is>
      </c>
      <c r="W4" s="18" t="inlineStr">
        <is>
          <t>etcd holding every object definition.</t>
        </is>
      </c>
      <c r="X4" s="18" t="inlineStr">
        <is>
          <t>A controller creating pods to match the replica count.</t>
        </is>
      </c>
      <c r="Y4" s="18" t="inlineStr">
        <is>
          <t>nodes, kubectl, managed offerings, Deployments</t>
        </is>
      </c>
      <c r="Z4" s="18" t="inlineStr">
        <is>
          <t>API server, etcd, scheduler, controller manager, reconciliation</t>
        </is>
      </c>
      <c r="AA4" s="18" t="inlineStr">
        <is>
          <t>Architecture talks | Troubleshooting | Cloud services</t>
        </is>
      </c>
      <c r="AB4" s="18" t="inlineStr">
        <is>
          <t>A: The API server is down, did our app stop? | B: No, running pods continue, but we cannot change anything.</t>
        </is>
      </c>
      <c r="AC4" s="18" t="inlineStr">
        <is>
          <t>✗ The control plane runs your application containers → ✓ Your workloads run on worker nodes</t>
        </is>
      </c>
      <c r="AD4" s="18" t="inlineStr">
        <is>
          <t>Control plane vs node: the control plane decides, nodes run containers.</t>
        </is>
      </c>
      <c r="AE4" s="18" t="inlineStr">
        <is>
          <t>Do not lose etcd without backups.</t>
        </is>
      </c>
      <c r="AF4" s="18" t="inlineStr">
        <is>
          <t>API takes, etcd keeps, scheduler places, controllers fix.</t>
        </is>
      </c>
      <c r="AG4" s="18" t="inlineStr">
        <is>
          <t>Understanding the control plane helped explain why deployments paused during an API outage.</t>
        </is>
      </c>
      <c r="AH4" s="18" t="inlineStr">
        <is>
          <t>An interviewer may ask: What does the scheduler do?</t>
        </is>
      </c>
      <c r="AI4" s="18" t="inlineStr">
        <is>
          <t>It is like a head office directing branches.</t>
        </is>
      </c>
      <c r="AJ4" s="18" t="inlineStr">
        <is>
          <t>Which component stores cluster state?</t>
        </is>
      </c>
      <c r="AK4" s="18" t="inlineStr">
        <is>
          <t>A) kube-proxy B) The kubelet C) The container runtime D) etcd</t>
        </is>
      </c>
      <c r="AL4" s="18" t="inlineStr">
        <is>
          <t>D</t>
        </is>
      </c>
      <c r="AM4" s="18" t="inlineStr">
        <is>
          <t>etcd is the consistent key-value store.</t>
        </is>
      </c>
      <c r="AN4" s="18" t="inlineStr">
        <is>
          <t>The front door for every request is the ____ server → API</t>
        </is>
      </c>
      <c r="AO4" s="18" t="inlineStr">
        <is>
          <t>A new pod is not placed on any node. Which component decides placement? → The scheduler</t>
        </is>
      </c>
      <c r="AP4" s="18" t="inlineStr">
        <is>
          <t>Explain the control plane in three lines.</t>
        </is>
      </c>
      <c r="AQ4" s="18" t="inlineStr">
        <is>
          <t>Draw the control plane parts and say what each does.</t>
        </is>
      </c>
      <c r="AR4" s="17">
        <f>IF(J4="","",REPT("★",J4)&amp;REPT("☆",5-J4)&amp;" ("&amp;J4&amp;"/5)")</f>
        <v/>
      </c>
      <c r="AS4" s="17">
        <f>IF(Q4="","","Meaning: "&amp;Q4&amp;"  =  ______   (Answer: "&amp;F4&amp;")")</f>
        <v/>
      </c>
      <c r="AT4" s="17" t="inlineStr">
        <is>
          <t>New</t>
        </is>
      </c>
      <c r="AU4" s="17" t="n"/>
      <c r="AV4" s="17" t="n"/>
      <c r="AW4" s="17" t="n"/>
      <c r="AX4" s="17" t="n"/>
      <c r="AY4" s="17" t="n"/>
      <c r="AZ4" s="17" t="n"/>
      <c r="BA4" s="17" t="n"/>
      <c r="BB4" s="17" t="n"/>
    </row>
    <row r="5" ht="108" customHeight="1">
      <c r="A5" s="17" t="inlineStr">
        <is>
          <t>K8S-003</t>
        </is>
      </c>
      <c r="B5" s="17" t="inlineStr">
        <is>
          <t>01 Architecture</t>
        </is>
      </c>
      <c r="C5" s="17" t="inlineStr">
        <is>
          <t>Intermediate</t>
        </is>
      </c>
      <c r="D5" s="17" t="n">
        <v>3</v>
      </c>
      <c r="E5" s="17" t="inlineStr">
        <is>
          <t>Claude knowledge</t>
        </is>
      </c>
      <c r="F5" s="18" t="inlineStr">
        <is>
          <t>Nodes</t>
        </is>
      </c>
      <c r="G5" s="18" t="inlineStr">
        <is>
          <t>Which machines run your containers, and which agents run on them?</t>
        </is>
      </c>
      <c r="H5" s="18" t="inlineStr">
        <is>
          <t>Core concept</t>
        </is>
      </c>
      <c r="I5" s="18" t="inlineStr">
        <is>
          <t>High</t>
        </is>
      </c>
      <c r="J5" s="18" t="n">
        <v>4</v>
      </c>
      <c r="K5" s="18" t="inlineStr">
        <is>
          <t>Workloads must run somewhere, so worker machines run agents that start and watch pods for the control plane.</t>
        </is>
      </c>
      <c r="L5" s="18" t="inlineStr">
        <is>
          <t>Treat nodes as disposable and never store the only copy of data on one.</t>
        </is>
      </c>
      <c r="M5" s="18" t="inlineStr">
        <is>
          <t>Nodes are the workers' desks where the assigned jobs are actually done.</t>
        </is>
      </c>
      <c r="N5" s="18" t="inlineStr">
        <is>
          <t>Several machines each running a kubelet and a container runtime.</t>
        </is>
      </c>
      <c r="O5" s="18" t="inlineStr">
        <is>
          <t>The comfort of machines that can be replaced anytime.</t>
        </is>
      </c>
      <c r="P5" s="18" t="inlineStr">
        <is>
          <t>A node is a worker machine, physical or virtual, that runs pods and has the kubelet agent, a container runtime and kube-proxy for networking.</t>
        </is>
      </c>
      <c r="Q5" s="17" t="n"/>
      <c r="R5" s="18" t="inlineStr">
        <is>
          <t>The kubelet talks to the API server, starts the containers for assigned pods and reports their health. The container runtime, such as containerd, runs the containers. Nodes have capacity in CPU and memory, which the scheduler uses. A node can be cordoned to stop new pods, or drained to move pods away before maintenance.</t>
        </is>
      </c>
      <c r="S5" s="18" t="inlineStr">
        <is>
          <t>Nodes run the pods, and the kubelet is the agent that makes it happen.</t>
        </is>
      </c>
      <c r="T5" s="18" t="inlineStr">
        <is>
          <t>Nodes are the workers' desks where assigned jobs are done.</t>
        </is>
      </c>
      <c r="U5" s="18" t="inlineStr">
        <is>
          <t>Node = kubelet + container runtime + kube-proxy + capacity.</t>
        </is>
      </c>
      <c r="V5" s="18" t="inlineStr">
        <is>
          <t>A virtual machine in a node group.</t>
        </is>
      </c>
      <c r="W5" s="18" t="inlineStr">
        <is>
          <t>kubectl drain before maintenance.</t>
        </is>
      </c>
      <c r="X5" s="18" t="inlineStr">
        <is>
          <t>A node marked NotReady after a network fault.</t>
        </is>
      </c>
      <c r="Y5" s="18" t="inlineStr">
        <is>
          <t>control plane, pods, taints and tolerations, requests and limits</t>
        </is>
      </c>
      <c r="Z5" s="18" t="inlineStr">
        <is>
          <t>node, kubelet, runtime, cordon, drain</t>
        </is>
      </c>
      <c r="AA5" s="18" t="inlineStr">
        <is>
          <t>Cluster operations | Capacity planning | Maintenance</t>
        </is>
      </c>
      <c r="AB5" s="18" t="inlineStr">
        <is>
          <t>A: How do we patch a node without downtime? | B: Drain it so pods move elsewhere first.</t>
        </is>
      </c>
      <c r="AC5" s="18" t="inlineStr">
        <is>
          <t>✗ A node is the same as a pod → ✓ A node is a machine, and pods are the units that run on it</t>
        </is>
      </c>
      <c r="AD5" s="18" t="inlineStr">
        <is>
          <t>Node vs pod: a node is the machine, a pod is a group of containers on it.</t>
        </is>
      </c>
      <c r="AE5" s="18" t="inlineStr">
        <is>
          <t>Do not keep irreplaceable data on a node's local disk.</t>
        </is>
      </c>
      <c r="AF5" s="18" t="inlineStr">
        <is>
          <t>Cordon blocks new pods, drain moves old ones.</t>
        </is>
      </c>
      <c r="AG5" s="18" t="inlineStr">
        <is>
          <t>Draining nodes one by one allowed patching without any visible outage.</t>
        </is>
      </c>
      <c r="AH5" s="18" t="inlineStr">
        <is>
          <t>An interviewer may ask: What does kubectl drain do?</t>
        </is>
      </c>
      <c r="AI5" s="18" t="inlineStr">
        <is>
          <t>It is like workers' desks where jobs are done.</t>
        </is>
      </c>
      <c r="AJ5" s="18" t="inlineStr">
        <is>
          <t>Which agent starts containers on a node?</t>
        </is>
      </c>
      <c r="AK5" s="18" t="inlineStr">
        <is>
          <t>A) etcd B) kubelet C) kubectl D) scheduler</t>
        </is>
      </c>
      <c r="AL5" s="18" t="inlineStr">
        <is>
          <t>B</t>
        </is>
      </c>
      <c r="AM5" s="18" t="inlineStr">
        <is>
          <t>The kubelet carries out the assignments from the control plane.</t>
        </is>
      </c>
      <c r="AN5" s="18" t="inlineStr">
        <is>
          <t>Moving pods off a node before maintenance is called ____ → draining</t>
        </is>
      </c>
      <c r="AO5" s="18" t="inlineStr">
        <is>
          <t>You must patch a node safely. What do you run first? → kubectl drain</t>
        </is>
      </c>
      <c r="AP5" s="18" t="inlineStr">
        <is>
          <t>Explain nodes in three lines.</t>
        </is>
      </c>
      <c r="AQ5" s="18" t="inlineStr">
        <is>
          <t>List what each node needs to run pods.</t>
        </is>
      </c>
      <c r="AR5" s="17">
        <f>IF(J5="","",REPT("★",J5)&amp;REPT("☆",5-J5)&amp;" ("&amp;J5&amp;"/5)")</f>
        <v/>
      </c>
      <c r="AS5" s="17">
        <f>IF(Q5="","","Meaning: "&amp;Q5&amp;"  =  ______   (Answer: "&amp;F5&amp;")")</f>
        <v/>
      </c>
      <c r="AT5" s="17" t="inlineStr">
        <is>
          <t>New</t>
        </is>
      </c>
      <c r="AU5" s="17" t="n"/>
      <c r="AV5" s="17" t="n"/>
      <c r="AW5" s="17" t="n"/>
      <c r="AX5" s="17" t="n"/>
      <c r="AY5" s="17" t="n"/>
      <c r="AZ5" s="17" t="n"/>
      <c r="BA5" s="17" t="n"/>
      <c r="BB5" s="17" t="n"/>
    </row>
    <row r="6" ht="108" customHeight="1">
      <c r="A6" s="17" t="inlineStr">
        <is>
          <t>K8S-006</t>
        </is>
      </c>
      <c r="B6" s="17" t="inlineStr">
        <is>
          <t>01 Architecture</t>
        </is>
      </c>
      <c r="C6" s="17" t="inlineStr">
        <is>
          <t>Beginner</t>
        </is>
      </c>
      <c r="D6" s="17" t="n">
        <v>6</v>
      </c>
      <c r="E6" s="17" t="inlineStr">
        <is>
          <t>Claude knowledge</t>
        </is>
      </c>
      <c r="F6" s="18" t="inlineStr">
        <is>
          <t>Managed Kubernetes offerings</t>
        </is>
      </c>
      <c r="G6" s="18" t="inlineStr">
        <is>
          <t>Which cloud services run the Kubernetes control plane for you?</t>
        </is>
      </c>
      <c r="H6" s="18" t="inlineStr">
        <is>
          <t>Core concept</t>
        </is>
      </c>
      <c r="I6" s="18" t="inlineStr">
        <is>
          <t>High</t>
        </is>
      </c>
      <c r="J6" s="18" t="n">
        <v>4</v>
      </c>
      <c r="K6" s="18" t="inlineStr">
        <is>
          <t>Running a control plane is hard work, so cloud providers offer managed services that operate it while you manage the workloads.</t>
        </is>
      </c>
      <c r="L6" s="18" t="inlineStr">
        <is>
          <t>Use a managed service unless you have a strong reason to run your own control plane.</t>
        </is>
      </c>
      <c r="M6" s="18" t="inlineStr">
        <is>
          <t>A managed cluster is a rented kitchen where the owner maintains the ovens and you do the cooking.</t>
        </is>
      </c>
      <c r="N6" s="18" t="inlineStr">
        <is>
          <t>A cloud logo owning the control plane and the customer owning worker nodes.</t>
        </is>
      </c>
      <c r="O6" s="18" t="inlineStr">
        <is>
          <t>The relief of not looking after etcd yourself.</t>
        </is>
      </c>
      <c r="P6" s="18" t="inlineStr">
        <is>
          <t>Managed Kubernetes services such as Amazon EKS, Azure AKS and Google GKE run and upgrade the control plane, and offer node groups, autoscaling and cloud integrations.</t>
        </is>
      </c>
      <c r="Q6" s="17" t="n"/>
      <c r="R6" s="18" t="inlineStr">
        <is>
          <t>The provider handles control plane availability, patches and etcd backups. You choose versions, node sizes and add-ons, and still manage workloads, security rules and upgrades of nodes. Some offer fully serverless nodes, such as GKE Autopilot or EKS Fargate. Local tools such as kind and minikube run small clusters for learning.</t>
        </is>
      </c>
      <c r="S6" s="18" t="inlineStr">
        <is>
          <t>Pick EKS, AKS or GKE so the provider runs the control plane, and you run the apps.</t>
        </is>
      </c>
      <c r="T6" s="18" t="inlineStr">
        <is>
          <t>A managed cluster is a rented kitchen where the owner maintains the ovens and you do the cooking.</t>
        </is>
      </c>
      <c r="U6" s="18" t="inlineStr">
        <is>
          <t>Managed = provider runs the control plane, you run workloads.</t>
        </is>
      </c>
      <c r="V6" s="18" t="inlineStr">
        <is>
          <t>An EKS cluster with managed node groups.</t>
        </is>
      </c>
      <c r="W6" s="18" t="inlineStr">
        <is>
          <t>GKE Autopilot managing nodes automatically.</t>
        </is>
      </c>
      <c r="X6" s="18" t="inlineStr">
        <is>
          <t>kind running a cluster in Docker for tests.</t>
        </is>
      </c>
      <c r="Y6" s="18" t="inlineStr">
        <is>
          <t>control plane, nodes, clusters and contexts, cloud basics</t>
        </is>
      </c>
      <c r="Z6" s="18" t="inlineStr">
        <is>
          <t>EKS, AKS, GKE, kind, minikube</t>
        </is>
      </c>
      <c r="AA6" s="18" t="inlineStr">
        <is>
          <t>Production | Learning | Customer projects</t>
        </is>
      </c>
      <c r="AB6" s="18" t="inlineStr">
        <is>
          <t>A: Do we manage etcd ourselves? | B: No, the managed service handles the control plane.</t>
        </is>
      </c>
      <c r="AC6" s="18" t="inlineStr">
        <is>
          <t>✗ A managed cluster needs no operations from you → ✓ You still manage workloads, security, node upgrades and cost</t>
        </is>
      </c>
      <c r="AD6" s="18" t="inlineStr">
        <is>
          <t>Managed vs self-managed: managed hides the control plane, self-managed gives you all of it.</t>
        </is>
      </c>
      <c r="AE6" s="18" t="inlineStr">
        <is>
          <t>Do not forget that node upgrades are still your job on most services.</t>
        </is>
      </c>
      <c r="AF6" s="18" t="inlineStr">
        <is>
          <t>They run the head office, you run the apps.</t>
        </is>
      </c>
      <c r="AG6" s="18" t="inlineStr">
        <is>
          <t>Choosing a managed service let a small team run production without a dedicated platform engineer.</t>
        </is>
      </c>
      <c r="AH6" s="18" t="inlineStr">
        <is>
          <t>An interviewer may ask: What do you still manage on EKS?</t>
        </is>
      </c>
      <c r="AI6" s="18" t="inlineStr">
        <is>
          <t>It is like a rented kitchen with maintained ovens.</t>
        </is>
      </c>
      <c r="AJ6" s="18" t="inlineStr">
        <is>
          <t>Which service is Google's managed Kubernetes?</t>
        </is>
      </c>
      <c r="AK6" s="18" t="inlineStr">
        <is>
          <t>A) EKS B) AKS C) GKE D) ECS</t>
        </is>
      </c>
      <c r="AL6" s="18" t="inlineStr">
        <is>
          <t>C</t>
        </is>
      </c>
      <c r="AM6" s="18" t="inlineStr">
        <is>
          <t>GKE is Google Kubernetes Engine.</t>
        </is>
      </c>
      <c r="AN6" s="18" t="inlineStr">
        <is>
          <t>A tool that runs a small cluster inside Docker is ____ → kind</t>
        </is>
      </c>
      <c r="AO6" s="18" t="inlineStr">
        <is>
          <t>A small team wants Kubernetes without running the control plane. What do they choose? → A managed service</t>
        </is>
      </c>
      <c r="AP6" s="18" t="inlineStr">
        <is>
          <t>Explain managed Kubernetes in three lines.</t>
        </is>
      </c>
      <c r="AQ6" s="18" t="inlineStr">
        <is>
          <t>Compare managed and self-run clusters in a short table.</t>
        </is>
      </c>
      <c r="AR6" s="17">
        <f>IF(J6="","",REPT("★",J6)&amp;REPT("☆",5-J6)&amp;" ("&amp;J6&amp;"/5)")</f>
        <v/>
      </c>
      <c r="AS6" s="17">
        <f>IF(Q6="","","Meaning: "&amp;Q6&amp;"  =  ______   (Answer: "&amp;F6&amp;")")</f>
        <v/>
      </c>
      <c r="AT6" s="17" t="inlineStr">
        <is>
          <t>New</t>
        </is>
      </c>
      <c r="AU6" s="17" t="n"/>
      <c r="AV6" s="17" t="n"/>
      <c r="AW6" s="17" t="n"/>
      <c r="AX6" s="17" t="n"/>
      <c r="AY6" s="17" t="n"/>
      <c r="AZ6" s="17" t="n"/>
      <c r="BA6" s="17" t="n"/>
      <c r="BB6" s="17" t="n"/>
    </row>
    <row r="7" ht="108" customHeight="1">
      <c r="A7" s="17" t="inlineStr">
        <is>
          <t>K8S-008</t>
        </is>
      </c>
      <c r="B7" s="17" t="inlineStr">
        <is>
          <t>02 Workloads</t>
        </is>
      </c>
      <c r="C7" s="17" t="inlineStr">
        <is>
          <t>Intermediate</t>
        </is>
      </c>
      <c r="D7" s="17" t="n">
        <v>8</v>
      </c>
      <c r="E7" s="17" t="inlineStr">
        <is>
          <t>Claude knowledge</t>
        </is>
      </c>
      <c r="F7" s="18" t="inlineStr">
        <is>
          <t>ReplicaSets</t>
        </is>
      </c>
      <c r="G7" s="18" t="inlineStr">
        <is>
          <t>Which controller keeps a set number of identical pods running?</t>
        </is>
      </c>
      <c r="H7" s="18" t="inlineStr">
        <is>
          <t>Core concept</t>
        </is>
      </c>
      <c r="I7" s="18" t="inlineStr">
        <is>
          <t>High</t>
        </is>
      </c>
      <c r="J7" s="18" t="n">
        <v>4</v>
      </c>
      <c r="K7" s="18" t="inlineStr">
        <is>
          <t>One pod is not enough for reliability, so a controller was added that counts pods and creates or deletes them to match the wanted number.</t>
        </is>
      </c>
      <c r="L7" s="18" t="inlineStr">
        <is>
          <t>You rarely create ReplicaSets yourself, because Deployments manage them for you.</t>
        </is>
      </c>
      <c r="M7" s="18" t="inlineStr">
        <is>
          <t>A ReplicaSet is a supervisor who counts workers and calls in a replacement whenever the count drops.</t>
        </is>
      </c>
      <c r="N7" s="18" t="inlineStr">
        <is>
          <t>A box ensuring three pods exist at all times.</t>
        </is>
      </c>
      <c r="O7" s="18" t="inlineStr">
        <is>
          <t>The comfort of counts that heal on their own.</t>
        </is>
      </c>
      <c r="P7" s="18" t="inlineStr">
        <is>
          <t>A ReplicaSet ensures that a specified number of pod replicas matching its selector are running at any time, creating new ones when pods disappear.</t>
        </is>
      </c>
      <c r="Q7" s="17" t="n"/>
      <c r="R7" s="18" t="inlineStr">
        <is>
          <t>The ReplicaSet uses a label selector to find its pods and compares their number with the desired replicas. If a pod is deleted, a new one is created. Deployments create a new ReplicaSet for each version, which enables rolling updates and rollbacks. Pods owned by a ReplicaSet are recreated even if you delete them by hand.</t>
        </is>
      </c>
      <c r="S7" s="18" t="inlineStr">
        <is>
          <t>A ReplicaSet keeps N pods running, and Deployments use ReplicaSets under the hood.</t>
        </is>
      </c>
      <c r="T7" s="18" t="inlineStr">
        <is>
          <t>A ReplicaSet is a supervisor who counts workers and calls a replacement whenever the count drops.</t>
        </is>
      </c>
      <c r="U7" s="18" t="inlineStr">
        <is>
          <t>Replicas wanted = pods matching the selector.</t>
        </is>
      </c>
      <c r="V7" s="18" t="inlineStr">
        <is>
          <t>Three replicas of a web pod kept alive.</t>
        </is>
      </c>
      <c r="W7" s="18" t="inlineStr">
        <is>
          <t>A deleted pod recreated automatically.</t>
        </is>
      </c>
      <c r="X7" s="18" t="inlineStr">
        <is>
          <t>Two ReplicaSets during a rolling update.</t>
        </is>
      </c>
      <c r="Y7" s="18" t="inlineStr">
        <is>
          <t>pods, Deployments, labels and selectors, rolling updates</t>
        </is>
      </c>
      <c r="Z7" s="18" t="inlineStr">
        <is>
          <t>replica, selector, controller, scale, ownership</t>
        </is>
      </c>
      <c r="AA7" s="18" t="inlineStr">
        <is>
          <t>Under every Deployment | Debugging | Scaling</t>
        </is>
      </c>
      <c r="AB7" s="18" t="inlineStr">
        <is>
          <t>A: I deleted the pod and it came back. | B: Its ReplicaSet recreated it to keep the count.</t>
        </is>
      </c>
      <c r="AC7" s="18" t="inlineStr">
        <is>
          <t>✗ Deleting a pod removes the workload → ✓ The controller recreates it, so delete or scale the controller</t>
        </is>
      </c>
      <c r="AD7" s="18" t="inlineStr">
        <is>
          <t>ReplicaSet vs Deployment: the ReplicaSet keeps a count, the Deployment manages versions through ReplicaSets.</t>
        </is>
      </c>
      <c r="AE7" s="18" t="inlineStr">
        <is>
          <t>Do not manage ReplicaSets by hand when a Deployment owns them.</t>
        </is>
      </c>
      <c r="AF7" s="18" t="inlineStr">
        <is>
          <t>Delete the owner, not the pod.</t>
        </is>
      </c>
      <c r="AG7" s="18" t="inlineStr">
        <is>
          <t>Understanding ReplicaSets explained why deleted pods kept returning after a cleanup.</t>
        </is>
      </c>
      <c r="AH7" s="18" t="inlineStr">
        <is>
          <t>An interviewer may ask: What does a ReplicaSet do?</t>
        </is>
      </c>
      <c r="AI7" s="18" t="inlineStr">
        <is>
          <t>It is like a supervisor counting workers.</t>
        </is>
      </c>
      <c r="AJ7" s="18" t="inlineStr">
        <is>
          <t>What does a ReplicaSet keep constant?</t>
        </is>
      </c>
      <c r="AK7" s="18" t="inlineStr">
        <is>
          <t>A) The number of matching pods B) The image size C) The log level D) The node count</t>
        </is>
      </c>
      <c r="AL7" s="18" t="inlineStr">
        <is>
          <t>A</t>
        </is>
      </c>
      <c r="AM7" s="18" t="inlineStr">
        <is>
          <t>It reconciles pods with the replica number.</t>
        </is>
      </c>
      <c r="AN7" s="18" t="inlineStr">
        <is>
          <t>A ReplicaSet finds its pods using a label ____ → selector</t>
        </is>
      </c>
      <c r="AO7" s="18" t="inlineStr">
        <is>
          <t>A deleted pod keeps coming back. What should you delete or scale instead? → The owning controller</t>
        </is>
      </c>
      <c r="AP7" s="18" t="inlineStr">
        <is>
          <t>Explain ReplicaSets in three lines.</t>
        </is>
      </c>
      <c r="AQ7" s="18" t="inlineStr">
        <is>
          <t>Describe what happens when one of three replicas is deleted.</t>
        </is>
      </c>
      <c r="AR7" s="17">
        <f>IF(J7="","",REPT("★",J7)&amp;REPT("☆",5-J7)&amp;" ("&amp;J7&amp;"/5)")</f>
        <v/>
      </c>
      <c r="AS7" s="17">
        <f>IF(Q7="","","Meaning: "&amp;Q7&amp;"  =  ______   (Answer: "&amp;F7&amp;")")</f>
        <v/>
      </c>
      <c r="AT7" s="17" t="inlineStr">
        <is>
          <t>New</t>
        </is>
      </c>
      <c r="AU7" s="17" t="n"/>
      <c r="AV7" s="17" t="n"/>
      <c r="AW7" s="17" t="n"/>
      <c r="AX7" s="17" t="n"/>
      <c r="AY7" s="17" t="n"/>
      <c r="AZ7" s="17" t="n"/>
      <c r="BA7" s="17" t="n"/>
      <c r="BB7" s="17" t="n"/>
    </row>
    <row r="8" ht="94.5" customHeight="1">
      <c r="A8" s="17" t="inlineStr">
        <is>
          <t>K8S-024</t>
        </is>
      </c>
      <c r="B8" s="17" t="inlineStr">
        <is>
          <t>04 Networking</t>
        </is>
      </c>
      <c r="C8" s="17" t="inlineStr">
        <is>
          <t>Intermediate</t>
        </is>
      </c>
      <c r="D8" s="17" t="n">
        <v>24</v>
      </c>
      <c r="E8" s="17" t="inlineStr">
        <is>
          <t>Claude knowledge</t>
        </is>
      </c>
      <c r="F8" s="18" t="inlineStr">
        <is>
          <t>DNS in the cluster</t>
        </is>
      </c>
      <c r="G8" s="18" t="inlineStr">
        <is>
          <t>How do pods find Services by name inside a cluster?</t>
        </is>
      </c>
      <c r="H8" s="18" t="inlineStr">
        <is>
          <t>Core concept</t>
        </is>
      </c>
      <c r="I8" s="18" t="inlineStr">
        <is>
          <t>High</t>
        </is>
      </c>
      <c r="J8" s="18" t="n">
        <v>4</v>
      </c>
      <c r="K8" s="18" t="inlineStr">
        <is>
          <t>Pod addresses change, so the cluster runs DNS that turns Service names into virtual addresses.</t>
        </is>
      </c>
      <c r="L8" s="18" t="inlineStr">
        <is>
          <t>Use the short Service name inside the same namespace and the longer form across namespaces.</t>
        </is>
      </c>
      <c r="M8" s="18" t="inlineStr">
        <is>
          <t>Cluster DNS is the internal phone book that lists every Service by name.</t>
        </is>
      </c>
      <c r="N8" s="18" t="inlineStr">
        <is>
          <t>A pod resolving api and receiving a cluster address.</t>
        </is>
      </c>
      <c r="O8" s="18" t="inlineStr">
        <is>
          <t>The comfort of calling services by name.</t>
        </is>
      </c>
      <c r="P8" s="18" t="inlineStr">
        <is>
          <t>Cluster DNS, usually CoreDNS, creates names such as service.namespace.svc.cluster.local for every Service, and pods use it automatically through their resolver settings.</t>
        </is>
      </c>
      <c r="Q8" s="17" t="n"/>
      <c r="R8" s="18" t="inlineStr">
        <is>
          <t>Inside one namespace, api reaches the Service called api. From another namespace use api.shop or the full name. Headless Services return pod addresses, and StatefulSet pods get individual names. Search domains in resolv.conf allow short names. If lookups fail, check CoreDNS pods and network policies.</t>
        </is>
      </c>
      <c r="S8" s="18" t="inlineStr">
        <is>
          <t>Use Service names as hostnames, and add the namespace across namespaces.</t>
        </is>
      </c>
      <c r="T8" s="18" t="inlineStr">
        <is>
          <t>Cluster DNS is the internal phone book listing every Service by name.</t>
        </is>
      </c>
      <c r="U8" s="18" t="inlineStr">
        <is>
          <t>service.namespace.svc.cluster.local</t>
        </is>
      </c>
      <c r="V8" s="18" t="inlineStr">
        <is>
          <t>http://api inside the same namespace.</t>
        </is>
      </c>
      <c r="W8" s="18" t="inlineStr">
        <is>
          <t>http://api.shop across namespaces.</t>
        </is>
      </c>
      <c r="X8" s="18" t="inlineStr">
        <is>
          <t>db-0.db.shop.svc.cluster.local for a StatefulSet pod.</t>
        </is>
      </c>
      <c r="Y8" s="18" t="inlineStr">
        <is>
          <t>Services, namespaces, StatefulSets, network policies</t>
        </is>
      </c>
      <c r="Z8" s="18" t="inlineStr">
        <is>
          <t>CoreDNS, FQDN, search domain, headless, resolver</t>
        </is>
      </c>
      <c r="AA8" s="18" t="inlineStr">
        <is>
          <t>Service calls | Debugging | Configuration</t>
        </is>
      </c>
      <c r="AB8" s="18" t="inlineStr">
        <is>
          <t>A: Can the web pod reach the api in another namespace? | B: Yes, use api.shop as the host.</t>
        </is>
      </c>
      <c r="AC8" s="18" t="inlineStr">
        <is>
          <t>✗ Pods must use IP addresses to find Services → ✓ Cluster DNS gives stable names</t>
        </is>
      </c>
      <c r="AD8" s="18" t="inlineStr">
        <is>
          <t>Short name vs full name: short works within a namespace, full works anywhere.</t>
        </is>
      </c>
      <c r="AE8" s="18" t="inlineStr">
        <is>
          <t>Do not hard-code pod IP addresses.</t>
        </is>
      </c>
      <c r="AF8" s="18" t="inlineStr">
        <is>
          <t>Name, namespace, svc, cluster, local.</t>
        </is>
      </c>
      <c r="AG8" s="18" t="inlineStr">
        <is>
          <t>Switching configs from IPs to Service names removed breakage after pod restarts.</t>
        </is>
      </c>
      <c r="AH8" s="18" t="inlineStr">
        <is>
          <t>An interviewer may ask: How does a pod resolve a Service name?</t>
        </is>
      </c>
      <c r="AI8" s="18" t="inlineStr">
        <is>
          <t>It is like an internal phone book.</t>
        </is>
      </c>
      <c r="AJ8" s="18" t="inlineStr">
        <is>
          <t>Which component usually provides cluster DNS?</t>
        </is>
      </c>
      <c r="AK8" s="18" t="inlineStr">
        <is>
          <t>A) kubelet B) etcd C) kube-proxy D) CoreDNS</t>
        </is>
      </c>
      <c r="AL8" s="18" t="inlineStr">
        <is>
          <t>D</t>
        </is>
      </c>
      <c r="AM8" s="18" t="inlineStr">
        <is>
          <t>CoreDNS serves the cluster.local names.</t>
        </is>
      </c>
      <c r="AN8" s="18" t="inlineStr">
        <is>
          <t>The default cluster domain is ____ → cluster.local</t>
        </is>
      </c>
      <c r="AO8" s="18" t="inlineStr">
        <is>
          <t>A pod must call a Service in the shop namespace. Which host? → api.shop</t>
        </is>
      </c>
      <c r="AP8" s="18" t="inlineStr">
        <is>
          <t>Explain cluster DNS in three lines.</t>
        </is>
      </c>
      <c r="AQ8" s="18" t="inlineStr">
        <is>
          <t>Write the full DNS name of a Service called api in namespace shop.</t>
        </is>
      </c>
      <c r="AR8" s="17">
        <f>IF(J8="","",REPT("★",J8)&amp;REPT("☆",5-J8)&amp;" ("&amp;J8&amp;"/5)")</f>
        <v/>
      </c>
      <c r="AS8" s="17">
        <f>IF(Q8="","","Meaning: "&amp;Q8&amp;"  =  ______   (Answer: "&amp;F8&amp;")")</f>
        <v/>
      </c>
      <c r="AT8" s="17" t="inlineStr">
        <is>
          <t>New</t>
        </is>
      </c>
      <c r="AU8" s="17" t="n"/>
      <c r="AV8" s="17" t="n"/>
      <c r="AW8" s="17" t="n"/>
      <c r="AX8" s="17" t="n"/>
      <c r="AY8" s="17" t="n"/>
      <c r="AZ8" s="17" t="n"/>
      <c r="BA8" s="17" t="n"/>
      <c r="BB8" s="17" t="n"/>
    </row>
    <row r="9" ht="108" customHeight="1">
      <c r="A9" s="17" t="inlineStr">
        <is>
          <t>K8S-026</t>
        </is>
      </c>
      <c r="B9" s="17" t="inlineStr">
        <is>
          <t>04 Networking</t>
        </is>
      </c>
      <c r="C9" s="17" t="inlineStr">
        <is>
          <t>Intermediate</t>
        </is>
      </c>
      <c r="D9" s="17" t="n">
        <v>26</v>
      </c>
      <c r="E9" s="17" t="inlineStr">
        <is>
          <t>Claude knowledge</t>
        </is>
      </c>
      <c r="F9" s="18" t="inlineStr">
        <is>
          <t>Ports and health endpoints</t>
        </is>
      </c>
      <c r="G9" s="18" t="inlineStr">
        <is>
          <t>How do container ports, Service ports and health endpoints fit together?</t>
        </is>
      </c>
      <c r="H9" s="18" t="inlineStr">
        <is>
          <t>Core concept</t>
        </is>
      </c>
      <c r="I9" s="18" t="inlineStr">
        <is>
          <t>High</t>
        </is>
      </c>
      <c r="J9" s="18" t="n">
        <v>4</v>
      </c>
      <c r="K9" s="18" t="inlineStr">
        <is>
          <t>Traffic passes through several port definitions, and mixing them up is a common cause of broken access.</t>
        </is>
      </c>
      <c r="L9" s="18" t="inlineStr">
        <is>
          <t>Name container ports and refer to the name in Services and probes.</t>
        </is>
      </c>
      <c r="M9" s="18" t="inlineStr">
        <is>
          <t>Ports are a chain of doors, and each door must lead to the next.</t>
        </is>
      </c>
      <c r="N9" s="18" t="inlineStr">
        <is>
          <t>A request passing Ingress, Service and container ports.</t>
        </is>
      </c>
      <c r="O9" s="18" t="inlineStr">
        <is>
          <t>The satisfaction of tracing a request end to end.</t>
        </is>
      </c>
      <c r="P9" s="18" t="inlineStr">
        <is>
          <t>containerPort declares the port an app listens on, a Service port exposes it, targetPort links them, and probes check a health endpoint on the container port.</t>
        </is>
      </c>
      <c r="Q9" s="17" t="n"/>
      <c r="R9" s="18" t="inlineStr">
        <is>
          <t>containerPort is informational but useful for naming. The app must listen on 0.0.0.0, not only localhost, or Services cannot reach it. A named port such as http can be used in targetPort and probes. Health endpoints should be cheap and separate for liveness and readiness. Debug by port-forwarding to the pod and then the Service.</t>
        </is>
      </c>
      <c r="S9" s="18" t="inlineStr">
        <is>
          <t>Make the app listen on all addresses, then match Service targetPort and probes to that port.</t>
        </is>
      </c>
      <c r="T9" s="18" t="inlineStr">
        <is>
          <t>Ports are a chain of doors, and each door must lead to the next.</t>
        </is>
      </c>
      <c r="U9" s="18" t="inlineStr">
        <is>
          <t>Ingress → Service port → targetPort → containerPort.</t>
        </is>
      </c>
      <c r="V9" s="18" t="inlineStr">
        <is>
          <t>ports: [{ name: http, containerPort: 8080 }]</t>
        </is>
      </c>
      <c r="W9" s="18" t="inlineStr">
        <is>
          <t>targetPort: http</t>
        </is>
      </c>
      <c r="X9" s="18" t="inlineStr">
        <is>
          <t>readinessProbe on path /ready port http</t>
        </is>
      </c>
      <c r="Y9" s="18" t="inlineStr">
        <is>
          <t>Services, probes, Ingress, port-forward</t>
        </is>
      </c>
      <c r="Z9" s="18" t="inlineStr">
        <is>
          <t>containerPort, targetPort, named port, listen address, health endpoint</t>
        </is>
      </c>
      <c r="AA9" s="18" t="inlineStr">
        <is>
          <t>Every deployment | Debugging | Probes</t>
        </is>
      </c>
      <c r="AB9" s="18" t="inlineStr">
        <is>
          <t>A: The Service cannot reach the app. | B: The app listens only on localhost, so bind to 0.0.0.0.</t>
        </is>
      </c>
      <c r="AC9" s="18" t="inlineStr">
        <is>
          <t>✗ Declaring containerPort opens the port → ✓ The app must actually listen, and the declaration is informational</t>
        </is>
      </c>
      <c r="AD9" s="18" t="inlineStr">
        <is>
          <t>containerPort vs targetPort: one declares, the other routes.</t>
        </is>
      </c>
      <c r="AE9" s="18" t="inlineStr">
        <is>
          <t>Do not bind servers to localhost in containers.</t>
        </is>
      </c>
      <c r="AF9" s="18" t="inlineStr">
        <is>
          <t>Listen on all addresses, route by name.</t>
        </is>
      </c>
      <c r="AG9" s="18" t="inlineStr">
        <is>
          <t>Binding to 0.0.0.0 fixed a Service that could never reach its pods.</t>
        </is>
      </c>
      <c r="AH9" s="18" t="inlineStr">
        <is>
          <t>An interviewer may ask: Why can a Service fail to reach a running pod?</t>
        </is>
      </c>
      <c r="AI9" s="18" t="inlineStr">
        <is>
          <t>It is like a chain of doors.</t>
        </is>
      </c>
      <c r="AJ9" s="18" t="inlineStr">
        <is>
          <t>Which address should containerised servers bind to?</t>
        </is>
      </c>
      <c r="AK9" s="18" t="inlineStr">
        <is>
          <t>A) localhost only B) 0.0.0.0 C) 127.0.0.1 only D) 10.0.0.1</t>
        </is>
      </c>
      <c r="AL9" s="18" t="inlineStr">
        <is>
          <t>B</t>
        </is>
      </c>
      <c r="AM9" s="18" t="inlineStr">
        <is>
          <t>Other pods connect from outside the container.</t>
        </is>
      </c>
      <c r="AN9" s="18" t="inlineStr">
        <is>
          <t>A port given a label can be referenced by its ____ → name</t>
        </is>
      </c>
      <c r="AO9" s="18" t="inlineStr">
        <is>
          <t>A Service cannot reach a running app. What do you check first? → The address the app listens on</t>
        </is>
      </c>
      <c r="AP9" s="18" t="inlineStr">
        <is>
          <t>Explain how the port definitions connect in three lines.</t>
        </is>
      </c>
      <c r="AQ9" s="18" t="inlineStr">
        <is>
          <t>Name a container port and use it in a Service and a probe.</t>
        </is>
      </c>
      <c r="AR9" s="17">
        <f>IF(J9="","",REPT("★",J9)&amp;REPT("☆",5-J9)&amp;" ("&amp;J9&amp;"/5)")</f>
        <v/>
      </c>
      <c r="AS9" s="17">
        <f>IF(Q9="","","Meaning: "&amp;Q9&amp;"  =  ______   (Answer: "&amp;F9&amp;")")</f>
        <v/>
      </c>
      <c r="AT9" s="17" t="inlineStr">
        <is>
          <t>New</t>
        </is>
      </c>
      <c r="AU9" s="17" t="n"/>
      <c r="AV9" s="17" t="n"/>
      <c r="AW9" s="17" t="n"/>
      <c r="AX9" s="17" t="n"/>
      <c r="AY9" s="17" t="n"/>
      <c r="AZ9" s="17" t="n"/>
      <c r="BA9" s="17" t="n"/>
      <c r="BB9" s="17" t="n"/>
    </row>
    <row r="10" ht="108" customHeight="1">
      <c r="A10" s="17" t="inlineStr">
        <is>
          <t>K8S-027</t>
        </is>
      </c>
      <c r="B10" s="17" t="inlineStr">
        <is>
          <t>04 Networking</t>
        </is>
      </c>
      <c r="C10" s="17" t="inlineStr">
        <is>
          <t>Advanced</t>
        </is>
      </c>
      <c r="D10" s="17" t="n">
        <v>27</v>
      </c>
      <c r="E10" s="17" t="inlineStr">
        <is>
          <t>Claude knowledge</t>
        </is>
      </c>
      <c r="F10" s="18" t="inlineStr">
        <is>
          <t>Service mesh idea</t>
        </is>
      </c>
      <c r="G10" s="18" t="inlineStr">
        <is>
          <t>Which layer adds secure, observable service-to-service traffic through sidecar proxies?</t>
        </is>
      </c>
      <c r="H10" s="18" t="inlineStr">
        <is>
          <t>Core concept</t>
        </is>
      </c>
      <c r="I10" s="18" t="inlineStr">
        <is>
          <t>Medium</t>
        </is>
      </c>
      <c r="J10" s="18" t="n">
        <v>3</v>
      </c>
      <c r="K10" s="18" t="inlineStr">
        <is>
          <t>Large systems need encryption, retries and tracing between services without changing each app, so proxies handle it next to every pod.</t>
        </is>
      </c>
      <c r="L10" s="18" t="inlineStr">
        <is>
          <t>Adopt a mesh only when you need its features, since it adds complexity.</t>
        </is>
      </c>
      <c r="M10" s="18" t="inlineStr">
        <is>
          <t>A mesh is a private courier service that wraps and tracks every message between offices.</t>
        </is>
      </c>
      <c r="N10" s="18" t="inlineStr">
        <is>
          <t>Pods with small proxy sidecars connected by a control layer.</t>
        </is>
      </c>
      <c r="O10" s="18" t="inlineStr">
        <is>
          <t>The curiosity of seeing every call traced.</t>
        </is>
      </c>
      <c r="P10" s="18" t="inlineStr">
        <is>
          <t>A service mesh, such as Istio or Linkerd, places proxies beside application containers to provide mutual TLS, traffic routing, retries and metrics, managed by a control plane.</t>
        </is>
      </c>
      <c r="Q10" s="17" t="n"/>
      <c r="R10" s="18" t="inlineStr">
        <is>
          <t>Apps call each other normally, while proxies encrypt, authenticate and measure the calls. Meshes enable canary routing, timeouts and circuit breaking by configuration. The cost is extra resources, learning effort and debugging layers. Sidecarless modes exist, such as Istio ambient mode. Many teams meet the same needs with simpler tools first.</t>
        </is>
      </c>
      <c r="S10" s="18" t="inlineStr">
        <is>
          <t>A mesh handles secure and observable service calls through proxies.</t>
        </is>
      </c>
      <c r="T10" s="18" t="inlineStr">
        <is>
          <t>A mesh is a private courier service that wraps and tracks every message between offices.</t>
        </is>
      </c>
      <c r="U10" s="18" t="inlineStr">
        <is>
          <t>Sidecar proxies + mesh control plane.</t>
        </is>
      </c>
      <c r="V10" s="18" t="inlineStr">
        <is>
          <t>Mutual TLS between all services by default.</t>
        </is>
      </c>
      <c r="W10" s="18" t="inlineStr">
        <is>
          <t>Sending ten percent of traffic to a new version.</t>
        </is>
      </c>
      <c r="X10" s="18" t="inlineStr">
        <is>
          <t>Automatic retries and timeouts.</t>
        </is>
      </c>
      <c r="Y10" s="18" t="inlineStr">
        <is>
          <t>network policies, canary releases, mutual TLS, observability</t>
        </is>
      </c>
      <c r="Z10" s="18" t="inlineStr">
        <is>
          <t>Istio, Linkerd, sidecar, mTLS, proxy</t>
        </is>
      </c>
      <c r="AA10" s="18" t="inlineStr">
        <is>
          <t>Large microservice platforms | Zero trust | Traffic control</t>
        </is>
      </c>
      <c r="AB10" s="18" t="inlineStr">
        <is>
          <t>A: We need encrypted traffic between every service. | B: A mesh can enforce mutual TLS without changing the code.</t>
        </is>
      </c>
      <c r="AC10" s="18" t="inlineStr">
        <is>
          <t>✗ Every cluster needs a service mesh → ✓ Many clusters work well without one</t>
        </is>
      </c>
      <c r="AD10" s="18" t="inlineStr">
        <is>
          <t>Mesh vs network policy: a mesh handles identity and traffic features, a policy only allows or blocks.</t>
        </is>
      </c>
      <c r="AE10" s="18" t="inlineStr">
        <is>
          <t>Do not adopt a mesh without a clear need.</t>
        </is>
      </c>
      <c r="AF10" s="18" t="inlineStr">
        <is>
          <t>Proxies beside every pod, control plane above.</t>
        </is>
      </c>
      <c r="AG10" s="18" t="inlineStr">
        <is>
          <t>A mesh gave a customer mutual TLS and per-service metrics without code changes.</t>
        </is>
      </c>
      <c r="AH10" s="18" t="inlineStr">
        <is>
          <t>An interviewer may ask: What does a service mesh provide?</t>
        </is>
      </c>
      <c r="AI10" s="18" t="inlineStr">
        <is>
          <t>It is like a courier service that wraps every message.</t>
        </is>
      </c>
      <c r="AJ10" s="18" t="inlineStr">
        <is>
          <t>What does a sidecar proxy do in a mesh?</t>
        </is>
      </c>
      <c r="AK10" s="18" t="inlineStr">
        <is>
          <t>A) Handles encryption and traffic features B) Stores data C) Builds images D) Schedules pods</t>
        </is>
      </c>
      <c r="AL10" s="18" t="inlineStr">
        <is>
          <t>A</t>
        </is>
      </c>
      <c r="AM10" s="18" t="inlineStr">
        <is>
          <t>The proxy intercepts service calls.</t>
        </is>
      </c>
      <c r="AN10" s="18" t="inlineStr">
        <is>
          <t>Encryption where both sides verify each other is mutual ____ → TLS</t>
        </is>
      </c>
      <c r="AO10" s="18" t="inlineStr">
        <is>
          <t>A customer wants encrypted traffic everywhere with no code change. What do you suggest? → A service mesh</t>
        </is>
      </c>
      <c r="AP10" s="18" t="inlineStr">
        <is>
          <t>Explain the service mesh idea in three lines.</t>
        </is>
      </c>
      <c r="AQ10" s="18" t="inlineStr">
        <is>
          <t>List two benefits and two costs of a mesh.</t>
        </is>
      </c>
      <c r="AR10" s="17">
        <f>IF(J10="","",REPT("★",J10)&amp;REPT("☆",5-J10)&amp;" ("&amp;J10&amp;"/5)")</f>
        <v/>
      </c>
      <c r="AS10" s="17">
        <f>IF(Q10="","","Meaning: "&amp;Q10&amp;"  =  ______   (Answer: "&amp;F10&amp;")")</f>
        <v/>
      </c>
      <c r="AT10" s="17" t="inlineStr">
        <is>
          <t>New</t>
        </is>
      </c>
      <c r="AU10" s="17" t="n"/>
      <c r="AV10" s="17" t="n"/>
      <c r="AW10" s="17" t="n"/>
      <c r="AX10" s="17" t="n"/>
      <c r="AY10" s="17" t="n"/>
      <c r="AZ10" s="17" t="n"/>
      <c r="BA10" s="17" t="n"/>
      <c r="BB10" s="17" t="n"/>
    </row>
    <row r="11" ht="108" customHeight="1">
      <c r="A11" s="17" t="inlineStr">
        <is>
          <t>K8S-031</t>
        </is>
      </c>
      <c r="B11" s="17" t="inlineStr">
        <is>
          <t>05 Reliability</t>
        </is>
      </c>
      <c r="C11" s="17" t="inlineStr">
        <is>
          <t>Advanced</t>
        </is>
      </c>
      <c r="D11" s="17" t="n">
        <v>31</v>
      </c>
      <c r="E11" s="17" t="inlineStr">
        <is>
          <t>Claude knowledge</t>
        </is>
      </c>
      <c r="F11" s="18" t="inlineStr">
        <is>
          <t>Taints and tolerations</t>
        </is>
      </c>
      <c r="G11" s="18" t="inlineStr">
        <is>
          <t>Which pair keeps pods off certain nodes unless they explicitly accept them?</t>
        </is>
      </c>
      <c r="H11" s="18" t="inlineStr">
        <is>
          <t>Core concept</t>
        </is>
      </c>
      <c r="I11" s="18" t="inlineStr">
        <is>
          <t>Medium</t>
        </is>
      </c>
      <c r="J11" s="18" t="n">
        <v>4</v>
      </c>
      <c r="K11" s="18" t="inlineStr">
        <is>
          <t>Some nodes are reserved for special work, so taints repel pods and tolerations let chosen pods in.</t>
        </is>
      </c>
      <c r="L11" s="18" t="inlineStr">
        <is>
          <t>Taint special nodes, and add tolerations only to the pods that belong there.</t>
        </is>
      </c>
      <c r="M11" s="18" t="inlineStr">
        <is>
          <t>A taint is a warning sign on a room, and a toleration is a permission slip to enter.</t>
        </is>
      </c>
      <c r="N11" s="18" t="inlineStr">
        <is>
          <t>A node with a sign and only some pods carrying permission.</t>
        </is>
      </c>
      <c r="O11" s="18" t="inlineStr">
        <is>
          <t>The tidiness of nodes kept for special work.</t>
        </is>
      </c>
      <c r="P11" s="18" t="inlineStr">
        <is>
          <t>A taint on a node repels pods that do not tolerate it, and a toleration on a pod lets it be scheduled onto nodes with a matching taint.</t>
        </is>
      </c>
      <c r="Q11" s="17" t="n"/>
      <c r="R11" s="18" t="inlineStr">
        <is>
          <t>Effects include NoSchedule, PreferNoSchedule and NoExecute, which also evicts running pods. Tolerations only allow scheduling and do not attract pods, so pair them with node selectors or affinity to target nodes. Control plane nodes and GPU nodes are often tainted. Cloud autoscalers can apply taints to node groups.</t>
        </is>
      </c>
      <c r="S11" s="18" t="inlineStr">
        <is>
          <t>Taint to keep pods away, tolerate to allow, and use affinity to attract.</t>
        </is>
      </c>
      <c r="T11" s="18" t="inlineStr">
        <is>
          <t>A taint is a warning sign on a room, and a toleration is a permission slip.</t>
        </is>
      </c>
      <c r="U11" s="18" t="inlineStr">
        <is>
          <t>Taint repels, toleration permits, affinity attracts.</t>
        </is>
      </c>
      <c r="V11" s="18" t="inlineStr">
        <is>
          <t>kubectl taint nodes gpu-1 gpu=true:NoSchedule</t>
        </is>
      </c>
      <c r="W11" s="18" t="inlineStr">
        <is>
          <t>tolerations: [{ key: gpu, operator: Equal, value: "true", effect: NoSchedule }]</t>
        </is>
      </c>
      <c r="X11" s="18" t="inlineStr">
        <is>
          <t>NoExecute evicting existing pods.</t>
        </is>
      </c>
      <c r="Y11" s="18" t="inlineStr">
        <is>
          <t>nodes, affinity, DaemonSets, requests and limits</t>
        </is>
      </c>
      <c r="Z11" s="18" t="inlineStr">
        <is>
          <t>taint, toleration, effect, NoSchedule, eviction</t>
        </is>
      </c>
      <c r="AA11" s="18" t="inlineStr">
        <is>
          <t>GPU nodes | Dedicated pools | Control plane</t>
        </is>
      </c>
      <c r="AB11" s="18" t="inlineStr">
        <is>
          <t>A: Why do pods avoid the GPU nodes? | B: The nodes are tainted, and pods lack a toleration.</t>
        </is>
      </c>
      <c r="AC11" s="18" t="inlineStr">
        <is>
          <t>✗ A toleration forces a pod onto the tainted node → ✓ It only allows it, and affinity is needed to attract</t>
        </is>
      </c>
      <c r="AD11" s="18" t="inlineStr">
        <is>
          <t>Taint vs affinity: taints repel, affinity attracts.</t>
        </is>
      </c>
      <c r="AE11" s="18" t="inlineStr">
        <is>
          <t>Do not rely on tolerations alone to place pods.</t>
        </is>
      </c>
      <c r="AF11" s="18" t="inlineStr">
        <is>
          <t>Tolerate means may, not must.</t>
        </is>
      </c>
      <c r="AG11" s="18" t="inlineStr">
        <is>
          <t>Tainting GPU nodes kept ordinary workloads from wasting expensive hardware.</t>
        </is>
      </c>
      <c r="AH11" s="18" t="inlineStr">
        <is>
          <t>An interviewer may ask: What does NoExecute do?</t>
        </is>
      </c>
      <c r="AI11" s="18" t="inlineStr">
        <is>
          <t>It is like a warning sign and a permission slip.</t>
        </is>
      </c>
      <c r="AJ11" s="18" t="inlineStr">
        <is>
          <t>What does a toleration do?</t>
        </is>
      </c>
      <c r="AK11" s="18" t="inlineStr">
        <is>
          <t>A) Adds CPU B) Forces scheduling C) Allows scheduling on tainted nodes D) Deletes the taint</t>
        </is>
      </c>
      <c r="AL11" s="18" t="inlineStr">
        <is>
          <t>C</t>
        </is>
      </c>
      <c r="AM11" s="18" t="inlineStr">
        <is>
          <t>It permits but does not require.</t>
        </is>
      </c>
      <c r="AN11" s="18" t="inlineStr">
        <is>
          <t>The effect that also evicts running pods is ____ → NoExecute</t>
        </is>
      </c>
      <c r="AO11" s="18" t="inlineStr">
        <is>
          <t>GPU nodes should run only GPU jobs. What do you use? → A taint plus tolerations on the GPU pods</t>
        </is>
      </c>
      <c r="AP11" s="18" t="inlineStr">
        <is>
          <t>Explain taints and tolerations in three lines.</t>
        </is>
      </c>
      <c r="AQ11" s="18" t="inlineStr">
        <is>
          <t>Write a taint and a matching toleration for a gpu node pool.</t>
        </is>
      </c>
      <c r="AR11" s="17">
        <f>IF(J11="","",REPT("★",J11)&amp;REPT("☆",5-J11)&amp;" ("&amp;J11&amp;"/5)")</f>
        <v/>
      </c>
      <c r="AS11" s="17">
        <f>IF(Q11="","","Meaning: "&amp;Q11&amp;"  =  ______   (Answer: "&amp;F11&amp;")")</f>
        <v/>
      </c>
      <c r="AT11" s="17" t="inlineStr">
        <is>
          <t>New</t>
        </is>
      </c>
      <c r="AU11" s="17" t="n"/>
      <c r="AV11" s="17" t="n"/>
      <c r="AW11" s="17" t="n"/>
      <c r="AX11" s="17" t="n"/>
      <c r="AY11" s="17" t="n"/>
      <c r="AZ11" s="17" t="n"/>
      <c r="BA11" s="17" t="n"/>
      <c r="BB11" s="17" t="n"/>
    </row>
    <row r="12" ht="94.5" customHeight="1">
      <c r="A12" s="17" t="inlineStr">
        <is>
          <t>K8S-032</t>
        </is>
      </c>
      <c r="B12" s="17" t="inlineStr">
        <is>
          <t>05 Reliability</t>
        </is>
      </c>
      <c r="C12" s="17" t="inlineStr">
        <is>
          <t>Advanced</t>
        </is>
      </c>
      <c r="D12" s="17" t="n">
        <v>32</v>
      </c>
      <c r="E12" s="17" t="inlineStr">
        <is>
          <t>Claude knowledge</t>
        </is>
      </c>
      <c r="F12" s="18" t="inlineStr">
        <is>
          <t>Affinity and spreading</t>
        </is>
      </c>
      <c r="G12" s="18" t="inlineStr">
        <is>
          <t>Which rules attract pods to certain nodes or spread them apart?</t>
        </is>
      </c>
      <c r="H12" s="18" t="inlineStr">
        <is>
          <t>Core concept</t>
        </is>
      </c>
      <c r="I12" s="18" t="inlineStr">
        <is>
          <t>Medium</t>
        </is>
      </c>
      <c r="J12" s="18" t="n">
        <v>4</v>
      </c>
      <c r="K12" s="18" t="inlineStr">
        <is>
          <t>Placement matters for speed and resilience, so pods can prefer nodes, sit near partners or spread across zones.</t>
        </is>
      </c>
      <c r="L12" s="18" t="inlineStr">
        <is>
          <t>Spread replicas across zones with topology spread constraints.</t>
        </is>
      </c>
      <c r="M12" s="18" t="inlineStr">
        <is>
          <t>Affinity is choosing seats near friends, and anti-affinity is choosing seats far apart.</t>
        </is>
      </c>
      <c r="N12" s="18" t="inlineStr">
        <is>
          <t>Several replicas spread evenly over three separate zones.</t>
        </is>
      </c>
      <c r="O12" s="18" t="inlineStr">
        <is>
          <t>The assurance of replicas in separate failure domains.</t>
        </is>
      </c>
      <c r="P12" s="18" t="inlineStr">
        <is>
          <t>Node affinity attracts pods to nodes by labels, pod affinity and anti-affinity place pods near or away from other pods, and topology spread constraints balance pods across zones or nodes.</t>
        </is>
      </c>
      <c r="Q12" s="17" t="n"/>
      <c r="R12" s="18" t="inlineStr">
        <is>
          <t>Rules can be required or preferred. Spreading replicas over zones protects against a zone failure. Hard anti-affinity can leave pods unscheduled when there are too few nodes. Simple needs can use a nodeSelector. Labels such as topology.kubernetes.io/zone identify domains.</t>
        </is>
      </c>
      <c r="S12" s="18" t="inlineStr">
        <is>
          <t>Use affinity to place pods, and spread constraints to survive zone failures.</t>
        </is>
      </c>
      <c r="T12" s="18" t="inlineStr">
        <is>
          <t>Affinity is choosing seats near friends, and anti-affinity is choosing seats far apart.</t>
        </is>
      </c>
      <c r="U12" s="18" t="inlineStr">
        <is>
          <t>Required = must. Preferred = try.</t>
        </is>
      </c>
      <c r="V12" s="18" t="inlineStr">
        <is>
          <t>nodeSelector: { storage: nvme }</t>
        </is>
      </c>
      <c r="W12" s="18" t="inlineStr">
        <is>
          <t>topologySpreadConstraints over topology.kubernetes.io/zone</t>
        </is>
      </c>
      <c r="X12" s="18" t="inlineStr">
        <is>
          <t>podAntiAffinity so replicas avoid the same node.</t>
        </is>
      </c>
      <c r="Y12" s="18" t="inlineStr">
        <is>
          <t>taints and tolerations, nodes, disruption budgets, availability zones</t>
        </is>
      </c>
      <c r="Z12" s="18" t="inlineStr">
        <is>
          <t>affinity, anti-affinity, topology, zone, spread</t>
        </is>
      </c>
      <c r="AA12" s="18" t="inlineStr">
        <is>
          <t>High availability | Performance | Cost placement</t>
        </is>
      </c>
      <c r="AB12" s="18" t="inlineStr">
        <is>
          <t>A: All replicas landed on one node. | B: Add anti-affinity or spread constraints.</t>
        </is>
      </c>
      <c r="AC12" s="18" t="inlineStr">
        <is>
          <t>✗ Replicas are always spread automatically → ✓ Without rules, they may share a node or zone</t>
        </is>
      </c>
      <c r="AD12" s="18" t="inlineStr">
        <is>
          <t>Required vs preferred: required blocks scheduling, preferred only tries.</t>
        </is>
      </c>
      <c r="AE12" s="18" t="inlineStr">
        <is>
          <t>Do not use hard anti-affinity with too few nodes.</t>
        </is>
      </c>
      <c r="AF12" s="18" t="inlineStr">
        <is>
          <t>Spread replicas across zones on purpose.</t>
        </is>
      </c>
      <c r="AG12" s="18" t="inlineStr">
        <is>
          <t>Spread constraints kept a service alive during a zone outage.</t>
        </is>
      </c>
      <c r="AH12" s="18" t="inlineStr">
        <is>
          <t>An interviewer may ask: How do you spread pods across zones?</t>
        </is>
      </c>
      <c r="AI12" s="18" t="inlineStr">
        <is>
          <t>It is like choosing seats near or far.</t>
        </is>
      </c>
      <c r="AJ12" s="18" t="inlineStr">
        <is>
          <t>Which feature balances pods across zones?</t>
        </is>
      </c>
      <c r="AK12" s="18" t="inlineStr">
        <is>
          <t>A) ConfigMaps B) Topology spread constraints C) Jobs D) Taints</t>
        </is>
      </c>
      <c r="AL12" s="18" t="inlineStr">
        <is>
          <t>B</t>
        </is>
      </c>
      <c r="AM12" s="18" t="inlineStr">
        <is>
          <t>It spreads by a topology key such as zone.</t>
        </is>
      </c>
      <c r="AN12" s="18" t="inlineStr">
        <is>
          <t>The simplest placement rule by node label is a ____ → nodeSelector</t>
        </is>
      </c>
      <c r="AO12" s="18" t="inlineStr">
        <is>
          <t>A service must survive a zone failure. What do you add? → Topology spread constraints</t>
        </is>
      </c>
      <c r="AP12" s="18" t="inlineStr">
        <is>
          <t>Explain affinity and spreading in three lines.</t>
        </is>
      </c>
      <c r="AQ12" s="18" t="inlineStr">
        <is>
          <t>Write a rule that spreads replicas over zones.</t>
        </is>
      </c>
      <c r="AR12" s="17">
        <f>IF(J12="","",REPT("★",J12)&amp;REPT("☆",5-J12)&amp;" ("&amp;J12&amp;"/5)")</f>
        <v/>
      </c>
      <c r="AS12" s="17">
        <f>IF(Q12="","","Meaning: "&amp;Q12&amp;"  =  ______   (Answer: "&amp;F12&amp;")")</f>
        <v/>
      </c>
      <c r="AT12" s="17" t="inlineStr">
        <is>
          <t>New</t>
        </is>
      </c>
      <c r="AU12" s="17" t="n"/>
      <c r="AV12" s="17" t="n"/>
      <c r="AW12" s="17" t="n"/>
      <c r="AX12" s="17" t="n"/>
      <c r="AY12" s="17" t="n"/>
      <c r="AZ12" s="17" t="n"/>
      <c r="BA12" s="17" t="n"/>
      <c r="BB12" s="17" t="n"/>
    </row>
  </sheetData>
  <autoFilter ref="A2:BB12"/>
  <mergeCells count="6">
    <mergeCell ref="F1:O1"/>
    <mergeCell ref="AT1:BB1"/>
    <mergeCell ref="AR1:AS1"/>
    <mergeCell ref="A1:E1"/>
    <mergeCell ref="AJ1:AQ1"/>
    <mergeCell ref="P1:AI1"/>
  </mergeCells>
  <dataValidations count="2">
    <dataValidation sqref="AT3:AT12" showDropDown="0" showInputMessage="0" showErrorMessage="0" allowBlank="1" type="list">
      <formula1>"New,Learning,Known"</formula1>
    </dataValidation>
    <dataValidation sqref="BA3:BA12" showDropDown="0" showInputMessage="0" showErrorMessage="0" allowBlank="1" type="list">
      <formula1>"OK,Fix"</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9"/>
  <sheetViews>
    <sheetView showGridLines="0" workbookViewId="0">
      <pane ySplit="3" topLeftCell="A4" activePane="bottomLeft" state="frozen"/>
      <selection pane="bottomLeft" activeCell="A1" sqref="A1"/>
    </sheetView>
  </sheetViews>
  <sheetFormatPr baseColWidth="8" defaultRowHeight="15"/>
  <cols>
    <col width="28" customWidth="1" min="1" max="1"/>
    <col width="100" customWidth="1" min="2" max="2"/>
  </cols>
  <sheetData>
    <row r="1">
      <c r="A1" s="20" t="inlineStr">
        <is>
          <t>Topic (56-pt) · card view</t>
        </is>
      </c>
    </row>
    <row r="2">
      <c r="A2" s="21" t="inlineStr">
        <is>
          <t>Card ID chuno ▸</t>
        </is>
      </c>
      <c r="B2" s="22" t="inlineStr">
        <is>
          <t>K8S-001</t>
        </is>
      </c>
    </row>
    <row r="4">
      <c r="A4" s="23" t="inlineStr">
        <is>
          <t>FRONT · Recognition (pehchano)</t>
        </is>
      </c>
    </row>
    <row r="5" ht="30" customHeight="1">
      <c r="A5" s="24" t="inlineStr">
        <is>
          <t>ID</t>
        </is>
      </c>
      <c r="B5" s="17">
        <f>INDEX('Topic (56-pt) cards'!$A$3:$BB$12,MATCH($B$2,'Topic (56-pt) cards'!$A$3:$A$12,0),MATCH("ID",'Topic (56-pt) cards'!$A$2:$BB$2,0))&amp;""</f>
        <v/>
      </c>
    </row>
    <row r="6" ht="30" customHeight="1">
      <c r="A6" s="24" t="inlineStr">
        <is>
          <t>Topic</t>
        </is>
      </c>
      <c r="B6" s="17">
        <f>INDEX('Topic (56-pt) cards'!$A$3:$BB$12,MATCH($B$2,'Topic (56-pt) cards'!$A$3:$A$12,0),MATCH("Topic",'Topic (56-pt) cards'!$A$2:$BB$2,0))&amp;""</f>
        <v/>
      </c>
    </row>
    <row r="7" ht="30" customHeight="1">
      <c r="A7" s="24" t="inlineStr">
        <is>
          <t>Level</t>
        </is>
      </c>
      <c r="B7" s="17">
        <f>INDEX('Topic (56-pt) cards'!$A$3:$BB$12,MATCH($B$2,'Topic (56-pt) cards'!$A$3:$A$12,0),MATCH("Level",'Topic (56-pt) cards'!$A$2:$BB$2,0))&amp;""</f>
        <v/>
      </c>
    </row>
    <row r="8" ht="30" customHeight="1">
      <c r="A8" s="24" t="inlineStr">
        <is>
          <t>Term / topic</t>
        </is>
      </c>
      <c r="B8" s="17">
        <f>INDEX('Topic (56-pt) cards'!$A$3:$BB$12,MATCH($B$2,'Topic (56-pt) cards'!$A$3:$A$12,0),MATCH("Term / topic",'Topic (56-pt) cards'!$A$2:$BB$2,0))&amp;""</f>
        <v/>
      </c>
    </row>
    <row r="9" ht="30" customHeight="1">
      <c r="A9" s="24" t="inlineStr">
        <is>
          <t>Recall cue</t>
        </is>
      </c>
      <c r="B9" s="17">
        <f>INDEX('Topic (56-pt) cards'!$A$3:$BB$12,MATCH($B$2,'Topic (56-pt) cards'!$A$3:$A$12,0),MATCH("Recall cue",'Topic (56-pt) cards'!$A$2:$BB$2,0))&amp;""</f>
        <v/>
      </c>
    </row>
    <row r="10" ht="30" customHeight="1">
      <c r="A10" s="24" t="inlineStr">
        <is>
          <t>Category</t>
        </is>
      </c>
      <c r="B10" s="17">
        <f>INDEX('Topic (56-pt) cards'!$A$3:$BB$12,MATCH($B$2,'Topic (56-pt) cards'!$A$3:$A$12,0),MATCH("Category",'Topic (56-pt) cards'!$A$2:$BB$2,0))&amp;""</f>
        <v/>
      </c>
    </row>
    <row r="11" ht="30" customHeight="1">
      <c r="A11" s="24" t="inlineStr">
        <is>
          <t>How often used</t>
        </is>
      </c>
      <c r="B11" s="17">
        <f>INDEX('Topic (56-pt) cards'!$A$3:$BB$12,MATCH($B$2,'Topic (56-pt) cards'!$A$3:$A$12,0),MATCH("How often used",'Topic (56-pt) cards'!$A$2:$BB$2,0))&amp;""</f>
        <v/>
      </c>
    </row>
    <row r="12" ht="30" customHeight="1">
      <c r="A12" s="24" t="inlineStr">
        <is>
          <t>Importance (1-5)</t>
        </is>
      </c>
      <c r="B12" s="17">
        <f>INDEX('Topic (56-pt) cards'!$A$3:$BB$12,MATCH($B$2,'Topic (56-pt) cards'!$A$3:$A$12,0),MATCH("Importance (1-5)",'Topic (56-pt) cards'!$A$2:$BB$2,0))&amp;""</f>
        <v/>
      </c>
    </row>
    <row r="13" ht="30" customHeight="1">
      <c r="A13" s="24" t="inlineStr">
        <is>
          <t>Origin / why it exists</t>
        </is>
      </c>
      <c r="B13" s="17">
        <f>INDEX('Topic (56-pt) cards'!$A$3:$BB$12,MATCH($B$2,'Topic (56-pt) cards'!$A$3:$A$12,0),MATCH("Origin / why it exists",'Topic (56-pt) cards'!$A$2:$BB$2,0))&amp;""</f>
        <v/>
      </c>
    </row>
    <row r="14" ht="30" customHeight="1">
      <c r="A14" s="24" t="inlineStr">
        <is>
          <t>Pro tip</t>
        </is>
      </c>
      <c r="B14" s="17">
        <f>INDEX('Topic (56-pt) cards'!$A$3:$BB$12,MATCH($B$2,'Topic (56-pt) cards'!$A$3:$A$12,0),MATCH("Pro tip",'Topic (56-pt) cards'!$A$2:$BB$2,0))&amp;""</f>
        <v/>
      </c>
    </row>
    <row r="15" ht="30" customHeight="1">
      <c r="A15" s="24" t="inlineStr">
        <is>
          <t>Memory story</t>
        </is>
      </c>
      <c r="B15" s="17">
        <f>INDEX('Topic (56-pt) cards'!$A$3:$BB$12,MATCH($B$2,'Topic (56-pt) cards'!$A$3:$A$12,0),MATCH("Memory story",'Topic (56-pt) cards'!$A$2:$BB$2,0))&amp;""</f>
        <v/>
      </c>
    </row>
    <row r="16" ht="30" customHeight="1">
      <c r="A16" s="24" t="inlineStr">
        <is>
          <t>Picture it</t>
        </is>
      </c>
      <c r="B16" s="17">
        <f>INDEX('Topic (56-pt) cards'!$A$3:$BB$12,MATCH($B$2,'Topic (56-pt) cards'!$A$3:$A$12,0),MATCH("Picture it",'Topic (56-pt) cards'!$A$2:$BB$2,0))&amp;""</f>
        <v/>
      </c>
    </row>
    <row r="17" ht="30" customHeight="1">
      <c r="A17" s="24" t="inlineStr">
        <is>
          <t>Emotion hook</t>
        </is>
      </c>
      <c r="B17" s="17">
        <f>INDEX('Topic (56-pt) cards'!$A$3:$BB$12,MATCH($B$2,'Topic (56-pt) cards'!$A$3:$A$12,0),MATCH("Emotion hook",'Topic (56-pt) cards'!$A$2:$BB$2,0))&amp;""</f>
        <v/>
      </c>
    </row>
    <row r="18" ht="30" customHeight="1">
      <c r="A18" s="24" t="inlineStr">
        <is>
          <t>Importance ★</t>
        </is>
      </c>
      <c r="B18" s="17">
        <f>INDEX('Topic (56-pt) cards'!$A$3:$BB$12,MATCH($B$2,'Topic (56-pt) cards'!$A$3:$A$12,0),MATCH("Importance ★",'Topic (56-pt) cards'!$A$2:$BB$2,0))&amp;""</f>
        <v/>
      </c>
    </row>
    <row r="19">
      <c r="A19" s="25" t="inlineStr">
        <is>
          <t>BACK · Understanding (samjho)</t>
        </is>
      </c>
    </row>
    <row r="20" ht="30" customHeight="1">
      <c r="A20" s="24" t="inlineStr">
        <is>
          <t>Definition (simple)</t>
        </is>
      </c>
      <c r="B20" s="17">
        <f>INDEX('Topic (56-pt) cards'!$A$3:$BB$12,MATCH($B$2,'Topic (56-pt) cards'!$A$3:$A$12,0),MATCH("Definition (simple)",'Topic (56-pt) cards'!$A$2:$BB$2,0))&amp;""</f>
        <v/>
      </c>
    </row>
    <row r="21" ht="30" customHeight="1">
      <c r="A21" s="24" t="inlineStr">
        <is>
          <t>Meaning in learner's language</t>
        </is>
      </c>
      <c r="B21" s="17">
        <f>INDEX('Topic (56-pt) cards'!$A$3:$BB$12,MATCH($B$2,'Topic (56-pt) cards'!$A$3:$A$12,0),MATCH("Meaning in learner's language",'Topic (56-pt) cards'!$A$2:$BB$2,0))&amp;""</f>
        <v/>
      </c>
    </row>
    <row r="22" ht="54" customHeight="1">
      <c r="A22" s="24" t="inlineStr">
        <is>
          <t>How / why it works</t>
        </is>
      </c>
      <c r="B22" s="17">
        <f>INDEX('Topic (56-pt) cards'!$A$3:$BB$12,MATCH($B$2,'Topic (56-pt) cards'!$A$3:$A$12,0),MATCH("How / why it works",'Topic (56-pt) cards'!$A$2:$BB$2,0))&amp;""</f>
        <v/>
      </c>
    </row>
    <row r="23" ht="30" customHeight="1">
      <c r="A23" s="24" t="inlineStr">
        <is>
          <t>Simple explanation (Hinglish)</t>
        </is>
      </c>
      <c r="B23" s="17">
        <f>INDEX('Topic (56-pt) cards'!$A$3:$BB$12,MATCH($B$2,'Topic (56-pt) cards'!$A$3:$A$12,0),MATCH("Simple explanation (Hinglish)",'Topic (56-pt) cards'!$A$2:$BB$2,0))&amp;""</f>
        <v/>
      </c>
    </row>
    <row r="24" ht="30" customHeight="1">
      <c r="A24" s="24" t="inlineStr">
        <is>
          <t>Real-life analogy</t>
        </is>
      </c>
      <c r="B24" s="17">
        <f>INDEX('Topic (56-pt) cards'!$A$3:$BB$12,MATCH($B$2,'Topic (56-pt) cards'!$A$3:$A$12,0),MATCH("Real-life analogy",'Topic (56-pt) cards'!$A$2:$BB$2,0))&amp;""</f>
        <v/>
      </c>
    </row>
    <row r="25" ht="30" customHeight="1">
      <c r="A25" s="24" t="inlineStr">
        <is>
          <t>Formula / rule</t>
        </is>
      </c>
      <c r="B25" s="17">
        <f>INDEX('Topic (56-pt) cards'!$A$3:$BB$12,MATCH($B$2,'Topic (56-pt) cards'!$A$3:$A$12,0),MATCH("Formula / rule",'Topic (56-pt) cards'!$A$2:$BB$2,0))&amp;""</f>
        <v/>
      </c>
    </row>
    <row r="26" ht="30" customHeight="1">
      <c r="A26" s="24" t="inlineStr">
        <is>
          <t>Example 1</t>
        </is>
      </c>
      <c r="B26" s="17">
        <f>INDEX('Topic (56-pt) cards'!$A$3:$BB$12,MATCH($B$2,'Topic (56-pt) cards'!$A$3:$A$12,0),MATCH("Example 1",'Topic (56-pt) cards'!$A$2:$BB$2,0))&amp;""</f>
        <v/>
      </c>
    </row>
    <row r="27" ht="30" customHeight="1">
      <c r="A27" s="24" t="inlineStr">
        <is>
          <t>Example 2</t>
        </is>
      </c>
      <c r="B27" s="17">
        <f>INDEX('Topic (56-pt) cards'!$A$3:$BB$12,MATCH($B$2,'Topic (56-pt) cards'!$A$3:$A$12,0),MATCH("Example 2",'Topic (56-pt) cards'!$A$2:$BB$2,0))&amp;""</f>
        <v/>
      </c>
    </row>
    <row r="28" ht="30" customHeight="1">
      <c r="A28" s="24" t="inlineStr">
        <is>
          <t>Example 3</t>
        </is>
      </c>
      <c r="B28" s="17">
        <f>INDEX('Topic (56-pt) cards'!$A$3:$BB$12,MATCH($B$2,'Topic (56-pt) cards'!$A$3:$A$12,0),MATCH("Example 3",'Topic (56-pt) cards'!$A$2:$BB$2,0))&amp;""</f>
        <v/>
      </c>
    </row>
    <row r="29" ht="30" customHeight="1">
      <c r="A29" s="24" t="inlineStr">
        <is>
          <t>Related concepts</t>
        </is>
      </c>
      <c r="B29" s="17">
        <f>INDEX('Topic (56-pt) cards'!$A$3:$BB$12,MATCH($B$2,'Topic (56-pt) cards'!$A$3:$A$12,0),MATCH("Related concepts",'Topic (56-pt) cards'!$A$2:$BB$2,0))&amp;""</f>
        <v/>
      </c>
    </row>
    <row r="30" ht="30" customHeight="1">
      <c r="A30" s="24" t="inlineStr">
        <is>
          <t>Family / group</t>
        </is>
      </c>
      <c r="B30" s="17">
        <f>INDEX('Topic (56-pt) cards'!$A$3:$BB$12,MATCH($B$2,'Topic (56-pt) cards'!$A$3:$A$12,0),MATCH("Family / group",'Topic (56-pt) cards'!$A$2:$BB$2,0))&amp;""</f>
        <v/>
      </c>
    </row>
    <row r="31" ht="30" customHeight="1">
      <c r="A31" s="24" t="inlineStr">
        <is>
          <t>Where it is used</t>
        </is>
      </c>
      <c r="B31" s="17">
        <f>INDEX('Topic (56-pt) cards'!$A$3:$BB$12,MATCH($B$2,'Topic (56-pt) cards'!$A$3:$A$12,0),MATCH("Where it is used",'Topic (56-pt) cards'!$A$2:$BB$2,0))&amp;""</f>
        <v/>
      </c>
    </row>
    <row r="32" ht="30" customHeight="1">
      <c r="A32" s="24" t="inlineStr">
        <is>
          <t>Mini conversation</t>
        </is>
      </c>
      <c r="B32" s="17">
        <f>INDEX('Topic (56-pt) cards'!$A$3:$BB$12,MATCH($B$2,'Topic (56-pt) cards'!$A$3:$A$12,0),MATCH("Mini conversation",'Topic (56-pt) cards'!$A$2:$BB$2,0))&amp;""</f>
        <v/>
      </c>
    </row>
    <row r="33" ht="30" customHeight="1">
      <c r="A33" s="24" t="inlineStr">
        <is>
          <t>Common mistake</t>
        </is>
      </c>
      <c r="B33" s="17">
        <f>INDEX('Topic (56-pt) cards'!$A$3:$BB$12,MATCH($B$2,'Topic (56-pt) cards'!$A$3:$A$12,0),MATCH("Common mistake",'Topic (56-pt) cards'!$A$2:$BB$2,0))&amp;""</f>
        <v/>
      </c>
    </row>
    <row r="34" ht="30" customHeight="1">
      <c r="A34" s="24" t="inlineStr">
        <is>
          <t>Don't confuse with</t>
        </is>
      </c>
      <c r="B34" s="17">
        <f>INDEX('Topic (56-pt) cards'!$A$3:$BB$12,MATCH($B$2,'Topic (56-pt) cards'!$A$3:$A$12,0),MATCH("Don't confuse with",'Topic (56-pt) cards'!$A$2:$BB$2,0))&amp;""</f>
        <v/>
      </c>
    </row>
    <row r="35" ht="30" customHeight="1">
      <c r="A35" s="24" t="inlineStr">
        <is>
          <t>Avoid / don't</t>
        </is>
      </c>
      <c r="B35" s="17">
        <f>INDEX('Topic (56-pt) cards'!$A$3:$BB$12,MATCH($B$2,'Topic (56-pt) cards'!$A$3:$A$12,0),MATCH("Avoid / don't",'Topic (56-pt) cards'!$A$2:$BB$2,0))&amp;""</f>
        <v/>
      </c>
    </row>
    <row r="36" ht="30" customHeight="1">
      <c r="A36" s="24" t="inlineStr">
        <is>
          <t>Memory trick</t>
        </is>
      </c>
      <c r="B36" s="17">
        <f>INDEX('Topic (56-pt) cards'!$A$3:$BB$12,MATCH($B$2,'Topic (56-pt) cards'!$A$3:$A$12,0),MATCH("Memory trick",'Topic (56-pt) cards'!$A$2:$BB$2,0))&amp;""</f>
        <v/>
      </c>
    </row>
    <row r="37" ht="30" customHeight="1">
      <c r="A37" s="24" t="inlineStr">
        <is>
          <t>Real life: project / work</t>
        </is>
      </c>
      <c r="B37" s="17">
        <f>INDEX('Topic (56-pt) cards'!$A$3:$BB$12,MATCH($B$2,'Topic (56-pt) cards'!$A$3:$A$12,0),MATCH("Real life: project / work",'Topic (56-pt) cards'!$A$2:$BB$2,0))&amp;""</f>
        <v/>
      </c>
    </row>
    <row r="38" ht="30" customHeight="1">
      <c r="A38" s="24" t="inlineStr">
        <is>
          <t>Real life: interview / exam</t>
        </is>
      </c>
      <c r="B38" s="17">
        <f>INDEX('Topic (56-pt) cards'!$A$3:$BB$12,MATCH($B$2,'Topic (56-pt) cards'!$A$3:$A$12,0),MATCH("Real life: interview / exam",'Topic (56-pt) cards'!$A$2:$BB$2,0))&amp;""</f>
        <v/>
      </c>
    </row>
    <row r="39" ht="30" customHeight="1">
      <c r="A39" s="24" t="inlineStr">
        <is>
          <t>Real life: daily life</t>
        </is>
      </c>
      <c r="B39" s="17">
        <f>INDEX('Topic (56-pt) cards'!$A$3:$BB$12,MATCH($B$2,'Topic (56-pt) cards'!$A$3:$A$12,0),MATCH("Real life: daily life",'Topic (56-pt) cards'!$A$2:$BB$2,0))&amp;""</f>
        <v/>
      </c>
    </row>
    <row r="40">
      <c r="A40" s="27" t="inlineStr">
        <is>
          <t>PRACTICE · Khud karo</t>
        </is>
      </c>
    </row>
    <row r="41" ht="30" customHeight="1">
      <c r="A41" s="24" t="inlineStr">
        <is>
          <t>MCQ question</t>
        </is>
      </c>
      <c r="B41" s="17">
        <f>INDEX('Topic (56-pt) cards'!$A$3:$BB$12,MATCH($B$2,'Topic (56-pt) cards'!$A$3:$A$12,0),MATCH("MCQ question",'Topic (56-pt) cards'!$A$2:$BB$2,0))&amp;""</f>
        <v/>
      </c>
    </row>
    <row r="42" ht="30" customHeight="1">
      <c r="A42" s="24" t="inlineStr">
        <is>
          <t>MCQ options</t>
        </is>
      </c>
      <c r="B42" s="17">
        <f>INDEX('Topic (56-pt) cards'!$A$3:$BB$12,MATCH($B$2,'Topic (56-pt) cards'!$A$3:$A$12,0),MATCH("MCQ options",'Topic (56-pt) cards'!$A$2:$BB$2,0))&amp;""</f>
        <v/>
      </c>
    </row>
    <row r="43" ht="30" customHeight="1">
      <c r="A43" s="24" t="inlineStr">
        <is>
          <t>MCQ answer</t>
        </is>
      </c>
      <c r="B43" s="17">
        <f>INDEX('Topic (56-pt) cards'!$A$3:$BB$12,MATCH($B$2,'Topic (56-pt) cards'!$A$3:$A$12,0),MATCH("MCQ answer",'Topic (56-pt) cards'!$A$2:$BB$2,0))&amp;""</f>
        <v/>
      </c>
    </row>
    <row r="44" ht="30" customHeight="1">
      <c r="A44" s="24" t="inlineStr">
        <is>
          <t>Why that answer</t>
        </is>
      </c>
      <c r="B44" s="17">
        <f>INDEX('Topic (56-pt) cards'!$A$3:$BB$12,MATCH($B$2,'Topic (56-pt) cards'!$A$3:$A$12,0),MATCH("Why that answer",'Topic (56-pt) cards'!$A$2:$BB$2,0))&amp;""</f>
        <v/>
      </c>
    </row>
    <row r="45" ht="30" customHeight="1">
      <c r="A45" s="24" t="inlineStr">
        <is>
          <t>Fill the blank</t>
        </is>
      </c>
      <c r="B45" s="17">
        <f>INDEX('Topic (56-pt) cards'!$A$3:$BB$12,MATCH($B$2,'Topic (56-pt) cards'!$A$3:$A$12,0),MATCH("Fill the blank",'Topic (56-pt) cards'!$A$2:$BB$2,0))&amp;""</f>
        <v/>
      </c>
    </row>
    <row r="46" ht="30" customHeight="1">
      <c r="A46" s="24" t="inlineStr">
        <is>
          <t>Apply it</t>
        </is>
      </c>
      <c r="B46" s="17">
        <f>INDEX('Topic (56-pt) cards'!$A$3:$BB$12,MATCH($B$2,'Topic (56-pt) cards'!$A$3:$A$12,0),MATCH("Apply it",'Topic (56-pt) cards'!$A$2:$BB$2,0))&amp;""</f>
        <v/>
      </c>
    </row>
    <row r="47" ht="30" customHeight="1">
      <c r="A47" s="24" t="inlineStr">
        <is>
          <t>Explain it yourself</t>
        </is>
      </c>
      <c r="B47" s="17">
        <f>INDEX('Topic (56-pt) cards'!$A$3:$BB$12,MATCH($B$2,'Topic (56-pt) cards'!$A$3:$A$12,0),MATCH("Explain it yourself",'Topic (56-pt) cards'!$A$2:$BB$2,0))&amp;""</f>
        <v/>
      </c>
    </row>
    <row r="48" ht="30" customHeight="1">
      <c r="A48" s="24" t="inlineStr">
        <is>
          <t>Write your own</t>
        </is>
      </c>
      <c r="B48" s="17">
        <f>INDEX('Topic (56-pt) cards'!$A$3:$BB$12,MATCH($B$2,'Topic (56-pt) cards'!$A$3:$A$12,0),MATCH("Write your own",'Topic (56-pt) cards'!$A$2:$BB$2,0))&amp;""</f>
        <v/>
      </c>
    </row>
    <row r="49" ht="30" customHeight="1">
      <c r="A49" s="24" t="inlineStr">
        <is>
          <t>Quick recall (reverse)</t>
        </is>
      </c>
      <c r="B49" s="17">
        <f>INDEX('Topic (56-pt) cards'!$A$3:$BB$12,MATCH($B$2,'Topic (56-pt) cards'!$A$3:$A$12,0),MATCH("Quick recall (reverse)",'Topic (56-pt) cards'!$A$2:$BB$2,0))&amp;""</f>
        <v/>
      </c>
    </row>
  </sheetData>
  <mergeCells count="3">
    <mergeCell ref="A4:B4"/>
    <mergeCell ref="A19:B19"/>
    <mergeCell ref="A40:B40"/>
  </mergeCells>
  <dataValidations count="1">
    <dataValidation sqref="B2" showDropDown="0" showInputMessage="0" showErrorMessage="0" allowBlank="0" type="list">
      <formula1>='Topic (56-pt) cards'!$A$3:$A$12</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55" customWidth="1" min="1" max="1"/>
    <col width="90" customWidth="1" min="2" max="2"/>
    <col width="30" customWidth="1" min="3" max="3"/>
  </cols>
  <sheetData>
    <row r="1">
      <c r="A1" s="28" t="inlineStr">
        <is>
          <t>Front</t>
        </is>
      </c>
      <c r="B1" s="28" t="inlineStr">
        <is>
          <t>Back</t>
        </is>
      </c>
      <c r="C1" s="28" t="inlineStr">
        <is>
          <t>Tags</t>
        </is>
      </c>
    </row>
    <row r="2" ht="409" customHeight="1">
      <c r="A2" s="29" t="inlineStr">
        <is>
          <t>Why Kubernetes
Which platform runs and manages many containers across many machines for you?</t>
        </is>
      </c>
      <c r="B2" s="29" t="inlineStr">
        <is>
          <t>DEFINITION (SIMPLE):
Kubernetes is an open-source container orchestration platform that schedules containers onto machines, keeps the desired number running, handles networking and storage, and updates apps gradually.
HOW / WHY IT WORKS:
You declare what you want, such as three copies of a web app, and controllers constantly compare reality with that wish and fix differences. If a machine dies, the containers are started elsewhere. It adds service discovery, rolling updates and autoscaling. It also adds complexity, so small projects may not need it.
SIMPLE EXPLANATION (HINGLISH):
You say what should run, and Kubernetes keeps it running and healthy across machines.
REAL-LIFE ANALOGY:
Kubernetes is the harbour master who places every container ship and replaces any that sinks.
FORMULA / RULE:
Desired state declared, controllers keep reality equal to it.
EXAMPLE 1:
Asking for three copies of an API and getting them restarted when one crashes.
EXAMPLE 2:
A rolling update replacing old pods with new ones.
EXAMPLE 3:
Scaling out when traffic rises.
RELATED CONCEPTS:
control plane, pods, Deployments, managed offerings
FAMILY / GROUP:
orchestration, cluster, desired state, controller, scheduler
WHERE IT IS USED:
Production platforms | Microservices | Customer clusters
MINI CONVERSATION:
A: A server died overnight, was the app down? | B: No, Kubernetes restarted its pods on other nodes.
COMMON MISTAKE:
✗ Every project should use Kubernetes → ✓ It suits many services at scale, and simpler options fit small apps
DON'T CONFUSE WITH:
Docker vs Kubernetes: Docker runs containers on one machine, Kubernetes manages them across many.
AVOID / DON'T:
Do not adopt Kubernetes for one small app without a reason.
MEMORY TRICK:
Declare the state, controllers make it true.
REAL LIFE: PROJECT / WORK:
Moving services to Kubernetes gave a customer automatic restarts and rolling updates.
REAL LIFE: INTERVIEW / EXAM:
An interviewer may ask: What problem does Kubernetes solve?
REAL LIFE: DAILY LIFE:
It is like a harbour master for container ships.</t>
        </is>
      </c>
      <c r="C2" s="29" t="inlineStr">
        <is>
          <t>01_Architecture_Beginner_K8S-001</t>
        </is>
      </c>
    </row>
    <row r="3" ht="409" customHeight="1">
      <c r="A3" s="29" t="inlineStr">
        <is>
          <t>The control plane
Which components make the decisions and keep the cluster state?</t>
        </is>
      </c>
      <c r="B3" s="29" t="inlineStr">
        <is>
          <t>DEFINITION (SIMPLE):
The control plane consists of the API server, etcd, the scheduler and the controller manager, which store state, accept requests, place pods on nodes and run controllers.
HOW / WHY IT WORKS:
The API server is the front door for all requests. etcd is the consistent store of cluster data. The scheduler picks a node for each new pod based on resources and rules. The controller manager runs loops, such as the one that keeps the right number of replicas. Managed services run the control plane for you.
SIMPLE EXPLANATION (HINGLISH):
The API server takes requests, etcd stores state, the scheduler chooses nodes and controllers fix differences.
REAL-LIFE ANALOGY:
The control plane is the head office, and nodes are branch offices doing the work.
FORMULA / RULE:
API server + etcd + scheduler + controllers = the brain.
EXAMPLE 1:
A new pod accepted by the API server and placed by the scheduler.
EXAMPLE 2:
etcd holding every object definition.
EXAMPLE 3:
A controller creating pods to match the replica count.
RELATED CONCEPTS:
nodes, kubectl, managed offerings, Deployments
FAMILY / GROUP:
API server, etcd, scheduler, controller manager, reconciliation
WHERE IT IS USED:
Architecture talks | Troubleshooting | Cloud services
MINI CONVERSATION:
A: The API server is down, did our app stop? | B: No, running pods continue, but we cannot change anything.
COMMON MISTAKE:
✗ The control plane runs your application containers → ✓ Your workloads run on worker nodes
DON'T CONFUSE WITH:
Control plane vs node: the control plane decides, nodes run containers.
AVOID / DON'T:
Do not lose etcd without backups.
MEMORY TRICK:
API takes, etcd keeps, scheduler places, controllers fix.
REAL LIFE: PROJECT / WORK:
Understanding the control plane helped explain why deployments paused during an API outage.
REAL LIFE: INTERVIEW / EXAM:
An interviewer may ask: What does the scheduler do?
REAL LIFE: DAILY LIFE:
It is like a head office directing branches.</t>
        </is>
      </c>
      <c r="C3" s="29" t="inlineStr">
        <is>
          <t>01_Architecture_Intermediate_K8S-002</t>
        </is>
      </c>
    </row>
    <row r="4" ht="409" customHeight="1">
      <c r="A4" s="29" t="inlineStr">
        <is>
          <t>Nodes
Which machines run your containers, and which agents run on them?</t>
        </is>
      </c>
      <c r="B4" s="29" t="inlineStr">
        <is>
          <t>DEFINITION (SIMPLE):
A node is a worker machine, physical or virtual, that runs pods and has the kubelet agent, a container runtime and kube-proxy for networking.
HOW / WHY IT WORKS:
The kubelet talks to the API server, starts the containers for assigned pods and reports their health. The container runtime, such as containerd, runs the containers. Nodes have capacity in CPU and memory, which the scheduler uses. A node can be cordoned to stop new pods, or drained to move pods away before maintenance.
SIMPLE EXPLANATION (HINGLISH):
Nodes run the pods, and the kubelet is the agent that makes it happen.
REAL-LIFE ANALOGY:
Nodes are the workers' desks where assigned jobs are done.
FORMULA / RULE:
Node = kubelet + container runtime + kube-proxy + capacity.
EXAMPLE 1:
A virtual machine in a node group.
EXAMPLE 2:
kubectl drain before maintenance.
EXAMPLE 3:
A node marked NotReady after a network fault.
RELATED CONCEPTS:
control plane, pods, taints and tolerations, requests and limits
FAMILY / GROUP:
node, kubelet, runtime, cordon, drain
WHERE IT IS USED:
Cluster operations | Capacity planning | Maintenance
MINI CONVERSATION:
A: How do we patch a node without downtime? | B: Drain it so pods move elsewhere first.
COMMON MISTAKE:
✗ A node is the same as a pod → ✓ A node is a machine, and pods are the units that run on it
DON'T CONFUSE WITH:
Node vs pod: a node is the machine, a pod is a group of containers on it.
AVOID / DON'T:
Do not keep irreplaceable data on a node's local disk.
MEMORY TRICK:
Cordon blocks new pods, drain moves old ones.
REAL LIFE: PROJECT / WORK:
Draining nodes one by one allowed patching without any visible outage.
REAL LIFE: INTERVIEW / EXAM:
An interviewer may ask: What does kubectl drain do?
REAL LIFE: DAILY LIFE:
It is like workers' desks where jobs are done.</t>
        </is>
      </c>
      <c r="C4" s="29" t="inlineStr">
        <is>
          <t>01_Architecture_Intermediate_K8S-003</t>
        </is>
      </c>
    </row>
    <row r="5" ht="409" customHeight="1">
      <c r="A5" s="29" t="inlineStr">
        <is>
          <t>kubectl
Which command line tool talks to a Kubernetes cluster?
kubectl get pods -n shop
kubectl get deploy,svc -o wide
kubectl apply -f deployment.yaml
kubectl describe pod web-7d9f -n shop
kubectl delete -f deployment.yaml</t>
        </is>
      </c>
      <c r="B5" s="29" t="inlineStr">
        <is>
          <t>MEANING (SHORT):
kubectl sends requests to the Kubernetes API server to create, read, update and delete resources, using a kubeconfig file for the cluster address and credentials.
CODE:
kubectl get pods -n shop
kubectl get deploy,svc -o wide
kubectl apply -f deployment.yaml
kubectl describe pod web-7d9f -n shop
kubectl delete -f deployment.yaml
OUTPUT:
The commands list pods, show deployments and services with extra columns, create or update resources from a file, show details, and delete the resources again.
EXPLANATION:
get lists, describe shows details and events, apply sends a declarative definition, and delete removes. The -n flag picks a namespace, and -A means all namespaces. Output formats such as yaml and json help scripting. Shorthand names such as po, svc and deploy save typing. Always check the current context before changing anything.
SIMPLE EXPLANATION (HINGLISH):
Use get, describe, apply and delete, and always check the namespace and context.
REAL-LIFE ANALOGY:
kubectl is the remote control for the cluster.
SYNTAX PATTERN:
kubectl &lt;verb&gt; &lt;resource&gt; [name] [-n namespace] [-o format]
ANATOMY:
get = list | describe = detail | apply = declare | delete = remove | -n = namespace
EXAMPLE 1:
kubectl get pods -A
EXAMPLE 2:
kubectl get pod web-1 -o yaml
EXAMPLE 3:
kubectl api-resources
VARIATION:
kubectl explain deployment.spec.strategy   // built-in field documentation
USED WITH:
contexts, namespaces, YAML files
RELATED CONCEPTS:
clusters and contexts, namespaces, debugging with describe and logs, Deployments
ALTERNATIVES:
Dashboards | k9s | Lens
WHERE IT IS USED:
Daily operations | Debugging | Automation
MINI CONVERSATION:
A: I applied the file but cannot see the pod. | B: Add the namespace with -n, or look in all namespaces with -A.
COMMON MISTAKE:
✗ kubectl apply and create are the same → ✓ apply is declarative and can update, create fails if the object already exists
COMMONLY CONFUSED WITH:
apply vs create: apply updates to match the file, create only makes a new object.
AVOID / DON'T:
Do not run changes without checking the current context.
WRONG CODE:
kubectl get pods   # empty because the app is in another namespace
RIGHT CODE:
kubectl get pods -n shop
MEMORY TRICK:
Check namespace and context before every command.
REAL LIFE: PROJECT / WORK:
Always printing the context in the shell prompt avoided changes on the wrong cluster.
REAL LIFE: INTERVIEW / EXAM:
An interviewer may ask: What is the difference between apply and create?
REAL LIFE: DAILY LIFE:
It is like a remote control for the cluster.</t>
        </is>
      </c>
      <c r="C5" s="29" t="inlineStr">
        <is>
          <t>01_Architecture_Beginner_K8S-004</t>
        </is>
      </c>
    </row>
    <row r="6" ht="409" customHeight="1">
      <c r="A6" s="29" t="inlineStr">
        <is>
          <t>Clusters and contexts
How do you switch between several clusters and users safely?
kubectl config get-contexts
kubectl config current-context
kubectl config use-context staging
kubectl config set-context --current --namespace=shop
kubectl --context prod-readonly get pods -n shop</t>
        </is>
      </c>
      <c r="B6" s="29" t="inlineStr">
        <is>
          <t>MEANING (SHORT):
A kubeconfig file lists clusters, users and contexts, a context pairs a cluster with a user and optional namespace, and the current context decides where kubectl acts.
CODE:
kubectl config get-contexts
kubectl config current-context
kubectl config use-context staging
kubectl config set-context --current --namespace=shop
kubectl --context prod-readonly get pods -n shop
OUTPUT:
The commands list contexts, show the active one, switch to staging, set a default namespace, and run one command against another context.
EXPLANATION:
The default file is in the .kube folder in the home directory, and the KUBECONFIG variable can point to several files. Cloud tools can write entries for managed clusters. The --context flag runs a single command against another cluster without switching. A mistaken context is a common cause of changes on production. Tools can colour the prompt per context.
SIMPLE EXPLANATION (HINGLISH):
A context says which cluster, which user and which namespace, so check it before every change.
REAL-LIFE ANALOGY:
A context is a saved key and address telling kubectl where and as whom to act.
SYNTAX PATTERN:
kubectl config use-context NAME | kubectl --context NAME ...
ANATOMY:
cluster = server address | user = credentials | context = cluster + user + namespace
EXAMPLE 1:
kubectl config view --minify
EXAMPLE 2:
export KUBECONFIG=~/.kube/a:~/.kube/b
EXAMPLE 3:
aws eks update-kubeconfig --name my-cluster
VARIATION:
kubectx and kubens   // faster switching tools
USED WITH:
managed offerings, namespaces, RBAC
RELATED CONCEPTS:
kubectl, namespaces, managed offerings, RBAC
ALTERNATIVES:
kubectx | per-cluster kubeconfig files
WHERE IT IS USED:
Daily work | Multi-cluster teams | Production safety
MINI CONVERSATION:
A: I deleted pods on the wrong cluster. | B: Always check current-context before running changes.
COMMON MISTAKE:
✗ kubectl always talks to the cluster from the last command → ✓ It uses the current context stored in the kubeconfig file
COMMONLY CONFUSED WITH:
Cluster vs context: a cluster is a server, a context is a cluster plus user plus namespace.
AVOID / DON'T:
Do not run deletes before confirming the context.
WRONG CODE:
kubectl delete pods --all   # wrong cluster by mistake
RIGHT CODE:
kubectl config current-context &amp;&amp; kubectl delete pods --all -n shop
MEMORY TRICK:
Look at the context before you leap.
REAL LIFE: PROJECT / WORK:
A prompt showing the context prevented a destructive command on production.
REAL LIFE: INTERVIEW / EXAM:
An interviewer may ask: What is a kubeconfig context?
REAL LIFE: DAILY LIFE:
It is like a saved key plus an address.</t>
        </is>
      </c>
      <c r="C6" s="29" t="inlineStr">
        <is>
          <t>01_Architecture_Intermediate_K8S-005</t>
        </is>
      </c>
    </row>
    <row r="7" ht="409" customHeight="1">
      <c r="A7" s="29" t="inlineStr">
        <is>
          <t>Managed Kubernetes offerings
Which cloud services run the Kubernetes control plane for you?</t>
        </is>
      </c>
      <c r="B7" s="29" t="inlineStr">
        <is>
          <t>DEFINITION (SIMPLE):
Managed Kubernetes services such as Amazon EKS, Azure AKS and Google GKE run and upgrade the control plane, and offer node groups, autoscaling and cloud integrations.
HOW / WHY IT WORKS:
The provider handles control plane availability, patches and etcd backups. You choose versions, node sizes and add-ons, and still manage workloads, security rules and upgrades of nodes. Some offer fully serverless nodes, such as GKE Autopilot or EKS Fargate. Local tools such as kind and minikube run small clusters for learning.
SIMPLE EXPLANATION (HINGLISH):
Pick EKS, AKS or GKE so the provider runs the control plane, and you run the apps.
REAL-LIFE ANALOGY:
A managed cluster is a rented kitchen where the owner maintains the ovens and you do the cooking.
FORMULA / RULE:
Managed = provider runs the control plane, you run workloads.
EXAMPLE 1:
An EKS cluster with managed node groups.
EXAMPLE 2:
GKE Autopilot managing nodes automatically.
EXAMPLE 3:
kind running a cluster in Docker for tests.
RELATED CONCEPTS:
control plane, nodes, clusters and contexts, cloud basics
FAMILY / GROUP:
EKS, AKS, GKE, kind, minikube
WHERE IT IS USED:
Production | Learning | Customer projects
MINI CONVERSATION:
A: Do we manage etcd ourselves? | B: No, the managed service handles the control plane.
COMMON MISTAKE:
✗ A managed cluster needs no operations from you → ✓ You still manage workloads, security, node upgrades and cost
DON'T CONFUSE WITH:
Managed vs self-managed: managed hides the control plane, self-managed gives you all of it.
AVOID / DON'T:
Do not forget that node upgrades are still your job on most services.
MEMORY TRICK:
They run the head office, you run the apps.
REAL LIFE: PROJECT / WORK:
Choosing a managed service let a small team run production without a dedicated platform engineer.
REAL LIFE: INTERVIEW / EXAM:
An interviewer may ask: What do you still manage on EKS?
REAL LIFE: DAILY LIFE:
It is like a rented kitchen with maintained ovens.</t>
        </is>
      </c>
      <c r="C7" s="29" t="inlineStr">
        <is>
          <t>01_Architecture_Beginner_K8S-006</t>
        </is>
      </c>
    </row>
    <row r="8" ht="409" customHeight="1">
      <c r="A8" s="29" t="inlineStr">
        <is>
          <t>Pods
Which smallest unit does Kubernetes run, holding one or more containers?
apiVersion: v1
kind: Pod
metadata:
  name: web
  labels:
    app: web
spec:
  containers:
    - name: app
      image: nginx:1.27
      ports:
        - containerPort: 80</t>
        </is>
      </c>
      <c r="B8" s="29" t="inlineStr">
        <is>
          <t>MEANING (SHORT):
A pod is the smallest deployable unit, with one or more containers that share an IP address, ports and volumes, and are scheduled together on one node.
CODE:
apiVersion: v1
kind: Pod
metadata:
  name: web
  labels:
    app: web
spec:
  containers:
    - name: app
      image: nginx:1.27
      ports:
        - containerPort: 80
OUTPUT:
A pod named web runs one nginx container on port 80 with the label app web.
EXPLANATION:
Containers in one pod reach each other on localhost and share volumes. Pods are temporary, and when one dies it is not repaired, but replaced by a controller with a new name and IP. Creating bare pods is rare, as controllers such as Deployments manage them. Sidecars are helper containers in the same pod, such as log shippers.
SIMPLE EXPLANATION (HINGLISH):
A pod wraps one or more containers that share an address, and it is disposable.
REAL-LIFE ANALOGY:
A pod is a flat shared by a few roommates with one address and kitchen.
SYNTAX PATTERN:
apiVersion: v1 / kind: Pod / spec: containers: [...]
ANATOMY:
metadata = name and labels | spec.containers = what runs | image = container image
EXAMPLE 1:
kubectl run web --image=nginx:1.27
EXAMPLE 2:
kubectl get pod web -o wide
EXAMPLE 3:
kubectl delete pod web
VARIATION:
initContainers: [...]   // run setup containers before the main one
USED WITH:
Deployments, Services, volumes
RELATED CONCEPTS:
ReplicaSets, Deployments, labels and selectors, probes
ALTERNATIVES:
Deployments | Jobs
WHERE IT IS USED:
Every workload | Debugging | Sidecars
MINI CONVERSATION:
A: I deleted the pod and the app lost its data. | B: Pods are disposable, so use a volume for data.
COMMON MISTAKE:
✗ A pod is a container → ✓ A pod can hold several containers that share networking and storage
COMMONLY CONFUSED WITH:
Pod vs container: a pod is the wrapper, containers run inside it.
AVOID / DON'T:
Do not rely on a pod's IP, since it changes.
WRONG CODE:
kind: Pod   # created alone for production
RIGHT CODE:
kind: Deployment   # manages pods for you
MEMORY TRICK:
Pods are pets that get replaced, not repaired.
REAL LIFE: PROJECT / WORK:
Adding a log shipping sidecar to a pod collected logs without changing the app.
REAL LIFE: INTERVIEW / EXAM:
An interviewer may ask: What is the difference between a pod and a container?
REAL LIFE: DAILY LIFE:
It is like roommates sharing a flat.</t>
        </is>
      </c>
      <c r="C8" s="29" t="inlineStr">
        <is>
          <t>02_Workloads_Beginner_K8S-007</t>
        </is>
      </c>
    </row>
    <row r="9" ht="409" customHeight="1">
      <c r="A9" s="29" t="inlineStr">
        <is>
          <t>ReplicaSets
Which controller keeps a set number of identical pods running?</t>
        </is>
      </c>
      <c r="B9" s="29" t="inlineStr">
        <is>
          <t>DEFINITION (SIMPLE):
A ReplicaSet ensures that a specified number of pod replicas matching its selector are running at any time, creating new ones when pods disappear.
HOW / WHY IT WORKS:
The ReplicaSet uses a label selector to find its pods and compares their number with the desired replicas. If a pod is deleted, a new one is created. Deployments create a new ReplicaSet for each version, which enables rolling updates and rollbacks. Pods owned by a ReplicaSet are recreated even if you delete them by hand.
SIMPLE EXPLANATION (HINGLISH):
A ReplicaSet keeps N pods running, and Deployments use ReplicaSets under the hood.
REAL-LIFE ANALOGY:
A ReplicaSet is a supervisor who counts workers and calls a replacement whenever the count drops.
FORMULA / RULE:
Replicas wanted = pods matching the selector.
EXAMPLE 1:
Three replicas of a web pod kept alive.
EXAMPLE 2:
A deleted pod recreated automatically.
EXAMPLE 3:
Two ReplicaSets during a rolling update.
RELATED CONCEPTS:
pods, Deployments, labels and selectors, rolling updates
FAMILY / GROUP:
replica, selector, controller, scale, ownership
WHERE IT IS USED:
Under every Deployment | Debugging | Scaling
MINI CONVERSATION:
A: I deleted the pod and it came back. | B: Its ReplicaSet recreated it to keep the count.
COMMON MISTAKE:
✗ Deleting a pod removes the workload → ✓ The controller recreates it, so delete or scale the controller
DON'T CONFUSE WITH:
ReplicaSet vs Deployment: the ReplicaSet keeps a count, the Deployment manages versions through ReplicaSets.
AVOID / DON'T:
Do not manage ReplicaSets by hand when a Deployment owns them.
MEMORY TRICK:
Delete the owner, not the pod.
REAL LIFE: PROJECT / WORK:
Understanding ReplicaSets explained why deleted pods kept returning after a cleanup.
REAL LIFE: INTERVIEW / EXAM:
An interviewer may ask: What does a ReplicaSet do?
REAL LIFE: DAILY LIFE:
It is like a supervisor counting workers.</t>
        </is>
      </c>
      <c r="C9" s="29" t="inlineStr">
        <is>
          <t>02_Workloads_Intermediate_K8S-008</t>
        </is>
      </c>
    </row>
    <row r="10" ht="409" customHeight="1">
      <c r="A10" s="29" t="inlineStr">
        <is>
          <t>Deployments
Which resource manages stateless apps with replicas, updates and rollbacks?
apiVersion: apps/v1
kind: Deployment
metadata:
  name: web
spec:
  replicas: 3
  selector:
    matchLabels:
      app: web
  template:
    metadata:
      labels:
        app: web
    spec:
      containers:
        - name: app
          image: acme/web:1.4.2
          ports:
            - containerPort: 8080</t>
        </is>
      </c>
      <c r="B10" s="29" t="inlineStr">
        <is>
          <t>MEANING (SHORT):
A Deployment declares a pod template and a replica count, and creates and updates ReplicaSets so the cluster moves smoothly from one version to the next.
CODE:
apiVersion: apps/v1
kind: Deployment
metadata:
  name: web
spec:
  replicas: 3
  selector:
    matchLabels:
      app: web
  template:
    metadata:
      labels:
        app: web
    spec:
      containers:
        - name: app
          image: acme/web:1.4.2
          ports:
            - containerPort: 8080
OUTPUT:
Three pods of the web app run, and changing the image tag triggers a rolling update.
EXPLANATION:
The selector must match the template labels. Changing the template, such as the image, creates a new ReplicaSet and shifts pods gradually. The rollout status and history can be checked, and a rollback returns to the previous ReplicaSet. Deployments suit stateless services. Scale with the replicas field or with kubectl scale.
SIMPLE EXPLANATION (HINGLISH):
Describe the pod template and replicas, and change the image to roll out a new version.
REAL-LIFE ANALOGY:
A Deployment is a project manager who keeps the right team size and swaps people in gradually.
SYNTAX PATTERN:
apiVersion: apps/v1 / kind: Deployment / spec: replicas, selector, template
ANATOMY:
replicas = copies | selector = which pods | template = pod blueprint
EXAMPLE 1:
kubectl scale deployment web --replicas=5
EXAMPLE 2:
kubectl set image deployment/web app=acme/web:1.4.3
EXAMPLE 3:
kubectl rollout status deployment/web
VARIATION:
kubectl create deployment web --image=nginx --dry-run=client -o yaml   // generate a starter file
USED WITH:
Services, probes, resource limits
RELATED CONCEPTS:
ReplicaSets, rolling updates and rollbacks, Services, probes
ALTERNATIVES:
StatefulSets | Argo Rollouts
WHERE IT IS USED:
Web services | APIs | Workers
MINI CONVERSATION:
A: How do I release the new image? | B: Change the image in the Deployment and watch the rollout.
COMMON MISTAKE:
✗ A Deployment runs the containers itself → ✓ It manages ReplicaSets, which manage pods
COMMONLY CONFUSED WITH:
Deployment vs StatefulSet: Deployments suit stateless pods, StatefulSets give stable identities.
AVOID / DON'T:
Do not use the latest tag in Deployments.
WRONG CODE:
image: acme/web:latest
RIGHT CODE:
image: acme/web:1.4.2
MEMORY TRICK:
Pin the tag, change the template, watch the rollout.
REAL LIFE: PROJECT / WORK:
A Deployment let the team roll out weekly releases with zero downtime.
REAL LIFE: INTERVIEW / EXAM:
An interviewer may ask: How does a Deployment roll out a new version?
REAL LIFE: DAILY LIFE:
It is like a manager swapping workers in gradually.</t>
        </is>
      </c>
      <c r="C10" s="29" t="inlineStr">
        <is>
          <t>02_Workloads_Beginner_K8S-009</t>
        </is>
      </c>
    </row>
    <row r="11" ht="409" customHeight="1">
      <c r="A11" s="29" t="inlineStr">
        <is>
          <t>StatefulSets
Which resource runs pods that need stable names and their own storage?
apiVersion: apps/v1
kind: StatefulSet
metadata:
  name: db
spec:
  serviceName: db
  replicas: 3
  selector:
    matchLabels: { app: db }
  template:
    metadata:
      labels: { app: db }
    spec:
      containers:
        - name: pg
          image: postgres:16
          env:
            - name: POSTGRES_PASSWORD
              valueFrom: { secretKeyRef: { name: db-secret, key: password } }
            - name: PGDATA
              value: /var/lib/postgresql/data/pgdata
          volumeMounts:
            - { name: data, mountPath: /var/lib/postgresql/data }
  volumeClaimTemplates:
    - metadata: { name: data }
      spec:
        accessModes: ["ReadWriteOnce"]
        resources: { requests: { storage: 20Gi } }</t>
        </is>
      </c>
      <c r="B11" s="29" t="inlineStr">
        <is>
          <t>MEANING (SHORT):
A StatefulSet creates pods with stable ordinal names and stable storage, and starts, stops and updates them in order.
CODE:
apiVersion: apps/v1
kind: StatefulSet
metadata:
  name: db
spec:
  serviceName: db
  replicas: 3
  selector:
    matchLabels: { app: db }
  template:
    metadata:
      labels: { app: db }
    spec:
      containers:
        - name: pg
          image: postgres:16
          env:
            - name: POSTGRES_PASSWORD
              valueFrom: { secretKeyRef: { name: db-secret, key: password } }
            - name: PGDATA
              value: /var/lib/postgresql/data/pgdata
          volumeMounts:
            - { name: data, mountPath: /var/lib/postgresql/data }
  volumeClaimTemplates:
    - metadata: { name: data }
      spec:
        accessModes: ["ReadWriteOnce"]
        resources: { requests: { storage: 20Gi } }
OUTPUT:
Pods db-0, db-1 and db-2 start in order, each with its own 20Gi volume that survives restarts.
EXPLANATION:
Each pod gets a stable DNS name through a headless service, such as db-0.db. The headless Service named in serviceName must be created separately, and the Secret must exist. Volumes created from the claim template stay when pods are deleted and are reattached to the same pod name. Scaling down does not delete volumes. Ordered updates reduce risk for clustered software. Running databases in Kubernetes also needs backups and careful upgrades.
SIMPLE EXPLANATION (HINGLISH):
Use a StatefulSet for apps that need fixed names and their own disks.
REAL-LIFE ANALOGY:
A StatefulSet gives each pod its own name tag and its own locker that stay the same after restarts.
SYNTAX PATTERN:
kind: StatefulSet / serviceName / volumeClaimTemplates
ANATOMY:
ordinal = db-0, db-1 | headless service = stable DNS | volumeClaimTemplates = per-pod storage
EXAMPLE 1:
kubectl get pods -l app=db
EXAMPLE 2:
db-0.db.shop.svc.cluster.local
EXAMPLE 3:
podManagementPolicy: Parallel
VARIATION:
updateStrategy: { type: RollingUpdate, rollingUpdate: { partition: 2 } }   // staged updates
USED WITH:
headless Services, PersistentVolumes, databases
RELATED CONCEPTS:
Deployments, PersistentVolumes and claims, Services, storage classes
ALTERNATIVES:
Managed databases | operators
WHERE IT IS USED:
Databases | Message brokers | Clustered software
MINI CONVERSATION:
A: Why does the pod keep its name and disk after a restart? | B: It is managed by a StatefulSet with a claim template.
COMMON MISTAKE:
✗ StatefulSets make databases safe and easy → ✓ They give identity and storage, but backups and operations are still your job
COMMONLY CONFUSED WITH:
StatefulSet vs Deployment: stable identity and storage versus interchangeable pods.
AVOID / DON'T:
Do not run production databases without tested backups.
WRONG CODE:
kind: Deployment   # for a database needing stable disks
RIGHT CODE:
kind: StatefulSet   # stable names and per-pod volumes
MEMORY TRICK:
Stable names, own disks, ordered life.
REAL LIFE: PROJECT / WORK:
Using a managed database instead of a StatefulSet removed a lot of operational work.
REAL LIFE: INTERVIEW / EXAM:
An interviewer may ask: When would you use a StatefulSet?
REAL LIFE: DAILY LIFE:
It is like name tags and lockers that stay the same.</t>
        </is>
      </c>
      <c r="C11" s="29" t="inlineStr">
        <is>
          <t>02_Workloads_Intermediate_K8S-010</t>
        </is>
      </c>
    </row>
    <row r="12" ht="409" customHeight="1">
      <c r="A12" s="29" t="inlineStr">
        <is>
          <t>DaemonSets
Which resource runs exactly one pod on every node, or on chosen nodes?
apiVersion: apps/v1
kind: DaemonSet
metadata:
  name: log-agent
spec:
  selector:
    matchLabels: { app: log-agent }
  template:
    metadata:
      labels: { app: log-agent }
    spec:
      containers:
        - name: agent
          image: fluent/fluent-bit:3.1
          volumeMounts:
            - { name: varlog, mountPath: /var/log }
      volumes:
        - name: varlog
          hostPath: { path: /var/log }</t>
        </is>
      </c>
      <c r="B12" s="29" t="inlineStr">
        <is>
          <t>MEANING (SHORT):
A DaemonSet ensures a copy of a pod runs on all or selected nodes, and adds or removes pods as nodes join or leave.
CODE:
apiVersion: apps/v1
kind: DaemonSet
metadata:
  name: log-agent
spec:
  selector:
    matchLabels: { app: log-agent }
  template:
    metadata:
      labels: { app: log-agent }
    spec:
      containers:
        - name: agent
          image: fluent/fluent-bit:3.1
          volumeMounts:
            - { name: varlog, mountPath: /var/log }
      volumes:
        - name: varlog
          hostPath: { path: /var/log }
OUTPUT:
One log agent pod runs on each node and reads that node's logs.
EXPLANATION:
When a node is added, the DaemonSet creates a pod on it automatically. Typical uses are log collectors, monitoring agents, network plugins and storage drivers. Pods often need access to host paths, so security review matters. Tolerations let them run on tainted nodes. Updates roll node by node.
SIMPLE EXPLANATION (HINGLISH):
A DaemonSet puts one agent pod on every node.
REAL-LIFE ANALOGY:
A DaemonSet is a guard posted at every gate of the city.
SYNTAX PATTERN:
kind: DaemonSet / spec.template
ANATOMY:
one pod per node | nodeSelector = limit nodes | tolerations = run on tainted nodes
EXAMPLE 1:
kubectl get ds -n monitoring
EXAMPLE 2:
nodeSelector: { disktype: ssd }
EXAMPLE 3:
tolerations: [{ operator: Exists }]
VARIATION:
updateStrategy: { type: OnDelete }   // update only when pods are deleted
USED WITH:
log shippers, monitoring, security agents
RELATED CONCEPTS:
pods, nodes, taints and tolerations, logging and monitoring
ALTERNATIVES:
Sidecar containers | agents on the host
WHERE IT IS USED:
Logging | Monitoring | Networking plug-ins
MINI CONVERSATION:
A: How do we get a log agent on every node? | B: Run it as a DaemonSet.
COMMON MISTAKE:
✗ DaemonSet pods run only on worker nodes → ✓ They run wherever tolerations and selectors allow
AVOID / DON'T:
Do not grant host access to agents without review.
WRONG CODE:
kind: Deployment   # an agent that must be on every node
RIGHT CODE:
kind: DaemonSet
MEMORY TRICK:
One pod per node, automatically.
REAL LIFE: PROJECT / WORK:
A log DaemonSet gave a customer logs from every new node without extra setup.
REAL LIFE: INTERVIEW / EXAM:
An interviewer may ask: What is a DaemonSet used for?
REAL LIFE: DAILY LIFE:
It is like a guard at each gate.</t>
        </is>
      </c>
      <c r="C12" s="29" t="inlineStr">
        <is>
          <t>02_Workloads_Intermediate_K8S-011</t>
        </is>
      </c>
    </row>
    <row r="13" ht="409" customHeight="1">
      <c r="A13" s="29" t="inlineStr">
        <is>
          <t>Jobs and CronJobs
Which resources run tasks to completion once or on a schedule?
apiVersion: batch/v1
kind: CronJob
metadata:
  name: nightly-report
spec:
  schedule: "0 2 * * *"
  concurrencyPolicy: Forbid
  successfulJobsHistoryLimit: 3
  jobTemplate:
    spec:
      backoffLimit: 2
      ttlSecondsAfterFinished: 86400
      template:
        spec:
          restartPolicy: OnFailure
          containers:
            - name: report
              image: acme/report:2.0
              args: ["--date", "yesterday"]</t>
        </is>
      </c>
      <c r="B13" s="29" t="inlineStr">
        <is>
          <t>MEANING (SHORT):
A Job runs one or more pods until a set number complete successfully, and a CronJob creates Jobs on a cron schedule.
CODE:
apiVersion: batch/v1
kind: CronJob
metadata:
  name: nightly-report
spec:
  schedule: "0 2 * * *"
  concurrencyPolicy: Forbid
  successfulJobsHistoryLimit: 3
  jobTemplate:
    spec:
      backoffLimit: 2
      ttlSecondsAfterFinished: 86400
      template:
        spec:
          restartPolicy: OnFailure
          containers:
            - name: report
              image: acme/report:2.0
              args: ["--date", "yesterday"]
OUTPUT:
Every night at 02:00 a Job runs the report, retries twice on failure, and cleans up after a day.
EXPLANATION:
The restart policy for Job pods must be OnFailure or Never. backoffLimit sets retries. concurrencyPolicy decides what happens if a run is still going when the next starts. The schedule uses the time zone of kube-controller-manager (often UTC) unless timeZone is set unless a time zone is set. Jobs can run in parallel with completions and parallelism settings.
SIMPLE EXPLANATION (HINGLISH):
Use a Job for one-off work and a CronJob for scheduled work.
REAL-LIFE ANALOGY:
A Job is a one-off errand, and a CronJob is a recurring appointment that creates errands.
SYNTAX PATTERN:
kind: Job | kind: CronJob / schedule: "cron"
ANATOMY:
schedule = cron time | backoffLimit = retries | concurrencyPolicy = overlap rule | ttl = cleanup
EXAMPLE 1:
kubectl create job test --from=cronjob/nightly-report
EXAMPLE 2:
completions: 5, parallelism: 2
EXAMPLE 3:
timeZone: "Asia/Kolkata"
VARIATION:
suspend: true   // pause a CronJob without deleting it
USED WITH:
idempotency, schedules, monitoring
RELATED CONCEPTS:
pods, schedules in Airflow, retries, alerts
ALTERNATIVES:
Airflow | external schedulers
WHERE IT IS USED:
Reports | Cleanup | Migrations
MINI CONVERSATION:
A: The nightly job overlaps with the next run. | B: Set concurrencyPolicy to Forbid.
COMMON MISTAKE:
✗ A Job pod restarts forever like a Deployment pod → ✓ It runs to completion, then stops
COMMONLY CONFUSED WITH:
Job vs CronJob: a Job runs once, a CronJob creates Jobs on a schedule.
AVOID / DON'T:
Do not leave finished Jobs piling up.
WRONG CODE:
restartPolicy: Always   # a Job pod would never complete
RIGHT CODE:
restartPolicy: OnFailure
MEMORY TRICK:
Jobs finish, Deployments never end.
REAL LIFE: PROJECT / WORK:
Setting ttlSecondsAfterFinished stopped old completed pods piling up in a cluster.
REAL LIFE: INTERVIEW / EXAM:
An interviewer may ask: What is the difference between a Job and a Deployment?
REAL LIFE: DAILY LIFE:
It is like an errand versus an appointment.</t>
        </is>
      </c>
      <c r="C13" s="29" t="inlineStr">
        <is>
          <t>02_Workloads_Intermediate_K8S-012</t>
        </is>
      </c>
    </row>
    <row r="14" ht="409" customHeight="1">
      <c r="A14" s="29" t="inlineStr">
        <is>
          <t>Labels and selectors
Which key-value tags group objects, and how do other objects find them?
metadata:
  labels:
    app: web
    tier: frontend
    env: prod
# a Deployment selects them with matchLabels (a Service uses a plain map: selector: { app: web }):
selector:
  matchLabels:
    app: web
# command line:
# kubectl get pods -l app=web,env=prod</t>
        </is>
      </c>
      <c r="B14" s="29" t="inlineStr">
        <is>
          <t>MEANING (SHORT):
Labels are key-value pairs attached to objects, and label selectors choose objects by matching those pairs, which is how Services, Deployments and other controllers find pods.
CODE:
metadata:
  labels:
    app: web
    tier: frontend
    env: prod
# a Deployment selects them with matchLabels (a Service uses a plain map: selector: { app: web }):
selector:
  matchLabels:
    app: web
# command line:
# kubectl get pods -l app=web,env=prod
OUTPUT:
Only pods that have both app web and env prod are returned or selected.
EXPLANATION:
Labels are for identifying and grouping, and annotations are for non-identifying notes. A selector with several labels means all must match. Changing labels on running pods changes what selects them, which can disconnect them from a Service. Equality and set-based selectors exist, such as env in (prod, staging).
SIMPLE EXPLANATION (HINGLISH):
Label objects consistently, and use selectors in Services and controllers to find them.
REAL-LIFE ANALOGY:
Labels are colour stickers, and selectors are people asking for everything with the red sticker.
SYNTAX PATTERN:
labels: { key: value } | Deployment: selector: { matchLabels: { key: value } } | Service: selector: { key: value }
ANATOMY:
labels = tags | selector = query | annotations = notes
EXAMPLE 1:
kubectl get pods -l tier=frontend
EXAMPLE 2:
kubectl label pod web-1 env=debug
EXAMPLE 3:
matchExpressions: [{ key: env, operator: In, values: [prod, staging] }]
VARIATION:
kubectl get pods --show-labels   // see every label
USED WITH:
Services, Deployments, network policies
RELATED CONCEPTS:
Services, Deployments, namespaces, network policies
ALTERNATIVES:
Namespaces for coarse separation
WHERE IT IS USED:
Every cluster | Services | Cost reports
MINI CONVERSATION:
A: The Service has no endpoints. | B: Its selector does not match the pod labels.
COMMON MISTAKE:
✗ Labels and annotations are the same → ✓ Labels are used for selection, annotations only hold extra information
COMMONLY CONFUSED WITH:
Label vs annotation: labels select, annotations describe.
AVOID / DON'T:
Do not change pod labels without checking the Services that select them.
WRONG CODE:
selector: { matchLabels: { app: web-app } }   # pods are labelled web
RIGHT CODE:
selector: { matchLabels: { app: web } }
MEMORY TRICK:
Selectors only see matching labels.
REAL LIFE: PROJECT / WORK:
A label typo explained why a Service had no pods behind it.
REAL LIFE: INTERVIEW / EXAM:
An interviewer may ask: How does a Service find its pods?
REAL LIFE: DAILY LIFE:
It is like colour stickers and people asking for the red ones.</t>
        </is>
      </c>
      <c r="C14" s="29" t="inlineStr">
        <is>
          <t>02_Workloads_Beginner_K8S-013</t>
        </is>
      </c>
    </row>
    <row r="15" ht="409" customHeight="1">
      <c r="A15" s="29" t="inlineStr">
        <is>
          <t>Namespaces
Which feature divides a cluster into separate virtual areas?
kubectl create namespace shop
kubectl get pods -n shop
kubectl config set-context --current --namespace=shop
kubectl get all -n shop
kubectl delete namespace shop</t>
        </is>
      </c>
      <c r="B15" s="29" t="inlineStr">
        <is>
          <t>MEANING (SHORT):
A namespace is a named scope within a cluster, so object names need to be unique only inside it, and quotas, policies and permissions can be applied per namespace.
CODE:
kubectl create namespace shop
kubectl get pods -n shop
kubectl config set-context --current --namespace=shop
kubectl get all -n shop
kubectl delete namespace shop
OUTPUT:
The namespace shop is created, used for commands, and deleting it removes everything inside it.
EXPLANATION:
Default namespaces include default, kube-system and kube-public. Some resources, such as nodes and PersistentVolumes, are cluster-wide and not namespaced. Services can be reached across namespaces by their full DNS names. Namespaces are not a strong security boundary on their own, so combine them with RBAC and network policies.
SIMPLE EXPLANATION (HINGLISH):
Use namespaces to separate teams and environments, and add quotas and permissions to each.
REAL-LIFE ANALOGY:
Namespaces are rooms in a shared office, each with its own rules and supplies.
SYNTAX PATTERN:
kubectl create namespace NAME | metadata: namespace: NAME
ANATOMY:
default = no namespace given | kube-system = system parts | -n = choose one
EXAMPLE 1:
kubectl get ns
EXAMPLE 2:
metadata: { namespace: staging }
EXAMPLE 3:
api.shop.svc.cluster.local
VARIATION:
kubectl get pods --all-namespaces   // across the whole cluster
USED WITH:
RBAC, quotas, network policies
RELATED CONCEPTS:
labels and selectors, RBAC, quotas, DNS in the cluster
ALTERNATIVES:
Separate clusters for strong isolation
WHERE IT IS USED:
Teams | Environments | Quotas
MINI CONVERSATION:
A: Can staging and shop both have a Service called api? | B: Yes, namespaces keep the names separate.
COMMON MISTAKE:
✗ Namespaces fully isolate teams from each other → ✓ They separate names and policies, but need RBAC and network rules for real isolation
AVOID / DON'T:
Do not put everything in the default namespace.
WRONG CODE:
kubectl delete namespace shop   # without checking contents
RIGHT CODE:
kubectl get all,cm,secret,pvc -n shop &amp;&amp; kubectl delete namespace shop
MEMORY TRICK:
Namespaces separate names, not security alone.
REAL LIFE: PROJECT / WORK:
Giving each team a namespace with quotas stopped one team starving the others.
REAL LIFE: INTERVIEW / EXAM:
An interviewer may ask: Are namespaces a security boundary?
REAL LIFE: DAILY LIFE:
It is like rooms in a shared office.</t>
        </is>
      </c>
      <c r="C15" s="29" t="inlineStr">
        <is>
          <t>02_Workloads_Beginner_K8S-014</t>
        </is>
      </c>
    </row>
    <row r="16" ht="409" customHeight="1">
      <c r="A16" s="29" t="inlineStr">
        <is>
          <t>Rolling updates and rollbacks
How does Kubernetes replace old pods with new ones without downtime, and how do you undo it?
spec:
  strategy:
    type: RollingUpdate
    rollingUpdate:
      maxSurge: 1
      maxUnavailable: 0
# commands
# kubectl set image deployment/web app=acme/web:1.4.3
# kubectl rollout status deployment/web
# kubectl rollout history deployment/web
# kubectl rollout undo deployment/web</t>
        </is>
      </c>
      <c r="B16" s="29" t="inlineStr">
        <is>
          <t>MEANING (SHORT):
A rolling update gradually creates pods with the new template and removes old ones within limits set by maxSurge and maxUnavailable, and rollout commands report progress, pause or revert it.
CODE:
spec:
  strategy:
    type: RollingUpdate
    rollingUpdate:
      maxSurge: 1
      maxUnavailable: 0
# commands
# kubectl set image deployment/web app=acme/web:1.4.3
# kubectl rollout status deployment/web
# kubectl rollout history deployment/web
# kubectl rollout undo deployment/web
OUTPUT:
One extra pod is created at a time, no pod is removed until its replacement is ready, and undo returns to the previous version.
EXPLANATION:
maxSurge says how many extra pods may exist during the update, and maxUnavailable how many may be missing. Readiness probes make new pods wait until they are healthy before receiving traffic. Failed rollouts can stall, so progressDeadlineSeconds sets a limit. Revision history is kept for rollbacks. Database changes must stay compatible with both versions.
SIMPLE EXPLANATION (HINGLISH):
Update the image, watch the rollout, and undo if the new version misbehaves.
REAL-LIFE ANALOGY:
A rolling update changes the crew a few at a time while the ship stays sailing.
SYNTAX PATTERN:
kubectl rollout status|history|undo|pause|resume deployment/NAME
ANATOMY:
maxSurge = extra pods | maxUnavailable = missing pods | undo = go back
EXAMPLE 1:
kubectl rollout undo deployment/web --to-revision=2
EXAMPLE 2:
kubectl rollout pause deployment/web
EXAMPLE 3:
progressDeadlineSeconds: 600
VARIATION:
strategy: { type: Recreate }   // stop all old pods first, with downtime
USED WITH:
readiness probes, Deployments, CI/CD
RELATED CONCEPTS:
Deployments, probes, rollbacks in CI/CD, canary releases
ALTERNATIVES:
Blue-green | canary with a mesh
WHERE IT IS USED:
Every release | Incident response | CI pipelines
MINI CONVERSATION:
A: The new version is failing. | B: Run kubectl rollout undo to return to the previous one.
COMMON MISTAKE:
✗ A rolling update never causes downtime → ✓ Without readiness probes, traffic can reach pods that are not ready
COMMONLY CONFUSED WITH:
RollingUpdate vs Recreate: rolling replaces gradually, recreate stops everything first.
AVOID / DON'T:
Do not roll out without readiness probes.
WRONG CODE:
maxUnavailable: 100%   # takes the app down
RIGHT CODE:
maxUnavailable: 0
MEMORY TRICK:
Surge up, wait ready, then remove old.
REAL LIFE: PROJECT / WORK:
A quick rollout undo restored service within a minute after a faulty release.
REAL LIFE: INTERVIEW / EXAM:
An interviewer may ask: How do you roll back a Deployment?
REAL LIFE: DAILY LIFE:
It is like changing a ship's crew while sailing.</t>
        </is>
      </c>
      <c r="C16" s="29" t="inlineStr">
        <is>
          <t>02_Workloads_Intermediate_K8S-015</t>
        </is>
      </c>
    </row>
    <row r="17" ht="409" customHeight="1">
      <c r="A17" s="29" t="inlineStr">
        <is>
          <t>ConfigMaps
Which object holds non-secret configuration separate from container images?
apiVersion: v1
kind: ConfigMap
metadata:
  name: web-config
data:
  LOG_LEVEL: info
  app.properties: |
    feature.search=true
---
# in the pod spec
# envFrom: [{ configMapRef: { name: web-config } }]
# volumes: [{ name: cfg, configMap: { name: web-config } }]</t>
        </is>
      </c>
      <c r="B17" s="29" t="inlineStr">
        <is>
          <t>MEANING (SHORT):
A ConfigMap stores non-confidential configuration as key-value pairs or files, which pods consume as environment variables, command arguments or mounted files.
CODE:
apiVersion: v1
kind: ConfigMap
metadata:
  name: web-config
data:
  LOG_LEVEL: info
  app.properties: |
    feature.search=true
---
# in the pod spec
# envFrom: [{ configMapRef: { name: web-config } }]
# volumes: [{ name: cfg, configMap: { name: web-config } }]
OUTPUT:
The pod receives LOG_LEVEL as an environment variable, or the app.properties file in a mounted folder.
EXPLANATION:
Values must be strings. Environment variables are fixed when a pod starts, so changes need a restart. Mounted files are updated by Kubernetes after a short delay, although the app must reread them. ConfigMaps are limited in size. Never put passwords there, because they are not encrypted or protected like Secrets.
SIMPLE EXPLANATION (HINGLISH):
Store non-secret settings in a ConfigMap, and inject them as variables or files.
REAL-LIFE ANALOGY:
A ConfigMap is a settings sheet handed to a container at start.
SYNTAX PATTERN:
kind: ConfigMap / data: { key: value }
ANATOMY:
data = key-value pairs | envFrom = environment variables | volume = files
EXAMPLE 1:
kubectl create configmap web-config --from-literal=LOG_LEVEL=info
EXAMPLE 2:
kubectl create configmap app --from-file=app.properties
EXAMPLE 3:
valueFrom: { configMapKeyRef: { name: web-config, key: LOG_LEVEL } }
VARIATION:
immutable: true   // protect a ConfigMap from changes
USED WITH:
environment variables, volumes, Deployments
RELATED CONCEPTS:
Secrets, environment variables, volumes, Deployments
ALTERNATIVES:
Config files baked into images | external config services
WHERE IT IS USED:
Per-environment settings | Feature switches | Config files
MINI CONVERSATION:
A: I changed the ConfigMap but the app still has the old value. | B: Environment variables load at start, so restart the pods.
COMMON MISTAKE:
✗ A ConfigMap is a safe place for passwords → ✓ Use Secrets, and ideally an external secret manager
COMMONLY CONFUSED WITH:
ConfigMap vs Secret: ConfigMap is for plain settings, Secret is for sensitive values.
AVOID / DON'T:
Do not store credentials in ConfigMaps.
WRONG CODE:
data: { DB_PASSWORD: hunter2 }
RIGHT CODE:
kind: Secret   # for DB_PASSWORD
MEMORY TRICK:
Plain settings go in ConfigMaps, secrets go elsewhere.
REAL LIFE: PROJECT / WORK:
Moving settings into ConfigMaps let one image run unchanged in three environments.
REAL LIFE: INTERVIEW / EXAM:
An interviewer may ask: What is the difference between a ConfigMap and a Secret?
REAL LIFE: DAILY LIFE:
It is like a settings sheet handed over at start.</t>
        </is>
      </c>
      <c r="C17" s="29" t="inlineStr">
        <is>
          <t>03_Config_and_Storage_Beginner_K8S-016</t>
        </is>
      </c>
    </row>
    <row r="18" ht="409" customHeight="1">
      <c r="A18" s="29" t="inlineStr">
        <is>
          <t>Secrets
Which object holds sensitive values such as passwords and tokens?
kubectl create secret generic db --from-literal=password='s3cr3t'
# in the pod spec
env:
  - name: DB_PASSWORD
    valueFrom:
      secretKeyRef: { name: db, key: password }
volumes:
  - name: creds
    secret: { secretName: db }</t>
        </is>
      </c>
      <c r="B18" s="29" t="inlineStr">
        <is>
          <t>MEANING (SHORT):
A Secret stores small sensitive values, base64 encoded, which can be injected as environment variables or mounted as files, with access controlled by RBAC.
CODE:
kubectl create secret generic db --from-literal=password='s3cr3t'
# in the pod spec
env:
  - name: DB_PASSWORD
    valueFrom:
      secretKeyRef: { name: db, key: password }
volumes:
  - name: creds
    secret: { secretName: db }
OUTPUT:
The pod receives the password as an environment variable or as a file in a mounted folder.
EXPLANATION:
Base64 is only encoding, so anyone who can read the Secret can decode it. Use encryption at rest, tight RBAC and avoid committing manifests with secret values. Files are safer than environment variables, since variables can leak through logs and child processes. External secret managers can sync values into Secrets. Rotate regularly.
SIMPLE EXPLANATION (HINGLISH):
Store sensitive values in Secrets, restrict who can read them, and prefer an external secret manager.
REAL-LIFE ANALOGY:
A Secret is a sealed envelope, but the seal is only strong if the cluster protects it.
SYNTAX PATTERN:
kind: Secret / type: Opaque / data: base64
ANATOMY:
data = base64 values | secretKeyRef = one key as variable | secret volume = files
EXAMPLE 1:
kubectl get secret db -o jsonpath='{.data.password}' | base64 -d
EXAMPLE 2:
type: kubernetes.io/tls
EXAMPLE 3:
ExternalSecret syncing from a cloud vault
VARIATION:
stringData: { password: s3cr3t }   // plain text input, stored encoded
USED WITH:
RBAC, external secret managers, volumes
RELATED CONCEPTS:
ConfigMaps, RBAC, image pull secrets, credentials in pipelines
ALTERNATIVES:
External secret managers | sealed secrets
WHERE IT IS USED:
Database passwords | TLS certificates | API keys
MINI CONVERSATION:
A: Are Secrets encrypted? | B: Only if encryption at rest is enabled, as base64 is just encoding.
COMMON MISTAKE:
✗ Base64 means the Secret is encrypted → ✓ Base64 is reversible encoding, not protection
COMMONLY CONFUSED WITH:
Secret vs ConfigMap: both are key-value stores, but a Secret gets extra handling and access control.
AVOID / DON'T:
Do not commit Secret manifests with real values to Git.
WRONG CODE:
data: { password: s3cr3t }   # must be base64 in data
RIGHT CODE:
stringData: { password: s3cr3t }   # or encode the value
MEMORY TRICK:
Base64 hides nothing, so lock it with RBAC.
REAL LIFE: PROJECT / WORK:
Syncing secrets from a cloud vault removed passwords from Git manifests.
REAL LIFE: INTERVIEW / EXAM:
An interviewer may ask: Are Kubernetes Secrets secure by default?
REAL LIFE: DAILY LIFE:
It is like an envelope whose seal depends on the cluster.</t>
        </is>
      </c>
      <c r="C18" s="29" t="inlineStr">
        <is>
          <t>03_Config_and_Storage_Intermediate_K8S-017</t>
        </is>
      </c>
    </row>
    <row r="19" ht="409" customHeight="1">
      <c r="A19" s="29" t="inlineStr">
        <is>
          <t>Volumes
Which feature gives containers storage beyond their own temporary file system?
spec:
  containers:
    - name: app
      image: acme/app:1.0
      volumeMounts:
        - { name: scratch, mountPath: /tmp/work }
        - { name: data, mountPath: /var/lib/app }
  volumes:
    - name: scratch
      emptyDir: {}
    - name: data
      persistentVolumeClaim: { claimName: app-data }</t>
        </is>
      </c>
      <c r="B19" s="29" t="inlineStr">
        <is>
          <t>MEANING (SHORT):
A volume is a directory made available to containers in a pod, with types such as emptyDir for temporary shared space, configMap and secret for config, and persistentVolumeClaim for durable storage.
CODE:
spec:
  containers:
    - name: app
      image: acme/app:1.0
      volumeMounts:
        - { name: scratch, mountPath: /tmp/work }
        - { name: data, mountPath: /var/lib/app }
  volumes:
    - name: scratch
      emptyDir: {}
    - name: data
      persistentVolumeClaim: { claimName: app-data }
OUTPUT:
The app uses a temporary shared folder that vanishes with the pod and a persistent folder backed by a claim.
EXPLANATION:
emptyDir lives as long as the pod and is shared between its containers. hostPath mounts a node folder and is risky. Persistent volume claims connect to real storage that outlives pods. Volume mounts can be read-only. Projected volumes combine several sources. Access modes limit how many nodes may mount a volume.
SIMPLE EXPLANATION (HINGLISH):
Declare volumes in the pod and mount them into containers, using claims for durable data.
REAL-LIFE ANALOGY:
A volume is a shelf attached to the pod that keeps things beyond one container's life.
SYNTAX PATTERN:
volumes: [{ name, type }] and volumeMounts: [{ name, mountPath }]
ANATOMY:
volumes = what exists | volumeMounts = where it appears | emptyDir = temporary
EXAMPLE 1:
emptyDir: { medium: Memory }
EXAMPLE 2:
configMap: { name: web-config }
EXAMPLE 3:
readOnly: true
VARIATION:
hostPath: { path: /data }   // risky, ties the pod to a node
USED WITH:
PersistentVolumeClaims, ConfigMaps, sidecars
RELATED CONCEPTS:
PersistentVolumes and claims, ConfigMaps, StatefulSets, storage classes
ALTERNATIVES:
Object storage from the application
WHERE IT IS USED:
Shared scratch | Config files | Databases
MINI CONVERSATION:
A: Our data vanished when the pod restarted. | B: It was in the container file system, so use a persistent volume.
COMMON MISTAKE:
✗ Data written inside a container survives pod replacement → ✓ Only data on a persistent volume survives
COMMONLY CONFUSED WITH:
emptyDir vs PVC: emptyDir lasts as long as the pod, a claim outlives it.
AVOID / DON'T:
Do not use hostPath for application data.
WRONG CODE:
# data written to /app/data with no volume
RIGHT CODE:
volumeMounts: [{ name: data, mountPath: /app/data }]
MEMORY TRICK:
Without a volume, data does not survive.
REAL LIFE: PROJECT / WORK:
Mounting a persistent volume kept uploaded files across pod restarts.
REAL LIFE: INTERVIEW / EXAM:
An interviewer may ask: What is an emptyDir volume?
REAL LIFE: DAILY LIFE:
It is like a shelf attached to the pod.</t>
        </is>
      </c>
      <c r="C19" s="29" t="inlineStr">
        <is>
          <t>03_Config_and_Storage_Intermediate_K8S-018</t>
        </is>
      </c>
    </row>
    <row r="20" ht="409" customHeight="1">
      <c r="A20" s="29" t="inlineStr">
        <is>
          <t>PersistentVolumes and claims
Which two objects separate real storage from the request for it?
apiVersion: v1
kind: PersistentVolumeClaim
metadata:
  name: app-data
spec:
  accessModes: ["ReadWriteOnce"]
  storageClassName: standard
  resources:
    requests:
      storage: 10Gi</t>
        </is>
      </c>
      <c r="B20" s="29" t="inlineStr">
        <is>
          <t>MEANING (SHORT):
A PersistentVolume is a piece of cluster storage, and a PersistentVolumeClaim is a request for storage by size and access mode, which Kubernetes binds to a suitable volume.
CODE:
apiVersion: v1
kind: PersistentVolumeClaim
metadata:
  name: app-data
spec:
  accessModes: ["ReadWriteOnce"]
  storageClassName: standard
  resources:
    requests:
      storage: 10Gi
OUTPUT:
A 10Gi volume is provisioned and bound to the claim, which pods can then mount.
EXPLANATION:
With dynamic provisioning, creating a claim makes the storage class create the underlying disk. Access modes include ReadWriteOnce for one node, ReadOnlyMany and ReadWriteMany for shared access, where the storage supports it. The reclaim policy decides if the data is kept or deleted after the claim is removed. Volume expansion may be allowed by the class.
SIMPLE EXPLANATION (HINGLISH):
Create a claim with a size and class, and mount it in the pod.
REAL-LIFE ANALOGY:
A claim is an order slip for storage, and a persistent volume is the real disk delivered against it.
SYNTAX PATTERN:
kind: PersistentVolumeClaim / spec: accessModes, resources, storageClassName
ANATOMY:
PVC = request | PV = supplied storage | accessModes = who can mount | reclaimPolicy = after deletion
EXAMPLE 1:
kubectl get pvc,pv
EXAMPLE 2:
persistentVolumeReclaimPolicy: Retain
EXAMPLE 3:
allowVolumeExpansion: true
VARIATION:
volumeMode: Block   // raw block device instead of a file system
USED WITH:
StatefulSets, storage classes, backups
RELATED CONCEPTS:
volumes, storage classes, StatefulSets, backups
ALTERNATIVES:
Object storage | managed databases
WHERE IT IS USED:
Databases | Uploads | Stateful apps
MINI CONVERSATION:
A: The claim is stuck in pending. | B: No storage class could provision it, so check the class and capacity.
COMMON MISTAKE:
✗ Deleting a pod deletes its persistent volume → ✓ The claim and volume remain until you delete the claim, and the reclaim policy then decides
COMMONLY CONFUSED WITH:
PV vs PVC: the volume is the storage, the claim is the request.
AVOID / DON'T:
Do not delete claims holding data without a backup.
WRONG CODE:
accessModes: ["ReadWriteMany"]   # on disk storage that supports one node only
RIGHT CODE:
accessModes: ["ReadWriteOnce"]
MEMORY TRICK:
The claim asks and the volume supplies.
REAL LIFE: PROJECT / WORK:
Reading the claim events showed a missing storage class behind a pending database.
REAL LIFE: INTERVIEW / EXAM:
An interviewer may ask: What does the reclaim policy do?
REAL LIFE: DAILY LIFE:
It is like an order slip and a delivered disk.</t>
        </is>
      </c>
      <c r="C20" s="29" t="inlineStr">
        <is>
          <t>03_Config_and_Storage_Intermediate_K8S-019</t>
        </is>
      </c>
    </row>
    <row r="21" ht="409" customHeight="1">
      <c r="A21" s="29" t="inlineStr">
        <is>
          <t>Storage classes
Which objects describe the kinds of storage a cluster can provide on demand?
apiVersion: storage.k8s.io/v1
kind: StorageClass
metadata:
  name: fast
provisioner: ebs.csi.aws.com
parameters:
  type: gp3
reclaimPolicy: Delete
allowVolumeExpansion: true
volumeBindingMode: WaitForFirstConsumer</t>
        </is>
      </c>
      <c r="B21" s="29" t="inlineStr">
        <is>
          <t>MEANING (SHORT):
A StorageClass names a provisioner and its parameters, such as disk type and reclaim policy, so claims can request storage that is created automatically.
CODE:
apiVersion: storage.k8s.io/v1
kind: StorageClass
metadata:
  name: fast
provisioner: ebs.csi.aws.com
parameters:
  type: gp3
reclaimPolicy: Delete
allowVolumeExpansion: true
volumeBindingMode: WaitForFirstConsumer
OUTPUT:
Claims that name the class fast get gp3 disks created on demand in the right zone.
EXPLANATION:
The provisioner is a CSI driver for the cloud or storage system. WaitForFirstConsumer delays creation until a pod is placed, so the disk is made in the same zone. One class can be the default for claims that name none. The reclaim policy sets what happens to the disk after deletion of the claim. Parameters differ by provider.
SIMPLE EXPLANATION (HINGLISH):
Define classes for the storage types you offer, and let claims pick one by name.
REAL-LIFE ANALOGY:
A storage class is a menu of disk types with a dish to order for each need.
SYNTAX PATTERN:
kind: StorageClass / provisioner / parameters
ANATOMY:
provisioner = who creates | parameters = disk settings | volumeBindingMode = when to create
EXAMPLE 1:
kubectl get storageclass
EXAMPLE 2:
storageclass.kubernetes.io/is-default-class: "true"
EXAMPLE 3:
storageClassName: fast
VARIATION:
reclaimPolicy: Retain   // keep the disk after the claim is deleted
USED WITH:
PersistentVolumeClaims, StatefulSets, CSI drivers
RELATED CONCEPTS:
PersistentVolumes and claims, StatefulSets, volumes, cloud basics
ALTERNATIVES:
Manually created volumes
WHERE IT IS USED:
Cloud clusters | Databases | Cost control
MINI CONVERSATION:
A: Which disk type does the claim get? | B: Whatever the storage class says, such as gp3.
COMMON MISTAKE:
✗ All storage in a cluster is the same → ✓ Classes differ in speed, cost, zone and features
AVOID / DON'T:
Do not use a Delete policy for data you must keep.
WRONG CODE:
reclaimPolicy: Delete   # for irreplaceable data
RIGHT CODE:
reclaimPolicy: Retain
MEMORY TRICK:
Class chooses the disk, policy decides its fate.
REAL LIFE: PROJECT / WORK:
A fast storage class for databases and a cheap one for logs cut the monthly bill.
REAL LIFE: INTERVIEW / EXAM:
An interviewer may ask: Why use WaitForFirstConsumer?
REAL LIFE: DAILY LIFE:
It is like a menu of disk types.</t>
        </is>
      </c>
      <c r="C21" s="29" t="inlineStr">
        <is>
          <t>03_Config_and_Storage_Intermediate_K8S-020</t>
        </is>
      </c>
    </row>
    <row r="22" ht="409" customHeight="1">
      <c r="A22" s="29" t="inlineStr">
        <is>
          <t>Environment variables in pods
How do you give containers settings through environment variables?
env:
  - name: LOG_LEVEL
    value: "info"
  - name: DB_HOST
    valueFrom:
      configMapKeyRef: { name: web-config, key: db_host }
  - name: DB_PASSWORD
    valueFrom:
      secretKeyRef: { name: db, key: password }
  - name: POD_NAME
    valueFrom:
      fieldRef: { fieldPath: metadata.name }</t>
        </is>
      </c>
      <c r="B22" s="29" t="inlineStr">
        <is>
          <t>MEANING (SHORT):
The env field sets variables from literal values, ConfigMap keys, Secret keys or pod information through the downward API, and envFrom loads whole ConfigMaps or Secrets.
CODE:
env:
  - name: LOG_LEVEL
    value: "info"
  - name: DB_HOST
    valueFrom:
      configMapKeyRef: { name: web-config, key: db_host }
  - name: DB_PASSWORD
    valueFrom:
      secretKeyRef: { name: db, key: password }
  - name: POD_NAME
    valueFrom:
      fieldRef: { fieldPath: metadata.name }
OUTPUT:
The container starts with LOG_LEVEL, DB_HOST, DB_PASSWORD and POD_NAME set from their sources.
EXPLANATION:
Values are fixed when the container starts, so changes need a restart. The downward API exposes information such as the pod name and namespace. Variables can refer to others using dollar and parentheses. Be careful with secrets in variables, since they may appear in logs or process listings. Check for a variable with kubectl exec and env.
SIMPLE EXPLANATION (HINGLISH):
Use env with value or valueFrom, and restart pods after changes.
REAL-LIFE ANALOGY:
Environment variables are notes pinned inside the container before it starts.
SYNTAX PATTERN:
env: [{ name, value | valueFrom }]
ANATOMY:
value = literal | configMapKeyRef = from ConfigMap | secretKeyRef = from Secret | fieldRef = pod info
EXAMPLE 1:
kubectl exec web-1 -- env
EXAMPLE 2:
envFrom: [{ configMapRef: { name: web-config } }]
EXAMPLE 3:
fieldRef: { fieldPath: status.podIP }
VARIATION:
resourceFieldRef: { resource: limits.memory }   // expose limits
USED WITH:
ConfigMaps, Secrets, twelve-factor apps
RELATED CONCEPTS:
ConfigMaps, Secrets, Deployments, environment variables in Node
ALTERNATIVES:
Mounted config files
WHERE IT IS USED:
Application settings | Credentials | Pod metadata
MINI CONVERSATION:
A: How does the app know its pod name? | B: Inject it with fieldRef from the downward API.
COMMON MISTAKE:
✗ Changing a ConfigMap updates env variables in running pods → ✓ Variables are read at start, so pods must restart
COMMONLY CONFUSED WITH:
env vs envFrom: env sets named variables, envFrom imports all keys.
AVOID / DON'T:
Do not print environment variables with secrets in logs.
WRONG CODE:
env: [{ name: DB_PASSWORD, value: "hunter2" }]
RIGHT CODE:
env: [{ name: DB_PASSWORD, valueFrom: { secretKeyRef: { name: db, key: password } } }]
MEMORY TRICK:
Read from sources, never type secrets.
REAL LIFE: PROJECT / WORK:
Sourcing variables from Secrets removed passwords from the Deployment file.
REAL LIFE: INTERVIEW / EXAM:
An interviewer may ask: How do you pass the pod name to the application?
REAL LIFE: DAILY LIFE:
It is like notes pinned inside the container.</t>
        </is>
      </c>
      <c r="C22" s="29" t="inlineStr">
        <is>
          <t>03_Config_and_Storage_Beginner_K8S-021</t>
        </is>
      </c>
    </row>
    <row r="23" ht="409" customHeight="1">
      <c r="A23" s="29" t="inlineStr">
        <is>
          <t>Services
Which object gives pods a stable address and load balances across them?
apiVersion: v1
kind: Service
metadata:
  name: web
spec:
  type: ClusterIP
  selector:
    app: web
  ports:
    - port: 80
      targetPort: 8080</t>
        </is>
      </c>
      <c r="B23" s="29" t="inlineStr">
        <is>
          <t>MEANING (SHORT):
A Service selects pods by label and exposes them on a stable virtual IP and DNS name, in types ClusterIP, NodePort and LoadBalancer.
CODE:
apiVersion: v1
kind: Service
metadata:
  name: web
spec:
  type: ClusterIP
  selector:
    app: web
  ports:
    - port: 80
      targetPort: 8080
OUTPUT:
Traffic to web on port 80 inside the cluster reaches port 8080 of any ready pod labelled app web.
EXPLANATION:
ClusterIP is reachable only inside the cluster. NodePort opens the same port on every node. LoadBalancer asks the cloud for an external load balancer. Only ready pods receive traffic. Port is the Service port and targetPort is the container port. A headless Service, with clusterIP None, returns pod addresses directly.
SIMPLE EXPLANATION (HINGLISH):
A Service gives a stable name and balances traffic across matching ready pods.
REAL-LIFE ANALOGY:
A Service is a reception desk with one phone number that forwards calls to whoever is on shift.
SYNTAX PATTERN:
kind: Service / spec: type, selector, ports
ANATOMY:
selector = which pods | port = Service port | targetPort = container port | type = exposure
EXAMPLE 1:
kubectl expose deployment web --port=80 --target-port=8080
EXAMPLE 2:
type: LoadBalancer
EXAMPLE 3:
kubectl get endpointslices -l kubernetes.io/service-name=web
VARIATION:
clusterIP: None   // headless Service
USED WITH:
Deployments, Ingress, DNS
RELATED CONCEPTS:
labels and selectors, Ingress, DNS in the cluster, probes
ALTERNATIVES:
Ingress | service mesh
WHERE IT IS USED:
Every networked app | Internal APIs | Databases
MINI CONVERSATION:
A: Requests to the Service time out. | B: Check that endpoints exist, so the selector matches ready pods.
COMMON MISTAKE:
✗ A Service type of NodePort is the best way to expose production apps → ✓ Ingress or a LoadBalancer is usually better
COMMONLY CONFUSED WITH:
port vs targetPort: port is the Service side, targetPort is the container side.
AVOID / DON'T:
Do not point a selector at labels the pods do not have.
WRONG CODE:
selector: { app: web-app }
RIGHT CODE:
selector: { app: web }
MEMORY TRICK:
Port is the front door, targetPort is the room.
REAL LIFE: PROJECT / WORK:
Checking endpoints showed that a label typo left a Service with no pods.
REAL LIFE: INTERVIEW / EXAM:
An interviewer may ask: What are the Service types?
REAL LIFE: DAILY LIFE:
It is like a reception desk with one phone number.</t>
        </is>
      </c>
      <c r="C23" s="29" t="inlineStr">
        <is>
          <t>04_Networking_Beginner_K8S-022</t>
        </is>
      </c>
    </row>
    <row r="24" ht="409" customHeight="1">
      <c r="A24" s="29" t="inlineStr">
        <is>
          <t>Ingress
Which object routes outside HTTP traffic to Services by host and path?
apiVersion: networking.k8s.io/v1
kind: Ingress
metadata:
  name: shop
spec:
  ingressClassName: traefik   # use the class name of the controller you installed
  tls:
    - hosts: [shop.example.com]
      secretName: shop-tls
  rules:
    - host: shop.example.com
      http:
        paths:
          - path: /api
            pathType: Prefix
            backend: { service: { name: api, port: { number: 80 } } }
          - path: /
            pathType: Prefix
            backend: { service: { name: web, port: { number: 80 } } }</t>
        </is>
      </c>
      <c r="B24" s="29" t="inlineStr">
        <is>
          <t>MEANING (SHORT):
An Ingress defines HTTP and HTTPS routing rules by host and path, which an ingress controller such as Traefik or a cloud load balancer controller implements, often with TLS certificates.
CODE:
apiVersion: networking.k8s.io/v1
kind: Ingress
metadata:
  name: shop
spec:
  ingressClassName: traefik   # use the class name of the controller you installed
  tls:
    - hosts: [shop.example.com]
      secretName: shop-tls
  rules:
    - host: shop.example.com
      http:
        paths:
          - path: /api
            pathType: Prefix
            backend: { service: { name: api, port: { number: 80 } } }
          - path: /
            pathType: Prefix
            backend: { service: { name: web, port: { number: 80 } } }
OUTPUT:
Requests to shop.example.com/api go to the api Service, and everything else goes to web, over HTTPS.
EXPLANATION:
The controller runs in the cluster and watches Ingress objects. TLS certificates are stored in Secrets and can be issued automatically with cert-manager. The Gateway API is a newer, more expressive alternative. Rules are matched by host and path. Annotations tune controller behaviour.
SIMPLE EXPLANATION (HINGLISH):
Install a controller, then write Ingress rules from hosts and paths to Services.
REAL-LIFE ANALOGY:
Ingress is the front desk that directs visitors to the right office by name.
SYNTAX PATTERN:
kind: Ingress / spec: rules, tls, ingressClassName
ANATOMY:
host = domain | path = URL part | backend = Service | tls = certificate secret
EXAMPLE 1:
kubectl get ingress
EXAMPLE 2:
cert-manager.io/cluster-issuer: letsencrypt
EXAMPLE 3:
pathType: Exact
VARIATION:
kind: HTTPRoute   // the Gateway API form
USED WITH:
Services, TLS, cert-manager
RELATED CONCEPTS:
Services, DNS, HTTPS and TLS, certificates
ALTERNATIVES:
Gateway API | LoadBalancer per Service
WHERE IT IS USED:
Web apps | APIs | Multi-app clusters
MINI CONVERSATION:
A: I created an Ingress but nothing happens. | B: There is no ingress controller installed yet.
COMMON MISTAKE:
✗ An Ingress works without a controller → ✓ A controller must run to act on the rules
COMMONLY CONFUSED WITH:
Ingress vs Service: Ingress routes HTTP into Services, Service balances to pods.
AVOID / DON'T:
Do not forget the TLS secret for HTTPS hosts.
WRONG CODE:
kind: Ingress   # applied with no controller installed
RIGHT CODE:
# install any maintained ingress controller (for example Traefik, a cloud controller or a Gateway API implementation), then apply the Ingress
MEMORY TRICK:
Without a controller there is no routing.
REAL LIFE: PROJECT / WORK:
One Ingress replaced five separate cloud load balancers and cut cost.
REAL LIFE: INTERVIEW / EXAM:
An interviewer may ask: What is the difference between Ingress and a Service?
REAL LIFE: DAILY LIFE:
It is like a front desk directing visitors.</t>
        </is>
      </c>
      <c r="C24" s="29" t="inlineStr">
        <is>
          <t>04_Networking_Intermediate_K8S-023</t>
        </is>
      </c>
    </row>
    <row r="25" ht="409" customHeight="1">
      <c r="A25" s="29" t="inlineStr">
        <is>
          <t>DNS in the cluster
How do pods find Services by name inside a cluster?</t>
        </is>
      </c>
      <c r="B25" s="29" t="inlineStr">
        <is>
          <t>DEFINITION (SIMPLE):
Cluster DNS, usually CoreDNS, creates names such as service.namespace.svc.cluster.local for every Service, and pods use it automatically through their resolver settings.
HOW / WHY IT WORKS:
Inside one namespace, api reaches the Service called api. From another namespace use api.shop or the full name. Headless Services return pod addresses, and StatefulSet pods get individual names. Search domains in resolv.conf allow short names. If lookups fail, check CoreDNS pods and network policies.
SIMPLE EXPLANATION (HINGLISH):
Use Service names as hostnames, and add the namespace across namespaces.
REAL-LIFE ANALOGY:
Cluster DNS is the internal phone book listing every Service by name.
FORMULA / RULE:
service.namespace.svc.cluster.local
EXAMPLE 1:
http://api inside the same namespace.
EXAMPLE 2:
http://api.shop across namespaces.
EXAMPLE 3:
db-0.db.shop.svc.cluster.local for a StatefulSet pod.
RELATED CONCEPTS:
Services, namespaces, StatefulSets, network policies
FAMILY / GROUP:
CoreDNS, FQDN, search domain, headless, resolver
WHERE IT IS USED:
Service calls | Debugging | Configuration
MINI CONVERSATION:
A: Can the web pod reach the api in another namespace? | B: Yes, use api.shop as the host.
COMMON MISTAKE:
✗ Pods must use IP addresses to find Services → ✓ Cluster DNS gives stable names
DON'T CONFUSE WITH:
Short name vs full name: short works within a namespace, full works anywhere.
AVOID / DON'T:
Do not hard-code pod IP addresses.
MEMORY TRICK:
Name, namespace, svc, cluster, local.
REAL LIFE: PROJECT / WORK:
Switching configs from IPs to Service names removed breakage after pod restarts.
REAL LIFE: INTERVIEW / EXAM:
An interviewer may ask: How does a pod resolve a Service name?
REAL LIFE: DAILY LIFE:
It is like an internal phone book.</t>
        </is>
      </c>
      <c r="C25" s="29" t="inlineStr">
        <is>
          <t>04_Networking_Intermediate_K8S-024</t>
        </is>
      </c>
    </row>
    <row r="26" ht="409" customHeight="1">
      <c r="A26" s="29" t="inlineStr">
        <is>
          <t>Network policies
Which objects restrict which pods may talk to each other?
apiVersion: networking.k8s.io/v1
kind: NetworkPolicy
metadata:
  name: db-allow-api
  namespace: shop
spec:
  podSelector:
    matchLabels: { app: db }
  policyTypes: [Ingress]
  ingress:
    - from:
        - podSelector:
            matchLabels: { app: api }
      ports:
        - { protocol: TCP, port: 5432 }</t>
        </is>
      </c>
      <c r="B26" s="29" t="inlineStr">
        <is>
          <t>MEANING (SHORT):
A NetworkPolicy selects pods and lists allowed ingress and egress traffic by pod, namespace or IP range, and it is enforced by a network plug-in that supports it.
CODE:
apiVersion: networking.k8s.io/v1
kind: NetworkPolicy
metadata:
  name: db-allow-api
  namespace: shop
spec:
  podSelector:
    matchLabels: { app: db }
  policyTypes: [Ingress]
  ingress:
    - from:
        - podSelector:
            matchLabels: { app: api }
      ports:
        - { protocol: TCP, port: 5432 }
OUTPUT:
Only pods labelled app api can reach the db pods on port 5432, and other ingress is denied.
EXPLANATION:
Once a pod is selected by a policy for a direction, all traffic not allowed is denied. Policies are additive. Without a plug-in that enforces them, policies have no effect. Egress rules also need DNS allowed. A default deny policy uses an empty podSelector.
SIMPLE EXPLANATION (HINGLISH):
Deny by default, then allow specific pods and ports.
REAL-LIFE ANALOGY:
A network policy is a guest list at each pod's door.
SYNTAX PATTERN:
kind: NetworkPolicy / podSelector / policyTypes / ingress / egress
ANATOMY:
podSelector = who is protected | from and to = allowed peers | ports = allowed ports
EXAMPLE 1:
podSelector: {}   // all pods in the namespace
EXAMPLE 2:
policyTypes: [Ingress, Egress]
EXAMPLE 3:
ipBlock: { cidr: 10.0.0.0/16 }
VARIATION:
namespaceSelector: { matchLabels: { team: web } }   // allow a whole namespace
USED WITH:
labels, namespaces, CNI plug-ins
RELATED CONCEPTS:
labels and selectors, namespaces, zero trust, firewalls
ALTERNATIVES:
Service mesh policies | cloud security groups
WHERE IT IS USED:
Multi-tenant clusters | Databases | Compliance
MINI CONVERSATION:
A: Any pod can reach our database. | B: Add a network policy that allows only the api.
COMMON MISTAKE:
✗ Network policies work on any cluster → ✓ They need a network plug-in that enforces them
COMMONLY CONFUSED WITH:
Network policy vs security group: one is per pod inside the cluster, the other is per cloud instance.
AVOID / DON'T:
Do not forget to allow DNS in egress rules.
WRONG CODE:
podSelector: {}   # with no rules, intended as allow all
RIGHT CODE:
ingress: [{ from: [{ podSelector: { matchLabels: { app: api } } }] }]
MEMORY TRICK:
Select the pod, list who may enter.
REAL LIFE: PROJECT / WORK:
A default deny policy limited a compromised pod's reach to nothing else.
REAL LIFE: INTERVIEW / EXAM:
An interviewer may ask: What happens to pods not selected by any policy?
REAL LIFE: DAILY LIFE:
It is like a guest list at the door.</t>
        </is>
      </c>
      <c r="C26" s="29" t="inlineStr">
        <is>
          <t>04_Networking_Advanced_K8S-025</t>
        </is>
      </c>
    </row>
    <row r="27" ht="409" customHeight="1">
      <c r="A27" s="29" t="inlineStr">
        <is>
          <t>Ports and health endpoints
How do container ports, Service ports and health endpoints fit together?</t>
        </is>
      </c>
      <c r="B27" s="29" t="inlineStr">
        <is>
          <t>DEFINITION (SIMPLE):
containerPort declares the port an app listens on, a Service port exposes it, targetPort links them, and probes check a health endpoint on the container port.
HOW / WHY IT WORKS:
containerPort is informational but useful for naming. The app must listen on 0.0.0.0, not only localhost, or Services cannot reach it. A named port such as http can be used in targetPort and probes. Health endpoints should be cheap and separate for liveness and readiness. Debug by port-forwarding to the pod and then the Service.
SIMPLE EXPLANATION (HINGLISH):
Make the app listen on all addresses, then match Service targetPort and probes to that port.
REAL-LIFE ANALOGY:
Ports are a chain of doors, and each door must lead to the next.
FORMULA / RULE:
Ingress → Service port → targetPort → containerPort.
EXAMPLE 1:
ports: [{ name: http, containerPort: 8080 }]
EXAMPLE 2:
targetPort: http
EXAMPLE 3:
readinessProbe on path /ready port http
RELATED CONCEPTS:
Services, probes, Ingress, port-forward
FAMILY / GROUP:
containerPort, targetPort, named port, listen address, health endpoint
WHERE IT IS USED:
Every deployment | Debugging | Probes
MINI CONVERSATION:
A: The Service cannot reach the app. | B: The app listens only on localhost, so bind to 0.0.0.0.
COMMON MISTAKE:
✗ Declaring containerPort opens the port → ✓ The app must actually listen, and the declaration is informational
DON'T CONFUSE WITH:
containerPort vs targetPort: one declares, the other routes.
AVOID / DON'T:
Do not bind servers to localhost in containers.
MEMORY TRICK:
Listen on all addresses, route by name.
REAL LIFE: PROJECT / WORK:
Binding to 0.0.0.0 fixed a Service that could never reach its pods.
REAL LIFE: INTERVIEW / EXAM:
An interviewer may ask: Why can a Service fail to reach a running pod?
REAL LIFE: DAILY LIFE:
It is like a chain of doors.</t>
        </is>
      </c>
      <c r="C27" s="29" t="inlineStr">
        <is>
          <t>04_Networking_Intermediate_K8S-026</t>
        </is>
      </c>
    </row>
    <row r="28" ht="409" customHeight="1">
      <c r="A28" s="29" t="inlineStr">
        <is>
          <t>Service mesh idea
Which layer adds secure, observable service-to-service traffic through sidecar proxies?</t>
        </is>
      </c>
      <c r="B28" s="29" t="inlineStr">
        <is>
          <t>DEFINITION (SIMPLE):
A service mesh, such as Istio or Linkerd, places proxies beside application containers to provide mutual TLS, traffic routing, retries and metrics, managed by a control plane.
HOW / WHY IT WORKS:
Apps call each other normally, while proxies encrypt, authenticate and measure the calls. Meshes enable canary routing, timeouts and circuit breaking by configuration. The cost is extra resources, learning effort and debugging layers. Sidecarless modes exist, such as Istio ambient mode. Many teams meet the same needs with simpler tools first.
SIMPLE EXPLANATION (HINGLISH):
A mesh handles secure and observable service calls through proxies.
REAL-LIFE ANALOGY:
A mesh is a private courier service that wraps and tracks every message between offices.
FORMULA / RULE:
Sidecar proxies + mesh control plane.
EXAMPLE 1:
Mutual TLS between all services by default.
EXAMPLE 2:
Sending ten percent of traffic to a new version.
EXAMPLE 3:
Automatic retries and timeouts.
RELATED CONCEPTS:
network policies, canary releases, mutual TLS, observability
FAMILY / GROUP:
Istio, Linkerd, sidecar, mTLS, proxy
WHERE IT IS USED:
Large microservice platforms | Zero trust | Traffic control
MINI CONVERSATION:
A: We need encrypted traffic between every service. | B: A mesh can enforce mutual TLS without changing the code.
COMMON MISTAKE:
✗ Every cluster needs a service mesh → ✓ Many clusters work well without one
DON'T CONFUSE WITH:
Mesh vs network policy: a mesh handles identity and traffic features, a policy only allows or blocks.
AVOID / DON'T:
Do not adopt a mesh without a clear need.
MEMORY TRICK:
Proxies beside every pod, control plane above.
REAL LIFE: PROJECT / WORK:
A mesh gave a customer mutual TLS and per-service metrics without code changes.
REAL LIFE: INTERVIEW / EXAM:
An interviewer may ask: What does a service mesh provide?
REAL LIFE: DAILY LIFE:
It is like a courier service that wraps every message.</t>
        </is>
      </c>
      <c r="C28" s="29" t="inlineStr">
        <is>
          <t>04_Networking_Advanced_K8S-027</t>
        </is>
      </c>
    </row>
    <row r="29" ht="409" customHeight="1">
      <c r="A29" s="29" t="inlineStr">
        <is>
          <t>Liveness and readiness probes
Which checks tell Kubernetes whether to restart a container or send it traffic?
containers:
  - name: app
    image: acme/web:1.4.2
    readinessProbe:
      httpGet: { path: /ready, port: 8080 }
      periodSeconds: 5
    livenessProbe:
      httpGet: { path: /healthz, port: 8080 }
      initialDelaySeconds: 20
      periodSeconds: 10
      failureThreshold: 3
    startupProbe:
      httpGet: { path: /healthz, port: 8080 }
      failureThreshold: 30
      periodSeconds: 2</t>
        </is>
      </c>
      <c r="B29" s="29" t="inlineStr">
        <is>
          <t>MEANING (SHORT):
A readiness probe decides whether a pod receives traffic, a liveness probe restarts a container that fails, and a startup probe protects slow starters.
CODE:
containers:
  - name: app
    image: acme/web:1.4.2
    readinessProbe:
      httpGet: { path: /ready, port: 8080 }
      periodSeconds: 5
    livenessProbe:
      httpGet: { path: /healthz, port: 8080 }
      initialDelaySeconds: 20
      periodSeconds: 10
      failureThreshold: 3
    startupProbe:
      httpGet: { path: /healthz, port: 8080 }
      failureThreshold: 30
      periodSeconds: 2
OUTPUT:
Traffic is withheld until ready passes, a stuck container is restarted after three failed liveness checks, and slow startup is tolerated.
EXPLANATION:
Failing readiness removes the pod from Service endpoints without restarting it. Failing liveness restarts the container, so a check that depends on a database can cause restart storms. Probes can be HTTP, TCP or commands. Startup probes disable the others until they succeed. Tune thresholds to avoid false failures.
SIMPLE EXPLANATION (HINGLISH):
Ready means send traffic, live means do not restart, and startup covers slow boots.
REAL-LIFE ANALOGY:
Readiness is a green light for guests, and liveness is a pulse check that calls the doctor.
SYNTAX PATTERN:
readinessProbe | livenessProbe | startupProbe with httpGet, tcpSocket or exec
ANATOMY:
periodSeconds = interval | failureThreshold = failures allowed | initialDelaySeconds = first wait
EXAMPLE 1:
tcpSocket: { port: 5432 }
EXAMPLE 2:
exec: { command: ["cat", "/tmp/healthy"] }
EXAMPLE 3:
timeoutSeconds: 2
VARIATION:
grpc: { port: 9000 }   // probe a gRPC health service
USED WITH:
Services, rolling updates, resource limits
RELATED CONCEPTS:
Services, rolling updates, HEALTHCHECK in Docker, requests and limits
ALTERNATIVES:
Application-level self checks
WHERE IT IS USED:
Every production pod | Rollouts | Self-healing
MINI CONVERSATION:
A: Pods restart endlessly when the database is slow. | B: The liveness probe depends on the database, so make it check only the app itself.
COMMON MISTAKE:
✗ Liveness and readiness probes do the same job → ✓ Readiness controls traffic, liveness triggers restarts
COMMONLY CONFUSED WITH:
Liveness vs readiness: restart versus route traffic.
AVOID / DON'T:
Do not make liveness depend on outside systems.
WRONG CODE:
livenessProbe: { httpGet: { path: /db-check, port: 8080 } }
RIGHT CODE:
livenessProbe: { httpGet: { path: /healthz, port: 8080 } }
MEMORY TRICK:
Readiness routes traffic, liveness restarts containers.
REAL LIFE: PROJECT / WORK:
Separating readiness from liveness stopped restart loops during database slowness.
REAL LIFE: INTERVIEW / EXAM:
An interviewer may ask: What is the difference between liveness and readiness?
REAL LIFE: DAILY LIFE:
It is like a green light and a pulse check.</t>
        </is>
      </c>
      <c r="C29" s="29" t="inlineStr">
        <is>
          <t>05_Reliability_Beginner_K8S-028</t>
        </is>
      </c>
    </row>
    <row r="30" ht="409" customHeight="1">
      <c r="A30" s="29" t="inlineStr">
        <is>
          <t>Requests and limits
Which settings reserve and cap CPU and memory for containers?
resources:
  requests:
    cpu: 250m
    memory: 256Mi
  limits:
    cpu: "1"
    memory: 512Mi</t>
        </is>
      </c>
      <c r="B30" s="29" t="inlineStr">
        <is>
          <t>MEANING (SHORT):
A request is the amount the scheduler reserves for scheduling decisions, and a limit is the maximum a container may use, with CPU throttled and memory exceeded causing an out-of-memory kill.
CODE:
resources:
  requests:
    cpu: 250m
    memory: 256Mi
  limits:
    cpu: "1"
    memory: 512Mi
OUTPUT:
The scheduler places the pod on a node with 250 millicores and 256Mi free, and the container is killed if it exceeds 512Mi.
EXPLANATION:
CPU is measured in cores, where 500m is half a core. Exceeding a CPU limit slows the container, while exceeding a memory limit kills it with status OOMKilled. Pods are classed as Guaranteed, Burstable or BestEffort, which decides eviction order. Without requests, scheduling is blind. Limit ranges and quotas set defaults per namespace.
SIMPLE EXPLANATION (HINGLISH):
Requests reserve capacity for scheduling, and limits cap usage.
REAL-LIFE ANALOGY:
A request is a reserved seat, and a limit is the cap on how much a guest may eat.
SYNTAX PATTERN:
resources: { requests: { cpu, memory }, limits: { cpu, memory } }
ANATOMY:
requests = reserved | limits = maximum | m = millicores | Mi = mebibytes
EXAMPLE 1:
kubectl top pods
EXAMPLE 2:
kubectl describe pod web-1   // shows OOMKilled
EXAMPLE 3:
cpu: 100m
VARIATION:
LimitRange   // default requests per namespace
USED WITH:
autoscaling, quotas, monitoring
RELATED CONCEPTS:
autoscaling, quotas, nodes, resource limits in Docker
ALTERNATIVES:
Vertical pod autoscaler
WHERE IT IS USED:
Every workload | Capacity planning | Cost control
MINI CONVERSATION:
A: The pod restarts with OOMKilled. | B: It exceeded its memory limit, so raise it or fix the leak.
COMMON MISTAKE:
✗ CPU limits kill containers like memory limits → ✓ CPU is throttled, and only memory overuse causes a kill
COMMONLY CONFUSED WITH:
Request vs limit: request reserves, limit caps.
AVOID / DON'T:
Do not run pods without requests.
WRONG CODE:
resources: {}   # unknown needs
RIGHT CODE:
resources: { requests: { cpu: 250m, memory: 256Mi }, limits: { memory: 512Mi } }
MEMORY TRICK:
Requests help schedule, limits help restrain usage.
REAL LIFE: PROJECT / WORK:
Setting requests from measured usage ended random evictions on a busy node.
REAL LIFE: INTERVIEW / EXAM:
An interviewer may ask: What happens when a container exceeds its memory limit?
REAL LIFE: DAILY LIFE:
It is like a reserved seat and a cap on eating.</t>
        </is>
      </c>
      <c r="C30" s="29" t="inlineStr">
        <is>
          <t>05_Reliability_Intermediate_K8S-029</t>
        </is>
      </c>
    </row>
    <row r="31" ht="409" customHeight="1">
      <c r="A31" s="29" t="inlineStr">
        <is>
          <t>Autoscaling
Which features add pods or nodes automatically as load changes?
apiVersion: autoscaling/v2
kind: HorizontalPodAutoscaler
metadata:
  name: web
spec:
  scaleTargetRef: { apiVersion: apps/v1, kind: Deployment, name: web }
  minReplicas: 2
  maxReplicas: 10
  metrics:
    - type: Resource
      resource:
        name: cpu
        target: { type: Utilization, averageUtilization: 60 }</t>
        </is>
      </c>
      <c r="B31" s="29" t="inlineStr">
        <is>
          <t>MEANING (SHORT):
The Horizontal Pod Autoscaler changes replica counts from metrics such as CPU, the Vertical Pod Autoscaler adjusts requests, and a cluster autoscaler adds or removes nodes.
CODE:
apiVersion: autoscaling/v2
kind: HorizontalPodAutoscaler
metadata:
  name: web
spec:
  scaleTargetRef: { apiVersion: apps/v1, kind: Deployment, name: web }
  minReplicas: 2
  maxReplicas: 10
  metrics:
    - type: Resource
      resource:
        name: cpu
        target: { type: Utilization, averageUtilization: 60 }
OUTPUT:
The Deployment scales between two and ten pods to keep average CPU near sixty percent of requests.
EXPLANATION:
The metrics server must be installed. Utilisation is measured against requests, so missing requests break scaling. Scale-up is fast and scale-down is slow to avoid flapping. Custom metrics can scale on queue length. When pods cannot be scheduled, the cluster autoscaler adds nodes.
SIMPLE EXPLANATION (HINGLISH):
Set min and max replicas and a target, and the autoscaler adjusts counts.
REAL-LIFE ANALOGY:
Autoscaling is a restaurant opening more tables as the crowd arrives.
SYNTAX PATTERN:
kind: HorizontalPodAutoscaler / minReplicas / maxReplicas / metrics
ANATOMY:
HPA = more pods | VPA = bigger pods | cluster autoscaler = more nodes
EXAMPLE 1:
kubectl autoscale deployment web --min=2 --max=10 --cpu-percent=60
EXAMPLE 2:
kubectl get hpa
EXAMPLE 3:
type: Pods with a custom metric
VARIATION:
behavior: { scaleDown: { stabilizationWindowSeconds: 300 } }   // slow scale-down
USED WITH:
requests and limits, metrics server, Deployments
RELATED CONCEPTS:
requests and limits, Deployments, cloud auto scaling, monitoring
ALTERNATIVES:
KEDA for event-driven scaling
WHERE IT IS USED:
Web services | Workers | Cost control
MINI CONVERSATION:
A: The HPA shows unknown metrics. | B: The metrics server or the CPU requests are missing.
COMMON MISTAKE:
✗ Autoscaling works without resource requests → ✓ Utilisation is a share of requests, so they are required
COMMONLY CONFUSED WITH:
HPA vs cluster autoscaler: pods versus nodes.
AVOID / DON'T:
Do not set minReplicas to one for critical services.
WRONG CODE:
resources: {}   # HPA on CPU utilisation cannot work without CPU requests
RIGHT CODE:
kubectl autoscale deployment web --min=2 --max=10 --cpu-percent=60
MEMORY TRICK:
HPA scales pods, cluster autoscaler scales nodes.
REAL LIFE: PROJECT / WORK:
An HPA absorbed evening traffic peaks without manual scaling.
REAL LIFE: INTERVIEW / EXAM:
An interviewer may ask: What does the HPA need to work?
REAL LIFE: DAILY LIFE:
It is like a restaurant opening more tables.</t>
        </is>
      </c>
      <c r="C31" s="29" t="inlineStr">
        <is>
          <t>05_Reliability_Intermediate_K8S-030</t>
        </is>
      </c>
    </row>
    <row r="32" ht="409" customHeight="1">
      <c r="A32" s="29" t="inlineStr">
        <is>
          <t>Taints and tolerations
Which pair keeps pods off certain nodes unless they explicitly accept them?</t>
        </is>
      </c>
      <c r="B32" s="29" t="inlineStr">
        <is>
          <t>DEFINITION (SIMPLE):
A taint on a node repels pods that do not tolerate it, and a toleration on a pod lets it be scheduled onto nodes with a matching taint.
HOW / WHY IT WORKS:
Effects include NoSchedule, PreferNoSchedule and NoExecute, which also evicts running pods. Tolerations only allow scheduling and do not attract pods, so pair them with node selectors or affinity to target nodes. Control plane nodes and GPU nodes are often tainted. Cloud autoscalers can apply taints to node groups.
SIMPLE EXPLANATION (HINGLISH):
Taint to keep pods away, tolerate to allow, and use affinity to attract.
REAL-LIFE ANALOGY:
A taint is a warning sign on a room, and a toleration is a permission slip.
FORMULA / RULE:
Taint repels, toleration permits, affinity attracts.
EXAMPLE 1:
kubectl taint nodes gpu-1 gpu=true:NoSchedule
EXAMPLE 2:
tolerations: [{ key: gpu, operator: Equal, value: "true", effect: NoSchedule }]
EXAMPLE 3:
NoExecute evicting existing pods.
RELATED CONCEPTS:
nodes, affinity, DaemonSets, requests and limits
FAMILY / GROUP:
taint, toleration, effect, NoSchedule, eviction
WHERE IT IS USED:
GPU nodes | Dedicated pools | Control plane
MINI CONVERSATION:
A: Why do pods avoid the GPU nodes? | B: The nodes are tainted, and pods lack a toleration.
COMMON MISTAKE:
✗ A toleration forces a pod onto the tainted node → ✓ It only allows it, and affinity is needed to attract
DON'T CONFUSE WITH:
Taint vs affinity: taints repel, affinity attracts.
AVOID / DON'T:
Do not rely on tolerations alone to place pods.
MEMORY TRICK:
Tolerate means may, not must.
REAL LIFE: PROJECT / WORK:
Tainting GPU nodes kept ordinary workloads from wasting expensive hardware.
REAL LIFE: INTERVIEW / EXAM:
An interviewer may ask: What does NoExecute do?
REAL LIFE: DAILY LIFE:
It is like a warning sign and a permission slip.</t>
        </is>
      </c>
      <c r="C32" s="29" t="inlineStr">
        <is>
          <t>05_Reliability_Advanced_K8S-031</t>
        </is>
      </c>
    </row>
    <row r="33" ht="409" customHeight="1">
      <c r="A33" s="29" t="inlineStr">
        <is>
          <t>Affinity and spreading
Which rules attract pods to certain nodes or spread them apart?</t>
        </is>
      </c>
      <c r="B33" s="29" t="inlineStr">
        <is>
          <t>DEFINITION (SIMPLE):
Node affinity attracts pods to nodes by labels, pod affinity and anti-affinity place pods near or away from other pods, and topology spread constraints balance pods across zones or nodes.
HOW / WHY IT WORKS:
Rules can be required or preferred. Spreading replicas over zones protects against a zone failure. Hard anti-affinity can leave pods unscheduled when there are too few nodes. Simple needs can use a nodeSelector. Labels such as topology.kubernetes.io/zone identify domains.
SIMPLE EXPLANATION (HINGLISH):
Use affinity to place pods, and spread constraints to survive zone failures.
REAL-LIFE ANALOGY:
Affinity is choosing seats near friends, and anti-affinity is choosing seats far apart.
FORMULA / RULE:
Required = must. Preferred = try.
EXAMPLE 1:
nodeSelector: { storage: nvme }
EXAMPLE 2:
topologySpreadConstraints over topology.kubernetes.io/zone
EXAMPLE 3:
podAntiAffinity so replicas avoid the same node.
RELATED CONCEPTS:
taints and tolerations, nodes, disruption budgets, availability zones
FAMILY / GROUP:
affinity, anti-affinity, topology, zone, spread
WHERE IT IS USED:
High availability | Performance | Cost placement
MINI CONVERSATION:
A: All replicas landed on one node. | B: Add anti-affinity or spread constraints.
COMMON MISTAKE:
✗ Replicas are always spread automatically → ✓ Without rules, they may share a node or zone
DON'T CONFUSE WITH:
Required vs preferred: required blocks scheduling, preferred only tries.
AVOID / DON'T:
Do not use hard anti-affinity with too few nodes.
MEMORY TRICK:
Spread replicas across zones on purpose.
REAL LIFE: PROJECT / WORK:
Spread constraints kept a service alive during a zone outage.
REAL LIFE: INTERVIEW / EXAM:
An interviewer may ask: How do you spread pods across zones?
REAL LIFE: DAILY LIFE:
It is like choosing seats near or far.</t>
        </is>
      </c>
      <c r="C33" s="29" t="inlineStr">
        <is>
          <t>05_Reliability_Advanced_K8S-032</t>
        </is>
      </c>
    </row>
    <row r="34" ht="409" customHeight="1">
      <c r="A34" s="29" t="inlineStr">
        <is>
          <t>Pod disruption budgets
Which objects limit how many pods may be down during voluntary disruptions?
apiVersion: policy/v1
kind: PodDisruptionBudget
metadata:
  name: web
spec:
  minAvailable: 2
  selector:
    matchLabels:
      app: web</t>
        </is>
      </c>
      <c r="B34" s="29" t="inlineStr">
        <is>
          <t>MEANING (SHORT):
A PodDisruptionBudget states the minimum available or maximum unavailable pods for a set of pods, which voluntary evictions such as drains must respect.
CODE:
apiVersion: policy/v1
kind: PodDisruptionBudget
metadata:
  name: web
spec:
  minAvailable: 2
  selector:
    matchLabels:
      app: web
OUTPUT:
Draining a node cannot take web below two available pods.
EXPLANATION:
Budgets apply to voluntary disruptions, such as drains and upgrades, and not to crashes. A budget that equals the replica count blocks drains forever. Use maxUnavailable for easy scaling. Autoscalers respect budgets when removing nodes. Combine with spread rules to avoid all replicas on one node.
SIMPLE EXPLANATION (HINGLISH):
Declare how many pods must stay up during maintenance.
REAL-LIFE ANALOGY:
A disruption budget says at least two staff must stay on shift.
SYNTAX PATTERN:
kind: PodDisruptionBudget / minAvailable or maxUnavailable / selector
ANATOMY:
minAvailable = floor | maxUnavailable = ceiling | selector = pods protected
EXAMPLE 1:
maxUnavailable: 1
EXAMPLE 2:
kubectl get pdb
EXAMPLE 3:
minAvailable: 50%
VARIATION:
unhealthyPodEvictionPolicy: AlwaysAllow   // allow evicting broken pods
USED WITH:
drains, upgrades, autoscaling
RELATED CONCEPTS:
nodes, affinity and spreading, rolling updates, upgrades
ALTERNATIVES:
Manual coordination
WHERE IT IS USED:
Node upgrades | Autoscaling | Replicated services
MINI CONVERSATION:
A: The drain hangs forever. | B: The budget requires all replicas, so lower minAvailable.
COMMON MISTAKE:
✗ A budget protects against crashes → ✓ It applies only to voluntary disruptions
COMMONLY CONFUSED WITH:
PDB vs replicas: replicas provide copies, a PDB limits planned removals.
AVOID / DON'T:
Do not set minAvailable equal to the replica count.
WRONG CODE:
minAvailable: 3   # with three replicas, drains block forever
RIGHT CODE:
minAvailable: 2
MEMORY TRICK:
Budgets limit planned outages only.
REAL LIFE: PROJECT / WORK:
A budget let node upgrades roll through without any visible outage.
REAL LIFE: INTERVIEW / EXAM:
An interviewer may ask: What does a PodDisruptionBudget protect against?
REAL LIFE: DAILY LIFE:
It is like a rule keeping staff on shift.</t>
        </is>
      </c>
      <c r="C34" s="29" t="inlineStr">
        <is>
          <t>05_Reliability_Advanced_K8S-033</t>
        </is>
      </c>
    </row>
    <row r="35" ht="409" customHeight="1">
      <c r="A35" s="29" t="inlineStr">
        <is>
          <t>Resource quotas
Which objects cap total resources used in a namespace?
apiVersion: v1
kind: ResourceQuota
metadata:
  name: team-a
  namespace: team-a
spec:
  hard:
    requests.cpu: "10"
    requests.memory: 20Gi
    limits.memory: 40Gi
    pods: "50"
    persistentvolumeclaims: "10"</t>
        </is>
      </c>
      <c r="B35" s="29" t="inlineStr">
        <is>
          <t>MEANING (SHORT):
A ResourceQuota limits the total CPU, memory, storage and object counts in a namespace, and rejects new objects that would exceed it.
CODE:
apiVersion: v1
kind: ResourceQuota
metadata:
  name: team-a
  namespace: team-a
spec:
  hard:
    requests.cpu: "10"
    requests.memory: 20Gi
    limits.memory: 40Gi
    pods: "50"
    persistentvolumeclaims: "10"
OUTPUT:
The namespace team-a cannot request more than ten CPUs, 20Gi memory or fifty pods in total.
EXPLANATION:
When a quota covers CPU or memory, pods must declare requests and limits, or they are rejected. A LimitRange supplies defaults. Used and hard values show in kubectl describe quota. Quotas stop one team from starving others. They cap totals, not single pods.
SIMPLE EXPLANATION (HINGLISH):
Set a quota per namespace, and give pods default requests with a LimitRange.
REAL-LIFE ANALOGY:
A quota is a household budget for a namespace.
SYNTAX PATTERN:
kind: ResourceQuota / spec.hard
ANATOMY:
hard = maximum totals | used = current | LimitRange = defaults
EXAMPLE 1:
kubectl describe quota -n team-a
EXAMPLE 2:
count/deployments.apps: "20"
EXAMPLE 3:
kind: LimitRange with default requests
VARIATION:
scopeSelector for priority classes   // quotas by scope
USED WITH:
namespaces, requests and limits, LimitRange
RELATED CONCEPTS:
namespaces, requests and limits, autoscaling, cost control
ALTERNATIVES:
Separate clusters
WHERE IT IS USED:
Multi-team clusters | Cost control | Fairness
MINI CONVERSATION:
A: New pods are rejected as exceeding quota. | B: The namespace is at its limit, so raise it or free capacity.
COMMON MISTAKE:
✗ A quota limits each pod → ✓ It limits the namespace total
COMMONLY CONFUSED WITH:
Quota vs limit: a quota caps a namespace, a limit caps one container.
AVOID / DON'T:
Do not add a compute quota without defaults for requests.
WRONG CODE:
hard: { requests.cpu: "10" }   # pods without requests are rejected
RIGHT CODE:
# add a LimitRange with default requests too
MEMORY TRICK:
Quotas cap totals, limits cap containers.
REAL LIFE: PROJECT / WORK:
Quotas stopped one team's runaway job from consuming the whole cluster.
REAL LIFE: INTERVIEW / EXAM:
An interviewer may ask: What is the difference between a quota and a limit?
REAL LIFE: DAILY LIFE:
It is like a household budget.</t>
        </is>
      </c>
      <c r="C35" s="29" t="inlineStr">
        <is>
          <t>05_Reliability_Intermediate_K8S-034</t>
        </is>
      </c>
    </row>
    <row r="36" ht="409" customHeight="1">
      <c r="A36" s="29" t="inlineStr">
        <is>
          <t>RBAC
Which system decides who may do what to which resources in the cluster?
apiVersion: rbac.authorization.k8s.io/v1
kind: Role
metadata: { name: pod-reader, namespace: shop }
rules:
  - apiGroups: [""]
    resources: ["pods", "pods/log"]
    verbs: ["get", "list", "watch"]
---
kind: RoleBinding
apiVersion: rbac.authorization.k8s.io/v1
metadata: { name: read-pods, namespace: shop }
subjects:
  - { kind: User, name: asha }
roleRef: { kind: Role, name: pod-reader, apiGroup: rbac.authorization.k8s.io }</t>
        </is>
      </c>
      <c r="B36" s="29" t="inlineStr">
        <is>
          <t>MEANING (SHORT):
A Role lists allowed verbs on resources in a namespace, a ClusterRole does so cluster-wide, and a RoleBinding or ClusterRoleBinding gives that role to users, groups or service accounts.
CODE:
apiVersion: rbac.authorization.k8s.io/v1
kind: Role
metadata: { name: pod-reader, namespace: shop }
rules:
  - apiGroups: [""]
    resources: ["pods", "pods/log"]
    verbs: ["get", "list", "watch"]
---
kind: RoleBinding
apiVersion: rbac.authorization.k8s.io/v1
metadata: { name: read-pods, namespace: shop }
subjects:
  - { kind: User, name: asha }
roleRef: { kind: Role, name: pod-reader, apiGroup: rbac.authorization.k8s.io }
OUTPUT:
The user asha can read pods and their logs in the shop namespace only.
EXPLANATION:
Permissions are only additive, with no deny rules. Verbs include get, list, watch, create, update, patch and delete. Check access with kubectl auth can-i. Avoid cluster-admin except for few trusted people. Managed clusters link cloud identities to Kubernetes groups.
SIMPLE EXPLANATION (HINGLISH):
Write Roles for needed verbs, bind them to subjects, and test with can-i.
REAL-LIFE ANALOGY:
RBAC is a keycard system where each card opens only certain doors.
SYNTAX PATTERN:
Role / ClusterRole + RoleBinding / ClusterRoleBinding
ANATOMY:
rules = verbs on resources | subjects = who | roleRef = which role
EXAMPLE 1:
kubectl auth can-i delete pods -n shop --as asha
EXAMPLE 2:
kind: ClusterRoleBinding to a group
EXAMPLE 3:
verbs: ["*"]   // avoid
VARIATION:
kubectl create rolebinding read-pods --role=pod-reader --user=asha -n shop   // quick binding
USED WITH:
service accounts, namespaces, cloud identities
RELATED CONCEPTS:
service accounts, namespaces, least privilege, IAM
ALTERNATIVES:
Cloud identity integrations
WHERE IT IS USED:
Every shared cluster | Audits | CI access
MINI CONVERSATION:
A: Can the pipeline delete namespaces? | B: Check with can-i, and give it only the verbs it needs.
COMMON MISTAKE:
✗ RBAC can deny actions explicitly → ✓ It only adds permissions, so absence means denied
COMMONLY CONFUSED WITH:
Role vs ClusterRole: a Role is namespaced, a ClusterRole is cluster-wide.
AVOID / DON'T:
Do not grant cluster-admin to applications.
WRONG CODE:
verbs: ["*"]   # grants everything
RIGHT CODE:
verbs: ["get", "list", "watch"]
MEMORY TRICK:
Roles hold verbs, bindings hand them out.
REAL LIFE: PROJECT / WORK:
Replacing cluster-admin for a pipeline with a narrow Role removed a major risk.
REAL LIFE: INTERVIEW / EXAM:
An interviewer may ask: What is the difference between a Role and a ClusterRole?
REAL LIFE: DAILY LIFE:
It is like keycards opening certain doors.</t>
        </is>
      </c>
      <c r="C36" s="29" t="inlineStr">
        <is>
          <t>06_Security_Intermediate_K8S-035</t>
        </is>
      </c>
    </row>
    <row r="37" ht="409" customHeight="1">
      <c r="A37" s="29" t="inlineStr">
        <is>
          <t>Service accounts
Which identities do pods use to call the Kubernetes API?
apiVersion: v1
kind: ServiceAccount
metadata: { name: report-job, namespace: shop }
automountServiceAccountToken: false
---
# pod spec
# serviceAccountName: report-job</t>
        </is>
      </c>
      <c r="B37" s="29" t="inlineStr">
        <is>
          <t>MEANING (SHORT):
A ServiceAccount is an identity for processes in pods, to which RBAC roles are bound, and short-lived tokens are issued to the pod when it needs API access.
CODE:
apiVersion: v1
kind: ServiceAccount
metadata: { name: report-job, namespace: shop }
automountServiceAccountToken: false
---
# pod spec
# serviceAccountName: report-job
OUTPUT:
The pod runs as report-job with no API token mounted unless a role requires it.
EXPLANATION:
Every namespace has a default service account that should not hold special permissions. Tokens are projected, expire and are bound to the pod. Cloud integrations such as IRSA and workload identity map service accounts to cloud roles, so pods get cloud access without keys. Bind only the verbs needed.
SIMPLE EXPLANATION (HINGLISH):
Give each app its own service account, bind narrow roles, and avoid token mounts when unused.
REAL-LIFE ANALOGY:
A service account is a staff badge issued to a program.
SYNTAX PATTERN:
kind: ServiceAccount / serviceAccountName in the pod spec
ANATOMY:
serviceAccountName = identity | automountServiceAccountToken = token mount | binding = permissions
EXAMPLE 1:
kubectl create serviceaccount report-job -n shop
EXAMPLE 2:
eks.amazonaws.com/role-arn annotation
EXAMPLE 3:
kubectl get sa -n shop
VARIATION:
kubectl create token report-job   // a short-lived token
USED WITH:
RBAC, cloud identity, pods
RELATED CONCEPTS:
RBAC, temporary credentials, secrets, pods
ALTERNATIVES:
External identity systems
WHERE IT IS USED:
Controllers | Pipelines | Cloud access from pods
MINI CONVERSATION:
A: How does the pod get cloud access without keys? | B: Map its service account to a cloud role.
COMMON MISTAKE:
✗ All pods should share the default service account → ✓ Each app needs its own, with only needed permissions
COMMONLY CONFUSED WITH:
ServiceAccount vs user: service accounts are for pods, users are for people.
AVOID / DON'T:
Do not bind powerful roles to the default service account.
WRONG CODE:
# pods all use the default service account
RIGHT CODE:
serviceAccountName: report-job
MEMORY TRICK:
Give each workload its own badge.
REAL LIFE: PROJECT / WORK:
Mapping service accounts to cloud roles removed stored cloud keys from pods.
REAL LIFE: INTERVIEW / EXAM:
An interviewer may ask: How do pods authenticate to the API?
REAL LIFE: DAILY LIFE:
It is like a staff badge for a program.</t>
        </is>
      </c>
      <c r="C37" s="29" t="inlineStr">
        <is>
          <t>06_Security_Intermediate_K8S-036</t>
        </is>
      </c>
    </row>
    <row r="38" ht="409" customHeight="1">
      <c r="A38" s="29" t="inlineStr">
        <is>
          <t>Pod security
Which settings keep containers from running with dangerous privileges?
securityContext:
  runAsNonRoot: true
  runAsUser: 10001
  allowPrivilegeEscalation: false
  readOnlyRootFilesystem: true
  capabilities:
    drop: ["ALL"]
  seccompProfile: { type: RuntimeDefault }
# label a namespace:
# pod-security.kubernetes.io/enforce: restricted</t>
        </is>
      </c>
      <c r="B38" s="29" t="inlineStr">
        <is>
          <t>MEANING (SHORT):
A securityContext sets user, privilege and capability options, and Pod Security Standards enforced by admission at namespace level, such as baseline and restricted, block risky pods.
CODE:
securityContext:
  runAsNonRoot: true
  runAsUser: 10001
  allowPrivilegeEscalation: false
  readOnlyRootFilesystem: true
  capabilities:
    drop: ["ALL"]
  seccompProfile: { type: RuntimeDefault }
# label a namespace:
# pod-security.kubernetes.io/enforce: restricted
OUTPUT:
The container runs as an unprivileged user with a read-only file system and no extra capabilities, and the namespace rejects riskier pods.
EXPLANATION:
Privileged containers, host networking and host paths give wide access and should be avoided. Levels are privileged, baseline and restricted. Policy engines such as Kyverno or OPA Gatekeeper add custom rules. Combine with image scanning and network policies. Read-only roots need writable volumes for temporary files.
SIMPLE EXPLANATION (HINGLISH):
Run as non-root, block escalation, drop capabilities, and enforce the restricted standard.
REAL-LIFE ANALOGY:
Pod security is taking sharp tools away from visitors before they enter.
SYNTAX PATTERN:
securityContext: { runAsNonRoot, allowPrivilegeEscalation, capabilities }
ANATOMY:
runAsNonRoot = no root | capabilities drop = fewer powers | enforce label = namespace rule
EXAMPLE 1:
privileged: false
EXAMPLE 2:
kubectl label ns shop pod-security.kubernetes.io/enforce=restricted
EXAMPLE 3:
hostNetwork: false
VARIATION:
Kyverno policy requiring resource limits   // custom admission rule
USED WITH:
image scanning, RBAC, admission policy
RELATED CONCEPTS:
RBAC, image pull secrets, Docker non-root, network policies
ALTERNATIVES:
Kyverno | OPA Gatekeeper
WHERE IT IS USED:
Production clusters | Compliance | Multi-tenant platforms
MINI CONVERSATION:
A: A pod runs as root with host access. | B: Enforce the restricted standard in the namespace.
COMMON MISTAKE:
✗ Containers are isolated enough that privileges do not matter → ✓ Privileged settings can give access to the whole node
COMMONLY CONFUSED WITH:
securityContext vs admission policy: one configures a pod, the other enforces rules on all pods.
AVOID / DON'T:
Do not run privileged containers.
WRONG CODE:
securityContext: { privileged: true }
RIGHT CODE:
securityContext: { runAsNonRoot: true, allowPrivilegeEscalation: false }
MEMORY TRICK:
Non-root, read-only, no extra powers.
REAL LIFE: PROJECT / WORK:
Enforcing restricted standards blocked a risky image from starting.
REAL LIFE: INTERVIEW / EXAM:
An interviewer may ask: What are the Pod Security Standards?
REAL LIFE: DAILY LIFE:
It is like removing sharp tools before visitors enter.</t>
        </is>
      </c>
      <c r="C38" s="29" t="inlineStr">
        <is>
          <t>06_Security_Advanced_K8S-037</t>
        </is>
      </c>
    </row>
    <row r="39" ht="409" customHeight="1">
      <c r="A39" s="29" t="inlineStr">
        <is>
          <t>Image pull secrets
How does a cluster pull images from a private registry?
kubectl create secret docker-registry regcred --docker-server=ghcr.io --docker-username=bot --docker-password="$TOKEN" -n shop
# pod spec
imagePullSecrets:
  - name: regcred
containers:
  - name: app
    image: ghcr.io/acme/web:1.4.2</t>
        </is>
      </c>
      <c r="B39" s="29" t="inlineStr">
        <is>
          <t>MEANING (SHORT):
An image pull secret is a docker-registry Secret holding registry credentials, referenced by a pod or service account in imagePullSecrets.
CODE:
kubectl create secret docker-registry regcred --docker-server=ghcr.io --docker-username=bot --docker-password="$TOKEN" -n shop
# pod spec
imagePullSecrets:
  - name: regcred
containers:
  - name: app
    image: ghcr.io/acme/web:1.4.2
OUTPUT:
The kubelet logs in to ghcr.io with the stored credentials and pulls the private image.
EXPLANATION:
Without the secret, pods show ErrImagePull or ImagePullBackOff. The secret must be in the same namespace as the pod. Attaching it to the service account applies it to all its pods. Cloud registries often integrate with node roles so no secret is needed. Tokens should be read-only and short lived.
SIMPLE EXPLANATION (HINGLISH):
Create a registry secret in the pod's namespace and reference it in imagePullSecrets.
REAL-LIFE ANALOGY:
An image pull secret is a library card for fetching private books.
SYNTAX PATTERN:
kubectl create secret docker-registry NAME --docker-server=... / imagePullSecrets
ANATOMY:
docker-registry secret = login | imagePullSecrets = pod reference | same namespace = required
EXAMPLE 1:
kubectl patch serviceaccount default -p '{"imagePullSecrets":[{"name":"regcred"}]}'
EXAMPLE 2:
kubectl describe pod web-1   // shows pull errors
EXAMPLE 3:
image: ghcr.io/acme/web@sha256:abc123
VARIATION:
node IAM role for ECR   // no secret needed on EKS
USED WITH:
registries, service accounts, CI
RELATED CONCEPTS:
registries and Docker Hub, service accounts, ImagePullBackOff, secrets
ALTERNATIVES:
Cloud node roles | workload identity
WHERE IT IS USED:
Private registries | Enterprise clusters | CI
MINI CONVERSATION:
A: The pod says ImagePullBackOff. | B: The cluster lacks registry credentials, so add an image pull secret.
COMMON MISTAKE:
✗ A secret in any namespace works for a pod → ✓ It must be in the pod's own namespace
COMMONLY CONFUSED WITH:
Image pull secret vs app secret: one logs in to a registry, the other holds app data.
AVOID / DON'T:
Do not use personal passwords for registry access.
WRONG CODE:
# secret created in default, pod runs in shop
RIGHT CODE:
kubectl create secret docker-registry regcred ... -n shop
MEMORY TRICK:
Same namespace, referenced by name.
REAL LIFE: PROJECT / WORK:
Attaching a pull secret to the service account fixed pulls for every pod in a namespace.
REAL LIFE: INTERVIEW / EXAM:
An interviewer may ask: Why does a pod show ImagePullBackOff?
REAL LIFE: DAILY LIFE:
It is like a library card.</t>
        </is>
      </c>
      <c r="C39" s="29" t="inlineStr">
        <is>
          <t>06_Security_Intermediate_K8S-038</t>
        </is>
      </c>
    </row>
    <row r="40" ht="409" customHeight="1">
      <c r="A40" s="29" t="inlineStr">
        <is>
          <t>Helm
Which package manager installs and upgrades Kubernetes applications from charts?
helm repo add grafana https://grafana.github.io/helm-charts
helm install dash grafana/grafana -n shop -f values-prod.yaml
helm upgrade dash grafana/grafana -n shop -f values-prod.yaml
helm rollback dash 1 -n shop
helm template dash grafana/grafana -f values-prod.yaml</t>
        </is>
      </c>
      <c r="B40" s="29" t="inlineStr">
        <is>
          <t>MEANING (SHORT):
A Helm chart bundles templated manifests with default values, and helm installs it as a release that can be upgraded, rolled back and removed.
CODE:
helm repo add grafana https://grafana.github.io/helm-charts
helm install dash grafana/grafana -n shop -f values-prod.yaml
helm upgrade dash grafana/grafana -n shop -f values-prod.yaml
helm rollback dash 1 -n shop
helm template dash grafana/grafana -f values-prod.yaml
OUTPUT:
The chart is installed as release dash, upgraded with new values, rolled back to revision one, and rendered locally for review.
EXPLANATION:
Templates use Go template syntax with values from values.yaml and overrides. Each install is a release with a revision history. Charts can depend on other charts. helm template renders YAML without installing, which helps review. Secrets in values files need care. Check where a chart's images come from, because some free public image repositories have moved or stopped updating.
SIMPLE EXPLANATION (HINGLISH):
Install charts with values, upgrade releases, and roll back if needed.
REAL-LIFE ANALOGY:
Helm is an app store for the cluster, and values are the settings you choose.
SYNTAX PATTERN:
helm install RELEASE CHART -f values.yaml | helm upgrade | helm rollback
ANATOMY:
chart = package | values = settings | release = installed instance | revision = version
EXAMPLE 1:
helm list -n shop
EXAMPLE 2:
helm show values grafana/grafana
EXAMPLE 3:
helm uninstall db -n shop
VARIATION:
helm upgrade --install db ./chart   // install or upgrade in one command
USED WITH:
values files, repositories, CI
RELATED CONCEPTS:
Kustomize, Deployments, GitOps, secrets
ALTERNATIVES:
Kustomize | plain manifests
WHERE IT IS USED:
Installing third-party apps | Packaging | Environments
MINI CONVERSATION:
A: How do I install Postgres with custom settings? | B: Use the chart with a values file.
COMMON MISTAKE:
✗ Helm replaces the need to understand Kubernetes → ✓ It generates the same objects, and problems still need Kubernetes knowledge
COMMONLY CONFUSED WITH:
Chart vs release: a chart is the package, a release is an installed instance.
AVOID / DON'T:
Do not store secrets in plain values files in Git.
WRONG CODE:
helm install postgresql   # missing release name and chart
RIGHT CODE:
helm install dash grafana/grafana
MEMORY TRICK:
Chart is the box, release is the install.
REAL LIFE: PROJECT / WORK:
Helm charts let one app deploy to three environments with different values.
REAL LIFE: INTERVIEW / EXAM:
An interviewer may ask: What is the difference between a chart and a release?
REAL LIFE: DAILY LIFE:
It is like an app store.</t>
        </is>
      </c>
      <c r="C40" s="29" t="inlineStr">
        <is>
          <t>07_Tooling_Intermediate_K8S-039</t>
        </is>
      </c>
    </row>
    <row r="41" ht="409" customHeight="1">
      <c r="A41" s="29" t="inlineStr">
        <is>
          <t>Kustomize
Which tool customises plain YAML by layering overlays without templates?
# base/kustomization.yaml
resources: [deployment.yaml, service.yaml]
# overlays/prod/kustomization.yaml
resources: [../../base]
namespace: shop
replicas:
  - { name: web, count: 5 }
images:
  - { name: acme/web, newTag: 1.4.2 }
# apply: kubectl apply -k overlays/prod</t>
        </is>
      </c>
      <c r="B41" s="29" t="inlineStr">
        <is>
          <t>MEANING (SHORT):
Kustomize reads a kustomization file that lists resources and patches, and outputs customised manifests built into kubectl.
CODE:
# base/kustomization.yaml
resources: [deployment.yaml, service.yaml]
# overlays/prod/kustomization.yaml
resources: [../../base]
namespace: shop
replicas:
  - { name: web, count: 5 }
images:
  - { name: acme/web, newTag: 1.4.2 }
# apply: kubectl apply -k overlays/prod
OUTPUT:
The prod overlay applies the base with five replicas and the pinned image tag in the shop namespace.
EXPLANATION:
Features include name prefixes, labels, image overrides, patches and config generators. Output can be previewed with kubectl kustomize. It works on plain YAML, so the base stays valid. Compared with Helm, it has no templates, but less power for packaging third-party apps.
SIMPLE EXPLANATION (HINGLISH):
Keep a base, add overlays per environment, and apply with -k.
REAL-LIFE ANALOGY:
Kustomize is a transparent sheet laid over a base drawing to change details.
SYNTAX PATTERN:
kustomization.yaml with resources, patches, images, replicas
ANATOMY:
base = shared files | overlay = environment changes | patches = edits
EXAMPLE 1:
kubectl kustomize overlays/prod
EXAMPLE 2:
namePrefix: prod-
EXAMPLE 3:
patches: [{ path: patch.yaml }]
VARIATION:
configMapGenerator   // create ConfigMaps from files
USED WITH:
kubectl, GitOps, overlays
RELATED CONCEPTS:
Helm, Deployments, GitOps, Compose override files
ALTERNATIVES:
Helm | plain copies
WHERE IT IS USED:
Environment variants | GitOps | Small teams
MINI CONVERSATION:
A: Staging and prod differ only in replicas and tags. | B: Use a base and two Kustomize overlays.
COMMON MISTAKE:
✗ Kustomize needs templating knowledge → ✓ It patches plain YAML with no templates
COMMONLY CONFUSED WITH:
Kustomize vs Helm: patches versus templates and packages.
AVOID / DON'T:
Do not copy whole manifests per environment.
WRONG CODE:
# copy deployment.yaml into dev and prod folders
RIGHT CODE:
resources: [../../base]
MEMORY TRICK:
Base once, overlay per place.
REAL LIFE: PROJECT / WORK:
Overlays replaced duplicated manifests and cut configuration drift.
REAL LIFE: INTERVIEW / EXAM:
An interviewer may ask: When would you choose Kustomize over Helm?
REAL LIFE: DAILY LIFE:
It is like a transparent sheet over a drawing.</t>
        </is>
      </c>
      <c r="C41" s="29" t="inlineStr">
        <is>
          <t>07_Tooling_Intermediate_K8S-040</t>
        </is>
      </c>
    </row>
    <row r="42" ht="409" customHeight="1">
      <c r="A42" s="29" t="inlineStr">
        <is>
          <t>Debugging with describe and logs
Which two commands show why a pod is unhealthy?
kubectl get pods -n shop
kubectl describe pod web-7d9f -n shop
kubectl logs web-7d9f -n shop
kubectl logs web-7d9f -n shop --previous
kubectl logs deploy/web -n shop -f --tail=50</t>
        </is>
      </c>
      <c r="B42" s="29" t="inlineStr">
        <is>
          <t>MEANING (SHORT):
kubectl describe shows a pod's state, settings and events, and kubectl logs prints the container's output, including the previous crashed container.
CODE:
kubectl get pods -n shop
kubectl describe pod web-7d9f -n shop
kubectl logs web-7d9f -n shop
kubectl logs web-7d9f -n shop --previous
kubectl logs deploy/web -n shop -f --tail=50
OUTPUT:
The commands show pod status, events, current logs, logs of the last crashed container, and a live tail of the deployment.
EXPLANATION:
Events reveal scheduling failures, image problems, probe failures and OOM kills. Logs show application errors. --previous is essential for CrashLoopBackOff. For multi-container pods use -c to pick one. Logs disappear when pods are deleted, so central logging is important.
SIMPLE EXPLANATION (HINGLISH):
Describe for events and state, logs for application output, previous for crashes.
REAL-LIFE ANALOGY:
Describe is the case file, and logs are the witness statement.
SYNTAX PATTERN:
kubectl describe pod NAME | kubectl logs NAME [-c container] [--previous]
ANATOMY:
describe = state and events | logs = output | --previous = last crash | -f = follow
EXAMPLE 1:
kubectl logs web-1 -c sidecar
EXAMPLE 2:
kubectl logs -l app=web --tail=20
EXAMPLE 3:
kubectl get events --sort-by=.lastTimestamp
VARIATION:
kubectl logs -f web-1   // stream live
USED WITH:
events, probes, exec
RELATED CONCEPTS:
events, exec, CrashLoopBackOff, logging
ALTERNATIVES:
Central logging | k9s
WHERE IT IS USED:
Daily debugging | Incidents | Rollouts
MINI CONVERSATION:
A: The pod restarts and the logs look empty. | B: Use --previous to read the crashed container's output.
COMMON MISTAKE:
✗ kubectl logs shows logs of a crashed container by default → ✓ It shows the current one, so add --previous
COMMONLY CONFUSED WITH:
describe vs logs: describe shows cluster events, logs show app output.
AVOID / DON'T:
Do not rely on pod logs after the pod is deleted.
WRONG CODE:
kubectl logs web-1   # empty after a crash
RIGHT CODE:
kubectl logs web-1 --previous
MEMORY TRICK:
If it crashed, read the earlier logs.
REAL LIFE: PROJECT / WORK:
Reading previous logs revealed a missing environment variable in a crash loop.
REAL LIFE: INTERVIEW / EXAM:
An interviewer may ask: How do you debug a crashing pod?
REAL LIFE: DAILY LIFE:
It is like a case file and a witness statement.</t>
        </is>
      </c>
      <c r="C42" s="29" t="inlineStr">
        <is>
          <t>07_Tooling_Beginner_K8S-041</t>
        </is>
      </c>
    </row>
    <row r="43" ht="409" customHeight="1">
      <c r="A43" s="29" t="inlineStr">
        <is>
          <t>kubectl exec
Which command runs a command inside a running container?
kubectl exec -it web-7d9f -n shop -- sh
kubectl exec web-7d9f -n shop -- env
kubectl exec web-7d9f -c app -- cat /etc/resolv.conf
kubectl debug -it web-7d9f --image=busybox --target=app</t>
        </is>
      </c>
      <c r="B43" s="29" t="inlineStr">
        <is>
          <t>MEANING (SHORT):
kubectl exec runs a command in a container of a pod, with -it for an interactive shell.
CODE:
kubectl exec -it web-7d9f -n shop -- sh
kubectl exec web-7d9f -n shop -- env
kubectl exec web-7d9f -c app -- cat /etc/resolv.conf
kubectl debug -it web-7d9f --image=busybox --target=app
OUTPUT:
A shell opens in the pod, environment variables print, DNS settings print, and a debug container attaches to a minimal image.
EXPLANATION:
The double dash separates kubectl options from the command. Slim images may lack a shell, so use kubectl debug to attach an ephemeral container with tools. Changes made inside are lost on restart. Access is controlled by RBAC permission on pods/exec, which should be limited in production.
SIMPLE EXPLANATION (HINGLISH):
Use exec to look inside, and debug when the image has no shell.
REAL-LIFE ANALOGY:
Exec is a side door into the container's room.
SYNTAX PATTERN:
kubectl exec -it POD [-c CONTAINER] -- command
ANATOMY:
-it = interactive | -c = container | -- = separator | debug = ephemeral container
EXAMPLE 1:
kubectl exec web-1 -- ls /app
EXAMPLE 2:
kubectl exec -it db-0 -- psql -U postgres
EXAMPLE 3:
kubectl debug node/node-1 -it --image=busybox
VARIATION:
kubectl cp web-1:/tmp/out.txt ./out.txt   // copy files out
USED WITH:
debugging, RBAC, ephemeral containers
RELATED CONCEPTS:
debugging with describe and logs, port-forward, RBAC, Docker exec
ALTERNATIVES:
kubectl debug | port-forward
WHERE IT IS USED:
Debugging | Database access | Inspection
MINI CONVERSATION:
A: There is no shell in this image. | B: Use kubectl debug to attach a toolbox container.
COMMON MISTAKE:
✗ Changes made through exec are permanent → ✓ They vanish when the pod is replaced
COMMONLY CONFUSED WITH:
exec vs debug: exec uses an existing container, debug adds a new tool container.
AVOID / DON'T:
Do not patch production pods by hand.
WRONG CODE:
kubectl exec -it web-1 sh
RIGHT CODE:
kubectl exec -it web-1 -- sh
MEMORY TRICK:
Two dashes before the command.
REAL LIFE: PROJECT / WORK:
Using kubectl debug explained a DNS failure in a distroless pod.
REAL LIFE: INTERVIEW / EXAM:
An interviewer may ask: How do you debug a pod without a shell?
REAL LIFE: DAILY LIFE:
It is like a side door into a room.</t>
        </is>
      </c>
      <c r="C43" s="29" t="inlineStr">
        <is>
          <t>07_Tooling_Intermediate_K8S-042</t>
        </is>
      </c>
    </row>
    <row r="44" ht="409" customHeight="1">
      <c r="A44" s="29" t="inlineStr">
        <is>
          <t>port-forward
Which command tunnels a local port to a pod or Service?
kubectl port-forward svc/web 8080:80 -n shop
kubectl port-forward pod/db-0 5433:5432 -n shop
curl http://localhost:8080/health</t>
        </is>
      </c>
      <c r="B44" s="29" t="inlineStr">
        <is>
          <t>MEANING (SHORT):
kubectl port-forward opens a local port that forwards traffic through the API server to a pod, deployment or Service port.
CODE:
kubectl port-forward svc/web 8080:80 -n shop
kubectl port-forward pod/db-0 5433:5432 -n shop
curl http://localhost:8080/health
OUTPUT:
Local port 8080 reaches the web Service, local port 5433 reaches the database pod, and the curl call shows the health response.
EXPLANATION:
The command runs until you stop it. It binds to localhost by default. It tests an app without exposing it publicly. Forwarding to a pod fixes one instance, which dies on restart. It needs permission on pods/portforward. It is for debugging, not for production access.
SIMPLE EXPLANATION (HINGLISH):
Forward a local port to a Service or pod to reach it from your laptop.
REAL-LIFE ANALOGY:
Port-forward is a private tunnel from your laptop into the cluster.
SYNTAX PATTERN:
kubectl port-forward TYPE/NAME LOCAL:REMOTE
ANATOMY:
svc/web = target | 8080 = local port | 80 = remote port
EXAMPLE 1:
kubectl port-forward deploy/api 3000:3000
EXAMPLE 2:
kubectl port-forward --address 0.0.0.0 svc/web 8080:80
EXAMPLE 3:
kubectl port-forward pod/web-1 9090
VARIATION:
kubectl port-forward svc/web :80   // choose a free local port
USED WITH:
debugging, databases, dashboards
RELATED CONCEPTS:
Services, SSH tunnels, exec, ports
ALTERNATIVES:
Ingress | VPN access
WHERE IT IS USED:
Development | Debugging | Dashboards
MINI CONVERSATION:
A: How can I test the internal API from my laptop? | B: Port-forward the Service.
COMMON MISTAKE:
✗ port-forward exposes the service to the internet → ✓ It is local and temporary
COMMONLY CONFUSED WITH:
port-forward vs NodePort: one is a temporary tunnel, the other is a permanent exposure.
AVOID / DON'T:
Do not use port-forward as a production access method.
WRONG CODE:
kubectl port-forward svc/web 80:8080   # local and remote swapped
RIGHT CODE:
kubectl port-forward svc/web 8080:80
MEMORY TRICK:
Local number first, remote number second.
REAL LIFE: PROJECT / WORK:
Forwarding the database pod let a developer check data without exposing it.
REAL LIFE: INTERVIEW / EXAM:
An interviewer may ask: What does kubectl port-forward do?
REAL LIFE: DAILY LIFE:
It is like a private tunnel.</t>
        </is>
      </c>
      <c r="C44" s="29" t="inlineStr">
        <is>
          <t>07_Tooling_Beginner_K8S-043</t>
        </is>
      </c>
    </row>
    <row r="45" ht="409" customHeight="1">
      <c r="A45" s="29" t="inlineStr">
        <is>
          <t>Events
Which records show what the cluster did or failed to do with an object?
kubectl get events -n shop --sort-by=.lastTimestamp
kubectl get events -n shop --field-selector type=Warning
kubectl describe pod web-7d9f -n shop
kubectl get events -n shop --field-selector involvedObject.name=web-7d9f</t>
        </is>
      </c>
      <c r="B45" s="29" t="inlineStr">
        <is>
          <t>MEANING (SHORT):
Events are short records created by components about objects, such as Scheduled, Pulled, Failed or BackOff, and they expire after about an hour.
CODE:
kubectl get events -n shop --sort-by=.lastTimestamp
kubectl get events -n shop --field-selector type=Warning
kubectl describe pod web-7d9f -n shop
kubectl get events -n shop --field-selector involvedObject.name=web-7d9f
OUTPUT:
Events list newest last, warnings alone, pod details with events, and events for one pod.
EXPLANATION:
Events explain why a pod is pending, why an image failed to pull or why a probe fails. They are short lived, so collect them in monitoring for history. Warnings deserve attention. Controllers generate events for rollouts and scaling.
SIMPLE EXPLANATION (HINGLISH):
Read events sorted by time and filter warnings to find causes.
REAL-LIFE ANALOGY:
Events are the cluster's diary entries about each object.
SYNTAX PATTERN:
kubectl get events --sort-by=.lastTimestamp
ANATOMY:
type = Normal or Warning | reason = short code | object = who it is about
EXAMPLE 1:
kubectl get events -A --field-selector type=Warning
EXAMPLE 2:
kubectl events --for pod/web-1
EXAMPLE 3:
Reason FailedScheduling
VARIATION:
kubectl get events -w   // watch live
USED WITH:
describe, logs, monitoring
RELATED CONCEPTS:
debugging with describe and logs, common failures, monitoring, alerts
ALTERNATIVES:
Event exporters
WHERE IT IS USED:
Debugging | Incidents | Rollouts
MINI CONVERSATION:
A: Why is the pod pending? | B: Events say FailedScheduling because no node has enough memory.
COMMON MISTAKE:
✗ Events are kept forever → ✓ They expire quickly, so export them if needed
COMMONLY CONFUSED WITH:
Events vs logs: events come from the cluster, logs come from the app.
AVOID / DON'T:
Do not depend on events for long-term history.
WRONG CODE:
kubectl get events   # unsorted and in the default namespace only
RIGHT CODE:
kubectl get events -n shop --sort-by=.lastTimestamp
MEMORY TRICK:
Sort events by time, then filter warnings.
REAL LIFE: PROJECT / WORK:
Events showed a node memory shortage behind pending pods.
REAL LIFE: INTERVIEW / EXAM:
An interviewer may ask: Where do you see why a pod is Pending?
REAL LIFE: DAILY LIFE:
It is like diary entries about each object.</t>
        </is>
      </c>
      <c r="C45" s="29" t="inlineStr">
        <is>
          <t>07_Tooling_Beginner_K8S-044</t>
        </is>
      </c>
    </row>
    <row r="46" ht="409" customHeight="1">
      <c r="A46" s="29" t="inlineStr">
        <is>
          <t>Common failures: CrashLoopBackOff and ImagePullBackOff
Which two statuses show a crashing container and a failed image pull, and how do you fix them?
kubectl get pods -n shop
kubectl describe pod web-7d9f -n shop   # events and exit code
kubectl logs web-7d9f -n shop --previous   # why it crashed
kubectl get pod web-7d9f -n shop -o jsonpath='{.status.containerStatuses[0].lastState}'
kubectl describe pod web-7d9f -n shop | grep -i -A3 "pull"</t>
        </is>
      </c>
      <c r="B46" s="29" t="inlineStr">
        <is>
          <t>MEANING (SHORT):
CrashLoopBackOff means the container starts and exits repeatedly with growing delays, and ImagePullBackOff means the image cannot be fetched, usually from a wrong name, tag or credentials.
CODE:
kubectl get pods -n shop
kubectl describe pod web-7d9f -n shop   # events and exit code
kubectl logs web-7d9f -n shop --previous   # why it crashed
kubectl get pod web-7d9f -n shop -o jsonpath='{.status.containerStatuses[0].lastState}'
kubectl describe pod web-7d9f -n shop | grep -i -A3 "pull"
OUTPUT:
The commands show the status, the events and exit code, the previous log, the last state and any pull errors.
EXPLANATION:
Causes of CrashLoopBackOff include application errors, missing variables or config, failed liveness probes, wrong commands and out-of-memory kills, with exit code 137. ImagePullBackOff comes from typos, missing tags, private registries without credentials or network limits. Pending means no node fits, due to resources, taints or volumes. Fix the cause, then the backoff resets.
SIMPLE EXPLANATION (HINGLISH):
Read events, previous logs and exit codes, then fix the app, config or image reference.
REAL-LIFE ANALOGY:
CrashLoop is a worker who keeps fainting at the door, and ImagePull is a delivery that never arrives.
SYNTAX PATTERN:
kubectl describe pod | kubectl logs --previous
ANATOMY:
CrashLoopBackOff = app exits | ImagePullBackOff = image fetch fails | Pending = not scheduled | 137 = killed
EXAMPLE 1:
Exit code 1 from an application error.
EXAMPLE 2:
Exit code 137 from OOMKilled.
EXAMPLE 3:
Failed to pull image with not found.
VARIATION:
kubectl rollout restart deployment/web   // restart after fixing config
USED WITH:
events, logs, probes
RELATED CONCEPTS:
debugging with describe and logs, events, requests and limits, image pull secrets
ALTERNATIVES:
Monitoring dashboards
WHERE IT IS USED:
Incidents | Daily operations | Interviews
MINI CONVERSATION:
A: The pod shows CrashLoopBackOff. | B: Read the previous logs and exit code to find why it keeps dying.
COMMON MISTAKE:
✗ CrashLoopBackOff is an error of Kubernetes itself → ✓ It reports that the application keeps exiting
COMMONLY CONFUSED WITH:
CrashLoopBackOff vs ImagePullBackOff: the app crashes versus the image cannot be pulled.
AVOID / DON'T:
Do not just delete the pod without reading the cause.
WRONG CODE:
kubectl delete pod web-1   # without reading logs or events
RIGHT CODE:
kubectl logs web-1 --previous &amp;&amp; kubectl describe pod web-1
MEMORY TRICK:
Pending scheduling, Pull image, Crash app.
REAL LIFE: PROJECT / WORK:
Reading exit code 137 pointed to a memory limit behind a crash loop.
REAL LIFE: INTERVIEW / EXAM:
An interviewer may ask: How do you debug CrashLoopBackOff?
REAL LIFE: DAILY LIFE:
It is like a worker who keeps fainting at the door.</t>
        </is>
      </c>
      <c r="C46" s="29" t="inlineStr">
        <is>
          <t>07_Tooling_Intermediate_K8S-045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6"/>
  <sheetViews>
    <sheetView workbookViewId="0">
      <pane ySplit="1" topLeftCell="A2" activePane="bottomLeft" state="frozen"/>
      <selection pane="bottomLeft" activeCell="A1" sqref="A1"/>
    </sheetView>
  </sheetViews>
  <sheetFormatPr baseColWidth="8" defaultRowHeight="15"/>
  <cols>
    <col width="65" customWidth="1" min="1" max="1"/>
    <col width="70" customWidth="1" min="2" max="2"/>
    <col width="30" customWidth="1" min="3" max="3"/>
  </cols>
  <sheetData>
    <row r="1">
      <c r="A1" s="28" t="inlineStr">
        <is>
          <t>Front</t>
        </is>
      </c>
      <c r="B1" s="28" t="inlineStr">
        <is>
          <t>Back</t>
        </is>
      </c>
      <c r="C1" s="28" t="inlineStr">
        <is>
          <t>Tags</t>
        </is>
      </c>
    </row>
    <row r="2" ht="94.5" customHeight="1">
      <c r="A2" s="29" t="inlineStr">
        <is>
          <t>MCQ: What does Kubernetes keep true?
A) The logs B) The price C) The declared desired state D) The images
FILL: Kubernetes works from a declared ____ state
APPLY: A team has hundreds of containers over many servers. What do they need?</t>
        </is>
      </c>
      <c r="B2" s="29" t="inlineStr">
        <is>
          <t>MCQ answer: C  Controllers reconcile reality with the declaration.
Fill answer: desired
Apply: An orchestrator such as Kubernetes</t>
        </is>
      </c>
      <c r="C2" s="29" t="inlineStr">
        <is>
          <t>01_Architecture_Beginner_K8S-001_quiz</t>
        </is>
      </c>
    </row>
    <row r="3" ht="94.5" customHeight="1">
      <c r="A3" s="29" t="inlineStr">
        <is>
          <t>MCQ: Which component stores cluster state?
A) kube-proxy B) The kubelet C) The container runtime D) etcd
FILL: The front door for every request is the ____ server
APPLY: A new pod is not placed on any node. Which component decides placement?</t>
        </is>
      </c>
      <c r="B3" s="29" t="inlineStr">
        <is>
          <t>MCQ answer: D  etcd is the consistent key-value store.
Fill answer: API
Apply: The scheduler</t>
        </is>
      </c>
      <c r="C3" s="29" t="inlineStr">
        <is>
          <t>01_Architecture_Intermediate_K8S-002_quiz</t>
        </is>
      </c>
    </row>
    <row r="4" ht="81" customHeight="1">
      <c r="A4" s="29" t="inlineStr">
        <is>
          <t>MCQ: Which agent starts containers on a node?
A) etcd B) kubelet C) kubectl D) scheduler
FILL: Moving pods off a node before maintenance is called ____
APPLY: You must patch a node safely. What do you run first?</t>
        </is>
      </c>
      <c r="B4" s="29" t="inlineStr">
        <is>
          <t>MCQ answer: B  The kubelet carries out the assignments from the control plane.
Fill answer: draining
Apply: kubectl drain</t>
        </is>
      </c>
      <c r="C4" s="29" t="inlineStr">
        <is>
          <t>01_Architecture_Intermediate_K8S-003_quiz</t>
        </is>
      </c>
    </row>
    <row r="5" ht="108" customHeight="1">
      <c r="A5" s="29" t="inlineStr">
        <is>
          <t>MCQ: Which verb shows detailed information and events for an object?
A) describe B) apply C) get D) delete
FILL: The flag that selects a namespace is ____
HINDI TO TASK: List all pods in every namespace.
PRACTICE QUESTION: What does -A mean?</t>
        </is>
      </c>
      <c r="B5" s="29" t="inlineStr">
        <is>
          <t>MCQ answer: A  describe prints details and recent events.
Fill answer: -n
Task answer:
kubectl get pods -A
Practice answer:
All namespaces.</t>
        </is>
      </c>
      <c r="C5" s="29" t="inlineStr">
        <is>
          <t>01_Architecture_Beginner_K8S-004_quiz</t>
        </is>
      </c>
    </row>
    <row r="6" ht="148.5" customHeight="1">
      <c r="A6" s="29" t="inlineStr">
        <is>
          <t>MCQ: What does a context combine?
A) A pod and a node B) A cluster, a user and a namespace C) An image and a tag D) A volume and a claim
FILL: The environment variable that points kubectl to one or more config files is ____
HINDI TO TASK: Switch to the context named staging.
PRACTICE QUESTION: How do you run one command against another cluster without switching?</t>
        </is>
      </c>
      <c r="B6" s="29" t="inlineStr">
        <is>
          <t>MCQ answer: B  It selects where and as whom to act.
Fill answer: KUBECONFIG
Task answer:
kubectl config use-context staging
Practice answer:
Use the --context flag.</t>
        </is>
      </c>
      <c r="C6" s="29" t="inlineStr">
        <is>
          <t>01_Architecture_Intermediate_K8S-005_quiz</t>
        </is>
      </c>
    </row>
    <row r="7" ht="94.5" customHeight="1">
      <c r="A7" s="29" t="inlineStr">
        <is>
          <t>MCQ: Which service is Google's managed Kubernetes?
A) EKS B) AKS C) GKE D) ECS
FILL: A tool that runs a small cluster inside Docker is ____
APPLY: A small team wants Kubernetes without running the control plane. What do they choose?</t>
        </is>
      </c>
      <c r="B7" s="29" t="inlineStr">
        <is>
          <t>MCQ answer: C  GKE is Google Kubernetes Engine.
Fill answer: kind
Apply: A managed service</t>
        </is>
      </c>
      <c r="C7" s="29" t="inlineStr">
        <is>
          <t>01_Architecture_Beginner_K8S-006_quiz</t>
        </is>
      </c>
    </row>
    <row r="8" ht="121.5" customHeight="1">
      <c r="A8" s="29" t="inlineStr">
        <is>
          <t>MCQ: What do containers in one pod share?
A) Their images B) The node's disk only C) Nothing D) Network address and volumes
FILL: A helper container in the same pod is called a ____
HINDI TO TASK: Run a pod called web using the nginx image.
PRACTICE QUESTION: Why not rely on a pod's IP address?</t>
        </is>
      </c>
      <c r="B8" s="29" t="inlineStr">
        <is>
          <t>MCQ answer: D  Pods share an IP, ports and mounted volumes.
Fill answer: sidecar
Task answer:
kubectl run web --image=nginx:1.27
Practice answer:
A replacement pod gets a new IP.</t>
        </is>
      </c>
      <c r="C8" s="29" t="inlineStr">
        <is>
          <t>02_Workloads_Beginner_K8S-007_quiz</t>
        </is>
      </c>
    </row>
    <row r="9" ht="108" customHeight="1">
      <c r="A9" s="29" t="inlineStr">
        <is>
          <t>MCQ: What does a ReplicaSet keep constant?
A) The number of matching pods B) The image size C) The log level D) The node count
FILL: A ReplicaSet finds its pods using a label ____
APPLY: A deleted pod keeps coming back. What should you delete or scale instead?</t>
        </is>
      </c>
      <c r="B9" s="29" t="inlineStr">
        <is>
          <t>MCQ answer: A  It reconciles pods with the replica number.
Fill answer: selector
Apply: The owning controller</t>
        </is>
      </c>
      <c r="C9" s="29" t="inlineStr">
        <is>
          <t>02_Workloads_Intermediate_K8S-008_quiz</t>
        </is>
      </c>
    </row>
    <row r="10" ht="108" customHeight="1">
      <c r="A10" s="29" t="inlineStr">
        <is>
          <t>MCQ: What does a Deployment create to manage pods?
A) Secrets B) Nodes C) ReplicaSets D) Namespaces
FILL: The field that sets the number of copies is ____
HINDI TO TASK: Scale the deployment web to five copies.
PRACTICE QUESTION: Why must the selector match the template labels?</t>
        </is>
      </c>
      <c r="B10" s="29" t="inlineStr">
        <is>
          <t>MCQ answer: C  Each version has its own ReplicaSet.
Fill answer: replicas
Task answer:
kubectl scale deployment web --replicas=5
Practice answer:
Otherwise the Deployment cannot find its pods.</t>
        </is>
      </c>
      <c r="C10" s="29" t="inlineStr">
        <is>
          <t>02_Workloads_Beginner_K8S-009_quiz</t>
        </is>
      </c>
    </row>
    <row r="11" ht="148.5" customHeight="1">
      <c r="A11" s="29" t="inlineStr">
        <is>
          <t>MCQ: What do StatefulSet pods have that Deployment pods do not?
A) More CPU B) Stable names and per-pod storage C) Free licences D) Public IPs
FILL: A service without a cluster IP used for stable pod names is ____
HINDI TO TASK: Give each StatefulSet pod its own volume claim.
PRACTICE QUESTION: Are volumes deleted when a StatefulSet scales down?</t>
        </is>
      </c>
      <c r="B11" s="29" t="inlineStr">
        <is>
          <t>MCQ answer: B  Each ordinal pod keeps its identity and volume.
Fill answer: headless
Task answer:
volumeClaimTemplates:
  - metadata: { name: data }
    spec: { accessModes: ["ReadWriteOnce"], resources: { requests: { storage: 20Gi } } }
Practice answer:
No, they are kept for safety.</t>
        </is>
      </c>
      <c r="C11" s="29" t="inlineStr">
        <is>
          <t>02_Workloads_Intermediate_K8S-010_quiz</t>
        </is>
      </c>
    </row>
    <row r="12" ht="108" customHeight="1">
      <c r="A12" s="29" t="inlineStr">
        <is>
          <t>MCQ: How many pods does a DaemonSet run per node?
A) As many as possible B) Zero C) Three D) One
FILL: Allowing pods onto tainted nodes uses a ____
HINDI TO TASK: Run a log agent on every node.
PRACTICE QUESTION: How many pods does a DaemonSet keep per node?</t>
        </is>
      </c>
      <c r="B12" s="29" t="inlineStr">
        <is>
          <t>MCQ answer: D  It keeps a single copy on each matching node.
Fill answer: toleration
Task answer:
kind: DaemonSet
Practice answer:
One on each matching node.</t>
        </is>
      </c>
      <c r="C12" s="29" t="inlineStr">
        <is>
          <t>02_Workloads_Intermediate_K8S-011_quiz</t>
        </is>
      </c>
    </row>
    <row r="13" ht="108" customHeight="1">
      <c r="A13" s="29" t="inlineStr">
        <is>
          <t>MCQ: Which restart policy is allowed for Job pods?
A) OnFailure B) Always C) Reboot D) Forever
FILL: The field that sets the number of retries for a Job is ____
HINDI TO TASK: Create a one-off job from an existing CronJob.
PRACTICE QUESTION: What does concurrencyPolicy Forbid do?</t>
        </is>
      </c>
      <c r="B13" s="29" t="inlineStr">
        <is>
          <t>MCQ answer: A  Always would never let the Job complete.
Fill answer: backoffLimit
Task answer:
kubectl create job test --from=cronjob/nightly-report
Practice answer:
It skips a new run while the previous one is still running.</t>
        </is>
      </c>
      <c r="C13" s="29" t="inlineStr">
        <is>
          <t>02_Workloads_Intermediate_K8S-012_quiz</t>
        </is>
      </c>
    </row>
    <row r="14" ht="121.5" customHeight="1">
      <c r="A14" s="29" t="inlineStr">
        <is>
          <t>MCQ: What does a Service use to find pods?
A) Pod names B) Image tags C) A label selector D) Node names
FILL: Non-identifying notes on objects are called ____
HINDI TO TASK: List pods labelled app web.
PRACTICE QUESTION: What happens if a Service selector does not match any pod?</t>
        </is>
      </c>
      <c r="B14" s="29" t="inlineStr">
        <is>
          <t>MCQ answer: C  Selectors match pod labels.
Fill answer: annotations
Task answer:
kubectl get pods -l app=web
Practice answer:
It has no endpoints, so traffic goes nowhere.</t>
        </is>
      </c>
      <c r="C14" s="29" t="inlineStr">
        <is>
          <t>02_Workloads_Beginner_K8S-013_quiz</t>
        </is>
      </c>
    </row>
    <row r="15" ht="121.5" customHeight="1">
      <c r="A15" s="29" t="inlineStr">
        <is>
          <t>MCQ: What happens when a namespace is deleted?
A) Everything inside it is deleted B) Nothing C) Nodes are removed D) Only pods stop
FILL: The namespace that holds the system parts is ____
HINDI TO TASK: Create a namespace called shop.
PRACTICE QUESTION: Are nodes namespaced?</t>
        </is>
      </c>
      <c r="B15" s="29" t="inlineStr">
        <is>
          <t>MCQ answer: A  Namespaced objects are removed with it.
Fill answer: kube-system
Task answer:
kubectl create namespace shop
Practice answer:
No, they are cluster-wide.</t>
        </is>
      </c>
      <c r="C15" s="29" t="inlineStr">
        <is>
          <t>02_Workloads_Beginner_K8S-014_quiz</t>
        </is>
      </c>
    </row>
    <row r="16" ht="148.5" customHeight="1">
      <c r="A16" s="29" t="inlineStr">
        <is>
          <t>MCQ: Which command returns to the previous version?
A) kubectl drain B) kubectl rollout undo C) kubectl delete D) kubectl scale
FILL: The setting for extra pods during an update is max____
HINDI TO TASK: Roll back the deployment web to the previous revision.
PRACTICE QUESTION: Why are readiness probes important during rollouts?</t>
        </is>
      </c>
      <c r="B16" s="29" t="inlineStr">
        <is>
          <t>MCQ answer: B  It restores the previous ReplicaSet.
Fill answer: Surge
Task answer:
kubectl rollout undo deployment/web
Practice answer:
Traffic should reach only pods that are ready.</t>
        </is>
      </c>
      <c r="C16" s="29" t="inlineStr">
        <is>
          <t>02_Workloads_Intermediate_K8S-015_quiz</t>
        </is>
      </c>
    </row>
    <row r="17" ht="121.5" customHeight="1">
      <c r="A17" s="29" t="inlineStr">
        <is>
          <t>MCQ: When are environment variables from a ConfigMap read?
A) Continuously B) Every minute C) Never D) When the pod starts
FILL: All values in a ConfigMap are stored as ____
HINDI TO TASK: Create a ConfigMap with LOG_LEVEL set to info.
PRACTICE QUESTION: Why restart pods after changing an environment ConfigMap?</t>
        </is>
      </c>
      <c r="B17" s="29" t="inlineStr">
        <is>
          <t>MCQ answer: D  Environment variables are fixed at container start.
Fill answer: strings
Task answer:
kubectl create configmap web-config --from-literal=LOG_LEVEL=info
Practice answer:
Environment variables are read only at start.</t>
        </is>
      </c>
      <c r="C17" s="29" t="inlineStr">
        <is>
          <t>03_Config_and_Storage_Beginner_K8S-016_quiz</t>
        </is>
      </c>
    </row>
    <row r="18" ht="135" customHeight="1">
      <c r="A18" s="29" t="inlineStr">
        <is>
          <t>MCQ: What is base64 in a Secret?
A) Hashing B) Strong encryption C) Compression D) Reversible encoding
FILL: Protecting Secrets stored in etcd needs encryption at ____
HINDI TO TASK: Create a secret called db with a password value.
PRACTICE QUESTION: Why prefer mounted secret files over environment variables?</t>
        </is>
      </c>
      <c r="B18" s="29" t="inlineStr">
        <is>
          <t>MCQ answer: D  Anyone can decode it.
Fill answer: rest
Task answer:
kubectl create secret generic db --from-literal=password='s3cr3t'
Practice answer:
Variables can leak through logs and child processes.</t>
        </is>
      </c>
      <c r="C18" s="29" t="inlineStr">
        <is>
          <t>03_Config_and_Storage_Intermediate_K8S-017_quiz</t>
        </is>
      </c>
    </row>
    <row r="19" ht="121.5" customHeight="1">
      <c r="A19" s="29" t="inlineStr">
        <is>
          <t>MCQ: How long does an emptyDir volume last?
A) Until the node reboots only B) One minute C) As long as the pod D) Forever
FILL: Where a volume appears in the container is its mount ____
HINDI TO TASK: Mount a temporary folder at /tmp/work.
PRACTICE QUESTION: Why is hostPath risky?</t>
        </is>
      </c>
      <c r="B19" s="29" t="inlineStr">
        <is>
          <t>MCQ answer: C  It is created and deleted with the pod.
Fill answer: path
Task answer:
volumes: [{ name: scratch, emptyDir: {} }] and volumeMounts: [{ name: scratch, mountPath: /tmp/work }]
Practice answer:
It ties pods to a node and exposes host files.</t>
        </is>
      </c>
      <c r="C19" s="29" t="inlineStr">
        <is>
          <t>03_Config_and_Storage_Intermediate_K8S-018_quiz</t>
        </is>
      </c>
    </row>
    <row r="20" ht="121.5" customHeight="1">
      <c r="A20" s="29" t="inlineStr">
        <is>
          <t>MCQ: What does a PersistentVolumeClaim do?
A) Stores secrets B) Requests storage C) Runs a pod D) Defines a node
FILL: The access mode for a single node writer is ReadWrite____
HINDI TO TASK: Request 10Gi of single-node storage.
PRACTICE QUESTION: What does a claim ask for?</t>
        </is>
      </c>
      <c r="B20" s="29" t="inlineStr">
        <is>
          <t>MCQ answer: B  It asks for size and access mode.
Fill answer: Once
Task answer:
kind: PersistentVolumeClaim with accessModes ReadWriteOnce and requests storage 10Gi
Practice answer:
Storage of a given size and access mode.</t>
        </is>
      </c>
      <c r="C20" s="29" t="inlineStr">
        <is>
          <t>03_Config_and_Storage_Intermediate_K8S-019_quiz</t>
        </is>
      </c>
    </row>
    <row r="21" ht="108" customHeight="1">
      <c r="A21" s="29" t="inlineStr">
        <is>
          <t>MCQ: What does a StorageClass name?
A) A provisioner and parameters B) A namespace C) A node D) A pod
FILL: The plug-in standard used by provisioners is called ____
HINDI TO TASK: List the storage classes in the cluster.
PRACTICE QUESTION: Why delay volume creation until a pod is placed?</t>
        </is>
      </c>
      <c r="B21" s="29" t="inlineStr">
        <is>
          <t>MCQ answer: A  It tells Kubernetes how to create storage.
Fill answer: CSI
Task answer:
kubectl get storageclass
Practice answer:
So the disk is created in the same zone as the pod.</t>
        </is>
      </c>
      <c r="C21" s="29" t="inlineStr">
        <is>
          <t>03_Config_and_Storage_Intermediate_K8S-020_quiz</t>
        </is>
      </c>
    </row>
    <row r="22" ht="121.5" customHeight="1">
      <c r="A22" s="29" t="inlineStr">
        <is>
          <t>MCQ: Which field loads every key of a ConfigMap as variables?
A) labels B) envFrom C) env D) args
FILL: The feature that exposes pod information to the container is the ____ API
HINDI TO TASK: Set LOG_LEVEL to info for a container.
PRACTICE QUESTION: When are env variables read?</t>
        </is>
      </c>
      <c r="B22" s="29" t="inlineStr">
        <is>
          <t>MCQ answer: B  envFrom imports all keys.
Fill answer: downward
Task answer:
env: [{ name: LOG_LEVEL, value: "info" }]
Practice answer:
When the container starts.</t>
        </is>
      </c>
      <c r="C22" s="29" t="inlineStr">
        <is>
          <t>03_Config_and_Storage_Beginner_K8S-021_quiz</t>
        </is>
      </c>
    </row>
    <row r="23" ht="108" customHeight="1">
      <c r="A23" s="29" t="inlineStr">
        <is>
          <t>MCQ: Which Service type is reachable only inside the cluster?
A) NodePort B) LoadBalancer C) ClusterIP D) Ingress
FILL: The list of pod addresses behind a Service is its ____
HINDI TO TASK: Expose the deployment web on port 80.
PRACTICE QUESTION: Which pods receive traffic from a Service?</t>
        </is>
      </c>
      <c r="B23" s="29" t="inlineStr">
        <is>
          <t>MCQ answer: C  ClusterIP is internal by default.
Fill answer: endpoints
Task answer:
kubectl expose deployment web --port=80
Practice answer:
Ready pods whose labels match the selector.</t>
        </is>
      </c>
      <c r="C23" s="29" t="inlineStr">
        <is>
          <t>04_Networking_Beginner_K8S-022_quiz</t>
        </is>
      </c>
    </row>
    <row r="24" ht="121.5" customHeight="1">
      <c r="A24" s="29" t="inlineStr">
        <is>
          <t>MCQ: What must run for Ingress rules to work?
A) An ingress controller B) A DaemonSet only C) A CronJob D) A StatefulSet
FILL: Certificates for Ingress are stored in a ____
HINDI TO TASK: List the Ingress objects.
PRACTICE QUESTION: What does pathType Prefix do?</t>
        </is>
      </c>
      <c r="B24" s="29" t="inlineStr">
        <is>
          <t>MCQ answer: A  The controller implements the rules.
Fill answer: Secret
Task answer:
kubectl get ingress
Practice answer:
It matches any path beginning with the given text.</t>
        </is>
      </c>
      <c r="C24" s="29" t="inlineStr">
        <is>
          <t>04_Networking_Intermediate_K8S-023_quiz</t>
        </is>
      </c>
    </row>
    <row r="25" ht="81" customHeight="1">
      <c r="A25" s="29" t="inlineStr">
        <is>
          <t>MCQ: Which component usually provides cluster DNS?
A) kubelet B) etcd C) kube-proxy D) CoreDNS
FILL: The default cluster domain is ____
APPLY: A pod must call a Service in the shop namespace. Which host?</t>
        </is>
      </c>
      <c r="B25" s="29" t="inlineStr">
        <is>
          <t>MCQ answer: D  CoreDNS serves the cluster.local names.
Fill answer: cluster.local
Apply: api.shop</t>
        </is>
      </c>
      <c r="C25" s="29" t="inlineStr">
        <is>
          <t>04_Networking_Intermediate_K8S-024_quiz</t>
        </is>
      </c>
    </row>
    <row r="26" ht="135" customHeight="1">
      <c r="A26" s="29" t="inlineStr">
        <is>
          <t>MCQ: What happens to pods not selected by any policy?
A) They stop B) They restart C) All traffic is denied D) All traffic is allowed
FILL: A policy that blocks everything for selected pods is called default ____
HINDI TO TASK: Select every pod in a namespace.
PRACTICE QUESTION: Why can policies have no effect?</t>
        </is>
      </c>
      <c r="B26" s="29" t="inlineStr">
        <is>
          <t>MCQ answer: D  Policies apply only to selected pods.
Fill answer: deny
Task answer:
podSelector: {}
Practice answer:
The network plug-in may not enforce them.</t>
        </is>
      </c>
      <c r="C26" s="29" t="inlineStr">
        <is>
          <t>04_Networking_Advanced_K8S-025_quiz</t>
        </is>
      </c>
    </row>
    <row r="27" ht="94.5" customHeight="1">
      <c r="A27" s="29" t="inlineStr">
        <is>
          <t>MCQ: Which address should containerised servers bind to?
A) localhost only B) 0.0.0.0 C) 127.0.0.1 only D) 10.0.0.1
FILL: A port given a label can be referenced by its ____
APPLY: A Service cannot reach a running app. What do you check first?</t>
        </is>
      </c>
      <c r="B27" s="29" t="inlineStr">
        <is>
          <t>MCQ answer: B  Other pods connect from outside the container.
Fill answer: name
Apply: The address the app listens on</t>
        </is>
      </c>
      <c r="C27" s="29" t="inlineStr">
        <is>
          <t>04_Networking_Intermediate_K8S-026_quiz</t>
        </is>
      </c>
    </row>
    <row r="28" ht="108" customHeight="1">
      <c r="A28" s="29" t="inlineStr">
        <is>
          <t>MCQ: What does a sidecar proxy do in a mesh?
A) Handles encryption and traffic features B) Stores data C) Builds images D) Schedules pods
FILL: Encryption where both sides verify each other is mutual ____
APPLY: A customer wants encrypted traffic everywhere with no code change. What do you suggest?</t>
        </is>
      </c>
      <c r="B28" s="29" t="inlineStr">
        <is>
          <t>MCQ answer: A  The proxy intercepts service calls.
Fill answer: TLS
Apply: A service mesh</t>
        </is>
      </c>
      <c r="C28" s="29" t="inlineStr">
        <is>
          <t>04_Networking_Advanced_K8S-027_quiz</t>
        </is>
      </c>
    </row>
    <row r="29" ht="121.5" customHeight="1">
      <c r="A29" s="29" t="inlineStr">
        <is>
          <t>MCQ: What happens when readiness fails?
A) The node reboots B) The container restarts C) The pod is removed from Service endpoints D) The image is deleted
FILL: The probe that protects slow starters is the ____ probe
HINDI TO TASK: Add a readiness check on /ready port 8080.
PRACTICE QUESTION: What does a failing liveness probe cause?</t>
        </is>
      </c>
      <c r="B29" s="29" t="inlineStr">
        <is>
          <t>MCQ answer: C  It stops receiving traffic but keeps running.
Fill answer: startup
Task answer:
readinessProbe: { httpGet: { path: /ready, port: 8080 } }
Practice answer:
A container restart.</t>
        </is>
      </c>
      <c r="C29" s="29" t="inlineStr">
        <is>
          <t>05_Reliability_Beginner_K8S-028_quiz</t>
        </is>
      </c>
    </row>
    <row r="30" ht="121.5" customHeight="1">
      <c r="A30" s="29" t="inlineStr">
        <is>
          <t>MCQ: What happens when a container exceeds its memory limit?
A) It is killed with OOMKilled B) It gets more memory C) It is throttled D) It is ignored
FILL: 500m of CPU means half a ____
HINDI TO TASK: Request 250 millicores and 256Mi memory.
PRACTICE QUESTION: What does OOMKilled mean?</t>
        </is>
      </c>
      <c r="B30" s="29" t="inlineStr">
        <is>
          <t>MCQ answer: A  Memory cannot be throttled.
Fill answer: core
Task answer:
resources: { requests: { cpu: 250m, memory: 256Mi } }
Practice answer:
The container exceeded its memory limit and was killed.</t>
        </is>
      </c>
      <c r="C30" s="29" t="inlineStr">
        <is>
          <t>05_Reliability_Intermediate_K8S-029_quiz</t>
        </is>
      </c>
    </row>
    <row r="31" ht="135" customHeight="1">
      <c r="A31" s="29" t="inlineStr">
        <is>
          <t>MCQ: Which autoscaler changes the number of pods?
A) Cluster autoscaler B) VPA C) kubelet D) HPA
FILL: The add-on that supplies CPU and memory usage numbers to the autoscaler is the ____ server
HINDI TO TASK: Autoscale web between two and ten pods at sixty percent CPU.
PRACTICE QUESTION: Why does the HPA need CPU requests?</t>
        </is>
      </c>
      <c r="B31" s="29" t="inlineStr">
        <is>
          <t>MCQ answer: D  The horizontal autoscaler changes replicas.
Fill answer: metrics
Task answer:
kubectl autoscale deployment web --min=2 --max=10 --cpu-percent=60
Practice answer:
Utilisation is measured against the requested amount.</t>
        </is>
      </c>
      <c r="C31" s="29" t="inlineStr">
        <is>
          <t>05_Reliability_Intermediate_K8S-030_quiz</t>
        </is>
      </c>
    </row>
    <row r="32" ht="94.5" customHeight="1">
      <c r="A32" s="29" t="inlineStr">
        <is>
          <t>MCQ: What does a toleration do?
A) Adds CPU B) Forces scheduling C) Allows scheduling on tainted nodes D) Deletes the taint
FILL: The effect that also evicts running pods is ____
APPLY: GPU nodes should run only GPU jobs. What do you use?</t>
        </is>
      </c>
      <c r="B32" s="29" t="inlineStr">
        <is>
          <t>MCQ answer: C  It permits but does not require.
Fill answer: NoExecute
Apply: A taint plus tolerations on the GPU pods</t>
        </is>
      </c>
      <c r="C32" s="29" t="inlineStr">
        <is>
          <t>05_Reliability_Advanced_K8S-031_quiz</t>
        </is>
      </c>
    </row>
    <row r="33" ht="81" customHeight="1">
      <c r="A33" s="29" t="inlineStr">
        <is>
          <t>MCQ: Which feature balances pods across zones?
A) ConfigMaps B) Topology spread constraints C) Jobs D) Taints
FILL: The simplest placement rule by node label is a ____
APPLY: A service must survive a zone failure. What do you add?</t>
        </is>
      </c>
      <c r="B33" s="29" t="inlineStr">
        <is>
          <t>MCQ answer: B  It spreads by a topology key such as zone.
Fill answer: nodeSelector
Apply: Topology spread constraints</t>
        </is>
      </c>
      <c r="C33" s="29" t="inlineStr">
        <is>
          <t>05_Reliability_Advanced_K8S-032_quiz</t>
        </is>
      </c>
    </row>
    <row r="34" ht="121.5" customHeight="1">
      <c r="A34" s="29" t="inlineStr">
        <is>
          <t>MCQ: Which events does a PDB cover?
A) Voluntary disruptions such as drains B) Crashes C) Power cuts D) Bugs
FILL: Draining a node is a ____ disruption
HINDI TO TASK: Keep at least two web pods available.
PRACTICE QUESTION: Why can a budget block a drain forever?</t>
        </is>
      </c>
      <c r="B34" s="29" t="inlineStr">
        <is>
          <t>MCQ answer: A  Involuntary failures bypass budgets.
Fill answer: voluntary
Task answer:
minAvailable: 2
Practice answer:
It may require every replica to stay up.</t>
        </is>
      </c>
      <c r="C34" s="29" t="inlineStr">
        <is>
          <t>05_Reliability_Advanced_K8S-033_quiz</t>
        </is>
      </c>
    </row>
    <row r="35" ht="121.5" customHeight="1">
      <c r="A35" s="29" t="inlineStr">
        <is>
          <t>MCQ: What does a ResourceQuota limit?
A) One container B) Total resources in a namespace C) One image D) One node
FILL: Default requests for pods come from a ____
HINDI TO TASK: Show quota usage for the namespace team-a.
PRACTICE QUESTION: Why can pods be rejected under a compute quota?</t>
        </is>
      </c>
      <c r="B35" s="29" t="inlineStr">
        <is>
          <t>MCQ answer: B  It caps namespace totals.
Fill answer: LimitRange
Task answer:
kubectl describe quota -n team-a
Practice answer:
They must declare requests and limits.</t>
        </is>
      </c>
      <c r="C35" s="29" t="inlineStr">
        <is>
          <t>05_Reliability_Intermediate_K8S-034_quiz</t>
        </is>
      </c>
    </row>
    <row r="36" ht="108" customHeight="1">
      <c r="A36" s="29" t="inlineStr">
        <is>
          <t>MCQ: Which object gives a Role to a user?
A) ConfigMap B) Ingress C) RoleBinding D) Service
FILL: The command to test permissions is kubectl auth can-____
HINDI TO TASK: Check whether asha can delete pods in shop.
PRACTICE QUESTION: Does RBAC support deny rules?</t>
        </is>
      </c>
      <c r="B36" s="29" t="inlineStr">
        <is>
          <t>MCQ answer: C  Bindings connect roles to subjects.
Fill answer: i
Task answer:
kubectl auth can-i delete pods -n shop --as asha
Practice answer:
No, permissions are only additive.</t>
        </is>
      </c>
      <c r="C36" s="29" t="inlineStr">
        <is>
          <t>06_Security_Intermediate_K8S-035_quiz</t>
        </is>
      </c>
    </row>
    <row r="37" ht="108" customHeight="1">
      <c r="A37" s="29" t="inlineStr">
        <is>
          <t>MCQ: Which identity do pods use for the API?
A) A label B) A node name C) A Secret key D) A service account
FILL: The field that picks a pod's identity is service____
HINDI TO TASK: Create a service account called report-job.
PRACTICE QUESTION: Why disable token mounting for some pods?</t>
        </is>
      </c>
      <c r="B37" s="29" t="inlineStr">
        <is>
          <t>MCQ answer: D  Pods run as service accounts.
Fill answer: AccountName
Task answer:
kubectl create serviceaccount report-job -n shop
Practice answer:
An unused token is an unneeded risk.</t>
        </is>
      </c>
      <c r="C37" s="29" t="inlineStr">
        <is>
          <t>06_Security_Intermediate_K8S-036_quiz</t>
        </is>
      </c>
    </row>
    <row r="38" ht="108" customHeight="1">
      <c r="A38" s="29" t="inlineStr">
        <is>
          <t>MCQ: Which setting prevents running as root?
A) runAsNonRoot B) hostNetwork C) hostPath D) privileged
FILL: The strictest Pod Security level is ____
HINDI TO TASK: Drop all capabilities in a container.
PRACTICE QUESTION: Why use a read-only root file system?</t>
        </is>
      </c>
      <c r="B38" s="29" t="inlineStr">
        <is>
          <t>MCQ answer: A  It requires a non-root user.
Fill answer: restricted
Task answer:
securityContext: { capabilities: { drop: ["ALL"] } }
Practice answer:
It stops processes writing to the container's root file system, so attackers cannot easily plant files or tools.</t>
        </is>
      </c>
      <c r="C38" s="29" t="inlineStr">
        <is>
          <t>06_Security_Advanced_K8S-037_quiz</t>
        </is>
      </c>
    </row>
    <row r="39" ht="135" customHeight="1">
      <c r="A39" s="29" t="inlineStr">
        <is>
          <t>MCQ: Where must an image pull secret live?
A) In the registry B) In kube-system only C) On the node D) In the pod's namespace
FILL: A Secret holding image store logins is created with the type docker-____
HINDI TO TASK: Reference a pull secret named regcred in a pod.
PRACTICE QUESTION: What error appears without the secret?</t>
        </is>
      </c>
      <c r="B39" s="29" t="inlineStr">
        <is>
          <t>MCQ answer: D  Secrets are namespaced.
Fill answer: registry
Task answer:
imagePullSecrets: [{ name: regcred }]
Practice answer:
ErrImagePull or ImagePullBackOff.</t>
        </is>
      </c>
      <c r="C39" s="29" t="inlineStr">
        <is>
          <t>06_Security_Intermediate_K8S-038_quiz</t>
        </is>
      </c>
    </row>
    <row r="40" ht="121.5" customHeight="1">
      <c r="A40" s="29" t="inlineStr">
        <is>
          <t>MCQ: What is a Helm release?
A) A node B) A package file C) An installed instance of a chart D) A pod
FILL: The file with default settings in a chart is ____.yaml
HINDI TO TASK: Roll back release db to revision 1.
PRACTICE QUESTION: What does helm template do?</t>
        </is>
      </c>
      <c r="B40" s="29" t="inlineStr">
        <is>
          <t>MCQ answer: C  Each install creates a named release.
Fill answer: values
Task answer:
helm rollback db 1 -n shop
Practice answer:
It renders the manifests without installing them.</t>
        </is>
      </c>
      <c r="C40" s="29" t="inlineStr">
        <is>
          <t>07_Tooling_Intermediate_K8S-039_quiz</t>
        </is>
      </c>
    </row>
    <row r="41" ht="108" customHeight="1">
      <c r="A41" s="29" t="inlineStr">
        <is>
          <t>MCQ: Which flag applies a kustomization?
A) -f only B) -k C) -n D) -o
FILL: The shared starting folder is the ____
HINDI TO TASK: Preview the prod overlay without applying.
PRACTICE QUESTION: Does Kustomize use templates?</t>
        </is>
      </c>
      <c r="B41" s="29" t="inlineStr">
        <is>
          <t>MCQ answer: B  kubectl apply -k builds the folder.
Fill answer: base
Task answer:
kubectl kustomize overlays/prod
Practice answer:
No, it patches plain YAML.</t>
        </is>
      </c>
      <c r="C41" s="29" t="inlineStr">
        <is>
          <t>07_Tooling_Intermediate_K8S-040_quiz</t>
        </is>
      </c>
    </row>
    <row r="42" ht="108" customHeight="1">
      <c r="A42" s="29" t="inlineStr">
        <is>
          <t>MCQ: Which flag reads the output of the last crashed instance?
A) --crash B) --old C) --last D) --previous
FILL: The flag to pick one container in a pod is ____
HINDI TO TASK: Show the last 50 lines of deployment web logs.
PRACTICE QUESTION: Where do you find scheduling failures?</t>
        </is>
      </c>
      <c r="B42" s="29" t="inlineStr">
        <is>
          <t>MCQ answer: D  It reads the prior instance's output.
Fill answer: -c
Task answer:
kubectl logs deploy/web --tail=50
Practice answer:
In the Events section of describe.</t>
        </is>
      </c>
      <c r="C42" s="29" t="inlineStr">
        <is>
          <t>07_Tooling_Beginner_K8S-041_quiz</t>
        </is>
      </c>
    </row>
    <row r="43" ht="121.5" customHeight="1">
      <c r="A43" s="29" t="inlineStr">
        <is>
          <t>MCQ: What does the double dash do in exec?
A) Deletes the pod B) Selects the node C) Separates kubectl options from the command D) Starts a job
FILL: Attaching a temporary tool container uses kubectl ____
HINDI TO TASK: Open a shell in pod web-1.
PRACTICE QUESTION: Why use debug on distroless images?</t>
        </is>
      </c>
      <c r="B43" s="29" t="inlineStr">
        <is>
          <t>MCQ answer: C  Everything after it is the command to run.
Fill answer: debug
Task answer:
kubectl exec -it web-1 -- sh
Practice answer:
They have no shell, so a tool container is needed.</t>
        </is>
      </c>
      <c r="C43" s="29" t="inlineStr">
        <is>
          <t>07_Tooling_Intermediate_K8S-042_quiz</t>
        </is>
      </c>
    </row>
    <row r="44" ht="121.5" customHeight="1">
      <c r="A44" s="29" t="inlineStr">
        <is>
          <t>MCQ: In kubectl port-forward svc/web 8080:80, which side of the colon is the laptop port?
A) The left side B) Both sides C) Neither side D) The right side
FILL: The command runs until you ____ it
HINDI TO TASK: Reach the web Service on local port 8080.
PRACTICE QUESTION: Is port-forward permanent?</t>
        </is>
      </c>
      <c r="B44" s="29" t="inlineStr">
        <is>
          <t>MCQ answer: A  The format is local then remote.
Fill answer: stop
Task answer:
kubectl port-forward svc/web 8080:80
Practice answer:
No, it ends when the command stops.</t>
        </is>
      </c>
      <c r="C44" s="29" t="inlineStr">
        <is>
          <t>07_Tooling_Beginner_K8S-043_quiz</t>
        </is>
      </c>
    </row>
    <row r="45" ht="108" customHeight="1">
      <c r="A45" s="29" t="inlineStr">
        <is>
          <t>MCQ: How long do events usually last?
A) One second B) About an hour C) Forever D) One year
FILL: The event type that signals trouble is ____
HINDI TO TASK: List warning events in namespace shop.
PRACTICE QUESTION: Why export events?</t>
        </is>
      </c>
      <c r="B45" s="29" t="inlineStr">
        <is>
          <t>MCQ answer: B  They expire quickly.
Fill answer: Warning
Task answer:
kubectl get events -n shop --field-selector type=Warning
Practice answer:
They expire quickly, so history is lost.</t>
        </is>
      </c>
      <c r="C45" s="29" t="inlineStr">
        <is>
          <t>07_Tooling_Beginner_K8S-044_quiz</t>
        </is>
      </c>
    </row>
    <row r="46" ht="121.5" customHeight="1">
      <c r="A46" s="29" t="inlineStr">
        <is>
          <t>MCQ: What does exit code 137 usually mean?
A) Network error B) Killed, often out of memory C) Wrong command D) Success
FILL: A pod no node can host stays ____
HINDI TO TASK: Read the logs of the previous crashed container.
PRACTICE QUESTION: What causes ImagePullBackOff?</t>
        </is>
      </c>
      <c r="B46" s="29" t="inlineStr">
        <is>
          <t>MCQ answer: B  137 is a kill signal, commonly from memory limits.
Fill answer: Pending
Task answer:
kubectl logs web-7d9f --previous
Practice answer:
A wrong image name or tag, or missing registry credentials.</t>
        </is>
      </c>
      <c r="C46" s="29" t="inlineStr">
        <is>
          <t>07_Tooling_Intermediate_K8S-045_quiz</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90" customWidth="1" min="1" max="1"/>
    <col width="10" customWidth="1" min="2" max="2"/>
  </cols>
  <sheetData>
    <row r="1">
      <c r="A1" s="21" t="inlineStr">
        <is>
          <t>Cards by type</t>
        </is>
      </c>
    </row>
    <row r="2">
      <c r="A2" t="inlineStr">
        <is>
          <t>Code concept (56-pt)</t>
        </is>
      </c>
      <c r="B2" t="n">
        <v>35</v>
      </c>
    </row>
    <row r="3">
      <c r="A3" t="inlineStr">
        <is>
          <t>Topic (56-pt)</t>
        </is>
      </c>
      <c r="B3" t="n">
        <v>10</v>
      </c>
    </row>
    <row r="5">
      <c r="A5" s="21" t="inlineStr">
        <is>
          <t>Cards by topic</t>
        </is>
      </c>
    </row>
    <row r="6">
      <c r="A6" t="inlineStr">
        <is>
          <t>02 Workloads</t>
        </is>
      </c>
      <c r="B6" t="n">
        <v>9</v>
      </c>
    </row>
    <row r="7">
      <c r="A7" t="inlineStr">
        <is>
          <t>05 Reliability</t>
        </is>
      </c>
      <c r="B7" t="n">
        <v>7</v>
      </c>
    </row>
    <row r="8">
      <c r="A8" t="inlineStr">
        <is>
          <t>07 Tooling</t>
        </is>
      </c>
      <c r="B8" t="n">
        <v>7</v>
      </c>
    </row>
    <row r="9">
      <c r="A9" t="inlineStr">
        <is>
          <t>01 Architecture</t>
        </is>
      </c>
      <c r="B9" t="n">
        <v>6</v>
      </c>
    </row>
    <row r="10">
      <c r="A10" t="inlineStr">
        <is>
          <t>03 Config and Storage</t>
        </is>
      </c>
      <c r="B10" t="n">
        <v>6</v>
      </c>
    </row>
    <row r="11">
      <c r="A11" t="inlineStr">
        <is>
          <t>04 Networking</t>
        </is>
      </c>
      <c r="B11" t="n">
        <v>6</v>
      </c>
    </row>
    <row r="12">
      <c r="A12" t="inlineStr">
        <is>
          <t>06 Security</t>
        </is>
      </c>
      <c r="B12" t="n">
        <v>4</v>
      </c>
    </row>
    <row r="14">
      <c r="A14" s="21" t="inlineStr">
        <is>
          <t>Cards by level</t>
        </is>
      </c>
    </row>
    <row r="15">
      <c r="A15" t="inlineStr">
        <is>
          <t>Intermediate</t>
        </is>
      </c>
      <c r="B15" t="n">
        <v>25</v>
      </c>
    </row>
    <row r="16">
      <c r="A16" t="inlineStr">
        <is>
          <t>Beginner</t>
        </is>
      </c>
      <c r="B16" t="n">
        <v>14</v>
      </c>
    </row>
    <row r="17">
      <c r="A17" t="inlineStr">
        <is>
          <t>Advanced</t>
        </is>
      </c>
      <c r="B17" t="n">
        <v>6</v>
      </c>
    </row>
    <row r="19">
      <c r="A19" s="21" t="inlineStr">
        <is>
          <t>Cards by source</t>
        </is>
      </c>
    </row>
    <row r="20">
      <c r="A20" t="inlineStr">
        <is>
          <t>Claude knowledge</t>
        </is>
      </c>
      <c r="B20" t="n">
        <v>45</v>
      </c>
    </row>
    <row r="22">
      <c r="A22" s="21" t="inlineStr">
        <is>
          <t>Error check</t>
        </is>
      </c>
    </row>
    <row r="23">
      <c r="A23" t="inlineStr">
        <is>
          <t>0 errors, 0 warnings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2026-10-07T16:54:11Z</dcterms:created>
  <dcterms:modified xmlns:dcterms="http://purl.org/dc/terms/" xmlns:xsi="http://www.w3.org/2001/XMLSchema-instance" xsi:type="dcterms:W3CDTF">2026-10-07T16:54:11Z</dcterms:modified>
</cp:coreProperties>
</file>