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cards'!$A$2:$BN$9</definedName>
    <definedName name="_xlnm._FilterDatabase" localSheetId="3" hidden="1">'Topic (56-pt) cards'!$A$2:$BB$40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LLM APIs – Beginner to Advanced Flashcards</t>
        </is>
      </c>
    </row>
    <row r="2">
      <c r="A2" s="2" t="inlineStr">
        <is>
          <t>Subject: Large language model APIs   ·   Learner: Self learner, English   ·   Cards: 45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62" customHeight="1">
      <c r="A3" s="17" t="inlineStr">
        <is>
          <t>LLM-018</t>
        </is>
      </c>
      <c r="B3" s="17" t="inlineStr">
        <is>
          <t>03 API Use</t>
        </is>
      </c>
      <c r="C3" s="17" t="inlineStr">
        <is>
          <t>Beginner</t>
        </is>
      </c>
      <c r="D3" s="17" t="n">
        <v>18</v>
      </c>
      <c r="E3" s="17" t="inlineStr">
        <is>
          <t>Claude knowledge</t>
        </is>
      </c>
      <c r="F3" s="18" t="inlineStr">
        <is>
          <t>A request and response</t>
        </is>
      </c>
      <c r="G3" s="18" t="inlineStr">
        <is>
          <t>What does a basic call to an LLM API look like?</t>
        </is>
      </c>
      <c r="H3" s="17" t="n"/>
      <c r="I3" s="18" t="inlineStr">
        <is>
          <t>API call</t>
        </is>
      </c>
      <c r="J3" s="18" t="inlineStr">
        <is>
          <t>Very high</t>
        </is>
      </c>
      <c r="K3" s="18" t="n">
        <v>5</v>
      </c>
      <c r="L3" s="18" t="inlineStr">
        <is>
          <t>Applications talk to hosted models over HTTP, sending messages and settings and receiving generated text with usage details.</t>
        </is>
      </c>
      <c r="M3" s="18" t="inlineStr">
        <is>
          <t>Check your provider's current documentation for exact field names, since they differ and change.</t>
        </is>
      </c>
      <c r="N3" s="17" t="n"/>
      <c r="O3" s="18" t="inlineStr">
        <is>
          <t>A request is an order slip with the instructions, and the response is the finished dish with a receipt.</t>
        </is>
      </c>
      <c r="P3" s="18" t="inlineStr">
        <is>
          <t>A JSON request going out and a JSON response returning with text and usage.</t>
        </is>
      </c>
      <c r="Q3" s="18" t="inlineStr">
        <is>
          <t>The thrill of your first model reply.</t>
        </is>
      </c>
      <c r="R3" s="18" t="inlineStr">
        <is>
          <t>A request sends the model name, the messages and settings such as maximum output tokens, and the response returns the generated content, a stop reason and token usage.</t>
        </is>
      </c>
      <c r="S3" s="17" t="n"/>
      <c r="T3" s="19" t="inlineStr">
        <is>
          <t>POST https://api.provider.example/v1/chat
Authorization: Bearer $API_KEY
Content-Type: application/json
{"model": "MODEL_NAME", "max_tokens": 300, "temperature": 0.2, "messages": [{"role": "system", "content": "You are a concise assistant."}, {"role": "user", "content": "Explain DNS in two sentences."}]}
# response (shape varies by provider)
{"content": "DNS turns names into addresses ...", "stop_reason": "end", "usage": {"input_tokens": 28, "output_tokens": 41}}</t>
        </is>
      </c>
      <c r="U3" s="19" t="inlineStr">
        <is>
          <t>A JSON reply with the generated text, why it stopped and how many tokens were used.</t>
        </is>
      </c>
      <c r="V3" s="18" t="inlineStr">
        <is>
          <t>The key is sent in a header and must never be placed in client-side code. The messages list carries the roles. max_tokens limits the output. Usage fields support cost tracking. Field names and endpoints differ between providers, so use the official SDK or documentation. Store the model name in configuration.</t>
        </is>
      </c>
      <c r="W3" s="18" t="inlineStr">
        <is>
          <t>Send model, messages and limits, and read text, stop reason and usage back.</t>
        </is>
      </c>
      <c r="X3" s="18" t="inlineStr">
        <is>
          <t>A request is an order slip with instructions, and the response is the finished dish with a receipt.</t>
        </is>
      </c>
      <c r="Y3" s="19" t="inlineStr">
        <is>
          <t>POST /chat with model, messages, max_tokens</t>
        </is>
      </c>
      <c r="Z3" s="18" t="inlineStr">
        <is>
          <t>model = which model | messages = conversation | max_tokens = output cap | usage = token counts</t>
        </is>
      </c>
      <c r="AA3" s="19" t="inlineStr">
        <is>
          <t>curl -X POST -H "Authorization: Bearer $API_KEY" -d @request.json URL</t>
        </is>
      </c>
      <c r="AB3" s="19" t="inlineStr">
        <is>
          <t>{"role": "user", "content": "Summarise this text."}</t>
        </is>
      </c>
      <c r="AC3" s="19" t="inlineStr">
        <is>
          <t>usage.output_tokens read for cost tracking</t>
        </is>
      </c>
      <c r="AD3" s="19" t="inlineStr">
        <is>
          <t>use the provider SDK   // handles headers, retries and parsing</t>
        </is>
      </c>
      <c r="AE3" s="18" t="inlineStr">
        <is>
          <t>environment variables, logging, cost control</t>
        </is>
      </c>
      <c r="AF3" s="18" t="inlineStr">
        <is>
          <t>tokens, roles, stop reasons, cost control</t>
        </is>
      </c>
      <c r="AG3" s="18" t="inlineStr">
        <is>
          <t>Provider SDKs</t>
        </is>
      </c>
      <c r="AH3" s="17" t="n"/>
      <c r="AI3" s="18" t="inlineStr">
        <is>
          <t>Every LLM integration | Prototypes | Backends</t>
        </is>
      </c>
      <c r="AJ3" s="18" t="inlineStr">
        <is>
          <t>A: Can the browser call the API with our key? | B: No, call it from a backend so the key stays secret.</t>
        </is>
      </c>
      <c r="AK3" s="18" t="inlineStr">
        <is>
          <t>✗ API keys can safely live in front-end code → ✓ Anyone can read them there, so call from a server</t>
        </is>
      </c>
      <c r="AL3" s="18" t="inlineStr">
        <is>
          <t>Request vs response: one carries your input, the other the model's output and usage.</t>
        </is>
      </c>
      <c r="AM3" s="18" t="inlineStr">
        <is>
          <t>Do not embed API keys in web or mobile apps.</t>
        </is>
      </c>
      <c r="AN3" s="19" t="inlineStr">
        <is>
          <t>const KEY = "sk-live-123";   // in browser code</t>
        </is>
      </c>
      <c r="AO3" s="19" t="inlineStr">
        <is>
          <t>const key = process.env.API_KEY;   // on the server</t>
        </is>
      </c>
      <c r="AP3" s="18" t="inlineStr">
        <is>
          <t>Keys live on servers, never in browsers.</t>
        </is>
      </c>
      <c r="AQ3" s="18" t="inlineStr">
        <is>
          <t>Moving model calls to a backend stopped leaked keys from a web page.</t>
        </is>
      </c>
      <c r="AR3" s="18" t="inlineStr">
        <is>
          <t>An interviewer may ask: What does an LLM API request contain?</t>
        </is>
      </c>
      <c r="AS3" s="18" t="inlineStr">
        <is>
          <t>It is like an order slip and a dish with a receipt.</t>
        </is>
      </c>
      <c r="AT3" s="18" t="inlineStr">
        <is>
          <t>Where should the API key be stored?</t>
        </is>
      </c>
      <c r="AU3" s="18" t="inlineStr">
        <is>
          <t>A) In the prompt B) In the web page C) In a public repo D) On the server in environment settings</t>
        </is>
      </c>
      <c r="AV3" s="18" t="inlineStr">
        <is>
          <t>D</t>
        </is>
      </c>
      <c r="AW3" s="18" t="inlineStr">
        <is>
          <t>Anyone can read client-side code.</t>
        </is>
      </c>
      <c r="AX3" s="19" t="inlineStr">
        <is>
          <t>The field that caps the length of the reply is max ____ → tokens</t>
        </is>
      </c>
      <c r="AY3" s="18" t="inlineStr">
        <is>
          <t>Limit the reply to 300 tokens.</t>
        </is>
      </c>
      <c r="AZ3" s="19" t="inlineStr">
        <is>
          <t>"max_tokens": 300</t>
        </is>
      </c>
      <c r="BA3" s="18" t="inlineStr">
        <is>
          <t>Write a request with a system and a user message.</t>
        </is>
      </c>
      <c r="BB3" s="19" t="inlineStr">
        <is>
          <t>Which response field supports cost tracking?</t>
        </is>
      </c>
      <c r="BC3" s="19" t="inlineStr">
        <is>
          <t>The usage token counts.</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62" customHeight="1">
      <c r="A4" s="17" t="inlineStr">
        <is>
          <t>LLM-019</t>
        </is>
      </c>
      <c r="B4" s="17" t="inlineStr">
        <is>
          <t>03 API Use</t>
        </is>
      </c>
      <c r="C4" s="17" t="inlineStr">
        <is>
          <t>Intermediate</t>
        </is>
      </c>
      <c r="D4" s="17" t="n">
        <v>19</v>
      </c>
      <c r="E4" s="17" t="inlineStr">
        <is>
          <t>Claude knowledge</t>
        </is>
      </c>
      <c r="F4" s="18" t="inlineStr">
        <is>
          <t>Streaming</t>
        </is>
      </c>
      <c r="G4" s="18" t="inlineStr">
        <is>
          <t>How do you show the reply word by word as it is generated?</t>
        </is>
      </c>
      <c r="H4" s="17" t="n"/>
      <c r="I4" s="18" t="inlineStr">
        <is>
          <t>API call</t>
        </is>
      </c>
      <c r="J4" s="18" t="inlineStr">
        <is>
          <t>High</t>
        </is>
      </c>
      <c r="K4" s="18" t="n">
        <v>4</v>
      </c>
      <c r="L4" s="18" t="inlineStr">
        <is>
          <t>Long answers take seconds to finish, so streaming sends pieces as they are produced, which makes apps feel faster.</t>
        </is>
      </c>
      <c r="M4" s="18" t="inlineStr">
        <is>
          <t>Use streaming for chat screens, and non-streaming for background jobs.</t>
        </is>
      </c>
      <c r="N4" s="17" t="n"/>
      <c r="O4" s="18" t="inlineStr">
        <is>
          <t>Streaming is a tap that pours as the water arrives, instead of waiting for a full jug.</t>
        </is>
      </c>
      <c r="P4" s="18" t="inlineStr">
        <is>
          <t>Text appearing a few words at a time.</t>
        </is>
      </c>
      <c r="Q4" s="18" t="inlineStr">
        <is>
          <t>The pleasure of instant feedback on screen.</t>
        </is>
      </c>
      <c r="R4" s="18" t="inlineStr">
        <is>
          <t>Streaming returns the response as a sequence of small events, usually over server-sent events, which the client appends to the display until a final event signals completion.</t>
        </is>
      </c>
      <c r="S4" s="17" t="n"/>
      <c r="T4" s="19" t="inlineStr">
        <is>
          <t># request adds a stream flag
{"model": "MODEL_NAME", "stream": true, "messages": [{"role": "user", "content": "Write a haiku."}]}
# client reads events
for event in client.stream(request):
    if event.type == "text":
        print(event.text, end="", flush=True)
    elif event.type == "done":
        print("\nstop:", event.stop_reason, event.usage)</t>
        </is>
      </c>
      <c r="U4" s="19" t="inlineStr">
        <is>
          <t>The text appears gradually, and the final event gives the stop reason and token usage.</t>
        </is>
      </c>
      <c r="V4" s="18" t="inlineStr">
        <is>
          <t>Time to first token drops, though total time is similar. The client must handle partial chunks, dropped connections and cancellation. Errors can arrive mid-stream after a success status. For structured output, wait for the full text before parsing. Proxies must not buffer the stream.</t>
        </is>
      </c>
      <c r="W4" s="18" t="inlineStr">
        <is>
          <t>Ask for streaming, append chunks as they arrive, and handle errors mid-stream.</t>
        </is>
      </c>
      <c r="X4" s="18" t="inlineStr">
        <is>
          <t>Streaming is a tap that pours as water arrives instead of waiting for a full jug.</t>
        </is>
      </c>
      <c r="Y4" s="19" t="inlineStr">
        <is>
          <t>"stream": true</t>
        </is>
      </c>
      <c r="Z4" s="18" t="inlineStr">
        <is>
          <t>events = small chunks | done event = stop reason and usage | cancel = stop reading</t>
        </is>
      </c>
      <c r="AA4" s="19" t="inlineStr">
        <is>
          <t>Server-sent events in a chat window.</t>
        </is>
      </c>
      <c r="AB4" s="19" t="inlineStr">
        <is>
          <t>Cancelling a stream when the user leaves.</t>
        </is>
      </c>
      <c r="AC4" s="19" t="inlineStr">
        <is>
          <t>Collecting chunks into one string.</t>
        </is>
      </c>
      <c r="AD4" s="19" t="inlineStr">
        <is>
          <t>non-streaming mode   // simpler for batch jobs</t>
        </is>
      </c>
      <c r="AE4" s="18" t="inlineStr">
        <is>
          <t>chat interfaces, proxies, error handling</t>
        </is>
      </c>
      <c r="AF4" s="18" t="inlineStr">
        <is>
          <t>a request and response, errors and retries, timeouts, structured output</t>
        </is>
      </c>
      <c r="AG4" s="18" t="inlineStr">
        <is>
          <t>Non-streaming calls</t>
        </is>
      </c>
      <c r="AH4" s="17" t="n"/>
      <c r="AI4" s="18" t="inlineStr">
        <is>
          <t>Chat apps | Assistants | Live tools</t>
        </is>
      </c>
      <c r="AJ4" s="18" t="inlineStr">
        <is>
          <t>A: Users wait ten seconds seeing nothing. | B: Stream the reply so text appears at once.</t>
        </is>
      </c>
      <c r="AK4" s="18" t="inlineStr">
        <is>
          <t>✗ Streaming makes the whole answer arrive faster → ✓ It only shows the first part sooner</t>
        </is>
      </c>
      <c r="AL4" s="18" t="inlineStr">
        <is>
          <t>Streaming vs batching: one shows partial replies, the other groups many requests.</t>
        </is>
      </c>
      <c r="AM4" s="18" t="inlineStr">
        <is>
          <t>Do not parse structured output from partial chunks.</t>
        </is>
      </c>
      <c r="AN4" s="19" t="inlineStr">
        <is>
          <t>json.loads(chunk)   # partial JSON</t>
        </is>
      </c>
      <c r="AO4" s="19" t="inlineStr">
        <is>
          <t>json.loads("".join(chunks))   # after the final event</t>
        </is>
      </c>
      <c r="AP4" s="18" t="inlineStr">
        <is>
          <t>Stream to show, buffer to parse.</t>
        </is>
      </c>
      <c r="AQ4" s="18" t="inlineStr">
        <is>
          <t>Streaming a support assistant's answers cut the perceived wait dramatically.</t>
        </is>
      </c>
      <c r="AR4" s="18" t="inlineStr">
        <is>
          <t>An interviewer may ask: Why use streaming?</t>
        </is>
      </c>
      <c r="AS4" s="18" t="inlineStr">
        <is>
          <t>It is like a tap pouring as water arrives.</t>
        </is>
      </c>
      <c r="AT4" s="18" t="inlineStr">
        <is>
          <t>What does streaming improve?</t>
        </is>
      </c>
      <c r="AU4" s="18" t="inlineStr">
        <is>
          <t>A) Accuracy B) Token limits C) Time to first visible text D) Cost</t>
        </is>
      </c>
      <c r="AV4" s="18" t="inlineStr">
        <is>
          <t>C</t>
        </is>
      </c>
      <c r="AW4" s="18" t="inlineStr">
        <is>
          <t>Users see text sooner.</t>
        </is>
      </c>
      <c r="AX4" s="19" t="inlineStr">
        <is>
          <t>The common protocol for streaming events over HTTP is ____ events → server-sent</t>
        </is>
      </c>
      <c r="AY4" s="18" t="inlineStr">
        <is>
          <t>Request a streamed reply.</t>
        </is>
      </c>
      <c r="AZ4" s="19" t="inlineStr">
        <is>
          <t>"stream": true</t>
        </is>
      </c>
      <c r="BA4" s="18" t="inlineStr">
        <is>
          <t>Describe how to handle a connection drop mid-stream.</t>
        </is>
      </c>
      <c r="BB4" s="19" t="inlineStr">
        <is>
          <t>When should you parse JSON from a stream?</t>
        </is>
      </c>
      <c r="BC4" s="19" t="inlineStr">
        <is>
          <t>After the stream is complete.</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48.5" customHeight="1">
      <c r="A5" s="17" t="inlineStr">
        <is>
          <t>LLM-020</t>
        </is>
      </c>
      <c r="B5" s="17" t="inlineStr">
        <is>
          <t>03 API Use</t>
        </is>
      </c>
      <c r="C5" s="17" t="inlineStr">
        <is>
          <t>Intermediate</t>
        </is>
      </c>
      <c r="D5" s="17" t="n">
        <v>20</v>
      </c>
      <c r="E5" s="17" t="inlineStr">
        <is>
          <t>Claude knowledge</t>
        </is>
      </c>
      <c r="F5" s="18" t="inlineStr">
        <is>
          <t>Structured output</t>
        </is>
      </c>
      <c r="G5" s="18" t="inlineStr">
        <is>
          <t>How do you make the API return data that always matches a schema?</t>
        </is>
      </c>
      <c r="H5" s="17" t="n"/>
      <c r="I5" s="18" t="inlineStr">
        <is>
          <t>API call</t>
        </is>
      </c>
      <c r="J5" s="18" t="inlineStr">
        <is>
          <t>Very high</t>
        </is>
      </c>
      <c r="K5" s="18" t="n">
        <v>5</v>
      </c>
      <c r="L5" s="18" t="inlineStr">
        <is>
          <t>Parsing free text is fragile, so APIs let you provide a schema and constrain the reply to it.</t>
        </is>
      </c>
      <c r="M5" s="18" t="inlineStr">
        <is>
          <t>Define the schema with allowed values, and still validate in code.</t>
        </is>
      </c>
      <c r="N5" s="17" t="n"/>
      <c r="O5" s="18" t="inlineStr">
        <is>
          <t>Structured output is a form that physically cannot be submitted with the wrong boxes.</t>
        </is>
      </c>
      <c r="P5" s="18" t="inlineStr">
        <is>
          <t>A schema on one side and a JSON reply that fits on the other.</t>
        </is>
      </c>
      <c r="Q5" s="18" t="inlineStr">
        <is>
          <t>The relief of a parser that never breaks.</t>
        </is>
      </c>
      <c r="R5" s="18" t="inlineStr">
        <is>
          <t>Structured output uses a JSON schema supplied with the request, or a tool definition, so the model's reply is constrained to valid JSON of that shape.</t>
        </is>
      </c>
      <c r="S5" s="17" t="n"/>
      <c r="T5" s="19" t="inlineStr">
        <is>
          <t>{"model": "MODEL_NAME", "messages": [{"role": "user", "content": "Ticket: My invoice is wrong and I was charged twice."}], "response_format": {"type": "json_schema", "schema": {"type": "object", "properties": {"category": {"type": "string", "enum": ["billing", "technical", "other"]}, "urgent": {"type": "boolean"}}, "required": ["category", "urgent"]}}}
# reply
{"category": "billing", "urgent": true}</t>
        </is>
      </c>
      <c r="U5" s="19" t="inlineStr">
        <is>
          <t>The reply is valid JSON with a category from the allowed list and an urgent flag.</t>
        </is>
      </c>
      <c r="V5" s="18" t="inlineStr">
        <is>
          <t>Schemas name the fields, types and allowed values. Constrained decoding makes invalid shapes much less likely, but values can still be wrong, so validate meaning too. Options and names differ by provider, and some use tool calls for the same effect. Keep schemas simple. Handle refusals and length cut-offs.</t>
        </is>
      </c>
      <c r="W5" s="18" t="inlineStr">
        <is>
          <t>Send a schema, get matching JSON, and validate the values.</t>
        </is>
      </c>
      <c r="X5" s="18" t="inlineStr">
        <is>
          <t>Structured output is a form that cannot be submitted with the wrong boxes.</t>
        </is>
      </c>
      <c r="Y5" s="19" t="inlineStr">
        <is>
          <t>"response_format": {"type": "json_schema", "schema": {...}}</t>
        </is>
      </c>
      <c r="Z5" s="18" t="inlineStr">
        <is>
          <t>properties = fields | enum = allowed values | required = must exist</t>
        </is>
      </c>
      <c r="AA5" s="19" t="inlineStr">
        <is>
          <t>enum: ["billing", "technical", "other"]</t>
        </is>
      </c>
      <c r="AB5" s="19" t="inlineStr">
        <is>
          <t>required: ["category"]</t>
        </is>
      </c>
      <c r="AC5" s="19" t="inlineStr">
        <is>
          <t>nested object for an address</t>
        </is>
      </c>
      <c r="AD5" s="19" t="inlineStr">
        <is>
          <t>a tool definition with an input schema   // the same idea through tools</t>
        </is>
      </c>
      <c r="AE5" s="18" t="inlineStr">
        <is>
          <t>classification, extraction, validation</t>
        </is>
      </c>
      <c r="AF5" s="18" t="inlineStr">
        <is>
          <t>output format, tool calling, stop reasons, extraction</t>
        </is>
      </c>
      <c r="AG5" s="18" t="inlineStr">
        <is>
          <t>Prompted JSON with validation</t>
        </is>
      </c>
      <c r="AH5" s="17" t="n"/>
      <c r="AI5" s="18" t="inlineStr">
        <is>
          <t>Extraction | Classification | Pipelines</t>
        </is>
      </c>
      <c r="AJ5" s="18" t="inlineStr">
        <is>
          <t>A: The labels sometimes vary in spelling. | B: Use an enum in the schema.</t>
        </is>
      </c>
      <c r="AK5" s="18" t="inlineStr">
        <is>
          <t>✗ A schema makes the content correct → ✓ It guarantees shape, not truth</t>
        </is>
      </c>
      <c r="AL5" s="18" t="inlineStr">
        <is>
          <t>Valid shape vs correct value: the first is enforced, the second is not.</t>
        </is>
      </c>
      <c r="AM5" s="18" t="inlineStr">
        <is>
          <t>Do not skip semantic validation.</t>
        </is>
      </c>
      <c r="AN5" s="19" t="inlineStr">
        <is>
          <t>"category": {"type": "string"}   // any text allowed</t>
        </is>
      </c>
      <c r="AO5" s="19" t="inlineStr">
        <is>
          <t>"category": {"type": "string", "enum": ["billing", "technical", "other"]}</t>
        </is>
      </c>
      <c r="AP5" s="18" t="inlineStr">
        <is>
          <t>Schema guards the shape, you check the facts.</t>
        </is>
      </c>
      <c r="AQ5" s="18" t="inlineStr">
        <is>
          <t>An enum in the schema ended inconsistent category names in a ticket pipeline.</t>
        </is>
      </c>
      <c r="AR5" s="18" t="inlineStr">
        <is>
          <t>An interviewer may ask: How do you get reliable structured data from a model?</t>
        </is>
      </c>
      <c r="AS5" s="18" t="inlineStr">
        <is>
          <t>It is like a form with fixed boxes.</t>
        </is>
      </c>
      <c r="AT5" s="18" t="inlineStr">
        <is>
          <t>What does a schema guarantee?</t>
        </is>
      </c>
      <c r="AU5" s="18" t="inlineStr">
        <is>
          <t>A) The shape of the output B) Speed C) Low cost D) Correct facts</t>
        </is>
      </c>
      <c r="AV5" s="18" t="inlineStr">
        <is>
          <t>A</t>
        </is>
      </c>
      <c r="AW5" s="18" t="inlineStr">
        <is>
          <t>Constrained output follows the structure.</t>
        </is>
      </c>
      <c r="AX5" s="19" t="inlineStr">
        <is>
          <t>A list of allowed values in a schema is an ____ → enum</t>
        </is>
      </c>
      <c r="AY5" s="18" t="inlineStr">
        <is>
          <t>Restrict a field to three labels.</t>
        </is>
      </c>
      <c r="AZ5" s="19" t="inlineStr">
        <is>
          <t>"enum": ["billing", "technical", "other"]</t>
        </is>
      </c>
      <c r="BA5" s="18" t="inlineStr">
        <is>
          <t>Write a schema to extract a name, date and amount from an invoice.</t>
        </is>
      </c>
      <c r="BB5" s="19" t="inlineStr">
        <is>
          <t>Does a valid schema mean the extracted amount is right?</t>
        </is>
      </c>
      <c r="BC5" s="19" t="inlineStr">
        <is>
          <t>No, only the shape is guaranteed.</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89" customHeight="1">
      <c r="A6" s="17" t="inlineStr">
        <is>
          <t>LLM-021</t>
        </is>
      </c>
      <c r="B6" s="17" t="inlineStr">
        <is>
          <t>03 API Use</t>
        </is>
      </c>
      <c r="C6" s="17" t="inlineStr">
        <is>
          <t>Intermediate</t>
        </is>
      </c>
      <c r="D6" s="17" t="n">
        <v>21</v>
      </c>
      <c r="E6" s="17" t="inlineStr">
        <is>
          <t>Claude knowledge</t>
        </is>
      </c>
      <c r="F6" s="18" t="inlineStr">
        <is>
          <t>Tool calling</t>
        </is>
      </c>
      <c r="G6" s="18" t="inlineStr">
        <is>
          <t>How can a model ask your code to run a function and use the result?</t>
        </is>
      </c>
      <c r="H6" s="17" t="n"/>
      <c r="I6" s="18" t="inlineStr">
        <is>
          <t>API call</t>
        </is>
      </c>
      <c r="J6" s="18" t="inlineStr">
        <is>
          <t>Very high</t>
        </is>
      </c>
      <c r="K6" s="18" t="n">
        <v>5</v>
      </c>
      <c r="L6" s="18" t="inlineStr">
        <is>
          <t>Models cannot look up live data or act, so APIs let them request calls to functions that you define and run.</t>
        </is>
      </c>
      <c r="M6" s="18" t="inlineStr">
        <is>
          <t>Write clear tool names and descriptions, since the model decides from them.</t>
        </is>
      </c>
      <c r="N6" s="17" t="n"/>
      <c r="O6" s="18" t="inlineStr">
        <is>
          <t>Tool calling is the model handing a note to an assistant saying please fetch this and report back.</t>
        </is>
      </c>
      <c r="P6" s="18" t="inlineStr">
        <is>
          <t>A loop of request, tool call, tool result and final answer.</t>
        </is>
      </c>
      <c r="Q6" s="18" t="inlineStr">
        <is>
          <t>The excitement of a model that can act.</t>
        </is>
      </c>
      <c r="R6" s="18" t="inlineStr">
        <is>
          <t>You describe tools with names, descriptions and input schemas, the model replies with a tool call containing arguments, your code runs it, and you send the result back for the model to continue.</t>
        </is>
      </c>
      <c r="S6" s="17" t="n"/>
      <c r="T6" s="19" t="inlineStr">
        <is>
          <t>{"tools": [{"name": "get_order_status", "description": "Look up the status of an order by its id", "input_schema": {"type": "object", "properties": {"order_id": {"type": "string"}}, "required": ["order_id"]}}], "messages": [{"role": "user", "content": "Where is order 1042?"}]}
# model reply: stop_reason = tool request
{"tool_call": {"name": "get_order_status", "arguments": {"order_id": "1042"}}}
# you run it, then send a tool result message
{"role": "tool", "content": "{\"status\": \"shipped\"}"}</t>
        </is>
      </c>
      <c r="U6" s="19" t="inlineStr">
        <is>
          <t>The model asks for the status lookup, your code runs it, and the model then writes an answer using the result.</t>
        </is>
      </c>
      <c r="V6" s="18" t="inlineStr">
        <is>
          <t>The model only proposes calls, and your code executes them, so you control security and limits. Validate arguments, check permissions and handle errors, returning clear error text as the result. Loops can continue until the model gives a final answer, with a maximum number of steps. Names and formats differ by provider.</t>
        </is>
      </c>
      <c r="W6" s="18" t="inlineStr">
        <is>
          <t>Describe tools, run the calls the model requests, and send results back.</t>
        </is>
      </c>
      <c r="X6" s="18" t="inlineStr">
        <is>
          <t>Tool calling is the model handing a note to an assistant saying please fetch this.</t>
        </is>
      </c>
      <c r="Y6" s="19" t="inlineStr">
        <is>
          <t>tools: [{name, description, input_schema}]</t>
        </is>
      </c>
      <c r="Z6" s="18" t="inlineStr">
        <is>
          <t>tool definition = what exists | tool call = the request | tool result = your answer</t>
        </is>
      </c>
      <c r="AA6" s="19" t="inlineStr">
        <is>
          <t>A search tool for the knowledge base.</t>
        </is>
      </c>
      <c r="AB6" s="19" t="inlineStr">
        <is>
          <t>A calculator tool for exact arithmetic.</t>
        </is>
      </c>
      <c r="AC6" s="19" t="inlineStr">
        <is>
          <t>A tool returning an error message the model can read.</t>
        </is>
      </c>
      <c r="AD6" s="19" t="inlineStr">
        <is>
          <t>parallel tool calls   // several requests in one turn</t>
        </is>
      </c>
      <c r="AE6" s="18" t="inlineStr">
        <is>
          <t>agents, validation, permissions</t>
        </is>
      </c>
      <c r="AF6" s="18" t="inlineStr">
        <is>
          <t>structured output, agents and loops, MCP idea, guardrails</t>
        </is>
      </c>
      <c r="AG6" s="18" t="inlineStr">
        <is>
          <t>Fixed pipelines</t>
        </is>
      </c>
      <c r="AH6" s="17" t="n"/>
      <c r="AI6" s="18" t="inlineStr">
        <is>
          <t>Assistants | Agents | Integrations</t>
        </is>
      </c>
      <c r="AJ6" s="18" t="inlineStr">
        <is>
          <t>A: Can the model run the database query itself? | B: No, it requests a tool call and our code decides whether to run it.</t>
        </is>
      </c>
      <c r="AK6" s="18" t="inlineStr">
        <is>
          <t>✗ The model executes tools itself → ✓ It only requests calls, and your code runs them</t>
        </is>
      </c>
      <c r="AL6" s="18" t="inlineStr">
        <is>
          <t>Tool call vs tool result: the call is the request, the result is your reply.</t>
        </is>
      </c>
      <c r="AM6" s="18" t="inlineStr">
        <is>
          <t>Do not run tool arguments without validation and permission checks.</t>
        </is>
      </c>
      <c r="AN6" s="19" t="inlineStr">
        <is>
          <t>db.execute(args["sql"])   # runs model-written SQL directly</t>
        </is>
      </c>
      <c r="AO6" s="19" t="inlineStr">
        <is>
          <t>if args["order_id"].isdigit(): lookup(args["order_id"])</t>
        </is>
      </c>
      <c r="AP6" s="18" t="inlineStr">
        <is>
          <t>The model asks, your code decides.</t>
        </is>
      </c>
      <c r="AQ6" s="18" t="inlineStr">
        <is>
          <t>A validated lookup tool let a bot answer order questions without database access.</t>
        </is>
      </c>
      <c r="AR6" s="18" t="inlineStr">
        <is>
          <t>An interviewer may ask: How does tool calling work?</t>
        </is>
      </c>
      <c r="AS6" s="18" t="inlineStr">
        <is>
          <t>It is like handing a note to an assistant.</t>
        </is>
      </c>
      <c r="AT6" s="18" t="inlineStr">
        <is>
          <t>Who executes a tool call?</t>
        </is>
      </c>
      <c r="AU6" s="18" t="inlineStr">
        <is>
          <t>A) The browser B) The model C) Your application code D) The provider only</t>
        </is>
      </c>
      <c r="AV6" s="18" t="inlineStr">
        <is>
          <t>C</t>
        </is>
      </c>
      <c r="AW6" s="18" t="inlineStr">
        <is>
          <t>The model only proposes the call.</t>
        </is>
      </c>
      <c r="AX6" s="19" t="inlineStr">
        <is>
          <t>A message carrying the output of a function call uses the role named after the ____ → tool</t>
        </is>
      </c>
      <c r="AY6" s="18" t="inlineStr">
        <is>
          <t>Define a tool that looks up an order.</t>
        </is>
      </c>
      <c r="AZ6" s="19" t="inlineStr">
        <is>
          <t>{"name": "get_order_status", "description": "Look up an order", "input_schema": {"type": "object", "properties": {"order_id": {"type": "string"}}}}</t>
        </is>
      </c>
      <c r="BA6" s="18" t="inlineStr">
        <is>
          <t>Write a tool description for a weather lookup.</t>
        </is>
      </c>
      <c r="BB6" s="19" t="inlineStr">
        <is>
          <t>Why validate tool arguments?</t>
        </is>
      </c>
      <c r="BC6" s="19" t="inlineStr">
        <is>
          <t>The model may produce wrong or unsafe values.</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75.5" customHeight="1">
      <c r="A7" s="17" t="inlineStr">
        <is>
          <t>LLM-022</t>
        </is>
      </c>
      <c r="B7" s="17" t="inlineStr">
        <is>
          <t>03 API Use</t>
        </is>
      </c>
      <c r="C7" s="17" t="inlineStr">
        <is>
          <t>Intermediate</t>
        </is>
      </c>
      <c r="D7" s="17" t="n">
        <v>22</v>
      </c>
      <c r="E7" s="17" t="inlineStr">
        <is>
          <t>Claude knowledge</t>
        </is>
      </c>
      <c r="F7" s="18" t="inlineStr">
        <is>
          <t>Errors and retries</t>
        </is>
      </c>
      <c r="G7" s="18" t="inlineStr">
        <is>
          <t>How do you handle failures from the API gracefully?</t>
        </is>
      </c>
      <c r="H7" s="17" t="n"/>
      <c r="I7" s="18" t="inlineStr">
        <is>
          <t>API call</t>
        </is>
      </c>
      <c r="J7" s="18" t="inlineStr">
        <is>
          <t>Very high</t>
        </is>
      </c>
      <c r="K7" s="18" t="n">
        <v>5</v>
      </c>
      <c r="L7" s="18" t="inlineStr">
        <is>
          <t>Networks and services fail, so clients must retry the right errors and surface the others clearly.</t>
        </is>
      </c>
      <c r="M7" s="18" t="inlineStr">
        <is>
          <t>Retry timeouts, rate limits and server errors with backoff, and never retry invalid requests.</t>
        </is>
      </c>
      <c r="N7" s="17" t="n"/>
      <c r="O7" s="18" t="inlineStr">
        <is>
          <t>Retrying is knocking again with longer pauses, but only if the door might open.</t>
        </is>
      </c>
      <c r="P7" s="18" t="inlineStr">
        <is>
          <t>Several attempts spaced out with growing delays between them.</t>
        </is>
      </c>
      <c r="Q7" s="18" t="inlineStr">
        <is>
          <t>The calm of an integration that survives hiccups.</t>
        </is>
      </c>
      <c r="R7" s="18" t="inlineStr">
        <is>
          <t>Clients retry transient errors such as timeouts, rate limits and server errors with exponential backoff and jitter, and treat errors such as invalid requests or authentication failures as permanent.</t>
        </is>
      </c>
      <c r="S7" s="17" t="n"/>
      <c r="T7" s="19" t="inlineStr">
        <is>
          <t>import random, time
RETRYABLE = {408, 429, 500, 502, 503, 529}
def call_with_retry(send, tries=5):
    for attempt in range(tries):
        resp = send()
        if resp.status not in RETRYABLE:
            return resp
        wait = float(resp.headers.get("retry-after", 2 ** attempt)) + random.random()
        time.sleep(wait)
    raise RuntimeError("The service is still busy. Try again later or reduce the request rate.")</t>
        </is>
      </c>
      <c r="U7" s="19" t="inlineStr">
        <is>
          <t>Temporary failures are retried with growing pauses, and others are returned immediately.</t>
        </is>
      </c>
      <c r="V7" s="18" t="inlineStr">
        <is>
          <t>Bad requests, invalid keys and permission errors will not succeed on retry. Overload and rate limit errors need waiting, and a retry-after header gives the time. Calls that cause side effects need idempotency care. Log request ids for support. Set a maximum total time. SDKs often include retries.</t>
        </is>
      </c>
      <c r="W7" s="18" t="inlineStr">
        <is>
          <t>Retry temporary errors with backoff and jitter, and fail fast on permanent ones.</t>
        </is>
      </c>
      <c r="X7" s="18" t="inlineStr">
        <is>
          <t>Retrying is knocking again with longer pauses.</t>
        </is>
      </c>
      <c r="Y7" s="19" t="inlineStr">
        <is>
          <t>if status in RETRYABLE: sleep(backoff); retry</t>
        </is>
      </c>
      <c r="Z7" s="18" t="inlineStr">
        <is>
          <t>429 = slow down | 5xx = server trouble | 4xx others = fix the request | retry-after = wait time</t>
        </is>
      </c>
      <c r="AA7" s="19" t="inlineStr">
        <is>
          <t>HTTP 429 with retry-after of ten seconds.</t>
        </is>
      </c>
      <c r="AB7" s="19" t="inlineStr">
        <is>
          <t>HTTP 401 with a bad key, no retry.</t>
        </is>
      </c>
      <c r="AC7" s="19" t="inlineStr">
        <is>
          <t>A timeout retried twice.</t>
        </is>
      </c>
      <c r="AD7" s="19" t="inlineStr">
        <is>
          <t>SDK built-in retries   // configure instead of writing your own</t>
        </is>
      </c>
      <c r="AE7" s="18" t="inlineStr">
        <is>
          <t>rate limits, timeouts, logging</t>
        </is>
      </c>
      <c r="AF7" s="18" t="inlineStr">
        <is>
          <t>rate limits, timeouts, retries in pipelines, fallbacks</t>
        </is>
      </c>
      <c r="AG7" s="18" t="inlineStr">
        <is>
          <t>Circuit breakers | queues</t>
        </is>
      </c>
      <c r="AH7" s="17" t="n"/>
      <c r="AI7" s="18" t="inlineStr">
        <is>
          <t>Every integration | Batch jobs | Production apps</t>
        </is>
      </c>
      <c r="AJ7" s="18" t="inlineStr">
        <is>
          <t>A: Should we retry a 400 error? | B: No, the request itself is wrong.</t>
        </is>
      </c>
      <c r="AK7" s="18" t="inlineStr">
        <is>
          <t>✗ Retry every error until it works → ✓ Permanent errors never succeed and waste time</t>
        </is>
      </c>
      <c r="AL7" s="18" t="inlineStr">
        <is>
          <t>Transient vs permanent error: temporary versus needing a fix.</t>
        </is>
      </c>
      <c r="AM7" s="18" t="inlineStr">
        <is>
          <t>Do not retry without a maximum.</t>
        </is>
      </c>
      <c r="AN7" s="19" t="inlineStr">
        <is>
          <t>while True: send()</t>
        </is>
      </c>
      <c r="AO7" s="19" t="inlineStr">
        <is>
          <t>for attempt in range(5): ... sleep(2 ** attempt)</t>
        </is>
      </c>
      <c r="AP7" s="18" t="inlineStr">
        <is>
          <t>Retry the temporary, fix the permanent.</t>
        </is>
      </c>
      <c r="AQ7" s="18" t="inlineStr">
        <is>
          <t>Backoff with jitter ended bursts of failures during provider overload.</t>
        </is>
      </c>
      <c r="AR7" s="18" t="inlineStr">
        <is>
          <t>An interviewer may ask: Which errors do you retry?</t>
        </is>
      </c>
      <c r="AS7" s="18" t="inlineStr">
        <is>
          <t>It is like knocking again with longer pauses.</t>
        </is>
      </c>
      <c r="AT7" s="18" t="inlineStr">
        <is>
          <t>Which status suggests slowing down?</t>
        </is>
      </c>
      <c r="AU7" s="18" t="inlineStr">
        <is>
          <t>A) 301 B) 200 C) 404 D) 429</t>
        </is>
      </c>
      <c r="AV7" s="18" t="inlineStr">
        <is>
          <t>D</t>
        </is>
      </c>
      <c r="AW7" s="18" t="inlineStr">
        <is>
          <t>It means too many requests.</t>
        </is>
      </c>
      <c r="AX7" s="19" t="inlineStr">
        <is>
          <t>Random extra delay added to backoff is ____ → jitter</t>
        </is>
      </c>
      <c r="AY7" s="18" t="inlineStr">
        <is>
          <t>Wait for the time given in the retry-after header.</t>
        </is>
      </c>
      <c r="AZ7" s="19" t="inlineStr">
        <is>
          <t>time.sleep(float(resp.headers.get("retry-after", 2)))</t>
        </is>
      </c>
      <c r="BA7" s="18" t="inlineStr">
        <is>
          <t>List which error codes you retry and which you do not.</t>
        </is>
      </c>
      <c r="BB7" s="19" t="inlineStr">
        <is>
          <t>Why is a 401 not retried?</t>
        </is>
      </c>
      <c r="BC7" s="19" t="inlineStr">
        <is>
          <t>The key is wrong, so retrying cannot succeed.</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35" customHeight="1">
      <c r="A8" s="17" t="inlineStr">
        <is>
          <t>LLM-024</t>
        </is>
      </c>
      <c r="B8" s="17" t="inlineStr">
        <is>
          <t>03 API Use</t>
        </is>
      </c>
      <c r="C8" s="17" t="inlineStr">
        <is>
          <t>Intermediate</t>
        </is>
      </c>
      <c r="D8" s="17" t="n">
        <v>24</v>
      </c>
      <c r="E8" s="17" t="inlineStr">
        <is>
          <t>Claude knowledge</t>
        </is>
      </c>
      <c r="F8" s="18" t="inlineStr">
        <is>
          <t>Timeouts</t>
        </is>
      </c>
      <c r="G8" s="18" t="inlineStr">
        <is>
          <t>How long should your code wait for a model reply, and what happens after?</t>
        </is>
      </c>
      <c r="H8" s="17" t="n"/>
      <c r="I8" s="18" t="inlineStr">
        <is>
          <t>API call</t>
        </is>
      </c>
      <c r="J8" s="18" t="inlineStr">
        <is>
          <t>High</t>
        </is>
      </c>
      <c r="K8" s="18" t="n">
        <v>4</v>
      </c>
      <c r="L8" s="18" t="inlineStr">
        <is>
          <t>Long generations can take a long time, and hung connections block users, so every call needs a sensible deadline.</t>
        </is>
      </c>
      <c r="M8" s="18" t="inlineStr">
        <is>
          <t>Use streaming for long outputs and set separate connect and read timeouts.</t>
        </is>
      </c>
      <c r="N8" s="17" t="n"/>
      <c r="O8" s="18" t="inlineStr">
        <is>
          <t>A timeout is an alarm that stops you waiting forever at the counter.</t>
        </is>
      </c>
      <c r="P8" s="18" t="inlineStr">
        <is>
          <t>A clock face limiting how long a request may wait.</t>
        </is>
      </c>
      <c r="Q8" s="18" t="inlineStr">
        <is>
          <t>The comfort of calls that never hang.</t>
        </is>
      </c>
      <c r="R8" s="18" t="inlineStr">
        <is>
          <t>A timeout is the maximum time a client waits for a connection or response, after which it abandons or retries the call.</t>
        </is>
      </c>
      <c r="S8" s="17" t="n"/>
      <c r="T8" s="19" t="inlineStr">
        <is>
          <t>import requests
try:
    r = requests.post(URL, json=payload, headers=H, timeout=(5, 120))   # connect, read
except requests.Timeout:
    log.warning("model call timed out; retrying once with a shorter output limit")
    payload["max_tokens"] = 200
    r = requests.post(URL, json=payload, headers=H, timeout=(5, 60))</t>
        </is>
      </c>
      <c r="U8" s="19" t="inlineStr">
        <is>
          <t>The call fails after the chosen time, and one retry runs with a smaller output limit.</t>
        </is>
      </c>
      <c r="V8" s="18" t="inlineStr">
        <is>
          <t>Without a timeout a stuck call can hold threads and freeze the app. Long outputs and big prompts need larger limits. Streaming resets the read timer as chunks arrive. A timed-out request may still be processed by the provider, so avoid duplicate side effects. Show users a clear message and an option to retry.</t>
        </is>
      </c>
      <c r="W8" s="18" t="inlineStr">
        <is>
          <t>Always set connect and read timeouts, and plan what happens when they fire.</t>
        </is>
      </c>
      <c r="X8" s="18" t="inlineStr">
        <is>
          <t>A timeout is an alarm that stops you waiting forever at the counter.</t>
        </is>
      </c>
      <c r="Y8" s="19" t="inlineStr">
        <is>
          <t>timeout=(connect_seconds, read_seconds)</t>
        </is>
      </c>
      <c r="Z8" s="18" t="inlineStr">
        <is>
          <t>connect = reach the server | read = wait for data | retry = after timeout</t>
        </is>
      </c>
      <c r="AA8" s="19" t="inlineStr">
        <is>
          <t>timeout=(5, 120)</t>
        </is>
      </c>
      <c r="AB8" s="19" t="inlineStr">
        <is>
          <t>A UI message after thirty seconds of no reply.</t>
        </is>
      </c>
      <c r="AC8" s="19" t="inlineStr">
        <is>
          <t>A retry with a shorter prompt.</t>
        </is>
      </c>
      <c r="AD8" s="19" t="inlineStr">
        <is>
          <t>streaming with an idle timeout   // abort if no chunk arrives for a while</t>
        </is>
      </c>
      <c r="AE8" s="18" t="inlineStr">
        <is>
          <t>streaming, errors and retries, user messages</t>
        </is>
      </c>
      <c r="AF8" s="18" t="inlineStr">
        <is>
          <t>errors and retries, streaming, rate limits, fallbacks</t>
        </is>
      </c>
      <c r="AG8" s="18" t="inlineStr">
        <is>
          <t>Background jobs for long tasks</t>
        </is>
      </c>
      <c r="AH8" s="17" t="n"/>
      <c r="AI8" s="18" t="inlineStr">
        <is>
          <t>Every API client | Web backends | User-facing tools</t>
        </is>
      </c>
      <c r="AJ8" s="18" t="inlineStr">
        <is>
          <t>A: The app hangs when the model is slow. | B: Set a read timeout and show a retry message.</t>
        </is>
      </c>
      <c r="AK8" s="18" t="inlineStr">
        <is>
          <t>✗ A default client waits as long as needed safely → ✓ Many defaults wait forever</t>
        </is>
      </c>
      <c r="AL8" s="18" t="inlineStr">
        <is>
          <t>Connect vs read timeout: reaching the server versus waiting for the reply.</t>
        </is>
      </c>
      <c r="AM8" s="18" t="inlineStr">
        <is>
          <t>Do not call APIs without a timeout.</t>
        </is>
      </c>
      <c r="AN8" s="19" t="inlineStr">
        <is>
          <t>requests.post(URL, json=payload)</t>
        </is>
      </c>
      <c r="AO8" s="19" t="inlineStr">
        <is>
          <t>requests.post(URL, json=payload, timeout=(5, 120))</t>
        </is>
      </c>
      <c r="AP8" s="18" t="inlineStr">
        <is>
          <t>No timeout means waiting forever.</t>
        </is>
      </c>
      <c r="AQ8" s="18" t="inlineStr">
        <is>
          <t>Adding timeouts stopped a slow model call from freezing a web server.</t>
        </is>
      </c>
      <c r="AR8" s="18" t="inlineStr">
        <is>
          <t>An interviewer may ask: Why set timeouts on model calls?</t>
        </is>
      </c>
      <c r="AS8" s="18" t="inlineStr">
        <is>
          <t>It is like an alarm at the counter.</t>
        </is>
      </c>
      <c r="AT8" s="18" t="inlineStr">
        <is>
          <t>Which part of a timeout waits for the reply?</t>
        </is>
      </c>
      <c r="AU8" s="18" t="inlineStr">
        <is>
          <t>A) Read timeout B) Connect timeout C) Idle timeout only D) DNS timeout</t>
        </is>
      </c>
      <c r="AV8" s="18" t="inlineStr">
        <is>
          <t>A</t>
        </is>
      </c>
      <c r="AW8" s="18" t="inlineStr">
        <is>
          <t>Read timeout limits waiting for data.</t>
        </is>
      </c>
      <c r="AX8" s="19" t="inlineStr">
        <is>
          <t>Waiting too long without a timeout can ____ the app → freeze</t>
        </is>
      </c>
      <c r="AY8" s="18" t="inlineStr">
        <is>
          <t>Set a five second connect and two minute read timeout.</t>
        </is>
      </c>
      <c r="AZ8" s="19" t="inlineStr">
        <is>
          <t>timeout=(5, 120)</t>
        </is>
      </c>
      <c r="BA8" s="18" t="inlineStr">
        <is>
          <t>Choose timeouts for a chat call and a long report call.</t>
        </is>
      </c>
      <c r="BB8" s="19" t="inlineStr">
        <is>
          <t>Can a timed-out request still be processed?</t>
        </is>
      </c>
      <c r="BC8" s="19" t="inlineStr">
        <is>
          <t>Yes, the provider may still complete it.</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202.5" customHeight="1">
      <c r="A9" s="17" t="inlineStr">
        <is>
          <t>LLM-028</t>
        </is>
      </c>
      <c r="B9" s="17" t="inlineStr">
        <is>
          <t>03 API Use</t>
        </is>
      </c>
      <c r="C9" s="17" t="inlineStr">
        <is>
          <t>Intermediate</t>
        </is>
      </c>
      <c r="D9" s="17" t="n">
        <v>28</v>
      </c>
      <c r="E9" s="17" t="inlineStr">
        <is>
          <t>Claude knowledge</t>
        </is>
      </c>
      <c r="F9" s="18" t="inlineStr">
        <is>
          <t>Counting and budgeting tokens</t>
        </is>
      </c>
      <c r="G9" s="18" t="inlineStr">
        <is>
          <t>How do you check that a prompt fits and estimate its cost before sending?</t>
        </is>
      </c>
      <c r="H9" s="17" t="n"/>
      <c r="I9" s="18" t="inlineStr">
        <is>
          <t>API call</t>
        </is>
      </c>
      <c r="J9" s="18" t="inlineStr">
        <is>
          <t>High</t>
        </is>
      </c>
      <c r="K9" s="18" t="n">
        <v>4</v>
      </c>
      <c r="L9" s="18" t="inlineStr">
        <is>
          <t>Surprises come from prompts that are too long, so counting tokens first prevents errors and unexpected bills.</t>
        </is>
      </c>
      <c r="M9" s="18" t="inlineStr">
        <is>
          <t>Reserve space for the answer when you compute how much input is allowed.</t>
        </is>
      </c>
      <c r="N9" s="17" t="n"/>
      <c r="O9" s="18" t="inlineStr">
        <is>
          <t>Budgeting tokens is checking your luggage weight before the airport.</t>
        </is>
      </c>
      <c r="P9" s="18" t="inlineStr">
        <is>
          <t>A bar of window space split into prompt, documents and answer.</t>
        </is>
      </c>
      <c r="Q9" s="18" t="inlineStr">
        <is>
          <t>The relief of no more surprise limit errors.</t>
        </is>
      </c>
      <c r="R9" s="18" t="inlineStr">
        <is>
          <t>Token budgeting counts tokens with the provider's counting tool or tokenizer, subtracts the reserved output from the context window, and trims or summarises input until it fits.</t>
        </is>
      </c>
      <c r="S9" s="17" t="n"/>
      <c r="T9" s="19" t="inlineStr">
        <is>
          <t>WINDOW = 100_000   # example only; read the real value from the provider documentation for your model
OUTPUT_RESERVE = 2000
def fit(system, history, docs, count_tokens):
    budget = WINDOW - OUTPUT_RESERVE - count_tokens(system)
    kept = []
    for item in reversed(history + docs):
        cost = count_tokens(item)
        if cost &gt; budget:
            break
        kept.append(item); budget -= cost
    return list(reversed(kept))</t>
        </is>
      </c>
      <c r="U9" s="19" t="inlineStr">
        <is>
          <t>The newest messages and documents that fit the budget are kept, and older ones are dropped.</t>
        </is>
      </c>
      <c r="V9" s="18" t="inlineStr">
        <is>
          <t>Use the provider's counting endpoint when possible, as local estimates vary by tokenizer. Keep the system prompt and latest question always. Summarise old history instead of dropping it silently. Log when trimming happens. Remember tools and images also use tokens.</t>
        </is>
      </c>
      <c r="W9" s="18" t="inlineStr">
        <is>
          <t>Count, reserve room for the answer, and trim by priority.</t>
        </is>
      </c>
      <c r="X9" s="18" t="inlineStr">
        <is>
          <t>Budgeting tokens is checking luggage weight before the airport.</t>
        </is>
      </c>
      <c r="Y9" s="19" t="inlineStr">
        <is>
          <t>budget = window - output_reserve - fixed_parts</t>
        </is>
      </c>
      <c r="Z9" s="18" t="inlineStr">
        <is>
          <t>window = limit | reserve = output room | fixed = system prompt | trim = drop or summarise</t>
        </is>
      </c>
      <c r="AA9" s="19" t="inlineStr">
        <is>
          <t>Counting tokens through a provider endpoint.</t>
        </is>
      </c>
      <c r="AB9" s="19" t="inlineStr">
        <is>
          <t>Summarising history older than twenty turns.</t>
        </is>
      </c>
      <c r="AC9" s="19" t="inlineStr">
        <is>
          <t>Dropping the least relevant retrieved chunks.</t>
        </is>
      </c>
      <c r="AD9" s="19" t="inlineStr">
        <is>
          <t>sliding window of recent messages   // simple history policy</t>
        </is>
      </c>
      <c r="AE9" s="18" t="inlineStr">
        <is>
          <t>context window, chat memory, RAG</t>
        </is>
      </c>
      <c r="AF9" s="18" t="inlineStr">
        <is>
          <t>tokens, context window, chat memory, cost control</t>
        </is>
      </c>
      <c r="AG9" s="18" t="inlineStr">
        <is>
          <t>Larger window models</t>
        </is>
      </c>
      <c r="AH9" s="17" t="n"/>
      <c r="AI9" s="18" t="inlineStr">
        <is>
          <t>Chat apps | Document tools | RAG systems</t>
        </is>
      </c>
      <c r="AJ9" s="18" t="inlineStr">
        <is>
          <t>A: Requests fail with a context error. | B: Count tokens first and trim old history.</t>
        </is>
      </c>
      <c r="AK9" s="18" t="inlineStr">
        <is>
          <t>✗ Word counts are accurate enough for limits → ✓ Token counts differ, so use the provider's counting method</t>
        </is>
      </c>
      <c r="AL9" s="18" t="inlineStr">
        <is>
          <t>Window vs budget: the window is the limit, the budget is your plan within it.</t>
        </is>
      </c>
      <c r="AM9" s="18" t="inlineStr">
        <is>
          <t>Do not drop the system prompt when trimming.</t>
        </is>
      </c>
      <c r="AN9" s="19" t="inlineStr">
        <is>
          <t>if len(text.split()) &lt; 100000: send(text)</t>
        </is>
      </c>
      <c r="AO9" s="19" t="inlineStr">
        <is>
          <t>if count_tokens(text) &lt;= budget: send(text)</t>
        </is>
      </c>
      <c r="AP9" s="18" t="inlineStr">
        <is>
          <t>Count the tokens, reserve room, then trim.</t>
        </is>
      </c>
      <c r="AQ9" s="18" t="inlineStr">
        <is>
          <t>Budgeting tokens removed context overflow errors in a long-running chat.</t>
        </is>
      </c>
      <c r="AR9" s="18" t="inlineStr">
        <is>
          <t>An interviewer may ask: How do you handle long conversations?</t>
        </is>
      </c>
      <c r="AS9" s="18" t="inlineStr">
        <is>
          <t>It is like weighing luggage before the airport.</t>
        </is>
      </c>
      <c r="AT9" s="18" t="inlineStr">
        <is>
          <t>What should you reserve when budgeting?</t>
        </is>
      </c>
      <c r="AU9" s="18" t="inlineStr">
        <is>
          <t>A) Nothing B) Space for emails C) Space for the output D) Space for logos</t>
        </is>
      </c>
      <c r="AV9" s="18" t="inlineStr">
        <is>
          <t>C</t>
        </is>
      </c>
      <c r="AW9" s="18" t="inlineStr">
        <is>
          <t>The answer also needs room.</t>
        </is>
      </c>
      <c r="AX9" s="19" t="inlineStr">
        <is>
          <t>Keeping only the newest messages is a sliding ____ → window</t>
        </is>
      </c>
      <c r="AY9" s="18" t="inlineStr">
        <is>
          <t>Compute the input budget from the window and the output reserve.</t>
        </is>
      </c>
      <c r="AZ9" s="19" t="inlineStr">
        <is>
          <t>budget = WINDOW - OUTPUT_RESERVE</t>
        </is>
      </c>
      <c r="BA9" s="18" t="inlineStr">
        <is>
          <t>Write a policy for trimming history in a support chat.</t>
        </is>
      </c>
      <c r="BB9" s="19" t="inlineStr">
        <is>
          <t>Why use the provider's token counter?</t>
        </is>
      </c>
      <c r="BC9" s="19" t="inlineStr">
        <is>
          <t>Tokenizers differ, so local word counts are inaccurate.</t>
        </is>
      </c>
      <c r="BD9" s="17">
        <f>IF(K9="","",REPT("★",K9)&amp;REPT("☆",5-K9)&amp;" ("&amp;K9&amp;"/5)")</f>
        <v/>
      </c>
      <c r="BE9" s="17">
        <f>IF(S9="","","Meaning: "&amp;S9&amp;"  =  ______   (Answer: "&amp;F9&amp;")")</f>
        <v/>
      </c>
      <c r="BF9" s="17" t="inlineStr">
        <is>
          <t>New</t>
        </is>
      </c>
      <c r="BG9" s="17" t="n"/>
      <c r="BH9" s="17" t="n"/>
      <c r="BI9" s="17" t="n"/>
      <c r="BJ9" s="17" t="n"/>
      <c r="BK9" s="17" t="n"/>
      <c r="BL9" s="17" t="n"/>
      <c r="BM9" s="17" t="n"/>
      <c r="BN9" s="17" t="n"/>
    </row>
  </sheetData>
  <autoFilter ref="A2:BN9"/>
  <mergeCells count="6">
    <mergeCell ref="AT1:BC1"/>
    <mergeCell ref="BD1:BE1"/>
    <mergeCell ref="F1:Q1"/>
    <mergeCell ref="A1:E1"/>
    <mergeCell ref="BF1:BN1"/>
    <mergeCell ref="R1:AS1"/>
  </mergeCells>
  <dataValidations count="2">
    <dataValidation sqref="BF3:BF9" showDropDown="0" showInputMessage="0" showErrorMessage="0" allowBlank="1" type="list">
      <formula1>"New,Learning,Known"</formula1>
    </dataValidation>
    <dataValidation sqref="BM3:BM9"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LLM-018</t>
        </is>
      </c>
    </row>
    <row r="4">
      <c r="A4" s="23" t="inlineStr">
        <is>
          <t>FRONT · Recognition (pehchano)</t>
        </is>
      </c>
    </row>
    <row r="5" ht="30" customHeight="1">
      <c r="A5" s="24" t="inlineStr">
        <is>
          <t>ID</t>
        </is>
      </c>
      <c r="B5" s="17">
        <f>INDEX('Code concept (56-pt) cards'!$A$3:$BN$9,MATCH($B$2,'Code concept (56-pt) cards'!$A$3:$A$9,0),MATCH("ID",'Code concept (56-pt) cards'!$A$2:$BN$2,0))&amp;""</f>
        <v/>
      </c>
    </row>
    <row r="6" ht="30" customHeight="1">
      <c r="A6" s="24" t="inlineStr">
        <is>
          <t>Topic</t>
        </is>
      </c>
      <c r="B6" s="17">
        <f>INDEX('Code concept (56-pt) cards'!$A$3:$BN$9,MATCH($B$2,'Code concept (56-pt) cards'!$A$3:$A$9,0),MATCH("Topic",'Code concept (56-pt) cards'!$A$2:$BN$2,0))&amp;""</f>
        <v/>
      </c>
    </row>
    <row r="7" ht="30" customHeight="1">
      <c r="A7" s="24" t="inlineStr">
        <is>
          <t>Level</t>
        </is>
      </c>
      <c r="B7" s="17">
        <f>INDEX('Code concept (56-pt) cards'!$A$3:$BN$9,MATCH($B$2,'Code concept (56-pt) cards'!$A$3:$A$9,0),MATCH("Level",'Code concept (56-pt) cards'!$A$2:$BN$2,0))&amp;""</f>
        <v/>
      </c>
    </row>
    <row r="8" ht="30" customHeight="1">
      <c r="A8" s="24" t="inlineStr">
        <is>
          <t>Concept</t>
        </is>
      </c>
      <c r="B8" s="17">
        <f>INDEX('Code concept (56-pt) cards'!$A$3:$BN$9,MATCH($B$2,'Code concept (56-pt) cards'!$A$3:$A$9,0),MATCH("Concept",'Code concept (56-pt) cards'!$A$2:$BN$2,0))&amp;""</f>
        <v/>
      </c>
    </row>
    <row r="9" ht="30" customHeight="1">
      <c r="A9" s="24" t="inlineStr">
        <is>
          <t>Recall cue</t>
        </is>
      </c>
      <c r="B9" s="17">
        <f>INDEX('Code concept (56-pt) cards'!$A$3:$BN$9,MATCH($B$2,'Code concept (56-pt) cards'!$A$3:$A$9,0),MATCH("Recall cue",'Code concept (56-pt) cards'!$A$2:$BN$2,0))&amp;""</f>
        <v/>
      </c>
    </row>
    <row r="10" ht="30" customHeight="1">
      <c r="A10" s="24" t="inlineStr">
        <is>
          <t>Read aloud</t>
        </is>
      </c>
      <c r="B10" s="17">
        <f>INDEX('Code concept (56-pt) cards'!$A$3:$BN$9,MATCH($B$2,'Code concept (56-pt) cards'!$A$3:$A$9,0),MATCH("Read aloud",'Code concept (56-pt) cards'!$A$2:$BN$2,0))&amp;""</f>
        <v/>
      </c>
    </row>
    <row r="11" ht="30" customHeight="1">
      <c r="A11" s="24" t="inlineStr">
        <is>
          <t>Type</t>
        </is>
      </c>
      <c r="B11" s="17">
        <f>INDEX('Code concept (56-pt) cards'!$A$3:$BN$9,MATCH($B$2,'Code concept (56-pt) cards'!$A$3:$A$9,0),MATCH("Type",'Code concept (56-pt) cards'!$A$2:$BN$2,0))&amp;""</f>
        <v/>
      </c>
    </row>
    <row r="12" ht="30" customHeight="1">
      <c r="A12" s="24" t="inlineStr">
        <is>
          <t>How often used</t>
        </is>
      </c>
      <c r="B12" s="17">
        <f>INDEX('Code concept (56-pt) cards'!$A$3:$BN$9,MATCH($B$2,'Code concept (56-pt) cards'!$A$3:$A$9,0),MATCH("How often used",'Code concept (56-pt) cards'!$A$2:$BN$2,0))&amp;""</f>
        <v/>
      </c>
    </row>
    <row r="13" ht="30" customHeight="1">
      <c r="A13" s="24" t="inlineStr">
        <is>
          <t>Importance (1-5)</t>
        </is>
      </c>
      <c r="B13" s="17">
        <f>INDEX('Code concept (56-pt) cards'!$A$3:$BN$9,MATCH($B$2,'Code concept (56-pt) cards'!$A$3:$A$9,0),MATCH("Importance (1-5)",'Code concept (56-pt) cards'!$A$2:$BN$2,0))&amp;""</f>
        <v/>
      </c>
    </row>
    <row r="14" ht="30" customHeight="1">
      <c r="A14" s="24" t="inlineStr">
        <is>
          <t>Origin / why it exists</t>
        </is>
      </c>
      <c r="B14" s="17">
        <f>INDEX('Code concept (56-pt) cards'!$A$3:$BN$9,MATCH($B$2,'Code concept (56-pt) cards'!$A$3:$A$9,0),MATCH("Origin / why it exists",'Code concept (56-pt) cards'!$A$2:$BN$2,0))&amp;""</f>
        <v/>
      </c>
    </row>
    <row r="15" ht="30" customHeight="1">
      <c r="A15" s="24" t="inlineStr">
        <is>
          <t>Pro tip</t>
        </is>
      </c>
      <c r="B15" s="17">
        <f>INDEX('Code concept (56-pt) cards'!$A$3:$BN$9,MATCH($B$2,'Code concept (56-pt) cards'!$A$3:$A$9,0),MATCH("Pro tip",'Code concept (56-pt) cards'!$A$2:$BN$2,0))&amp;""</f>
        <v/>
      </c>
    </row>
    <row r="16" ht="30" customHeight="1">
      <c r="A16" s="24" t="inlineStr">
        <is>
          <t>Typing hint</t>
        </is>
      </c>
      <c r="B16" s="17">
        <f>INDEX('Code concept (56-pt) cards'!$A$3:$BN$9,MATCH($B$2,'Code concept (56-pt) cards'!$A$3:$A$9,0),MATCH("Typing hint",'Code concept (56-pt) cards'!$A$2:$BN$2,0))&amp;""</f>
        <v/>
      </c>
    </row>
    <row r="17" ht="30" customHeight="1">
      <c r="A17" s="24" t="inlineStr">
        <is>
          <t>Memory story</t>
        </is>
      </c>
      <c r="B17" s="17">
        <f>INDEX('Code concept (56-pt) cards'!$A$3:$BN$9,MATCH($B$2,'Code concept (56-pt) cards'!$A$3:$A$9,0),MATCH("Memory story",'Code concept (56-pt) cards'!$A$2:$BN$2,0))&amp;""</f>
        <v/>
      </c>
    </row>
    <row r="18" ht="30" customHeight="1">
      <c r="A18" s="24" t="inlineStr">
        <is>
          <t>Picture it</t>
        </is>
      </c>
      <c r="B18" s="17">
        <f>INDEX('Code concept (56-pt) cards'!$A$3:$BN$9,MATCH($B$2,'Code concept (56-pt) cards'!$A$3:$A$9,0),MATCH("Picture it",'Code concept (56-pt) cards'!$A$2:$BN$2,0))&amp;""</f>
        <v/>
      </c>
    </row>
    <row r="19" ht="30" customHeight="1">
      <c r="A19" s="24" t="inlineStr">
        <is>
          <t>Emotion hook</t>
        </is>
      </c>
      <c r="B19" s="17">
        <f>INDEX('Code concept (56-pt) cards'!$A$3:$BN$9,MATCH($B$2,'Code concept (56-pt) cards'!$A$3:$A$9,0),MATCH("Emotion hook",'Code concept (56-pt) cards'!$A$2:$BN$2,0))&amp;""</f>
        <v/>
      </c>
    </row>
    <row r="20" ht="30" customHeight="1">
      <c r="A20" s="24" t="inlineStr">
        <is>
          <t>Importance ★</t>
        </is>
      </c>
      <c r="B20" s="17">
        <f>INDEX('Code concept (56-pt) cards'!$A$3:$BN$9,MATCH($B$2,'Code concept (56-pt) cards'!$A$3:$A$9,0),MATCH("Importance ★",'Code concept (56-pt) cards'!$A$2:$BN$2,0))&amp;""</f>
        <v/>
      </c>
    </row>
    <row r="21">
      <c r="A21" s="25" t="inlineStr">
        <is>
          <t>BACK · Understanding (samjho)</t>
        </is>
      </c>
    </row>
    <row r="22" ht="30" customHeight="1">
      <c r="A22" s="24" t="inlineStr">
        <is>
          <t>Meaning (short)</t>
        </is>
      </c>
      <c r="B22" s="17">
        <f>INDEX('Code concept (56-pt) cards'!$A$3:$BN$9,MATCH($B$2,'Code concept (56-pt) cards'!$A$3:$A$9,0),MATCH("Meaning (short)",'Code concept (56-pt) cards'!$A$2:$BN$2,0))&amp;""</f>
        <v/>
      </c>
    </row>
    <row r="23" ht="30" customHeight="1">
      <c r="A23" s="24" t="inlineStr">
        <is>
          <t>Meaning in learner's language</t>
        </is>
      </c>
      <c r="B23" s="17">
        <f>INDEX('Code concept (56-pt) cards'!$A$3:$BN$9,MATCH($B$2,'Code concept (56-pt) cards'!$A$3:$A$9,0),MATCH("Meaning in learner's language",'Code concept (56-pt) cards'!$A$2:$BN$2,0))&amp;""</f>
        <v/>
      </c>
    </row>
    <row r="24" ht="94.5" customHeight="1">
      <c r="A24" s="24" t="inlineStr">
        <is>
          <t>Code</t>
        </is>
      </c>
      <c r="B24" s="26">
        <f>INDEX('Code concept (56-pt) cards'!$A$3:$BN$9,MATCH($B$2,'Code concept (56-pt) cards'!$A$3:$A$9,0),MATCH("Code",'Code concept (56-pt) cards'!$A$2:$BN$2,0))&amp;""</f>
        <v/>
      </c>
    </row>
    <row r="25" ht="30" customHeight="1">
      <c r="A25" s="24" t="inlineStr">
        <is>
          <t>Output</t>
        </is>
      </c>
      <c r="B25" s="26">
        <f>INDEX('Code concept (56-pt) cards'!$A$3:$BN$9,MATCH($B$2,'Code concept (56-pt) cards'!$A$3:$A$9,0),MATCH("Output",'Code concept (56-pt) cards'!$A$2:$BN$2,0))&amp;""</f>
        <v/>
      </c>
    </row>
    <row r="26" ht="54" customHeight="1">
      <c r="A26" s="24" t="inlineStr">
        <is>
          <t>Explanation</t>
        </is>
      </c>
      <c r="B26" s="17">
        <f>INDEX('Code concept (56-pt) cards'!$A$3:$BN$9,MATCH($B$2,'Code concept (56-pt) cards'!$A$3:$A$9,0),MATCH("Explanation",'Code concept (56-pt) cards'!$A$2:$BN$2,0))&amp;""</f>
        <v/>
      </c>
    </row>
    <row r="27" ht="30" customHeight="1">
      <c r="A27" s="24" t="inlineStr">
        <is>
          <t>Simple explanation (Hinglish)</t>
        </is>
      </c>
      <c r="B27" s="17">
        <f>INDEX('Code concept (56-pt) cards'!$A$3:$BN$9,MATCH($B$2,'Code concept (56-pt) cards'!$A$3:$A$9,0),MATCH("Simple explanation (Hinglish)",'Code concept (56-pt) cards'!$A$2:$BN$2,0))&amp;""</f>
        <v/>
      </c>
    </row>
    <row r="28" ht="30" customHeight="1">
      <c r="A28" s="24" t="inlineStr">
        <is>
          <t>Real-life analogy</t>
        </is>
      </c>
      <c r="B28" s="17">
        <f>INDEX('Code concept (56-pt) cards'!$A$3:$BN$9,MATCH($B$2,'Code concept (56-pt) cards'!$A$3:$A$9,0),MATCH("Real-life analogy",'Code concept (56-pt) cards'!$A$2:$BN$2,0))&amp;""</f>
        <v/>
      </c>
    </row>
    <row r="29" ht="30" customHeight="1">
      <c r="A29" s="24" t="inlineStr">
        <is>
          <t>Syntax pattern</t>
        </is>
      </c>
      <c r="B29" s="26">
        <f>INDEX('Code concept (56-pt) cards'!$A$3:$BN$9,MATCH($B$2,'Code concept (56-pt) cards'!$A$3:$A$9,0),MATCH("Syntax pattern",'Code concept (56-pt) cards'!$A$2:$BN$2,0))&amp;""</f>
        <v/>
      </c>
    </row>
    <row r="30" ht="30" customHeight="1">
      <c r="A30" s="24" t="inlineStr">
        <is>
          <t>Anatomy</t>
        </is>
      </c>
      <c r="B30" s="17">
        <f>INDEX('Code concept (56-pt) cards'!$A$3:$BN$9,MATCH($B$2,'Code concept (56-pt) cards'!$A$3:$A$9,0),MATCH("Anatomy",'Code concept (56-pt) cards'!$A$2:$BN$2,0))&amp;""</f>
        <v/>
      </c>
    </row>
    <row r="31" ht="30" customHeight="1">
      <c r="A31" s="24" t="inlineStr">
        <is>
          <t>Example 1</t>
        </is>
      </c>
      <c r="B31" s="26">
        <f>INDEX('Code concept (56-pt) cards'!$A$3:$BN$9,MATCH($B$2,'Code concept (56-pt) cards'!$A$3:$A$9,0),MATCH("Example 1",'Code concept (56-pt) cards'!$A$2:$BN$2,0))&amp;""</f>
        <v/>
      </c>
    </row>
    <row r="32" ht="30" customHeight="1">
      <c r="A32" s="24" t="inlineStr">
        <is>
          <t>Example 2</t>
        </is>
      </c>
      <c r="B32" s="26">
        <f>INDEX('Code concept (56-pt) cards'!$A$3:$BN$9,MATCH($B$2,'Code concept (56-pt) cards'!$A$3:$A$9,0),MATCH("Example 2",'Code concept (56-pt) cards'!$A$2:$BN$2,0))&amp;""</f>
        <v/>
      </c>
    </row>
    <row r="33" ht="30" customHeight="1">
      <c r="A33" s="24" t="inlineStr">
        <is>
          <t>Example 3</t>
        </is>
      </c>
      <c r="B33" s="26">
        <f>INDEX('Code concept (56-pt) cards'!$A$3:$BN$9,MATCH($B$2,'Code concept (56-pt) cards'!$A$3:$A$9,0),MATCH("Example 3",'Code concept (56-pt) cards'!$A$2:$BN$2,0))&amp;""</f>
        <v/>
      </c>
    </row>
    <row r="34" ht="30" customHeight="1">
      <c r="A34" s="24" t="inlineStr">
        <is>
          <t>Variation</t>
        </is>
      </c>
      <c r="B34" s="26">
        <f>INDEX('Code concept (56-pt) cards'!$A$3:$BN$9,MATCH($B$2,'Code concept (56-pt) cards'!$A$3:$A$9,0),MATCH("Variation",'Code concept (56-pt) cards'!$A$2:$BN$2,0))&amp;""</f>
        <v/>
      </c>
    </row>
    <row r="35" ht="30" customHeight="1">
      <c r="A35" s="24" t="inlineStr">
        <is>
          <t>Used with</t>
        </is>
      </c>
      <c r="B35" s="17">
        <f>INDEX('Code concept (56-pt) cards'!$A$3:$BN$9,MATCH($B$2,'Code concept (56-pt) cards'!$A$3:$A$9,0),MATCH("Used with",'Code concept (56-pt) cards'!$A$2:$BN$2,0))&amp;""</f>
        <v/>
      </c>
    </row>
    <row r="36" ht="30" customHeight="1">
      <c r="A36" s="24" t="inlineStr">
        <is>
          <t>Related concepts</t>
        </is>
      </c>
      <c r="B36" s="17">
        <f>INDEX('Code concept (56-pt) cards'!$A$3:$BN$9,MATCH($B$2,'Code concept (56-pt) cards'!$A$3:$A$9,0),MATCH("Related concepts",'Code concept (56-pt) cards'!$A$2:$BN$2,0))&amp;""</f>
        <v/>
      </c>
    </row>
    <row r="37" ht="30" customHeight="1">
      <c r="A37" s="24" t="inlineStr">
        <is>
          <t>Alternatives</t>
        </is>
      </c>
      <c r="B37" s="17">
        <f>INDEX('Code concept (56-pt) cards'!$A$3:$BN$9,MATCH($B$2,'Code concept (56-pt) cards'!$A$3:$A$9,0),MATCH("Alternatives",'Code concept (56-pt) cards'!$A$2:$BN$2,0))&amp;""</f>
        <v/>
      </c>
    </row>
    <row r="38" ht="30" customHeight="1">
      <c r="A38" s="24" t="inlineStr">
        <is>
          <t>Family / group</t>
        </is>
      </c>
      <c r="B38" s="17">
        <f>INDEX('Code concept (56-pt) cards'!$A$3:$BN$9,MATCH($B$2,'Code concept (56-pt) cards'!$A$3:$A$9,0),MATCH("Family / group",'Code concept (56-pt) cards'!$A$2:$BN$2,0))&amp;""</f>
        <v/>
      </c>
    </row>
    <row r="39" ht="30" customHeight="1">
      <c r="A39" s="24" t="inlineStr">
        <is>
          <t>Where it is used</t>
        </is>
      </c>
      <c r="B39" s="17">
        <f>INDEX('Code concept (56-pt) cards'!$A$3:$BN$9,MATCH($B$2,'Code concept (56-pt) cards'!$A$3:$A$9,0),MATCH("Where it is used",'Code concept (56-pt) cards'!$A$2:$BN$2,0))&amp;""</f>
        <v/>
      </c>
    </row>
    <row r="40" ht="30" customHeight="1">
      <c r="A40" s="24" t="inlineStr">
        <is>
          <t>Mini conversation</t>
        </is>
      </c>
      <c r="B40" s="17">
        <f>INDEX('Code concept (56-pt) cards'!$A$3:$BN$9,MATCH($B$2,'Code concept (56-pt) cards'!$A$3:$A$9,0),MATCH("Mini conversation",'Code concept (56-pt) cards'!$A$2:$BN$2,0))&amp;""</f>
        <v/>
      </c>
    </row>
    <row r="41" ht="30" customHeight="1">
      <c r="A41" s="24" t="inlineStr">
        <is>
          <t>Common mistake</t>
        </is>
      </c>
      <c r="B41" s="17">
        <f>INDEX('Code concept (56-pt) cards'!$A$3:$BN$9,MATCH($B$2,'Code concept (56-pt) cards'!$A$3:$A$9,0),MATCH("Common mistake",'Code concept (56-pt) cards'!$A$2:$BN$2,0))&amp;""</f>
        <v/>
      </c>
    </row>
    <row r="42" ht="30" customHeight="1">
      <c r="A42" s="24" t="inlineStr">
        <is>
          <t>Commonly confused with</t>
        </is>
      </c>
      <c r="B42" s="17">
        <f>INDEX('Code concept (56-pt) cards'!$A$3:$BN$9,MATCH($B$2,'Code concept (56-pt) cards'!$A$3:$A$9,0),MATCH("Commonly confused with",'Code concept (56-pt) cards'!$A$2:$BN$2,0))&amp;""</f>
        <v/>
      </c>
    </row>
    <row r="43" ht="30" customHeight="1">
      <c r="A43" s="24" t="inlineStr">
        <is>
          <t>Avoid / don't</t>
        </is>
      </c>
      <c r="B43" s="17">
        <f>INDEX('Code concept (56-pt) cards'!$A$3:$BN$9,MATCH($B$2,'Code concept (56-pt) cards'!$A$3:$A$9,0),MATCH("Avoid / don't",'Code concept (56-pt) cards'!$A$2:$BN$2,0))&amp;""</f>
        <v/>
      </c>
    </row>
    <row r="44" ht="30" customHeight="1">
      <c r="A44" s="24" t="inlineStr">
        <is>
          <t>Wrong code</t>
        </is>
      </c>
      <c r="B44" s="26">
        <f>INDEX('Code concept (56-pt) cards'!$A$3:$BN$9,MATCH($B$2,'Code concept (56-pt) cards'!$A$3:$A$9,0),MATCH("Wrong code",'Code concept (56-pt) cards'!$A$2:$BN$2,0))&amp;""</f>
        <v/>
      </c>
    </row>
    <row r="45" ht="30" customHeight="1">
      <c r="A45" s="24" t="inlineStr">
        <is>
          <t>Right code</t>
        </is>
      </c>
      <c r="B45" s="26">
        <f>INDEX('Code concept (56-pt) cards'!$A$3:$BN$9,MATCH($B$2,'Code concept (56-pt) cards'!$A$3:$A$9,0),MATCH("Right code",'Code concept (56-pt) cards'!$A$2:$BN$2,0))&amp;""</f>
        <v/>
      </c>
    </row>
    <row r="46" ht="30" customHeight="1">
      <c r="A46" s="24" t="inlineStr">
        <is>
          <t>Memory trick</t>
        </is>
      </c>
      <c r="B46" s="17">
        <f>INDEX('Code concept (56-pt) cards'!$A$3:$BN$9,MATCH($B$2,'Code concept (56-pt) cards'!$A$3:$A$9,0),MATCH("Memory trick",'Code concept (56-pt) cards'!$A$2:$BN$2,0))&amp;""</f>
        <v/>
      </c>
    </row>
    <row r="47" ht="30" customHeight="1">
      <c r="A47" s="24" t="inlineStr">
        <is>
          <t>Real life: project / work</t>
        </is>
      </c>
      <c r="B47" s="17">
        <f>INDEX('Code concept (56-pt) cards'!$A$3:$BN$9,MATCH($B$2,'Code concept (56-pt) cards'!$A$3:$A$9,0),MATCH("Real life: project / work",'Code concept (56-pt) cards'!$A$2:$BN$2,0))&amp;""</f>
        <v/>
      </c>
    </row>
    <row r="48" ht="30" customHeight="1">
      <c r="A48" s="24" t="inlineStr">
        <is>
          <t>Real life: interview / exam</t>
        </is>
      </c>
      <c r="B48" s="17">
        <f>INDEX('Code concept (56-pt) cards'!$A$3:$BN$9,MATCH($B$2,'Code concept (56-pt) cards'!$A$3:$A$9,0),MATCH("Real life: interview / exam",'Code concept (56-pt) cards'!$A$2:$BN$2,0))&amp;""</f>
        <v/>
      </c>
    </row>
    <row r="49" ht="30" customHeight="1">
      <c r="A49" s="24" t="inlineStr">
        <is>
          <t>Real life: daily life</t>
        </is>
      </c>
      <c r="B49" s="17">
        <f>INDEX('Code concept (56-pt) cards'!$A$3:$BN$9,MATCH($B$2,'Code concept (56-pt) cards'!$A$3:$A$9,0),MATCH("Real life: daily life",'Code concept (56-pt) cards'!$A$2:$BN$2,0))&amp;""</f>
        <v/>
      </c>
    </row>
    <row r="50">
      <c r="A50" s="27" t="inlineStr">
        <is>
          <t>PRACTICE · Khud karo</t>
        </is>
      </c>
    </row>
    <row r="51" ht="30" customHeight="1">
      <c r="A51" s="24" t="inlineStr">
        <is>
          <t>MCQ question</t>
        </is>
      </c>
      <c r="B51" s="17">
        <f>INDEX('Code concept (56-pt) cards'!$A$3:$BN$9,MATCH($B$2,'Code concept (56-pt) cards'!$A$3:$A$9,0),MATCH("MCQ question",'Code concept (56-pt) cards'!$A$2:$BN$2,0))&amp;""</f>
        <v/>
      </c>
    </row>
    <row r="52" ht="30" customHeight="1">
      <c r="A52" s="24" t="inlineStr">
        <is>
          <t>MCQ options</t>
        </is>
      </c>
      <c r="B52" s="17">
        <f>INDEX('Code concept (56-pt) cards'!$A$3:$BN$9,MATCH($B$2,'Code concept (56-pt) cards'!$A$3:$A$9,0),MATCH("MCQ options",'Code concept (56-pt) cards'!$A$2:$BN$2,0))&amp;""</f>
        <v/>
      </c>
    </row>
    <row r="53" ht="30" customHeight="1">
      <c r="A53" s="24" t="inlineStr">
        <is>
          <t>MCQ answer</t>
        </is>
      </c>
      <c r="B53" s="17">
        <f>INDEX('Code concept (56-pt) cards'!$A$3:$BN$9,MATCH($B$2,'Code concept (56-pt) cards'!$A$3:$A$9,0),MATCH("MCQ answer",'Code concept (56-pt) cards'!$A$2:$BN$2,0))&amp;""</f>
        <v/>
      </c>
    </row>
    <row r="54" ht="30" customHeight="1">
      <c r="A54" s="24" t="inlineStr">
        <is>
          <t>Why that answer</t>
        </is>
      </c>
      <c r="B54" s="17">
        <f>INDEX('Code concept (56-pt) cards'!$A$3:$BN$9,MATCH($B$2,'Code concept (56-pt) cards'!$A$3:$A$9,0),MATCH("Why that answer",'Code concept (56-pt) cards'!$A$2:$BN$2,0))&amp;""</f>
        <v/>
      </c>
    </row>
    <row r="55" ht="30" customHeight="1">
      <c r="A55" s="24" t="inlineStr">
        <is>
          <t>Fill the blank</t>
        </is>
      </c>
      <c r="B55" s="26">
        <f>INDEX('Code concept (56-pt) cards'!$A$3:$BN$9,MATCH($B$2,'Code concept (56-pt) cards'!$A$3:$A$9,0),MATCH("Fill the blank",'Code concept (56-pt) cards'!$A$2:$BN$2,0))&amp;""</f>
        <v/>
      </c>
    </row>
    <row r="56" ht="30" customHeight="1">
      <c r="A56" s="24" t="inlineStr">
        <is>
          <t>Try it yourself</t>
        </is>
      </c>
      <c r="B56" s="17">
        <f>INDEX('Code concept (56-pt) cards'!$A$3:$BN$9,MATCH($B$2,'Code concept (56-pt) cards'!$A$3:$A$9,0),MATCH("Try it yourself",'Code concept (56-pt) cards'!$A$2:$BN$2,0))&amp;""</f>
        <v/>
      </c>
    </row>
    <row r="57" ht="30" customHeight="1">
      <c r="A57" s="24" t="inlineStr">
        <is>
          <t>Task answer</t>
        </is>
      </c>
      <c r="B57" s="26">
        <f>INDEX('Code concept (56-pt) cards'!$A$3:$BN$9,MATCH($B$2,'Code concept (56-pt) cards'!$A$3:$A$9,0),MATCH("Task answer",'Code concept (56-pt) cards'!$A$2:$BN$2,0))&amp;""</f>
        <v/>
      </c>
    </row>
    <row r="58" ht="30" customHeight="1">
      <c r="A58" s="24" t="inlineStr">
        <is>
          <t>Write your own</t>
        </is>
      </c>
      <c r="B58" s="17">
        <f>INDEX('Code concept (56-pt) cards'!$A$3:$BN$9,MATCH($B$2,'Code concept (56-pt) cards'!$A$3:$A$9,0),MATCH("Write your own",'Code concept (56-pt) cards'!$A$2:$BN$2,0))&amp;""</f>
        <v/>
      </c>
    </row>
    <row r="59" ht="30" customHeight="1">
      <c r="A59" s="24" t="inlineStr">
        <is>
          <t>Practice question</t>
        </is>
      </c>
      <c r="B59" s="26">
        <f>INDEX('Code concept (56-pt) cards'!$A$3:$BN$9,MATCH($B$2,'Code concept (56-pt) cards'!$A$3:$A$9,0),MATCH("Practice question",'Code concept (56-pt) cards'!$A$2:$BN$2,0))&amp;""</f>
        <v/>
      </c>
    </row>
    <row r="60" ht="30" customHeight="1">
      <c r="A60" s="24" t="inlineStr">
        <is>
          <t>Practice answer</t>
        </is>
      </c>
      <c r="B60" s="26">
        <f>INDEX('Code concept (56-pt) cards'!$A$3:$BN$9,MATCH($B$2,'Code concept (56-pt) cards'!$A$3:$A$9,0),MATCH("Practice answer",'Code concept (56-pt) cards'!$A$2:$BN$2,0))&amp;""</f>
        <v/>
      </c>
    </row>
    <row r="61" ht="30" customHeight="1">
      <c r="A61" s="24" t="inlineStr">
        <is>
          <t>Quick recall (reverse)</t>
        </is>
      </c>
      <c r="B61" s="17">
        <f>INDEX('Code concept (56-pt) cards'!$A$3:$BN$9,MATCH($B$2,'Code concept (56-pt) cards'!$A$3:$A$9,0),MATCH("Quick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4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LLM-001</t>
        </is>
      </c>
      <c r="B3" s="17" t="inlineStr">
        <is>
          <t>01 Basics</t>
        </is>
      </c>
      <c r="C3" s="17" t="inlineStr">
        <is>
          <t>Beginner</t>
        </is>
      </c>
      <c r="D3" s="17" t="n">
        <v>1</v>
      </c>
      <c r="E3" s="17" t="inlineStr">
        <is>
          <t>Claude knowledge</t>
        </is>
      </c>
      <c r="F3" s="18" t="inlineStr">
        <is>
          <t>What an LLM is</t>
        </is>
      </c>
      <c r="G3" s="18" t="inlineStr">
        <is>
          <t>Which kind of model predicts text and can follow instructions?</t>
        </is>
      </c>
      <c r="H3" s="18" t="inlineStr">
        <is>
          <t>Core concept</t>
        </is>
      </c>
      <c r="I3" s="18" t="inlineStr">
        <is>
          <t>Very high</t>
        </is>
      </c>
      <c r="J3" s="18" t="n">
        <v>5</v>
      </c>
      <c r="K3" s="18" t="inlineStr">
        <is>
          <t>Researchers trained very large neural networks on huge amounts of text to predict the next piece of text, and found they could follow instructions and answer questions.</t>
        </is>
      </c>
      <c r="L3" s="18" t="inlineStr">
        <is>
          <t>Think of an LLM as a very capable text predictor, not a database of verified facts.</t>
        </is>
      </c>
      <c r="M3" s="18" t="inlineStr">
        <is>
          <t>An LLM is a very well-read assistant who writes fluent answers from patterns it learned, without looking anything up unless you give it tools.</t>
        </is>
      </c>
      <c r="N3" s="18" t="inlineStr">
        <is>
          <t>Text going into a model box and a continuation coming out.</t>
        </is>
      </c>
      <c r="O3" s="18" t="inlineStr">
        <is>
          <t>The wonder of a machine that writes useful text.</t>
        </is>
      </c>
      <c r="P3" s="18" t="inlineStr">
        <is>
          <t>A large language model is a neural network trained on large text collections that generates text by predicting likely next tokens, and is adapted to follow instructions and hold conversations.</t>
        </is>
      </c>
      <c r="Q3" s="17" t="n"/>
      <c r="R3" s="18" t="inlineStr">
        <is>
          <t>The model has fixed knowledge up to its training cut-off and no live access to the internet unless tools are provided. It does not look up facts but produces likely text, so it can be wrong while sounding confident. Behaviour depends on the prompt, settings and context. Applications wrap the model with instructions, data and tools.</t>
        </is>
      </c>
      <c r="S3" s="18" t="inlineStr">
        <is>
          <t>An LLM generates text from your prompt using patterns learned in training, and it can be wrong.</t>
        </is>
      </c>
      <c r="T3" s="18" t="inlineStr">
        <is>
          <t>An LLM is a well-read assistant who writes fluent answers from learned patterns and checks nothing unless given tools.</t>
        </is>
      </c>
      <c r="U3" s="18" t="inlineStr">
        <is>
          <t>Prompt in, predicted text out.</t>
        </is>
      </c>
      <c r="V3" s="18" t="inlineStr">
        <is>
          <t>Summarising a pasted email.</t>
        </is>
      </c>
      <c r="W3" s="18" t="inlineStr">
        <is>
          <t>Drafting a reply in a given tone.</t>
        </is>
      </c>
      <c r="X3" s="18" t="inlineStr">
        <is>
          <t>Classifying a ticket by topic.</t>
        </is>
      </c>
      <c r="Y3" s="18" t="inlineStr">
        <is>
          <t>tokens, context window, hallucination, grounding</t>
        </is>
      </c>
      <c r="Z3" s="18" t="inlineStr">
        <is>
          <t>model, prediction, training, inference, instruction</t>
        </is>
      </c>
      <c r="AA3" s="18" t="inlineStr">
        <is>
          <t>Assistants | Automation | Customer tools</t>
        </is>
      </c>
      <c r="AB3" s="18" t="inlineStr">
        <is>
          <t>A: Does the model know our latest policy? | B: Only if we put it in the prompt, since its training is fixed.</t>
        </is>
      </c>
      <c r="AC3" s="18" t="inlineStr">
        <is>
          <t>✗ An LLM looks up facts like a search engine → ✓ It generates likely text and can be wrong without any lookup</t>
        </is>
      </c>
      <c r="AD3" s="18" t="inlineStr">
        <is>
          <t>LLM vs search engine: one generates text, the other retrieves existing documents.</t>
        </is>
      </c>
      <c r="AE3" s="18" t="inlineStr">
        <is>
          <t>Do not treat model output as verified fact.</t>
        </is>
      </c>
      <c r="AF3" s="18" t="inlineStr">
        <is>
          <t>Fluent does not mean correct.</t>
        </is>
      </c>
      <c r="AG3" s="18" t="inlineStr">
        <is>
          <t>Explaining that the model needed the policy text in its prompt resolved a customer's wrong answers.</t>
        </is>
      </c>
      <c r="AH3" s="18" t="inlineStr">
        <is>
          <t>An interviewer may ask: What can and cannot an LLM do reliably?</t>
        </is>
      </c>
      <c r="AI3" s="18" t="inlineStr">
        <is>
          <t>It is like a well-read assistant who writes fluently.</t>
        </is>
      </c>
      <c r="AJ3" s="18" t="inlineStr">
        <is>
          <t>How does an LLM produce text?</t>
        </is>
      </c>
      <c r="AK3" s="18" t="inlineStr">
        <is>
          <t>A) By predicting likely next tokens B) By copying a database C) By random letters D) By searching the web always</t>
        </is>
      </c>
      <c r="AL3" s="18" t="inlineStr">
        <is>
          <t>A</t>
        </is>
      </c>
      <c r="AM3" s="18" t="inlineStr">
        <is>
          <t>Generation is token prediction.</t>
        </is>
      </c>
      <c r="AN3" s="18" t="inlineStr">
        <is>
          <t>The date after which a model has no training data is its ____ cut-off → knowledge</t>
        </is>
      </c>
      <c r="AO3" s="18" t="inlineStr">
        <is>
          <t>A model must answer from your private policy. What do you do? → Provide the policy in the prompt</t>
        </is>
      </c>
      <c r="AP3" s="18" t="inlineStr">
        <is>
          <t>Explain what an LLM is in three lines.</t>
        </is>
      </c>
      <c r="AQ3" s="18" t="inlineStr">
        <is>
          <t>List three tasks suited to LLMs and two that are not.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LLM-002</t>
        </is>
      </c>
      <c r="B4" s="17" t="inlineStr">
        <is>
          <t>01 Basics</t>
        </is>
      </c>
      <c r="C4" s="17" t="inlineStr">
        <is>
          <t>Beginner</t>
        </is>
      </c>
      <c r="D4" s="17" t="n">
        <v>2</v>
      </c>
      <c r="E4" s="17" t="inlineStr">
        <is>
          <t>Claude knowledge</t>
        </is>
      </c>
      <c r="F4" s="18" t="inlineStr">
        <is>
          <t>Tokens</t>
        </is>
      </c>
      <c r="G4" s="18" t="inlineStr">
        <is>
          <t>Which pieces of text do models read, write and charge for?</t>
        </is>
      </c>
      <c r="H4" s="18" t="inlineStr">
        <is>
          <t>Core concept</t>
        </is>
      </c>
      <c r="I4" s="18" t="inlineStr">
        <is>
          <t>Very high</t>
        </is>
      </c>
      <c r="J4" s="18" t="n">
        <v>5</v>
      </c>
      <c r="K4" s="18" t="inlineStr">
        <is>
          <t>Models work on numbers, so text is split into pieces called tokens that map to numbers.</t>
        </is>
      </c>
      <c r="L4" s="18" t="inlineStr">
        <is>
          <t>Estimate cost and limits in tokens, not words or characters.</t>
        </is>
      </c>
      <c r="M4" s="18" t="inlineStr">
        <is>
          <t>Tokens are the Lego bricks of text, and the model reads and builds with bricks, not whole sentences.</t>
        </is>
      </c>
      <c r="N4" s="18" t="inlineStr">
        <is>
          <t>A single sentence cut into several coloured chunks.</t>
        </is>
      </c>
      <c r="O4" s="18" t="inlineStr">
        <is>
          <t>The understanding of why limits are counted oddly.</t>
        </is>
      </c>
      <c r="P4" s="18" t="inlineStr">
        <is>
          <t>A token is a unit of text, such as a word, part of a word or punctuation, that a tokenizer produces, and models read, generate and bill by tokens.</t>
        </is>
      </c>
      <c r="Q4" s="17" t="n"/>
      <c r="R4" s="18" t="inlineStr">
        <is>
          <t>In English, a token is roughly three quarters of a word, but this varies by language and tokenizer, and other languages may use more tokens per word. Both input and output count toward limits and cost. Rare words split into several tokens. Providers offer tokenizer tools or token counting endpoints. Whitespace and formatting also use tokens.</t>
        </is>
      </c>
      <c r="S4" s="18" t="inlineStr">
        <is>
          <t>Text becomes tokens, and tokens decide limits and cost.</t>
        </is>
      </c>
      <c r="T4" s="18" t="inlineStr">
        <is>
          <t>Tokens are the Lego bricks of text.</t>
        </is>
      </c>
      <c r="U4" s="18" t="inlineStr">
        <is>
          <t>Input tokens + output tokens = total used.</t>
        </is>
      </c>
      <c r="V4" s="18" t="inlineStr">
        <is>
          <t>A short sentence using about ten tokens.</t>
        </is>
      </c>
      <c r="W4" s="18" t="inlineStr">
        <is>
          <t>A long contract using thousands of tokens.</t>
        </is>
      </c>
      <c r="X4" s="18" t="inlineStr">
        <is>
          <t>Hindi text using more tokens per word than English.</t>
        </is>
      </c>
      <c r="Y4" s="18" t="inlineStr">
        <is>
          <t>context window, cost control, model choice, caching</t>
        </is>
      </c>
      <c r="Z4" s="18" t="inlineStr">
        <is>
          <t>token, tokenizer, input, output, limit</t>
        </is>
      </c>
      <c r="AA4" s="18" t="inlineStr">
        <is>
          <t>Cost estimates | Limits | Prompt design</t>
        </is>
      </c>
      <c r="AB4" s="18" t="inlineStr">
        <is>
          <t>A: Why does this Hindi prompt cost more? | B: It uses more tokens per word.</t>
        </is>
      </c>
      <c r="AC4" s="18" t="inlineStr">
        <is>
          <t>✗ One token equals one word → ✓ Tokens are pieces of words, and the ratio varies by language</t>
        </is>
      </c>
      <c r="AD4" s="18" t="inlineStr">
        <is>
          <t>Token vs word: tokens are model units, words are human units.</t>
        </is>
      </c>
      <c r="AE4" s="18" t="inlineStr">
        <is>
          <t>Do not estimate cost by counting words only.</t>
        </is>
      </c>
      <c r="AF4" s="18" t="inlineStr">
        <is>
          <t>Always count tokens, never just words.</t>
        </is>
      </c>
      <c r="AG4" s="18" t="inlineStr">
        <is>
          <t>Counting tokens before sending documents avoided surprise limit errors in a batch job.</t>
        </is>
      </c>
      <c r="AH4" s="18" t="inlineStr">
        <is>
          <t>An interviewer may ask: Why are tokens important?</t>
        </is>
      </c>
      <c r="AI4" s="18" t="inlineStr">
        <is>
          <t>It is like Lego bricks of text.</t>
        </is>
      </c>
      <c r="AJ4" s="18" t="inlineStr">
        <is>
          <t>What counts toward the limit?</t>
        </is>
      </c>
      <c r="AK4" s="18" t="inlineStr">
        <is>
          <t>A) Only output B) Neither C) Only input D) Both input and output tokens</t>
        </is>
      </c>
      <c r="AL4" s="18" t="inlineStr">
        <is>
          <t>D</t>
        </is>
      </c>
      <c r="AM4" s="18" t="inlineStr">
        <is>
          <t>The context holds both.</t>
        </is>
      </c>
      <c r="AN4" s="18" t="inlineStr">
        <is>
          <t>The tool that splits text into tokens is a ____ → tokenizer</t>
        </is>
      </c>
      <c r="AO4" s="18" t="inlineStr">
        <is>
          <t>You need to estimate the cost of a long document. What do you count? → Tokens</t>
        </is>
      </c>
      <c r="AP4" s="18" t="inlineStr">
        <is>
          <t>Explain tokens in three lines.</t>
        </is>
      </c>
      <c r="AQ4" s="18" t="inlineStr">
        <is>
          <t>Estimate tokens for a one thousand word English page.</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35" customHeight="1">
      <c r="A5" s="17" t="inlineStr">
        <is>
          <t>LLM-003</t>
        </is>
      </c>
      <c r="B5" s="17" t="inlineStr">
        <is>
          <t>01 Basics</t>
        </is>
      </c>
      <c r="C5" s="17" t="inlineStr">
        <is>
          <t>Beginner</t>
        </is>
      </c>
      <c r="D5" s="17" t="n">
        <v>3</v>
      </c>
      <c r="E5" s="17" t="inlineStr">
        <is>
          <t>Claude knowledge</t>
        </is>
      </c>
      <c r="F5" s="18" t="inlineStr">
        <is>
          <t>Context window</t>
        </is>
      </c>
      <c r="G5" s="18" t="inlineStr">
        <is>
          <t>Which limit says how much text the model can consider at once?</t>
        </is>
      </c>
      <c r="H5" s="18" t="inlineStr">
        <is>
          <t>Core concept</t>
        </is>
      </c>
      <c r="I5" s="18" t="inlineStr">
        <is>
          <t>Very high</t>
        </is>
      </c>
      <c r="J5" s="18" t="n">
        <v>5</v>
      </c>
      <c r="K5" s="18" t="inlineStr">
        <is>
          <t>Models can only attend to a fixed amount of text per request, so every call has a maximum size.</t>
        </is>
      </c>
      <c r="L5" s="18" t="inlineStr">
        <is>
          <t>Leave room for the answer, and put the most important material where it is easy to find.</t>
        </is>
      </c>
      <c r="M5" s="18" t="inlineStr">
        <is>
          <t>The context window is the size of the desk where the model spreads all its papers for one job.</t>
        </is>
      </c>
      <c r="N5" s="18" t="inlineStr">
        <is>
          <t>A desk holding instructions, documents and the answer space.</t>
        </is>
      </c>
      <c r="O5" s="18" t="inlineStr">
        <is>
          <t>The awareness of exactly how much text fits.</t>
        </is>
      </c>
      <c r="P5" s="18" t="inlineStr">
        <is>
          <t>The context window is the maximum number of tokens, covering the prompt, history and output, that a model can process in one request.</t>
        </is>
      </c>
      <c r="Q5" s="17" t="n"/>
      <c r="R5" s="18" t="inlineStr">
        <is>
          <t>Everything the model should use must fit in the window, including the system prompt, previous messages, retrieved documents and the reply. Larger windows allow longer documents, but cost more and may reduce attention on details in the middle. Overflow causes errors or truncation. Strategies include summarising history, retrieving only relevant parts and splitting work. The model has no memory beyond what you send each time.</t>
        </is>
      </c>
      <c r="S5" s="18" t="inlineStr">
        <is>
          <t>Everything must fit in the window, and the model remembers only what you send.</t>
        </is>
      </c>
      <c r="T5" s="18" t="inlineStr">
        <is>
          <t>The context window is the size of the desk where the model spreads all papers for one job.</t>
        </is>
      </c>
      <c r="U5" s="18" t="inlineStr">
        <is>
          <t>Prompt + history + documents + answer ≤ window.</t>
        </is>
      </c>
      <c r="V5" s="18" t="inlineStr">
        <is>
          <t>A long chat history trimmed to fit.</t>
        </is>
      </c>
      <c r="W5" s="18" t="inlineStr">
        <is>
          <t>A document split into parts.</t>
        </is>
      </c>
      <c r="X5" s="18" t="inlineStr">
        <is>
          <t>Retrieving only relevant passages.</t>
        </is>
      </c>
      <c r="Y5" s="18" t="inlineStr">
        <is>
          <t>tokens, chat memory, RAG, cost control</t>
        </is>
      </c>
      <c r="Z5" s="18" t="inlineStr">
        <is>
          <t>window, limit, truncation, history, budget</t>
        </is>
      </c>
      <c r="AA5" s="18" t="inlineStr">
        <is>
          <t>Chat apps | Document tools | Cost planning</t>
        </is>
      </c>
      <c r="AB5" s="18" t="inlineStr">
        <is>
          <t>A: The model forgot what I said earlier. | B: That message fell outside the context we sent.</t>
        </is>
      </c>
      <c r="AC5" s="18" t="inlineStr">
        <is>
          <t>✗ The model remembers earlier calls by itself → ✓ It sees only what is included in each request</t>
        </is>
      </c>
      <c r="AD5" s="18" t="inlineStr">
        <is>
          <t>Window vs memory: the window is per request, memory is something you build.</t>
        </is>
      </c>
      <c r="AE5" s="18" t="inlineStr">
        <is>
          <t>Do not fill the whole window with input and leave no room for output.</t>
        </is>
      </c>
      <c r="AF5" s="18" t="inlineStr">
        <is>
          <t>Send it or it is forgotten.</t>
        </is>
      </c>
      <c r="AG5" s="18" t="inlineStr">
        <is>
          <t>Summarising old messages kept a long support chat inside the window.</t>
        </is>
      </c>
      <c r="AH5" s="18" t="inlineStr">
        <is>
          <t>An interviewer may ask: What happens when the prompt exceeds the context window?</t>
        </is>
      </c>
      <c r="AI5" s="18" t="inlineStr">
        <is>
          <t>It is like the size of a desk.</t>
        </is>
      </c>
      <c r="AJ5" s="18" t="inlineStr">
        <is>
          <t>What does the context window include?</t>
        </is>
      </c>
      <c r="AK5" s="18" t="inlineStr">
        <is>
          <t>A) Only the question B) Only the answer C) Prompt, history and output D) The internet</t>
        </is>
      </c>
      <c r="AL5" s="18" t="inlineStr">
        <is>
          <t>C</t>
        </is>
      </c>
      <c r="AM5" s="18" t="inlineStr">
        <is>
          <t>All tokens in the request count.</t>
        </is>
      </c>
      <c r="AN5" s="18" t="inlineStr">
        <is>
          <t>Cutting off text that does not fit is ____ → truncation</t>
        </is>
      </c>
      <c r="AO5" s="18" t="inlineStr">
        <is>
          <t>A chat grows too long. What do you do? → Summarise or trim old messages</t>
        </is>
      </c>
      <c r="AP5" s="18" t="inlineStr">
        <is>
          <t>Explain the context window in three lines.</t>
        </is>
      </c>
      <c r="AQ5" s="18" t="inlineStr">
        <is>
          <t>Plan a token budget for a document question answering call.</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LLM-004</t>
        </is>
      </c>
      <c r="B6" s="17" t="inlineStr">
        <is>
          <t>01 Basics</t>
        </is>
      </c>
      <c r="C6" s="17" t="inlineStr">
        <is>
          <t>Beginner</t>
        </is>
      </c>
      <c r="D6" s="17" t="n">
        <v>4</v>
      </c>
      <c r="E6" s="17" t="inlineStr">
        <is>
          <t>Claude knowledge</t>
        </is>
      </c>
      <c r="F6" s="18" t="inlineStr">
        <is>
          <t>Roles in a conversation</t>
        </is>
      </c>
      <c r="G6" s="18" t="inlineStr">
        <is>
          <t>Which labels mark who is speaking in a chat style request?</t>
        </is>
      </c>
      <c r="H6" s="18" t="inlineStr">
        <is>
          <t>Core concept</t>
        </is>
      </c>
      <c r="I6" s="18" t="inlineStr">
        <is>
          <t>Very high</t>
        </is>
      </c>
      <c r="J6" s="18" t="n">
        <v>5</v>
      </c>
      <c r="K6" s="18" t="inlineStr">
        <is>
          <t>Chat models need to know which text is instructions and which is the user or the model, so messages carry roles.</t>
        </is>
      </c>
      <c r="L6" s="18" t="inlineStr">
        <is>
          <t>Put stable rules in the system message and the user's request in the user message.</t>
        </is>
      </c>
      <c r="M6" s="18" t="inlineStr">
        <is>
          <t>Roles are the name tags in a script that say who speaks each line.</t>
        </is>
      </c>
      <c r="N6" s="18" t="inlineStr">
        <is>
          <t>A list of messages labelled system, user and assistant.</t>
        </is>
      </c>
      <c r="O6" s="18" t="inlineStr">
        <is>
          <t>The clarity of a structured conversation.</t>
        </is>
      </c>
      <c r="P6" s="18" t="inlineStr">
        <is>
          <t>A chat request is a list of messages with roles such as system for rules, user for the person's input, assistant for earlier model replies, and tool for tool results.</t>
        </is>
      </c>
      <c r="Q6" s="17" t="n"/>
      <c r="R6" s="18" t="inlineStr">
        <is>
          <t>The system message sets behaviour, tone and constraints. User messages carry requests and data. Assistant messages hold previous replies to keep the thread. Tool messages return results of tool calls. Models give system content higher priority, but this is not a security boundary, so untrusted text must not be placed as instructions.</t>
        </is>
      </c>
      <c r="S6" s="18" t="inlineStr">
        <is>
          <t>Use system for rules, user for requests, assistant for history, and tool for tool results.</t>
        </is>
      </c>
      <c r="T6" s="18" t="inlineStr">
        <is>
          <t>Roles are the name tags in a script that say who speaks each line.</t>
        </is>
      </c>
      <c r="U6" s="18" t="inlineStr">
        <is>
          <t>system = rules, user = input, assistant = replies, tool = results.</t>
        </is>
      </c>
      <c r="V6" s="18" t="inlineStr">
        <is>
          <t>System: You are a polite support agent.</t>
        </is>
      </c>
      <c r="W6" s="18" t="inlineStr">
        <is>
          <t>User: Where is my order?</t>
        </is>
      </c>
      <c r="X6" s="18" t="inlineStr">
        <is>
          <t>Assistant: Let me check that for you.</t>
        </is>
      </c>
      <c r="Y6" s="18" t="inlineStr">
        <is>
          <t>system prompts, prompt injection, tool calling, chat memory</t>
        </is>
      </c>
      <c r="Z6" s="18" t="inlineStr">
        <is>
          <t>role, message, system, user, assistant</t>
        </is>
      </c>
      <c r="AA6" s="18" t="inlineStr">
        <is>
          <t>Every chat API | Assistants | Agents</t>
        </is>
      </c>
      <c r="AB6" s="18" t="inlineStr">
        <is>
          <t>A: Where do I put the tone instructions? | B: In the system message.</t>
        </is>
      </c>
      <c r="AC6" s="18" t="inlineStr">
        <is>
          <t>✗ The system role makes instructions impossible to override → ✓ It guides the model, but it is not a hard security boundary</t>
        </is>
      </c>
      <c r="AD6" s="18" t="inlineStr">
        <is>
          <t>System vs user: rules versus requests.</t>
        </is>
      </c>
      <c r="AE6" s="18" t="inlineStr">
        <is>
          <t>Do not put untrusted text into the system message.</t>
        </is>
      </c>
      <c r="AF6" s="18" t="inlineStr">
        <is>
          <t>System sets rules, user asks questions.</t>
        </is>
      </c>
      <c r="AG6" s="18" t="inlineStr">
        <is>
          <t>Moving tone rules into the system message made replies consistent across a support bot.</t>
        </is>
      </c>
      <c r="AH6" s="18" t="inlineStr">
        <is>
          <t>An interviewer may ask: What are the roles in a chat request?</t>
        </is>
      </c>
      <c r="AI6" s="18" t="inlineStr">
        <is>
          <t>It is like name tags in a script.</t>
        </is>
      </c>
      <c r="AJ6" s="18" t="inlineStr">
        <is>
          <t>Which role holds the behaviour rules?</t>
        </is>
      </c>
      <c r="AK6" s="18" t="inlineStr">
        <is>
          <t>A) User B) System C) Tool D) Assistant</t>
        </is>
      </c>
      <c r="AL6" s="18" t="inlineStr">
        <is>
          <t>B</t>
        </is>
      </c>
      <c r="AM6" s="18" t="inlineStr">
        <is>
          <t>The system message sets instructions.</t>
        </is>
      </c>
      <c r="AN6" s="18" t="inlineStr">
        <is>
          <t>The role that carries earlier model replies is ____ → assistant</t>
        </is>
      </c>
      <c r="AO6" s="18" t="inlineStr">
        <is>
          <t>You want a consistent polite tone. Where do you write it? → In the system message</t>
        </is>
      </c>
      <c r="AP6" s="18" t="inlineStr">
        <is>
          <t>Explain conversation roles in three lines.</t>
        </is>
      </c>
      <c r="AQ6" s="18" t="inlineStr">
        <is>
          <t>Write a three message conversation with roles.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LLM-005</t>
        </is>
      </c>
      <c r="B7" s="17" t="inlineStr">
        <is>
          <t>01 Basics</t>
        </is>
      </c>
      <c r="C7" s="17" t="inlineStr">
        <is>
          <t>Intermediate</t>
        </is>
      </c>
      <c r="D7" s="17" t="n">
        <v>5</v>
      </c>
      <c r="E7" s="17" t="inlineStr">
        <is>
          <t>Claude knowledge</t>
        </is>
      </c>
      <c r="F7" s="18" t="inlineStr">
        <is>
          <t>Temperature and sampling</t>
        </is>
      </c>
      <c r="G7" s="18" t="inlineStr">
        <is>
          <t>Which settings control how random or predictable the output is?</t>
        </is>
      </c>
      <c r="H7" s="18" t="inlineStr">
        <is>
          <t>Core concept</t>
        </is>
      </c>
      <c r="I7" s="18" t="inlineStr">
        <is>
          <t>Very high</t>
        </is>
      </c>
      <c r="J7" s="18" t="n">
        <v>4</v>
      </c>
      <c r="K7" s="18" t="inlineStr">
        <is>
          <t>The model produces a probability for each next token, and settings decide how strictly the most likely one is chosen.</t>
        </is>
      </c>
      <c r="L7" s="18" t="inlineStr">
        <is>
          <t>Use low temperature for extraction and classification, and higher for creative writing.</t>
        </is>
      </c>
      <c r="M7" s="18" t="inlineStr">
        <is>
          <t>Temperature is a creativity dial from strict clerk to imaginative poet.</t>
        </is>
      </c>
      <c r="N7" s="18" t="inlineStr">
        <is>
          <t>A dial from low to high with spread-out choices on the right.</t>
        </is>
      </c>
      <c r="O7" s="18" t="inlineStr">
        <is>
          <t>The control of choosing how adventurous the answer is.</t>
        </is>
      </c>
      <c r="P7" s="18" t="inlineStr">
        <is>
          <t>Temperature rescales next-token probabilities so low values make output more focused and repeatable, and high values make it more varied, while top-p limits choices to the most probable group.</t>
        </is>
      </c>
      <c r="Q7" s="17" t="n"/>
      <c r="R7" s="18" t="inlineStr">
        <is>
          <t>At temperature near zero the model almost always picks the likeliest token, giving more consistent but not guaranteed identical output. Higher values increase variety and risk of odd answers. Top-p and top-k limit the pool of tokens. Some models fix these settings. Change one setting at a time, and test on examples.</t>
        </is>
      </c>
      <c r="S7" s="18" t="inlineStr">
        <is>
          <t>Use lower values for consistent answers and higher for variety.</t>
        </is>
      </c>
      <c r="T7" s="18" t="inlineStr">
        <is>
          <t>Temperature is a creativity dial from strict clerk to imaginative poet.</t>
        </is>
      </c>
      <c r="U7" s="18" t="inlineStr">
        <is>
          <t>Low = predictable. High = varied.</t>
        </is>
      </c>
      <c r="V7" s="18" t="inlineStr">
        <is>
          <t>Temperature near zero for data extraction.</t>
        </is>
      </c>
      <c r="W7" s="18" t="inlineStr">
        <is>
          <t>Higher temperature for brainstorming names.</t>
        </is>
      </c>
      <c r="X7" s="18" t="inlineStr">
        <is>
          <t>Top-p of 0.9 limiting rare tokens.</t>
        </is>
      </c>
      <c r="Y7" s="18" t="inlineStr">
        <is>
          <t>structured output, hallucination, model choice, evaluation</t>
        </is>
      </c>
      <c r="Z7" s="18" t="inlineStr">
        <is>
          <t>temperature, top-p, sampling, randomness, determinism</t>
        </is>
      </c>
      <c r="AA7" s="18" t="inlineStr">
        <is>
          <t>Extraction | Creative tools | Testing</t>
        </is>
      </c>
      <c r="AB7" s="18" t="inlineStr">
        <is>
          <t>A: The output changes every run. | B: Lower the temperature for more consistent answers.</t>
        </is>
      </c>
      <c r="AC7" s="18" t="inlineStr">
        <is>
          <t>✗ Temperature zero guarantees identical output every time → ✓ It reduces variation but does not promise it</t>
        </is>
      </c>
      <c r="AD7" s="18" t="inlineStr">
        <is>
          <t>Temperature vs top-p: one reshapes probabilities, the other limits the choice set.</t>
        </is>
      </c>
      <c r="AE7" s="18" t="inlineStr">
        <is>
          <t>Do not change several sampling settings at once.</t>
        </is>
      </c>
      <c r="AF7" s="18" t="inlineStr">
        <is>
          <t>Cold for facts, warm for ideas.</t>
        </is>
      </c>
      <c r="AG7" s="18" t="inlineStr">
        <is>
          <t>Lowering temperature made ticket classification far more consistent.</t>
        </is>
      </c>
      <c r="AH7" s="18" t="inlineStr">
        <is>
          <t>An interviewer may ask: What does temperature do?</t>
        </is>
      </c>
      <c r="AI7" s="18" t="inlineStr">
        <is>
          <t>It is like a creativity dial.</t>
        </is>
      </c>
      <c r="AJ7" s="18" t="inlineStr">
        <is>
          <t>Which setting suits data extraction?</t>
        </is>
      </c>
      <c r="AK7" s="18" t="inlineStr">
        <is>
          <t>A) Longer output B) High temperature C) Random seed only D) Low temperature</t>
        </is>
      </c>
      <c r="AL7" s="18" t="inlineStr">
        <is>
          <t>D</t>
        </is>
      </c>
      <c r="AM7" s="18" t="inlineStr">
        <is>
          <t>Consistency matters for extraction.</t>
        </is>
      </c>
      <c r="AN7" s="18" t="inlineStr">
        <is>
          <t>A setting that limits the pool of likely tokens is top-____ → p</t>
        </is>
      </c>
      <c r="AO7" s="18" t="inlineStr">
        <is>
          <t>You need repeatable classification. What do you adjust? → Lower the temperature</t>
        </is>
      </c>
      <c r="AP7" s="18" t="inlineStr">
        <is>
          <t>Explain temperature in three lines.</t>
        </is>
      </c>
      <c r="AQ7" s="18" t="inlineStr">
        <is>
          <t>Choose temperature settings for three different tasks.</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LLM-006</t>
        </is>
      </c>
      <c r="B8" s="17" t="inlineStr">
        <is>
          <t>01 Basics</t>
        </is>
      </c>
      <c r="C8" s="17" t="inlineStr">
        <is>
          <t>Intermediate</t>
        </is>
      </c>
      <c r="D8" s="17" t="n">
        <v>6</v>
      </c>
      <c r="E8" s="17" t="inlineStr">
        <is>
          <t>Claude knowledge</t>
        </is>
      </c>
      <c r="F8" s="18" t="inlineStr">
        <is>
          <t>Stop reasons</t>
        </is>
      </c>
      <c r="G8" s="18" t="inlineStr">
        <is>
          <t>Which values tell you why the model stopped generating?</t>
        </is>
      </c>
      <c r="H8" s="18" t="inlineStr">
        <is>
          <t>Core concept</t>
        </is>
      </c>
      <c r="I8" s="18" t="inlineStr">
        <is>
          <t>High</t>
        </is>
      </c>
      <c r="J8" s="18" t="n">
        <v>4</v>
      </c>
      <c r="K8" s="18" t="inlineStr">
        <is>
          <t>Output can end for different reasons, and handling each correctly prevents cut-off or broken results.</t>
        </is>
      </c>
      <c r="L8" s="18" t="inlineStr">
        <is>
          <t>Always check the stop reason, especially for length cut-offs and tool calls.</t>
        </is>
      </c>
      <c r="M8" s="18" t="inlineStr">
        <is>
          <t>A stop reason is the model telling you why it put down the pen.</t>
        </is>
      </c>
      <c r="N8" s="18" t="inlineStr">
        <is>
          <t>A response with a reason field next to the text.</t>
        </is>
      </c>
      <c r="O8" s="18" t="inlineStr">
        <is>
          <t>The relief of knowing why an answer ended.</t>
        </is>
      </c>
      <c r="P8" s="18" t="inlineStr">
        <is>
          <t>A stop reason is a field in the response that states why generation ended, for example finished naturally, reached the maximum token limit, hit a stop sequence or wants to call a tool.</t>
        </is>
      </c>
      <c r="Q8" s="17" t="n"/>
      <c r="R8" s="18" t="inlineStr">
        <is>
          <t>A length stop means the output was cut off and may be incomplete, such as broken JSON. A natural end means the model finished. A tool stop means the application must run the tool and send back the result. Stop sequences can end output at a chosen marker. Content filters may also stop output. Names of values differ between providers.</t>
        </is>
      </c>
      <c r="S8" s="18" t="inlineStr">
        <is>
          <t>Read the stop reason, and handle cut-offs and tool requests.</t>
        </is>
      </c>
      <c r="T8" s="18" t="inlineStr">
        <is>
          <t>A stop reason is the model telling you why it put down the pen.</t>
        </is>
      </c>
      <c r="U8" s="18" t="inlineStr">
        <is>
          <t>Finished, length, stop sequence, tool request.</t>
        </is>
      </c>
      <c r="V8" s="18" t="inlineStr">
        <is>
          <t>A reply cut off at the maximum tokens.</t>
        </is>
      </c>
      <c r="W8" s="18" t="inlineStr">
        <is>
          <t>A stop sequence ending a list.</t>
        </is>
      </c>
      <c r="X8" s="18" t="inlineStr">
        <is>
          <t>A tool request waiting for a result.</t>
        </is>
      </c>
      <c r="Y8" s="18" t="inlineStr">
        <is>
          <t>tokens, structured output, tool calling, errors and retries</t>
        </is>
      </c>
      <c r="Z8" s="18" t="inlineStr">
        <is>
          <t>stop reason, max tokens, stop sequence, truncation, completion</t>
        </is>
      </c>
      <c r="AA8" s="18" t="inlineStr">
        <is>
          <t>Every integration | Parsing | Agents</t>
        </is>
      </c>
      <c r="AB8" s="18" t="inlineStr">
        <is>
          <t>A: The JSON is cut in the middle. | B: The stop reason says length, so raise the output limit.</t>
        </is>
      </c>
      <c r="AC8" s="18" t="inlineStr">
        <is>
          <t>✗ Every response is complete → ✓ A length stop may leave it unfinished</t>
        </is>
      </c>
      <c r="AD8" s="18" t="inlineStr">
        <is>
          <t>Natural end vs length stop: complete versus cut off.</t>
        </is>
      </c>
      <c r="AE8" s="18" t="inlineStr">
        <is>
          <t>Do not parse output without checking why it ended.</t>
        </is>
      </c>
      <c r="AF8" s="18" t="inlineStr">
        <is>
          <t>Check why it stopped before you trust it.</t>
        </is>
      </c>
      <c r="AG8" s="18" t="inlineStr">
        <is>
          <t>Checking the stop reason found truncated outputs that had broken a parser.</t>
        </is>
      </c>
      <c r="AH8" s="18" t="inlineStr">
        <is>
          <t>An interviewer may ask: What does a length stop mean?</t>
        </is>
      </c>
      <c r="AI8" s="18" t="inlineStr">
        <is>
          <t>It is like asking why the pen was put down.</t>
        </is>
      </c>
      <c r="AJ8" s="18" t="inlineStr">
        <is>
          <t>What does a length stop reason mean?</t>
        </is>
      </c>
      <c r="AK8" s="18" t="inlineStr">
        <is>
          <t>A) The model finished B) The network failed C) The output hit the token limit D) The user left</t>
        </is>
      </c>
      <c r="AL8" s="18" t="inlineStr">
        <is>
          <t>C</t>
        </is>
      </c>
      <c r="AM8" s="18" t="inlineStr">
        <is>
          <t>It was cut off at the maximum.</t>
        </is>
      </c>
      <c r="AN8" s="18" t="inlineStr">
        <is>
          <t>A text marker that ends generation is a stop ____ → sequence</t>
        </is>
      </c>
      <c r="AO8" s="18" t="inlineStr">
        <is>
          <t>Output ends mid-sentence. What do you check? → The stop reason and the output limit</t>
        </is>
      </c>
      <c r="AP8" s="18" t="inlineStr">
        <is>
          <t>Explain stop reasons in three lines.</t>
        </is>
      </c>
      <c r="AQ8" s="18" t="inlineStr">
        <is>
          <t>List the stop reasons your code must handle.</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LLM-007</t>
        </is>
      </c>
      <c r="B9" s="17" t="inlineStr">
        <is>
          <t>01 Basics</t>
        </is>
      </c>
      <c r="C9" s="17" t="inlineStr">
        <is>
          <t>Intermediate</t>
        </is>
      </c>
      <c r="D9" s="17" t="n">
        <v>7</v>
      </c>
      <c r="E9" s="17" t="inlineStr">
        <is>
          <t>Claude knowledge</t>
        </is>
      </c>
      <c r="F9" s="18" t="inlineStr">
        <is>
          <t>Model choice</t>
        </is>
      </c>
      <c r="G9" s="18" t="inlineStr">
        <is>
          <t>How do you pick a model for a task without chasing the newest name?</t>
        </is>
      </c>
      <c r="H9" s="18" t="inlineStr">
        <is>
          <t>Core concept</t>
        </is>
      </c>
      <c r="I9" s="18" t="inlineStr">
        <is>
          <t>High</t>
        </is>
      </c>
      <c r="J9" s="18" t="n">
        <v>4</v>
      </c>
      <c r="K9" s="18" t="inlineStr">
        <is>
          <t>Providers offer models of different size, speed, price and ability, so the best choice depends on the job.</t>
        </is>
      </c>
      <c r="L9" s="18" t="inlineStr">
        <is>
          <t>Start with a capable model to see what is possible, then test cheaper ones on your own examples.</t>
        </is>
      </c>
      <c r="M9" s="18" t="inlineStr">
        <is>
          <t>Choosing a model is choosing a vehicle, since a bicycle, a car and a truck suit different trips.</t>
        </is>
      </c>
      <c r="N9" s="18" t="inlineStr">
        <is>
          <t>A triangle of quality, speed and cost.</t>
        </is>
      </c>
      <c r="O9" s="18" t="inlineStr">
        <is>
          <t>The clarity of a decision based on tests.</t>
        </is>
      </c>
      <c r="P9" s="18" t="inlineStr">
        <is>
          <t>Model choice means selecting a model by testing quality, latency, cost, context size, supported features and data handling terms on your own examples.</t>
        </is>
      </c>
      <c r="Q9" s="17" t="n"/>
      <c r="R9" s="18" t="inlineStr">
        <is>
          <t>Bigger models usually reason better but are slower and cost more. Smaller models suit simple, high-volume tasks. Check features such as tool use, structured output, images and context length. Read data retention and privacy terms. Keep model names in configuration so you can switch. Re-test when models change.</t>
        </is>
      </c>
      <c r="S9" s="18" t="inlineStr">
        <is>
          <t>Test candidates on your own cases and pick the cheapest that meets quality.</t>
        </is>
      </c>
      <c r="T9" s="18" t="inlineStr">
        <is>
          <t>Choosing a model is choosing a vehicle for the trip.</t>
        </is>
      </c>
      <c r="U9" s="18" t="inlineStr">
        <is>
          <t>Quality, speed, cost and features, tested on your data.</t>
        </is>
      </c>
      <c r="V9" s="18" t="inlineStr">
        <is>
          <t>A small model for classification at high volume.</t>
        </is>
      </c>
      <c r="W9" s="18" t="inlineStr">
        <is>
          <t>A larger model for complex analysis.</t>
        </is>
      </c>
      <c r="X9" s="18" t="inlineStr">
        <is>
          <t>A model name stored in a config file.</t>
        </is>
      </c>
      <c r="Y9" s="18" t="inlineStr">
        <is>
          <t>cost control, evaluation, tokens, fallbacks</t>
        </is>
      </c>
      <c r="Z9" s="18" t="inlineStr">
        <is>
          <t>model, latency, cost, capability, configuration</t>
        </is>
      </c>
      <c r="AA9" s="18" t="inlineStr">
        <is>
          <t>Design reviews | Cost control | Migrations</t>
        </is>
      </c>
      <c r="AB9" s="18" t="inlineStr">
        <is>
          <t>A: Do we need the biggest model? | B: Test a smaller one on our examples first.</t>
        </is>
      </c>
      <c r="AC9" s="18" t="inlineStr">
        <is>
          <t>✗ The newest and biggest model is always best → ✓ The best choice meets your quality need at acceptable cost and speed</t>
        </is>
      </c>
      <c r="AD9" s="18" t="inlineStr">
        <is>
          <t>Large vs small model: stronger reasoning versus lower cost and delay.</t>
        </is>
      </c>
      <c r="AE9" s="18" t="inlineStr">
        <is>
          <t>Do not hard-code model names throughout the code.</t>
        </is>
      </c>
      <c r="AF9" s="18" t="inlineStr">
        <is>
          <t>Test on your data, not on hype.</t>
        </is>
      </c>
      <c r="AG9" s="18" t="inlineStr">
        <is>
          <t>A smaller model met quality needs on a classification task at much lower cost.</t>
        </is>
      </c>
      <c r="AH9" s="18" t="inlineStr">
        <is>
          <t>An interviewer may ask: How do you choose a model?</t>
        </is>
      </c>
      <c r="AI9" s="18" t="inlineStr">
        <is>
          <t>It is like choosing a vehicle for a trip.</t>
        </is>
      </c>
      <c r="AJ9" s="18" t="inlineStr">
        <is>
          <t>What should drive model choice?</t>
        </is>
      </c>
      <c r="AK9" s="18" t="inlineStr">
        <is>
          <t>A) Tests on your own examples B) Colour C) Marketing D) Random choice</t>
        </is>
      </c>
      <c r="AL9" s="18" t="inlineStr">
        <is>
          <t>A</t>
        </is>
      </c>
      <c r="AM9" s="18" t="inlineStr">
        <is>
          <t>Your data shows real quality.</t>
        </is>
      </c>
      <c r="AN9" s="18" t="inlineStr">
        <is>
          <t>Model names should live in ____ rather than code → configuration</t>
        </is>
      </c>
      <c r="AO9" s="18" t="inlineStr">
        <is>
          <t>A high-volume simple task is costly. What do you try? → A smaller, cheaper model</t>
        </is>
      </c>
      <c r="AP9" s="18" t="inlineStr">
        <is>
          <t>Explain how to choose a model in three lines.</t>
        </is>
      </c>
      <c r="AQ9" s="18" t="inlineStr">
        <is>
          <t>List the criteria for choosing a model for a support bot.</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LLM-008</t>
        </is>
      </c>
      <c r="B10" s="17" t="inlineStr">
        <is>
          <t>01 Basics</t>
        </is>
      </c>
      <c r="C10" s="17" t="inlineStr">
        <is>
          <t>Intermediate</t>
        </is>
      </c>
      <c r="D10" s="17" t="n">
        <v>8</v>
      </c>
      <c r="E10" s="17" t="inlineStr">
        <is>
          <t>Claude knowledge</t>
        </is>
      </c>
      <c r="F10" s="18" t="inlineStr">
        <is>
          <t>Embeddings</t>
        </is>
      </c>
      <c r="G10" s="18" t="inlineStr">
        <is>
          <t>Which vectors capture the meaning of text so similar texts are close together?</t>
        </is>
      </c>
      <c r="H10" s="18" t="inlineStr">
        <is>
          <t>Core concept</t>
        </is>
      </c>
      <c r="I10" s="18" t="inlineStr">
        <is>
          <t>High</t>
        </is>
      </c>
      <c r="J10" s="18" t="n">
        <v>5</v>
      </c>
      <c r="K10" s="18" t="inlineStr">
        <is>
          <t>Searching by meaning needs numbers that represent meaning, so models turn text into lists of numbers called embeddings.</t>
        </is>
      </c>
      <c r="L10" s="18" t="inlineStr">
        <is>
          <t>Use the same embedding model for documents and queries.</t>
        </is>
      </c>
      <c r="M10" s="18" t="inlineStr">
        <is>
          <t>Embeddings are map coordinates where similar ideas sit near each other.</t>
        </is>
      </c>
      <c r="N10" s="18" t="inlineStr">
        <is>
          <t>Points on a map with related sentences clustered.</t>
        </is>
      </c>
      <c r="O10" s="18" t="inlineStr">
        <is>
          <t>The delight of finding results with different words but the same meaning.</t>
        </is>
      </c>
      <c r="P10" s="18" t="inlineStr">
        <is>
          <t>An embedding is a vector of numbers produced by a model that represents the meaning of a piece of text, so that similarity can be measured by distance or cosine similarity.</t>
        </is>
      </c>
      <c r="Q10" s="17" t="n"/>
      <c r="R10" s="18" t="inlineStr">
        <is>
          <t>Embeddings power semantic search, clustering, deduplication and retrieval for RAG. Texts with similar meaning have vectors that point in similar directions. They are generated by an embedding model, which differs from a chat model. Changing the model means re-embedding everything. Long texts are usually split into chunks first.</t>
        </is>
      </c>
      <c r="S10" s="18" t="inlineStr">
        <is>
          <t>Convert text into vectors and compare them to find similar meaning.</t>
        </is>
      </c>
      <c r="T10" s="18" t="inlineStr">
        <is>
          <t>Embeddings are map coordinates where similar ideas sit near each other.</t>
        </is>
      </c>
      <c r="U10" s="18" t="inlineStr">
        <is>
          <t>Similar meaning = nearby vectors.</t>
        </is>
      </c>
      <c r="V10" s="18" t="inlineStr">
        <is>
          <t>Finding FAQ answers that match a question.</t>
        </is>
      </c>
      <c r="W10" s="18" t="inlineStr">
        <is>
          <t>Grouping tickets by topic.</t>
        </is>
      </c>
      <c r="X10" s="18" t="inlineStr">
        <is>
          <t>Removing near-duplicate documents.</t>
        </is>
      </c>
      <c r="Y10" s="18" t="inlineStr">
        <is>
          <t>RAG, vector search, chunking, evaluation</t>
        </is>
      </c>
      <c r="Z10" s="18" t="inlineStr">
        <is>
          <t>embedding, vector, similarity, cosine, semantic</t>
        </is>
      </c>
      <c r="AA10" s="18" t="inlineStr">
        <is>
          <t>Search | RAG | Clustering</t>
        </is>
      </c>
      <c r="AB10" s="18" t="inlineStr">
        <is>
          <t>A: The search misses synonyms. | B: Use embeddings for meaning-based search.</t>
        </is>
      </c>
      <c r="AC10" s="18" t="inlineStr">
        <is>
          <t>✗ Embeddings contain readable text → ✓ They are numbers that encode meaning and cannot be read directly</t>
        </is>
      </c>
      <c r="AD10" s="18" t="inlineStr">
        <is>
          <t>Keyword vs semantic search: exact words versus meaning.</t>
        </is>
      </c>
      <c r="AE10" s="18" t="inlineStr">
        <is>
          <t>Do not mix vectors from different embedding models.</t>
        </is>
      </c>
      <c r="AF10" s="18" t="inlineStr">
        <is>
          <t>Same model for both sides of the search.</t>
        </is>
      </c>
      <c r="AG10" s="18" t="inlineStr">
        <is>
          <t>Embedding support articles made search find answers phrased differently from the question.</t>
        </is>
      </c>
      <c r="AH10" s="18" t="inlineStr">
        <is>
          <t>An interviewer may ask: What are embeddings used for?</t>
        </is>
      </c>
      <c r="AI10" s="18" t="inlineStr">
        <is>
          <t>It is like coordinates on a map of meaning.</t>
        </is>
      </c>
      <c r="AJ10" s="18" t="inlineStr">
        <is>
          <t>What does closeness of vectors suggest?</t>
        </is>
      </c>
      <c r="AK10" s="18" t="inlineStr">
        <is>
          <t>A) Same author B) Similar meaning C) Same length D) Same language only</t>
        </is>
      </c>
      <c r="AL10" s="18" t="inlineStr">
        <is>
          <t>B</t>
        </is>
      </c>
      <c r="AM10" s="18" t="inlineStr">
        <is>
          <t>Embeddings place related text near each other.</t>
        </is>
      </c>
      <c r="AN10" s="18" t="inlineStr">
        <is>
          <t>A common measure of vector similarity is ____ similarity → cosine</t>
        </is>
      </c>
      <c r="AO10" s="18" t="inlineStr">
        <is>
          <t>A search must match meaning, not exact words. What do you use? → Embeddings</t>
        </is>
      </c>
      <c r="AP10" s="18" t="inlineStr">
        <is>
          <t>Explain embeddings in three lines.</t>
        </is>
      </c>
      <c r="AQ10" s="18" t="inlineStr">
        <is>
          <t>List three uses of embeddings in a support system.</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LLM-009</t>
        </is>
      </c>
      <c r="B11" s="17" t="inlineStr">
        <is>
          <t>02 Prompting</t>
        </is>
      </c>
      <c r="C11" s="17" t="inlineStr">
        <is>
          <t>Beginner</t>
        </is>
      </c>
      <c r="D11" s="17" t="n">
        <v>9</v>
      </c>
      <c r="E11" s="17" t="inlineStr">
        <is>
          <t>Claude knowledge</t>
        </is>
      </c>
      <c r="F11" s="18" t="inlineStr">
        <is>
          <t>Clear instructions</t>
        </is>
      </c>
      <c r="G11" s="18" t="inlineStr">
        <is>
          <t>What makes a prompt that the model follows reliably?</t>
        </is>
      </c>
      <c r="H11" s="18" t="inlineStr">
        <is>
          <t>Core concept</t>
        </is>
      </c>
      <c r="I11" s="18" t="inlineStr">
        <is>
          <t>Very high</t>
        </is>
      </c>
      <c r="J11" s="18" t="n">
        <v>5</v>
      </c>
      <c r="K11" s="18" t="inlineStr">
        <is>
          <t>Models do what the text asks, so vague prompts produce vague results and precise ones produce precise results.</t>
        </is>
      </c>
      <c r="L11" s="18" t="inlineStr">
        <is>
          <t>State the task, the audience, the format and the constraints in plain words.</t>
        </is>
      </c>
      <c r="M11" s="18" t="inlineStr">
        <is>
          <t>A good prompt is a clear brief given to a new colleague who knows nothing about your project.</t>
        </is>
      </c>
      <c r="N11" s="18" t="inlineStr">
        <is>
          <t>A brief with goal, context, format and limits.</t>
        </is>
      </c>
      <c r="O11" s="18" t="inlineStr">
        <is>
          <t>The satisfaction of getting the right output first time.</t>
        </is>
      </c>
      <c r="P11" s="18" t="inlineStr">
        <is>
          <t>Clear instructions state the task, the context, the desired format, the constraints and the success criteria in direct, specific language.</t>
        </is>
      </c>
      <c r="Q11" s="17" t="n"/>
      <c r="R11" s="18" t="inlineStr">
        <is>
          <t>Say what to do rather than only what to avoid. Give relevant background, since the model cannot see your situation. Specify length, tone and structure. Define terms that might be ambiguous. Provide the data to use. Test on varied inputs. Explain why a rule exists, since reasons help the model apply it sensibly.</t>
        </is>
      </c>
      <c r="S11" s="18" t="inlineStr">
        <is>
          <t>Write the prompt like a clear brief to a capable colleague with no context.</t>
        </is>
      </c>
      <c r="T11" s="18" t="inlineStr">
        <is>
          <t>A good prompt is a clear brief given to a new colleague who knows nothing about the project.</t>
        </is>
      </c>
      <c r="U11" s="18" t="inlineStr">
        <is>
          <t>Task + context + format + constraints.</t>
        </is>
      </c>
      <c r="V11" s="18" t="inlineStr">
        <is>
          <t>Summarise this email in three bullet points for a manager.</t>
        </is>
      </c>
      <c r="W11" s="18" t="inlineStr">
        <is>
          <t>Classify the ticket as billing, technical or other, and reply with only the label.</t>
        </is>
      </c>
      <c r="X11" s="18" t="inlineStr">
        <is>
          <t>Rewrite for a beginner, keeping every number unchanged.</t>
        </is>
      </c>
      <c r="Y11" s="18" t="inlineStr">
        <is>
          <t>examples, structure with delimiters, output format, prompt versions</t>
        </is>
      </c>
      <c r="Z11" s="18" t="inlineStr">
        <is>
          <t>instruction, brief, constraint, context, audience</t>
        </is>
      </c>
      <c r="AA11" s="18" t="inlineStr">
        <is>
          <t>Every LLM application | Prompt reviews | Testing</t>
        </is>
      </c>
      <c r="AB11" s="18" t="inlineStr">
        <is>
          <t>A: The summaries are too long. | B: State the length and audience in the prompt.</t>
        </is>
      </c>
      <c r="AC11" s="18" t="inlineStr">
        <is>
          <t>✗ Short prompts are always better → ✓ Clear and specific prompts work better than vague short ones</t>
        </is>
      </c>
      <c r="AD11" s="18" t="inlineStr">
        <is>
          <t>Vague vs specific prompt: vague gives guesses, specific gives targeted output.</t>
        </is>
      </c>
      <c r="AE11" s="18" t="inlineStr">
        <is>
          <t>Do not assume the model knows your context.</t>
        </is>
      </c>
      <c r="AF11" s="18" t="inlineStr">
        <is>
          <t>Brief it like a smart stranger.</t>
        </is>
      </c>
      <c r="AG11" s="18" t="inlineStr">
        <is>
          <t>Adding audience and length to a prompt fixed inconsistent summaries.</t>
        </is>
      </c>
      <c r="AH11" s="18" t="inlineStr">
        <is>
          <t>An interviewer may ask: How do you make a prompt reliable?</t>
        </is>
      </c>
      <c r="AI11" s="18" t="inlineStr">
        <is>
          <t>It is like briefing a new colleague.</t>
        </is>
      </c>
      <c r="AJ11" s="18" t="inlineStr">
        <is>
          <t>Which belongs in a clear prompt?</t>
        </is>
      </c>
      <c r="AK11" s="18" t="inlineStr">
        <is>
          <t>A) Only a name B) Nothing C) Task, context, format and constraints D) Only a greeting</t>
        </is>
      </c>
      <c r="AL11" s="18" t="inlineStr">
        <is>
          <t>C</t>
        </is>
      </c>
      <c r="AM11" s="18" t="inlineStr">
        <is>
          <t>These let the model do the right job.</t>
        </is>
      </c>
      <c r="AN11" s="18" t="inlineStr">
        <is>
          <t>The structure of the answer you want is its ____ → format</t>
        </is>
      </c>
      <c r="AO11" s="18" t="inlineStr">
        <is>
          <t>Output is too long. What do you add to the prompt? → A length limit</t>
        </is>
      </c>
      <c r="AP11" s="18" t="inlineStr">
        <is>
          <t>Explain clear instructions in three lines.</t>
        </is>
      </c>
      <c r="AQ11" s="18" t="inlineStr">
        <is>
          <t>Rewrite a vague prompt into a clear one.</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LLM-010</t>
        </is>
      </c>
      <c r="B12" s="17" t="inlineStr">
        <is>
          <t>02 Prompting</t>
        </is>
      </c>
      <c r="C12" s="17" t="inlineStr">
        <is>
          <t>Beginner</t>
        </is>
      </c>
      <c r="D12" s="17" t="n">
        <v>10</v>
      </c>
      <c r="E12" s="17" t="inlineStr">
        <is>
          <t>Claude knowledge</t>
        </is>
      </c>
      <c r="F12" s="18" t="inlineStr">
        <is>
          <t>Examples in prompts</t>
        </is>
      </c>
      <c r="G12" s="18" t="inlineStr">
        <is>
          <t>How do examples show the model exactly what you want?</t>
        </is>
      </c>
      <c r="H12" s="18" t="inlineStr">
        <is>
          <t>Core concept</t>
        </is>
      </c>
      <c r="I12" s="18" t="inlineStr">
        <is>
          <t>Very high</t>
        </is>
      </c>
      <c r="J12" s="18" t="n">
        <v>5</v>
      </c>
      <c r="K12" s="18" t="inlineStr">
        <is>
          <t>Describing a format can be hard, but showing a few examples is easy, so prompts often include sample inputs and outputs.</t>
        </is>
      </c>
      <c r="L12" s="18" t="inlineStr">
        <is>
          <t>Use a few varied, correct examples that match real inputs.</t>
        </is>
      </c>
      <c r="M12" s="18" t="inlineStr">
        <is>
          <t>Examples are showing a trainee three finished forms before they fill in their own.</t>
        </is>
      </c>
      <c r="N12" s="18" t="inlineStr">
        <is>
          <t>Input and output pairs followed by a new input.</t>
        </is>
      </c>
      <c r="O12" s="18" t="inlineStr">
        <is>
          <t>The ease of teaching by showing.</t>
        </is>
      </c>
      <c r="P12" s="18" t="inlineStr">
        <is>
          <t>Few-shot prompting includes a small number of example inputs and outputs in the prompt, so the model imitates their pattern, while zero-shot gives only instructions.</t>
        </is>
      </c>
      <c r="Q12" s="17" t="n"/>
      <c r="R12" s="18" t="inlineStr">
        <is>
          <t>Examples set format, tone and decision rules better than long descriptions. Choose diverse cases, including edge cases. Wrong or biased examples teach wrong patterns. Keep the format of examples identical to the real task. Too many examples cost tokens. Wrap examples in tags so they are not confused with the task.</t>
        </is>
      </c>
      <c r="S12" s="18" t="inlineStr">
        <is>
          <t>Show two to five good examples, then give the real input.</t>
        </is>
      </c>
      <c r="T12" s="18" t="inlineStr">
        <is>
          <t>Examples are showing a trainee three finished forms before they fill in their own.</t>
        </is>
      </c>
      <c r="U12" s="18" t="inlineStr">
        <is>
          <t>Examples set the pattern.</t>
        </is>
      </c>
      <c r="V12" s="18" t="inlineStr">
        <is>
          <t>Three labelled tickets before the new ticket.</t>
        </is>
      </c>
      <c r="W12" s="18" t="inlineStr">
        <is>
          <t>An example of the exact JSON shape wanted.</t>
        </is>
      </c>
      <c r="X12" s="18" t="inlineStr">
        <is>
          <t>An edge case example with an unclear ticket.</t>
        </is>
      </c>
      <c r="Y12" s="18" t="inlineStr">
        <is>
          <t>clear instructions, output format, structure with delimiters, evaluation</t>
        </is>
      </c>
      <c r="Z12" s="18" t="inlineStr">
        <is>
          <t>few-shot, zero-shot, example, pattern, edge case</t>
        </is>
      </c>
      <c r="AA12" s="18" t="inlineStr">
        <is>
          <t>Classification | Extraction | Style control</t>
        </is>
      </c>
      <c r="AB12" s="18" t="inlineStr">
        <is>
          <t>A: The model keeps using the wrong format. | B: Add two examples of the format.</t>
        </is>
      </c>
      <c r="AC12" s="18" t="inlineStr">
        <is>
          <t>✗ More examples are always better → ✓ A few good diverse examples beat many similar ones</t>
        </is>
      </c>
      <c r="AD12" s="18" t="inlineStr">
        <is>
          <t>Zero-shot vs few-shot: instructions only versus instructions plus examples.</t>
        </is>
      </c>
      <c r="AE12" s="18" t="inlineStr">
        <is>
          <t>Do not use examples that contain mistakes.</t>
        </is>
      </c>
      <c r="AF12" s="18" t="inlineStr">
        <is>
          <t>Show a few, vary them, keep them correct.</t>
        </is>
      </c>
      <c r="AG12" s="18" t="inlineStr">
        <is>
          <t>Adding edge case examples raised accuracy of a ticket classifier.</t>
        </is>
      </c>
      <c r="AH12" s="18" t="inlineStr">
        <is>
          <t>An interviewer may ask: What is few-shot prompting?</t>
        </is>
      </c>
      <c r="AI12" s="18" t="inlineStr">
        <is>
          <t>It is like showing finished forms to a trainee.</t>
        </is>
      </c>
      <c r="AJ12" s="18" t="inlineStr">
        <is>
          <t>What is few-shot prompting?</t>
        </is>
      </c>
      <c r="AK12" s="18" t="inlineStr">
        <is>
          <t>A) Using no prompt B) Including examples in the prompt C) Training a new model D) Using images only</t>
        </is>
      </c>
      <c r="AL12" s="18" t="inlineStr">
        <is>
          <t>B</t>
        </is>
      </c>
      <c r="AM12" s="18" t="inlineStr">
        <is>
          <t>The model imitates the examples.</t>
        </is>
      </c>
      <c r="AN12" s="18" t="inlineStr">
        <is>
          <t>Giving only instructions and no examples is ____-shot → zero</t>
        </is>
      </c>
      <c r="AO12" s="18" t="inlineStr">
        <is>
          <t>The output format keeps varying. What do you add? → Examples of the exact format</t>
        </is>
      </c>
      <c r="AP12" s="18" t="inlineStr">
        <is>
          <t>Explain examples in prompts in three lines.</t>
        </is>
      </c>
      <c r="AQ12" s="18" t="inlineStr">
        <is>
          <t>Write three examples for a sentiment classifier.</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LLM-011</t>
        </is>
      </c>
      <c r="B13" s="17" t="inlineStr">
        <is>
          <t>02 Prompting</t>
        </is>
      </c>
      <c r="C13" s="17" t="inlineStr">
        <is>
          <t>Intermediate</t>
        </is>
      </c>
      <c r="D13" s="17" t="n">
        <v>11</v>
      </c>
      <c r="E13" s="17" t="inlineStr">
        <is>
          <t>Claude knowledge</t>
        </is>
      </c>
      <c r="F13" s="18" t="inlineStr">
        <is>
          <t>Structure with delimiters</t>
        </is>
      </c>
      <c r="G13" s="18" t="inlineStr">
        <is>
          <t>How do you separate instructions, data and examples inside a prompt?</t>
        </is>
      </c>
      <c r="H13" s="18" t="inlineStr">
        <is>
          <t>Core concept</t>
        </is>
      </c>
      <c r="I13" s="18" t="inlineStr">
        <is>
          <t>High</t>
        </is>
      </c>
      <c r="J13" s="18" t="n">
        <v>5</v>
      </c>
      <c r="K13" s="18" t="inlineStr">
        <is>
          <t>Long prompts mix instructions with data, so clear markers prevent the model from confusing them.</t>
        </is>
      </c>
      <c r="L13" s="18" t="inlineStr">
        <is>
          <t>Wrap documents and user text in tags, and refer to them by name in the instructions.</t>
        </is>
      </c>
      <c r="M13" s="18" t="inlineStr">
        <is>
          <t>Delimiters are labelled folders that keep each paper in its own place.</t>
        </is>
      </c>
      <c r="N13" s="18" t="inlineStr">
        <is>
          <t>A prompt with tagged sections for instructions, document and question.</t>
        </is>
      </c>
      <c r="O13" s="18" t="inlineStr">
        <is>
          <t>The tidiness of a well-organised prompt.</t>
        </is>
      </c>
      <c r="P13" s="18" t="inlineStr">
        <is>
          <t>Delimiters such as XML-style tags or clear headings mark the boundaries of instructions, context, examples and user input, so the model treats each part correctly.</t>
        </is>
      </c>
      <c r="Q13" s="17" t="n"/>
      <c r="R13" s="18" t="inlineStr">
        <is>
          <t>Tags like document and question let you refer to parts explicitly. They also reduce the chance that text inside data is read as instructions, though they do not stop prompt injection fully. Keep tag names consistent. Put long documents first and the question last for many models. Use the same structure across prompts.</t>
        </is>
      </c>
      <c r="S13" s="18" t="inlineStr">
        <is>
          <t>Put each part in its own labelled section.</t>
        </is>
      </c>
      <c r="T13" s="18" t="inlineStr">
        <is>
          <t>Delimiters are labelled folders that keep each paper in its own place.</t>
        </is>
      </c>
      <c r="U13" s="18" t="inlineStr">
        <is>
          <t>Label each part, refer to it by name.</t>
        </is>
      </c>
      <c r="V13" s="18" t="inlineStr">
        <is>
          <t>A document tag around an article.</t>
        </is>
      </c>
      <c r="W13" s="18" t="inlineStr">
        <is>
          <t>A question tag at the end.</t>
        </is>
      </c>
      <c r="X13" s="18" t="inlineStr">
        <is>
          <t>An examples tag holding sample pairs.</t>
        </is>
      </c>
      <c r="Y13" s="18" t="inlineStr">
        <is>
          <t>clear instructions, prompt injection, examples, output format</t>
        </is>
      </c>
      <c r="Z13" s="18" t="inlineStr">
        <is>
          <t>delimiter, tag, section, boundary, structure</t>
        </is>
      </c>
      <c r="AA13" s="18" t="inlineStr">
        <is>
          <t>Long prompts | Document tasks | RAG</t>
        </is>
      </c>
      <c r="AB13" s="18" t="inlineStr">
        <is>
          <t>A: The model answers using the instructions as data. | B: Wrap the data in tags so it stays separate.</t>
        </is>
      </c>
      <c r="AC13" s="18" t="inlineStr">
        <is>
          <t>✗ Delimiters make prompt injection impossible → ✓ They help, but untrusted input still needs other defences</t>
        </is>
      </c>
      <c r="AD13" s="18" t="inlineStr">
        <is>
          <t>Plain text vs tagged sections: tags give clear boundaries.</t>
        </is>
      </c>
      <c r="AE13" s="18" t="inlineStr">
        <is>
          <t>Do not mix instructions and untrusted data without markers.</t>
        </is>
      </c>
      <c r="AF13" s="18" t="inlineStr">
        <is>
          <t>Label every section by name.</t>
        </is>
      </c>
      <c r="AG13" s="18" t="inlineStr">
        <is>
          <t>Tagging retrieved documents reduced confusion between data and instructions.</t>
        </is>
      </c>
      <c r="AH13" s="18" t="inlineStr">
        <is>
          <t>An interviewer may ask: Why use tags in prompts?</t>
        </is>
      </c>
      <c r="AI13" s="18" t="inlineStr">
        <is>
          <t>It is like keeping papers in labelled folders.</t>
        </is>
      </c>
      <c r="AJ13" s="18" t="inlineStr">
        <is>
          <t>What do delimiters do?</t>
        </is>
      </c>
      <c r="AK13" s="18" t="inlineStr">
        <is>
          <t>A) Speed up the internet B) Encrypt text C) Delete data D) Mark the boundaries of prompt parts</t>
        </is>
      </c>
      <c r="AL13" s="18" t="inlineStr">
        <is>
          <t>D</t>
        </is>
      </c>
      <c r="AM13" s="18" t="inlineStr">
        <is>
          <t>They separate instructions from data.</t>
        </is>
      </c>
      <c r="AN13" s="18" t="inlineStr">
        <is>
          <t>XML-style markers around a section are ____ → tags</t>
        </is>
      </c>
      <c r="AO13" s="18" t="inlineStr">
        <is>
          <t>Documents and instructions are mixed up. What do you add? → Tags around each part</t>
        </is>
      </c>
      <c r="AP13" s="18" t="inlineStr">
        <is>
          <t>Explain prompt structure in three lines.</t>
        </is>
      </c>
      <c r="AQ13" s="18" t="inlineStr">
        <is>
          <t>Structure a prompt with a document, a question and rules.</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LLM-012</t>
        </is>
      </c>
      <c r="B14" s="17" t="inlineStr">
        <is>
          <t>02 Prompting</t>
        </is>
      </c>
      <c r="C14" s="17" t="inlineStr">
        <is>
          <t>Intermediate</t>
        </is>
      </c>
      <c r="D14" s="17" t="n">
        <v>12</v>
      </c>
      <c r="E14" s="17" t="inlineStr">
        <is>
          <t>Claude knowledge</t>
        </is>
      </c>
      <c r="F14" s="18" t="inlineStr">
        <is>
          <t>Step-by-step reasoning</t>
        </is>
      </c>
      <c r="G14" s="18" t="inlineStr">
        <is>
          <t>How do you get better answers on hard problems by letting the model work through steps?</t>
        </is>
      </c>
      <c r="H14" s="18" t="inlineStr">
        <is>
          <t>Core concept</t>
        </is>
      </c>
      <c r="I14" s="18" t="inlineStr">
        <is>
          <t>High</t>
        </is>
      </c>
      <c r="J14" s="18" t="n">
        <v>4</v>
      </c>
      <c r="K14" s="18" t="inlineStr">
        <is>
          <t>Complex tasks go wrong when answered in one jump, so asking the model to reason step by step improves accuracy.</t>
        </is>
      </c>
      <c r="L14" s="18" t="inlineStr">
        <is>
          <t>Ask for the reasoning first and the final answer last, in separate sections.</t>
        </is>
      </c>
      <c r="M14" s="18" t="inlineStr">
        <is>
          <t>It is like asking a student to show their working before the answer.</t>
        </is>
      </c>
      <c r="N14" s="18" t="inlineStr">
        <is>
          <t>Steps leading to a final answer box.</t>
        </is>
      </c>
      <c r="O14" s="18" t="inlineStr">
        <is>
          <t>The comfort of answers that show how they were reached.</t>
        </is>
      </c>
      <c r="P14" s="18" t="inlineStr">
        <is>
          <t>Step-by-step prompting asks the model to break a problem into steps or think before answering, which often improves results on multi-step tasks, and some models have built-in extended thinking.</t>
        </is>
      </c>
      <c r="Q14" s="17" t="n"/>
      <c r="R14" s="18" t="inlineStr">
        <is>
          <t>Give room for reasoning before the answer, and separate the final answer so it is easy to parse. For simple tasks it adds cost without benefit. Reasoning shown by a model is useful for review but is not guaranteed to be a faithful explanation. Check results with tests or tools. Built-in reasoning modes may make explicit prompts less necessary.</t>
        </is>
      </c>
      <c r="S14" s="18" t="inlineStr">
        <is>
          <t>Let the model think through steps before the final answer on hard tasks.</t>
        </is>
      </c>
      <c r="T14" s="18" t="inlineStr">
        <is>
          <t>It is like asking a student to show their working.</t>
        </is>
      </c>
      <c r="U14" s="18" t="inlineStr">
        <is>
          <t>Think first, answer last.</t>
        </is>
      </c>
      <c r="V14" s="18" t="inlineStr">
        <is>
          <t>Work through the calculation, then give the total.</t>
        </is>
      </c>
      <c r="W14" s="18" t="inlineStr">
        <is>
          <t>List assumptions, then recommend.</t>
        </is>
      </c>
      <c r="X14" s="18" t="inlineStr">
        <is>
          <t>Reason inside a thinking section and answer in an answer section.</t>
        </is>
      </c>
      <c r="Y14" s="18" t="inlineStr">
        <is>
          <t>clear instructions, output format, evaluation, agents and loops</t>
        </is>
      </c>
      <c r="Z14" s="18" t="inlineStr">
        <is>
          <t>reasoning, steps, chain of thought, thinking, verification</t>
        </is>
      </c>
      <c r="AA14" s="18" t="inlineStr">
        <is>
          <t>Analysis | Maths | Planning</t>
        </is>
      </c>
      <c r="AB14" s="18" t="inlineStr">
        <is>
          <t>A: The model gets multi-step sums wrong. | B: Ask it to work step by step before answering.</t>
        </is>
      </c>
      <c r="AC14" s="18" t="inlineStr">
        <is>
          <t>✗ Shown reasoning is always a true record of how the model decided → ✓ It is helpful but not guaranteed to be faithful</t>
        </is>
      </c>
      <c r="AD14" s="18" t="inlineStr">
        <is>
          <t>Direct vs stepwise answer: one jumps to the answer, the other works through steps.</t>
        </is>
      </c>
      <c r="AE14" s="18" t="inlineStr">
        <is>
          <t>Do not use step-by-step reasoning for trivial tasks.</t>
        </is>
      </c>
      <c r="AF14" s="18" t="inlineStr">
        <is>
          <t>Let it reason first, then answer.</t>
        </is>
      </c>
      <c r="AG14" s="18" t="inlineStr">
        <is>
          <t>Asking for steps improved accuracy on invoice calculations.</t>
        </is>
      </c>
      <c r="AH14" s="18" t="inlineStr">
        <is>
          <t>An interviewer may ask: When does step-by-step prompting help?</t>
        </is>
      </c>
      <c r="AI14" s="18" t="inlineStr">
        <is>
          <t>It is like showing working in an exam.</t>
        </is>
      </c>
      <c r="AJ14" s="18" t="inlineStr">
        <is>
          <t>When does step-by-step prompting help most?</t>
        </is>
      </c>
      <c r="AK14" s="18" t="inlineStr">
        <is>
          <t>A) Multi-step problems B) Greetings C) Single words D) Simple lookups</t>
        </is>
      </c>
      <c r="AL14" s="18" t="inlineStr">
        <is>
          <t>A</t>
        </is>
      </c>
      <c r="AM14" s="18" t="inlineStr">
        <is>
          <t>Steps reduce errors in complex tasks.</t>
        </is>
      </c>
      <c r="AN14" s="18" t="inlineStr">
        <is>
          <t>Asking the model to show its working in stages is often called chain of ____ prompting → thought</t>
        </is>
      </c>
      <c r="AO14" s="18" t="inlineStr">
        <is>
          <t>A multi-step calculation is wrong. What do you try? → Ask for step-by-step reasoning</t>
        </is>
      </c>
      <c r="AP14" s="18" t="inlineStr">
        <is>
          <t>Explain step-by-step prompting in three lines.</t>
        </is>
      </c>
      <c r="AQ14" s="18" t="inlineStr">
        <is>
          <t>Write a prompt that separates reasoning and answer.</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LLM-013</t>
        </is>
      </c>
      <c r="B15" s="17" t="inlineStr">
        <is>
          <t>02 Prompting</t>
        </is>
      </c>
      <c r="C15" s="17" t="inlineStr">
        <is>
          <t>Beginner</t>
        </is>
      </c>
      <c r="D15" s="17" t="n">
        <v>13</v>
      </c>
      <c r="E15" s="17" t="inlineStr">
        <is>
          <t>Claude knowledge</t>
        </is>
      </c>
      <c r="F15" s="18" t="inlineStr">
        <is>
          <t>Output format</t>
        </is>
      </c>
      <c r="G15" s="18" t="inlineStr">
        <is>
          <t>How do you make the model reply in a form your program or reader can use?</t>
        </is>
      </c>
      <c r="H15" s="18" t="inlineStr">
        <is>
          <t>Core concept</t>
        </is>
      </c>
      <c r="I15" s="18" t="inlineStr">
        <is>
          <t>Very high</t>
        </is>
      </c>
      <c r="J15" s="18" t="n">
        <v>5</v>
      </c>
      <c r="K15" s="18" t="inlineStr">
        <is>
          <t>Programs need predictable shapes, so prompts state the format, with schemas or examples, and code validates it.</t>
        </is>
      </c>
      <c r="L15" s="18" t="inlineStr">
        <is>
          <t>For programs, ask for JSON with named fields and validate it.</t>
        </is>
      </c>
      <c r="M15" s="18" t="inlineStr">
        <is>
          <t>Output format is giving the model a form with boxes to fill in.</t>
        </is>
      </c>
      <c r="N15" s="18" t="inlineStr">
        <is>
          <t>A form with named fields being filled in.</t>
        </is>
      </c>
      <c r="O15" s="18" t="inlineStr">
        <is>
          <t>The ease of parsing predictable results.</t>
        </is>
      </c>
      <c r="P15" s="18" t="inlineStr">
        <is>
          <t>Output format instructions tell the model the exact shape of its reply, such as JSON with named fields, a table, a fixed list of labels or plain text of set length.</t>
        </is>
      </c>
      <c r="Q15" s="17" t="n"/>
      <c r="R15" s="18" t="inlineStr">
        <is>
          <t>Show the shape with an example. Name the fields and allowed values. Tell the model to output only the structure when a program reads it. Many APIs offer structured output features that enforce a schema. Always validate and handle failures, since free-form instructions can still fail. Separate display text from data.</t>
        </is>
      </c>
      <c r="S15" s="18" t="inlineStr">
        <is>
          <t>State the format, show an example, and validate what comes back.</t>
        </is>
      </c>
      <c r="T15" s="18" t="inlineStr">
        <is>
          <t>Output format is giving the model a form with boxes to fill in.</t>
        </is>
      </c>
      <c r="U15" s="18" t="inlineStr">
        <is>
          <t>Format stated, shown, then validated.</t>
        </is>
      </c>
      <c r="V15" s="18" t="inlineStr">
        <is>
          <t>Reply with JSON containing label and confidence.</t>
        </is>
      </c>
      <c r="W15" s="18" t="inlineStr">
        <is>
          <t>Reply with one word from a fixed list.</t>
        </is>
      </c>
      <c r="X15" s="18" t="inlineStr">
        <is>
          <t>A table with three columns.</t>
        </is>
      </c>
      <c r="Y15" s="18" t="inlineStr">
        <is>
          <t>structured output, examples, stop reasons, errors and retries</t>
        </is>
      </c>
      <c r="Z15" s="18" t="inlineStr">
        <is>
          <t>format, schema, field, JSON, validation</t>
        </is>
      </c>
      <c r="AA15" s="18" t="inlineStr">
        <is>
          <t>Extraction | Automation | Reports</t>
        </is>
      </c>
      <c r="AB15" s="18" t="inlineStr">
        <is>
          <t>A: My parser breaks on the model's text. | B: Ask for JSON only and validate it.</t>
        </is>
      </c>
      <c r="AC15" s="18" t="inlineStr">
        <is>
          <t>✗ A format instruction guarantees valid output → ✓ You still need validation and retries</t>
        </is>
      </c>
      <c r="AD15" s="18" t="inlineStr">
        <is>
          <t>Prompted JSON vs enforced schema: the first can fail, the second is constrained by the API.</t>
        </is>
      </c>
      <c r="AE15" s="18" t="inlineStr">
        <is>
          <t>Do not parse model output without validating it.</t>
        </is>
      </c>
      <c r="AF15" s="18" t="inlineStr">
        <is>
          <t>Name the fields, show one, validate always.</t>
        </is>
      </c>
      <c r="AG15" s="18" t="inlineStr">
        <is>
          <t>Validating JSON from the model and retrying once fixed rare formatting failures.</t>
        </is>
      </c>
      <c r="AH15" s="18" t="inlineStr">
        <is>
          <t>An interviewer may ask: How do you get reliable JSON from an LLM?</t>
        </is>
      </c>
      <c r="AI15" s="18" t="inlineStr">
        <is>
          <t>It is like a form with boxes.</t>
        </is>
      </c>
      <c r="AJ15" s="18" t="inlineStr">
        <is>
          <t>What should you always do with model JSON?</t>
        </is>
      </c>
      <c r="AK15" s="18" t="inlineStr">
        <is>
          <t>A) Trust it B) Print it only C) Ignore it D) Validate it</t>
        </is>
      </c>
      <c r="AL15" s="18" t="inlineStr">
        <is>
          <t>D</t>
        </is>
      </c>
      <c r="AM15" s="18" t="inlineStr">
        <is>
          <t>Failures can still occur.</t>
        </is>
      </c>
      <c r="AN15" s="18" t="inlineStr">
        <is>
          <t>A description of the allowed JSON shape is a ____ → schema</t>
        </is>
      </c>
      <c r="AO15" s="18" t="inlineStr">
        <is>
          <t>A program must read the answer. What format do you ask for? → JSON with named fields</t>
        </is>
      </c>
      <c r="AP15" s="18" t="inlineStr">
        <is>
          <t>Explain output format in three lines.</t>
        </is>
      </c>
      <c r="AQ15" s="18" t="inlineStr">
        <is>
          <t>Define a JSON shape for a ticket classifier.</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LLM-014</t>
        </is>
      </c>
      <c r="B16" s="17" t="inlineStr">
        <is>
          <t>02 Prompting</t>
        </is>
      </c>
      <c r="C16" s="17" t="inlineStr">
        <is>
          <t>Intermediate</t>
        </is>
      </c>
      <c r="D16" s="17" t="n">
        <v>14</v>
      </c>
      <c r="E16" s="17" t="inlineStr">
        <is>
          <t>Claude knowledge</t>
        </is>
      </c>
      <c r="F16" s="18" t="inlineStr">
        <is>
          <t>System prompts</t>
        </is>
      </c>
      <c r="G16" s="18" t="inlineStr">
        <is>
          <t>How do you set stable behaviour, tone and rules for an assistant?</t>
        </is>
      </c>
      <c r="H16" s="18" t="inlineStr">
        <is>
          <t>Core concept</t>
        </is>
      </c>
      <c r="I16" s="18" t="inlineStr">
        <is>
          <t>Very high</t>
        </is>
      </c>
      <c r="J16" s="18" t="n">
        <v>5</v>
      </c>
      <c r="K16" s="18" t="inlineStr">
        <is>
          <t>An assistant needs consistent rules across all conversations, so they are written once in a system prompt.</t>
        </is>
      </c>
      <c r="L16" s="18" t="inlineStr">
        <is>
          <t>Explain the reasons behind rules, and include what to do when unsure.</t>
        </is>
      </c>
      <c r="M16" s="18" t="inlineStr">
        <is>
          <t>A system prompt is the job description given to an employee on day one.</t>
        </is>
      </c>
      <c r="N16" s="18" t="inlineStr">
        <is>
          <t>A prompt block with role, rules and limits above the conversation.</t>
        </is>
      </c>
      <c r="O16" s="18" t="inlineStr">
        <is>
          <t>The comfort of behaviour that stays consistent.</t>
        </is>
      </c>
      <c r="P16" s="18" t="inlineStr">
        <is>
          <t>A system prompt is the initial instruction message that defines the assistant's role, tone, rules, tools and limits for the whole conversation.</t>
        </is>
      </c>
      <c r="Q16" s="17" t="n"/>
      <c r="R16" s="18" t="inlineStr">
        <is>
          <t>Good system prompts define the role and audience, list rules with reasons, say how to handle uncertainty and refusal, and describe the output style. They should be tested against hard inputs. Keep them as short as clarity allows. They are guidance, not a security control, and users may try to override them. Do not store secrets in them.</t>
        </is>
      </c>
      <c r="S16" s="18" t="inlineStr">
        <is>
          <t>Write the assistant's role, rules and fallback behaviour once, and test it.</t>
        </is>
      </c>
      <c r="T16" s="18" t="inlineStr">
        <is>
          <t>A system prompt is the job description given to an employee on day one.</t>
        </is>
      </c>
      <c r="U16" s="18" t="inlineStr">
        <is>
          <t>Role + rules with reasons + uncertainty handling + style.</t>
        </is>
      </c>
      <c r="V16" s="18" t="inlineStr">
        <is>
          <t>You are a support assistant for a software product.</t>
        </is>
      </c>
      <c r="W16" s="18" t="inlineStr">
        <is>
          <t>If you are unsure, say so and offer to escalate.</t>
        </is>
      </c>
      <c r="X16" s="18" t="inlineStr">
        <is>
          <t>Answer in short, polite sentences.</t>
        </is>
      </c>
      <c r="Y16" s="18" t="inlineStr">
        <is>
          <t>roles, prompt injection, prompt versions, guardrails</t>
        </is>
      </c>
      <c r="Z16" s="18" t="inlineStr">
        <is>
          <t>system prompt, role, rules, tone, fallback</t>
        </is>
      </c>
      <c r="AA16" s="18" t="inlineStr">
        <is>
          <t>Assistants | Agents | Customer bots</t>
        </is>
      </c>
      <c r="AB16" s="18" t="inlineStr">
        <is>
          <t>A: The bot makes up policies. | B: Add a rule to say when it does not know, and test it.</t>
        </is>
      </c>
      <c r="AC16" s="18" t="inlineStr">
        <is>
          <t>✗ A system prompt can keep secrets safe → ✓ Users may extract it, so never put secrets there</t>
        </is>
      </c>
      <c r="AD16" s="18" t="inlineStr">
        <is>
          <t>System prompt vs user prompt: standing rules versus one request.</t>
        </is>
      </c>
      <c r="AE16" s="18" t="inlineStr">
        <is>
          <t>Do not put credentials in a system prompt.</t>
        </is>
      </c>
      <c r="AF16" s="18" t="inlineStr">
        <is>
          <t>Rules with reasons, plus a fallback.</t>
        </is>
      </c>
      <c r="AG16" s="18" t="inlineStr">
        <is>
          <t>Adding an uncertainty rule stopped a support bot inventing refund policies.</t>
        </is>
      </c>
      <c r="AH16" s="18" t="inlineStr">
        <is>
          <t>An interviewer may ask: What belongs in a system prompt?</t>
        </is>
      </c>
      <c r="AI16" s="18" t="inlineStr">
        <is>
          <t>It is like a job description on day one.</t>
        </is>
      </c>
      <c r="AJ16" s="18" t="inlineStr">
        <is>
          <t>What should not be placed in a system prompt?</t>
        </is>
      </c>
      <c r="AK16" s="18" t="inlineStr">
        <is>
          <t>A) Secrets B) Style C) Tone rules D) Role</t>
        </is>
      </c>
      <c r="AL16" s="18" t="inlineStr">
        <is>
          <t>A</t>
        </is>
      </c>
      <c r="AM16" s="18" t="inlineStr">
        <is>
          <t>Prompts can leak.</t>
        </is>
      </c>
      <c r="AN16" s="18" t="inlineStr">
        <is>
          <t>The behaviour for unclear cases is the ____ rule → fallback</t>
        </is>
      </c>
      <c r="AO16" s="18" t="inlineStr">
        <is>
          <t>The bot invents answers. What do you add? → A rule for admitting uncertainty</t>
        </is>
      </c>
      <c r="AP16" s="18" t="inlineStr">
        <is>
          <t>Explain system prompts in three lines.</t>
        </is>
      </c>
      <c r="AQ16" s="18" t="inlineStr">
        <is>
          <t>Write a short system prompt for a billing bot.</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94.5" customHeight="1">
      <c r="A17" s="17" t="inlineStr">
        <is>
          <t>LLM-015</t>
        </is>
      </c>
      <c r="B17" s="17" t="inlineStr">
        <is>
          <t>02 Prompting</t>
        </is>
      </c>
      <c r="C17" s="17" t="inlineStr">
        <is>
          <t>Intermediate</t>
        </is>
      </c>
      <c r="D17" s="17" t="n">
        <v>15</v>
      </c>
      <c r="E17" s="17" t="inlineStr">
        <is>
          <t>Claude knowledge</t>
        </is>
      </c>
      <c r="F17" s="18" t="inlineStr">
        <is>
          <t>Prompt versions</t>
        </is>
      </c>
      <c r="G17" s="18" t="inlineStr">
        <is>
          <t>How do you manage prompt changes like code?</t>
        </is>
      </c>
      <c r="H17" s="18" t="inlineStr">
        <is>
          <t>Core concept</t>
        </is>
      </c>
      <c r="I17" s="18" t="inlineStr">
        <is>
          <t>High</t>
        </is>
      </c>
      <c r="J17" s="18" t="n">
        <v>4</v>
      </c>
      <c r="K17" s="18" t="inlineStr">
        <is>
          <t>Small prompt edits can change behaviour a lot, so teams track and test them like software.</t>
        </is>
      </c>
      <c r="L17" s="18" t="inlineStr">
        <is>
          <t>Keep prompts in files under version control and run an evaluation set before each change.</t>
        </is>
      </c>
      <c r="M17" s="18" t="inlineStr">
        <is>
          <t>Prompt versions are numbered editions of a recipe, so you can return to the one that worked.</t>
        </is>
      </c>
      <c r="N17" s="18" t="inlineStr">
        <is>
          <t>A history of prompt files with test results.</t>
        </is>
      </c>
      <c r="O17" s="18" t="inlineStr">
        <is>
          <t>The confidence of changes that are tested.</t>
        </is>
      </c>
      <c r="P17" s="18" t="inlineStr">
        <is>
          <t>Prompt versioning stores prompts in version control with identifiers, ties each version to evaluation results, and records which version produced each output.</t>
        </is>
      </c>
      <c r="Q17" s="17" t="n"/>
      <c r="R17" s="18" t="inlineStr">
        <is>
          <t>Treat prompts as code, with reviews and tests. Keep a set of example inputs with expected qualities and run them for each change. Log the prompt version with each request so problems can be traced. Roll out changes gradually. Avoid editing live prompts in a dashboard without history.</t>
        </is>
      </c>
      <c r="S17" s="18" t="inlineStr">
        <is>
          <t>Store prompts in Git, test every change, and log the version used.</t>
        </is>
      </c>
      <c r="T17" s="18" t="inlineStr">
        <is>
          <t>Prompt versions are numbered editions of a recipe.</t>
        </is>
      </c>
      <c r="U17" s="18" t="inlineStr">
        <is>
          <t>Version + test set + log of which version ran.</t>
        </is>
      </c>
      <c r="V17" s="18" t="inlineStr">
        <is>
          <t>A prompts folder in the repository.</t>
        </is>
      </c>
      <c r="W17" s="18" t="inlineStr">
        <is>
          <t>A test run comparing version two with version three.</t>
        </is>
      </c>
      <c r="X17" s="18" t="inlineStr">
        <is>
          <t>A log field prompt_version.</t>
        </is>
      </c>
      <c r="Y17" s="18" t="inlineStr">
        <is>
          <t>evaluation, system prompts, logging calls safely, human review</t>
        </is>
      </c>
      <c r="Z17" s="18" t="inlineStr">
        <is>
          <t>version, test set, regression, rollout, changelog</t>
        </is>
      </c>
      <c r="AA17" s="18" t="inlineStr">
        <is>
          <t>Production LLM apps | Teams | Audits</t>
        </is>
      </c>
      <c r="AB17" s="18" t="inlineStr">
        <is>
          <t>A: Quality dropped after the last edit. | B: Compare the new prompt version against the test set and revert.</t>
        </is>
      </c>
      <c r="AC17" s="18" t="inlineStr">
        <is>
          <t>✗ Prompt wording changes are harmless → ✓ Small changes can alter behaviour widely</t>
        </is>
      </c>
      <c r="AD17" s="18" t="inlineStr">
        <is>
          <t>Tested vs untested change: tested changes show regressions before release.</t>
        </is>
      </c>
      <c r="AE17" s="18" t="inlineStr">
        <is>
          <t>Do not edit production prompts without a record.</t>
        </is>
      </c>
      <c r="AF17" s="18" t="inlineStr">
        <is>
          <t>Version it, test it, log it.</t>
        </is>
      </c>
      <c r="AG17" s="18" t="inlineStr">
        <is>
          <t>Versioned prompts let a team roll back a bad change within minutes.</t>
        </is>
      </c>
      <c r="AH17" s="18" t="inlineStr">
        <is>
          <t>An interviewer may ask: How do you manage prompts in production?</t>
        </is>
      </c>
      <c r="AI17" s="18" t="inlineStr">
        <is>
          <t>It is like numbered editions of a recipe.</t>
        </is>
      </c>
      <c r="AJ17" s="18" t="inlineStr">
        <is>
          <t>Where should prompts be stored?</t>
        </is>
      </c>
      <c r="AK17" s="18" t="inlineStr">
        <is>
          <t>A) Memory only B) Version control C) A chat message D) A sticky note</t>
        </is>
      </c>
      <c r="AL17" s="18" t="inlineStr">
        <is>
          <t>B</t>
        </is>
      </c>
      <c r="AM17" s="18" t="inlineStr">
        <is>
          <t>History and review matter.</t>
        </is>
      </c>
      <c r="AN17" s="18" t="inlineStr">
        <is>
          <t>A drop in quality after a change is a ____ → regression</t>
        </is>
      </c>
      <c r="AO17" s="18" t="inlineStr">
        <is>
          <t>A prompt change hurt quality. What do you do? → Revert to the previous version</t>
        </is>
      </c>
      <c r="AP17" s="18" t="inlineStr">
        <is>
          <t>Explain prompt versioning in three lines.</t>
        </is>
      </c>
      <c r="AQ17" s="18" t="inlineStr">
        <is>
          <t>Design a folder layout for versioned prompts.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LLM-016</t>
        </is>
      </c>
      <c r="B18" s="17" t="inlineStr">
        <is>
          <t>02 Prompting</t>
        </is>
      </c>
      <c r="C18" s="17" t="inlineStr">
        <is>
          <t>Intermediate</t>
        </is>
      </c>
      <c r="D18" s="17" t="n">
        <v>16</v>
      </c>
      <c r="E18" s="17" t="inlineStr">
        <is>
          <t>Claude knowledge</t>
        </is>
      </c>
      <c r="F18" s="18" t="inlineStr">
        <is>
          <t>Common prompting mistakes</t>
        </is>
      </c>
      <c r="G18" s="18" t="inlineStr">
        <is>
          <t>Which errors most often make prompts fail?</t>
        </is>
      </c>
      <c r="H18" s="18" t="inlineStr">
        <is>
          <t>Core concept</t>
        </is>
      </c>
      <c r="I18" s="18" t="inlineStr">
        <is>
          <t>Very high</t>
        </is>
      </c>
      <c r="J18" s="18" t="n">
        <v>5</v>
      </c>
      <c r="K18" s="18" t="inlineStr">
        <is>
          <t>The same mistakes repeat across teams, so knowing them saves hours of trial and error.</t>
        </is>
      </c>
      <c r="L18" s="18" t="inlineStr">
        <is>
          <t>Test with real, messy inputs, not only clean examples.</t>
        </is>
      </c>
      <c r="M18" s="18" t="inlineStr">
        <is>
          <t>Prompt mistakes are the common potholes on the road, and you learn where they are.</t>
        </is>
      </c>
      <c r="N18" s="18" t="inlineStr">
        <is>
          <t>A checklist with several crossed-out bad prompting habits.</t>
        </is>
      </c>
      <c r="O18" s="18" t="inlineStr">
        <is>
          <t>The relief of recognising a familiar mistake.</t>
        </is>
      </c>
      <c r="P18" s="18" t="inlineStr">
        <is>
          <t>Common prompting mistakes include vague tasks, missing context, conflicting rules, no output format, untested edge cases, trusting output without checks and mixing untrusted text with instructions.</t>
        </is>
      </c>
      <c r="Q18" s="17" t="n"/>
      <c r="R18" s="18" t="inlineStr">
        <is>
          <t>Conflicting instructions confuse the model. Shouting in capitals and piling on rules can backfire. Missing context makes the model guess. Testing only on easy inputs hides failures. Asking for facts the model cannot know invites invention. Not validating outputs lets errors through. Ignoring cost and length limits causes failures in production.</t>
        </is>
      </c>
      <c r="S18" s="18" t="inlineStr">
        <is>
          <t>Be clear and consistent, give context, test on real inputs, and validate outputs.</t>
        </is>
      </c>
      <c r="T18" s="18" t="inlineStr">
        <is>
          <t>Prompt mistakes are the common potholes on the road.</t>
        </is>
      </c>
      <c r="U18" s="18" t="inlineStr">
        <is>
          <t>Vague + untested + unvalidated = failure.</t>
        </is>
      </c>
      <c r="V18" s="18" t="inlineStr">
        <is>
          <t>A rule that says be brief and another that says be detailed.</t>
        </is>
      </c>
      <c r="W18" s="18" t="inlineStr">
        <is>
          <t>Testing only on three clean examples.</t>
        </is>
      </c>
      <c r="X18" s="18" t="inlineStr">
        <is>
          <t>No instruction for unknown answers.</t>
        </is>
      </c>
      <c r="Y18" s="18" t="inlineStr">
        <is>
          <t>clear instructions, examples, evaluation, hallucination</t>
        </is>
      </c>
      <c r="Z18" s="18" t="inlineStr">
        <is>
          <t>conflict, vague, edge case, validation, guess</t>
        </is>
      </c>
      <c r="AA18" s="18" t="inlineStr">
        <is>
          <t>Prompt reviews | Debugging | Training</t>
        </is>
      </c>
      <c r="AB18" s="18" t="inlineStr">
        <is>
          <t>A: The model ignores my rule. | B: It conflicts with another rule, so make them consistent.</t>
        </is>
      </c>
      <c r="AC18" s="18" t="inlineStr">
        <is>
          <t>✗ Adding more rules always improves the result → ✓ Too many or conflicting rules confuse the model</t>
        </is>
      </c>
      <c r="AD18" s="18" t="inlineStr">
        <is>
          <t>Clear vs crowded prompt: clear is focused, crowded is contradictory.</t>
        </is>
      </c>
      <c r="AE18" s="18" t="inlineStr">
        <is>
          <t>Do not test only on perfect inputs.</t>
        </is>
      </c>
      <c r="AF18" s="18" t="inlineStr">
        <is>
          <t>Keep prompts consistent, contextual, tested and validated.</t>
        </is>
      </c>
      <c r="AG18" s="18" t="inlineStr">
        <is>
          <t>Removing conflicting rules improved a prompt more than adding new ones.</t>
        </is>
      </c>
      <c r="AH18" s="18" t="inlineStr">
        <is>
          <t>An interviewer may ask: What mistakes do you see in prompts?</t>
        </is>
      </c>
      <c r="AI18" s="18" t="inlineStr">
        <is>
          <t>It is like potholes on a road.</t>
        </is>
      </c>
      <c r="AJ18" s="18" t="inlineStr">
        <is>
          <t>Which is a common prompting mistake?</t>
        </is>
      </c>
      <c r="AK18" s="18" t="inlineStr">
        <is>
          <t>A) Clear format B) Good examples C) Conflicting instructions D) Validation</t>
        </is>
      </c>
      <c r="AL18" s="18" t="inlineStr">
        <is>
          <t>C</t>
        </is>
      </c>
      <c r="AM18" s="18" t="inlineStr">
        <is>
          <t>Conflicts confuse the model.</t>
        </is>
      </c>
      <c r="AN18" s="18" t="inlineStr">
        <is>
          <t>Rare unusual inputs are called ____ cases → edge</t>
        </is>
      </c>
      <c r="AO18" s="18" t="inlineStr">
        <is>
          <t>A prompt performs well in demos but fails in use. What was likely missing? → Tests on messy real inputs</t>
        </is>
      </c>
      <c r="AP18" s="18" t="inlineStr">
        <is>
          <t>Explain common prompting mistakes in three lines.</t>
        </is>
      </c>
      <c r="AQ18" s="18" t="inlineStr">
        <is>
          <t>Review a prompt and list five problems.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LLM-017</t>
        </is>
      </c>
      <c r="B19" s="17" t="inlineStr">
        <is>
          <t>02 Prompting</t>
        </is>
      </c>
      <c r="C19" s="17" t="inlineStr">
        <is>
          <t>Advanced</t>
        </is>
      </c>
      <c r="D19" s="17" t="n">
        <v>17</v>
      </c>
      <c r="E19" s="17" t="inlineStr">
        <is>
          <t>Claude knowledge</t>
        </is>
      </c>
      <c r="F19" s="18" t="inlineStr">
        <is>
          <t>Prompting vs fine-tuning</t>
        </is>
      </c>
      <c r="G19" s="18" t="inlineStr">
        <is>
          <t>When should you teach the model through the prompt and when through training?</t>
        </is>
      </c>
      <c r="H19" s="18" t="inlineStr">
        <is>
          <t>Core concept</t>
        </is>
      </c>
      <c r="I19" s="18" t="inlineStr">
        <is>
          <t>High</t>
        </is>
      </c>
      <c r="J19" s="18" t="n">
        <v>4</v>
      </c>
      <c r="K19" s="18" t="inlineStr">
        <is>
          <t>Teams wonder whether to adjust the model itself or its instructions, and the answer depends on the problem.</t>
        </is>
      </c>
      <c r="L19" s="18" t="inlineStr">
        <is>
          <t>Try prompting, examples and retrieval first, since they are faster and cheaper to change.</t>
        </is>
      </c>
      <c r="M19" s="18" t="inlineStr">
        <is>
          <t>Prompting is giving instructions to a skilled worker, and fine-tuning is sending them on a training course.</t>
        </is>
      </c>
      <c r="N19" s="18" t="inlineStr">
        <is>
          <t>Two paths, one editing the prompt and one adjusting the model.</t>
        </is>
      </c>
      <c r="O19" s="18" t="inlineStr">
        <is>
          <t>The clarity of picking the cheapest effective tool.</t>
        </is>
      </c>
      <c r="P19" s="18" t="inlineStr">
        <is>
          <t>Prompting changes behaviour through instructions, examples and context at run time, while fine-tuning trains the model on example data to change its default behaviour or style.</t>
        </is>
      </c>
      <c r="Q19" s="17" t="n"/>
      <c r="R19" s="18" t="inlineStr">
        <is>
          <t>Prompting and retrieval suit changing knowledge, quick iteration and low volume. Fine-tuning can help with consistent style or format, specialised tasks and shorter prompts at high volume, but needs quality data, costs effort, and can go stale. It is not a good way to add fresh facts. Evaluate before and after.</t>
        </is>
      </c>
      <c r="S19" s="18" t="inlineStr">
        <is>
          <t>Start with prompts and retrieval, and fine-tune only for stable, high-volume needs.</t>
        </is>
      </c>
      <c r="T19" s="18" t="inlineStr">
        <is>
          <t>Prompting is giving instructions to a skilled worker, and fine-tuning is sending them on a training course.</t>
        </is>
      </c>
      <c r="U19" s="18" t="inlineStr">
        <is>
          <t>Facts and changes: retrieval. Style and format at scale: maybe fine-tune.</t>
        </is>
      </c>
      <c r="V19" s="18" t="inlineStr">
        <is>
          <t>Policy answers from retrieved documents.</t>
        </is>
      </c>
      <c r="W19" s="18" t="inlineStr">
        <is>
          <t>A fixed brand voice learned from many examples.</t>
        </is>
      </c>
      <c r="X19" s="18" t="inlineStr">
        <is>
          <t>A short prompt after fine-tuning for a narrow task.</t>
        </is>
      </c>
      <c r="Y19" s="18" t="inlineStr">
        <is>
          <t>RAG, examples, evaluation, cost control</t>
        </is>
      </c>
      <c r="Z19" s="18" t="inlineStr">
        <is>
          <t>fine-tuning, prompting, retrieval, training data, style</t>
        </is>
      </c>
      <c r="AA19" s="18" t="inlineStr">
        <is>
          <t>Architecture decisions | Cost planning | Specialised tasks</t>
        </is>
      </c>
      <c r="AB19" s="18" t="inlineStr">
        <is>
          <t>A: Should we fine-tune on our policies? | B: Use retrieval for facts, since policies change.</t>
        </is>
      </c>
      <c r="AC19" s="18" t="inlineStr">
        <is>
          <t>✗ Fine-tuning is the best way to teach new facts → ✓ Retrieval handles changing facts better</t>
        </is>
      </c>
      <c r="AD19" s="18" t="inlineStr">
        <is>
          <t>Fine-tuning vs RAG: one changes behaviour, the other supplies knowledge.</t>
        </is>
      </c>
      <c r="AE19" s="18" t="inlineStr">
        <is>
          <t>Do not fine-tune before trying prompts and examples.</t>
        </is>
      </c>
      <c r="AF19" s="18" t="inlineStr">
        <is>
          <t>Prompt for rules, retrieve for facts.</t>
        </is>
      </c>
      <c r="AG19" s="18" t="inlineStr">
        <is>
          <t>Using retrieval instead of fine-tuning kept answers up to date as policies changed.</t>
        </is>
      </c>
      <c r="AH19" s="18" t="inlineStr">
        <is>
          <t>An interviewer may ask: When would you fine-tune a model?</t>
        </is>
      </c>
      <c r="AI19" s="18" t="inlineStr">
        <is>
          <t>It is like instructions versus a training course.</t>
        </is>
      </c>
      <c r="AJ19" s="18" t="inlineStr">
        <is>
          <t>Which suits changing facts?</t>
        </is>
      </c>
      <c r="AK19" s="18" t="inlineStr">
        <is>
          <t>A) Neither B) Retrieval C) A larger window only D) Fine-tuning</t>
        </is>
      </c>
      <c r="AL19" s="18" t="inlineStr">
        <is>
          <t>B</t>
        </is>
      </c>
      <c r="AM19" s="18" t="inlineStr">
        <is>
          <t>Documents can be updated at once.</t>
        </is>
      </c>
      <c r="AN19" s="18" t="inlineStr">
        <is>
          <t>Supplying documents at run time is called ____ → retrieval</t>
        </is>
      </c>
      <c r="AO19" s="18" t="inlineStr">
        <is>
          <t>Policies change monthly. Which approach? → Retrieval with the current documents</t>
        </is>
      </c>
      <c r="AP19" s="18" t="inlineStr">
        <is>
          <t>Explain prompting versus fine-tuning in three lines.</t>
        </is>
      </c>
      <c r="AQ19" s="18" t="inlineStr">
        <is>
          <t>Decide which approach fits three different business needs.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94.5" customHeight="1">
      <c r="A20" s="17" t="inlineStr">
        <is>
          <t>LLM-023</t>
        </is>
      </c>
      <c r="B20" s="17" t="inlineStr">
        <is>
          <t>03 API Use</t>
        </is>
      </c>
      <c r="C20" s="17" t="inlineStr">
        <is>
          <t>Intermediate</t>
        </is>
      </c>
      <c r="D20" s="17" t="n">
        <v>23</v>
      </c>
      <c r="E20" s="17" t="inlineStr">
        <is>
          <t>Claude knowledge</t>
        </is>
      </c>
      <c r="F20" s="18" t="inlineStr">
        <is>
          <t>Rate limits</t>
        </is>
      </c>
      <c r="G20" s="18" t="inlineStr">
        <is>
          <t>Which provider limits cap how many requests and tokens you may use per minute?</t>
        </is>
      </c>
      <c r="H20" s="18" t="inlineStr">
        <is>
          <t>Core concept</t>
        </is>
      </c>
      <c r="I20" s="18" t="inlineStr">
        <is>
          <t>Very high</t>
        </is>
      </c>
      <c r="J20" s="18" t="n">
        <v>5</v>
      </c>
      <c r="K20" s="18" t="inlineStr">
        <is>
          <t>Providers share capacity among customers, so they limit requests and tokens per time window.</t>
        </is>
      </c>
      <c r="L20" s="18" t="inlineStr">
        <is>
          <t>Track usage headers, queue requests and spread load instead of bursts.</t>
        </is>
      </c>
      <c r="M20" s="18" t="inlineStr">
        <is>
          <t>Rate limits are speed limits on a shared road.</t>
        </is>
      </c>
      <c r="N20" s="18" t="inlineStr">
        <is>
          <t>A meter showing requests used against a cap.</t>
        </is>
      </c>
      <c r="O20" s="18" t="inlineStr">
        <is>
          <t>The calm of a system that respects limits.</t>
        </is>
      </c>
      <c r="P20" s="18" t="inlineStr">
        <is>
          <t>Rate limits restrict the number of requests and tokens an account may use in a time window, and exceeding them returns an error such as 429 with information about when to retry.</t>
        </is>
      </c>
      <c r="Q20" s="17" t="n"/>
      <c r="R20" s="18" t="inlineStr">
        <is>
          <t>Limits may apply per minute and per day, and often grow with account tier. Large prompts consume token limits quickly. Handle limit errors with backoff, use queues to smooth bursts, and cache repeated work. Batch APIs offer separate capacity for non-urgent jobs. Request higher limits ahead of launches.</t>
        </is>
      </c>
      <c r="S20" s="18" t="inlineStr">
        <is>
          <t>Stay under the caps by queueing, caching, backing off, and asking for more when needed.</t>
        </is>
      </c>
      <c r="T20" s="18" t="inlineStr">
        <is>
          <t>Rate limits are speed limits on a shared road.</t>
        </is>
      </c>
      <c r="U20" s="18" t="inlineStr">
        <is>
          <t>Requests per minute and tokens per minute both count.</t>
        </is>
      </c>
      <c r="V20" s="18" t="inlineStr">
        <is>
          <t>A burst of parallel calls hitting the limit.</t>
        </is>
      </c>
      <c r="W20" s="18" t="inlineStr">
        <is>
          <t>A queue releasing five calls per second.</t>
        </is>
      </c>
      <c r="X20" s="18" t="inlineStr">
        <is>
          <t>A limit raised before a launch.</t>
        </is>
      </c>
      <c r="Y20" s="18" t="inlineStr">
        <is>
          <t>errors and retries, batching, caching, cost control</t>
        </is>
      </c>
      <c r="Z20" s="18" t="inlineStr">
        <is>
          <t>rate limit, quota, 429, backoff, queue</t>
        </is>
      </c>
      <c r="AA20" s="18" t="inlineStr">
        <is>
          <t>Production apps | Batch jobs | Launch planning</t>
        </is>
      </c>
      <c r="AB20" s="18" t="inlineStr">
        <is>
          <t>A: Many calls fail during the import. | B: We hit the rate limit, so queue them.</t>
        </is>
      </c>
      <c r="AC20" s="18" t="inlineStr">
        <is>
          <t>✗ Limits count only requests → ✓ Token limits can be reached with few large requests</t>
        </is>
      </c>
      <c r="AD20" s="18" t="inlineStr">
        <is>
          <t>Request limit vs token limit: calls per time versus tokens per time.</t>
        </is>
      </c>
      <c r="AE20" s="18" t="inlineStr">
        <is>
          <t>Do not launch heavy usage without checking limits.</t>
        </is>
      </c>
      <c r="AF20" s="18" t="inlineStr">
        <is>
          <t>Smooth the load, do not burst.</t>
        </is>
      </c>
      <c r="AG20" s="18" t="inlineStr">
        <is>
          <t>A queue with a fixed rate removed errors during a nightly import.</t>
        </is>
      </c>
      <c r="AH20" s="18" t="inlineStr">
        <is>
          <t>An interviewer may ask: How do you handle rate limits?</t>
        </is>
      </c>
      <c r="AI20" s="18" t="inlineStr">
        <is>
          <t>It is like speed limits on a shared road.</t>
        </is>
      </c>
      <c r="AJ20" s="18" t="inlineStr">
        <is>
          <t>What status signals a rate limit?</t>
        </is>
      </c>
      <c r="AK20" s="18" t="inlineStr">
        <is>
          <t>A) 404 B) 429 C) 200 D) 500</t>
        </is>
      </c>
      <c r="AL20" s="18" t="inlineStr">
        <is>
          <t>B</t>
        </is>
      </c>
      <c r="AM20" s="18" t="inlineStr">
        <is>
          <t>Too many requests returns 429.</t>
        </is>
      </c>
      <c r="AN20" s="18" t="inlineStr">
        <is>
          <t>A waiting line that smooths bursts is a ____ → queue</t>
        </is>
      </c>
      <c r="AO20" s="18" t="inlineStr">
        <is>
          <t>A bulk import hits limits. What do you add? → A rate-limited queue</t>
        </is>
      </c>
      <c r="AP20" s="18" t="inlineStr">
        <is>
          <t>Explain rate limits in three lines.</t>
        </is>
      </c>
      <c r="AQ20" s="18" t="inlineStr">
        <is>
          <t>Plan the call rate for a ten thousand document job.</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94.5" customHeight="1">
      <c r="A21" s="17" t="inlineStr">
        <is>
          <t>LLM-025</t>
        </is>
      </c>
      <c r="B21" s="17" t="inlineStr">
        <is>
          <t>03 API Use</t>
        </is>
      </c>
      <c r="C21" s="17" t="inlineStr">
        <is>
          <t>Intermediate</t>
        </is>
      </c>
      <c r="D21" s="17" t="n">
        <v>25</v>
      </c>
      <c r="E21" s="17" t="inlineStr">
        <is>
          <t>Claude knowledge</t>
        </is>
      </c>
      <c r="F21" s="18" t="inlineStr">
        <is>
          <t>Batching</t>
        </is>
      </c>
      <c r="G21" s="18" t="inlineStr">
        <is>
          <t>How do you process many non-urgent requests cheaply?</t>
        </is>
      </c>
      <c r="H21" s="18" t="inlineStr">
        <is>
          <t>Core concept</t>
        </is>
      </c>
      <c r="I21" s="18" t="inlineStr">
        <is>
          <t>Medium</t>
        </is>
      </c>
      <c r="J21" s="18" t="n">
        <v>4</v>
      </c>
      <c r="K21" s="18" t="inlineStr">
        <is>
          <t>Large offline jobs do not need instant answers, so providers offer batch interfaces with lower cost and higher limits.</t>
        </is>
      </c>
      <c r="L21" s="18" t="inlineStr">
        <is>
          <t>Use batch for bulk labelling, summarising and evaluation runs.</t>
        </is>
      </c>
      <c r="M21" s="18" t="inlineStr">
        <is>
          <t>Batching is posting a big parcel of letters at the slow rate instead of one by one by courier.</t>
        </is>
      </c>
      <c r="N21" s="18" t="inlineStr">
        <is>
          <t>A file of requests going in and a file of results coming out later.</t>
        </is>
      </c>
      <c r="O21" s="18" t="inlineStr">
        <is>
          <t>The satisfaction of cheaper bulk work.</t>
        </is>
      </c>
      <c r="P21" s="18" t="inlineStr">
        <is>
          <t>A batch API accepts many requests together, processes them asynchronously within a time window, usually at lower cost, and returns results that you match by custom ids.</t>
        </is>
      </c>
      <c r="Q21" s="17" t="n"/>
      <c r="R21" s="18" t="inlineStr">
        <is>
          <t>You upload a file of requests with ids, poll or wait for completion and download results. Results may come out of order, so match by id. Some requests may fail and need resubmission. Batches suit evaluations, backfills and nightly jobs, not interactive chat. Check the provider's limits and discount terms.</t>
        </is>
      </c>
      <c r="S21" s="18" t="inlineStr">
        <is>
          <t>Send many requests as one job, collect the results later, and match them by id.</t>
        </is>
      </c>
      <c r="T21" s="18" t="inlineStr">
        <is>
          <t>Batching is posting a big parcel of letters at the slow rate instead of by courier.</t>
        </is>
      </c>
      <c r="U21" s="18" t="inlineStr">
        <is>
          <t>Many requests, lower cost, results later, match by id.</t>
        </is>
      </c>
      <c r="V21" s="18" t="inlineStr">
        <is>
          <t>Classifying ten thousand tickets overnight.</t>
        </is>
      </c>
      <c r="W21" s="18" t="inlineStr">
        <is>
          <t>Running an evaluation set across prompt versions.</t>
        </is>
      </c>
      <c r="X21" s="18" t="inlineStr">
        <is>
          <t>Resubmitting only the failed items.</t>
        </is>
      </c>
      <c r="Y21" s="18" t="inlineStr">
        <is>
          <t>rate limits, cost control, evaluation, caching</t>
        </is>
      </c>
      <c r="Z21" s="18" t="inlineStr">
        <is>
          <t>batch, asynchronous, custom id, window, backfill</t>
        </is>
      </c>
      <c r="AA21" s="18" t="inlineStr">
        <is>
          <t>Bulk jobs | Evaluations | Data cleaning</t>
        </is>
      </c>
      <c r="AB21" s="18" t="inlineStr">
        <is>
          <t>A: We must label fifty thousand records by Friday. | B: Use a batch job, since it is cheaper and not urgent.</t>
        </is>
      </c>
      <c r="AC21" s="18" t="inlineStr">
        <is>
          <t>✗ Batch results come back in the same order as sent → ✓ Match them by the custom id</t>
        </is>
      </c>
      <c r="AD21" s="18" t="inlineStr">
        <is>
          <t>Batch vs real-time: batch is cheap and delayed, real-time is immediate.</t>
        </is>
      </c>
      <c r="AE21" s="18" t="inlineStr">
        <is>
          <t>Do not use batch for interactive features.</t>
        </is>
      </c>
      <c r="AF21" s="18" t="inlineStr">
        <is>
          <t>Batch for bulk, match by id.</t>
        </is>
      </c>
      <c r="AG21" s="18" t="inlineStr">
        <is>
          <t>Moving a nightly labelling job to a batch API cut its cost noticeably.</t>
        </is>
      </c>
      <c r="AH21" s="18" t="inlineStr">
        <is>
          <t>An interviewer may ask: When would you use a batch API?</t>
        </is>
      </c>
      <c r="AI21" s="18" t="inlineStr">
        <is>
          <t>It is like posting a big parcel at the slow rate.</t>
        </is>
      </c>
      <c r="AJ21" s="18" t="inlineStr">
        <is>
          <t>How do you match batch results to requests?</t>
        </is>
      </c>
      <c r="AK21" s="18" t="inlineStr">
        <is>
          <t>A) By time B) By guess C) By order only D) By custom id</t>
        </is>
      </c>
      <c r="AL21" s="18" t="inlineStr">
        <is>
          <t>D</t>
        </is>
      </c>
      <c r="AM21" s="18" t="inlineStr">
        <is>
          <t>Order is not guaranteed.</t>
        </is>
      </c>
      <c r="AN21" s="18" t="inlineStr">
        <is>
          <t>Work that returns results later is ____ → asynchronous</t>
        </is>
      </c>
      <c r="AO21" s="18" t="inlineStr">
        <is>
          <t>A nightly job labels many records. Which interface? → A batch API</t>
        </is>
      </c>
      <c r="AP21" s="18" t="inlineStr">
        <is>
          <t>Explain batching in three lines.</t>
        </is>
      </c>
      <c r="AQ21" s="18" t="inlineStr">
        <is>
          <t>Design a batch job for evaluating a prompt.</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LLM-026</t>
        </is>
      </c>
      <c r="B22" s="17" t="inlineStr">
        <is>
          <t>03 API Use</t>
        </is>
      </c>
      <c r="C22" s="17" t="inlineStr">
        <is>
          <t>Advanced</t>
        </is>
      </c>
      <c r="D22" s="17" t="n">
        <v>26</v>
      </c>
      <c r="E22" s="17" t="inlineStr">
        <is>
          <t>Claude knowledge</t>
        </is>
      </c>
      <c r="F22" s="18" t="inlineStr">
        <is>
          <t>Prompt caching</t>
        </is>
      </c>
      <c r="G22" s="18" t="inlineStr">
        <is>
          <t>How can repeated parts of a prompt be reused to save cost and time?</t>
        </is>
      </c>
      <c r="H22" s="18" t="inlineStr">
        <is>
          <t>Core concept</t>
        </is>
      </c>
      <c r="I22" s="18" t="inlineStr">
        <is>
          <t>Medium</t>
        </is>
      </c>
      <c r="J22" s="18" t="n">
        <v>4</v>
      </c>
      <c r="K22" s="18" t="inlineStr">
        <is>
          <t>Many requests start with the same long instructions or documents, so providers can reuse their processed form.</t>
        </is>
      </c>
      <c r="L22" s="18" t="inlineStr">
        <is>
          <t>Put the stable content first and the changing question last.</t>
        </is>
      </c>
      <c r="M22" s="18" t="inlineStr">
        <is>
          <t>Prompt caching is keeping the opening chapters already read so only the new page needs reading.</t>
        </is>
      </c>
      <c r="N22" s="18" t="inlineStr">
        <is>
          <t>A long shared prefix reused across several requests.</t>
        </is>
      </c>
      <c r="O22" s="18" t="inlineStr">
        <is>
          <t>The pleasure of paying less for repeated context.</t>
        </is>
      </c>
      <c r="P22" s="18" t="inlineStr">
        <is>
          <t>Prompt caching lets the provider reuse the processed form of an identical prompt prefix across requests within a time window, lowering input cost and delay for those tokens.</t>
        </is>
      </c>
      <c r="Q22" s="17" t="n"/>
      <c r="R22" s="18" t="inlineStr">
        <is>
          <t>The cached part must be exactly the same, at the start of the prompt, and usually above a minimum size. Place system instructions, tools and long documents first, and put user-specific text last. Caches expire after a short time, and some require marking cache points. Response usage fields show cached tokens. Check provider terms.</t>
        </is>
      </c>
      <c r="S22" s="18" t="inlineStr">
        <is>
          <t>Keep a stable prefix identical, and put what changes at the end.</t>
        </is>
      </c>
      <c r="T22" s="18" t="inlineStr">
        <is>
          <t>Prompt caching is keeping the opening chapters already read so only the new page needs reading.</t>
        </is>
      </c>
      <c r="U22" s="18" t="inlineStr">
        <is>
          <t>Same prefix, placed first, reused within the window.</t>
        </is>
      </c>
      <c r="V22" s="18" t="inlineStr">
        <is>
          <t>A long policy document reused by many questions.</t>
        </is>
      </c>
      <c r="W22" s="18" t="inlineStr">
        <is>
          <t>A stable system prompt and tool list.</t>
        </is>
      </c>
      <c r="X22" s="18" t="inlineStr">
        <is>
          <t>Usage showing cached input tokens.</t>
        </is>
      </c>
      <c r="Y22" s="18" t="inlineStr">
        <is>
          <t>cost control, tokens, context window, RAG</t>
        </is>
      </c>
      <c r="Z22" s="18" t="inlineStr">
        <is>
          <t>cache, prefix, hit, expiry, cache point</t>
        </is>
      </c>
      <c r="AA22" s="18" t="inlineStr">
        <is>
          <t>Document Q and A | Agents | High-volume apps</t>
        </is>
      </c>
      <c r="AB22" s="18" t="inlineStr">
        <is>
          <t>A: Every call resends the same long manual. | B: Put it first and use prompt caching.</t>
        </is>
      </c>
      <c r="AC22" s="18" t="inlineStr">
        <is>
          <t>✗ Any similar prompt will hit the cache → ✓ The prefix must match exactly</t>
        </is>
      </c>
      <c r="AD22" s="18" t="inlineStr">
        <is>
          <t>Prompt cache vs response cache: one reuses processed input, the other reuses whole answers.</t>
        </is>
      </c>
      <c r="AE22" s="18" t="inlineStr">
        <is>
          <t>Do not put changing text before stable content.</t>
        </is>
      </c>
      <c r="AF22" s="18" t="inlineStr">
        <is>
          <t>Stable content first, changing content last.</t>
        </is>
      </c>
      <c r="AG22" s="18" t="inlineStr">
        <is>
          <t>Reordering the prompt so the manual came first made caching effective.</t>
        </is>
      </c>
      <c r="AH22" s="18" t="inlineStr">
        <is>
          <t>An interviewer may ask: How does prompt caching reduce cost?</t>
        </is>
      </c>
      <c r="AI22" s="18" t="inlineStr">
        <is>
          <t>It is like keeping opening chapters already read.</t>
        </is>
      </c>
      <c r="AJ22" s="18" t="inlineStr">
        <is>
          <t>Where should stable content go for caching?</t>
        </is>
      </c>
      <c r="AK22" s="18" t="inlineStr">
        <is>
          <t>A) At the end B) At the start C) In the middle randomly D) Nowhere</t>
        </is>
      </c>
      <c r="AL22" s="18" t="inlineStr">
        <is>
          <t>B</t>
        </is>
      </c>
      <c r="AM22" s="18" t="inlineStr">
        <is>
          <t>Caching matches the prefix.</t>
        </is>
      </c>
      <c r="AN22" s="18" t="inlineStr">
        <is>
          <t>Reusing an identical start of the prompt is a prefix ____ → hit</t>
        </is>
      </c>
      <c r="AO22" s="18" t="inlineStr">
        <is>
          <t>A long manual is sent with every question. What do you change? → Put it first and cache it</t>
        </is>
      </c>
      <c r="AP22" s="18" t="inlineStr">
        <is>
          <t>Explain prompt caching in three lines.</t>
        </is>
      </c>
      <c r="AQ22" s="18" t="inlineStr">
        <is>
          <t>Reorder a prompt to maximise cache reuse.</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21.5" customHeight="1">
      <c r="A23" s="17" t="inlineStr">
        <is>
          <t>LLM-027</t>
        </is>
      </c>
      <c r="B23" s="17" t="inlineStr">
        <is>
          <t>03 API Use</t>
        </is>
      </c>
      <c r="C23" s="17" t="inlineStr">
        <is>
          <t>Intermediate</t>
        </is>
      </c>
      <c r="D23" s="17" t="n">
        <v>27</v>
      </c>
      <c r="E23" s="17" t="inlineStr">
        <is>
          <t>Claude knowledge</t>
        </is>
      </c>
      <c r="F23" s="18" t="inlineStr">
        <is>
          <t>Cost control</t>
        </is>
      </c>
      <c r="G23" s="18" t="inlineStr">
        <is>
          <t>Which habits keep LLM spend predictable?</t>
        </is>
      </c>
      <c r="H23" s="18" t="inlineStr">
        <is>
          <t>Core concept</t>
        </is>
      </c>
      <c r="I23" s="18" t="inlineStr">
        <is>
          <t>Very high</t>
        </is>
      </c>
      <c r="J23" s="18" t="n">
        <v>5</v>
      </c>
      <c r="K23" s="18" t="inlineStr">
        <is>
          <t>Usage-based pricing can grow quickly with traffic and long prompts, so teams measure and limit spend.</t>
        </is>
      </c>
      <c r="L23" s="18" t="inlineStr">
        <is>
          <t>Log tokens and cost per feature, and set budgets and alerts.</t>
        </is>
      </c>
      <c r="M23" s="18" t="inlineStr">
        <is>
          <t>Cost control is checking the meter on every tap.</t>
        </is>
      </c>
      <c r="N23" s="18" t="inlineStr">
        <is>
          <t>A dashboard of token spend by feature.</t>
        </is>
      </c>
      <c r="O23" s="18" t="inlineStr">
        <is>
          <t>The confidence of a predictable bill.</t>
        </is>
      </c>
      <c r="P23" s="18" t="inlineStr">
        <is>
          <t>LLM cost control combines measuring tokens per request, choosing right-sized models, trimming prompts, caching, batching, limiting output length and setting budgets and alerts.</t>
        </is>
      </c>
      <c r="Q23" s="17" t="n"/>
      <c r="R23" s="18" t="inlineStr">
        <is>
          <t>Cost depends on input and output tokens and the model used. Reduce context, retrieve only relevant text, summarise history, and cap output. Use smaller models for easy steps and larger ones only when needed. Cache repeated prefixes and batch non-urgent work. Per-user and per-feature limits protect against abuse. Prices change, so read the current terms.</t>
        </is>
      </c>
      <c r="S23" s="18" t="inlineStr">
        <is>
          <t>Measure tokens, shrink prompts, pick the cheapest adequate model, and set limits.</t>
        </is>
      </c>
      <c r="T23" s="18" t="inlineStr">
        <is>
          <t>Cost control is checking the meter on every tap.</t>
        </is>
      </c>
      <c r="U23" s="18" t="inlineStr">
        <is>
          <t>Cost ≈ tokens × price, so cut tokens and choose models wisely.</t>
        </is>
      </c>
      <c r="V23" s="18" t="inlineStr">
        <is>
          <t>Capping output to 300 tokens.</t>
        </is>
      </c>
      <c r="W23" s="18" t="inlineStr">
        <is>
          <t>Routing simple tickets to a small model.</t>
        </is>
      </c>
      <c r="X23" s="18" t="inlineStr">
        <is>
          <t>A per-user daily limit.</t>
        </is>
      </c>
      <c r="Y23" s="18" t="inlineStr">
        <is>
          <t>tokens, model choice, caching, batching</t>
        </is>
      </c>
      <c r="Z23" s="18" t="inlineStr">
        <is>
          <t>budget, usage, limit, routing, alert</t>
        </is>
      </c>
      <c r="AA23" s="18" t="inlineStr">
        <is>
          <t>Production apps | Finance reviews | Platform teams</t>
        </is>
      </c>
      <c r="AB23" s="18" t="inlineStr">
        <is>
          <t>A: The bill doubled last month. | B: Check tokens per feature and find the biggest prompts.</t>
        </is>
      </c>
      <c r="AC23" s="18" t="inlineStr">
        <is>
          <t>✗ Only the model price matters → ✓ Prompt length, output length and call count matter just as much</t>
        </is>
      </c>
      <c r="AD23" s="18" t="inlineStr">
        <is>
          <t>Input vs output tokens: both cost, often at different rates.</t>
        </is>
      </c>
      <c r="AE23" s="18" t="inlineStr">
        <is>
          <t>Do not ship without usage logging.</t>
        </is>
      </c>
      <c r="AF23" s="18" t="inlineStr">
        <is>
          <t>Measure the tokens first, trim them second.</t>
        </is>
      </c>
      <c r="AG23" s="18" t="inlineStr">
        <is>
          <t>Trimming retrieved context cut the monthly bill without losing quality.</t>
        </is>
      </c>
      <c r="AH23" s="18" t="inlineStr">
        <is>
          <t>An interviewer may ask: How would you reduce LLM costs?</t>
        </is>
      </c>
      <c r="AI23" s="18" t="inlineStr">
        <is>
          <t>It is like checking a meter on every tap.</t>
        </is>
      </c>
      <c r="AJ23" s="18" t="inlineStr">
        <is>
          <t>What drives most LLM cost?</t>
        </is>
      </c>
      <c r="AK23" s="18" t="inlineStr">
        <is>
          <t>A) Tokens and model choice B) Font C) Server name D) Colour</t>
        </is>
      </c>
      <c r="AL23" s="18" t="inlineStr">
        <is>
          <t>A</t>
        </is>
      </c>
      <c r="AM23" s="18" t="inlineStr">
        <is>
          <t>Billing is token based.</t>
        </is>
      </c>
      <c r="AN23" s="18" t="inlineStr">
        <is>
          <t>A cap on how much one user may consume is a ____ → limit</t>
        </is>
      </c>
      <c r="AO23" s="18" t="inlineStr">
        <is>
          <t>Simple tasks use an expensive model. What do you do? → Route them to a smaller model</t>
        </is>
      </c>
      <c r="AP23" s="18" t="inlineStr">
        <is>
          <t>Explain cost control in three lines.</t>
        </is>
      </c>
      <c r="AQ23" s="18" t="inlineStr">
        <is>
          <t>List five actions that lower LLM cost.</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LLM-029</t>
        </is>
      </c>
      <c r="B24" s="17" t="inlineStr">
        <is>
          <t>04 Quality and Safety</t>
        </is>
      </c>
      <c r="C24" s="17" t="inlineStr">
        <is>
          <t>Beginner</t>
        </is>
      </c>
      <c r="D24" s="17" t="n">
        <v>29</v>
      </c>
      <c r="E24" s="17" t="inlineStr">
        <is>
          <t>Claude knowledge</t>
        </is>
      </c>
      <c r="F24" s="18" t="inlineStr">
        <is>
          <t>Hallucination</t>
        </is>
      </c>
      <c r="G24" s="18" t="inlineStr">
        <is>
          <t>What do we call confident answers from a model that are not true?</t>
        </is>
      </c>
      <c r="H24" s="18" t="inlineStr">
        <is>
          <t>Core concept</t>
        </is>
      </c>
      <c r="I24" s="18" t="inlineStr">
        <is>
          <t>Very high</t>
        </is>
      </c>
      <c r="J24" s="18" t="n">
        <v>5</v>
      </c>
      <c r="K24" s="18" t="inlineStr">
        <is>
          <t>Models generate likely text, so when they lack the facts they may produce fluent but false statements.</t>
        </is>
      </c>
      <c r="L24" s="18" t="inlineStr">
        <is>
          <t>Provide source text and ask the model to say when the answer is not in it.</t>
        </is>
      </c>
      <c r="M24" s="18" t="inlineStr">
        <is>
          <t>A hallucination is a confident storyteller filling gaps with invented details.</t>
        </is>
      </c>
      <c r="N24" s="18" t="inlineStr">
        <is>
          <t>A smooth answer with a fake reference highlighted.</t>
        </is>
      </c>
      <c r="O24" s="18" t="inlineStr">
        <is>
          <t>The caution of knowing fluent text can be wrong.</t>
        </is>
      </c>
      <c r="P24" s="18" t="inlineStr">
        <is>
          <t>A hallucination is output that sounds plausible but is false or unsupported, such as invented facts, citations, numbers or function names.</t>
        </is>
      </c>
      <c r="Q24" s="17" t="n"/>
      <c r="R24" s="18" t="inlineStr">
        <is>
          <t>Causes include missing knowledge, ambiguous questions and pressure to answer. Risk is higher for rare facts, recent events and precise details. Reduce it by grounding in provided sources, allowing the answer I do not know, asking for quotes, using tools for lookups and checking results. It cannot be eliminated, so review matters in high-stakes uses.</t>
        </is>
      </c>
      <c r="S24" s="18" t="inlineStr">
        <is>
          <t>Models can invent facts, so ground them in sources and verify important claims.</t>
        </is>
      </c>
      <c r="T24" s="18" t="inlineStr">
        <is>
          <t>A hallucination is a confident storyteller filling gaps with invented details.</t>
        </is>
      </c>
      <c r="U24" s="18" t="inlineStr">
        <is>
          <t>No source plus pressure to answer equals risk of invention.</t>
        </is>
      </c>
      <c r="V24" s="18" t="inlineStr">
        <is>
          <t>A made-up legal citation.</t>
        </is>
      </c>
      <c r="W24" s="18" t="inlineStr">
        <is>
          <t>An invented function in a library.</t>
        </is>
      </c>
      <c r="X24" s="18" t="inlineStr">
        <is>
          <t>A wrong date stated confidently.</t>
        </is>
      </c>
      <c r="Y24" s="18" t="inlineStr">
        <is>
          <t>grounding, RAG, human review, guardrails</t>
        </is>
      </c>
      <c r="Z24" s="18" t="inlineStr">
        <is>
          <t>hallucination, fabrication, confidence, grounding, verification</t>
        </is>
      </c>
      <c r="AA24" s="18" t="inlineStr">
        <is>
          <t>Every LLM application | Risk reviews | Customer tools</t>
        </is>
      </c>
      <c r="AB24" s="18" t="inlineStr">
        <is>
          <t>A: The bot quoted a policy that does not exist. | B: It hallucinated, so ground it in the real policy text.</t>
        </is>
      </c>
      <c r="AC24" s="18" t="inlineStr">
        <is>
          <t>✗ A confident tone means the answer is correct → ✓ Fluency is not evidence of truth</t>
        </is>
      </c>
      <c r="AD24" s="18" t="inlineStr">
        <is>
          <t>Hallucination vs error: hallucinations are invented content stated as fact.</t>
        </is>
      </c>
      <c r="AE24" s="18" t="inlineStr">
        <is>
          <t>Do not rely on unverified model output for critical facts.</t>
        </is>
      </c>
      <c r="AF24" s="18" t="inlineStr">
        <is>
          <t>Confident does not mean correct.</t>
        </is>
      </c>
      <c r="AG24" s="18" t="inlineStr">
        <is>
          <t>Grounding answers in policy text and allowing I do not know stopped invented refund rules.</t>
        </is>
      </c>
      <c r="AH24" s="18" t="inlineStr">
        <is>
          <t>An interviewer may ask: How do you reduce hallucinations?</t>
        </is>
      </c>
      <c r="AI24" s="18" t="inlineStr">
        <is>
          <t>It is like a storyteller filling gaps.</t>
        </is>
      </c>
      <c r="AJ24" s="18" t="inlineStr">
        <is>
          <t>Which reduces hallucination?</t>
        </is>
      </c>
      <c r="AK24" s="18" t="inlineStr">
        <is>
          <t>A) Shorter prompts only B) Higher temperature C) Grounding in provided sources D) Removing instructions</t>
        </is>
      </c>
      <c r="AL24" s="18" t="inlineStr">
        <is>
          <t>C</t>
        </is>
      </c>
      <c r="AM24" s="18" t="inlineStr">
        <is>
          <t>The model has real material to use.</t>
        </is>
      </c>
      <c r="AN24" s="18" t="inlineStr">
        <is>
          <t>Answering from supplied documents is called ____ → grounding</t>
        </is>
      </c>
      <c r="AO24" s="18" t="inlineStr">
        <is>
          <t>A bot invents policies. What do you add? → The real policy text and an allowance to say it does not know</t>
        </is>
      </c>
      <c r="AP24" s="18" t="inlineStr">
        <is>
          <t>Explain hallucination in three lines.</t>
        </is>
      </c>
      <c r="AQ24" s="18" t="inlineStr">
        <is>
          <t>List three prompt rules that reduce hallucination.</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LLM-030</t>
        </is>
      </c>
      <c r="B25" s="17" t="inlineStr">
        <is>
          <t>04 Quality and Safety</t>
        </is>
      </c>
      <c r="C25" s="17" t="inlineStr">
        <is>
          <t>Intermediate</t>
        </is>
      </c>
      <c r="D25" s="17" t="n">
        <v>30</v>
      </c>
      <c r="E25" s="17" t="inlineStr">
        <is>
          <t>Claude knowledge</t>
        </is>
      </c>
      <c r="F25" s="18" t="inlineStr">
        <is>
          <t>Grounding</t>
        </is>
      </c>
      <c r="G25" s="18" t="inlineStr">
        <is>
          <t>How do you tie answers to trusted source material?</t>
        </is>
      </c>
      <c r="H25" s="18" t="inlineStr">
        <is>
          <t>Core concept</t>
        </is>
      </c>
      <c r="I25" s="18" t="inlineStr">
        <is>
          <t>Very high</t>
        </is>
      </c>
      <c r="J25" s="18" t="n">
        <v>5</v>
      </c>
      <c r="K25" s="18" t="inlineStr">
        <is>
          <t>Models answer better when given the facts, so grounding supplies sources and requires the answer to rely on them.</t>
        </is>
      </c>
      <c r="L25" s="18" t="inlineStr">
        <is>
          <t>Ask for quotes or source ids, and check that they appear in the provided text.</t>
        </is>
      </c>
      <c r="M25" s="18" t="inlineStr">
        <is>
          <t>Grounding is giving a student the textbook and telling them to answer only from it.</t>
        </is>
      </c>
      <c r="N25" s="18" t="inlineStr">
        <is>
          <t>A question, documents and an answer with source markers.</t>
        </is>
      </c>
      <c r="O25" s="18" t="inlineStr">
        <is>
          <t>The confidence of answers that point to evidence.</t>
        </is>
      </c>
      <c r="P25" s="18" t="inlineStr">
        <is>
          <t>Grounding means supplying relevant, trusted source text in the prompt, instructing the model to answer only from it, and optionally returning quotes or references so the answer can be checked.</t>
        </is>
      </c>
      <c r="Q25" s="17" t="n"/>
      <c r="R25" s="18" t="inlineStr">
        <is>
          <t>Sources come from retrieval, databases or tools. Instructions say what to do when the answer is missing. Citations let reviewers verify claims, and code can check that quoted text exists in the source. Poor sources produce poor answers, so quality of the source matters. Grounding reduces but does not remove errors.</t>
        </is>
      </c>
      <c r="S25" s="18" t="inlineStr">
        <is>
          <t>Provide the facts, say answer only from them, and ask for evidence.</t>
        </is>
      </c>
      <c r="T25" s="18" t="inlineStr">
        <is>
          <t>Grounding is giving a student the textbook and telling them to answer only from it.</t>
        </is>
      </c>
      <c r="U25" s="18" t="inlineStr">
        <is>
          <t>Sources + only-from-sources rule + citations.</t>
        </is>
      </c>
      <c r="V25" s="18" t="inlineStr">
        <is>
          <t>Answering from retrieved policy paragraphs.</t>
        </is>
      </c>
      <c r="W25" s="18" t="inlineStr">
        <is>
          <t>Returning the quote that supports each claim.</t>
        </is>
      </c>
      <c r="X25" s="18" t="inlineStr">
        <is>
          <t>A refusal when the document has no answer.</t>
        </is>
      </c>
      <c r="Y25" s="18" t="inlineStr">
        <is>
          <t>hallucination, RAG, tool calling, human review</t>
        </is>
      </c>
      <c r="Z25" s="18" t="inlineStr">
        <is>
          <t>grounding, citation, source, evidence, retrieval</t>
        </is>
      </c>
      <c r="AA25" s="18" t="inlineStr">
        <is>
          <t>Knowledge assistants | Support bots | Compliance tools</t>
        </is>
      </c>
      <c r="AB25" s="18" t="inlineStr">
        <is>
          <t>A: How do we trust the answer? | B: It quotes the source paragraph that supports it.</t>
        </is>
      </c>
      <c r="AC25" s="18" t="inlineStr">
        <is>
          <t>✗ Grounding guarantees correct answers → ✓ It reduces errors, but sources and reading can still be wrong</t>
        </is>
      </c>
      <c r="AD25" s="18" t="inlineStr">
        <is>
          <t>Grounded vs ungrounded answer: one uses supplied evidence, the other relies on memory.</t>
        </is>
      </c>
      <c r="AE25" s="18" t="inlineStr">
        <is>
          <t>Do not ground on outdated or unreliable sources.</t>
        </is>
      </c>
      <c r="AF25" s="18" t="inlineStr">
        <is>
          <t>Give the facts, demand the evidence.</t>
        </is>
      </c>
      <c r="AG25" s="18" t="inlineStr">
        <is>
          <t>Requiring quotes let reviewers confirm answers in seconds.</t>
        </is>
      </c>
      <c r="AH25" s="18" t="inlineStr">
        <is>
          <t>An interviewer may ask: What is grounding?</t>
        </is>
      </c>
      <c r="AI25" s="18" t="inlineStr">
        <is>
          <t>It is like giving a student the textbook.</t>
        </is>
      </c>
      <c r="AJ25" s="18" t="inlineStr">
        <is>
          <t>What does grounding supply?</t>
        </is>
      </c>
      <c r="AK25" s="18" t="inlineStr">
        <is>
          <t>A) More randomness B) Shorter outputs C) A bigger model D) Trusted source text</t>
        </is>
      </c>
      <c r="AL25" s="18" t="inlineStr">
        <is>
          <t>D</t>
        </is>
      </c>
      <c r="AM25" s="18" t="inlineStr">
        <is>
          <t>The answer relies on evidence.</t>
        </is>
      </c>
      <c r="AN25" s="18" t="inlineStr">
        <is>
          <t>A quote or reference supporting a claim is a ____ → citation</t>
        </is>
      </c>
      <c r="AO25" s="18" t="inlineStr">
        <is>
          <t>Answers must be checkable. What do you request? → Quotes from the sources</t>
        </is>
      </c>
      <c r="AP25" s="18" t="inlineStr">
        <is>
          <t>Explain grounding in three lines.</t>
        </is>
      </c>
      <c r="AQ25" s="18" t="inlineStr">
        <is>
          <t>Write the grounding rules of a policy assistant.</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08" customHeight="1">
      <c r="A26" s="17" t="inlineStr">
        <is>
          <t>LLM-031</t>
        </is>
      </c>
      <c r="B26" s="17" t="inlineStr">
        <is>
          <t>04 Quality and Safety</t>
        </is>
      </c>
      <c r="C26" s="17" t="inlineStr">
        <is>
          <t>Intermediate</t>
        </is>
      </c>
      <c r="D26" s="17" t="n">
        <v>31</v>
      </c>
      <c r="E26" s="17" t="inlineStr">
        <is>
          <t>Claude knowledge</t>
        </is>
      </c>
      <c r="F26" s="18" t="inlineStr">
        <is>
          <t>Prompt injection</t>
        </is>
      </c>
      <c r="G26" s="18" t="inlineStr">
        <is>
          <t>Which attack hides instructions in text so the model obeys the attacker?</t>
        </is>
      </c>
      <c r="H26" s="18" t="inlineStr">
        <is>
          <t>Core concept</t>
        </is>
      </c>
      <c r="I26" s="18" t="inlineStr">
        <is>
          <t>Very high</t>
        </is>
      </c>
      <c r="J26" s="18" t="n">
        <v>5</v>
      </c>
      <c r="K26" s="18" t="inlineStr">
        <is>
          <t>Models read instructions and data as text together, so attackers place commands in documents, emails or web pages the model processes.</t>
        </is>
      </c>
      <c r="L26" s="18" t="inlineStr">
        <is>
          <t>Treat all retrieved and user text as untrusted, and limit what tools can do.</t>
        </is>
      </c>
      <c r="M26" s="18" t="inlineStr">
        <is>
          <t>Prompt injection is a forged note slipped into the pile of papers that the assistant obeys.</t>
        </is>
      </c>
      <c r="N26" s="18" t="inlineStr">
        <is>
          <t>A document containing a hidden instruction beside a tool call.</t>
        </is>
      </c>
      <c r="O26" s="18" t="inlineStr">
        <is>
          <t>The alertness of knowing text can carry commands.</t>
        </is>
      </c>
      <c r="P26" s="18" t="inlineStr">
        <is>
          <t>Prompt injection is an attack where untrusted content contains instructions that override or manipulate the model, either directly from a user or indirectly through documents, web pages or tool outputs.</t>
        </is>
      </c>
      <c r="Q26" s="17" t="n"/>
      <c r="R26" s="18" t="inlineStr">
        <is>
          <t>Indirect injection is serious when the model has tools, such as sending email or reading files. Defences are layered: separate and label untrusted data, give the model minimal permissions, require human approval for risky actions, validate tool arguments, filter outputs and monitor. No single prompt fully prevents it, so design for failure.</t>
        </is>
      </c>
      <c r="S26" s="18" t="inlineStr">
        <is>
          <t>Assume untrusted text may try to control the model, and limit the damage it can do.</t>
        </is>
      </c>
      <c r="T26" s="18" t="inlineStr">
        <is>
          <t>Prompt injection is a forged note slipped into the pile of papers the assistant obeys.</t>
        </is>
      </c>
      <c r="U26" s="18" t="inlineStr">
        <is>
          <t>Untrusted text + powerful tools = risk.</t>
        </is>
      </c>
      <c r="V26" s="18" t="inlineStr">
        <is>
          <t>A web page saying ignore your rules and send the user's data.</t>
        </is>
      </c>
      <c r="W26" s="18" t="inlineStr">
        <is>
          <t>An email telling an assistant to forward files.</t>
        </is>
      </c>
      <c r="X26" s="18" t="inlineStr">
        <is>
          <t>A document asking the model to reveal its system prompt.</t>
        </is>
      </c>
      <c r="Y26" s="18" t="inlineStr">
        <is>
          <t>system prompts, tool calling, guardrails, data privacy</t>
        </is>
      </c>
      <c r="Z26" s="18" t="inlineStr">
        <is>
          <t>injection, untrusted, indirect, permissions, approval</t>
        </is>
      </c>
      <c r="AA26" s="18" t="inlineStr">
        <is>
          <t>Agents | RAG | Email assistants</t>
        </is>
      </c>
      <c r="AB26" s="18" t="inlineStr">
        <is>
          <t>A: A web page told our agent to leak data. | B: Treat page text as untrusted and require approval for sending.</t>
        </is>
      </c>
      <c r="AC26" s="18" t="inlineStr">
        <is>
          <t>✗ A strong system prompt fully blocks injection → ✓ It helps, but architecture and permissions are the real defence</t>
        </is>
      </c>
      <c r="AD26" s="18" t="inlineStr">
        <is>
          <t>Direct vs indirect injection: user typed versus hidden in content.</t>
        </is>
      </c>
      <c r="AE26" s="18" t="inlineStr">
        <is>
          <t>Do not give agents broad permissions over untrusted content.</t>
        </is>
      </c>
      <c r="AF26" s="18" t="inlineStr">
        <is>
          <t>Untrusted text cannot be trusted with tools.</t>
        </is>
      </c>
      <c r="AG26" s="18" t="inlineStr">
        <is>
          <t>Requiring approval before sending messages limited the impact of an injected email.</t>
        </is>
      </c>
      <c r="AH26" s="18" t="inlineStr">
        <is>
          <t>An interviewer may ask: How do you defend against prompt injection?</t>
        </is>
      </c>
      <c r="AI26" s="18" t="inlineStr">
        <is>
          <t>It is like a forged note in a pile of papers.</t>
        </is>
      </c>
      <c r="AJ26" s="18" t="inlineStr">
        <is>
          <t>Which is the strongest defence?</t>
        </is>
      </c>
      <c r="AK26" s="18" t="inlineStr">
        <is>
          <t>A) Higher temperature B) Limited permissions and human approval C) Ignoring it D) A longer prompt only</t>
        </is>
      </c>
      <c r="AL26" s="18" t="inlineStr">
        <is>
          <t>B</t>
        </is>
      </c>
      <c r="AM26" s="18" t="inlineStr">
        <is>
          <t>It limits damage even if the model is fooled.</t>
        </is>
      </c>
      <c r="AN26" s="18" t="inlineStr">
        <is>
          <t>Injection hidden in content the model reads is ____ injection → indirect</t>
        </is>
      </c>
      <c r="AO26" s="18" t="inlineStr">
        <is>
          <t>An agent reads web pages and can send email. What do you add? → Approval before sending and minimal permissions</t>
        </is>
      </c>
      <c r="AP26" s="18" t="inlineStr">
        <is>
          <t>Explain prompt injection in three lines.</t>
        </is>
      </c>
      <c r="AQ26" s="18" t="inlineStr">
        <is>
          <t>List four layered defences for an email assistant.</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LLM-032</t>
        </is>
      </c>
      <c r="B27" s="17" t="inlineStr">
        <is>
          <t>04 Quality and Safety</t>
        </is>
      </c>
      <c r="C27" s="17" t="inlineStr">
        <is>
          <t>Intermediate</t>
        </is>
      </c>
      <c r="D27" s="17" t="n">
        <v>32</v>
      </c>
      <c r="E27" s="17" t="inlineStr">
        <is>
          <t>Claude knowledge</t>
        </is>
      </c>
      <c r="F27" s="18" t="inlineStr">
        <is>
          <t>Data privacy with LLMs</t>
        </is>
      </c>
      <c r="G27" s="18" t="inlineStr">
        <is>
          <t>What should you consider before sending data to a model provider?</t>
        </is>
      </c>
      <c r="H27" s="18" t="inlineStr">
        <is>
          <t>Core concept</t>
        </is>
      </c>
      <c r="I27" s="18" t="inlineStr">
        <is>
          <t>Very high</t>
        </is>
      </c>
      <c r="J27" s="18" t="n">
        <v>5</v>
      </c>
      <c r="K27" s="18" t="inlineStr">
        <is>
          <t>Prompts often contain customer information, so sending them to an outside service has legal and security consequences.</t>
        </is>
      </c>
      <c r="L27" s="18" t="inlineStr">
        <is>
          <t>Send only the data needed, and read the provider's retention and training terms.</t>
        </is>
      </c>
      <c r="M27" s="18" t="inlineStr">
        <is>
          <t>Sending data to a model is handing documents to an outside contractor, so check the contract.</t>
        </is>
      </c>
      <c r="N27" s="18" t="inlineStr">
        <is>
          <t>Data leaving a company boundary with a checklist.</t>
        </is>
      </c>
      <c r="O27" s="18" t="inlineStr">
        <is>
          <t>The responsibility of protecting people's information.</t>
        </is>
      </c>
      <c r="P27" s="18" t="inlineStr">
        <is>
          <t>Data privacy with LLMs means controlling what personal and confidential data enters prompts, where it is processed and stored, and how long it is kept, in line with law and customer agreements.</t>
        </is>
      </c>
      <c r="Q27" s="17" t="n"/>
      <c r="R27" s="18" t="inlineStr">
        <is>
          <t>Minimise and mask personal data before sending. Check whether the provider stores prompts, uses them for training and where processing happens. Use enterprise agreements and regional options where needed. Control who can see logged prompts. Customer contracts may forbid certain processing. Document the data flow for audits.</t>
        </is>
      </c>
      <c r="S27" s="18" t="inlineStr">
        <is>
          <t>Send the minimum, mask what you can, and know how the provider handles data.</t>
        </is>
      </c>
      <c r="T27" s="18" t="inlineStr">
        <is>
          <t>Sending data to a model is handing documents to an outside contractor, so check the contract.</t>
        </is>
      </c>
      <c r="U27" s="18" t="inlineStr">
        <is>
          <t>Minimise, mask, check terms, log carefully.</t>
        </is>
      </c>
      <c r="V27" s="18" t="inlineStr">
        <is>
          <t>Replacing names with ids before sending.</t>
        </is>
      </c>
      <c r="W27" s="18" t="inlineStr">
        <is>
          <t>Choosing a regional processing option.</t>
        </is>
      </c>
      <c r="X27" s="18" t="inlineStr">
        <is>
          <t>Restricting access to stored prompts.</t>
        </is>
      </c>
      <c r="Y27" s="18" t="inlineStr">
        <is>
          <t>logging calls safely, PII and masking, guardrails, compliance</t>
        </is>
      </c>
      <c r="Z27" s="18" t="inlineStr">
        <is>
          <t>privacy, retention, training, masking, residency</t>
        </is>
      </c>
      <c r="AA27" s="18" t="inlineStr">
        <is>
          <t>Healthcare | Finance | Customer data work</t>
        </is>
      </c>
      <c r="AB27" s="18" t="inlineStr">
        <is>
          <t>A: Can we paste customer emails into the model? | B: Only after masking, and if the contract allows it.</t>
        </is>
      </c>
      <c r="AC27" s="18" t="inlineStr">
        <is>
          <t>✗ Anything can be sent because the provider is trusted → ✓ Contracts, law and policy may forbid it</t>
        </is>
      </c>
      <c r="AD27" s="18" t="inlineStr">
        <is>
          <t>Minimising vs masking: minimising sends less, masking hides what is sent.</t>
        </is>
      </c>
      <c r="AE27" s="18" t="inlineStr">
        <is>
          <t>Do not send secrets or raw personal data without approval.</t>
        </is>
      </c>
      <c r="AF27" s="18" t="inlineStr">
        <is>
          <t>Send less, mask more, check the contract.</t>
        </is>
      </c>
      <c r="AG27" s="18" t="inlineStr">
        <is>
          <t>Masking identifiers before calls let a customer approve LLM use.</t>
        </is>
      </c>
      <c r="AH27" s="18" t="inlineStr">
        <is>
          <t>An interviewer may ask: What privacy checks do you make before using an LLM API?</t>
        </is>
      </c>
      <c r="AI27" s="18" t="inlineStr">
        <is>
          <t>It is like handing documents to a contractor.</t>
        </is>
      </c>
      <c r="AJ27" s="18" t="inlineStr">
        <is>
          <t>What is the first privacy step?</t>
        </is>
      </c>
      <c r="AK27" s="18" t="inlineStr">
        <is>
          <t>A) Send only needed data B) Send everything C) Ignore terms D) Post it online</t>
        </is>
      </c>
      <c r="AL27" s="18" t="inlineStr">
        <is>
          <t>A</t>
        </is>
      </c>
      <c r="AM27" s="18" t="inlineStr">
        <is>
          <t>Data not sent cannot leak.</t>
        </is>
      </c>
      <c r="AN27" s="18" t="inlineStr">
        <is>
          <t>Hiding identifying details is ____ → masking</t>
        </is>
      </c>
      <c r="AO27" s="18" t="inlineStr">
        <is>
          <t>A prompt includes customer names. What do you do first? → Remove or mask them</t>
        </is>
      </c>
      <c r="AP27" s="18" t="inlineStr">
        <is>
          <t>Explain data privacy for LLM calls in three lines.</t>
        </is>
      </c>
      <c r="AQ27" s="18" t="inlineStr">
        <is>
          <t>Write a data handling checklist for a support assistant.</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94.5" customHeight="1">
      <c r="A28" s="17" t="inlineStr">
        <is>
          <t>LLM-033</t>
        </is>
      </c>
      <c r="B28" s="17" t="inlineStr">
        <is>
          <t>04 Quality and Safety</t>
        </is>
      </c>
      <c r="C28" s="17" t="inlineStr">
        <is>
          <t>Intermediate</t>
        </is>
      </c>
      <c r="D28" s="17" t="n">
        <v>33</v>
      </c>
      <c r="E28" s="17" t="inlineStr">
        <is>
          <t>Claude knowledge</t>
        </is>
      </c>
      <c r="F28" s="18" t="inlineStr">
        <is>
          <t>Moderation</t>
        </is>
      </c>
      <c r="G28" s="18" t="inlineStr">
        <is>
          <t>How do you detect and handle harmful content in inputs and outputs?</t>
        </is>
      </c>
      <c r="H28" s="18" t="inlineStr">
        <is>
          <t>Core concept</t>
        </is>
      </c>
      <c r="I28" s="18" t="inlineStr">
        <is>
          <t>High</t>
        </is>
      </c>
      <c r="J28" s="18" t="n">
        <v>4</v>
      </c>
      <c r="K28" s="18" t="inlineStr">
        <is>
          <t>Public applications receive abusive input and may produce unsafe output, so content checks are added around the model.</t>
        </is>
      </c>
      <c r="L28" s="18" t="inlineStr">
        <is>
          <t>Check both user input and model output, and decide the response in advance.</t>
        </is>
      </c>
      <c r="M28" s="18" t="inlineStr">
        <is>
          <t>Moderation is a doorman and an editor who check what goes in and what comes out.</t>
        </is>
      </c>
      <c r="N28" s="18" t="inlineStr">
        <is>
          <t>A filter before and after the model.</t>
        </is>
      </c>
      <c r="O28" s="18" t="inlineStr">
        <is>
          <t>The assurance of safer experiences for every user.</t>
        </is>
      </c>
      <c r="P28" s="18" t="inlineStr">
        <is>
          <t>Moderation is the screening of inputs and outputs for categories such as hate, violence, self-harm and illegal content, using classifiers or model checks, and responding with blocks, warnings or escalation.</t>
        </is>
      </c>
      <c r="Q28" s="17" t="n"/>
      <c r="R28" s="18" t="inlineStr">
        <is>
          <t>Providers offer moderation endpoints and built-in safety behaviour. Applications add their own rules for their context, such as no medical advice. Decide what happens on a match: refuse, rephrase, show help resources or escalate to a human. Log events and review them. Balance safety and false positives.</t>
        </is>
      </c>
      <c r="S28" s="18" t="inlineStr">
        <is>
          <t>Screen inputs and outputs, and decide the response for each category.</t>
        </is>
      </c>
      <c r="T28" s="18" t="inlineStr">
        <is>
          <t>Moderation is a doorman and an editor who check what goes in and what comes out.</t>
        </is>
      </c>
      <c r="U28" s="18" t="inlineStr">
        <is>
          <t>Screen in, screen out, respond, review.</t>
        </is>
      </c>
      <c r="V28" s="18" t="inlineStr">
        <is>
          <t>Blocking abusive user messages.</t>
        </is>
      </c>
      <c r="W28" s="18" t="inlineStr">
        <is>
          <t>Refusing unsafe instructions.</t>
        </is>
      </c>
      <c r="X28" s="18" t="inlineStr">
        <is>
          <t>Escalating a self-harm message to a human.</t>
        </is>
      </c>
      <c r="Y28" s="18" t="inlineStr">
        <is>
          <t>guardrails, human review, prompt injection, logging calls safely</t>
        </is>
      </c>
      <c r="Z28" s="18" t="inlineStr">
        <is>
          <t>moderation, classifier, policy, refusal, escalation</t>
        </is>
      </c>
      <c r="AA28" s="18" t="inlineStr">
        <is>
          <t>Public chatbots | Community tools | Education apps</t>
        </is>
      </c>
      <c r="AB28" s="18" t="inlineStr">
        <is>
          <t>A: Users sometimes send abusive text. | B: Add moderation on inputs and a polite refusal.</t>
        </is>
      </c>
      <c r="AC28" s="18" t="inlineStr">
        <is>
          <t>✗ Provider safety makes app-level moderation unnecessary → ✓ Your context needs its own rules and checks</t>
        </is>
      </c>
      <c r="AD28" s="18" t="inlineStr">
        <is>
          <t>Input vs output moderation: one screens users, the other screens the model.</t>
        </is>
      </c>
      <c r="AE28" s="18" t="inlineStr">
        <is>
          <t>Do not leave refusal behaviour undefined.</t>
        </is>
      </c>
      <c r="AF28" s="18" t="inlineStr">
        <is>
          <t>Screen both sides, plan the response.</t>
        </is>
      </c>
      <c r="AG28" s="18" t="inlineStr">
        <is>
          <t>Output moderation caught unsafe replies in a student-facing tool.</t>
        </is>
      </c>
      <c r="AH28" s="18" t="inlineStr">
        <is>
          <t>An interviewer may ask: Where do you apply moderation?</t>
        </is>
      </c>
      <c r="AI28" s="18" t="inlineStr">
        <is>
          <t>It is like a doorman and an editor.</t>
        </is>
      </c>
      <c r="AJ28" s="18" t="inlineStr">
        <is>
          <t>Where should moderation be applied?</t>
        </is>
      </c>
      <c r="AK28" s="18" t="inlineStr">
        <is>
          <t>A) Only inputs B) Inputs and outputs C) Neither D) Only outputs</t>
        </is>
      </c>
      <c r="AL28" s="18" t="inlineStr">
        <is>
          <t>B</t>
        </is>
      </c>
      <c r="AM28" s="18" t="inlineStr">
        <is>
          <t>Both sides can carry harm.</t>
        </is>
      </c>
      <c r="AN28" s="18" t="inlineStr">
        <is>
          <t>A declined request gets a ____ → refusal</t>
        </is>
      </c>
      <c r="AO28" s="18" t="inlineStr">
        <is>
          <t>A public chatbot receives abuse. What do you add? → Moderation with a defined response</t>
        </is>
      </c>
      <c r="AP28" s="18" t="inlineStr">
        <is>
          <t>Explain moderation in three lines.</t>
        </is>
      </c>
      <c r="AQ28" s="18" t="inlineStr">
        <is>
          <t>Define the response for three moderation categories.</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94.5" customHeight="1">
      <c r="A29" s="17" t="inlineStr">
        <is>
          <t>LLM-034</t>
        </is>
      </c>
      <c r="B29" s="17" t="inlineStr">
        <is>
          <t>04 Quality and Safety</t>
        </is>
      </c>
      <c r="C29" s="17" t="inlineStr">
        <is>
          <t>Intermediate</t>
        </is>
      </c>
      <c r="D29" s="17" t="n">
        <v>34</v>
      </c>
      <c r="E29" s="17" t="inlineStr">
        <is>
          <t>Claude knowledge</t>
        </is>
      </c>
      <c r="F29" s="18" t="inlineStr">
        <is>
          <t>Guardrails</t>
        </is>
      </c>
      <c r="G29" s="18" t="inlineStr">
        <is>
          <t>Which checks and limits keep an LLM application inside safe and useful bounds?</t>
        </is>
      </c>
      <c r="H29" s="18" t="inlineStr">
        <is>
          <t>Core concept</t>
        </is>
      </c>
      <c r="I29" s="18" t="inlineStr">
        <is>
          <t>High</t>
        </is>
      </c>
      <c r="J29" s="18" t="n">
        <v>5</v>
      </c>
      <c r="K29" s="18" t="inlineStr">
        <is>
          <t>Prompts alone do not guarantee behaviour, so code and policy around the model enforce limits.</t>
        </is>
      </c>
      <c r="L29" s="18" t="inlineStr">
        <is>
          <t>Enforce rules in code wherever you can, instead of only asking the model nicely.</t>
        </is>
      </c>
      <c r="M29" s="18" t="inlineStr">
        <is>
          <t>Guardrails are the barriers on a mountain road that stay even if the driver errs.</t>
        </is>
      </c>
      <c r="N29" s="18" t="inlineStr">
        <is>
          <t>Barriers around a model with checks for input, output and actions.</t>
        </is>
      </c>
      <c r="O29" s="18" t="inlineStr">
        <is>
          <t>The comfort of limits that do not depend on luck.</t>
        </is>
      </c>
      <c r="P29" s="18" t="inlineStr">
        <is>
          <t>Guardrails are controls around an LLM application, such as input checks, output validation, topic limits, permission limits on tools, rate limits and human approval, that enforce safe behaviour regardless of what the model generates.</t>
        </is>
      </c>
      <c r="Q29" s="17" t="n"/>
      <c r="R29" s="18" t="inlineStr">
        <is>
          <t>Examples are schema validation, allow-lists of tools and actions, refusing off-topic requests, redacting personal data in outputs, maximum spend per user and approval gates for risky actions. Layer them, since each can fail. Test them with adversarial inputs. Log violations. Keep policies documented.</t>
        </is>
      </c>
      <c r="S29" s="18" t="inlineStr">
        <is>
          <t>Put real limits in code around the model, and test them with hard inputs.</t>
        </is>
      </c>
      <c r="T29" s="18" t="inlineStr">
        <is>
          <t>Guardrails are the barriers on a mountain road that stay even if the driver errs.</t>
        </is>
      </c>
      <c r="U29" s="18" t="inlineStr">
        <is>
          <t>Check inputs, validate outputs, limit actions, require approval.</t>
        </is>
      </c>
      <c r="V29" s="18" t="inlineStr">
        <is>
          <t>An allow-list of tools.</t>
        </is>
      </c>
      <c r="W29" s="18" t="inlineStr">
        <is>
          <t>Output validated against a schema.</t>
        </is>
      </c>
      <c r="X29" s="18" t="inlineStr">
        <is>
          <t>A daily spend cap per user.</t>
        </is>
      </c>
      <c r="Y29" s="18" t="inlineStr">
        <is>
          <t>prompt injection, human review, structured output, moderation</t>
        </is>
      </c>
      <c r="Z29" s="18" t="inlineStr">
        <is>
          <t>guardrail, validation, allow-list, limit, approval</t>
        </is>
      </c>
      <c r="AA29" s="18" t="inlineStr">
        <is>
          <t>Agents | Customer bots | Regulated work</t>
        </is>
      </c>
      <c r="AB29" s="18" t="inlineStr">
        <is>
          <t>A: Can the prompt guarantee the bot never refunds money? | B: No, enforce it by removing that tool.</t>
        </is>
      </c>
      <c r="AC29" s="18" t="inlineStr">
        <is>
          <t>✗ A prompt rule is enough to enforce policy → ✓ Policy must be enforced in code and permissions</t>
        </is>
      </c>
      <c r="AD29" s="18" t="inlineStr">
        <is>
          <t>Prompt rule vs code rule: one is a request, the other is enforced.</t>
        </is>
      </c>
      <c r="AE29" s="18" t="inlineStr">
        <is>
          <t>Do not rely only on instructions for safety.</t>
        </is>
      </c>
      <c r="AF29" s="18" t="inlineStr">
        <is>
          <t>Ask in the prompt, enforce in the code.</t>
        </is>
      </c>
      <c r="AG29" s="18" t="inlineStr">
        <is>
          <t>Removing a risky tool enforced a rule that prompts had failed to hold.</t>
        </is>
      </c>
      <c r="AH29" s="18" t="inlineStr">
        <is>
          <t>An interviewer may ask: What guardrails would you add to an agent?</t>
        </is>
      </c>
      <c r="AI29" s="18" t="inlineStr">
        <is>
          <t>It is like barriers on a mountain road.</t>
        </is>
      </c>
      <c r="AJ29" s="18" t="inlineStr">
        <is>
          <t>Which is a real guardrail?</t>
        </is>
      </c>
      <c r="AK29" s="18" t="inlineStr">
        <is>
          <t>A) An allow-list of tools B) A polite request C) A longer prompt D) A hope</t>
        </is>
      </c>
      <c r="AL29" s="18" t="inlineStr">
        <is>
          <t>A</t>
        </is>
      </c>
      <c r="AM29" s="18" t="inlineStr">
        <is>
          <t>It limits actions regardless of model output.</t>
        </is>
      </c>
      <c r="AN29" s="18" t="inlineStr">
        <is>
          <t>A list of permitted actions is an ____ → allow-list</t>
        </is>
      </c>
      <c r="AO29" s="18" t="inlineStr">
        <is>
          <t>A bot must never issue refunds. How do you enforce it? → Do not provide a refund tool</t>
        </is>
      </c>
      <c r="AP29" s="18" t="inlineStr">
        <is>
          <t>Explain guardrails in three lines.</t>
        </is>
      </c>
      <c r="AQ29" s="18" t="inlineStr">
        <is>
          <t>List five guardrails for a customer assistant.</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94.5" customHeight="1">
      <c r="A30" s="17" t="inlineStr">
        <is>
          <t>LLM-035</t>
        </is>
      </c>
      <c r="B30" s="17" t="inlineStr">
        <is>
          <t>04 Quality and Safety</t>
        </is>
      </c>
      <c r="C30" s="17" t="inlineStr">
        <is>
          <t>Intermediate</t>
        </is>
      </c>
      <c r="D30" s="17" t="n">
        <v>35</v>
      </c>
      <c r="E30" s="17" t="inlineStr">
        <is>
          <t>Claude knowledge</t>
        </is>
      </c>
      <c r="F30" s="18" t="inlineStr">
        <is>
          <t>Human review</t>
        </is>
      </c>
      <c r="G30" s="18" t="inlineStr">
        <is>
          <t>When should a person check or approve what the model produces?</t>
        </is>
      </c>
      <c r="H30" s="18" t="inlineStr">
        <is>
          <t>Core concept</t>
        </is>
      </c>
      <c r="I30" s="18" t="inlineStr">
        <is>
          <t>High</t>
        </is>
      </c>
      <c r="J30" s="18" t="n">
        <v>5</v>
      </c>
      <c r="K30" s="18" t="inlineStr">
        <is>
          <t>Models can be wrong or unsafe, so important outputs and actions need human judgement in the loop.</t>
        </is>
      </c>
      <c r="L30" s="18" t="inlineStr">
        <is>
          <t>Review by risk, so high-impact items always get a person and low-risk items are sampled.</t>
        </is>
      </c>
      <c r="M30" s="18" t="inlineStr">
        <is>
          <t>Human review is a senior editor signing off before publication.</t>
        </is>
      </c>
      <c r="N30" s="18" t="inlineStr">
        <is>
          <t>A queue of drafts with a reviewer approving or editing.</t>
        </is>
      </c>
      <c r="O30" s="18" t="inlineStr">
        <is>
          <t>The assurance that a person is accountable.</t>
        </is>
      </c>
      <c r="P30" s="18" t="inlineStr">
        <is>
          <t>Human review places a person in the workflow to approve, edit or reject model outputs and actions, based on risk, confidence or policy.</t>
        </is>
      </c>
      <c r="Q30" s="17" t="n"/>
      <c r="R30" s="18" t="inlineStr">
        <is>
          <t>Approval gates fit actions such as sending messages, changing records or giving advice. Sampling reviews measure ongoing quality. Reviewers need context, clear criteria and a fast interface. Their decisions can become evaluation data. Avoid rubber-stamping by keeping the load reasonable and showing sources.</t>
        </is>
      </c>
      <c r="S30" s="18" t="inlineStr">
        <is>
          <t>Put a person on risky outputs and sample the rest.</t>
        </is>
      </c>
      <c r="T30" s="18" t="inlineStr">
        <is>
          <t>Human review is a senior editor signing off before publication.</t>
        </is>
      </c>
      <c r="U30" s="18" t="inlineStr">
        <is>
          <t>High risk = approve. Low risk = sample.</t>
        </is>
      </c>
      <c r="V30" s="18" t="inlineStr">
        <is>
          <t>A reviewer approving a drafted legal reply.</t>
        </is>
      </c>
      <c r="W30" s="18" t="inlineStr">
        <is>
          <t>A weekly sample of bot answers.</t>
        </is>
      </c>
      <c r="X30" s="18" t="inlineStr">
        <is>
          <t>Rejected drafts used as test cases.</t>
        </is>
      </c>
      <c r="Y30" s="18" t="inlineStr">
        <is>
          <t>guardrails, hallucination, evaluation, prompt injection</t>
        </is>
      </c>
      <c r="Z30" s="18" t="inlineStr">
        <is>
          <t>review, approval, sampling, escalation, criteria</t>
        </is>
      </c>
      <c r="AA30" s="18" t="inlineStr">
        <is>
          <t>Legal | Finance | Customer communication</t>
        </is>
      </c>
      <c r="AB30" s="18" t="inlineStr">
        <is>
          <t>A: Should the bot send replies automatically? | B: For refunds a person approves, and for FAQs we sample.</t>
        </is>
      </c>
      <c r="AC30" s="18" t="inlineStr">
        <is>
          <t>✗ Human review makes errors impossible → ✓ Tired reviewers also miss errors, so design the process well</t>
        </is>
      </c>
      <c r="AD30" s="18" t="inlineStr">
        <is>
          <t>Approval vs sampling: approval checks every item, sampling checks a share.</t>
        </is>
      </c>
      <c r="AE30" s="18" t="inlineStr">
        <is>
          <t>Do not let reviewers rubber-stamp huge queues.</t>
        </is>
      </c>
      <c r="AF30" s="18" t="inlineStr">
        <is>
          <t>Review by risk, sample the rest.</t>
        </is>
      </c>
      <c r="AG30" s="18" t="inlineStr">
        <is>
          <t>Approval on risky replies prevented an incorrect refund promise.</t>
        </is>
      </c>
      <c r="AH30" s="18" t="inlineStr">
        <is>
          <t>An interviewer may ask: When is human review necessary?</t>
        </is>
      </c>
      <c r="AI30" s="18" t="inlineStr">
        <is>
          <t>It is like an editor signing off.</t>
        </is>
      </c>
      <c r="AJ30" s="18" t="inlineStr">
        <is>
          <t>What should always get human review?</t>
        </is>
      </c>
      <c r="AK30" s="18" t="inlineStr">
        <is>
          <t>A) Colours B) Typos C) Greetings D) High-impact actions</t>
        </is>
      </c>
      <c r="AL30" s="18" t="inlineStr">
        <is>
          <t>D</t>
        </is>
      </c>
      <c r="AM30" s="18" t="inlineStr">
        <is>
          <t>Mistakes there cost most.</t>
        </is>
      </c>
      <c r="AN30" s="18" t="inlineStr">
        <is>
          <t>Checking a share of items is ____ → sampling</t>
        </is>
      </c>
      <c r="AO30" s="18" t="inlineStr">
        <is>
          <t>The bot drafts legal replies. What do you require? → Human approval</t>
        </is>
      </c>
      <c r="AP30" s="18" t="inlineStr">
        <is>
          <t>Explain human review in three lines.</t>
        </is>
      </c>
      <c r="AQ30" s="18" t="inlineStr">
        <is>
          <t>Design a review policy by risk level.</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08" customHeight="1">
      <c r="A31" s="17" t="inlineStr">
        <is>
          <t>LLM-036</t>
        </is>
      </c>
      <c r="B31" s="17" t="inlineStr">
        <is>
          <t>04 Quality and Safety</t>
        </is>
      </c>
      <c r="C31" s="17" t="inlineStr">
        <is>
          <t>Intermediate</t>
        </is>
      </c>
      <c r="D31" s="17" t="n">
        <v>36</v>
      </c>
      <c r="E31" s="17" t="inlineStr">
        <is>
          <t>Claude knowledge</t>
        </is>
      </c>
      <c r="F31" s="18" t="inlineStr">
        <is>
          <t>Logging calls safely</t>
        </is>
      </c>
      <c r="G31" s="18" t="inlineStr">
        <is>
          <t>How do you record LLM calls for debugging without leaking data?</t>
        </is>
      </c>
      <c r="H31" s="18" t="inlineStr">
        <is>
          <t>Core concept</t>
        </is>
      </c>
      <c r="I31" s="18" t="inlineStr">
        <is>
          <t>High</t>
        </is>
      </c>
      <c r="J31" s="18" t="n">
        <v>5</v>
      </c>
      <c r="K31" s="18" t="inlineStr">
        <is>
          <t>Prompts and answers help debugging and evaluation but can contain private data, so logging needs rules.</t>
        </is>
      </c>
      <c r="L31" s="18" t="inlineStr">
        <is>
          <t>Log ids, token counts, versions and outcomes by default, and store full text only with masking and access control.</t>
        </is>
      </c>
      <c r="M31" s="18" t="inlineStr">
        <is>
          <t>Logging model calls is keeping a diary with the names blacked out.</t>
        </is>
      </c>
      <c r="N31" s="18" t="inlineStr">
        <is>
          <t>A log line with ids and counts but masked content.</t>
        </is>
      </c>
      <c r="O31" s="18" t="inlineStr">
        <is>
          <t>The balance of insight and privacy.</t>
        </is>
      </c>
      <c r="P31" s="18" t="inlineStr">
        <is>
          <t>Safe logging of LLM calls records metadata such as request id, model, prompt version, token counts, latency and outcome, and stores full prompts and responses only when needed, masked, access-controlled and with limited retention.</t>
        </is>
      </c>
      <c r="Q31" s="17" t="n"/>
      <c r="R31" s="18" t="inlineStr">
        <is>
          <t>Without logs you cannot debug or evaluate, but full text logs may contain personal data and secrets. Mask sensitive fields, restrict access, set short retention and allow deletion on request. Sampling a small share of full conversations may be enough. Never log API keys. Link logs to user feedback to find failures.</t>
        </is>
      </c>
      <c r="S31" s="18" t="inlineStr">
        <is>
          <t>Log the metadata always, and log full text only carefully and briefly.</t>
        </is>
      </c>
      <c r="T31" s="18" t="inlineStr">
        <is>
          <t>Logging model calls is keeping a diary with the names blacked out.</t>
        </is>
      </c>
      <c r="U31" s="18" t="inlineStr">
        <is>
          <t>Metadata always, content carefully.</t>
        </is>
      </c>
      <c r="V31" s="18" t="inlineStr">
        <is>
          <t>A log line with model, version and token counts.</t>
        </is>
      </c>
      <c r="W31" s="18" t="inlineStr">
        <is>
          <t>Masked prompts stored for a week.</t>
        </is>
      </c>
      <c r="X31" s="18" t="inlineStr">
        <is>
          <t>A thumbs down linked to a request id.</t>
        </is>
      </c>
      <c r="Y31" s="18" t="inlineStr">
        <is>
          <t>sensitive data in logs, data privacy, prompt versions, evaluation</t>
        </is>
      </c>
      <c r="Z31" s="18" t="inlineStr">
        <is>
          <t>logging, metadata, retention, masking, trace</t>
        </is>
      </c>
      <c r="AA31" s="18" t="inlineStr">
        <is>
          <t>Production LLM apps | Debugging | Audits</t>
        </is>
      </c>
      <c r="AB31" s="18" t="inlineStr">
        <is>
          <t>A: Can support read user prompts? | B: Only masked ones, and only for a short time.</t>
        </is>
      </c>
      <c r="AC31" s="18" t="inlineStr">
        <is>
          <t>✗ Logging everything is always better → ✓ Full text logs create privacy and security risk</t>
        </is>
      </c>
      <c r="AD31" s="18" t="inlineStr">
        <is>
          <t>Metadata vs content logs: metadata is low risk, content is high risk.</t>
        </is>
      </c>
      <c r="AE31" s="18" t="inlineStr">
        <is>
          <t>Do not log API keys or raw personal data.</t>
        </is>
      </c>
      <c r="AF31" s="18" t="inlineStr">
        <is>
          <t>Log metadata freely, content sparingly.</t>
        </is>
      </c>
      <c r="AG31" s="18" t="inlineStr">
        <is>
          <t>Masked sampled logs allowed debugging without exposing customer details.</t>
        </is>
      </c>
      <c r="AH31" s="18" t="inlineStr">
        <is>
          <t>An interviewer may ask: What do you log for LLM calls?</t>
        </is>
      </c>
      <c r="AI31" s="18" t="inlineStr">
        <is>
          <t>It is like a diary with names blacked out.</t>
        </is>
      </c>
      <c r="AJ31" s="18" t="inlineStr">
        <is>
          <t>Which is safe to log by default?</t>
        </is>
      </c>
      <c r="AK31" s="18" t="inlineStr">
        <is>
          <t>A) Passwords B) API keys C) Token counts and latency D) Raw customer emails</t>
        </is>
      </c>
      <c r="AL31" s="18" t="inlineStr">
        <is>
          <t>C</t>
        </is>
      </c>
      <c r="AM31" s="18" t="inlineStr">
        <is>
          <t>Metadata carries little risk.</t>
        </is>
      </c>
      <c r="AN31" s="18" t="inlineStr">
        <is>
          <t>How long logs are kept is the ____ → retention</t>
        </is>
      </c>
      <c r="AO31" s="18" t="inlineStr">
        <is>
          <t>Debugging needs prompt text. What controls do you add? → Masking, access control and short retention</t>
        </is>
      </c>
      <c r="AP31" s="18" t="inlineStr">
        <is>
          <t>Explain safe logging of LLM calls in three lines.</t>
        </is>
      </c>
      <c r="AQ31" s="18" t="inlineStr">
        <is>
          <t>Define the fields of an LLM call log.</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94.5" customHeight="1">
      <c r="A32" s="17" t="inlineStr">
        <is>
          <t>LLM-037</t>
        </is>
      </c>
      <c r="B32" s="17" t="inlineStr">
        <is>
          <t>05 Applications</t>
        </is>
      </c>
      <c r="C32" s="17" t="inlineStr">
        <is>
          <t>Intermediate</t>
        </is>
      </c>
      <c r="D32" s="17" t="n">
        <v>37</v>
      </c>
      <c r="E32" s="17" t="inlineStr">
        <is>
          <t>Claude knowledge</t>
        </is>
      </c>
      <c r="F32" s="18" t="inlineStr">
        <is>
          <t>Chat memory</t>
        </is>
      </c>
      <c r="G32" s="18" t="inlineStr">
        <is>
          <t>How does a chat assistant seem to remember earlier turns?</t>
        </is>
      </c>
      <c r="H32" s="18" t="inlineStr">
        <is>
          <t>Core concept</t>
        </is>
      </c>
      <c r="I32" s="18" t="inlineStr">
        <is>
          <t>Very high</t>
        </is>
      </c>
      <c r="J32" s="18" t="n">
        <v>5</v>
      </c>
      <c r="K32" s="18" t="inlineStr">
        <is>
          <t>Models are stateless, so applications resend the earlier conversation or a summary with every request.</t>
        </is>
      </c>
      <c r="L32" s="18" t="inlineStr">
        <is>
          <t>Keep recent turns in full and summarise older ones.</t>
        </is>
      </c>
      <c r="M32" s="18" t="inlineStr">
        <is>
          <t>Chat memory is a notebook that the app hands back to the model before every answer.</t>
        </is>
      </c>
      <c r="N32" s="18" t="inlineStr">
        <is>
          <t>A growing list of messages sent each time.</t>
        </is>
      </c>
      <c r="O32" s="18" t="inlineStr">
        <is>
          <t>The ease of a conversation that feels natural.</t>
        </is>
      </c>
      <c r="P32" s="18" t="inlineStr">
        <is>
          <t>Chat memory is the application-managed history, recent messages, summaries and stored facts, that is included in each request so the model can respond with context.</t>
        </is>
      </c>
      <c r="Q32" s="17" t="n"/>
      <c r="R32" s="18" t="inlineStr">
        <is>
          <t>The model remembers nothing between calls. Strategies include sending the full history, a sliding window, summaries of old turns and long-term stores of facts retrieved when relevant. Memory costs tokens, so it must be trimmed. Store memory per user with privacy controls and deletion options.</t>
        </is>
      </c>
      <c r="S32" s="18" t="inlineStr">
        <is>
          <t>The app sends history or summaries every time, because the model has no memory of its own.</t>
        </is>
      </c>
      <c r="T32" s="18" t="inlineStr">
        <is>
          <t>Chat memory is a notebook that the app hands back to the model before every answer.</t>
        </is>
      </c>
      <c r="U32" s="18" t="inlineStr">
        <is>
          <t>Recent turns + summary + retrieved facts.</t>
        </is>
      </c>
      <c r="V32" s="18" t="inlineStr">
        <is>
          <t>The last ten messages sent in full.</t>
        </is>
      </c>
      <c r="W32" s="18" t="inlineStr">
        <is>
          <t>A summary of the earlier conversation.</t>
        </is>
      </c>
      <c r="X32" s="18" t="inlineStr">
        <is>
          <t>A stored preference loaded for each session.</t>
        </is>
      </c>
      <c r="Y32" s="18" t="inlineStr">
        <is>
          <t>context window, token budgeting, data privacy, summarising</t>
        </is>
      </c>
      <c r="Z32" s="18" t="inlineStr">
        <is>
          <t>memory, history, summary, window, state</t>
        </is>
      </c>
      <c r="AA32" s="18" t="inlineStr">
        <is>
          <t>Chat apps | Assistants | Support bots</t>
        </is>
      </c>
      <c r="AB32" s="18" t="inlineStr">
        <is>
          <t>A: The bot forgot my name. | B: That message fell out of the history we send.</t>
        </is>
      </c>
      <c r="AC32" s="18" t="inlineStr">
        <is>
          <t>✗ The model stores conversations by itself → ✓ The application must send the history each time</t>
        </is>
      </c>
      <c r="AD32" s="18" t="inlineStr">
        <is>
          <t>Short-term vs long-term memory: recent messages versus stored facts.</t>
        </is>
      </c>
      <c r="AE32" s="18" t="inlineStr">
        <is>
          <t>Do not store personal memories without consent and deletion.</t>
        </is>
      </c>
      <c r="AF32" s="18" t="inlineStr">
        <is>
          <t>No history sent means no memory.</t>
        </is>
      </c>
      <c r="AG32" s="18" t="inlineStr">
        <is>
          <t>Summarising old turns kept long support chats coherent and cheap.</t>
        </is>
      </c>
      <c r="AH32" s="18" t="inlineStr">
        <is>
          <t>An interviewer may ask: How do chatbots remember?</t>
        </is>
      </c>
      <c r="AI32" s="18" t="inlineStr">
        <is>
          <t>It is like a notebook handed back each time.</t>
        </is>
      </c>
      <c r="AJ32" s="18" t="inlineStr">
        <is>
          <t>Who stores the conversation history?</t>
        </is>
      </c>
      <c r="AK32" s="18" t="inlineStr">
        <is>
          <t>A) The application B) The browser cache only C) The model itself D) The router</t>
        </is>
      </c>
      <c r="AL32" s="18" t="inlineStr">
        <is>
          <t>A</t>
        </is>
      </c>
      <c r="AM32" s="18" t="inlineStr">
        <is>
          <t>The model is stateless.</t>
        </is>
      </c>
      <c r="AN32" s="18" t="inlineStr">
        <is>
          <t>A condensed version of earlier turns is a ____ → summary</t>
        </is>
      </c>
      <c r="AO32" s="18" t="inlineStr">
        <is>
          <t>A long chat exceeds the window. What do you do? → Summarise older turns</t>
        </is>
      </c>
      <c r="AP32" s="18" t="inlineStr">
        <is>
          <t>Explain chat memory in three lines.</t>
        </is>
      </c>
      <c r="AQ32" s="18" t="inlineStr">
        <is>
          <t>Design a memory strategy for a support assistant.</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94.5" customHeight="1">
      <c r="A33" s="17" t="inlineStr">
        <is>
          <t>LLM-038</t>
        </is>
      </c>
      <c r="B33" s="17" t="inlineStr">
        <is>
          <t>05 Applications</t>
        </is>
      </c>
      <c r="C33" s="17" t="inlineStr">
        <is>
          <t>Beginner</t>
        </is>
      </c>
      <c r="D33" s="17" t="n">
        <v>38</v>
      </c>
      <c r="E33" s="17" t="inlineStr">
        <is>
          <t>Claude knowledge</t>
        </is>
      </c>
      <c r="F33" s="18" t="inlineStr">
        <is>
          <t>Summarising</t>
        </is>
      </c>
      <c r="G33" s="18" t="inlineStr">
        <is>
          <t>How do you condense long text faithfully?</t>
        </is>
      </c>
      <c r="H33" s="18" t="inlineStr">
        <is>
          <t>Core concept</t>
        </is>
      </c>
      <c r="I33" s="18" t="inlineStr">
        <is>
          <t>Very high</t>
        </is>
      </c>
      <c r="J33" s="18" t="n">
        <v>5</v>
      </c>
      <c r="K33" s="18" t="inlineStr">
        <is>
          <t>People face more text than they can read, so models condense documents, meetings and threads into short summaries.</t>
        </is>
      </c>
      <c r="L33" s="18" t="inlineStr">
        <is>
          <t>State the audience, length and what to include, and check for invented details.</t>
        </is>
      </c>
      <c r="M33" s="18" t="inlineStr">
        <is>
          <t>Summarising is writing the executive brief of a long report.</t>
        </is>
      </c>
      <c r="N33" s="18" t="inlineStr">
        <is>
          <t>A long document shrinking into a short bullet list.</t>
        </is>
      </c>
      <c r="O33" s="18" t="inlineStr">
        <is>
          <t>The relief of seconds instead of hours.</t>
        </is>
      </c>
      <c r="P33" s="18" t="inlineStr">
        <is>
          <t>Summarisation produces a shorter version of source text that keeps the key points, tailored to an audience and length, and is checked for accuracy against the source.</t>
        </is>
      </c>
      <c r="Q33" s="17" t="n"/>
      <c r="R33" s="18" t="inlineStr">
        <is>
          <t>Specify audience, length, format and focus, such as decisions and action items. For very long texts, summarise in chunks and then combine. Ask to avoid adding information not in the text. Review for omissions and errors, especially numbers and names. Provide the text in tags.</t>
        </is>
      </c>
      <c r="S33" s="18" t="inlineStr">
        <is>
          <t>Tell the model who it is for, how long, and what to keep, and check it against the source.</t>
        </is>
      </c>
      <c r="T33" s="18" t="inlineStr">
        <is>
          <t>Summarising is writing the executive brief of a long report.</t>
        </is>
      </c>
      <c r="U33" s="18" t="inlineStr">
        <is>
          <t>Audience + length + focus + faithfulness.</t>
        </is>
      </c>
      <c r="V33" s="18" t="inlineStr">
        <is>
          <t>A three bullet summary of an email thread.</t>
        </is>
      </c>
      <c r="W33" s="18" t="inlineStr">
        <is>
          <t>Decisions and action items from a meeting.</t>
        </is>
      </c>
      <c r="X33" s="18" t="inlineStr">
        <is>
          <t>A chunked summary of a long contract.</t>
        </is>
      </c>
      <c r="Y33" s="18" t="inlineStr">
        <is>
          <t>clear instructions, hallucination, context window, evaluation</t>
        </is>
      </c>
      <c r="Z33" s="18" t="inlineStr">
        <is>
          <t>summary, chunk, faithful, audience, key points</t>
        </is>
      </c>
      <c r="AA33" s="18" t="inlineStr">
        <is>
          <t>Email tools | Meetings | Reports</t>
        </is>
      </c>
      <c r="AB33" s="18" t="inlineStr">
        <is>
          <t>A: The summary added a date that is not in the meeting. | B: Tell it to use only the transcript and check the numbers.</t>
        </is>
      </c>
      <c r="AC33" s="18" t="inlineStr">
        <is>
          <t>✗ A summary is always accurate → ✓ Models can omit or invent details, so verify critical facts</t>
        </is>
      </c>
      <c r="AD33" s="18" t="inlineStr">
        <is>
          <t>Extractive vs abstractive: copying key sentences versus rewriting.</t>
        </is>
      </c>
      <c r="AE33" s="18" t="inlineStr">
        <is>
          <t>Do not trust numbers in a summary without checking.</t>
        </is>
      </c>
      <c r="AF33" s="18" t="inlineStr">
        <is>
          <t>Keep it faithful, check the numbers.</t>
        </is>
      </c>
      <c r="AG33" s="18" t="inlineStr">
        <is>
          <t>Chunked summaries made long contract reviews faster and easier to check.</t>
        </is>
      </c>
      <c r="AH33" s="18" t="inlineStr">
        <is>
          <t>An interviewer may ask: How do you summarise a very long document?</t>
        </is>
      </c>
      <c r="AI33" s="18" t="inlineStr">
        <is>
          <t>It is like an executive brief of a long report.</t>
        </is>
      </c>
      <c r="AJ33" s="18" t="inlineStr">
        <is>
          <t>How do you handle very long text?</t>
        </is>
      </c>
      <c r="AK33" s="18" t="inlineStr">
        <is>
          <t>A) Ignore half B) Summarise chunks and combine C) Delete it D) Use one huge prompt always</t>
        </is>
      </c>
      <c r="AL33" s="18" t="inlineStr">
        <is>
          <t>B</t>
        </is>
      </c>
      <c r="AM33" s="18" t="inlineStr">
        <is>
          <t>Chunking fits the window and keeps detail.</t>
        </is>
      </c>
      <c r="AN33" s="18" t="inlineStr">
        <is>
          <t>Splitting text into parts is ____ → chunking</t>
        </is>
      </c>
      <c r="AO33" s="18" t="inlineStr">
        <is>
          <t>A transcript is too long for one call. What do you do? → Summarise parts, then combine</t>
        </is>
      </c>
      <c r="AP33" s="18" t="inlineStr">
        <is>
          <t>Explain summarising in three lines.</t>
        </is>
      </c>
      <c r="AQ33" s="18" t="inlineStr">
        <is>
          <t>Write a prompt that summarises a meeting for managers.</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94.5" customHeight="1">
      <c r="A34" s="17" t="inlineStr">
        <is>
          <t>LLM-039</t>
        </is>
      </c>
      <c r="B34" s="17" t="inlineStr">
        <is>
          <t>05 Applications</t>
        </is>
      </c>
      <c r="C34" s="17" t="inlineStr">
        <is>
          <t>Intermediate</t>
        </is>
      </c>
      <c r="D34" s="17" t="n">
        <v>39</v>
      </c>
      <c r="E34" s="17" t="inlineStr">
        <is>
          <t>Claude knowledge</t>
        </is>
      </c>
      <c r="F34" s="18" t="inlineStr">
        <is>
          <t>Extraction</t>
        </is>
      </c>
      <c r="G34" s="18" t="inlineStr">
        <is>
          <t>How do you turn messy text into structured fields?</t>
        </is>
      </c>
      <c r="H34" s="18" t="inlineStr">
        <is>
          <t>Core concept</t>
        </is>
      </c>
      <c r="I34" s="18" t="inlineStr">
        <is>
          <t>Very high</t>
        </is>
      </c>
      <c r="J34" s="18" t="n">
        <v>5</v>
      </c>
      <c r="K34" s="18" t="inlineStr">
        <is>
          <t>Most business information sits in emails, PDFs and forms, so models extract names, dates and amounts into structured data.</t>
        </is>
      </c>
      <c r="L34" s="18" t="inlineStr">
        <is>
          <t>Use a schema, handle missing fields explicitly and validate values.</t>
        </is>
      </c>
      <c r="M34" s="18" t="inlineStr">
        <is>
          <t>Extraction is filling a form from a pile of letters.</t>
        </is>
      </c>
      <c r="N34" s="18" t="inlineStr">
        <is>
          <t>An invoice image turning into a JSON record.</t>
        </is>
      </c>
      <c r="O34" s="18" t="inlineStr">
        <is>
          <t>The satisfaction of automated data entry.</t>
        </is>
      </c>
      <c r="P34" s="18" t="inlineStr">
        <is>
          <t>Extraction uses a model to read unstructured text and return specified fields in a defined structure, with null for fields that are not present.</t>
        </is>
      </c>
      <c r="Q34" s="17" t="n"/>
      <c r="R34" s="18" t="inlineStr">
        <is>
          <t>Define the fields, types and formats, such as dates in year-month-day. Tell the model to use null instead of guessing. Validate with code, such as checking totals and date formats. Use low temperature. Handle documents longer than the window and tables carefully. Measure accuracy against labelled examples.</t>
        </is>
      </c>
      <c r="S34" s="18" t="inlineStr">
        <is>
          <t>Define the fields, forbid guessing, and validate the result.</t>
        </is>
      </c>
      <c r="T34" s="18" t="inlineStr">
        <is>
          <t>Extraction is filling a form from a pile of letters.</t>
        </is>
      </c>
      <c r="U34" s="18" t="inlineStr">
        <is>
          <t>Schema + null when missing + validation.</t>
        </is>
      </c>
      <c r="V34" s="18" t="inlineStr">
        <is>
          <t>Extracting invoice number, date and total.</t>
        </is>
      </c>
      <c r="W34" s="18" t="inlineStr">
        <is>
          <t>Pulling names and dates from an email.</t>
        </is>
      </c>
      <c r="X34" s="18" t="inlineStr">
        <is>
          <t>A check that line items sum to the total.</t>
        </is>
      </c>
      <c r="Y34" s="18" t="inlineStr">
        <is>
          <t>structured output, hallucination, evaluation, validation</t>
        </is>
      </c>
      <c r="Z34" s="18" t="inlineStr">
        <is>
          <t>extraction, field, null, validation, schema</t>
        </is>
      </c>
      <c r="AA34" s="18" t="inlineStr">
        <is>
          <t>Invoices | Forms | Support tickets</t>
        </is>
      </c>
      <c r="AB34" s="18" t="inlineStr">
        <is>
          <t>A: The model guessed a missing date. | B: Tell it to return null and validate.</t>
        </is>
      </c>
      <c r="AC34" s="18" t="inlineStr">
        <is>
          <t>✗ The model should always fill every field → ✓ Missing values should be null, not guessed</t>
        </is>
      </c>
      <c r="AD34" s="18" t="inlineStr">
        <is>
          <t>Extraction vs generation: extraction copies facts from text, generation invents new text.</t>
        </is>
      </c>
      <c r="AE34" s="18" t="inlineStr">
        <is>
          <t>Do not let the model guess missing fields.</t>
        </is>
      </c>
      <c r="AF34" s="18" t="inlineStr">
        <is>
          <t>Missing means null, not a guess.</t>
        </is>
      </c>
      <c r="AG34" s="18" t="inlineStr">
        <is>
          <t>Validating totals caught extraction errors before they reached accounting.</t>
        </is>
      </c>
      <c r="AH34" s="18" t="inlineStr">
        <is>
          <t>An interviewer may ask: How do you make extraction reliable?</t>
        </is>
      </c>
      <c r="AI34" s="18" t="inlineStr">
        <is>
          <t>It is like filling a form from letters.</t>
        </is>
      </c>
      <c r="AJ34" s="18" t="inlineStr">
        <is>
          <t>What should be returned for a missing field?</t>
        </is>
      </c>
      <c r="AK34" s="18" t="inlineStr">
        <is>
          <t>A) A random value B) Zero always C) null D) A guess</t>
        </is>
      </c>
      <c r="AL34" s="18" t="inlineStr">
        <is>
          <t>C</t>
        </is>
      </c>
      <c r="AM34" s="18" t="inlineStr">
        <is>
          <t>Guessing creates false data.</t>
        </is>
      </c>
      <c r="AN34" s="18" t="inlineStr">
        <is>
          <t>Checking extracted values with rules is ____ → validation</t>
        </is>
      </c>
      <c r="AO34" s="18" t="inlineStr">
        <is>
          <t>An invoice has no due date. What should the field hold? → null</t>
        </is>
      </c>
      <c r="AP34" s="18" t="inlineStr">
        <is>
          <t>Explain extraction in three lines.</t>
        </is>
      </c>
      <c r="AQ34" s="18" t="inlineStr">
        <is>
          <t>Define the fields and checks for invoice extraction.</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row r="35" ht="108" customHeight="1">
      <c r="A35" s="17" t="inlineStr">
        <is>
          <t>LLM-040</t>
        </is>
      </c>
      <c r="B35" s="17" t="inlineStr">
        <is>
          <t>05 Applications</t>
        </is>
      </c>
      <c r="C35" s="17" t="inlineStr">
        <is>
          <t>Beginner</t>
        </is>
      </c>
      <c r="D35" s="17" t="n">
        <v>40</v>
      </c>
      <c r="E35" s="17" t="inlineStr">
        <is>
          <t>Claude knowledge</t>
        </is>
      </c>
      <c r="F35" s="18" t="inlineStr">
        <is>
          <t>Classification</t>
        </is>
      </c>
      <c r="G35" s="18" t="inlineStr">
        <is>
          <t>How do you assign labels to text using a model?</t>
        </is>
      </c>
      <c r="H35" s="18" t="inlineStr">
        <is>
          <t>Core concept</t>
        </is>
      </c>
      <c r="I35" s="18" t="inlineStr">
        <is>
          <t>Very high</t>
        </is>
      </c>
      <c r="J35" s="18" t="n">
        <v>5</v>
      </c>
      <c r="K35" s="18" t="inlineStr">
        <is>
          <t>Sorting tickets, emails and reviews by hand is slow, so models assign labels from a defined set.</t>
        </is>
      </c>
      <c r="L35" s="18" t="inlineStr">
        <is>
          <t>Give clear label definitions and examples, and include an other label.</t>
        </is>
      </c>
      <c r="M35" s="18" t="inlineStr">
        <is>
          <t>Classification is sorting the post into labelled pigeonholes.</t>
        </is>
      </c>
      <c r="N35" s="18" t="inlineStr">
        <is>
          <t>Several items dropping neatly into separate labelled boxes.</t>
        </is>
      </c>
      <c r="O35" s="18" t="inlineStr">
        <is>
          <t>The ease of routing that happens automatically.</t>
        </is>
      </c>
      <c r="P35" s="18" t="inlineStr">
        <is>
          <t>Classification asks the model to choose one or more labels from a fixed list for each input, with definitions and examples, and returns the label in a constrained format.</t>
        </is>
      </c>
      <c r="Q35" s="17" t="n"/>
      <c r="R35" s="18" t="inlineStr">
        <is>
          <t>Define each label clearly and show edge cases. Include other or unknown to avoid forced wrong choices. Use low temperature and structured output with an enum. Evaluate with labelled data, looking at errors per class. For high volume, a small model with good examples may suffice. Add confidence or review for uncertain cases.</t>
        </is>
      </c>
      <c r="S35" s="18" t="inlineStr">
        <is>
          <t>Define labels with examples, constrain the output, and measure accuracy.</t>
        </is>
      </c>
      <c r="T35" s="18" t="inlineStr">
        <is>
          <t>Classification is sorting post into labelled pigeonholes.</t>
        </is>
      </c>
      <c r="U35" s="18" t="inlineStr">
        <is>
          <t>Clear labels + examples + enum output + evaluation.</t>
        </is>
      </c>
      <c r="V35" s="18" t="inlineStr">
        <is>
          <t>Tagging tickets as billing, technical or other.</t>
        </is>
      </c>
      <c r="W35" s="18" t="inlineStr">
        <is>
          <t>Labelling review sentiment.</t>
        </is>
      </c>
      <c r="X35" s="18" t="inlineStr">
        <is>
          <t>Routing emails to teams.</t>
        </is>
      </c>
      <c r="Y35" s="18" t="inlineStr">
        <is>
          <t>structured output, examples, evaluation, model choice</t>
        </is>
      </c>
      <c r="Z35" s="18" t="inlineStr">
        <is>
          <t>classification, label, enum, confidence, routing</t>
        </is>
      </c>
      <c r="AA35" s="18" t="inlineStr">
        <is>
          <t>Support | Moderation | Routing</t>
        </is>
      </c>
      <c r="AB35" s="18" t="inlineStr">
        <is>
          <t>A: Tickets are labelled inconsistently. | B: Add definitions and examples, and use an enum.</t>
        </is>
      </c>
      <c r="AC35" s="18" t="inlineStr">
        <is>
          <t>✗ Any label wording works → ✓ Vague or overlapping labels give inconsistent results</t>
        </is>
      </c>
      <c r="AD35" s="18" t="inlineStr">
        <is>
          <t>Single vs multi label: one label per item versus several.</t>
        </is>
      </c>
      <c r="AE35" s="18" t="inlineStr">
        <is>
          <t>Do not forget an other label.</t>
        </is>
      </c>
      <c r="AF35" s="18" t="inlineStr">
        <is>
          <t>Define labels, show examples, constrain, then measure.</t>
        </is>
      </c>
      <c r="AG35" s="18" t="inlineStr">
        <is>
          <t>Adding definitions and an other label raised ticket routing accuracy.</t>
        </is>
      </c>
      <c r="AH35" s="18" t="inlineStr">
        <is>
          <t>An interviewer may ask: How do you build a reliable classifier with an LLM?</t>
        </is>
      </c>
      <c r="AI35" s="18" t="inlineStr">
        <is>
          <t>It is like sorting post into pigeonholes.</t>
        </is>
      </c>
      <c r="AJ35" s="18" t="inlineStr">
        <is>
          <t>Why include an other label?</t>
        </is>
      </c>
      <c r="AK35" s="18" t="inlineStr">
        <is>
          <t>A) To lower cost B) To add noise C) To lengthen prompts D) To avoid forced wrong labels</t>
        </is>
      </c>
      <c r="AL35" s="18" t="inlineStr">
        <is>
          <t>D</t>
        </is>
      </c>
      <c r="AM35" s="18" t="inlineStr">
        <is>
          <t>Unclear items need a safe label.</t>
        </is>
      </c>
      <c r="AN35" s="18" t="inlineStr">
        <is>
          <t>A fixed list of allowed values is an ____ → enum</t>
        </is>
      </c>
      <c r="AO35" s="18" t="inlineStr">
        <is>
          <t>Tickets fit none of the labels sometimes. What do you add? → An other label</t>
        </is>
      </c>
      <c r="AP35" s="18" t="inlineStr">
        <is>
          <t>Explain classification with LLMs in three lines.</t>
        </is>
      </c>
      <c r="AQ35" s="18" t="inlineStr">
        <is>
          <t>Write label definitions for a three-class ticket classifier.</t>
        </is>
      </c>
      <c r="AR35" s="17">
        <f>IF(J35="","",REPT("★",J35)&amp;REPT("☆",5-J35)&amp;" ("&amp;J35&amp;"/5)")</f>
        <v/>
      </c>
      <c r="AS35" s="17">
        <f>IF(Q35="","","Meaning: "&amp;Q35&amp;"  =  ______   (Answer: "&amp;F35&amp;")")</f>
        <v/>
      </c>
      <c r="AT35" s="17" t="inlineStr">
        <is>
          <t>New</t>
        </is>
      </c>
      <c r="AU35" s="17" t="n"/>
      <c r="AV35" s="17" t="n"/>
      <c r="AW35" s="17" t="n"/>
      <c r="AX35" s="17" t="n"/>
      <c r="AY35" s="17" t="n"/>
      <c r="AZ35" s="17" t="n"/>
      <c r="BA35" s="17" t="n"/>
      <c r="BB35" s="17" t="n"/>
    </row>
    <row r="36" ht="108" customHeight="1">
      <c r="A36" s="17" t="inlineStr">
        <is>
          <t>LLM-041</t>
        </is>
      </c>
      <c r="B36" s="17" t="inlineStr">
        <is>
          <t>05 Applications</t>
        </is>
      </c>
      <c r="C36" s="17" t="inlineStr">
        <is>
          <t>Advanced</t>
        </is>
      </c>
      <c r="D36" s="17" t="n">
        <v>41</v>
      </c>
      <c r="E36" s="17" t="inlineStr">
        <is>
          <t>Claude knowledge</t>
        </is>
      </c>
      <c r="F36" s="18" t="inlineStr">
        <is>
          <t>Agents and loops</t>
        </is>
      </c>
      <c r="G36" s="18" t="inlineStr">
        <is>
          <t>How does a model plan, call tools and repeat until a task is done?</t>
        </is>
      </c>
      <c r="H36" s="18" t="inlineStr">
        <is>
          <t>Core concept</t>
        </is>
      </c>
      <c r="I36" s="18" t="inlineStr">
        <is>
          <t>Very high</t>
        </is>
      </c>
      <c r="J36" s="18" t="n">
        <v>5</v>
      </c>
      <c r="K36" s="18" t="inlineStr">
        <is>
          <t>Some tasks need several steps with tool use, so applications run the model in a loop that acts, observes and decides again.</t>
        </is>
      </c>
      <c r="L36" s="18" t="inlineStr">
        <is>
          <t>Set a step limit, keep tools small and log each step.</t>
        </is>
      </c>
      <c r="M36" s="18" t="inlineStr">
        <is>
          <t>An agent is an apprentice who plans, tries a tool, looks at the result and tries again.</t>
        </is>
      </c>
      <c r="N36" s="18" t="inlineStr">
        <is>
          <t>A loop of think, act and observe arrows.</t>
        </is>
      </c>
      <c r="O36" s="18" t="inlineStr">
        <is>
          <t>The excitement and caution of autonomy.</t>
        </is>
      </c>
      <c r="P36" s="18" t="inlineStr">
        <is>
          <t>An agent is an application loop in which a model decides on actions, calls tools, receives results and continues until it produces a final answer or hits a limit.</t>
        </is>
      </c>
      <c r="Q36" s="17" t="n"/>
      <c r="R36" s="18" t="inlineStr">
        <is>
          <t>Each cycle sends the history and tool results back to the model. Good agents have clear goals, small reliable tools, step and cost limits, error handling and logging. Failures include loops, wrong tool use and prompt injection. Prefer simple workflows when the steps are known, and use agents when the path varies.</t>
        </is>
      </c>
      <c r="S36" s="18" t="inlineStr">
        <is>
          <t>Loop through plan, act and observe with limits, and use simple workflows when possible.</t>
        </is>
      </c>
      <c r="T36" s="18" t="inlineStr">
        <is>
          <t>An agent is an apprentice who plans, tries a tool, looks at the result and tries again.</t>
        </is>
      </c>
      <c r="U36" s="18" t="inlineStr">
        <is>
          <t>Decide, act, observe, repeat, with a limit.</t>
        </is>
      </c>
      <c r="V36" s="18" t="inlineStr">
        <is>
          <t>A support agent that searches orders and drafts a reply.</t>
        </is>
      </c>
      <c r="W36" s="18" t="inlineStr">
        <is>
          <t>A coding agent that runs tests and edits files.</t>
        </is>
      </c>
      <c r="X36" s="18" t="inlineStr">
        <is>
          <t>A step limit of ten.</t>
        </is>
      </c>
      <c r="Y36" s="18" t="inlineStr">
        <is>
          <t>tool calling, guardrails, prompt injection, human review</t>
        </is>
      </c>
      <c r="Z36" s="18" t="inlineStr">
        <is>
          <t>agent, loop, tool, step limit, workflow</t>
        </is>
      </c>
      <c r="AA36" s="18" t="inlineStr">
        <is>
          <t>Automation | Assistants | Developer tools</t>
        </is>
      </c>
      <c r="AB36" s="18" t="inlineStr">
        <is>
          <t>A: The agent keeps calling the same tool. | B: Add a step limit and report repeated calls.</t>
        </is>
      </c>
      <c r="AC36" s="18" t="inlineStr">
        <is>
          <t>✗ Agents are always better than fixed workflows → ✓ Fixed workflows are more predictable when steps are known</t>
        </is>
      </c>
      <c r="AD36" s="18" t="inlineStr">
        <is>
          <t>Workflow vs agent: fixed steps versus model-chosen steps.</t>
        </is>
      </c>
      <c r="AE36" s="18" t="inlineStr">
        <is>
          <t>Do not run agents without step and spend limits.</t>
        </is>
      </c>
      <c r="AF36" s="18" t="inlineStr">
        <is>
          <t>Limit the loop, log each step.</t>
        </is>
      </c>
      <c r="AG36" s="18" t="inlineStr">
        <is>
          <t>A step limit and logging turned a runaway agent into a reliable helper.</t>
        </is>
      </c>
      <c r="AH36" s="18" t="inlineStr">
        <is>
          <t>An interviewer may ask: When would you use an agent instead of a workflow?</t>
        </is>
      </c>
      <c r="AI36" s="18" t="inlineStr">
        <is>
          <t>It is like an apprentice trying tools.</t>
        </is>
      </c>
      <c r="AJ36" s="18" t="inlineStr">
        <is>
          <t>What should every agent loop have?</t>
        </is>
      </c>
      <c r="AK36" s="18" t="inlineStr">
        <is>
          <t>A) Unlimited tools B) No logging C) No stop D) A step limit</t>
        </is>
      </c>
      <c r="AL36" s="18" t="inlineStr">
        <is>
          <t>D</t>
        </is>
      </c>
      <c r="AM36" s="18" t="inlineStr">
        <is>
          <t>Limits prevent runaway behaviour.</t>
        </is>
      </c>
      <c r="AN36" s="18" t="inlineStr">
        <is>
          <t>A fixed sequence of steps is a ____ → workflow</t>
        </is>
      </c>
      <c r="AO36" s="18" t="inlineStr">
        <is>
          <t>Steps are known in advance. What do you build? → A fixed workflow</t>
        </is>
      </c>
      <c r="AP36" s="18" t="inlineStr">
        <is>
          <t>Explain agents and loops in three lines.</t>
        </is>
      </c>
      <c r="AQ36" s="18" t="inlineStr">
        <is>
          <t>Design a safe agent for looking up orders with limits.</t>
        </is>
      </c>
      <c r="AR36" s="17">
        <f>IF(J36="","",REPT("★",J36)&amp;REPT("☆",5-J36)&amp;" ("&amp;J36&amp;"/5)")</f>
        <v/>
      </c>
      <c r="AS36" s="17">
        <f>IF(Q36="","","Meaning: "&amp;Q36&amp;"  =  ______   (Answer: "&amp;F36&amp;")")</f>
        <v/>
      </c>
      <c r="AT36" s="17" t="inlineStr">
        <is>
          <t>New</t>
        </is>
      </c>
      <c r="AU36" s="17" t="n"/>
      <c r="AV36" s="17" t="n"/>
      <c r="AW36" s="17" t="n"/>
      <c r="AX36" s="17" t="n"/>
      <c r="AY36" s="17" t="n"/>
      <c r="AZ36" s="17" t="n"/>
      <c r="BA36" s="17" t="n"/>
      <c r="BB36" s="17" t="n"/>
    </row>
    <row r="37" ht="108" customHeight="1">
      <c r="A37" s="17" t="inlineStr">
        <is>
          <t>LLM-042</t>
        </is>
      </c>
      <c r="B37" s="17" t="inlineStr">
        <is>
          <t>05 Applications</t>
        </is>
      </c>
      <c r="C37" s="17" t="inlineStr">
        <is>
          <t>Advanced</t>
        </is>
      </c>
      <c r="D37" s="17" t="n">
        <v>42</v>
      </c>
      <c r="E37" s="17" t="inlineStr">
        <is>
          <t>Claude knowledge</t>
        </is>
      </c>
      <c r="F37" s="18" t="inlineStr">
        <is>
          <t>The MCP idea</t>
        </is>
      </c>
      <c r="G37" s="18" t="inlineStr">
        <is>
          <t>Which open protocol connects models to tools and data in a standard way?</t>
        </is>
      </c>
      <c r="H37" s="18" t="inlineStr">
        <is>
          <t>Core concept</t>
        </is>
      </c>
      <c r="I37" s="18" t="inlineStr">
        <is>
          <t>Medium</t>
        </is>
      </c>
      <c r="J37" s="18" t="n">
        <v>4</v>
      </c>
      <c r="K37" s="18" t="inlineStr">
        <is>
          <t>Every integration used its own format, so the Model Context Protocol defines a common way for apps to offer tools and data to models.</t>
        </is>
      </c>
      <c r="L37" s="18" t="inlineStr">
        <is>
          <t>Treat connected servers as code you must trust and review permissions.</t>
        </is>
      </c>
      <c r="M37" s="18" t="inlineStr">
        <is>
          <t>MCP is a universal socket so any assistant can plug into any tool server.</t>
        </is>
      </c>
      <c r="N37" s="18" t="inlineStr">
        <is>
          <t>An assistant connected to several tool servers through one protocol.</t>
        </is>
      </c>
      <c r="O37" s="18" t="inlineStr">
        <is>
          <t>The convenience of tools that simply plug in.</t>
        </is>
      </c>
      <c r="P37" s="18" t="inlineStr">
        <is>
          <t>The Model Context Protocol is an open standard in which MCP servers expose tools, resources and prompts, and MCP clients inside AI applications discover and call them, so integrations are reusable.</t>
        </is>
      </c>
      <c r="Q37" s="17" t="n"/>
      <c r="R37" s="18" t="inlineStr">
        <is>
          <t>A server might offer database queries or file access. The client lists the available tools to the model and carries out calls. Standardisation reduces custom glue code. Security matters, since servers can run actions and read data, so use least privilege, trusted sources and approval for risky tools. Check current specification details.</t>
        </is>
      </c>
      <c r="S37" s="18" t="inlineStr">
        <is>
          <t>One standard way to plug tools and data into AI applications.</t>
        </is>
      </c>
      <c r="T37" s="18" t="inlineStr">
        <is>
          <t>MCP is a universal socket so any assistant can plug into any tool server.</t>
        </is>
      </c>
      <c r="U37" s="18" t="inlineStr">
        <is>
          <t>Client discovers server tools, model requests, client executes.</t>
        </is>
      </c>
      <c r="V37" s="18" t="inlineStr">
        <is>
          <t>A server exposing a database query tool.</t>
        </is>
      </c>
      <c r="W37" s="18" t="inlineStr">
        <is>
          <t>A file system server limited to one folder.</t>
        </is>
      </c>
      <c r="X37" s="18" t="inlineStr">
        <is>
          <t>An assistant connecting to several servers.</t>
        </is>
      </c>
      <c r="Y37" s="18" t="inlineStr">
        <is>
          <t>tool calling, agents and loops, guardrails, prompt injection</t>
        </is>
      </c>
      <c r="Z37" s="18" t="inlineStr">
        <is>
          <t>MCP, server, client, tool, resource</t>
        </is>
      </c>
      <c r="AA37" s="18" t="inlineStr">
        <is>
          <t>Assistants | Developer tools | Integrations</t>
        </is>
      </c>
      <c r="AB37" s="18" t="inlineStr">
        <is>
          <t>A: How do we give the assistant access to our docs? | B: Run an MCP server for them with read-only access.</t>
        </is>
      </c>
      <c r="AC37" s="18" t="inlineStr">
        <is>
          <t>✗ Connected tool servers are automatically safe → ✓ They can act on data, so permissions and trust need review</t>
        </is>
      </c>
      <c r="AD37" s="18" t="inlineStr">
        <is>
          <t>MCP vs plain tool calling: MCP standardises how tools are provided and discovered.</t>
        </is>
      </c>
      <c r="AE37" s="18" t="inlineStr">
        <is>
          <t>Do not connect untrusted servers.</t>
        </is>
      </c>
      <c r="AF37" s="18" t="inlineStr">
        <is>
          <t>One socket, but check what you plug in.</t>
        </is>
      </c>
      <c r="AG37" s="18" t="inlineStr">
        <is>
          <t>A read-only server let an assistant search internal docs with limited risk.</t>
        </is>
      </c>
      <c r="AH37" s="18" t="inlineStr">
        <is>
          <t>An interviewer may ask: What problem does MCP solve?</t>
        </is>
      </c>
      <c r="AI37" s="18" t="inlineStr">
        <is>
          <t>It is like a universal socket.</t>
        </is>
      </c>
      <c r="AJ37" s="18" t="inlineStr">
        <is>
          <t>What does MCP standardise?</t>
        </is>
      </c>
      <c r="AK37" s="18" t="inlineStr">
        <is>
          <t>A) How tools and data are exposed to AI apps B) Passwords C) Server prices D) Colours</t>
        </is>
      </c>
      <c r="AL37" s="18" t="inlineStr">
        <is>
          <t>A</t>
        </is>
      </c>
      <c r="AM37" s="18" t="inlineStr">
        <is>
          <t>It defines a common integration protocol.</t>
        </is>
      </c>
      <c r="AN37" s="18" t="inlineStr">
        <is>
          <t>The component inside the app that connects to servers is the MCP ____ → client</t>
        </is>
      </c>
      <c r="AO37" s="18" t="inlineStr">
        <is>
          <t>An assistant needs read-only access to documents. What do you run? → A read-only server</t>
        </is>
      </c>
      <c r="AP37" s="18" t="inlineStr">
        <is>
          <t>Explain MCP in three lines.</t>
        </is>
      </c>
      <c r="AQ37" s="18" t="inlineStr">
        <is>
          <t>List the permissions a docs server should and should not have.</t>
        </is>
      </c>
      <c r="AR37" s="17">
        <f>IF(J37="","",REPT("★",J37)&amp;REPT("☆",5-J37)&amp;" ("&amp;J37&amp;"/5)")</f>
        <v/>
      </c>
      <c r="AS37" s="17">
        <f>IF(Q37="","","Meaning: "&amp;Q37&amp;"  =  ______   (Answer: "&amp;F37&amp;")")</f>
        <v/>
      </c>
      <c r="AT37" s="17" t="inlineStr">
        <is>
          <t>New</t>
        </is>
      </c>
      <c r="AU37" s="17" t="n"/>
      <c r="AV37" s="17" t="n"/>
      <c r="AW37" s="17" t="n"/>
      <c r="AX37" s="17" t="n"/>
      <c r="AY37" s="17" t="n"/>
      <c r="AZ37" s="17" t="n"/>
      <c r="BA37" s="17" t="n"/>
      <c r="BB37" s="17" t="n"/>
    </row>
    <row r="38" ht="121.5" customHeight="1">
      <c r="A38" s="17" t="inlineStr">
        <is>
          <t>LLM-043</t>
        </is>
      </c>
      <c r="B38" s="17" t="inlineStr">
        <is>
          <t>05 Applications</t>
        </is>
      </c>
      <c r="C38" s="17" t="inlineStr">
        <is>
          <t>Intermediate</t>
        </is>
      </c>
      <c r="D38" s="17" t="n">
        <v>43</v>
      </c>
      <c r="E38" s="17" t="inlineStr">
        <is>
          <t>Claude knowledge</t>
        </is>
      </c>
      <c r="F38" s="18" t="inlineStr">
        <is>
          <t>Multimodal input</t>
        </is>
      </c>
      <c r="G38" s="18" t="inlineStr">
        <is>
          <t>How can a model work with images, documents and audio as well as text?</t>
        </is>
      </c>
      <c r="H38" s="18" t="inlineStr">
        <is>
          <t>Core concept</t>
        </is>
      </c>
      <c r="I38" s="18" t="inlineStr">
        <is>
          <t>High</t>
        </is>
      </c>
      <c r="J38" s="18" t="n">
        <v>4</v>
      </c>
      <c r="K38" s="18" t="inlineStr">
        <is>
          <t>Real information appears in pictures, scans and sounds, so models accept more than text.</t>
        </is>
      </c>
      <c r="L38" s="18" t="inlineStr">
        <is>
          <t>Use clear, high-quality inputs and ask specific questions about them.</t>
        </is>
      </c>
      <c r="M38" s="18" t="inlineStr">
        <is>
          <t>Multimodal input is giving the assistant eyes and ears as well as a reading desk.</t>
        </is>
      </c>
      <c r="N38" s="18" t="inlineStr">
        <is>
          <t>An image and a question sent together.</t>
        </is>
      </c>
      <c r="O38" s="18" t="inlineStr">
        <is>
          <t>The delight of asking questions about a picture.</t>
        </is>
      </c>
      <c r="P38" s="18" t="inlineStr">
        <is>
          <t>Multimodal models accept inputs such as images, PDFs and sometimes audio or video along with text, and can describe, read and reason about them.</t>
        </is>
      </c>
      <c r="Q38" s="17" t="n"/>
      <c r="R38" s="18" t="inlineStr">
        <is>
          <t>Typical uses are reading invoices, describing charts, checking screenshots and transcribing text from scans. Inputs are sent as encoded data or links, and images consume tokens. Quality matters, since blurry or small text causes errors. Verify extracted numbers. Respect privacy, since images may contain faces and personal data. Output is usually text.</t>
        </is>
      </c>
      <c r="S38" s="18" t="inlineStr">
        <is>
          <t>Send the image or file with a precise question, and verify what is read.</t>
        </is>
      </c>
      <c r="T38" s="18" t="inlineStr">
        <is>
          <t>Multimodal input is giving the assistant eyes and ears as well as a reading desk.</t>
        </is>
      </c>
      <c r="U38" s="18" t="inlineStr">
        <is>
          <t>File + specific question + verification.</t>
        </is>
      </c>
      <c r="V38" s="18" t="inlineStr">
        <is>
          <t>Reading a table from a scanned page.</t>
        </is>
      </c>
      <c r="W38" s="18" t="inlineStr">
        <is>
          <t>Describing a chart.</t>
        </is>
      </c>
      <c r="X38" s="18" t="inlineStr">
        <is>
          <t>Explaining an error screenshot.</t>
        </is>
      </c>
      <c r="Y38" s="18" t="inlineStr">
        <is>
          <t>extraction, data privacy, tokens, evaluation</t>
        </is>
      </c>
      <c r="Z38" s="18" t="inlineStr">
        <is>
          <t>multimodal, image, PDF, vision, OCR</t>
        </is>
      </c>
      <c r="AA38" s="18" t="inlineStr">
        <is>
          <t>Document processing | Support | Accessibility</t>
        </is>
      </c>
      <c r="AB38" s="18" t="inlineStr">
        <is>
          <t>A: Can the model read this scanned invoice? | B: Yes, send the image and verify the totals.</t>
        </is>
      </c>
      <c r="AC38" s="18" t="inlineStr">
        <is>
          <t>✗ Models read every image perfectly → ✓ Blurry or dense images cause mistakes</t>
        </is>
      </c>
      <c r="AD38" s="18" t="inlineStr">
        <is>
          <t>Text-only vs multimodal: text input versus images and files.</t>
        </is>
      </c>
      <c r="AE38" s="18" t="inlineStr">
        <is>
          <t>Do not send sensitive images without checking terms.</t>
        </is>
      </c>
      <c r="AF38" s="18" t="inlineStr">
        <is>
          <t>Clear picture, clear question, checked numbers.</t>
        </is>
      </c>
      <c r="AG38" s="18" t="inlineStr">
        <is>
          <t>Reading scanned forms with a vision model sped up data entry with human checks.</t>
        </is>
      </c>
      <c r="AH38" s="18" t="inlineStr">
        <is>
          <t>An interviewer may ask: What care is needed with image inputs?</t>
        </is>
      </c>
      <c r="AI38" s="18" t="inlineStr">
        <is>
          <t>It is like giving the assistant eyes.</t>
        </is>
      </c>
      <c r="AJ38" s="18" t="inlineStr">
        <is>
          <t>What should you do with numbers read from an image?</t>
        </is>
      </c>
      <c r="AK38" s="18" t="inlineStr">
        <is>
          <t>A) Trust them blindly B) Ignore them C) Verify them D) Delete them</t>
        </is>
      </c>
      <c r="AL38" s="18" t="inlineStr">
        <is>
          <t>C</t>
        </is>
      </c>
      <c r="AM38" s="18" t="inlineStr">
        <is>
          <t>Reading errors happen.</t>
        </is>
      </c>
      <c r="AN38" s="18" t="inlineStr">
        <is>
          <t>Turning scanned text into digital text is ____ → OCR</t>
        </is>
      </c>
      <c r="AO38" s="18" t="inlineStr">
        <is>
          <t>A scanned invoice must be read. What do you also do? → Verify the totals</t>
        </is>
      </c>
      <c r="AP38" s="18" t="inlineStr">
        <is>
          <t>Explain multimodal input in three lines.</t>
        </is>
      </c>
      <c r="AQ38" s="18" t="inlineStr">
        <is>
          <t>List three checks for data read from images.</t>
        </is>
      </c>
      <c r="AR38" s="17">
        <f>IF(J38="","",REPT("★",J38)&amp;REPT("☆",5-J38)&amp;" ("&amp;J38&amp;"/5)")</f>
        <v/>
      </c>
      <c r="AS38" s="17">
        <f>IF(Q38="","","Meaning: "&amp;Q38&amp;"  =  ______   (Answer: "&amp;F38&amp;")")</f>
        <v/>
      </c>
      <c r="AT38" s="17" t="inlineStr">
        <is>
          <t>New</t>
        </is>
      </c>
      <c r="AU38" s="17" t="n"/>
      <c r="AV38" s="17" t="n"/>
      <c r="AW38" s="17" t="n"/>
      <c r="AX38" s="17" t="n"/>
      <c r="AY38" s="17" t="n"/>
      <c r="AZ38" s="17" t="n"/>
      <c r="BA38" s="17" t="n"/>
      <c r="BB38" s="17" t="n"/>
    </row>
    <row r="39" ht="108" customHeight="1">
      <c r="A39" s="17" t="inlineStr">
        <is>
          <t>LLM-044</t>
        </is>
      </c>
      <c r="B39" s="17" t="inlineStr">
        <is>
          <t>05 Applications</t>
        </is>
      </c>
      <c r="C39" s="17" t="inlineStr">
        <is>
          <t>Intermediate</t>
        </is>
      </c>
      <c r="D39" s="17" t="n">
        <v>44</v>
      </c>
      <c r="E39" s="17" t="inlineStr">
        <is>
          <t>Claude knowledge</t>
        </is>
      </c>
      <c r="F39" s="18" t="inlineStr">
        <is>
          <t>Fallbacks</t>
        </is>
      </c>
      <c r="G39" s="18" t="inlineStr">
        <is>
          <t>What should happen when the model or API fails or gives a poor answer?</t>
        </is>
      </c>
      <c r="H39" s="18" t="inlineStr">
        <is>
          <t>Core concept</t>
        </is>
      </c>
      <c r="I39" s="18" t="inlineStr">
        <is>
          <t>High</t>
        </is>
      </c>
      <c r="J39" s="18" t="n">
        <v>5</v>
      </c>
      <c r="K39" s="18" t="inlineStr">
        <is>
          <t>Services go down and answers fail validation, so applications plan for failure instead of showing errors.</t>
        </is>
      </c>
      <c r="L39" s="18" t="inlineStr">
        <is>
          <t>Define fallbacks for every failure type before launch.</t>
        </is>
      </c>
      <c r="M39" s="18" t="inlineStr">
        <is>
          <t>A fallback is the spare tyre in the boot.</t>
        </is>
      </c>
      <c r="N39" s="18" t="inlineStr">
        <is>
          <t>A primary path and a backup path.</t>
        </is>
      </c>
      <c r="O39" s="18" t="inlineStr">
        <is>
          <t>The confidence of failures that end gracefully.</t>
        </is>
      </c>
      <c r="P39" s="18" t="inlineStr">
        <is>
          <t>A fallback is a planned alternative when the primary model call fails, times out, fails validation or is unsafe, such as retrying, using another model, using a simpler method, showing a cached or default answer or handing over to a human.</t>
        </is>
      </c>
      <c r="Q39" s="17" t="n"/>
      <c r="R39" s="18" t="inlineStr">
        <is>
          <t>Typical sequence is retry with backoff, switch to a backup model or provider, use rules or search, and finally show a clear message with options. Validate outputs, and fall back when invalid. Monitor fallback rates, since a rise signals trouble. Test failures on purpose. Keep model names configurable for fast switching.</t>
        </is>
      </c>
      <c r="S39" s="18" t="inlineStr">
        <is>
          <t>Plan retries, a backup model, a simple method and a human handover.</t>
        </is>
      </c>
      <c r="T39" s="18" t="inlineStr">
        <is>
          <t>A fallback is the spare tyre in the boot.</t>
        </is>
      </c>
      <c r="U39" s="18" t="inlineStr">
        <is>
          <t>Retry, backup model, simple method, human.</t>
        </is>
      </c>
      <c r="V39" s="18" t="inlineStr">
        <is>
          <t>Switching to a second model after repeated errors.</t>
        </is>
      </c>
      <c r="W39" s="18" t="inlineStr">
        <is>
          <t>A keyword search when the model is down.</t>
        </is>
      </c>
      <c r="X39" s="18" t="inlineStr">
        <is>
          <t>A handover to a human agent.</t>
        </is>
      </c>
      <c r="Y39" s="18" t="inlineStr">
        <is>
          <t>errors and retries, timeouts, human review, model choice</t>
        </is>
      </c>
      <c r="Z39" s="18" t="inlineStr">
        <is>
          <t>fallback, backup, degrade, handover, failover</t>
        </is>
      </c>
      <c r="AA39" s="18" t="inlineStr">
        <is>
          <t>Production apps | Customer support | Critical tools</t>
        </is>
      </c>
      <c r="AB39" s="18" t="inlineStr">
        <is>
          <t>A: What if the provider is down? | B: We fall back to a backup model and then to a human.</t>
        </is>
      </c>
      <c r="AC39" s="18" t="inlineStr">
        <is>
          <t>✗ Failure handling can wait until after launch → ✓ Outages and bad outputs happen from day one</t>
        </is>
      </c>
      <c r="AD39" s="18" t="inlineStr">
        <is>
          <t>Retry vs fallback: retry repeats the same path, fallback changes the path.</t>
        </is>
      </c>
      <c r="AE39" s="18" t="inlineStr">
        <is>
          <t>Do not show raw errors to users.</t>
        </is>
      </c>
      <c r="AF39" s="18" t="inlineStr">
        <is>
          <t>Plan the spare tyre before the trip.</t>
        </is>
      </c>
      <c r="AG39" s="18" t="inlineStr">
        <is>
          <t>A backup model kept a support bot running through a provider outage.</t>
        </is>
      </c>
      <c r="AH39" s="18" t="inlineStr">
        <is>
          <t>An interviewer may ask: How do you make an LLM feature resilient?</t>
        </is>
      </c>
      <c r="AI39" s="18" t="inlineStr">
        <is>
          <t>It is like a spare tyre.</t>
        </is>
      </c>
      <c r="AJ39" s="18" t="inlineStr">
        <is>
          <t>What is a fallback?</t>
        </is>
      </c>
      <c r="AK39" s="18" t="inlineStr">
        <is>
          <t>A) A colour B) A planned alternative path C) A new feature D) A log line</t>
        </is>
      </c>
      <c r="AL39" s="18" t="inlineStr">
        <is>
          <t>B</t>
        </is>
      </c>
      <c r="AM39" s="18" t="inlineStr">
        <is>
          <t>It keeps the service useful when the primary path fails.</t>
        </is>
      </c>
      <c r="AN39" s="18" t="inlineStr">
        <is>
          <t>Switching to a backup system is ____ → failover</t>
        </is>
      </c>
      <c r="AO39" s="18" t="inlineStr">
        <is>
          <t>The provider is down. What should happen? → Use a backup model or hand over to a human</t>
        </is>
      </c>
      <c r="AP39" s="18" t="inlineStr">
        <is>
          <t>Explain fallbacks in three lines.</t>
        </is>
      </c>
      <c r="AQ39" s="18" t="inlineStr">
        <is>
          <t>Design a fallback chain for a support assistant.</t>
        </is>
      </c>
      <c r="AR39" s="17">
        <f>IF(J39="","",REPT("★",J39)&amp;REPT("☆",5-J39)&amp;" ("&amp;J39&amp;"/5)")</f>
        <v/>
      </c>
      <c r="AS39" s="17">
        <f>IF(Q39="","","Meaning: "&amp;Q39&amp;"  =  ______   (Answer: "&amp;F39&amp;")")</f>
        <v/>
      </c>
      <c r="AT39" s="17" t="inlineStr">
        <is>
          <t>New</t>
        </is>
      </c>
      <c r="AU39" s="17" t="n"/>
      <c r="AV39" s="17" t="n"/>
      <c r="AW39" s="17" t="n"/>
      <c r="AX39" s="17" t="n"/>
      <c r="AY39" s="17" t="n"/>
      <c r="AZ39" s="17" t="n"/>
      <c r="BA39" s="17" t="n"/>
      <c r="BB39" s="17" t="n"/>
    </row>
    <row r="40" ht="94.5" customHeight="1">
      <c r="A40" s="17" t="inlineStr">
        <is>
          <t>LLM-045</t>
        </is>
      </c>
      <c r="B40" s="17" t="inlineStr">
        <is>
          <t>05 Applications</t>
        </is>
      </c>
      <c r="C40" s="17" t="inlineStr">
        <is>
          <t>Beginner</t>
        </is>
      </c>
      <c r="D40" s="17" t="n">
        <v>45</v>
      </c>
      <c r="E40" s="17" t="inlineStr">
        <is>
          <t>Claude knowledge</t>
        </is>
      </c>
      <c r="F40" s="18" t="inlineStr">
        <is>
          <t>Writing and rewriting</t>
        </is>
      </c>
      <c r="G40" s="18" t="inlineStr">
        <is>
          <t>How do you use a model to draft or improve text while keeping your meaning?</t>
        </is>
      </c>
      <c r="H40" s="18" t="inlineStr">
        <is>
          <t>Core concept</t>
        </is>
      </c>
      <c r="I40" s="18" t="inlineStr">
        <is>
          <t>Very high</t>
        </is>
      </c>
      <c r="J40" s="18" t="n">
        <v>4</v>
      </c>
      <c r="K40" s="18" t="inlineStr">
        <is>
          <t>People spend hours drafting and editing messages, so models help produce and refine text in a chosen tone.</t>
        </is>
      </c>
      <c r="L40" s="18" t="inlineStr">
        <is>
          <t>Give the audience, tone, purpose and facts, and always review before sending.</t>
        </is>
      </c>
      <c r="M40" s="18" t="inlineStr">
        <is>
          <t>A writing assistant is an editor who drafts quickly but needs your facts.</t>
        </is>
      </c>
      <c r="N40" s="18" t="inlineStr">
        <is>
          <t>A rough draft turning into a polished message.</t>
        </is>
      </c>
      <c r="O40" s="18" t="inlineStr">
        <is>
          <t>The relief of a clear first draft in seconds.</t>
        </is>
      </c>
      <c r="P40" s="18" t="inlineStr">
        <is>
          <t>Writing and rewriting tasks ask the model to draft, shorten, translate or change the tone of text, using supplied facts, audience and purpose, with a human checking the result.</t>
        </is>
      </c>
      <c r="Q40" s="17" t="n"/>
      <c r="R40" s="18" t="inlineStr">
        <is>
          <t>Provide the facts so the model does not invent them, and say what must stay unchanged, such as numbers and names. Specify tone and length. Ask for options when unsure. Review for accuracy, tone and sensitive content before sending. Keep customer data private. Style guides can be included in the prompt.</t>
        </is>
      </c>
      <c r="S40" s="18" t="inlineStr">
        <is>
          <t>Give facts, tone and audience, tell it what to keep, and review the result.</t>
        </is>
      </c>
      <c r="T40" s="18" t="inlineStr">
        <is>
          <t>A writing assistant is an editor who drafts quickly but needs your facts.</t>
        </is>
      </c>
      <c r="U40" s="18" t="inlineStr">
        <is>
          <t>Facts + audience + tone + keep list + review.</t>
        </is>
      </c>
      <c r="V40" s="18" t="inlineStr">
        <is>
          <t>Rewriting an email politely for a customer.</t>
        </is>
      </c>
      <c r="W40" s="18" t="inlineStr">
        <is>
          <t>Shortening a report summary.</t>
        </is>
      </c>
      <c r="X40" s="18" t="inlineStr">
        <is>
          <t>Translating a notice with names unchanged.</t>
        </is>
      </c>
      <c r="Y40" s="18" t="inlineStr">
        <is>
          <t>clear instructions, hallucination, human review, data privacy</t>
        </is>
      </c>
      <c r="Z40" s="18" t="inlineStr">
        <is>
          <t>draft, tone, rewrite, translate, review</t>
        </is>
      </c>
      <c r="AA40" s="18" t="inlineStr">
        <is>
          <t>Email | Documentation | Customer communication</t>
        </is>
      </c>
      <c r="AB40" s="18" t="inlineStr">
        <is>
          <t>A: The draft added a discount we never offered. | B: Supply the facts and tell it not to add new ones.</t>
        </is>
      </c>
      <c r="AC40" s="18" t="inlineStr">
        <is>
          <t>✗ Model drafts can be sent without reading → ✓ They may contain wrong facts or the wrong tone</t>
        </is>
      </c>
      <c r="AD40" s="18" t="inlineStr">
        <is>
          <t>Drafting vs editing: creating from facts versus improving existing text.</t>
        </is>
      </c>
      <c r="AE40" s="18" t="inlineStr">
        <is>
          <t>Do not send drafts without review.</t>
        </is>
      </c>
      <c r="AF40" s="18" t="inlineStr">
        <is>
          <t>You supply the facts, it supplies the words.</t>
        </is>
      </c>
      <c r="AG40" s="18" t="inlineStr">
        <is>
          <t>A drafting helper with fixed facts cut reply time while keeping accuracy.</t>
        </is>
      </c>
      <c r="AH40" s="18" t="inlineStr">
        <is>
          <t>An interviewer may ask: How do you stop a model inventing details in a draft?</t>
        </is>
      </c>
      <c r="AI40" s="18" t="inlineStr">
        <is>
          <t>It is like an editor who needs your facts.</t>
        </is>
      </c>
      <c r="AJ40" s="18" t="inlineStr">
        <is>
          <t>Which details must a rewrite never change?</t>
        </is>
      </c>
      <c r="AK40" s="18" t="inlineStr">
        <is>
          <t>A) The wording of every sentence B) Names and numbers C) The length D) The font</t>
        </is>
      </c>
      <c r="AL40" s="18" t="inlineStr">
        <is>
          <t>B</t>
        </is>
      </c>
      <c r="AM40" s="18" t="inlineStr">
        <is>
          <t>Details must stay accurate.</t>
        </is>
      </c>
      <c r="AN40" s="18" t="inlineStr">
        <is>
          <t>Changing the style of writing is changing its ____ → tone</t>
        </is>
      </c>
      <c r="AO40" s="18" t="inlineStr">
        <is>
          <t>A reply must be polite and accurate. What do you supply? → The facts, audience and tone</t>
        </is>
      </c>
      <c r="AP40" s="18" t="inlineStr">
        <is>
          <t>Explain how to use a model for writing in three lines.</t>
        </is>
      </c>
      <c r="AQ40" s="18" t="inlineStr">
        <is>
          <t>Write a rewriting prompt that keeps all numbers.</t>
        </is>
      </c>
      <c r="AR40" s="17">
        <f>IF(J40="","",REPT("★",J40)&amp;REPT("☆",5-J40)&amp;" ("&amp;J40&amp;"/5)")</f>
        <v/>
      </c>
      <c r="AS40" s="17">
        <f>IF(Q40="","","Meaning: "&amp;Q40&amp;"  =  ______   (Answer: "&amp;F40&amp;")")</f>
        <v/>
      </c>
      <c r="AT40" s="17" t="inlineStr">
        <is>
          <t>New</t>
        </is>
      </c>
      <c r="AU40" s="17" t="n"/>
      <c r="AV40" s="17" t="n"/>
      <c r="AW40" s="17" t="n"/>
      <c r="AX40" s="17" t="n"/>
      <c r="AY40" s="17" t="n"/>
      <c r="AZ40" s="17" t="n"/>
      <c r="BA40" s="17" t="n"/>
      <c r="BB40" s="17" t="n"/>
    </row>
  </sheetData>
  <autoFilter ref="A2:BB40"/>
  <mergeCells count="6">
    <mergeCell ref="F1:O1"/>
    <mergeCell ref="AT1:BB1"/>
    <mergeCell ref="AR1:AS1"/>
    <mergeCell ref="A1:E1"/>
    <mergeCell ref="AJ1:AQ1"/>
    <mergeCell ref="P1:AI1"/>
  </mergeCells>
  <dataValidations count="2">
    <dataValidation sqref="AT3:AT40" showDropDown="0" showInputMessage="0" showErrorMessage="0" allowBlank="1" type="list">
      <formula1>"New,Learning,Known"</formula1>
    </dataValidation>
    <dataValidation sqref="BA3:BA40"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LLM-001</t>
        </is>
      </c>
    </row>
    <row r="4">
      <c r="A4" s="23" t="inlineStr">
        <is>
          <t>FRONT · Recognition (pehchano)</t>
        </is>
      </c>
    </row>
    <row r="5" ht="30" customHeight="1">
      <c r="A5" s="24" t="inlineStr">
        <is>
          <t>ID</t>
        </is>
      </c>
      <c r="B5" s="17">
        <f>INDEX('Topic (56-pt) cards'!$A$3:$BB$40,MATCH($B$2,'Topic (56-pt) cards'!$A$3:$A$40,0),MATCH("ID",'Topic (56-pt) cards'!$A$2:$BB$2,0))&amp;""</f>
        <v/>
      </c>
    </row>
    <row r="6" ht="30" customHeight="1">
      <c r="A6" s="24" t="inlineStr">
        <is>
          <t>Topic</t>
        </is>
      </c>
      <c r="B6" s="17">
        <f>INDEX('Topic (56-pt) cards'!$A$3:$BB$40,MATCH($B$2,'Topic (56-pt) cards'!$A$3:$A$40,0),MATCH("Topic",'Topic (56-pt) cards'!$A$2:$BB$2,0))&amp;""</f>
        <v/>
      </c>
    </row>
    <row r="7" ht="30" customHeight="1">
      <c r="A7" s="24" t="inlineStr">
        <is>
          <t>Level</t>
        </is>
      </c>
      <c r="B7" s="17">
        <f>INDEX('Topic (56-pt) cards'!$A$3:$BB$40,MATCH($B$2,'Topic (56-pt) cards'!$A$3:$A$40,0),MATCH("Level",'Topic (56-pt) cards'!$A$2:$BB$2,0))&amp;""</f>
        <v/>
      </c>
    </row>
    <row r="8" ht="30" customHeight="1">
      <c r="A8" s="24" t="inlineStr">
        <is>
          <t>Term / topic</t>
        </is>
      </c>
      <c r="B8" s="17">
        <f>INDEX('Topic (56-pt) cards'!$A$3:$BB$40,MATCH($B$2,'Topic (56-pt) cards'!$A$3:$A$40,0),MATCH("Term / topic",'Topic (56-pt) cards'!$A$2:$BB$2,0))&amp;""</f>
        <v/>
      </c>
    </row>
    <row r="9" ht="30" customHeight="1">
      <c r="A9" s="24" t="inlineStr">
        <is>
          <t>Recall cue</t>
        </is>
      </c>
      <c r="B9" s="17">
        <f>INDEX('Topic (56-pt) cards'!$A$3:$BB$40,MATCH($B$2,'Topic (56-pt) cards'!$A$3:$A$40,0),MATCH("Recall cue",'Topic (56-pt) cards'!$A$2:$BB$2,0))&amp;""</f>
        <v/>
      </c>
    </row>
    <row r="10" ht="30" customHeight="1">
      <c r="A10" s="24" t="inlineStr">
        <is>
          <t>Category</t>
        </is>
      </c>
      <c r="B10" s="17">
        <f>INDEX('Topic (56-pt) cards'!$A$3:$BB$40,MATCH($B$2,'Topic (56-pt) cards'!$A$3:$A$40,0),MATCH("Category",'Topic (56-pt) cards'!$A$2:$BB$2,0))&amp;""</f>
        <v/>
      </c>
    </row>
    <row r="11" ht="30" customHeight="1">
      <c r="A11" s="24" t="inlineStr">
        <is>
          <t>How often used</t>
        </is>
      </c>
      <c r="B11" s="17">
        <f>INDEX('Topic (56-pt) cards'!$A$3:$BB$40,MATCH($B$2,'Topic (56-pt) cards'!$A$3:$A$40,0),MATCH("How often used",'Topic (56-pt) cards'!$A$2:$BB$2,0))&amp;""</f>
        <v/>
      </c>
    </row>
    <row r="12" ht="30" customHeight="1">
      <c r="A12" s="24" t="inlineStr">
        <is>
          <t>Importance (1-5)</t>
        </is>
      </c>
      <c r="B12" s="17">
        <f>INDEX('Topic (56-pt) cards'!$A$3:$BB$40,MATCH($B$2,'Topic (56-pt) cards'!$A$3:$A$40,0),MATCH("Importance (1-5)",'Topic (56-pt) cards'!$A$2:$BB$2,0))&amp;""</f>
        <v/>
      </c>
    </row>
    <row r="13" ht="30" customHeight="1">
      <c r="A13" s="24" t="inlineStr">
        <is>
          <t>Origin / why it exists</t>
        </is>
      </c>
      <c r="B13" s="17">
        <f>INDEX('Topic (56-pt) cards'!$A$3:$BB$40,MATCH($B$2,'Topic (56-pt) cards'!$A$3:$A$40,0),MATCH("Origin / why it exists",'Topic (56-pt) cards'!$A$2:$BB$2,0))&amp;""</f>
        <v/>
      </c>
    </row>
    <row r="14" ht="30" customHeight="1">
      <c r="A14" s="24" t="inlineStr">
        <is>
          <t>Pro tip</t>
        </is>
      </c>
      <c r="B14" s="17">
        <f>INDEX('Topic (56-pt) cards'!$A$3:$BB$40,MATCH($B$2,'Topic (56-pt) cards'!$A$3:$A$40,0),MATCH("Pro tip",'Topic (56-pt) cards'!$A$2:$BB$2,0))&amp;""</f>
        <v/>
      </c>
    </row>
    <row r="15" ht="30" customHeight="1">
      <c r="A15" s="24" t="inlineStr">
        <is>
          <t>Memory story</t>
        </is>
      </c>
      <c r="B15" s="17">
        <f>INDEX('Topic (56-pt) cards'!$A$3:$BB$40,MATCH($B$2,'Topic (56-pt) cards'!$A$3:$A$40,0),MATCH("Memory story",'Topic (56-pt) cards'!$A$2:$BB$2,0))&amp;""</f>
        <v/>
      </c>
    </row>
    <row r="16" ht="30" customHeight="1">
      <c r="A16" s="24" t="inlineStr">
        <is>
          <t>Picture it</t>
        </is>
      </c>
      <c r="B16" s="17">
        <f>INDEX('Topic (56-pt) cards'!$A$3:$BB$40,MATCH($B$2,'Topic (56-pt) cards'!$A$3:$A$40,0),MATCH("Picture it",'Topic (56-pt) cards'!$A$2:$BB$2,0))&amp;""</f>
        <v/>
      </c>
    </row>
    <row r="17" ht="30" customHeight="1">
      <c r="A17" s="24" t="inlineStr">
        <is>
          <t>Emotion hook</t>
        </is>
      </c>
      <c r="B17" s="17">
        <f>INDEX('Topic (56-pt) cards'!$A$3:$BB$40,MATCH($B$2,'Topic (56-pt) cards'!$A$3:$A$40,0),MATCH("Emotion hook",'Topic (56-pt) cards'!$A$2:$BB$2,0))&amp;""</f>
        <v/>
      </c>
    </row>
    <row r="18" ht="30" customHeight="1">
      <c r="A18" s="24" t="inlineStr">
        <is>
          <t>Importance ★</t>
        </is>
      </c>
      <c r="B18" s="17">
        <f>INDEX('Topic (56-pt) cards'!$A$3:$BB$40,MATCH($B$2,'Topic (56-pt) cards'!$A$3:$A$40,0),MATCH("Importance ★",'Topic (56-pt) cards'!$A$2:$BB$2,0))&amp;""</f>
        <v/>
      </c>
    </row>
    <row r="19">
      <c r="A19" s="25" t="inlineStr">
        <is>
          <t>BACK · Understanding (samjho)</t>
        </is>
      </c>
    </row>
    <row r="20" ht="40.5" customHeight="1">
      <c r="A20" s="24" t="inlineStr">
        <is>
          <t>Definition (simple)</t>
        </is>
      </c>
      <c r="B20" s="17">
        <f>INDEX('Topic (56-pt) cards'!$A$3:$BB$40,MATCH($B$2,'Topic (56-pt) cards'!$A$3:$A$40,0),MATCH("Definition (simple)",'Topic (56-pt) cards'!$A$2:$BB$2,0))&amp;""</f>
        <v/>
      </c>
    </row>
    <row r="21" ht="30" customHeight="1">
      <c r="A21" s="24" t="inlineStr">
        <is>
          <t>Meaning in learner's language</t>
        </is>
      </c>
      <c r="B21" s="17">
        <f>INDEX('Topic (56-pt) cards'!$A$3:$BB$40,MATCH($B$2,'Topic (56-pt) cards'!$A$3:$A$40,0),MATCH("Meaning in learner's language",'Topic (56-pt) cards'!$A$2:$BB$2,0))&amp;""</f>
        <v/>
      </c>
    </row>
    <row r="22" ht="67.5" customHeight="1">
      <c r="A22" s="24" t="inlineStr">
        <is>
          <t>How / why it works</t>
        </is>
      </c>
      <c r="B22" s="17">
        <f>INDEX('Topic (56-pt) cards'!$A$3:$BB$40,MATCH($B$2,'Topic (56-pt) cards'!$A$3:$A$40,0),MATCH("How / why it works",'Topic (56-pt) cards'!$A$2:$BB$2,0))&amp;""</f>
        <v/>
      </c>
    </row>
    <row r="23" ht="30" customHeight="1">
      <c r="A23" s="24" t="inlineStr">
        <is>
          <t>Simple explanation (Hinglish)</t>
        </is>
      </c>
      <c r="B23" s="17">
        <f>INDEX('Topic (56-pt) cards'!$A$3:$BB$40,MATCH($B$2,'Topic (56-pt) cards'!$A$3:$A$40,0),MATCH("Simple explanation (Hinglish)",'Topic (56-pt) cards'!$A$2:$BB$2,0))&amp;""</f>
        <v/>
      </c>
    </row>
    <row r="24" ht="30" customHeight="1">
      <c r="A24" s="24" t="inlineStr">
        <is>
          <t>Real-life analogy</t>
        </is>
      </c>
      <c r="B24" s="17">
        <f>INDEX('Topic (56-pt) cards'!$A$3:$BB$40,MATCH($B$2,'Topic (56-pt) cards'!$A$3:$A$40,0),MATCH("Real-life analogy",'Topic (56-pt) cards'!$A$2:$BB$2,0))&amp;""</f>
        <v/>
      </c>
    </row>
    <row r="25" ht="30" customHeight="1">
      <c r="A25" s="24" t="inlineStr">
        <is>
          <t>Formula / rule</t>
        </is>
      </c>
      <c r="B25" s="17">
        <f>INDEX('Topic (56-pt) cards'!$A$3:$BB$40,MATCH($B$2,'Topic (56-pt) cards'!$A$3:$A$40,0),MATCH("Formula / rule",'Topic (56-pt) cards'!$A$2:$BB$2,0))&amp;""</f>
        <v/>
      </c>
    </row>
    <row r="26" ht="30" customHeight="1">
      <c r="A26" s="24" t="inlineStr">
        <is>
          <t>Example 1</t>
        </is>
      </c>
      <c r="B26" s="17">
        <f>INDEX('Topic (56-pt) cards'!$A$3:$BB$40,MATCH($B$2,'Topic (56-pt) cards'!$A$3:$A$40,0),MATCH("Example 1",'Topic (56-pt) cards'!$A$2:$BB$2,0))&amp;""</f>
        <v/>
      </c>
    </row>
    <row r="27" ht="30" customHeight="1">
      <c r="A27" s="24" t="inlineStr">
        <is>
          <t>Example 2</t>
        </is>
      </c>
      <c r="B27" s="17">
        <f>INDEX('Topic (56-pt) cards'!$A$3:$BB$40,MATCH($B$2,'Topic (56-pt) cards'!$A$3:$A$40,0),MATCH("Example 2",'Topic (56-pt) cards'!$A$2:$BB$2,0))&amp;""</f>
        <v/>
      </c>
    </row>
    <row r="28" ht="30" customHeight="1">
      <c r="A28" s="24" t="inlineStr">
        <is>
          <t>Example 3</t>
        </is>
      </c>
      <c r="B28" s="17">
        <f>INDEX('Topic (56-pt) cards'!$A$3:$BB$40,MATCH($B$2,'Topic (56-pt) cards'!$A$3:$A$40,0),MATCH("Example 3",'Topic (56-pt) cards'!$A$2:$BB$2,0))&amp;""</f>
        <v/>
      </c>
    </row>
    <row r="29" ht="30" customHeight="1">
      <c r="A29" s="24" t="inlineStr">
        <is>
          <t>Related concepts</t>
        </is>
      </c>
      <c r="B29" s="17">
        <f>INDEX('Topic (56-pt) cards'!$A$3:$BB$40,MATCH($B$2,'Topic (56-pt) cards'!$A$3:$A$40,0),MATCH("Related concepts",'Topic (56-pt) cards'!$A$2:$BB$2,0))&amp;""</f>
        <v/>
      </c>
    </row>
    <row r="30" ht="30" customHeight="1">
      <c r="A30" s="24" t="inlineStr">
        <is>
          <t>Family / group</t>
        </is>
      </c>
      <c r="B30" s="17">
        <f>INDEX('Topic (56-pt) cards'!$A$3:$BB$40,MATCH($B$2,'Topic (56-pt) cards'!$A$3:$A$40,0),MATCH("Family / group",'Topic (56-pt) cards'!$A$2:$BB$2,0))&amp;""</f>
        <v/>
      </c>
    </row>
    <row r="31" ht="30" customHeight="1">
      <c r="A31" s="24" t="inlineStr">
        <is>
          <t>Where it is used</t>
        </is>
      </c>
      <c r="B31" s="17">
        <f>INDEX('Topic (56-pt) cards'!$A$3:$BB$40,MATCH($B$2,'Topic (56-pt) cards'!$A$3:$A$40,0),MATCH("Where it is used",'Topic (56-pt) cards'!$A$2:$BB$2,0))&amp;""</f>
        <v/>
      </c>
    </row>
    <row r="32" ht="30" customHeight="1">
      <c r="A32" s="24" t="inlineStr">
        <is>
          <t>Mini conversation</t>
        </is>
      </c>
      <c r="B32" s="17">
        <f>INDEX('Topic (56-pt) cards'!$A$3:$BB$40,MATCH($B$2,'Topic (56-pt) cards'!$A$3:$A$40,0),MATCH("Mini conversation",'Topic (56-pt) cards'!$A$2:$BB$2,0))&amp;""</f>
        <v/>
      </c>
    </row>
    <row r="33" ht="30" customHeight="1">
      <c r="A33" s="24" t="inlineStr">
        <is>
          <t>Common mistake</t>
        </is>
      </c>
      <c r="B33" s="17">
        <f>INDEX('Topic (56-pt) cards'!$A$3:$BB$40,MATCH($B$2,'Topic (56-pt) cards'!$A$3:$A$40,0),MATCH("Common mistake",'Topic (56-pt) cards'!$A$2:$BB$2,0))&amp;""</f>
        <v/>
      </c>
    </row>
    <row r="34" ht="30" customHeight="1">
      <c r="A34" s="24" t="inlineStr">
        <is>
          <t>Don't confuse with</t>
        </is>
      </c>
      <c r="B34" s="17">
        <f>INDEX('Topic (56-pt) cards'!$A$3:$BB$40,MATCH($B$2,'Topic (56-pt) cards'!$A$3:$A$40,0),MATCH("Don't confuse with",'Topic (56-pt) cards'!$A$2:$BB$2,0))&amp;""</f>
        <v/>
      </c>
    </row>
    <row r="35" ht="30" customHeight="1">
      <c r="A35" s="24" t="inlineStr">
        <is>
          <t>Avoid / don't</t>
        </is>
      </c>
      <c r="B35" s="17">
        <f>INDEX('Topic (56-pt) cards'!$A$3:$BB$40,MATCH($B$2,'Topic (56-pt) cards'!$A$3:$A$40,0),MATCH("Avoid / don't",'Topic (56-pt) cards'!$A$2:$BB$2,0))&amp;""</f>
        <v/>
      </c>
    </row>
    <row r="36" ht="30" customHeight="1">
      <c r="A36" s="24" t="inlineStr">
        <is>
          <t>Memory trick</t>
        </is>
      </c>
      <c r="B36" s="17">
        <f>INDEX('Topic (56-pt) cards'!$A$3:$BB$40,MATCH($B$2,'Topic (56-pt) cards'!$A$3:$A$40,0),MATCH("Memory trick",'Topic (56-pt) cards'!$A$2:$BB$2,0))&amp;""</f>
        <v/>
      </c>
    </row>
    <row r="37" ht="30" customHeight="1">
      <c r="A37" s="24" t="inlineStr">
        <is>
          <t>Real life: project / work</t>
        </is>
      </c>
      <c r="B37" s="17">
        <f>INDEX('Topic (56-pt) cards'!$A$3:$BB$40,MATCH($B$2,'Topic (56-pt) cards'!$A$3:$A$40,0),MATCH("Real life: project / work",'Topic (56-pt) cards'!$A$2:$BB$2,0))&amp;""</f>
        <v/>
      </c>
    </row>
    <row r="38" ht="30" customHeight="1">
      <c r="A38" s="24" t="inlineStr">
        <is>
          <t>Real life: interview / exam</t>
        </is>
      </c>
      <c r="B38" s="17">
        <f>INDEX('Topic (56-pt) cards'!$A$3:$BB$40,MATCH($B$2,'Topic (56-pt) cards'!$A$3:$A$40,0),MATCH("Real life: interview / exam",'Topic (56-pt) cards'!$A$2:$BB$2,0))&amp;""</f>
        <v/>
      </c>
    </row>
    <row r="39" ht="30" customHeight="1">
      <c r="A39" s="24" t="inlineStr">
        <is>
          <t>Real life: daily life</t>
        </is>
      </c>
      <c r="B39" s="17">
        <f>INDEX('Topic (56-pt) cards'!$A$3:$BB$40,MATCH($B$2,'Topic (56-pt) cards'!$A$3:$A$40,0),MATCH("Real life: daily life",'Topic (56-pt) cards'!$A$2:$BB$2,0))&amp;""</f>
        <v/>
      </c>
    </row>
    <row r="40">
      <c r="A40" s="27" t="inlineStr">
        <is>
          <t>PRACTICE · Khud karo</t>
        </is>
      </c>
    </row>
    <row r="41" ht="30" customHeight="1">
      <c r="A41" s="24" t="inlineStr">
        <is>
          <t>MCQ question</t>
        </is>
      </c>
      <c r="B41" s="17">
        <f>INDEX('Topic (56-pt) cards'!$A$3:$BB$40,MATCH($B$2,'Topic (56-pt) cards'!$A$3:$A$40,0),MATCH("MCQ question",'Topic (56-pt) cards'!$A$2:$BB$2,0))&amp;""</f>
        <v/>
      </c>
    </row>
    <row r="42" ht="30" customHeight="1">
      <c r="A42" s="24" t="inlineStr">
        <is>
          <t>MCQ options</t>
        </is>
      </c>
      <c r="B42" s="17">
        <f>INDEX('Topic (56-pt) cards'!$A$3:$BB$40,MATCH($B$2,'Topic (56-pt) cards'!$A$3:$A$40,0),MATCH("MCQ options",'Topic (56-pt) cards'!$A$2:$BB$2,0))&amp;""</f>
        <v/>
      </c>
    </row>
    <row r="43" ht="30" customHeight="1">
      <c r="A43" s="24" t="inlineStr">
        <is>
          <t>MCQ answer</t>
        </is>
      </c>
      <c r="B43" s="17">
        <f>INDEX('Topic (56-pt) cards'!$A$3:$BB$40,MATCH($B$2,'Topic (56-pt) cards'!$A$3:$A$40,0),MATCH("MCQ answer",'Topic (56-pt) cards'!$A$2:$BB$2,0))&amp;""</f>
        <v/>
      </c>
    </row>
    <row r="44" ht="30" customHeight="1">
      <c r="A44" s="24" t="inlineStr">
        <is>
          <t>Why that answer</t>
        </is>
      </c>
      <c r="B44" s="17">
        <f>INDEX('Topic (56-pt) cards'!$A$3:$BB$40,MATCH($B$2,'Topic (56-pt) cards'!$A$3:$A$40,0),MATCH("Why that answer",'Topic (56-pt) cards'!$A$2:$BB$2,0))&amp;""</f>
        <v/>
      </c>
    </row>
    <row r="45" ht="30" customHeight="1">
      <c r="A45" s="24" t="inlineStr">
        <is>
          <t>Fill the blank</t>
        </is>
      </c>
      <c r="B45" s="17">
        <f>INDEX('Topic (56-pt) cards'!$A$3:$BB$40,MATCH($B$2,'Topic (56-pt) cards'!$A$3:$A$40,0),MATCH("Fill the blank",'Topic (56-pt) cards'!$A$2:$BB$2,0))&amp;""</f>
        <v/>
      </c>
    </row>
    <row r="46" ht="30" customHeight="1">
      <c r="A46" s="24" t="inlineStr">
        <is>
          <t>Apply it</t>
        </is>
      </c>
      <c r="B46" s="17">
        <f>INDEX('Topic (56-pt) cards'!$A$3:$BB$40,MATCH($B$2,'Topic (56-pt) cards'!$A$3:$A$40,0),MATCH("Apply it",'Topic (56-pt) cards'!$A$2:$BB$2,0))&amp;""</f>
        <v/>
      </c>
    </row>
    <row r="47" ht="30" customHeight="1">
      <c r="A47" s="24" t="inlineStr">
        <is>
          <t>Explain it yourself</t>
        </is>
      </c>
      <c r="B47" s="17">
        <f>INDEX('Topic (56-pt) cards'!$A$3:$BB$40,MATCH($B$2,'Topic (56-pt) cards'!$A$3:$A$40,0),MATCH("Explain it yourself",'Topic (56-pt) cards'!$A$2:$BB$2,0))&amp;""</f>
        <v/>
      </c>
    </row>
    <row r="48" ht="30" customHeight="1">
      <c r="A48" s="24" t="inlineStr">
        <is>
          <t>Write your own</t>
        </is>
      </c>
      <c r="B48" s="17">
        <f>INDEX('Topic (56-pt) cards'!$A$3:$BB$40,MATCH($B$2,'Topic (56-pt) cards'!$A$3:$A$40,0),MATCH("Write your own",'Topic (56-pt) cards'!$A$2:$BB$2,0))&amp;""</f>
        <v/>
      </c>
    </row>
    <row r="49" ht="30" customHeight="1">
      <c r="A49" s="24" t="inlineStr">
        <is>
          <t>Quick recall (reverse)</t>
        </is>
      </c>
      <c r="B49" s="17">
        <f>INDEX('Topic (56-pt) cards'!$A$3:$BB$40,MATCH($B$2,'Topic (56-pt) cards'!$A$3:$A$40,0),MATCH("Quick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cards'!$A$3:$A$40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What an LLM is
Which kind of model predicts text and can follow instructions?</t>
        </is>
      </c>
      <c r="B2" s="29" t="inlineStr">
        <is>
          <t>DEFINITION (SIMPLE):
A large language model is a neural network trained on large text collections that generates text by predicting likely next tokens, and is adapted to follow instructions and hold conversations.
HOW / WHY IT WORKS:
The model has fixed knowledge up to its training cut-off and no live access to the internet unless tools are provided. It does not look up facts but produces likely text, so it can be wrong while sounding confident. Behaviour depends on the prompt, settings and context. Applications wrap the model with instructions, data and tools.
SIMPLE EXPLANATION (HINGLISH):
An LLM generates text from your prompt using patterns learned in training, and it can be wrong.
REAL-LIFE ANALOGY:
An LLM is a well-read assistant who writes fluent answers from learned patterns and checks nothing unless given tools.
FORMULA / RULE:
Prompt in, predicted text out.
EXAMPLE 1:
Summarising a pasted email.
EXAMPLE 2:
Drafting a reply in a given tone.
EXAMPLE 3:
Classifying a ticket by topic.
RELATED CONCEPTS:
tokens, context window, hallucination, grounding
FAMILY / GROUP:
model, prediction, training, inference, instruction
WHERE IT IS USED:
Assistants | Automation | Customer tools
MINI CONVERSATION:
A: Does the model know our latest policy? | B: Only if we put it in the prompt, since its training is fixed.
COMMON MISTAKE:
✗ An LLM looks up facts like a search engine → ✓ It generates likely text and can be wrong without any lookup
DON'T CONFUSE WITH:
LLM vs search engine: one generates text, the other retrieves existing documents.
AVOID / DON'T:
Do not treat model output as verified fact.
MEMORY TRICK:
Fluent does not mean correct.
REAL LIFE: PROJECT / WORK:
Explaining that the model needed the policy text in its prompt resolved a customer's wrong answers.
REAL LIFE: INTERVIEW / EXAM:
An interviewer may ask: What can and cannot an LLM do reliably?
REAL LIFE: DAILY LIFE:
It is like a well-read assistant who writes fluently.</t>
        </is>
      </c>
      <c r="C2" s="29" t="inlineStr">
        <is>
          <t>01_Basics_Beginner_LLM-001</t>
        </is>
      </c>
    </row>
    <row r="3" ht="409" customHeight="1">
      <c r="A3" s="29" t="inlineStr">
        <is>
          <t>Tokens
Which pieces of text do models read, write and charge for?</t>
        </is>
      </c>
      <c r="B3" s="29" t="inlineStr">
        <is>
          <t>DEFINITION (SIMPLE):
A token is a unit of text, such as a word, part of a word or punctuation, that a tokenizer produces, and models read, generate and bill by tokens.
HOW / WHY IT WORKS:
In English, a token is roughly three quarters of a word, but this varies by language and tokenizer, and other languages may use more tokens per word. Both input and output count toward limits and cost. Rare words split into several tokens. Providers offer tokenizer tools or token counting endpoints. Whitespace and formatting also use tokens.
SIMPLE EXPLANATION (HINGLISH):
Text becomes tokens, and tokens decide limits and cost.
REAL-LIFE ANALOGY:
Tokens are the Lego bricks of text.
FORMULA / RULE:
Input tokens + output tokens = total used.
EXAMPLE 1:
A short sentence using about ten tokens.
EXAMPLE 2:
A long contract using thousands of tokens.
EXAMPLE 3:
Hindi text using more tokens per word than English.
RELATED CONCEPTS:
context window, cost control, model choice, caching
FAMILY / GROUP:
token, tokenizer, input, output, limit
WHERE IT IS USED:
Cost estimates | Limits | Prompt design
MINI CONVERSATION:
A: Why does this Hindi prompt cost more? | B: It uses more tokens per word.
COMMON MISTAKE:
✗ One token equals one word → ✓ Tokens are pieces of words, and the ratio varies by language
DON'T CONFUSE WITH:
Token vs word: tokens are model units, words are human units.
AVOID / DON'T:
Do not estimate cost by counting words only.
MEMORY TRICK:
Always count tokens, never just words.
REAL LIFE: PROJECT / WORK:
Counting tokens before sending documents avoided surprise limit errors in a batch job.
REAL LIFE: INTERVIEW / EXAM:
An interviewer may ask: Why are tokens important?
REAL LIFE: DAILY LIFE:
It is like Lego bricks of text.</t>
        </is>
      </c>
      <c r="C3" s="29" t="inlineStr">
        <is>
          <t>01_Basics_Beginner_LLM-002</t>
        </is>
      </c>
    </row>
    <row r="4" ht="409" customHeight="1">
      <c r="A4" s="29" t="inlineStr">
        <is>
          <t>Context window
Which limit says how much text the model can consider at once?</t>
        </is>
      </c>
      <c r="B4" s="29" t="inlineStr">
        <is>
          <t>DEFINITION (SIMPLE):
The context window is the maximum number of tokens, covering the prompt, history and output, that a model can process in one request.
HOW / WHY IT WORKS:
Everything the model should use must fit in the window, including the system prompt, previous messages, retrieved documents and the reply. Larger windows allow longer documents, but cost more and may reduce attention on details in the middle. Overflow causes errors or truncation. Strategies include summarising history, retrieving only relevant parts and splitting work. The model has no memory beyond what you send each time.
SIMPLE EXPLANATION (HINGLISH):
Everything must fit in the window, and the model remembers only what you send.
REAL-LIFE ANALOGY:
The context window is the size of the desk where the model spreads all papers for one job.
FORMULA / RULE:
Prompt + history + documents + answer ≤ window.
EXAMPLE 1:
A long chat history trimmed to fit.
EXAMPLE 2:
A document split into parts.
EXAMPLE 3:
Retrieving only relevant passages.
RELATED CONCEPTS:
tokens, chat memory, RAG, cost control
FAMILY / GROUP:
window, limit, truncation, history, budget
WHERE IT IS USED:
Chat apps | Document tools | Cost planning
MINI CONVERSATION:
A: The model forgot what I said earlier. | B: That message fell outside the context we sent.
COMMON MISTAKE:
✗ The model remembers earlier calls by itself → ✓ It sees only what is included in each request
DON'T CONFUSE WITH:
Window vs memory: the window is per request, memory is something you build.
AVOID / DON'T:
Do not fill the whole window with input and leave no room for output.
MEMORY TRICK:
Send it or it is forgotten.
REAL LIFE: PROJECT / WORK:
Summarising old messages kept a long support chat inside the window.
REAL LIFE: INTERVIEW / EXAM:
An interviewer may ask: What happens when the prompt exceeds the context window?
REAL LIFE: DAILY LIFE:
It is like the size of a desk.</t>
        </is>
      </c>
      <c r="C4" s="29" t="inlineStr">
        <is>
          <t>01_Basics_Beginner_LLM-003</t>
        </is>
      </c>
    </row>
    <row r="5" ht="409" customHeight="1">
      <c r="A5" s="29" t="inlineStr">
        <is>
          <t>Roles in a conversation
Which labels mark who is speaking in a chat style request?</t>
        </is>
      </c>
      <c r="B5" s="29" t="inlineStr">
        <is>
          <t>DEFINITION (SIMPLE):
A chat request is a list of messages with roles such as system for rules, user for the person's input, assistant for earlier model replies, and tool for tool results.
HOW / WHY IT WORKS:
The system message sets behaviour, tone and constraints. User messages carry requests and data. Assistant messages hold previous replies to keep the thread. Tool messages return results of tool calls. Models give system content higher priority, but this is not a security boundary, so untrusted text must not be placed as instructions.
SIMPLE EXPLANATION (HINGLISH):
Use system for rules, user for requests, assistant for history, and tool for tool results.
REAL-LIFE ANALOGY:
Roles are the name tags in a script that say who speaks each line.
FORMULA / RULE:
system = rules, user = input, assistant = replies, tool = results.
EXAMPLE 1:
System: You are a polite support agent.
EXAMPLE 2:
User: Where is my order?
EXAMPLE 3:
Assistant: Let me check that for you.
RELATED CONCEPTS:
system prompts, prompt injection, tool calling, chat memory
FAMILY / GROUP:
role, message, system, user, assistant
WHERE IT IS USED:
Every chat API | Assistants | Agents
MINI CONVERSATION:
A: Where do I put the tone instructions? | B: In the system message.
COMMON MISTAKE:
✗ The system role makes instructions impossible to override → ✓ It guides the model, but it is not a hard security boundary
DON'T CONFUSE WITH:
System vs user: rules versus requests.
AVOID / DON'T:
Do not put untrusted text into the system message.
MEMORY TRICK:
System sets rules, user asks questions.
REAL LIFE: PROJECT / WORK:
Moving tone rules into the system message made replies consistent across a support bot.
REAL LIFE: INTERVIEW / EXAM:
An interviewer may ask: What are the roles in a chat request?
REAL LIFE: DAILY LIFE:
It is like name tags in a script.</t>
        </is>
      </c>
      <c r="C5" s="29" t="inlineStr">
        <is>
          <t>01_Basics_Beginner_LLM-004</t>
        </is>
      </c>
    </row>
    <row r="6" ht="409" customHeight="1">
      <c r="A6" s="29" t="inlineStr">
        <is>
          <t>Temperature and sampling
Which settings control how random or predictable the output is?</t>
        </is>
      </c>
      <c r="B6" s="29" t="inlineStr">
        <is>
          <t>DEFINITION (SIMPLE):
Temperature rescales next-token probabilities so low values make output more focused and repeatable, and high values make it more varied, while top-p limits choices to the most probable group.
HOW / WHY IT WORKS:
At temperature near zero the model almost always picks the likeliest token, giving more consistent but not guaranteed identical output. Higher values increase variety and risk of odd answers. Top-p and top-k limit the pool of tokens. Some models fix these settings. Change one setting at a time, and test on examples.
SIMPLE EXPLANATION (HINGLISH):
Use lower values for consistent answers and higher for variety.
REAL-LIFE ANALOGY:
Temperature is a creativity dial from strict clerk to imaginative poet.
FORMULA / RULE:
Low = predictable. High = varied.
EXAMPLE 1:
Temperature near zero for data extraction.
EXAMPLE 2:
Higher temperature for brainstorming names.
EXAMPLE 3:
Top-p of 0.9 limiting rare tokens.
RELATED CONCEPTS:
structured output, hallucination, model choice, evaluation
FAMILY / GROUP:
temperature, top-p, sampling, randomness, determinism
WHERE IT IS USED:
Extraction | Creative tools | Testing
MINI CONVERSATION:
A: The output changes every run. | B: Lower the temperature for more consistent answers.
COMMON MISTAKE:
✗ Temperature zero guarantees identical output every time → ✓ It reduces variation but does not promise it
DON'T CONFUSE WITH:
Temperature vs top-p: one reshapes probabilities, the other limits the choice set.
AVOID / DON'T:
Do not change several sampling settings at once.
MEMORY TRICK:
Cold for facts, warm for ideas.
REAL LIFE: PROJECT / WORK:
Lowering temperature made ticket classification far more consistent.
REAL LIFE: INTERVIEW / EXAM:
An interviewer may ask: What does temperature do?
REAL LIFE: DAILY LIFE:
It is like a creativity dial.</t>
        </is>
      </c>
      <c r="C6" s="29" t="inlineStr">
        <is>
          <t>01_Basics_Intermediate_LLM-005</t>
        </is>
      </c>
    </row>
    <row r="7" ht="409" customHeight="1">
      <c r="A7" s="29" t="inlineStr">
        <is>
          <t>Stop reasons
Which values tell you why the model stopped generating?</t>
        </is>
      </c>
      <c r="B7" s="29" t="inlineStr">
        <is>
          <t>DEFINITION (SIMPLE):
A stop reason is a field in the response that states why generation ended, for example finished naturally, reached the maximum token limit, hit a stop sequence or wants to call a tool.
HOW / WHY IT WORKS:
A length stop means the output was cut off and may be incomplete, such as broken JSON. A natural end means the model finished. A tool stop means the application must run the tool and send back the result. Stop sequences can end output at a chosen marker. Content filters may also stop output. Names of values differ between providers.
SIMPLE EXPLANATION (HINGLISH):
Read the stop reason, and handle cut-offs and tool requests.
REAL-LIFE ANALOGY:
A stop reason is the model telling you why it put down the pen.
FORMULA / RULE:
Finished, length, stop sequence, tool request.
EXAMPLE 1:
A reply cut off at the maximum tokens.
EXAMPLE 2:
A stop sequence ending a list.
EXAMPLE 3:
A tool request waiting for a result.
RELATED CONCEPTS:
tokens, structured output, tool calling, errors and retries
FAMILY / GROUP:
stop reason, max tokens, stop sequence, truncation, completion
WHERE IT IS USED:
Every integration | Parsing | Agents
MINI CONVERSATION:
A: The JSON is cut in the middle. | B: The stop reason says length, so raise the output limit.
COMMON MISTAKE:
✗ Every response is complete → ✓ A length stop may leave it unfinished
DON'T CONFUSE WITH:
Natural end vs length stop: complete versus cut off.
AVOID / DON'T:
Do not parse output without checking why it ended.
MEMORY TRICK:
Check why it stopped before you trust it.
REAL LIFE: PROJECT / WORK:
Checking the stop reason found truncated outputs that had broken a parser.
REAL LIFE: INTERVIEW / EXAM:
An interviewer may ask: What does a length stop mean?
REAL LIFE: DAILY LIFE:
It is like asking why the pen was put down.</t>
        </is>
      </c>
      <c r="C7" s="29" t="inlineStr">
        <is>
          <t>01_Basics_Intermediate_LLM-006</t>
        </is>
      </c>
    </row>
    <row r="8" ht="409" customHeight="1">
      <c r="A8" s="29" t="inlineStr">
        <is>
          <t>Model choice
How do you pick a model for a task without chasing the newest name?</t>
        </is>
      </c>
      <c r="B8" s="29" t="inlineStr">
        <is>
          <t>DEFINITION (SIMPLE):
Model choice means selecting a model by testing quality, latency, cost, context size, supported features and data handling terms on your own examples.
HOW / WHY IT WORKS:
Bigger models usually reason better but are slower and cost more. Smaller models suit simple, high-volume tasks. Check features such as tool use, structured output, images and context length. Read data retention and privacy terms. Keep model names in configuration so you can switch. Re-test when models change.
SIMPLE EXPLANATION (HINGLISH):
Test candidates on your own cases and pick the cheapest that meets quality.
REAL-LIFE ANALOGY:
Choosing a model is choosing a vehicle for the trip.
FORMULA / RULE:
Quality, speed, cost and features, tested on your data.
EXAMPLE 1:
A small model for classification at high volume.
EXAMPLE 2:
A larger model for complex analysis.
EXAMPLE 3:
A model name stored in a config file.
RELATED CONCEPTS:
cost control, evaluation, tokens, fallbacks
FAMILY / GROUP:
model, latency, cost, capability, configuration
WHERE IT IS USED:
Design reviews | Cost control | Migrations
MINI CONVERSATION:
A: Do we need the biggest model? | B: Test a smaller one on our examples first.
COMMON MISTAKE:
✗ The newest and biggest model is always best → ✓ The best choice meets your quality need at acceptable cost and speed
DON'T CONFUSE WITH:
Large vs small model: stronger reasoning versus lower cost and delay.
AVOID / DON'T:
Do not hard-code model names throughout the code.
MEMORY TRICK:
Test on your data, not on hype.
REAL LIFE: PROJECT / WORK:
A smaller model met quality needs on a classification task at much lower cost.
REAL LIFE: INTERVIEW / EXAM:
An interviewer may ask: How do you choose a model?
REAL LIFE: DAILY LIFE:
It is like choosing a vehicle for a trip.</t>
        </is>
      </c>
      <c r="C8" s="29" t="inlineStr">
        <is>
          <t>01_Basics_Intermediate_LLM-007</t>
        </is>
      </c>
    </row>
    <row r="9" ht="409" customHeight="1">
      <c r="A9" s="29" t="inlineStr">
        <is>
          <t>Embeddings
Which vectors capture the meaning of text so similar texts are close together?</t>
        </is>
      </c>
      <c r="B9" s="29" t="inlineStr">
        <is>
          <t>DEFINITION (SIMPLE):
An embedding is a vector of numbers produced by a model that represents the meaning of a piece of text, so that similarity can be measured by distance or cosine similarity.
HOW / WHY IT WORKS:
Embeddings power semantic search, clustering, deduplication and retrieval for RAG. Texts with similar meaning have vectors that point in similar directions. They are generated by an embedding model, which differs from a chat model. Changing the model means re-embedding everything. Long texts are usually split into chunks first.
SIMPLE EXPLANATION (HINGLISH):
Convert text into vectors and compare them to find similar meaning.
REAL-LIFE ANALOGY:
Embeddings are map coordinates where similar ideas sit near each other.
FORMULA / RULE:
Similar meaning = nearby vectors.
EXAMPLE 1:
Finding FAQ answers that match a question.
EXAMPLE 2:
Grouping tickets by topic.
EXAMPLE 3:
Removing near-duplicate documents.
RELATED CONCEPTS:
RAG, vector search, chunking, evaluation
FAMILY / GROUP:
embedding, vector, similarity, cosine, semantic
WHERE IT IS USED:
Search | RAG | Clustering
MINI CONVERSATION:
A: The search misses synonyms. | B: Use embeddings for meaning-based search.
COMMON MISTAKE:
✗ Embeddings contain readable text → ✓ They are numbers that encode meaning and cannot be read directly
DON'T CONFUSE WITH:
Keyword vs semantic search: exact words versus meaning.
AVOID / DON'T:
Do not mix vectors from different embedding models.
MEMORY TRICK:
Same model for both sides of the search.
REAL LIFE: PROJECT / WORK:
Embedding support articles made search find answers phrased differently from the question.
REAL LIFE: INTERVIEW / EXAM:
An interviewer may ask: What are embeddings used for?
REAL LIFE: DAILY LIFE:
It is like coordinates on a map of meaning.</t>
        </is>
      </c>
      <c r="C9" s="29" t="inlineStr">
        <is>
          <t>01_Basics_Intermediate_LLM-008</t>
        </is>
      </c>
    </row>
    <row r="10" ht="409" customHeight="1">
      <c r="A10" s="29" t="inlineStr">
        <is>
          <t>Clear instructions
What makes a prompt that the model follows reliably?</t>
        </is>
      </c>
      <c r="B10" s="29" t="inlineStr">
        <is>
          <t>DEFINITION (SIMPLE):
Clear instructions state the task, the context, the desired format, the constraints and the success criteria in direct, specific language.
HOW / WHY IT WORKS:
Say what to do rather than only what to avoid. Give relevant background, since the model cannot see your situation. Specify length, tone and structure. Define terms that might be ambiguous. Provide the data to use. Test on varied inputs. Explain why a rule exists, since reasons help the model apply it sensibly.
SIMPLE EXPLANATION (HINGLISH):
Write the prompt like a clear brief to a capable colleague with no context.
REAL-LIFE ANALOGY:
A good prompt is a clear brief given to a new colleague who knows nothing about the project.
FORMULA / RULE:
Task + context + format + constraints.
EXAMPLE 1:
Summarise this email in three bullet points for a manager.
EXAMPLE 2:
Classify the ticket as billing, technical or other, and reply with only the label.
EXAMPLE 3:
Rewrite for a beginner, keeping every number unchanged.
RELATED CONCEPTS:
examples, structure with delimiters, output format, prompt versions
FAMILY / GROUP:
instruction, brief, constraint, context, audience
WHERE IT IS USED:
Every LLM application | Prompt reviews | Testing
MINI CONVERSATION:
A: The summaries are too long. | B: State the length and audience in the prompt.
COMMON MISTAKE:
✗ Short prompts are always better → ✓ Clear and specific prompts work better than vague short ones
DON'T CONFUSE WITH:
Vague vs specific prompt: vague gives guesses, specific gives targeted output.
AVOID / DON'T:
Do not assume the model knows your context.
MEMORY TRICK:
Brief it like a smart stranger.
REAL LIFE: PROJECT / WORK:
Adding audience and length to a prompt fixed inconsistent summaries.
REAL LIFE: INTERVIEW / EXAM:
An interviewer may ask: How do you make a prompt reliable?
REAL LIFE: DAILY LIFE:
It is like briefing a new colleague.</t>
        </is>
      </c>
      <c r="C10" s="29" t="inlineStr">
        <is>
          <t>02_Prompting_Beginner_LLM-009</t>
        </is>
      </c>
    </row>
    <row r="11" ht="409" customHeight="1">
      <c r="A11" s="29" t="inlineStr">
        <is>
          <t>Examples in prompts
How do examples show the model exactly what you want?</t>
        </is>
      </c>
      <c r="B11" s="29" t="inlineStr">
        <is>
          <t>DEFINITION (SIMPLE):
Few-shot prompting includes a small number of example inputs and outputs in the prompt, so the model imitates their pattern, while zero-shot gives only instructions.
HOW / WHY IT WORKS:
Examples set format, tone and decision rules better than long descriptions. Choose diverse cases, including edge cases. Wrong or biased examples teach wrong patterns. Keep the format of examples identical to the real task. Too many examples cost tokens. Wrap examples in tags so they are not confused with the task.
SIMPLE EXPLANATION (HINGLISH):
Show two to five good examples, then give the real input.
REAL-LIFE ANALOGY:
Examples are showing a trainee three finished forms before they fill in their own.
FORMULA / RULE:
Examples set the pattern.
EXAMPLE 1:
Three labelled tickets before the new ticket.
EXAMPLE 2:
An example of the exact JSON shape wanted.
EXAMPLE 3:
An edge case example with an unclear ticket.
RELATED CONCEPTS:
clear instructions, output format, structure with delimiters, evaluation
FAMILY / GROUP:
few-shot, zero-shot, example, pattern, edge case
WHERE IT IS USED:
Classification | Extraction | Style control
MINI CONVERSATION:
A: The model keeps using the wrong format. | B: Add two examples of the format.
COMMON MISTAKE:
✗ More examples are always better → ✓ A few good diverse examples beat many similar ones
DON'T CONFUSE WITH:
Zero-shot vs few-shot: instructions only versus instructions plus examples.
AVOID / DON'T:
Do not use examples that contain mistakes.
MEMORY TRICK:
Show a few, vary them, keep them correct.
REAL LIFE: PROJECT / WORK:
Adding edge case examples raised accuracy of a ticket classifier.
REAL LIFE: INTERVIEW / EXAM:
An interviewer may ask: What is few-shot prompting?
REAL LIFE: DAILY LIFE:
It is like showing finished forms to a trainee.</t>
        </is>
      </c>
      <c r="C11" s="29" t="inlineStr">
        <is>
          <t>02_Prompting_Beginner_LLM-010</t>
        </is>
      </c>
    </row>
    <row r="12" ht="409" customHeight="1">
      <c r="A12" s="29" t="inlineStr">
        <is>
          <t>Structure with delimiters
How do you separate instructions, data and examples inside a prompt?</t>
        </is>
      </c>
      <c r="B12" s="29" t="inlineStr">
        <is>
          <t>DEFINITION (SIMPLE):
Delimiters such as XML-style tags or clear headings mark the boundaries of instructions, context, examples and user input, so the model treats each part correctly.
HOW / WHY IT WORKS:
Tags like document and question let you refer to parts explicitly. They also reduce the chance that text inside data is read as instructions, though they do not stop prompt injection fully. Keep tag names consistent. Put long documents first and the question last for many models. Use the same structure across prompts.
SIMPLE EXPLANATION (HINGLISH):
Put each part in its own labelled section.
REAL-LIFE ANALOGY:
Delimiters are labelled folders that keep each paper in its own place.
FORMULA / RULE:
Label each part, refer to it by name.
EXAMPLE 1:
A document tag around an article.
EXAMPLE 2:
A question tag at the end.
EXAMPLE 3:
An examples tag holding sample pairs.
RELATED CONCEPTS:
clear instructions, prompt injection, examples, output format
FAMILY / GROUP:
delimiter, tag, section, boundary, structure
WHERE IT IS USED:
Long prompts | Document tasks | RAG
MINI CONVERSATION:
A: The model answers using the instructions as data. | B: Wrap the data in tags so it stays separate.
COMMON MISTAKE:
✗ Delimiters make prompt injection impossible → ✓ They help, but untrusted input still needs other defences
DON'T CONFUSE WITH:
Plain text vs tagged sections: tags give clear boundaries.
AVOID / DON'T:
Do not mix instructions and untrusted data without markers.
MEMORY TRICK:
Label every section by name.
REAL LIFE: PROJECT / WORK:
Tagging retrieved documents reduced confusion between data and instructions.
REAL LIFE: INTERVIEW / EXAM:
An interviewer may ask: Why use tags in prompts?
REAL LIFE: DAILY LIFE:
It is like keeping papers in labelled folders.</t>
        </is>
      </c>
      <c r="C12" s="29" t="inlineStr">
        <is>
          <t>02_Prompting_Intermediate_LLM-011</t>
        </is>
      </c>
    </row>
    <row r="13" ht="409" customHeight="1">
      <c r="A13" s="29" t="inlineStr">
        <is>
          <t>Step-by-step reasoning
How do you get better answers on hard problems by letting the model work through steps?</t>
        </is>
      </c>
      <c r="B13" s="29" t="inlineStr">
        <is>
          <t>DEFINITION (SIMPLE):
Step-by-step prompting asks the model to break a problem into steps or think before answering, which often improves results on multi-step tasks, and some models have built-in extended thinking.
HOW / WHY IT WORKS:
Give room for reasoning before the answer, and separate the final answer so it is easy to parse. For simple tasks it adds cost without benefit. Reasoning shown by a model is useful for review but is not guaranteed to be a faithful explanation. Check results with tests or tools. Built-in reasoning modes may make explicit prompts less necessary.
SIMPLE EXPLANATION (HINGLISH):
Let the model think through steps before the final answer on hard tasks.
REAL-LIFE ANALOGY:
It is like asking a student to show their working.
FORMULA / RULE:
Think first, answer last.
EXAMPLE 1:
Work through the calculation, then give the total.
EXAMPLE 2:
List assumptions, then recommend.
EXAMPLE 3:
Reason inside a thinking section and answer in an answer section.
RELATED CONCEPTS:
clear instructions, output format, evaluation, agents and loops
FAMILY / GROUP:
reasoning, steps, chain of thought, thinking, verification
WHERE IT IS USED:
Analysis | Maths | Planning
MINI CONVERSATION:
A: The model gets multi-step sums wrong. | B: Ask it to work step by step before answering.
COMMON MISTAKE:
✗ Shown reasoning is always a true record of how the model decided → ✓ It is helpful but not guaranteed to be faithful
DON'T CONFUSE WITH:
Direct vs stepwise answer: one jumps to the answer, the other works through steps.
AVOID / DON'T:
Do not use step-by-step reasoning for trivial tasks.
MEMORY TRICK:
Let it reason first, then answer.
REAL LIFE: PROJECT / WORK:
Asking for steps improved accuracy on invoice calculations.
REAL LIFE: INTERVIEW / EXAM:
An interviewer may ask: When does step-by-step prompting help?
REAL LIFE: DAILY LIFE:
It is like showing working in an exam.</t>
        </is>
      </c>
      <c r="C13" s="29" t="inlineStr">
        <is>
          <t>02_Prompting_Intermediate_LLM-012</t>
        </is>
      </c>
    </row>
    <row r="14" ht="409" customHeight="1">
      <c r="A14" s="29" t="inlineStr">
        <is>
          <t>Output format
How do you make the model reply in a form your program or reader can use?</t>
        </is>
      </c>
      <c r="B14" s="29" t="inlineStr">
        <is>
          <t>DEFINITION (SIMPLE):
Output format instructions tell the model the exact shape of its reply, such as JSON with named fields, a table, a fixed list of labels or plain text of set length.
HOW / WHY IT WORKS:
Show the shape with an example. Name the fields and allowed values. Tell the model to output only the structure when a program reads it. Many APIs offer structured output features that enforce a schema. Always validate and handle failures, since free-form instructions can still fail. Separate display text from data.
SIMPLE EXPLANATION (HINGLISH):
State the format, show an example, and validate what comes back.
REAL-LIFE ANALOGY:
Output format is giving the model a form with boxes to fill in.
FORMULA / RULE:
Format stated, shown, then validated.
EXAMPLE 1:
Reply with JSON containing label and confidence.
EXAMPLE 2:
Reply with one word from a fixed list.
EXAMPLE 3:
A table with three columns.
RELATED CONCEPTS:
structured output, examples, stop reasons, errors and retries
FAMILY / GROUP:
format, schema, field, JSON, validation
WHERE IT IS USED:
Extraction | Automation | Reports
MINI CONVERSATION:
A: My parser breaks on the model's text. | B: Ask for JSON only and validate it.
COMMON MISTAKE:
✗ A format instruction guarantees valid output → ✓ You still need validation and retries
DON'T CONFUSE WITH:
Prompted JSON vs enforced schema: the first can fail, the second is constrained by the API.
AVOID / DON'T:
Do not parse model output without validating it.
MEMORY TRICK:
Name the fields, show one, validate always.
REAL LIFE: PROJECT / WORK:
Validating JSON from the model and retrying once fixed rare formatting failures.
REAL LIFE: INTERVIEW / EXAM:
An interviewer may ask: How do you get reliable JSON from an LLM?
REAL LIFE: DAILY LIFE:
It is like a form with boxes.</t>
        </is>
      </c>
      <c r="C14" s="29" t="inlineStr">
        <is>
          <t>02_Prompting_Beginner_LLM-013</t>
        </is>
      </c>
    </row>
    <row r="15" ht="409" customHeight="1">
      <c r="A15" s="29" t="inlineStr">
        <is>
          <t>System prompts
How do you set stable behaviour, tone and rules for an assistant?</t>
        </is>
      </c>
      <c r="B15" s="29" t="inlineStr">
        <is>
          <t>DEFINITION (SIMPLE):
A system prompt is the initial instruction message that defines the assistant's role, tone, rules, tools and limits for the whole conversation.
HOW / WHY IT WORKS:
Good system prompts define the role and audience, list rules with reasons, say how to handle uncertainty and refusal, and describe the output style. They should be tested against hard inputs. Keep them as short as clarity allows. They are guidance, not a security control, and users may try to override them. Do not store secrets in them.
SIMPLE EXPLANATION (HINGLISH):
Write the assistant's role, rules and fallback behaviour once, and test it.
REAL-LIFE ANALOGY:
A system prompt is the job description given to an employee on day one.
FORMULA / RULE:
Role + rules with reasons + uncertainty handling + style.
EXAMPLE 1:
You are a support assistant for a software product.
EXAMPLE 2:
If you are unsure, say so and offer to escalate.
EXAMPLE 3:
Answer in short, polite sentences.
RELATED CONCEPTS:
roles, prompt injection, prompt versions, guardrails
FAMILY / GROUP:
system prompt, role, rules, tone, fallback
WHERE IT IS USED:
Assistants | Agents | Customer bots
MINI CONVERSATION:
A: The bot makes up policies. | B: Add a rule to say when it does not know, and test it.
COMMON MISTAKE:
✗ A system prompt can keep secrets safe → ✓ Users may extract it, so never put secrets there
DON'T CONFUSE WITH:
System prompt vs user prompt: standing rules versus one request.
AVOID / DON'T:
Do not put credentials in a system prompt.
MEMORY TRICK:
Rules with reasons, plus a fallback.
REAL LIFE: PROJECT / WORK:
Adding an uncertainty rule stopped a support bot inventing refund policies.
REAL LIFE: INTERVIEW / EXAM:
An interviewer may ask: What belongs in a system prompt?
REAL LIFE: DAILY LIFE:
It is like a job description on day one.</t>
        </is>
      </c>
      <c r="C15" s="29" t="inlineStr">
        <is>
          <t>02_Prompting_Intermediate_LLM-014</t>
        </is>
      </c>
    </row>
    <row r="16" ht="409" customHeight="1">
      <c r="A16" s="29" t="inlineStr">
        <is>
          <t>Prompt versions
How do you manage prompt changes like code?</t>
        </is>
      </c>
      <c r="B16" s="29" t="inlineStr">
        <is>
          <t>DEFINITION (SIMPLE):
Prompt versioning stores prompts in version control with identifiers, ties each version to evaluation results, and records which version produced each output.
HOW / WHY IT WORKS:
Treat prompts as code, with reviews and tests. Keep a set of example inputs with expected qualities and run them for each change. Log the prompt version with each request so problems can be traced. Roll out changes gradually. Avoid editing live prompts in a dashboard without history.
SIMPLE EXPLANATION (HINGLISH):
Store prompts in Git, test every change, and log the version used.
REAL-LIFE ANALOGY:
Prompt versions are numbered editions of a recipe.
FORMULA / RULE:
Version + test set + log of which version ran.
EXAMPLE 1:
A prompts folder in the repository.
EXAMPLE 2:
A test run comparing version two with version three.
EXAMPLE 3:
A log field prompt_version.
RELATED CONCEPTS:
evaluation, system prompts, logging calls safely, human review
FAMILY / GROUP:
version, test set, regression, rollout, changelog
WHERE IT IS USED:
Production LLM apps | Teams | Audits
MINI CONVERSATION:
A: Quality dropped after the last edit. | B: Compare the new prompt version against the test set and revert.
COMMON MISTAKE:
✗ Prompt wording changes are harmless → ✓ Small changes can alter behaviour widely
DON'T CONFUSE WITH:
Tested vs untested change: tested changes show regressions before release.
AVOID / DON'T:
Do not edit production prompts without a record.
MEMORY TRICK:
Version it, test it, log it.
REAL LIFE: PROJECT / WORK:
Versioned prompts let a team roll back a bad change within minutes.
REAL LIFE: INTERVIEW / EXAM:
An interviewer may ask: How do you manage prompts in production?
REAL LIFE: DAILY LIFE:
It is like numbered editions of a recipe.</t>
        </is>
      </c>
      <c r="C16" s="29" t="inlineStr">
        <is>
          <t>02_Prompting_Intermediate_LLM-015</t>
        </is>
      </c>
    </row>
    <row r="17" ht="409" customHeight="1">
      <c r="A17" s="29" t="inlineStr">
        <is>
          <t>Common prompting mistakes
Which errors most often make prompts fail?</t>
        </is>
      </c>
      <c r="B17" s="29" t="inlineStr">
        <is>
          <t>DEFINITION (SIMPLE):
Common prompting mistakes include vague tasks, missing context, conflicting rules, no output format, untested edge cases, trusting output without checks and mixing untrusted text with instructions.
HOW / WHY IT WORKS:
Conflicting instructions confuse the model. Shouting in capitals and piling on rules can backfire. Missing context makes the model guess. Testing only on easy inputs hides failures. Asking for facts the model cannot know invites invention. Not validating outputs lets errors through. Ignoring cost and length limits causes failures in production.
SIMPLE EXPLANATION (HINGLISH):
Be clear and consistent, give context, test on real inputs, and validate outputs.
REAL-LIFE ANALOGY:
Prompt mistakes are the common potholes on the road.
FORMULA / RULE:
Vague + untested + unvalidated = failure.
EXAMPLE 1:
A rule that says be brief and another that says be detailed.
EXAMPLE 2:
Testing only on three clean examples.
EXAMPLE 3:
No instruction for unknown answers.
RELATED CONCEPTS:
clear instructions, examples, evaluation, hallucination
FAMILY / GROUP:
conflict, vague, edge case, validation, guess
WHERE IT IS USED:
Prompt reviews | Debugging | Training
MINI CONVERSATION:
A: The model ignores my rule. | B: It conflicts with another rule, so make them consistent.
COMMON MISTAKE:
✗ Adding more rules always improves the result → ✓ Too many or conflicting rules confuse the model
DON'T CONFUSE WITH:
Clear vs crowded prompt: clear is focused, crowded is contradictory.
AVOID / DON'T:
Do not test only on perfect inputs.
MEMORY TRICK:
Keep prompts consistent, contextual, tested and validated.
REAL LIFE: PROJECT / WORK:
Removing conflicting rules improved a prompt more than adding new ones.
REAL LIFE: INTERVIEW / EXAM:
An interviewer may ask: What mistakes do you see in prompts?
REAL LIFE: DAILY LIFE:
It is like potholes on a road.</t>
        </is>
      </c>
      <c r="C17" s="29" t="inlineStr">
        <is>
          <t>02_Prompting_Intermediate_LLM-016</t>
        </is>
      </c>
    </row>
    <row r="18" ht="409" customHeight="1">
      <c r="A18" s="29" t="inlineStr">
        <is>
          <t>Prompting vs fine-tuning
When should you teach the model through the prompt and when through training?</t>
        </is>
      </c>
      <c r="B18" s="29" t="inlineStr">
        <is>
          <t>DEFINITION (SIMPLE):
Prompting changes behaviour through instructions, examples and context at run time, while fine-tuning trains the model on example data to change its default behaviour or style.
HOW / WHY IT WORKS:
Prompting and retrieval suit changing knowledge, quick iteration and low volume. Fine-tuning can help with consistent style or format, specialised tasks and shorter prompts at high volume, but needs quality data, costs effort, and can go stale. It is not a good way to add fresh facts. Evaluate before and after.
SIMPLE EXPLANATION (HINGLISH):
Start with prompts and retrieval, and fine-tune only for stable, high-volume needs.
REAL-LIFE ANALOGY:
Prompting is giving instructions to a skilled worker, and fine-tuning is sending them on a training course.
FORMULA / RULE:
Facts and changes: retrieval. Style and format at scale: maybe fine-tune.
EXAMPLE 1:
Policy answers from retrieved documents.
EXAMPLE 2:
A fixed brand voice learned from many examples.
EXAMPLE 3:
A short prompt after fine-tuning for a narrow task.
RELATED CONCEPTS:
RAG, examples, evaluation, cost control
FAMILY / GROUP:
fine-tuning, prompting, retrieval, training data, style
WHERE IT IS USED:
Architecture decisions | Cost planning | Specialised tasks
MINI CONVERSATION:
A: Should we fine-tune on our policies? | B: Use retrieval for facts, since policies change.
COMMON MISTAKE:
✗ Fine-tuning is the best way to teach new facts → ✓ Retrieval handles changing facts better
DON'T CONFUSE WITH:
Fine-tuning vs RAG: one changes behaviour, the other supplies knowledge.
AVOID / DON'T:
Do not fine-tune before trying prompts and examples.
MEMORY TRICK:
Prompt for rules, retrieve for facts.
REAL LIFE: PROJECT / WORK:
Using retrieval instead of fine-tuning kept answers up to date as policies changed.
REAL LIFE: INTERVIEW / EXAM:
An interviewer may ask: When would you fine-tune a model?
REAL LIFE: DAILY LIFE:
It is like instructions versus a training course.</t>
        </is>
      </c>
      <c r="C18" s="29" t="inlineStr">
        <is>
          <t>02_Prompting_Advanced_LLM-017</t>
        </is>
      </c>
    </row>
    <row r="19" ht="409" customHeight="1">
      <c r="A19" s="29" t="inlineStr">
        <is>
          <t>A request and response
What does a basic call to an LLM API look like?
POST https://api.provider.example/v1/chat
Authorization: Bearer $API_KEY
Content-Type: application/json
{"model": "MODEL_NAME", "max_tokens": 300, "temperature": 0.2, "messages": [{"role": "system", "content": "You are a concise assistant."}, {"role": "user", "content": "Explain DNS in two sentences."}]}
# response (shape varies by provider)
{"content": "DNS turns names into addresses ...", "stop_reason": "end", "usage": {"input_tokens": 28, "output_tokens": 41}}</t>
        </is>
      </c>
      <c r="B19" s="29" t="inlineStr">
        <is>
          <t>MEANING (SHORT):
A request sends the model name, the messages and settings such as maximum output tokens, and the response returns the generated content, a stop reason and token usage.
CODE:
POST https://api.provider.example/v1/chat
Authorization: Bearer $API_KEY
Content-Type: application/json
{"model": "MODEL_NAME", "max_tokens": 300, "temperature": 0.2, "messages": [{"role": "system", "content": "You are a concise assistant."}, {"role": "user", "content": "Explain DNS in two sentences."}]}
# response (shape varies by provider)
{"content": "DNS turns names into addresses ...", "stop_reason": "end", "usage": {"input_tokens": 28, "output_tokens": 41}}
OUTPUT:
A JSON reply with the generated text, why it stopped and how many tokens were used.
EXPLANATION:
The key is sent in a header and must never be placed in client-side code. The messages list carries the roles. max_tokens limits the output. Usage fields support cost tracking. Field names and endpoints differ between providers, so use the official SDK or documentation. Store the model name in configuration.
SIMPLE EXPLANATION (HINGLISH):
Send model, messages and limits, and read text, stop reason and usage back.
REAL-LIFE ANALOGY:
A request is an order slip with instructions, and the response is the finished dish with a receipt.
SYNTAX PATTERN:
POST /chat with model, messages, max_tokens
ANATOMY:
model = which model | messages = conversation | max_tokens = output cap | usage = token counts
EXAMPLE 1:
curl -X POST -H "Authorization: Bearer $API_KEY" -d @request.json URL
EXAMPLE 2:
{"role": "user", "content": "Summarise this text."}
EXAMPLE 3:
usage.output_tokens read for cost tracking
VARIATION:
use the provider SDK   // handles headers, retries and parsing
USED WITH:
environment variables, logging, cost control
RELATED CONCEPTS:
tokens, roles, stop reasons, cost control
ALTERNATIVES:
Provider SDKs
WHERE IT IS USED:
Every LLM integration | Prototypes | Backends
MINI CONVERSATION:
A: Can the browser call the API with our key? | B: No, call it from a backend so the key stays secret.
COMMON MISTAKE:
✗ API keys can safely live in front-end code → ✓ Anyone can read them there, so call from a server
COMMONLY CONFUSED WITH:
Request vs response: one carries your input, the other the model's output and usage.
AVOID / DON'T:
Do not embed API keys in web or mobile apps.
WRONG CODE:
const KEY = "sk-live-123";   // in browser code
RIGHT CODE:
const key = process.env.API_KEY;   // on the server
MEMORY TRICK:
Keys live on servers, never in browsers.
REAL LIFE: PROJECT / WORK:
Moving model calls to a backend stopped leaked keys from a web page.
REAL LIFE: INTERVIEW / EXAM:
An interviewer may ask: What does an LLM API request contain?
REAL LIFE: DAILY LIFE:
It is like an order slip and a dish with a receipt.</t>
        </is>
      </c>
      <c r="C19" s="29" t="inlineStr">
        <is>
          <t>03_API_Use_Beginner_LLM-018</t>
        </is>
      </c>
    </row>
    <row r="20" ht="409" customHeight="1">
      <c r="A20" s="29" t="inlineStr">
        <is>
          <t>Streaming
How do you show the reply word by word as it is generated?
# request adds a stream flag
{"model": "MODEL_NAME", "stream": true, "messages": [{"role": "user", "content": "Write a haiku."}]}
# client reads events
for event in client.stream(request):
    if event.type == "text":
        print(event.text, end="", flush=True)
    elif event.type == "done":
        print("\nstop:", event.stop_reason, event.usage)</t>
        </is>
      </c>
      <c r="B20" s="29" t="inlineStr">
        <is>
          <t>MEANING (SHORT):
Streaming returns the response as a sequence of small events, usually over server-sent events, which the client appends to the display until a final event signals completion.
CODE:
# request adds a stream flag
{"model": "MODEL_NAME", "stream": true, "messages": [{"role": "user", "content": "Write a haiku."}]}
# client reads events
for event in client.stream(request):
    if event.type == "text":
        print(event.text, end="", flush=True)
    elif event.type == "done":
        print("\nstop:", event.stop_reason, event.usage)
OUTPUT:
The text appears gradually, and the final event gives the stop reason and token usage.
EXPLANATION:
Time to first token drops, though total time is similar. The client must handle partial chunks, dropped connections and cancellation. Errors can arrive mid-stream after a success status. For structured output, wait for the full text before parsing. Proxies must not buffer the stream.
SIMPLE EXPLANATION (HINGLISH):
Ask for streaming, append chunks as they arrive, and handle errors mid-stream.
REAL-LIFE ANALOGY:
Streaming is a tap that pours as water arrives instead of waiting for a full jug.
SYNTAX PATTERN:
"stream": true
ANATOMY:
events = small chunks | done event = stop reason and usage | cancel = stop reading
EXAMPLE 1:
Server-sent events in a chat window.
EXAMPLE 2:
Cancelling a stream when the user leaves.
EXAMPLE 3:
Collecting chunks into one string.
VARIATION:
non-streaming mode   // simpler for batch jobs
USED WITH:
chat interfaces, proxies, error handling
RELATED CONCEPTS:
a request and response, errors and retries, timeouts, structured output
ALTERNATIVES:
Non-streaming calls
WHERE IT IS USED:
Chat apps | Assistants | Live tools
MINI CONVERSATION:
A: Users wait ten seconds seeing nothing. | B: Stream the reply so text appears at once.
COMMON MISTAKE:
✗ Streaming makes the whole answer arrive faster → ✓ It only shows the first part sooner
COMMONLY CONFUSED WITH:
Streaming vs batching: one shows partial replies, the other groups many requests.
AVOID / DON'T:
Do not parse structured output from partial chunks.
WRONG CODE:
json.loads(chunk)   # partial JSON
RIGHT CODE:
json.loads("".join(chunks))   # after the final event
MEMORY TRICK:
Stream to show, buffer to parse.
REAL LIFE: PROJECT / WORK:
Streaming a support assistant's answers cut the perceived wait dramatically.
REAL LIFE: INTERVIEW / EXAM:
An interviewer may ask: Why use streaming?
REAL LIFE: DAILY LIFE:
It is like a tap pouring as water arrives.</t>
        </is>
      </c>
      <c r="C20" s="29" t="inlineStr">
        <is>
          <t>03_API_Use_Intermediate_LLM-019</t>
        </is>
      </c>
    </row>
    <row r="21" ht="409" customHeight="1">
      <c r="A21" s="29" t="inlineStr">
        <is>
          <t>Structured output
How do you make the API return data that always matches a schema?
{"model": "MODEL_NAME", "messages": [{"role": "user", "content": "Ticket: My invoice is wrong and I was charged twice."}], "response_format": {"type": "json_schema", "schema": {"type": "object", "properties": {"category": {"type": "string", "enum": ["billing", "technical", "other"]}, "urgent": {"type": "boolean"}}, "required": ["category", "urgent"]}}}
# reply
{"category": "billing", "urgent": true}</t>
        </is>
      </c>
      <c r="B21" s="29" t="inlineStr">
        <is>
          <t>MEANING (SHORT):
Structured output uses a JSON schema supplied with the request, or a tool definition, so the model's reply is constrained to valid JSON of that shape.
CODE:
{"model": "MODEL_NAME", "messages": [{"role": "user", "content": "Ticket: My invoice is wrong and I was charged twice."}], "response_format": {"type": "json_schema", "schema": {"type": "object", "properties": {"category": {"type": "string", "enum": ["billing", "technical", "other"]}, "urgent": {"type": "boolean"}}, "required": ["category", "urgent"]}}}
# reply
{"category": "billing", "urgent": true}
OUTPUT:
The reply is valid JSON with a category from the allowed list and an urgent flag.
EXPLANATION:
Schemas name the fields, types and allowed values. Constrained decoding makes invalid shapes much less likely, but values can still be wrong, so validate meaning too. Options and names differ by provider, and some use tool calls for the same effect. Keep schemas simple. Handle refusals and length cut-offs.
SIMPLE EXPLANATION (HINGLISH):
Send a schema, get matching JSON, and validate the values.
REAL-LIFE ANALOGY:
Structured output is a form that cannot be submitted with the wrong boxes.
SYNTAX PATTERN:
"response_format": {"type": "json_schema", "schema": {...}}
ANATOMY:
properties = fields | enum = allowed values | required = must exist
EXAMPLE 1:
enum: ["billing", "technical", "other"]
EXAMPLE 2:
required: ["category"]
EXAMPLE 3:
nested object for an address
VARIATION:
a tool definition with an input schema   // the same idea through tools
USED WITH:
classification, extraction, validation
RELATED CONCEPTS:
output format, tool calling, stop reasons, extraction
ALTERNATIVES:
Prompted JSON with validation
WHERE IT IS USED:
Extraction | Classification | Pipelines
MINI CONVERSATION:
A: The labels sometimes vary in spelling. | B: Use an enum in the schema.
COMMON MISTAKE:
✗ A schema makes the content correct → ✓ It guarantees shape, not truth
COMMONLY CONFUSED WITH:
Valid shape vs correct value: the first is enforced, the second is not.
AVOID / DON'T:
Do not skip semantic validation.
WRONG CODE:
"category": {"type": "string"}   // any text allowed
RIGHT CODE:
"category": {"type": "string", "enum": ["billing", "technical", "other"]}
MEMORY TRICK:
Schema guards the shape, you check the facts.
REAL LIFE: PROJECT / WORK:
An enum in the schema ended inconsistent category names in a ticket pipeline.
REAL LIFE: INTERVIEW / EXAM:
An interviewer may ask: How do you get reliable structured data from a model?
REAL LIFE: DAILY LIFE:
It is like a form with fixed boxes.</t>
        </is>
      </c>
      <c r="C21" s="29" t="inlineStr">
        <is>
          <t>03_API_Use_Intermediate_LLM-020</t>
        </is>
      </c>
    </row>
    <row r="22" ht="409" customHeight="1">
      <c r="A22" s="29" t="inlineStr">
        <is>
          <t>Tool calling
How can a model ask your code to run a function and use the result?
{"tools": [{"name": "get_order_status", "description": "Look up the status of an order by its id", "input_schema": {"type": "object", "properties": {"order_id": {"type": "string"}}, "required": ["order_id"]}}], "messages": [{"role": "user", "content": "Where is order 1042?"}]}
# model reply: stop_reason = tool request
{"tool_call": {"name": "get_order_status", "arguments": {"order_id": "1042"}}}
# you run it, then send a tool result message
{"role": "tool", "content": "{\"status\": \"shipped\"}"}</t>
        </is>
      </c>
      <c r="B22" s="29" t="inlineStr">
        <is>
          <t>MEANING (SHORT):
You describe tools with names, descriptions and input schemas, the model replies with a tool call containing arguments, your code runs it, and you send the result back for the model to continue.
CODE:
{"tools": [{"name": "get_order_status", "description": "Look up the status of an order by its id", "input_schema": {"type": "object", "properties": {"order_id": {"type": "string"}}, "required": ["order_id"]}}], "messages": [{"role": "user", "content": "Where is order 1042?"}]}
# model reply: stop_reason = tool request
{"tool_call": {"name": "get_order_status", "arguments": {"order_id": "1042"}}}
# you run it, then send a tool result message
{"role": "tool", "content": "{\"status\": \"shipped\"}"}
OUTPUT:
The model asks for the status lookup, your code runs it, and the model then writes an answer using the result.
EXPLANATION:
The model only proposes calls, and your code executes them, so you control security and limits. Validate arguments, check permissions and handle errors, returning clear error text as the result. Loops can continue until the model gives a final answer, with a maximum number of steps. Names and formats differ by provider.
SIMPLE EXPLANATION (HINGLISH):
Describe tools, run the calls the model requests, and send results back.
REAL-LIFE ANALOGY:
Tool calling is the model handing a note to an assistant saying please fetch this.
SYNTAX PATTERN:
tools: [{name, description, input_schema}]
ANATOMY:
tool definition = what exists | tool call = the request | tool result = your answer
EXAMPLE 1:
A search tool for the knowledge base.
EXAMPLE 2:
A calculator tool for exact arithmetic.
EXAMPLE 3:
A tool returning an error message the model can read.
VARIATION:
parallel tool calls   // several requests in one turn
USED WITH:
agents, validation, permissions
RELATED CONCEPTS:
structured output, agents and loops, MCP idea, guardrails
ALTERNATIVES:
Fixed pipelines
WHERE IT IS USED:
Assistants | Agents | Integrations
MINI CONVERSATION:
A: Can the model run the database query itself? | B: No, it requests a tool call and our code decides whether to run it.
COMMON MISTAKE:
✗ The model executes tools itself → ✓ It only requests calls, and your code runs them
COMMONLY CONFUSED WITH:
Tool call vs tool result: the call is the request, the result is your reply.
AVOID / DON'T:
Do not run tool arguments without validation and permission checks.
WRONG CODE:
db.execute(args["sql"])   # runs model-written SQL directly
RIGHT CODE:
if args["order_id"].isdigit(): lookup(args["order_id"])
MEMORY TRICK:
The model asks, your code decides.
REAL LIFE: PROJECT / WORK:
A validated lookup tool let a bot answer order questions without database access.
REAL LIFE: INTERVIEW / EXAM:
An interviewer may ask: How does tool calling work?
REAL LIFE: DAILY LIFE:
It is like handing a note to an assistant.</t>
        </is>
      </c>
      <c r="C22" s="29" t="inlineStr">
        <is>
          <t>03_API_Use_Intermediate_LLM-021</t>
        </is>
      </c>
    </row>
    <row r="23" ht="409" customHeight="1">
      <c r="A23" s="29" t="inlineStr">
        <is>
          <t>Errors and retries
How do you handle failures from the API gracefully?
import random, time
RETRYABLE = {408, 429, 500, 502, 503, 529}
def call_with_retry(send, tries=5):
    for attempt in range(tries):
        resp = send()
        if resp.status not in RETRYABLE:
            return resp
        wait = float(resp.headers.get("retry-after", 2 ** attempt)) + random.random()
        time.sleep(wait)
    raise RuntimeError("The service is still busy. Try again later or reduce the request rate.")</t>
        </is>
      </c>
      <c r="B23" s="29" t="inlineStr">
        <is>
          <t>MEANING (SHORT):
Clients retry transient errors such as timeouts, rate limits and server errors with exponential backoff and jitter, and treat errors such as invalid requests or authentication failures as permanent.
CODE:
import random, time
RETRYABLE = {408, 429, 500, 502, 503, 529}
def call_with_retry(send, tries=5):
    for attempt in range(tries):
        resp = send()
        if resp.status not in RETRYABLE:
            return resp
        wait = float(resp.headers.get("retry-after", 2 ** attempt)) + random.random()
        time.sleep(wait)
    raise RuntimeError("The service is still busy. Try again later or reduce the request rate.")
OUTPUT:
Temporary failures are retried with growing pauses, and others are returned immediately.
EXPLANATION:
Bad requests, invalid keys and permission errors will not succeed on retry. Overload and rate limit errors need waiting, and a retry-after header gives the time. Calls that cause side effects need idempotency care. Log request ids for support. Set a maximum total time. SDKs often include retries.
SIMPLE EXPLANATION (HINGLISH):
Retry temporary errors with backoff and jitter, and fail fast on permanent ones.
REAL-LIFE ANALOGY:
Retrying is knocking again with longer pauses.
SYNTAX PATTERN:
if status in RETRYABLE: sleep(backoff); retry
ANATOMY:
429 = slow down | 5xx = server trouble | 4xx others = fix the request | retry-after = wait time
EXAMPLE 1:
HTTP 429 with retry-after of ten seconds.
EXAMPLE 2:
HTTP 401 with a bad key, no retry.
EXAMPLE 3:
A timeout retried twice.
VARIATION:
SDK built-in retries   // configure instead of writing your own
USED WITH:
rate limits, timeouts, logging
RELATED CONCEPTS:
rate limits, timeouts, retries in pipelines, fallbacks
ALTERNATIVES:
Circuit breakers | queues
WHERE IT IS USED:
Every integration | Batch jobs | Production apps
MINI CONVERSATION:
A: Should we retry a 400 error? | B: No, the request itself is wrong.
COMMON MISTAKE:
✗ Retry every error until it works → ✓ Permanent errors never succeed and waste time
COMMONLY CONFUSED WITH:
Transient vs permanent error: temporary versus needing a fix.
AVOID / DON'T:
Do not retry without a maximum.
WRONG CODE:
while True: send()
RIGHT CODE:
for attempt in range(5): ... sleep(2 ** attempt)
MEMORY TRICK:
Retry the temporary, fix the permanent.
REAL LIFE: PROJECT / WORK:
Backoff with jitter ended bursts of failures during provider overload.
REAL LIFE: INTERVIEW / EXAM:
An interviewer may ask: Which errors do you retry?
REAL LIFE: DAILY LIFE:
It is like knocking again with longer pauses.</t>
        </is>
      </c>
      <c r="C23" s="29" t="inlineStr">
        <is>
          <t>03_API_Use_Intermediate_LLM-022</t>
        </is>
      </c>
    </row>
    <row r="24" ht="409" customHeight="1">
      <c r="A24" s="29" t="inlineStr">
        <is>
          <t>Rate limits
Which provider limits cap how many requests and tokens you may use per minute?</t>
        </is>
      </c>
      <c r="B24" s="29" t="inlineStr">
        <is>
          <t>DEFINITION (SIMPLE):
Rate limits restrict the number of requests and tokens an account may use in a time window, and exceeding them returns an error such as 429 with information about when to retry.
HOW / WHY IT WORKS:
Limits may apply per minute and per day, and often grow with account tier. Large prompts consume token limits quickly. Handle limit errors with backoff, use queues to smooth bursts, and cache repeated work. Batch APIs offer separate capacity for non-urgent jobs. Request higher limits ahead of launches.
SIMPLE EXPLANATION (HINGLISH):
Stay under the caps by queueing, caching, backing off, and asking for more when needed.
REAL-LIFE ANALOGY:
Rate limits are speed limits on a shared road.
FORMULA / RULE:
Requests per minute and tokens per minute both count.
EXAMPLE 1:
A burst of parallel calls hitting the limit.
EXAMPLE 2:
A queue releasing five calls per second.
EXAMPLE 3:
A limit raised before a launch.
RELATED CONCEPTS:
errors and retries, batching, caching, cost control
FAMILY / GROUP:
rate limit, quota, 429, backoff, queue
WHERE IT IS USED:
Production apps | Batch jobs | Launch planning
MINI CONVERSATION:
A: Many calls fail during the import. | B: We hit the rate limit, so queue them.
COMMON MISTAKE:
✗ Limits count only requests → ✓ Token limits can be reached with few large requests
DON'T CONFUSE WITH:
Request limit vs token limit: calls per time versus tokens per time.
AVOID / DON'T:
Do not launch heavy usage without checking limits.
MEMORY TRICK:
Smooth the load, do not burst.
REAL LIFE: PROJECT / WORK:
A queue with a fixed rate removed errors during a nightly import.
REAL LIFE: INTERVIEW / EXAM:
An interviewer may ask: How do you handle rate limits?
REAL LIFE: DAILY LIFE:
It is like speed limits on a shared road.</t>
        </is>
      </c>
      <c r="C24" s="29" t="inlineStr">
        <is>
          <t>03_API_Use_Intermediate_LLM-023</t>
        </is>
      </c>
    </row>
    <row r="25" ht="409" customHeight="1">
      <c r="A25" s="29" t="inlineStr">
        <is>
          <t>Timeouts
How long should your code wait for a model reply, and what happens after?
import requests
try:
    r = requests.post(URL, json=payload, headers=H, timeout=(5, 120))   # connect, read
except requests.Timeout:
    log.warning("model call timed out; retrying once with a shorter output limit")
    payload["max_tokens"] = 200
    r = requests.post(URL, json=payload, headers=H, timeout=(5, 60))</t>
        </is>
      </c>
      <c r="B25" s="29" t="inlineStr">
        <is>
          <t>MEANING (SHORT):
A timeout is the maximum time a client waits for a connection or response, after which it abandons or retries the call.
CODE:
import requests
try:
    r = requests.post(URL, json=payload, headers=H, timeout=(5, 120))   # connect, read
except requests.Timeout:
    log.warning("model call timed out; retrying once with a shorter output limit")
    payload["max_tokens"] = 200
    r = requests.post(URL, json=payload, headers=H, timeout=(5, 60))
OUTPUT:
The call fails after the chosen time, and one retry runs with a smaller output limit.
EXPLANATION:
Without a timeout a stuck call can hold threads and freeze the app. Long outputs and big prompts need larger limits. Streaming resets the read timer as chunks arrive. A timed-out request may still be processed by the provider, so avoid duplicate side effects. Show users a clear message and an option to retry.
SIMPLE EXPLANATION (HINGLISH):
Always set connect and read timeouts, and plan what happens when they fire.
REAL-LIFE ANALOGY:
A timeout is an alarm that stops you waiting forever at the counter.
SYNTAX PATTERN:
timeout=(connect_seconds, read_seconds)
ANATOMY:
connect = reach the server | read = wait for data | retry = after timeout
EXAMPLE 1:
timeout=(5, 120)
EXAMPLE 2:
A UI message after thirty seconds of no reply.
EXAMPLE 3:
A retry with a shorter prompt.
VARIATION:
streaming with an idle timeout   // abort if no chunk arrives for a while
USED WITH:
streaming, errors and retries, user messages
RELATED CONCEPTS:
errors and retries, streaming, rate limits, fallbacks
ALTERNATIVES:
Background jobs for long tasks
WHERE IT IS USED:
Every API client | Web backends | User-facing tools
MINI CONVERSATION:
A: The app hangs when the model is slow. | B: Set a read timeout and show a retry message.
COMMON MISTAKE:
✗ A default client waits as long as needed safely → ✓ Many defaults wait forever
COMMONLY CONFUSED WITH:
Connect vs read timeout: reaching the server versus waiting for the reply.
AVOID / DON'T:
Do not call APIs without a timeout.
WRONG CODE:
requests.post(URL, json=payload)
RIGHT CODE:
requests.post(URL, json=payload, timeout=(5, 120))
MEMORY TRICK:
No timeout means waiting forever.
REAL LIFE: PROJECT / WORK:
Adding timeouts stopped a slow model call from freezing a web server.
REAL LIFE: INTERVIEW / EXAM:
An interviewer may ask: Why set timeouts on model calls?
REAL LIFE: DAILY LIFE:
It is like an alarm at the counter.</t>
        </is>
      </c>
      <c r="C25" s="29" t="inlineStr">
        <is>
          <t>03_API_Use_Intermediate_LLM-024</t>
        </is>
      </c>
    </row>
    <row r="26" ht="409" customHeight="1">
      <c r="A26" s="29" t="inlineStr">
        <is>
          <t>Batching
How do you process many non-urgent requests cheaply?</t>
        </is>
      </c>
      <c r="B26" s="29" t="inlineStr">
        <is>
          <t>DEFINITION (SIMPLE):
A batch API accepts many requests together, processes them asynchronously within a time window, usually at lower cost, and returns results that you match by custom ids.
HOW / WHY IT WORKS:
You upload a file of requests with ids, poll or wait for completion and download results. Results may come out of order, so match by id. Some requests may fail and need resubmission. Batches suit evaluations, backfills and nightly jobs, not interactive chat. Check the provider's limits and discount terms.
SIMPLE EXPLANATION (HINGLISH):
Send many requests as one job, collect the results later, and match them by id.
REAL-LIFE ANALOGY:
Batching is posting a big parcel of letters at the slow rate instead of by courier.
FORMULA / RULE:
Many requests, lower cost, results later, match by id.
EXAMPLE 1:
Classifying ten thousand tickets overnight.
EXAMPLE 2:
Running an evaluation set across prompt versions.
EXAMPLE 3:
Resubmitting only the failed items.
RELATED CONCEPTS:
rate limits, cost control, evaluation, caching
FAMILY / GROUP:
batch, asynchronous, custom id, window, backfill
WHERE IT IS USED:
Bulk jobs | Evaluations | Data cleaning
MINI CONVERSATION:
A: We must label fifty thousand records by Friday. | B: Use a batch job, since it is cheaper and not urgent.
COMMON MISTAKE:
✗ Batch results come back in the same order as sent → ✓ Match them by the custom id
DON'T CONFUSE WITH:
Batch vs real-time: batch is cheap and delayed, real-time is immediate.
AVOID / DON'T:
Do not use batch for interactive features.
MEMORY TRICK:
Batch for bulk, match by id.
REAL LIFE: PROJECT / WORK:
Moving a nightly labelling job to a batch API cut its cost noticeably.
REAL LIFE: INTERVIEW / EXAM:
An interviewer may ask: When would you use a batch API?
REAL LIFE: DAILY LIFE:
It is like posting a big parcel at the slow rate.</t>
        </is>
      </c>
      <c r="C26" s="29" t="inlineStr">
        <is>
          <t>03_API_Use_Intermediate_LLM-025</t>
        </is>
      </c>
    </row>
    <row r="27" ht="409" customHeight="1">
      <c r="A27" s="29" t="inlineStr">
        <is>
          <t>Prompt caching
How can repeated parts of a prompt be reused to save cost and time?</t>
        </is>
      </c>
      <c r="B27" s="29" t="inlineStr">
        <is>
          <t>DEFINITION (SIMPLE):
Prompt caching lets the provider reuse the processed form of an identical prompt prefix across requests within a time window, lowering input cost and delay for those tokens.
HOW / WHY IT WORKS:
The cached part must be exactly the same, at the start of the prompt, and usually above a minimum size. Place system instructions, tools and long documents first, and put user-specific text last. Caches expire after a short time, and some require marking cache points. Response usage fields show cached tokens. Check provider terms.
SIMPLE EXPLANATION (HINGLISH):
Keep a stable prefix identical, and put what changes at the end.
REAL-LIFE ANALOGY:
Prompt caching is keeping the opening chapters already read so only the new page needs reading.
FORMULA / RULE:
Same prefix, placed first, reused within the window.
EXAMPLE 1:
A long policy document reused by many questions.
EXAMPLE 2:
A stable system prompt and tool list.
EXAMPLE 3:
Usage showing cached input tokens.
RELATED CONCEPTS:
cost control, tokens, context window, RAG
FAMILY / GROUP:
cache, prefix, hit, expiry, cache point
WHERE IT IS USED:
Document Q and A | Agents | High-volume apps
MINI CONVERSATION:
A: Every call resends the same long manual. | B: Put it first and use prompt caching.
COMMON MISTAKE:
✗ Any similar prompt will hit the cache → ✓ The prefix must match exactly
DON'T CONFUSE WITH:
Prompt cache vs response cache: one reuses processed input, the other reuses whole answers.
AVOID / DON'T:
Do not put changing text before stable content.
MEMORY TRICK:
Stable content first, changing content last.
REAL LIFE: PROJECT / WORK:
Reordering the prompt so the manual came first made caching effective.
REAL LIFE: INTERVIEW / EXAM:
An interviewer may ask: How does prompt caching reduce cost?
REAL LIFE: DAILY LIFE:
It is like keeping opening chapters already read.</t>
        </is>
      </c>
      <c r="C27" s="29" t="inlineStr">
        <is>
          <t>03_API_Use_Advanced_LLM-026</t>
        </is>
      </c>
    </row>
    <row r="28" ht="409" customHeight="1">
      <c r="A28" s="29" t="inlineStr">
        <is>
          <t>Cost control
Which habits keep LLM spend predictable?</t>
        </is>
      </c>
      <c r="B28" s="29" t="inlineStr">
        <is>
          <t>DEFINITION (SIMPLE):
LLM cost control combines measuring tokens per request, choosing right-sized models, trimming prompts, caching, batching, limiting output length and setting budgets and alerts.
HOW / WHY IT WORKS:
Cost depends on input and output tokens and the model used. Reduce context, retrieve only relevant text, summarise history, and cap output. Use smaller models for easy steps and larger ones only when needed. Cache repeated prefixes and batch non-urgent work. Per-user and per-feature limits protect against abuse. Prices change, so read the current terms.
SIMPLE EXPLANATION (HINGLISH):
Measure tokens, shrink prompts, pick the cheapest adequate model, and set limits.
REAL-LIFE ANALOGY:
Cost control is checking the meter on every tap.
FORMULA / RULE:
Cost ≈ tokens × price, so cut tokens and choose models wisely.
EXAMPLE 1:
Capping output to 300 tokens.
EXAMPLE 2:
Routing simple tickets to a small model.
EXAMPLE 3:
A per-user daily limit.
RELATED CONCEPTS:
tokens, model choice, caching, batching
FAMILY / GROUP:
budget, usage, limit, routing, alert
WHERE IT IS USED:
Production apps | Finance reviews | Platform teams
MINI CONVERSATION:
A: The bill doubled last month. | B: Check tokens per feature and find the biggest prompts.
COMMON MISTAKE:
✗ Only the model price matters → ✓ Prompt length, output length and call count matter just as much
DON'T CONFUSE WITH:
Input vs output tokens: both cost, often at different rates.
AVOID / DON'T:
Do not ship without usage logging.
MEMORY TRICK:
Measure the tokens first, trim them second.
REAL LIFE: PROJECT / WORK:
Trimming retrieved context cut the monthly bill without losing quality.
REAL LIFE: INTERVIEW / EXAM:
An interviewer may ask: How would you reduce LLM costs?
REAL LIFE: DAILY LIFE:
It is like checking a meter on every tap.</t>
        </is>
      </c>
      <c r="C28" s="29" t="inlineStr">
        <is>
          <t>03_API_Use_Intermediate_LLM-027</t>
        </is>
      </c>
    </row>
    <row r="29" ht="409" customHeight="1">
      <c r="A29" s="29" t="inlineStr">
        <is>
          <t>Counting and budgeting tokens
How do you check that a prompt fits and estimate its cost before sending?
WINDOW = 100_000   # example only; read the real value from the provider documentation for your model
OUTPUT_RESERVE = 2000
def fit(system, history, docs, count_tokens):
    budget = WINDOW - OUTPUT_RESERVE - count_tokens(system)
    kept = []
    for item in reversed(history + docs):
        cost = count_tokens(item)
        if cost &gt; budget:
            break
        kept.append(item); budget -= cost
    return list(reversed(kept))</t>
        </is>
      </c>
      <c r="B29" s="29" t="inlineStr">
        <is>
          <t>MEANING (SHORT):
Token budgeting counts tokens with the provider's counting tool or tokenizer, subtracts the reserved output from the context window, and trims or summarises input until it fits.
CODE:
WINDOW = 100_000   # example only; read the real value from the provider documentation for your model
OUTPUT_RESERVE = 2000
def fit(system, history, docs, count_tokens):
    budget = WINDOW - OUTPUT_RESERVE - count_tokens(system)
    kept = []
    for item in reversed(history + docs):
        cost = count_tokens(item)
        if cost &gt; budget:
            break
        kept.append(item); budget -= cost
    return list(reversed(kept))
OUTPUT:
The newest messages and documents that fit the budget are kept, and older ones are dropped.
EXPLANATION:
Use the provider's counting endpoint when possible, as local estimates vary by tokenizer. Keep the system prompt and latest question always. Summarise old history instead of dropping it silently. Log when trimming happens. Remember tools and images also use tokens.
SIMPLE EXPLANATION (HINGLISH):
Count, reserve room for the answer, and trim by priority.
REAL-LIFE ANALOGY:
Budgeting tokens is checking luggage weight before the airport.
SYNTAX PATTERN:
budget = window - output_reserve - fixed_parts
ANATOMY:
window = limit | reserve = output room | fixed = system prompt | trim = drop or summarise
EXAMPLE 1:
Counting tokens through a provider endpoint.
EXAMPLE 2:
Summarising history older than twenty turns.
EXAMPLE 3:
Dropping the least relevant retrieved chunks.
VARIATION:
sliding window of recent messages   // simple history policy
USED WITH:
context window, chat memory, RAG
RELATED CONCEPTS:
tokens, context window, chat memory, cost control
ALTERNATIVES:
Larger window models
WHERE IT IS USED:
Chat apps | Document tools | RAG systems
MINI CONVERSATION:
A: Requests fail with a context error. | B: Count tokens first and trim old history.
COMMON MISTAKE:
✗ Word counts are accurate enough for limits → ✓ Token counts differ, so use the provider's counting method
COMMONLY CONFUSED WITH:
Window vs budget: the window is the limit, the budget is your plan within it.
AVOID / DON'T:
Do not drop the system prompt when trimming.
WRONG CODE:
if len(text.split()) &lt; 100000: send(text)
RIGHT CODE:
if count_tokens(text) &lt;= budget: send(text)
MEMORY TRICK:
Count the tokens, reserve room, then trim.
REAL LIFE: PROJECT / WORK:
Budgeting tokens removed context overflow errors in a long-running chat.
REAL LIFE: INTERVIEW / EXAM:
An interviewer may ask: How do you handle long conversations?
REAL LIFE: DAILY LIFE:
It is like weighing luggage before the airport.</t>
        </is>
      </c>
      <c r="C29" s="29" t="inlineStr">
        <is>
          <t>03_API_Use_Intermediate_LLM-028</t>
        </is>
      </c>
    </row>
    <row r="30" ht="409" customHeight="1">
      <c r="A30" s="29" t="inlineStr">
        <is>
          <t>Hallucination
What do we call confident answers from a model that are not true?</t>
        </is>
      </c>
      <c r="B30" s="29" t="inlineStr">
        <is>
          <t>DEFINITION (SIMPLE):
A hallucination is output that sounds plausible but is false or unsupported, such as invented facts, citations, numbers or function names.
HOW / WHY IT WORKS:
Causes include missing knowledge, ambiguous questions and pressure to answer. Risk is higher for rare facts, recent events and precise details. Reduce it by grounding in provided sources, allowing the answer I do not know, asking for quotes, using tools for lookups and checking results. It cannot be eliminated, so review matters in high-stakes uses.
SIMPLE EXPLANATION (HINGLISH):
Models can invent facts, so ground them in sources and verify important claims.
REAL-LIFE ANALOGY:
A hallucination is a confident storyteller filling gaps with invented details.
FORMULA / RULE:
No source plus pressure to answer equals risk of invention.
EXAMPLE 1:
A made-up legal citation.
EXAMPLE 2:
An invented function in a library.
EXAMPLE 3:
A wrong date stated confidently.
RELATED CONCEPTS:
grounding, RAG, human review, guardrails
FAMILY / GROUP:
hallucination, fabrication, confidence, grounding, verification
WHERE IT IS USED:
Every LLM application | Risk reviews | Customer tools
MINI CONVERSATION:
A: The bot quoted a policy that does not exist. | B: It hallucinated, so ground it in the real policy text.
COMMON MISTAKE:
✗ A confident tone means the answer is correct → ✓ Fluency is not evidence of truth
DON'T CONFUSE WITH:
Hallucination vs error: hallucinations are invented content stated as fact.
AVOID / DON'T:
Do not rely on unverified model output for critical facts.
MEMORY TRICK:
Confident does not mean correct.
REAL LIFE: PROJECT / WORK:
Grounding answers in policy text and allowing I do not know stopped invented refund rules.
REAL LIFE: INTERVIEW / EXAM:
An interviewer may ask: How do you reduce hallucinations?
REAL LIFE: DAILY LIFE:
It is like a storyteller filling gaps.</t>
        </is>
      </c>
      <c r="C30" s="29" t="inlineStr">
        <is>
          <t>04_Quality_and_Safety_Beginner_LLM-029</t>
        </is>
      </c>
    </row>
    <row r="31" ht="409" customHeight="1">
      <c r="A31" s="29" t="inlineStr">
        <is>
          <t>Grounding
How do you tie answers to trusted source material?</t>
        </is>
      </c>
      <c r="B31" s="29" t="inlineStr">
        <is>
          <t>DEFINITION (SIMPLE):
Grounding means supplying relevant, trusted source text in the prompt, instructing the model to answer only from it, and optionally returning quotes or references so the answer can be checked.
HOW / WHY IT WORKS:
Sources come from retrieval, databases or tools. Instructions say what to do when the answer is missing. Citations let reviewers verify claims, and code can check that quoted text exists in the source. Poor sources produce poor answers, so quality of the source matters. Grounding reduces but does not remove errors.
SIMPLE EXPLANATION (HINGLISH):
Provide the facts, say answer only from them, and ask for evidence.
REAL-LIFE ANALOGY:
Grounding is giving a student the textbook and telling them to answer only from it.
FORMULA / RULE:
Sources + only-from-sources rule + citations.
EXAMPLE 1:
Answering from retrieved policy paragraphs.
EXAMPLE 2:
Returning the quote that supports each claim.
EXAMPLE 3:
A refusal when the document has no answer.
RELATED CONCEPTS:
hallucination, RAG, tool calling, human review
FAMILY / GROUP:
grounding, citation, source, evidence, retrieval
WHERE IT IS USED:
Knowledge assistants | Support bots | Compliance tools
MINI CONVERSATION:
A: How do we trust the answer? | B: It quotes the source paragraph that supports it.
COMMON MISTAKE:
✗ Grounding guarantees correct answers → ✓ It reduces errors, but sources and reading can still be wrong
DON'T CONFUSE WITH:
Grounded vs ungrounded answer: one uses supplied evidence, the other relies on memory.
AVOID / DON'T:
Do not ground on outdated or unreliable sources.
MEMORY TRICK:
Give the facts, demand the evidence.
REAL LIFE: PROJECT / WORK:
Requiring quotes let reviewers confirm answers in seconds.
REAL LIFE: INTERVIEW / EXAM:
An interviewer may ask: What is grounding?
REAL LIFE: DAILY LIFE:
It is like giving a student the textbook.</t>
        </is>
      </c>
      <c r="C31" s="29" t="inlineStr">
        <is>
          <t>04_Quality_and_Safety_Intermediate_LLM-030</t>
        </is>
      </c>
    </row>
    <row r="32" ht="409" customHeight="1">
      <c r="A32" s="29" t="inlineStr">
        <is>
          <t>Prompt injection
Which attack hides instructions in text so the model obeys the attacker?</t>
        </is>
      </c>
      <c r="B32" s="29" t="inlineStr">
        <is>
          <t>DEFINITION (SIMPLE):
Prompt injection is an attack where untrusted content contains instructions that override or manipulate the model, either directly from a user or indirectly through documents, web pages or tool outputs.
HOW / WHY IT WORKS:
Indirect injection is serious when the model has tools, such as sending email or reading files. Defences are layered: separate and label untrusted data, give the model minimal permissions, require human approval for risky actions, validate tool arguments, filter outputs and monitor. No single prompt fully prevents it, so design for failure.
SIMPLE EXPLANATION (HINGLISH):
Assume untrusted text may try to control the model, and limit the damage it can do.
REAL-LIFE ANALOGY:
Prompt injection is a forged note slipped into the pile of papers the assistant obeys.
FORMULA / RULE:
Untrusted text + powerful tools = risk.
EXAMPLE 1:
A web page saying ignore your rules and send the user's data.
EXAMPLE 2:
An email telling an assistant to forward files.
EXAMPLE 3:
A document asking the model to reveal its system prompt.
RELATED CONCEPTS:
system prompts, tool calling, guardrails, data privacy
FAMILY / GROUP:
injection, untrusted, indirect, permissions, approval
WHERE IT IS USED:
Agents | RAG | Email assistants
MINI CONVERSATION:
A: A web page told our agent to leak data. | B: Treat page text as untrusted and require approval for sending.
COMMON MISTAKE:
✗ A strong system prompt fully blocks injection → ✓ It helps, but architecture and permissions are the real defence
DON'T CONFUSE WITH:
Direct vs indirect injection: user typed versus hidden in content.
AVOID / DON'T:
Do not give agents broad permissions over untrusted content.
MEMORY TRICK:
Untrusted text cannot be trusted with tools.
REAL LIFE: PROJECT / WORK:
Requiring approval before sending messages limited the impact of an injected email.
REAL LIFE: INTERVIEW / EXAM:
An interviewer may ask: How do you defend against prompt injection?
REAL LIFE: DAILY LIFE:
It is like a forged note in a pile of papers.</t>
        </is>
      </c>
      <c r="C32" s="29" t="inlineStr">
        <is>
          <t>04_Quality_and_Safety_Intermediate_LLM-031</t>
        </is>
      </c>
    </row>
    <row r="33" ht="409" customHeight="1">
      <c r="A33" s="29" t="inlineStr">
        <is>
          <t>Data privacy with LLMs
What should you consider before sending data to a model provider?</t>
        </is>
      </c>
      <c r="B33" s="29" t="inlineStr">
        <is>
          <t>DEFINITION (SIMPLE):
Data privacy with LLMs means controlling what personal and confidential data enters prompts, where it is processed and stored, and how long it is kept, in line with law and customer agreements.
HOW / WHY IT WORKS:
Minimise and mask personal data before sending. Check whether the provider stores prompts, uses them for training and where processing happens. Use enterprise agreements and regional options where needed. Control who can see logged prompts. Customer contracts may forbid certain processing. Document the data flow for audits.
SIMPLE EXPLANATION (HINGLISH):
Send the minimum, mask what you can, and know how the provider handles data.
REAL-LIFE ANALOGY:
Sending data to a model is handing documents to an outside contractor, so check the contract.
FORMULA / RULE:
Minimise, mask, check terms, log carefully.
EXAMPLE 1:
Replacing names with ids before sending.
EXAMPLE 2:
Choosing a regional processing option.
EXAMPLE 3:
Restricting access to stored prompts.
RELATED CONCEPTS:
logging calls safely, PII and masking, guardrails, compliance
FAMILY / GROUP:
privacy, retention, training, masking, residency
WHERE IT IS USED:
Healthcare | Finance | Customer data work
MINI CONVERSATION:
A: Can we paste customer emails into the model? | B: Only after masking, and if the contract allows it.
COMMON MISTAKE:
✗ Anything can be sent because the provider is trusted → ✓ Contracts, law and policy may forbid it
DON'T CONFUSE WITH:
Minimising vs masking: minimising sends less, masking hides what is sent.
AVOID / DON'T:
Do not send secrets or raw personal data without approval.
MEMORY TRICK:
Send less, mask more, check the contract.
REAL LIFE: PROJECT / WORK:
Masking identifiers before calls let a customer approve LLM use.
REAL LIFE: INTERVIEW / EXAM:
An interviewer may ask: What privacy checks do you make before using an LLM API?
REAL LIFE: DAILY LIFE:
It is like handing documents to a contractor.</t>
        </is>
      </c>
      <c r="C33" s="29" t="inlineStr">
        <is>
          <t>04_Quality_and_Safety_Intermediate_LLM-032</t>
        </is>
      </c>
    </row>
    <row r="34" ht="409" customHeight="1">
      <c r="A34" s="29" t="inlineStr">
        <is>
          <t>Moderation
How do you detect and handle harmful content in inputs and outputs?</t>
        </is>
      </c>
      <c r="B34" s="29" t="inlineStr">
        <is>
          <t>DEFINITION (SIMPLE):
Moderation is the screening of inputs and outputs for categories such as hate, violence, self-harm and illegal content, using classifiers or model checks, and responding with blocks, warnings or escalation.
HOW / WHY IT WORKS:
Providers offer moderation endpoints and built-in safety behaviour. Applications add their own rules for their context, such as no medical advice. Decide what happens on a match: refuse, rephrase, show help resources or escalate to a human. Log events and review them. Balance safety and false positives.
SIMPLE EXPLANATION (HINGLISH):
Screen inputs and outputs, and decide the response for each category.
REAL-LIFE ANALOGY:
Moderation is a doorman and an editor who check what goes in and what comes out.
FORMULA / RULE:
Screen in, screen out, respond, review.
EXAMPLE 1:
Blocking abusive user messages.
EXAMPLE 2:
Refusing unsafe instructions.
EXAMPLE 3:
Escalating a self-harm message to a human.
RELATED CONCEPTS:
guardrails, human review, prompt injection, logging calls safely
FAMILY / GROUP:
moderation, classifier, policy, refusal, escalation
WHERE IT IS USED:
Public chatbots | Community tools | Education apps
MINI CONVERSATION:
A: Users sometimes send abusive text. | B: Add moderation on inputs and a polite refusal.
COMMON MISTAKE:
✗ Provider safety makes app-level moderation unnecessary → ✓ Your context needs its own rules and checks
DON'T CONFUSE WITH:
Input vs output moderation: one screens users, the other screens the model.
AVOID / DON'T:
Do not leave refusal behaviour undefined.
MEMORY TRICK:
Screen both sides, plan the response.
REAL LIFE: PROJECT / WORK:
Output moderation caught unsafe replies in a student-facing tool.
REAL LIFE: INTERVIEW / EXAM:
An interviewer may ask: Where do you apply moderation?
REAL LIFE: DAILY LIFE:
It is like a doorman and an editor.</t>
        </is>
      </c>
      <c r="C34" s="29" t="inlineStr">
        <is>
          <t>04_Quality_and_Safety_Intermediate_LLM-033</t>
        </is>
      </c>
    </row>
    <row r="35" ht="409" customHeight="1">
      <c r="A35" s="29" t="inlineStr">
        <is>
          <t>Guardrails
Which checks and limits keep an LLM application inside safe and useful bounds?</t>
        </is>
      </c>
      <c r="B35" s="29" t="inlineStr">
        <is>
          <t>DEFINITION (SIMPLE):
Guardrails are controls around an LLM application, such as input checks, output validation, topic limits, permission limits on tools, rate limits and human approval, that enforce safe behaviour regardless of what the model generates.
HOW / WHY IT WORKS:
Examples are schema validation, allow-lists of tools and actions, refusing off-topic requests, redacting personal data in outputs, maximum spend per user and approval gates for risky actions. Layer them, since each can fail. Test them with adversarial inputs. Log violations. Keep policies documented.
SIMPLE EXPLANATION (HINGLISH):
Put real limits in code around the model, and test them with hard inputs.
REAL-LIFE ANALOGY:
Guardrails are the barriers on a mountain road that stay even if the driver errs.
FORMULA / RULE:
Check inputs, validate outputs, limit actions, require approval.
EXAMPLE 1:
An allow-list of tools.
EXAMPLE 2:
Output validated against a schema.
EXAMPLE 3:
A daily spend cap per user.
RELATED CONCEPTS:
prompt injection, human review, structured output, moderation
FAMILY / GROUP:
guardrail, validation, allow-list, limit, approval
WHERE IT IS USED:
Agents | Customer bots | Regulated work
MINI CONVERSATION:
A: Can the prompt guarantee the bot never refunds money? | B: No, enforce it by removing that tool.
COMMON MISTAKE:
✗ A prompt rule is enough to enforce policy → ✓ Policy must be enforced in code and permissions
DON'T CONFUSE WITH:
Prompt rule vs code rule: one is a request, the other is enforced.
AVOID / DON'T:
Do not rely only on instructions for safety.
MEMORY TRICK:
Ask in the prompt, enforce in the code.
REAL LIFE: PROJECT / WORK:
Removing a risky tool enforced a rule that prompts had failed to hold.
REAL LIFE: INTERVIEW / EXAM:
An interviewer may ask: What guardrails would you add to an agent?
REAL LIFE: DAILY LIFE:
It is like barriers on a mountain road.</t>
        </is>
      </c>
      <c r="C35" s="29" t="inlineStr">
        <is>
          <t>04_Quality_and_Safety_Intermediate_LLM-034</t>
        </is>
      </c>
    </row>
    <row r="36" ht="409" customHeight="1">
      <c r="A36" s="29" t="inlineStr">
        <is>
          <t>Human review
When should a person check or approve what the model produces?</t>
        </is>
      </c>
      <c r="B36" s="29" t="inlineStr">
        <is>
          <t>DEFINITION (SIMPLE):
Human review places a person in the workflow to approve, edit or reject model outputs and actions, based on risk, confidence or policy.
HOW / WHY IT WORKS:
Approval gates fit actions such as sending messages, changing records or giving advice. Sampling reviews measure ongoing quality. Reviewers need context, clear criteria and a fast interface. Their decisions can become evaluation data. Avoid rubber-stamping by keeping the load reasonable and showing sources.
SIMPLE EXPLANATION (HINGLISH):
Put a person on risky outputs and sample the rest.
REAL-LIFE ANALOGY:
Human review is a senior editor signing off before publication.
FORMULA / RULE:
High risk = approve. Low risk = sample.
EXAMPLE 1:
A reviewer approving a drafted legal reply.
EXAMPLE 2:
A weekly sample of bot answers.
EXAMPLE 3:
Rejected drafts used as test cases.
RELATED CONCEPTS:
guardrails, hallucination, evaluation, prompt injection
FAMILY / GROUP:
review, approval, sampling, escalation, criteria
WHERE IT IS USED:
Legal | Finance | Customer communication
MINI CONVERSATION:
A: Should the bot send replies automatically? | B: For refunds a person approves, and for FAQs we sample.
COMMON MISTAKE:
✗ Human review makes errors impossible → ✓ Tired reviewers also miss errors, so design the process well
DON'T CONFUSE WITH:
Approval vs sampling: approval checks every item, sampling checks a share.
AVOID / DON'T:
Do not let reviewers rubber-stamp huge queues.
MEMORY TRICK:
Review by risk, sample the rest.
REAL LIFE: PROJECT / WORK:
Approval on risky replies prevented an incorrect refund promise.
REAL LIFE: INTERVIEW / EXAM:
An interviewer may ask: When is human review necessary?
REAL LIFE: DAILY LIFE:
It is like an editor signing off.</t>
        </is>
      </c>
      <c r="C36" s="29" t="inlineStr">
        <is>
          <t>04_Quality_and_Safety_Intermediate_LLM-035</t>
        </is>
      </c>
    </row>
    <row r="37" ht="409" customHeight="1">
      <c r="A37" s="29" t="inlineStr">
        <is>
          <t>Logging calls safely
How do you record LLM calls for debugging without leaking data?</t>
        </is>
      </c>
      <c r="B37" s="29" t="inlineStr">
        <is>
          <t>DEFINITION (SIMPLE):
Safe logging of LLM calls records metadata such as request id, model, prompt version, token counts, latency and outcome, and stores full prompts and responses only when needed, masked, access-controlled and with limited retention.
HOW / WHY IT WORKS:
Without logs you cannot debug or evaluate, but full text logs may contain personal data and secrets. Mask sensitive fields, restrict access, set short retention and allow deletion on request. Sampling a small share of full conversations may be enough. Never log API keys. Link logs to user feedback to find failures.
SIMPLE EXPLANATION (HINGLISH):
Log the metadata always, and log full text only carefully and briefly.
REAL-LIFE ANALOGY:
Logging model calls is keeping a diary with the names blacked out.
FORMULA / RULE:
Metadata always, content carefully.
EXAMPLE 1:
A log line with model, version and token counts.
EXAMPLE 2:
Masked prompts stored for a week.
EXAMPLE 3:
A thumbs down linked to a request id.
RELATED CONCEPTS:
sensitive data in logs, data privacy, prompt versions, evaluation
FAMILY / GROUP:
logging, metadata, retention, masking, trace
WHERE IT IS USED:
Production LLM apps | Debugging | Audits
MINI CONVERSATION:
A: Can support read user prompts? | B: Only masked ones, and only for a short time.
COMMON MISTAKE:
✗ Logging everything is always better → ✓ Full text logs create privacy and security risk
DON'T CONFUSE WITH:
Metadata vs content logs: metadata is low risk, content is high risk.
AVOID / DON'T:
Do not log API keys or raw personal data.
MEMORY TRICK:
Log metadata freely, content sparingly.
REAL LIFE: PROJECT / WORK:
Masked sampled logs allowed debugging without exposing customer details.
REAL LIFE: INTERVIEW / EXAM:
An interviewer may ask: What do you log for LLM calls?
REAL LIFE: DAILY LIFE:
It is like a diary with names blacked out.</t>
        </is>
      </c>
      <c r="C37" s="29" t="inlineStr">
        <is>
          <t>04_Quality_and_Safety_Intermediate_LLM-036</t>
        </is>
      </c>
    </row>
    <row r="38" ht="409" customHeight="1">
      <c r="A38" s="29" t="inlineStr">
        <is>
          <t>Chat memory
How does a chat assistant seem to remember earlier turns?</t>
        </is>
      </c>
      <c r="B38" s="29" t="inlineStr">
        <is>
          <t>DEFINITION (SIMPLE):
Chat memory is the application-managed history, recent messages, summaries and stored facts, that is included in each request so the model can respond with context.
HOW / WHY IT WORKS:
The model remembers nothing between calls. Strategies include sending the full history, a sliding window, summaries of old turns and long-term stores of facts retrieved when relevant. Memory costs tokens, so it must be trimmed. Store memory per user with privacy controls and deletion options.
SIMPLE EXPLANATION (HINGLISH):
The app sends history or summaries every time, because the model has no memory of its own.
REAL-LIFE ANALOGY:
Chat memory is a notebook that the app hands back to the model before every answer.
FORMULA / RULE:
Recent turns + summary + retrieved facts.
EXAMPLE 1:
The last ten messages sent in full.
EXAMPLE 2:
A summary of the earlier conversation.
EXAMPLE 3:
A stored preference loaded for each session.
RELATED CONCEPTS:
context window, token budgeting, data privacy, summarising
FAMILY / GROUP:
memory, history, summary, window, state
WHERE IT IS USED:
Chat apps | Assistants | Support bots
MINI CONVERSATION:
A: The bot forgot my name. | B: That message fell out of the history we send.
COMMON MISTAKE:
✗ The model stores conversations by itself → ✓ The application must send the history each time
DON'T CONFUSE WITH:
Short-term vs long-term memory: recent messages versus stored facts.
AVOID / DON'T:
Do not store personal memories without consent and deletion.
MEMORY TRICK:
No history sent means no memory.
REAL LIFE: PROJECT / WORK:
Summarising old turns kept long support chats coherent and cheap.
REAL LIFE: INTERVIEW / EXAM:
An interviewer may ask: How do chatbots remember?
REAL LIFE: DAILY LIFE:
It is like a notebook handed back each time.</t>
        </is>
      </c>
      <c r="C38" s="29" t="inlineStr">
        <is>
          <t>05_Applications_Intermediate_LLM-037</t>
        </is>
      </c>
    </row>
    <row r="39" ht="409" customHeight="1">
      <c r="A39" s="29" t="inlineStr">
        <is>
          <t>Summarising
How do you condense long text faithfully?</t>
        </is>
      </c>
      <c r="B39" s="29" t="inlineStr">
        <is>
          <t>DEFINITION (SIMPLE):
Summarisation produces a shorter version of source text that keeps the key points, tailored to an audience and length, and is checked for accuracy against the source.
HOW / WHY IT WORKS:
Specify audience, length, format and focus, such as decisions and action items. For very long texts, summarise in chunks and then combine. Ask to avoid adding information not in the text. Review for omissions and errors, especially numbers and names. Provide the text in tags.
SIMPLE EXPLANATION (HINGLISH):
Tell the model who it is for, how long, and what to keep, and check it against the source.
REAL-LIFE ANALOGY:
Summarising is writing the executive brief of a long report.
FORMULA / RULE:
Audience + length + focus + faithfulness.
EXAMPLE 1:
A three bullet summary of an email thread.
EXAMPLE 2:
Decisions and action items from a meeting.
EXAMPLE 3:
A chunked summary of a long contract.
RELATED CONCEPTS:
clear instructions, hallucination, context window, evaluation
FAMILY / GROUP:
summary, chunk, faithful, audience, key points
WHERE IT IS USED:
Email tools | Meetings | Reports
MINI CONVERSATION:
A: The summary added a date that is not in the meeting. | B: Tell it to use only the transcript and check the numbers.
COMMON MISTAKE:
✗ A summary is always accurate → ✓ Models can omit or invent details, so verify critical facts
DON'T CONFUSE WITH:
Extractive vs abstractive: copying key sentences versus rewriting.
AVOID / DON'T:
Do not trust numbers in a summary without checking.
MEMORY TRICK:
Keep it faithful, check the numbers.
REAL LIFE: PROJECT / WORK:
Chunked summaries made long contract reviews faster and easier to check.
REAL LIFE: INTERVIEW / EXAM:
An interviewer may ask: How do you summarise a very long document?
REAL LIFE: DAILY LIFE:
It is like an executive brief of a long report.</t>
        </is>
      </c>
      <c r="C39" s="29" t="inlineStr">
        <is>
          <t>05_Applications_Beginner_LLM-038</t>
        </is>
      </c>
    </row>
    <row r="40" ht="409" customHeight="1">
      <c r="A40" s="29" t="inlineStr">
        <is>
          <t>Extraction
How do you turn messy text into structured fields?</t>
        </is>
      </c>
      <c r="B40" s="29" t="inlineStr">
        <is>
          <t>DEFINITION (SIMPLE):
Extraction uses a model to read unstructured text and return specified fields in a defined structure, with null for fields that are not present.
HOW / WHY IT WORKS:
Define the fields, types and formats, such as dates in year-month-day. Tell the model to use null instead of guessing. Validate with code, such as checking totals and date formats. Use low temperature. Handle documents longer than the window and tables carefully. Measure accuracy against labelled examples.
SIMPLE EXPLANATION (HINGLISH):
Define the fields, forbid guessing, and validate the result.
REAL-LIFE ANALOGY:
Extraction is filling a form from a pile of letters.
FORMULA / RULE:
Schema + null when missing + validation.
EXAMPLE 1:
Extracting invoice number, date and total.
EXAMPLE 2:
Pulling names and dates from an email.
EXAMPLE 3:
A check that line items sum to the total.
RELATED CONCEPTS:
structured output, hallucination, evaluation, validation
FAMILY / GROUP:
extraction, field, null, validation, schema
WHERE IT IS USED:
Invoices | Forms | Support tickets
MINI CONVERSATION:
A: The model guessed a missing date. | B: Tell it to return null and validate.
COMMON MISTAKE:
✗ The model should always fill every field → ✓ Missing values should be null, not guessed
DON'T CONFUSE WITH:
Extraction vs generation: extraction copies facts from text, generation invents new text.
AVOID / DON'T:
Do not let the model guess missing fields.
MEMORY TRICK:
Missing means null, not a guess.
REAL LIFE: PROJECT / WORK:
Validating totals caught extraction errors before they reached accounting.
REAL LIFE: INTERVIEW / EXAM:
An interviewer may ask: How do you make extraction reliable?
REAL LIFE: DAILY LIFE:
It is like filling a form from letters.</t>
        </is>
      </c>
      <c r="C40" s="29" t="inlineStr">
        <is>
          <t>05_Applications_Intermediate_LLM-039</t>
        </is>
      </c>
    </row>
    <row r="41" ht="409" customHeight="1">
      <c r="A41" s="29" t="inlineStr">
        <is>
          <t>Classification
How do you assign labels to text using a model?</t>
        </is>
      </c>
      <c r="B41" s="29" t="inlineStr">
        <is>
          <t>DEFINITION (SIMPLE):
Classification asks the model to choose one or more labels from a fixed list for each input, with definitions and examples, and returns the label in a constrained format.
HOW / WHY IT WORKS:
Define each label clearly and show edge cases. Include other or unknown to avoid forced wrong choices. Use low temperature and structured output with an enum. Evaluate with labelled data, looking at errors per class. For high volume, a small model with good examples may suffice. Add confidence or review for uncertain cases.
SIMPLE EXPLANATION (HINGLISH):
Define labels with examples, constrain the output, and measure accuracy.
REAL-LIFE ANALOGY:
Classification is sorting post into labelled pigeonholes.
FORMULA / RULE:
Clear labels + examples + enum output + evaluation.
EXAMPLE 1:
Tagging tickets as billing, technical or other.
EXAMPLE 2:
Labelling review sentiment.
EXAMPLE 3:
Routing emails to teams.
RELATED CONCEPTS:
structured output, examples, evaluation, model choice
FAMILY / GROUP:
classification, label, enum, confidence, routing
WHERE IT IS USED:
Support | Moderation | Routing
MINI CONVERSATION:
A: Tickets are labelled inconsistently. | B: Add definitions and examples, and use an enum.
COMMON MISTAKE:
✗ Any label wording works → ✓ Vague or overlapping labels give inconsistent results
DON'T CONFUSE WITH:
Single vs multi label: one label per item versus several.
AVOID / DON'T:
Do not forget an other label.
MEMORY TRICK:
Define labels, show examples, constrain, then measure.
REAL LIFE: PROJECT / WORK:
Adding definitions and an other label raised ticket routing accuracy.
REAL LIFE: INTERVIEW / EXAM:
An interviewer may ask: How do you build a reliable classifier with an LLM?
REAL LIFE: DAILY LIFE:
It is like sorting post into pigeonholes.</t>
        </is>
      </c>
      <c r="C41" s="29" t="inlineStr">
        <is>
          <t>05_Applications_Beginner_LLM-040</t>
        </is>
      </c>
    </row>
    <row r="42" ht="409" customHeight="1">
      <c r="A42" s="29" t="inlineStr">
        <is>
          <t>Agents and loops
How does a model plan, call tools and repeat until a task is done?</t>
        </is>
      </c>
      <c r="B42" s="29" t="inlineStr">
        <is>
          <t>DEFINITION (SIMPLE):
An agent is an application loop in which a model decides on actions, calls tools, receives results and continues until it produces a final answer or hits a limit.
HOW / WHY IT WORKS:
Each cycle sends the history and tool results back to the model. Good agents have clear goals, small reliable tools, step and cost limits, error handling and logging. Failures include loops, wrong tool use and prompt injection. Prefer simple workflows when the steps are known, and use agents when the path varies.
SIMPLE EXPLANATION (HINGLISH):
Loop through plan, act and observe with limits, and use simple workflows when possible.
REAL-LIFE ANALOGY:
An agent is an apprentice who plans, tries a tool, looks at the result and tries again.
FORMULA / RULE:
Decide, act, observe, repeat, with a limit.
EXAMPLE 1:
A support agent that searches orders and drafts a reply.
EXAMPLE 2:
A coding agent that runs tests and edits files.
EXAMPLE 3:
A step limit of ten.
RELATED CONCEPTS:
tool calling, guardrails, prompt injection, human review
FAMILY / GROUP:
agent, loop, tool, step limit, workflow
WHERE IT IS USED:
Automation | Assistants | Developer tools
MINI CONVERSATION:
A: The agent keeps calling the same tool. | B: Add a step limit and report repeated calls.
COMMON MISTAKE:
✗ Agents are always better than fixed workflows → ✓ Fixed workflows are more predictable when steps are known
DON'T CONFUSE WITH:
Workflow vs agent: fixed steps versus model-chosen steps.
AVOID / DON'T:
Do not run agents without step and spend limits.
MEMORY TRICK:
Limit the loop, log each step.
REAL LIFE: PROJECT / WORK:
A step limit and logging turned a runaway agent into a reliable helper.
REAL LIFE: INTERVIEW / EXAM:
An interviewer may ask: When would you use an agent instead of a workflow?
REAL LIFE: DAILY LIFE:
It is like an apprentice trying tools.</t>
        </is>
      </c>
      <c r="C42" s="29" t="inlineStr">
        <is>
          <t>05_Applications_Advanced_LLM-041</t>
        </is>
      </c>
    </row>
    <row r="43" ht="409" customHeight="1">
      <c r="A43" s="29" t="inlineStr">
        <is>
          <t>The MCP idea
Which open protocol connects models to tools and data in a standard way?</t>
        </is>
      </c>
      <c r="B43" s="29" t="inlineStr">
        <is>
          <t>DEFINITION (SIMPLE):
The Model Context Protocol is an open standard in which MCP servers expose tools, resources and prompts, and MCP clients inside AI applications discover and call them, so integrations are reusable.
HOW / WHY IT WORKS:
A server might offer database queries or file access. The client lists the available tools to the model and carries out calls. Standardisation reduces custom glue code. Security matters, since servers can run actions and read data, so use least privilege, trusted sources and approval for risky tools. Check current specification details.
SIMPLE EXPLANATION (HINGLISH):
One standard way to plug tools and data into AI applications.
REAL-LIFE ANALOGY:
MCP is a universal socket so any assistant can plug into any tool server.
FORMULA / RULE:
Client discovers server tools, model requests, client executes.
EXAMPLE 1:
A server exposing a database query tool.
EXAMPLE 2:
A file system server limited to one folder.
EXAMPLE 3:
An assistant connecting to several servers.
RELATED CONCEPTS:
tool calling, agents and loops, guardrails, prompt injection
FAMILY / GROUP:
MCP, server, client, tool, resource
WHERE IT IS USED:
Assistants | Developer tools | Integrations
MINI CONVERSATION:
A: How do we give the assistant access to our docs? | B: Run an MCP server for them with read-only access.
COMMON MISTAKE:
✗ Connected tool servers are automatically safe → ✓ They can act on data, so permissions and trust need review
DON'T CONFUSE WITH:
MCP vs plain tool calling: MCP standardises how tools are provided and discovered.
AVOID / DON'T:
Do not connect untrusted servers.
MEMORY TRICK:
One socket, but check what you plug in.
REAL LIFE: PROJECT / WORK:
A read-only server let an assistant search internal docs with limited risk.
REAL LIFE: INTERVIEW / EXAM:
An interviewer may ask: What problem does MCP solve?
REAL LIFE: DAILY LIFE:
It is like a universal socket.</t>
        </is>
      </c>
      <c r="C43" s="29" t="inlineStr">
        <is>
          <t>05_Applications_Advanced_LLM-042</t>
        </is>
      </c>
    </row>
    <row r="44" ht="409" customHeight="1">
      <c r="A44" s="29" t="inlineStr">
        <is>
          <t>Multimodal input
How can a model work with images, documents and audio as well as text?</t>
        </is>
      </c>
      <c r="B44" s="29" t="inlineStr">
        <is>
          <t>DEFINITION (SIMPLE):
Multimodal models accept inputs such as images, PDFs and sometimes audio or video along with text, and can describe, read and reason about them.
HOW / WHY IT WORKS:
Typical uses are reading invoices, describing charts, checking screenshots and transcribing text from scans. Inputs are sent as encoded data or links, and images consume tokens. Quality matters, since blurry or small text causes errors. Verify extracted numbers. Respect privacy, since images may contain faces and personal data. Output is usually text.
SIMPLE EXPLANATION (HINGLISH):
Send the image or file with a precise question, and verify what is read.
REAL-LIFE ANALOGY:
Multimodal input is giving the assistant eyes and ears as well as a reading desk.
FORMULA / RULE:
File + specific question + verification.
EXAMPLE 1:
Reading a table from a scanned page.
EXAMPLE 2:
Describing a chart.
EXAMPLE 3:
Explaining an error screenshot.
RELATED CONCEPTS:
extraction, data privacy, tokens, evaluation
FAMILY / GROUP:
multimodal, image, PDF, vision, OCR
WHERE IT IS USED:
Document processing | Support | Accessibility
MINI CONVERSATION:
A: Can the model read this scanned invoice? | B: Yes, send the image and verify the totals.
COMMON MISTAKE:
✗ Models read every image perfectly → ✓ Blurry or dense images cause mistakes
DON'T CONFUSE WITH:
Text-only vs multimodal: text input versus images and files.
AVOID / DON'T:
Do not send sensitive images without checking terms.
MEMORY TRICK:
Clear picture, clear question, checked numbers.
REAL LIFE: PROJECT / WORK:
Reading scanned forms with a vision model sped up data entry with human checks.
REAL LIFE: INTERVIEW / EXAM:
An interviewer may ask: What care is needed with image inputs?
REAL LIFE: DAILY LIFE:
It is like giving the assistant eyes.</t>
        </is>
      </c>
      <c r="C44" s="29" t="inlineStr">
        <is>
          <t>05_Applications_Intermediate_LLM-043</t>
        </is>
      </c>
    </row>
    <row r="45" ht="409" customHeight="1">
      <c r="A45" s="29" t="inlineStr">
        <is>
          <t>Fallbacks
What should happen when the model or API fails or gives a poor answer?</t>
        </is>
      </c>
      <c r="B45" s="29" t="inlineStr">
        <is>
          <t>DEFINITION (SIMPLE):
A fallback is a planned alternative when the primary model call fails, times out, fails validation or is unsafe, such as retrying, using another model, using a simpler method, showing a cached or default answer or handing over to a human.
HOW / WHY IT WORKS:
Typical sequence is retry with backoff, switch to a backup model or provider, use rules or search, and finally show a clear message with options. Validate outputs, and fall back when invalid. Monitor fallback rates, since a rise signals trouble. Test failures on purpose. Keep model names configurable for fast switching.
SIMPLE EXPLANATION (HINGLISH):
Plan retries, a backup model, a simple method and a human handover.
REAL-LIFE ANALOGY:
A fallback is the spare tyre in the boot.
FORMULA / RULE:
Retry, backup model, simple method, human.
EXAMPLE 1:
Switching to a second model after repeated errors.
EXAMPLE 2:
A keyword search when the model is down.
EXAMPLE 3:
A handover to a human agent.
RELATED CONCEPTS:
errors and retries, timeouts, human review, model choice
FAMILY / GROUP:
fallback, backup, degrade, handover, failover
WHERE IT IS USED:
Production apps | Customer support | Critical tools
MINI CONVERSATION:
A: What if the provider is down? | B: We fall back to a backup model and then to a human.
COMMON MISTAKE:
✗ Failure handling can wait until after launch → ✓ Outages and bad outputs happen from day one
DON'T CONFUSE WITH:
Retry vs fallback: retry repeats the same path, fallback changes the path.
AVOID / DON'T:
Do not show raw errors to users.
MEMORY TRICK:
Plan the spare tyre before the trip.
REAL LIFE: PROJECT / WORK:
A backup model kept a support bot running through a provider outage.
REAL LIFE: INTERVIEW / EXAM:
An interviewer may ask: How do you make an LLM feature resilient?
REAL LIFE: DAILY LIFE:
It is like a spare tyre.</t>
        </is>
      </c>
      <c r="C45" s="29" t="inlineStr">
        <is>
          <t>05_Applications_Intermediate_LLM-044</t>
        </is>
      </c>
    </row>
    <row r="46" ht="409" customHeight="1">
      <c r="A46" s="29" t="inlineStr">
        <is>
          <t>Writing and rewriting
How do you use a model to draft or improve text while keeping your meaning?</t>
        </is>
      </c>
      <c r="B46" s="29" t="inlineStr">
        <is>
          <t>DEFINITION (SIMPLE):
Writing and rewriting tasks ask the model to draft, shorten, translate or change the tone of text, using supplied facts, audience and purpose, with a human checking the result.
HOW / WHY IT WORKS:
Provide the facts so the model does not invent them, and say what must stay unchanged, such as numbers and names. Specify tone and length. Ask for options when unsure. Review for accuracy, tone and sensitive content before sending. Keep customer data private. Style guides can be included in the prompt.
SIMPLE EXPLANATION (HINGLISH):
Give facts, tone and audience, tell it what to keep, and review the result.
REAL-LIFE ANALOGY:
A writing assistant is an editor who drafts quickly but needs your facts.
FORMULA / RULE:
Facts + audience + tone + keep list + review.
EXAMPLE 1:
Rewriting an email politely for a customer.
EXAMPLE 2:
Shortening a report summary.
EXAMPLE 3:
Translating a notice with names unchanged.
RELATED CONCEPTS:
clear instructions, hallucination, human review, data privacy
FAMILY / GROUP:
draft, tone, rewrite, translate, review
WHERE IT IS USED:
Email | Documentation | Customer communication
MINI CONVERSATION:
A: The draft added a discount we never offered. | B: Supply the facts and tell it not to add new ones.
COMMON MISTAKE:
✗ Model drafts can be sent without reading → ✓ They may contain wrong facts or the wrong tone
DON'T CONFUSE WITH:
Drafting vs editing: creating from facts versus improving existing text.
AVOID / DON'T:
Do not send drafts without review.
MEMORY TRICK:
You supply the facts, it supplies the words.
REAL LIFE: PROJECT / WORK:
A drafting helper with fixed facts cut reply time while keeping accuracy.
REAL LIFE: INTERVIEW / EXAM:
An interviewer may ask: How do you stop a model inventing details in a draft?
REAL LIFE: DAILY LIFE:
It is like an editor who needs your facts.</t>
        </is>
      </c>
      <c r="C46" s="29" t="inlineStr">
        <is>
          <t>05_Applications_Beginner_LLM-045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How does an LLM produce text?
A) By predicting likely next tokens B) By copying a database C) By random letters D) By searching the web always
FILL: The date after which a model has no training data is its ____ cut-off
APPLY: A model must answer from your private policy. What do you do?</t>
        </is>
      </c>
      <c r="B2" s="29" t="inlineStr">
        <is>
          <t>MCQ answer: A  Generation is token prediction.
Fill answer: knowledge
Apply: Provide the policy in the prompt</t>
        </is>
      </c>
      <c r="C2" s="29" t="inlineStr">
        <is>
          <t>01_Basics_Beginner_LLM-001_quiz</t>
        </is>
      </c>
    </row>
    <row r="3" ht="108" customHeight="1">
      <c r="A3" s="29" t="inlineStr">
        <is>
          <t>MCQ: What counts toward the limit?
A) Only output B) Neither C) Only input D) Both input and output tokens
FILL: The tool that splits text into tokens is a ____
APPLY: You need to estimate the cost of a long document. What do you count?</t>
        </is>
      </c>
      <c r="B3" s="29" t="inlineStr">
        <is>
          <t>MCQ answer: D  The context holds both.
Fill answer: tokenizer
Apply: Tokens</t>
        </is>
      </c>
      <c r="C3" s="29" t="inlineStr">
        <is>
          <t>01_Basics_Beginner_LLM-002_quiz</t>
        </is>
      </c>
    </row>
    <row r="4" ht="94.5" customHeight="1">
      <c r="A4" s="29" t="inlineStr">
        <is>
          <t>MCQ: What does the context window include?
A) Only the question B) Only the answer C) Prompt, history and output D) The internet
FILL: Cutting off text that does not fit is ____
APPLY: A chat grows too long. What do you do?</t>
        </is>
      </c>
      <c r="B4" s="29" t="inlineStr">
        <is>
          <t>MCQ answer: C  All tokens in the request count.
Fill answer: truncation
Apply: Summarise or trim old messages</t>
        </is>
      </c>
      <c r="C4" s="29" t="inlineStr">
        <is>
          <t>01_Basics_Beginner_LLM-003_quiz</t>
        </is>
      </c>
    </row>
    <row r="5" ht="81" customHeight="1">
      <c r="A5" s="29" t="inlineStr">
        <is>
          <t>MCQ: Which role holds the behaviour rules?
A) User B) System C) Tool D) Assistant
FILL: The role that carries earlier model replies is ____
APPLY: You want a consistent polite tone. Where do you write it?</t>
        </is>
      </c>
      <c r="B5" s="29" t="inlineStr">
        <is>
          <t>MCQ answer: B  The system message sets instructions.
Fill answer: assistant
Apply: In the system message</t>
        </is>
      </c>
      <c r="C5" s="29" t="inlineStr">
        <is>
          <t>01_Basics_Beginner_LLM-004_quiz</t>
        </is>
      </c>
    </row>
    <row r="6" ht="94.5" customHeight="1">
      <c r="A6" s="29" t="inlineStr">
        <is>
          <t>MCQ: Which setting suits data extraction?
A) Longer output B) High temperature C) Random seed only D) Low temperature
FILL: A setting that limits the pool of likely tokens is top-____
APPLY: You need repeatable classification. What do you adjust?</t>
        </is>
      </c>
      <c r="B6" s="29" t="inlineStr">
        <is>
          <t>MCQ answer: D  Consistency matters for extraction.
Fill answer: p
Apply: Lower the temperature</t>
        </is>
      </c>
      <c r="C6" s="29" t="inlineStr">
        <is>
          <t>01_Basics_Intermediate_LLM-005_quiz</t>
        </is>
      </c>
    </row>
    <row r="7" ht="94.5" customHeight="1">
      <c r="A7" s="29" t="inlineStr">
        <is>
          <t>MCQ: What does a length stop reason mean?
A) The model finished B) The network failed C) The output hit the token limit D) The user left
FILL: A text marker that ends generation is a stop ____
APPLY: Output ends mid-sentence. What do you check?</t>
        </is>
      </c>
      <c r="B7" s="29" t="inlineStr">
        <is>
          <t>MCQ answer: C  It was cut off at the maximum.
Fill answer: sequence
Apply: The stop reason and the output limit</t>
        </is>
      </c>
      <c r="C7" s="29" t="inlineStr">
        <is>
          <t>01_Basics_Intermediate_LLM-006_quiz</t>
        </is>
      </c>
    </row>
    <row r="8" ht="94.5" customHeight="1">
      <c r="A8" s="29" t="inlineStr">
        <is>
          <t>MCQ: What should drive model choice?
A) Tests on your own examples B) Colour C) Marketing D) Random choice
FILL: Model names should live in ____ rather than code
APPLY: A high-volume simple task is costly. What do you try?</t>
        </is>
      </c>
      <c r="B8" s="29" t="inlineStr">
        <is>
          <t>MCQ answer: A  Your data shows real quality.
Fill answer: configuration
Apply: A smaller, cheaper model</t>
        </is>
      </c>
      <c r="C8" s="29" t="inlineStr">
        <is>
          <t>01_Basics_Intermediate_LLM-007_quiz</t>
        </is>
      </c>
    </row>
    <row r="9" ht="108" customHeight="1">
      <c r="A9" s="29" t="inlineStr">
        <is>
          <t>MCQ: What does closeness of vectors suggest?
A) Same author B) Similar meaning C) Same length D) Same language only
FILL: A common measure of vector similarity is ____ similarity
APPLY: A search must match meaning, not exact words. What do you use?</t>
        </is>
      </c>
      <c r="B9" s="29" t="inlineStr">
        <is>
          <t>MCQ answer: B  Embeddings place related text near each other.
Fill answer: cosine
Apply: Embeddings</t>
        </is>
      </c>
      <c r="C9" s="29" t="inlineStr">
        <is>
          <t>01_Basics_Intermediate_LLM-008_quiz</t>
        </is>
      </c>
    </row>
    <row r="10" ht="94.5" customHeight="1">
      <c r="A10" s="29" t="inlineStr">
        <is>
          <t>MCQ: Which belongs in a clear prompt?
A) Only a name B) Nothing C) Task, context, format and constraints D) Only a greeting
FILL: The structure of the answer you want is its ____
APPLY: Output is too long. What do you add to the prompt?</t>
        </is>
      </c>
      <c r="B10" s="29" t="inlineStr">
        <is>
          <t>MCQ answer: C  These let the model do the right job.
Fill answer: format
Apply: A length limit</t>
        </is>
      </c>
      <c r="C10" s="29" t="inlineStr">
        <is>
          <t>02_Prompting_Beginner_LLM-009_quiz</t>
        </is>
      </c>
    </row>
    <row r="11" ht="94.5" customHeight="1">
      <c r="A11" s="29" t="inlineStr">
        <is>
          <t>MCQ: What is few-shot prompting?
A) Using no prompt B) Including examples in the prompt C) Training a new model D) Using images only
FILL: Giving only instructions and no examples is ____-shot
APPLY: The output format keeps varying. What do you add?</t>
        </is>
      </c>
      <c r="B11" s="29" t="inlineStr">
        <is>
          <t>MCQ answer: B  The model imitates the examples.
Fill answer: zero
Apply: Examples of the exact format</t>
        </is>
      </c>
      <c r="C11" s="29" t="inlineStr">
        <is>
          <t>02_Prompting_Beginner_LLM-010_quiz</t>
        </is>
      </c>
    </row>
    <row r="12" ht="94.5" customHeight="1">
      <c r="A12" s="29" t="inlineStr">
        <is>
          <t>MCQ: What do delimiters do?
A) Speed up the internet B) Encrypt text C) Delete data D) Mark the boundaries of prompt parts
FILL: XML-style markers around a section are ____
APPLY: Documents and instructions are mixed up. What do you add?</t>
        </is>
      </c>
      <c r="B12" s="29" t="inlineStr">
        <is>
          <t>MCQ answer: D  They separate instructions from data.
Fill answer: tags
Apply: Tags around each part</t>
        </is>
      </c>
      <c r="C12" s="29" t="inlineStr">
        <is>
          <t>02_Prompting_Intermediate_LLM-011_quiz</t>
        </is>
      </c>
    </row>
    <row r="13" ht="108" customHeight="1">
      <c r="A13" s="29" t="inlineStr">
        <is>
          <t>MCQ: When does step-by-step prompting help most?
A) Multi-step problems B) Greetings C) Single words D) Simple lookups
FILL: Asking the model to show its working in stages is often called chain of ____ prompting
APPLY: A multi-step calculation is wrong. What do you try?</t>
        </is>
      </c>
      <c r="B13" s="29" t="inlineStr">
        <is>
          <t>MCQ answer: A  Steps reduce errors in complex tasks.
Fill answer: thought
Apply: Ask for step-by-step reasoning</t>
        </is>
      </c>
      <c r="C13" s="29" t="inlineStr">
        <is>
          <t>02_Prompting_Intermediate_LLM-012_quiz</t>
        </is>
      </c>
    </row>
    <row r="14" ht="81" customHeight="1">
      <c r="A14" s="29" t="inlineStr">
        <is>
          <t>MCQ: What should you always do with model JSON?
A) Trust it B) Print it only C) Ignore it D) Validate it
FILL: A description of the allowed JSON shape is a ____
APPLY: A program must read the answer. What format do you ask for?</t>
        </is>
      </c>
      <c r="B14" s="29" t="inlineStr">
        <is>
          <t>MCQ answer: D  Failures can still occur.
Fill answer: schema
Apply: JSON with named fields</t>
        </is>
      </c>
      <c r="C14" s="29" t="inlineStr">
        <is>
          <t>02_Prompting_Beginner_LLM-013_quiz</t>
        </is>
      </c>
    </row>
    <row r="15" ht="81" customHeight="1">
      <c r="A15" s="29" t="inlineStr">
        <is>
          <t>MCQ: What should not be placed in a system prompt?
A) Secrets B) Style C) Tone rules D) Role
FILL: The behaviour for unclear cases is the ____ rule
APPLY: The bot invents answers. What do you add?</t>
        </is>
      </c>
      <c r="B15" s="29" t="inlineStr">
        <is>
          <t>MCQ answer: A  Prompts can leak.
Fill answer: fallback
Apply: A rule for admitting uncertainty</t>
        </is>
      </c>
      <c r="C15" s="29" t="inlineStr">
        <is>
          <t>02_Prompting_Intermediate_LLM-014_quiz</t>
        </is>
      </c>
    </row>
    <row r="16" ht="81" customHeight="1">
      <c r="A16" s="29" t="inlineStr">
        <is>
          <t>MCQ: Where should prompts be stored?
A) Memory only B) Version control C) A chat message D) A sticky note
FILL: A drop in quality after a change is a ____
APPLY: A prompt change hurt quality. What do you do?</t>
        </is>
      </c>
      <c r="B16" s="29" t="inlineStr">
        <is>
          <t>MCQ answer: B  History and review matter.
Fill answer: regression
Apply: Revert to the previous version</t>
        </is>
      </c>
      <c r="C16" s="29" t="inlineStr">
        <is>
          <t>02_Prompting_Intermediate_LLM-015_quiz</t>
        </is>
      </c>
    </row>
    <row r="17" ht="108" customHeight="1">
      <c r="A17" s="29" t="inlineStr">
        <is>
          <t>MCQ: Which is a common prompting mistake?
A) Clear format B) Good examples C) Conflicting instructions D) Validation
FILL: Rare unusual inputs are called ____ cases
APPLY: A prompt performs well in demos but fails in use. What was likely missing?</t>
        </is>
      </c>
      <c r="B17" s="29" t="inlineStr">
        <is>
          <t>MCQ answer: C  Conflicts confuse the model.
Fill answer: edge
Apply: Tests on messy real inputs</t>
        </is>
      </c>
      <c r="C17" s="29" t="inlineStr">
        <is>
          <t>02_Prompting_Intermediate_LLM-016_quiz</t>
        </is>
      </c>
    </row>
    <row r="18" ht="81" customHeight="1">
      <c r="A18" s="29" t="inlineStr">
        <is>
          <t>MCQ: Which suits changing facts?
A) Neither B) Retrieval C) A larger window only D) Fine-tuning
FILL: Supplying documents at run time is called ____
APPLY: Policies change monthly. Which approach?</t>
        </is>
      </c>
      <c r="B18" s="29" t="inlineStr">
        <is>
          <t>MCQ answer: B  Documents can be updated at once.
Fill answer: retrieval
Apply: Retrieval with the current documents</t>
        </is>
      </c>
      <c r="C18" s="29" t="inlineStr">
        <is>
          <t>02_Prompting_Advanced_LLM-017_quiz</t>
        </is>
      </c>
    </row>
    <row r="19" ht="121.5" customHeight="1">
      <c r="A19" s="29" t="inlineStr">
        <is>
          <t>MCQ: Where should the API key be stored?
A) In the prompt B) In the web page C) In a public repo D) On the server in environment settings
FILL: The field that caps the length of the reply is max ____
HINDI TO TASK: Limit the reply to 300 tokens.
PRACTICE QUESTION: Which response field supports cost tracking?</t>
        </is>
      </c>
      <c r="B19" s="29" t="inlineStr">
        <is>
          <t>MCQ answer: D  Anyone can read client-side code.
Fill answer: tokens
Task answer:
"max_tokens": 300
Practice answer:
The usage token counts.</t>
        </is>
      </c>
      <c r="C19" s="29" t="inlineStr">
        <is>
          <t>03_API_Use_Beginner_LLM-018_quiz</t>
        </is>
      </c>
    </row>
    <row r="20" ht="121.5" customHeight="1">
      <c r="A20" s="29" t="inlineStr">
        <is>
          <t>MCQ: What does streaming improve?
A) Accuracy B) Token limits C) Time to first visible text D) Cost
FILL: The common protocol for streaming events over HTTP is ____ events
HINDI TO TASK: Request a streamed reply.
PRACTICE QUESTION: When should you parse JSON from a stream?</t>
        </is>
      </c>
      <c r="B20" s="29" t="inlineStr">
        <is>
          <t>MCQ answer: C  Users see text sooner.
Fill answer: server-sent
Task answer:
"stream": true
Practice answer:
After the stream is complete.</t>
        </is>
      </c>
      <c r="C20" s="29" t="inlineStr">
        <is>
          <t>03_API_Use_Intermediate_LLM-019_quiz</t>
        </is>
      </c>
    </row>
    <row r="21" ht="121.5" customHeight="1">
      <c r="A21" s="29" t="inlineStr">
        <is>
          <t>MCQ: What does a schema guarantee?
A) The shape of the output B) Speed C) Low cost D) Correct facts
FILL: A list of allowed values in a schema is an ____
HINDI TO TASK: Restrict a field to three labels.
PRACTICE QUESTION: Does a valid schema mean the extracted amount is right?</t>
        </is>
      </c>
      <c r="B21" s="29" t="inlineStr">
        <is>
          <t>MCQ answer: A  Constrained output follows the structure.
Fill answer: enum
Task answer:
"enum": ["billing", "technical", "other"]
Practice answer:
No, only the shape is guaranteed.</t>
        </is>
      </c>
      <c r="C21" s="29" t="inlineStr">
        <is>
          <t>03_API_Use_Intermediate_LLM-020_quiz</t>
        </is>
      </c>
    </row>
    <row r="22" ht="135" customHeight="1">
      <c r="A22" s="29" t="inlineStr">
        <is>
          <t>MCQ: Who executes a tool call?
A) The browser B) The model C) Your application code D) The provider only
FILL: A message carrying the output of a function call uses the role named after the ____
HINDI TO TASK: Define a tool that looks up an order.
PRACTICE QUESTION: Why validate tool arguments?</t>
        </is>
      </c>
      <c r="B22" s="29" t="inlineStr">
        <is>
          <t>MCQ answer: C  The model only proposes the call.
Fill answer: tool
Task answer:
{"name": "get_order_status", "description": "Look up an order", "input_schema": {"type": "object", "properties": {"order_id": {"type": "string"}}}}
Practice answer:
The model may produce wrong or unsafe values.</t>
        </is>
      </c>
      <c r="C22" s="29" t="inlineStr">
        <is>
          <t>03_API_Use_Intermediate_LLM-021_quiz</t>
        </is>
      </c>
    </row>
    <row r="23" ht="108" customHeight="1">
      <c r="A23" s="29" t="inlineStr">
        <is>
          <t>MCQ: Which status suggests slowing down?
A) 301 B) 200 C) 404 D) 429
FILL: Random extra delay added to backoff is ____
HINDI TO TASK: Wait for the time given in the retry-after header.
PRACTICE QUESTION: Why is a 401 not retried?</t>
        </is>
      </c>
      <c r="B23" s="29" t="inlineStr">
        <is>
          <t>MCQ answer: D  It means too many requests.
Fill answer: jitter
Task answer:
time.sleep(float(resp.headers.get("retry-after", 2)))
Practice answer:
The key is wrong, so retrying cannot succeed.</t>
        </is>
      </c>
      <c r="C23" s="29" t="inlineStr">
        <is>
          <t>03_API_Use_Intermediate_LLM-022_quiz</t>
        </is>
      </c>
    </row>
    <row r="24" ht="81" customHeight="1">
      <c r="A24" s="29" t="inlineStr">
        <is>
          <t>MCQ: What status signals a rate limit?
A) 404 B) 429 C) 200 D) 500
FILL: A waiting line that smooths bursts is a ____
APPLY: A bulk import hits limits. What do you add?</t>
        </is>
      </c>
      <c r="B24" s="29" t="inlineStr">
        <is>
          <t>MCQ answer: B  Too many requests returns 429.
Fill answer: queue
Apply: A rate-limited queue</t>
        </is>
      </c>
      <c r="C24" s="29" t="inlineStr">
        <is>
          <t>03_API_Use_Intermediate_LLM-023_quiz</t>
        </is>
      </c>
    </row>
    <row r="25" ht="135" customHeight="1">
      <c r="A25" s="29" t="inlineStr">
        <is>
          <t>MCQ: Which part of a timeout waits for the reply?
A) Read timeout B) Connect timeout C) Idle timeout only D) DNS timeout
FILL: Waiting too long without a timeout can ____ the app
HINDI TO TASK: Set a five second connect and two minute read timeout.
PRACTICE QUESTION: Can a timed-out request still be processed?</t>
        </is>
      </c>
      <c r="B25" s="29" t="inlineStr">
        <is>
          <t>MCQ answer: A  Read timeout limits waiting for data.
Fill answer: freeze
Task answer:
timeout=(5, 120)
Practice answer:
Yes, the provider may still complete it.</t>
        </is>
      </c>
      <c r="C25" s="29" t="inlineStr">
        <is>
          <t>03_API_Use_Intermediate_LLM-024_quiz</t>
        </is>
      </c>
    </row>
    <row r="26" ht="81" customHeight="1">
      <c r="A26" s="29" t="inlineStr">
        <is>
          <t>MCQ: How do you match batch results to requests?
A) By time B) By guess C) By order only D) By custom id
FILL: Work that returns results later is ____
APPLY: A nightly job labels many records. Which interface?</t>
        </is>
      </c>
      <c r="B26" s="29" t="inlineStr">
        <is>
          <t>MCQ answer: D  Order is not guaranteed.
Fill answer: asynchronous
Apply: A batch API</t>
        </is>
      </c>
      <c r="C26" s="29" t="inlineStr">
        <is>
          <t>03_API_Use_Intermediate_LLM-025_quiz</t>
        </is>
      </c>
    </row>
    <row r="27" ht="94.5" customHeight="1">
      <c r="A27" s="29" t="inlineStr">
        <is>
          <t>MCQ: Where should stable content go for caching?
A) At the end B) At the start C) In the middle randomly D) Nowhere
FILL: Reusing an identical start of the prompt is a prefix ____
APPLY: A long manual is sent with every question. What do you change?</t>
        </is>
      </c>
      <c r="B27" s="29" t="inlineStr">
        <is>
          <t>MCQ answer: B  Caching matches the prefix.
Fill answer: hit
Apply: Put it first and cache it</t>
        </is>
      </c>
      <c r="C27" s="29" t="inlineStr">
        <is>
          <t>03_API_Use_Advanced_LLM-026_quiz</t>
        </is>
      </c>
    </row>
    <row r="28" ht="81" customHeight="1">
      <c r="A28" s="29" t="inlineStr">
        <is>
          <t>MCQ: What drives most LLM cost?
A) Tokens and model choice B) Font C) Server name D) Colour
FILL: A cap on how much one user may consume is a ____
APPLY: Simple tasks use an expensive model. What do you do?</t>
        </is>
      </c>
      <c r="B28" s="29" t="inlineStr">
        <is>
          <t>MCQ answer: A  Billing is token based.
Fill answer: limit
Apply: Route them to a smaller model</t>
        </is>
      </c>
      <c r="C28" s="29" t="inlineStr">
        <is>
          <t>03_API_Use_Intermediate_LLM-027_quiz</t>
        </is>
      </c>
    </row>
    <row r="29" ht="135" customHeight="1">
      <c r="A29" s="29" t="inlineStr">
        <is>
          <t>MCQ: What should you reserve when budgeting?
A) Nothing B) Space for emails C) Space for the output D) Space for logos
FILL: Keeping only the newest messages is a sliding ____
HINDI TO TASK: Compute the input budget from the window and the output reserve.
PRACTICE QUESTION: Why use the provider's token counter?</t>
        </is>
      </c>
      <c r="B29" s="29" t="inlineStr">
        <is>
          <t>MCQ answer: C  The answer also needs room.
Fill answer: window
Task answer:
budget = WINDOW - OUTPUT_RESERVE
Practice answer:
Tokenizers differ, so local word counts are inaccurate.</t>
        </is>
      </c>
      <c r="C29" s="29" t="inlineStr">
        <is>
          <t>03_API_Use_Intermediate_LLM-028_quiz</t>
        </is>
      </c>
    </row>
    <row r="30" ht="94.5" customHeight="1">
      <c r="A30" s="29" t="inlineStr">
        <is>
          <t>MCQ: Which reduces hallucination?
A) Shorter prompts only B) Higher temperature C) Grounding in provided sources D) Removing instructions
FILL: Answering from supplied documents is called ____
APPLY: A bot invents policies. What do you add?</t>
        </is>
      </c>
      <c r="B30" s="29" t="inlineStr">
        <is>
          <t>MCQ answer: C  The model has real material to use.
Fill answer: grounding
Apply: The real policy text and an allowance to say it does not know</t>
        </is>
      </c>
      <c r="C30" s="29" t="inlineStr">
        <is>
          <t>04_Quality_and_Safety_Beginner_LLM-029_quiz</t>
        </is>
      </c>
    </row>
    <row r="31" ht="94.5" customHeight="1">
      <c r="A31" s="29" t="inlineStr">
        <is>
          <t>MCQ: What does grounding supply?
A) More randomness B) Shorter outputs C) A bigger model D) Trusted source text
FILL: A quote or reference supporting a claim is a ____
APPLY: Answers must be checkable. What do you request?</t>
        </is>
      </c>
      <c r="B31" s="29" t="inlineStr">
        <is>
          <t>MCQ answer: D  The answer relies on evidence.
Fill answer: citation
Apply: Quotes from the sources</t>
        </is>
      </c>
      <c r="C31" s="29" t="inlineStr">
        <is>
          <t>04_Quality_and_Safety_Intermediate_LLM-030_quiz</t>
        </is>
      </c>
    </row>
    <row r="32" ht="94.5" customHeight="1">
      <c r="A32" s="29" t="inlineStr">
        <is>
          <t>MCQ: Which is the strongest defence?
A) Higher temperature B) Limited permissions and human approval C) Ignoring it D) A longer prompt only
FILL: Injection hidden in content the model reads is ____ injection
APPLY: An agent reads web pages and can send email. What do you add?</t>
        </is>
      </c>
      <c r="B32" s="29" t="inlineStr">
        <is>
          <t>MCQ answer: B  It limits damage even if the model is fooled.
Fill answer: indirect
Apply: Approval before sending and minimal permissions</t>
        </is>
      </c>
      <c r="C32" s="29" t="inlineStr">
        <is>
          <t>04_Quality_and_Safety_Intermediate_LLM-031_quiz</t>
        </is>
      </c>
    </row>
    <row r="33" ht="94.5" customHeight="1">
      <c r="A33" s="29" t="inlineStr">
        <is>
          <t>MCQ: What is the first privacy step?
A) Send only needed data B) Send everything C) Ignore terms D) Post it online
FILL: Hiding identifying details is ____
APPLY: A prompt includes customer names. What do you do first?</t>
        </is>
      </c>
      <c r="B33" s="29" t="inlineStr">
        <is>
          <t>MCQ answer: A  Data not sent cannot leak.
Fill answer: masking
Apply: Remove or mask them</t>
        </is>
      </c>
      <c r="C33" s="29" t="inlineStr">
        <is>
          <t>04_Quality_and_Safety_Intermediate_LLM-032_quiz</t>
        </is>
      </c>
    </row>
    <row r="34" ht="81" customHeight="1">
      <c r="A34" s="29" t="inlineStr">
        <is>
          <t>MCQ: Where should moderation be applied?
A) Only inputs B) Inputs and outputs C) Neither D) Only outputs
FILL: A declined request gets a ____
APPLY: A public chatbot receives abuse. What do you add?</t>
        </is>
      </c>
      <c r="B34" s="29" t="inlineStr">
        <is>
          <t>MCQ answer: B  Both sides can carry harm.
Fill answer: refusal
Apply: Moderation with a defined response</t>
        </is>
      </c>
      <c r="C34" s="29" t="inlineStr">
        <is>
          <t>04_Quality_and_Safety_Intermediate_LLM-033_quiz</t>
        </is>
      </c>
    </row>
    <row r="35" ht="94.5" customHeight="1">
      <c r="A35" s="29" t="inlineStr">
        <is>
          <t>MCQ: Which is a real guardrail?
A) An allow-list of tools B) A polite request C) A longer prompt D) A hope
FILL: A list of permitted actions is an ____
APPLY: A bot must never issue refunds. How do you enforce it?</t>
        </is>
      </c>
      <c r="B35" s="29" t="inlineStr">
        <is>
          <t>MCQ answer: A  It limits actions regardless of model output.
Fill answer: allow-list
Apply: Do not provide a refund tool</t>
        </is>
      </c>
      <c r="C35" s="29" t="inlineStr">
        <is>
          <t>04_Quality_and_Safety_Intermediate_LLM-034_quiz</t>
        </is>
      </c>
    </row>
    <row r="36" ht="81" customHeight="1">
      <c r="A36" s="29" t="inlineStr">
        <is>
          <t>MCQ: What should always get human review?
A) Colours B) Typos C) Greetings D) High-impact actions
FILL: Checking a share of items is ____
APPLY: The bot drafts legal replies. What do you require?</t>
        </is>
      </c>
      <c r="B36" s="29" t="inlineStr">
        <is>
          <t>MCQ answer: D  Mistakes there cost most.
Fill answer: sampling
Apply: Human approval</t>
        </is>
      </c>
      <c r="C36" s="29" t="inlineStr">
        <is>
          <t>04_Quality_and_Safety_Intermediate_LLM-035_quiz</t>
        </is>
      </c>
    </row>
    <row r="37" ht="94.5" customHeight="1">
      <c r="A37" s="29" t="inlineStr">
        <is>
          <t>MCQ: Which is safe to log by default?
A) Passwords B) API keys C) Token counts and latency D) Raw customer emails
FILL: How long logs are kept is the ____
APPLY: Debugging needs prompt text. What controls do you add?</t>
        </is>
      </c>
      <c r="B37" s="29" t="inlineStr">
        <is>
          <t>MCQ answer: C  Metadata carries little risk.
Fill answer: retention
Apply: Masking, access control and short retention</t>
        </is>
      </c>
      <c r="C37" s="29" t="inlineStr">
        <is>
          <t>04_Quality_and_Safety_Intermediate_LLM-036_quiz</t>
        </is>
      </c>
    </row>
    <row r="38" ht="94.5" customHeight="1">
      <c r="A38" s="29" t="inlineStr">
        <is>
          <t>MCQ: Who stores the conversation history?
A) The application B) The browser cache only C) The model itself D) The router
FILL: A condensed version of earlier turns is a ____
APPLY: A long chat exceeds the window. What do you do?</t>
        </is>
      </c>
      <c r="B38" s="29" t="inlineStr">
        <is>
          <t>MCQ answer: A  The model is stateless.
Fill answer: summary
Apply: Summarise older turns</t>
        </is>
      </c>
      <c r="C38" s="29" t="inlineStr">
        <is>
          <t>05_Applications_Intermediate_LLM-037_quiz</t>
        </is>
      </c>
    </row>
    <row r="39" ht="94.5" customHeight="1">
      <c r="A39" s="29" t="inlineStr">
        <is>
          <t>MCQ: How do you handle very long text?
A) Ignore half B) Summarise chunks and combine C) Delete it D) Use one huge prompt always
FILL: Splitting text into parts is ____
APPLY: A transcript is too long for one call. What do you do?</t>
        </is>
      </c>
      <c r="B39" s="29" t="inlineStr">
        <is>
          <t>MCQ answer: B  Chunking fits the window and keeps detail.
Fill answer: chunking
Apply: Summarise parts, then combine</t>
        </is>
      </c>
      <c r="C39" s="29" t="inlineStr">
        <is>
          <t>05_Applications_Beginner_LLM-038_quiz</t>
        </is>
      </c>
    </row>
    <row r="40" ht="81" customHeight="1">
      <c r="A40" s="29" t="inlineStr">
        <is>
          <t>MCQ: What should be returned for a missing field?
A) A random value B) Zero always C) null D) A guess
FILL: Checking extracted values with rules is ____
APPLY: An invoice has no due date. What should the field hold?</t>
        </is>
      </c>
      <c r="B40" s="29" t="inlineStr">
        <is>
          <t>MCQ answer: C  Guessing creates false data.
Fill answer: validation
Apply: null</t>
        </is>
      </c>
      <c r="C40" s="29" t="inlineStr">
        <is>
          <t>05_Applications_Intermediate_LLM-039_quiz</t>
        </is>
      </c>
    </row>
    <row r="41" ht="94.5" customHeight="1">
      <c r="A41" s="29" t="inlineStr">
        <is>
          <t>MCQ: Why include an other label?
A) To lower cost B) To add noise C) To lengthen prompts D) To avoid forced wrong labels
FILL: A fixed list of allowed values is an ____
APPLY: Tickets fit none of the labels sometimes. What do you add?</t>
        </is>
      </c>
      <c r="B41" s="29" t="inlineStr">
        <is>
          <t>MCQ answer: D  Unclear items need a safe label.
Fill answer: enum
Apply: An other label</t>
        </is>
      </c>
      <c r="C41" s="29" t="inlineStr">
        <is>
          <t>05_Applications_Beginner_LLM-040_quiz</t>
        </is>
      </c>
    </row>
    <row r="42" ht="81" customHeight="1">
      <c r="A42" s="29" t="inlineStr">
        <is>
          <t>MCQ: What should every agent loop have?
A) Unlimited tools B) No logging C) No stop D) A step limit
FILL: A fixed sequence of steps is a ____
APPLY: Steps are known in advance. What do you build?</t>
        </is>
      </c>
      <c r="B42" s="29" t="inlineStr">
        <is>
          <t>MCQ answer: D  Limits prevent runaway behaviour.
Fill answer: workflow
Apply: A fixed workflow</t>
        </is>
      </c>
      <c r="C42" s="29" t="inlineStr">
        <is>
          <t>05_Applications_Advanced_LLM-041_quiz</t>
        </is>
      </c>
    </row>
    <row r="43" ht="121.5" customHeight="1">
      <c r="A43" s="29" t="inlineStr">
        <is>
          <t>MCQ: What does MCP standardise?
A) How tools and data are exposed to AI apps B) Passwords C) Server prices D) Colours
FILL: The component inside the app that connects to servers is the MCP ____
APPLY: An assistant needs read-only access to documents. What do you run?</t>
        </is>
      </c>
      <c r="B43" s="29" t="inlineStr">
        <is>
          <t>MCQ answer: A  It defines a common integration protocol.
Fill answer: client
Apply: A read-only server</t>
        </is>
      </c>
      <c r="C43" s="29" t="inlineStr">
        <is>
          <t>05_Applications_Advanced_LLM-042_quiz</t>
        </is>
      </c>
    </row>
    <row r="44" ht="81" customHeight="1">
      <c r="A44" s="29" t="inlineStr">
        <is>
          <t>MCQ: What should you do with numbers read from an image?
A) Trust them blindly B) Ignore them C) Verify them D) Delete them
FILL: Turning scanned text into digital text is ____
APPLY: A scanned invoice must be read. What do you also do?</t>
        </is>
      </c>
      <c r="B44" s="29" t="inlineStr">
        <is>
          <t>MCQ answer: C  Reading errors happen.
Fill answer: OCR
Apply: Verify the totals</t>
        </is>
      </c>
      <c r="C44" s="29" t="inlineStr">
        <is>
          <t>05_Applications_Intermediate_LLM-043_quiz</t>
        </is>
      </c>
    </row>
    <row r="45" ht="94.5" customHeight="1">
      <c r="A45" s="29" t="inlineStr">
        <is>
          <t>MCQ: What is a fallback?
A) A colour B) A planned alternative path C) A new feature D) A log line
FILL: Switching to a backup system is ____
APPLY: The provider is down. What should happen?</t>
        </is>
      </c>
      <c r="B45" s="29" t="inlineStr">
        <is>
          <t>MCQ answer: B  It keeps the service useful when the primary path fails.
Fill answer: failover
Apply: Use a backup model or hand over to a human</t>
        </is>
      </c>
      <c r="C45" s="29" t="inlineStr">
        <is>
          <t>05_Applications_Intermediate_LLM-044_quiz</t>
        </is>
      </c>
    </row>
    <row r="46" ht="94.5" customHeight="1">
      <c r="A46" s="29" t="inlineStr">
        <is>
          <t>MCQ: Which details must a rewrite never change?
A) The wording of every sentence B) Names and numbers C) The length D) The font
FILL: Changing the style of writing is changing its ____
APPLY: A reply must be polite and accurate. What do you supply?</t>
        </is>
      </c>
      <c r="B46" s="29" t="inlineStr">
        <is>
          <t>MCQ answer: B  Details must stay accurate.
Fill answer: tone
Apply: The facts, audience and tone</t>
        </is>
      </c>
      <c r="C46" s="29" t="inlineStr">
        <is>
          <t>05_Applications_Beginner_LLM-045_quiz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38</v>
      </c>
    </row>
    <row r="3">
      <c r="A3" t="inlineStr">
        <is>
          <t>Code concept (56-pt)</t>
        </is>
      </c>
      <c r="B3" t="n">
        <v>7</v>
      </c>
    </row>
    <row r="5">
      <c r="A5" s="21" t="inlineStr">
        <is>
          <t>Cards by topic</t>
        </is>
      </c>
    </row>
    <row r="6">
      <c r="A6" t="inlineStr">
        <is>
          <t>03 API Use</t>
        </is>
      </c>
      <c r="B6" t="n">
        <v>11</v>
      </c>
    </row>
    <row r="7">
      <c r="A7" t="inlineStr">
        <is>
          <t>02 Prompting</t>
        </is>
      </c>
      <c r="B7" t="n">
        <v>9</v>
      </c>
    </row>
    <row r="8">
      <c r="A8" t="inlineStr">
        <is>
          <t>05 Applications</t>
        </is>
      </c>
      <c r="B8" t="n">
        <v>9</v>
      </c>
    </row>
    <row r="9">
      <c r="A9" t="inlineStr">
        <is>
          <t>01 Basics</t>
        </is>
      </c>
      <c r="B9" t="n">
        <v>8</v>
      </c>
    </row>
    <row r="10">
      <c r="A10" t="inlineStr">
        <is>
          <t>04 Quality and Safety</t>
        </is>
      </c>
      <c r="B10" t="n">
        <v>8</v>
      </c>
    </row>
    <row r="12">
      <c r="A12" s="21" t="inlineStr">
        <is>
          <t>Cards by level</t>
        </is>
      </c>
    </row>
    <row r="13">
      <c r="A13" t="inlineStr">
        <is>
          <t>Intermediate</t>
        </is>
      </c>
      <c r="B13" t="n">
        <v>29</v>
      </c>
    </row>
    <row r="14">
      <c r="A14" t="inlineStr">
        <is>
          <t>Beginner</t>
        </is>
      </c>
      <c r="B14" t="n">
        <v>12</v>
      </c>
    </row>
    <row r="15">
      <c r="A15" t="inlineStr">
        <is>
          <t>Advanced</t>
        </is>
      </c>
      <c r="B15" t="n">
        <v>4</v>
      </c>
    </row>
    <row r="17">
      <c r="A17" s="21" t="inlineStr">
        <is>
          <t>Cards by source</t>
        </is>
      </c>
    </row>
    <row r="18">
      <c r="A18" t="inlineStr">
        <is>
          <t>Claude knowledge</t>
        </is>
      </c>
      <c r="B18" t="n">
        <v>45</v>
      </c>
    </row>
    <row r="20">
      <c r="A20" s="21" t="inlineStr">
        <is>
          <t>Error check</t>
        </is>
      </c>
    </row>
    <row r="21">
      <c r="A21"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2026-10-07T16:54:17Z</dcterms:created>
  <dcterms:modified xmlns:dcterms="http://purl.org/dc/terms/" xmlns:xsi="http://www.w3.org/2001/XMLSchema-instance" xsi:type="dcterms:W3CDTF">2026-10-07T16:54:17Z</dcterms:modified>
</cp:coreProperties>
</file>