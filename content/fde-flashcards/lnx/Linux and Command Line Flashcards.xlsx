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cards'!$A$2:$BN$53</definedName>
    <definedName name="_xlnm._FilterDatabase" localSheetId="3" hidden="1">'Topic (56-pt) cards'!$A$2:$BB$7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Linux and the Command Line – Beginner to Advanced Flashcards</t>
        </is>
      </c>
    </row>
    <row r="2">
      <c r="A2" s="2" t="inlineStr">
        <is>
          <t>Subject: Linux   ·   Learner: Self learner, English   ·   Cards: 56</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94.5" customHeight="1">
      <c r="A3" s="17" t="inlineStr">
        <is>
          <t>LNX-005</t>
        </is>
      </c>
      <c r="B3" s="17" t="inlineStr">
        <is>
          <t>01 Basics</t>
        </is>
      </c>
      <c r="C3" s="17" t="inlineStr">
        <is>
          <t>Beginner</t>
        </is>
      </c>
      <c r="D3" s="17" t="n">
        <v>5</v>
      </c>
      <c r="E3" s="17" t="inlineStr">
        <is>
          <t>Claude knowledge</t>
        </is>
      </c>
      <c r="F3" s="18" t="inlineStr">
        <is>
          <t>man pages and --help</t>
        </is>
      </c>
      <c r="G3" s="18" t="inlineStr">
        <is>
          <t>Where do you find the official manual of a command without leaving the terminal?</t>
        </is>
      </c>
      <c r="H3" s="17" t="n"/>
      <c r="I3" s="18" t="inlineStr">
        <is>
          <t>Command</t>
        </is>
      </c>
      <c r="J3" s="18" t="inlineStr">
        <is>
          <t>Very high</t>
        </is>
      </c>
      <c r="K3" s="18" t="n">
        <v>5</v>
      </c>
      <c r="L3" s="18" t="inlineStr">
        <is>
          <t>Unix shipped its manuals on the machine itself so that anyone could look up a command without a network, and the man command shows them.</t>
        </is>
      </c>
      <c r="M3" s="18" t="inlineStr">
        <is>
          <t>Press / inside a man page to search, and q to quit.</t>
        </is>
      </c>
      <c r="N3" s="17" t="n"/>
      <c r="O3" s="18" t="inlineStr">
        <is>
          <t>The man page is the instruction booklet that comes inside the box of every command.</t>
        </is>
      </c>
      <c r="P3" s="18" t="inlineStr">
        <is>
          <t>A terminal showing a manual page with NAME, SYNOPSIS and OPTIONS sections.</t>
        </is>
      </c>
      <c r="Q3" s="18" t="inlineStr">
        <is>
          <t>The independence of finding answers yourself.</t>
        </is>
      </c>
      <c r="R3" s="18" t="inlineStr">
        <is>
          <t>man shows the manual page of a command, and most commands also print a short summary with --help.</t>
        </is>
      </c>
      <c r="S3" s="17" t="n"/>
      <c r="T3" s="19" t="inlineStr">
        <is>
          <t>man ls
ls --help
man -k copy</t>
        </is>
      </c>
      <c r="U3" s="19" t="inlineStr">
        <is>
          <t>A manual page for ls with its description and options, a short options list from --help, and a list of commands whose summary mentions copy.</t>
        </is>
      </c>
      <c r="V3" s="18" t="inlineStr">
        <is>
          <t>A man page has sections such as NAME, SYNOPSIS, DESCRIPTION and OPTIONS. You scroll with the arrow keys, search with a slash, and quit with q. The --help flag gives a shorter summary and works on most commands. man -k searches the summaries for a keyword, which helps when you do not know the command name.</t>
        </is>
      </c>
      <c r="W3" s="18" t="inlineStr">
        <is>
          <t>Type man and the command name to read its manual. Use --help for a quick reminder, and man -k to search by keyword.</t>
        </is>
      </c>
      <c r="X3" s="18" t="inlineStr">
        <is>
          <t>It is like the instruction booklet that comes inside the box.</t>
        </is>
      </c>
      <c r="Y3" s="19" t="inlineStr">
        <is>
          <t>man command  |  command --help  |  man -k keyword</t>
        </is>
      </c>
      <c r="Z3" s="18" t="inlineStr">
        <is>
          <t>man = manual | --help = quick summary | -k = search by keyword</t>
        </is>
      </c>
      <c r="AA3" s="19" t="inlineStr">
        <is>
          <t>man grep</t>
        </is>
      </c>
      <c r="AB3" s="19" t="inlineStr">
        <is>
          <t>tar --help</t>
        </is>
      </c>
      <c r="AC3" s="19" t="inlineStr">
        <is>
          <t>man -k network</t>
        </is>
      </c>
      <c r="AD3" s="19" t="inlineStr">
        <is>
          <t>man 5 passwd   // a specific manual section
info coreutils   // another documentation format</t>
        </is>
      </c>
      <c r="AE3" s="18" t="inlineStr">
        <is>
          <t>less, grep, apropos</t>
        </is>
      </c>
      <c r="AF3" s="18" t="inlineStr">
        <is>
          <t>shell, commands, package managers</t>
        </is>
      </c>
      <c r="AG3" s="18" t="inlineStr">
        <is>
          <t>tldr pages for short examples</t>
        </is>
      </c>
      <c r="AH3" s="17" t="n"/>
      <c r="AI3" s="18" t="inlineStr">
        <is>
          <t>Learning commands | Checking options | Unknown customer machines</t>
        </is>
      </c>
      <c r="AJ3" s="18" t="inlineStr">
        <is>
          <t>A: What does this flag do? | B: Open the man page for the command and search for the flag.</t>
        </is>
      </c>
      <c r="AK3" s="18" t="inlineStr">
        <is>
          <t>✗ You need the internet to read command documentation → ✓ Manual pages are stored on the machine, so man works offline</t>
        </is>
      </c>
      <c r="AL3" s="18" t="inlineStr">
        <is>
          <t>man vs --help: man gives the full manual, --help gives a short summary.</t>
        </is>
      </c>
      <c r="AM3" s="18" t="inlineStr">
        <is>
          <t>Do not copy a command from the internet without checking its options in the man page.</t>
        </is>
      </c>
      <c r="AN3" s="19" t="inlineStr">
        <is>
          <t>man --ls</t>
        </is>
      </c>
      <c r="AO3" s="19" t="inlineStr">
        <is>
          <t>man ls</t>
        </is>
      </c>
      <c r="AP3" s="18" t="inlineStr">
        <is>
          <t>When in doubt, man it out.</t>
        </is>
      </c>
      <c r="AQ3" s="18" t="inlineStr">
        <is>
          <t>Checking the exact flags of a command on a customer server with no internet access.</t>
        </is>
      </c>
      <c r="AR3" s="18" t="inlineStr">
        <is>
          <t>An interviewer may ask: How do you learn what a command does on a server?</t>
        </is>
      </c>
      <c r="AS3" s="18" t="inlineStr">
        <is>
          <t>It is like the instruction booklet inside the box.</t>
        </is>
      </c>
      <c r="AT3" s="18" t="inlineStr">
        <is>
          <t>Which command shows the manual page for grep?</t>
        </is>
      </c>
      <c r="AU3" s="18" t="inlineStr">
        <is>
          <t>A) show grep B) man grep C) help grep D) read grep</t>
        </is>
      </c>
      <c r="AV3" s="18" t="inlineStr">
        <is>
          <t>B</t>
        </is>
      </c>
      <c r="AW3" s="18" t="inlineStr">
        <is>
          <t>man followed by the command name opens its manual.</t>
        </is>
      </c>
      <c r="AX3" s="19" t="inlineStr">
        <is>
          <t>Inside a man page, press ____ to quit → q</t>
        </is>
      </c>
      <c r="AY3" s="18" t="inlineStr">
        <is>
          <t>Show the manual of the cp command.</t>
        </is>
      </c>
      <c r="AZ3" s="19" t="inlineStr">
        <is>
          <t>man cp</t>
        </is>
      </c>
      <c r="BA3" s="18" t="inlineStr">
        <is>
          <t>Read the man page of one command and write down three of its options.</t>
        </is>
      </c>
      <c r="BB3" s="19" t="inlineStr">
        <is>
          <t>Which command searches manual summaries for a keyword?</t>
        </is>
      </c>
      <c r="BC3" s="19" t="inlineStr">
        <is>
          <t>man -k keyword</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21.5" customHeight="1">
      <c r="A4" s="17" t="inlineStr">
        <is>
          <t>LNX-006</t>
        </is>
      </c>
      <c r="B4" s="17" t="inlineStr">
        <is>
          <t>01 Basics</t>
        </is>
      </c>
      <c r="C4" s="17" t="inlineStr">
        <is>
          <t>Beginner</t>
        </is>
      </c>
      <c r="D4" s="17" t="n">
        <v>6</v>
      </c>
      <c r="E4" s="17" t="inlineStr">
        <is>
          <t>Claude knowledge</t>
        </is>
      </c>
      <c r="F4" s="18" t="inlineStr">
        <is>
          <t>Package managers (apt and dnf)</t>
        </is>
      </c>
      <c r="G4" s="18" t="inlineStr">
        <is>
          <t>Which tools install, update and remove software on a Linux machine from trusted repositories?</t>
        </is>
      </c>
      <c r="H4" s="17" t="n"/>
      <c r="I4" s="18" t="inlineStr">
        <is>
          <t>Command</t>
        </is>
      </c>
      <c r="J4" s="18" t="inlineStr">
        <is>
          <t>Very high</t>
        </is>
      </c>
      <c r="K4" s="18" t="n">
        <v>5</v>
      </c>
      <c r="L4" s="18" t="inlineStr">
        <is>
          <t>Installing software by hand from many websites was unsafe and slow, so distributions created package managers that fetch signed software from central repositories.</t>
        </is>
      </c>
      <c r="M4" s="18" t="inlineStr">
        <is>
          <t>Run the update command before installing, so the package list is fresh.</t>
        </is>
      </c>
      <c r="N4" s="17" t="n"/>
      <c r="O4" s="18" t="inlineStr">
        <is>
          <t>A package manager is an app store that lives in your terminal.</t>
        </is>
      </c>
      <c r="P4" s="18" t="inlineStr">
        <is>
          <t>A command fetching a package from a repository and installing it with its dependencies.</t>
        </is>
      </c>
      <c r="Q4" s="18" t="inlineStr">
        <is>
          <t>The ease of installing a tool with one line.</t>
        </is>
      </c>
      <c r="R4" s="18" t="inlineStr">
        <is>
          <t>A package manager installs and updates software and its dependencies, with apt on Debian and Ubuntu, and dnf on Fedora and Red Hat families.</t>
        </is>
      </c>
      <c r="S4" s="17" t="n"/>
      <c r="T4" s="19" t="inlineStr">
        <is>
          <t>sudo apt update
sudo apt install nginx
apt search json
sudo apt remove nginx</t>
        </is>
      </c>
      <c r="U4" s="19" t="inlineStr">
        <is>
          <t>The package lists refresh, nginx and its dependencies are installed, packages about json are listed, and nginx is removed.</t>
        </is>
      </c>
      <c r="V4" s="18" t="inlineStr">
        <is>
          <t>Packages come from repositories listed in the system configuration. update refreshes the list of available packages, and install fetches the package and its dependencies. On Red Hat families the matching tool is dnf, with commands such as sudo dnf install nginx. Alpine uses apk. Installing needs administrator rights, so commands usually start with sudo.</t>
        </is>
      </c>
      <c r="W4" s="18" t="inlineStr">
        <is>
          <t>Use the package manager of your distribution to install software. Update first, then install, and use sudo because it changes the system.</t>
        </is>
      </c>
      <c r="X4" s="18" t="inlineStr">
        <is>
          <t>It is like an app store that lives in your terminal.</t>
        </is>
      </c>
      <c r="Y4" s="19" t="inlineStr">
        <is>
          <t>sudo apt install package  |  sudo dnf install package</t>
        </is>
      </c>
      <c r="Z4" s="18" t="inlineStr">
        <is>
          <t>apt or dnf = the package manager | install = add software | sudo = run with admin rights</t>
        </is>
      </c>
      <c r="AA4" s="19" t="inlineStr">
        <is>
          <t>sudo apt install curl</t>
        </is>
      </c>
      <c r="AB4" s="19" t="inlineStr">
        <is>
          <t>sudo dnf install git</t>
        </is>
      </c>
      <c r="AC4" s="19" t="inlineStr">
        <is>
          <t>apk add curl</t>
        </is>
      </c>
      <c r="AD4" s="19" t="inlineStr">
        <is>
          <t>sudo apt upgrade   // update installed packages
dpkg -l | grep nginx   // see if a package is installed</t>
        </is>
      </c>
      <c r="AE4" s="18" t="inlineStr">
        <is>
          <t>sudo, repositories, dependencies, containers</t>
        </is>
      </c>
      <c r="AF4" s="18" t="inlineStr">
        <is>
          <t>distributions, sudo, Docker images</t>
        </is>
      </c>
      <c r="AG4" s="18" t="inlineStr">
        <is>
          <t>snap, flatpak, or building from source</t>
        </is>
      </c>
      <c r="AH4" s="17" t="n"/>
      <c r="AI4" s="18" t="inlineStr">
        <is>
          <t>Setting up servers | Container images | Installing tools on customer machines</t>
        </is>
      </c>
      <c r="AJ4" s="18" t="inlineStr">
        <is>
          <t>A: The command curl is not found on this server. | B: Install it with the package manager, apt or dnf depending on the system.</t>
        </is>
      </c>
      <c r="AK4" s="18" t="inlineStr">
        <is>
          <t>✗ apt works on every Linux distribution → ✓ apt belongs to Debian and Ubuntu families, while Red Hat families use dnf and Alpine uses apk</t>
        </is>
      </c>
      <c r="AL4" s="18" t="inlineStr">
        <is>
          <t>apt update vs apt upgrade: update refreshes the package list, upgrade installs newer versions.</t>
        </is>
      </c>
      <c r="AM4" s="18" t="inlineStr">
        <is>
          <t>Do not install software by piping unknown scripts into the shell.</t>
        </is>
      </c>
      <c r="AN4" s="19" t="inlineStr">
        <is>
          <t>apt install nginx</t>
        </is>
      </c>
      <c r="AO4" s="19" t="inlineStr">
        <is>
          <t>sudo apt install nginx</t>
        </is>
      </c>
      <c r="AP4" s="18" t="inlineStr">
        <is>
          <t>Update the list, then install.</t>
        </is>
      </c>
      <c r="AQ4" s="18" t="inlineStr">
        <is>
          <t>Installing the tools a customer's server needs with apt in a setup script.</t>
        </is>
      </c>
      <c r="AR4" s="18" t="inlineStr">
        <is>
          <t>An interviewer may ask: What is the difference between apt update and apt upgrade?</t>
        </is>
      </c>
      <c r="AS4" s="18" t="inlineStr">
        <is>
          <t>It is like an app store in your terminal.</t>
        </is>
      </c>
      <c r="AT4" s="18" t="inlineStr">
        <is>
          <t>Which command refreshes the list of available packages on Ubuntu?</t>
        </is>
      </c>
      <c r="AU4" s="18" t="inlineStr">
        <is>
          <t>A) sudo apt update B) sudo apt remove C) sudo apt clean D) apt list only</t>
        </is>
      </c>
      <c r="AV4" s="18" t="inlineStr">
        <is>
          <t>A</t>
        </is>
      </c>
      <c r="AW4" s="18" t="inlineStr">
        <is>
          <t>update downloads the latest package lists.</t>
        </is>
      </c>
      <c r="AX4" s="19" t="inlineStr">
        <is>
          <t>On Fedora the package manager is called ____ → dnf</t>
        </is>
      </c>
      <c r="AY4" s="18" t="inlineStr">
        <is>
          <t>Install the package git using apt.</t>
        </is>
      </c>
      <c r="AZ4" s="19" t="inlineStr">
        <is>
          <t>sudo apt install git</t>
        </is>
      </c>
      <c r="BA4" s="18" t="inlineStr">
        <is>
          <t>Write the commands to install and remove a package on your distribution.</t>
        </is>
      </c>
      <c r="BB4" s="19" t="inlineStr">
        <is>
          <t>Why does apt install usually need sudo?</t>
        </is>
      </c>
      <c r="BC4" s="19" t="inlineStr">
        <is>
          <t>Because installing software changes the system and needs administrator rights.</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81" customHeight="1">
      <c r="A5" s="17" t="inlineStr">
        <is>
          <t>LNX-007</t>
        </is>
      </c>
      <c r="B5" s="17" t="inlineStr">
        <is>
          <t>02 Files and folders</t>
        </is>
      </c>
      <c r="C5" s="17" t="inlineStr">
        <is>
          <t>Beginner</t>
        </is>
      </c>
      <c r="D5" s="17" t="n">
        <v>7</v>
      </c>
      <c r="E5" s="17" t="inlineStr">
        <is>
          <t>Claude knowledge</t>
        </is>
      </c>
      <c r="F5" s="18" t="inlineStr">
        <is>
          <t>ls (listing files)</t>
        </is>
      </c>
      <c r="G5" s="18" t="inlineStr">
        <is>
          <t>Which command shows what is inside a directory, including sizes, owners and hidden files?</t>
        </is>
      </c>
      <c r="H5" s="17" t="n"/>
      <c r="I5" s="18" t="inlineStr">
        <is>
          <t>Command</t>
        </is>
      </c>
      <c r="J5" s="18" t="inlineStr">
        <is>
          <t>Very high</t>
        </is>
      </c>
      <c r="K5" s="18" t="n">
        <v>5</v>
      </c>
      <c r="L5" s="18" t="inlineStr">
        <is>
          <t>You must see what a folder holds before you can work with it, so Unix has a small command that lists directory contents.</t>
        </is>
      </c>
      <c r="M5" s="18" t="inlineStr">
        <is>
          <t>Use ls -lah to see everything with readable sizes.</t>
        </is>
      </c>
      <c r="N5" s="17" t="n"/>
      <c r="O5" s="18" t="inlineStr">
        <is>
          <t>ls is opening a drawer and reading the labels.</t>
        </is>
      </c>
      <c r="P5" s="18" t="inlineStr">
        <is>
          <t>A list of file names with permissions, owners and sizes in columns.</t>
        </is>
      </c>
      <c r="Q5" s="18" t="inlineStr">
        <is>
          <t>The comfort of seeing exactly what is there.</t>
        </is>
      </c>
      <c r="R5" s="18" t="inlineStr">
        <is>
          <t>ls lists the files and folders of a directory, and flags control detail and hidden files.</t>
        </is>
      </c>
      <c r="S5" s="17" t="n"/>
      <c r="T5" s="19" t="inlineStr">
        <is>
          <t>ls
ls -l
ls -lah /var/log</t>
        </is>
      </c>
      <c r="U5" s="19" t="inlineStr">
        <is>
          <t>A plain list of names, a long list with permissions, owners, sizes and dates, and a long list of /var/log that includes hidden files and human-readable sizes.</t>
        </is>
      </c>
      <c r="V5" s="18" t="inlineStr">
        <is>
          <t>Hidden files start with a dot and appear only with -a. The long format -l shows permissions, link count, owner, group, size and modification time. -h makes sizes readable such as 4.0K. You can sort by time with -t and reverse with -r.</t>
        </is>
      </c>
      <c r="W5" s="18" t="inlineStr">
        <is>
          <t>Run ls to see names. Add -l for details, -a for hidden files and -h for readable sizes.</t>
        </is>
      </c>
      <c r="X5" s="18" t="inlineStr">
        <is>
          <t>It is like opening a drawer and reading the labels.</t>
        </is>
      </c>
      <c r="Y5" s="19" t="inlineStr">
        <is>
          <t>ls [options] [path]</t>
        </is>
      </c>
      <c r="Z5" s="18" t="inlineStr">
        <is>
          <t>-l = long format | -a = include hidden | -h = human-readable sizes | path = which folder</t>
        </is>
      </c>
      <c r="AA5" s="19" t="inlineStr">
        <is>
          <t>ls -l</t>
        </is>
      </c>
      <c r="AB5" s="19" t="inlineStr">
        <is>
          <t>ls -a ~</t>
        </is>
      </c>
      <c r="AC5" s="19" t="inlineStr">
        <is>
          <t>ls -lt /var/log</t>
        </is>
      </c>
      <c r="AD5" s="19" t="inlineStr">
        <is>
          <t>ls -lS   // sort by size
ls -d */   // list only directories</t>
        </is>
      </c>
      <c r="AE5" s="18" t="inlineStr">
        <is>
          <t>cd, find, permissions, wildcards</t>
        </is>
      </c>
      <c r="AF5" s="18" t="inlineStr">
        <is>
          <t>cd and pwd, find, permissions</t>
        </is>
      </c>
      <c r="AG5" s="18" t="inlineStr">
        <is>
          <t>tree for a nested view</t>
        </is>
      </c>
      <c r="AH5" s="17" t="n"/>
      <c r="AI5" s="18" t="inlineStr">
        <is>
          <t>Exploring folders | Checking permissions | Finding recent files</t>
        </is>
      </c>
      <c r="AJ5" s="18" t="inlineStr">
        <is>
          <t>A: I cannot see the config file. | B: It is probably hidden, so use ls -a.</t>
        </is>
      </c>
      <c r="AK5" s="18" t="inlineStr">
        <is>
          <t>✗ ls shows every file including hidden ones → ✓ Hidden files, which start with a dot, appear only with the -a flag</t>
        </is>
      </c>
      <c r="AL5" s="18" t="inlineStr">
        <is>
          <t>ls -l vs ls -a: -l shows details, -a includes hidden files.</t>
        </is>
      </c>
      <c r="AM5" s="18" t="inlineStr">
        <is>
          <t>Do not forget -a when looking for dotfiles.</t>
        </is>
      </c>
      <c r="AN5" s="19" t="inlineStr">
        <is>
          <t>ls -hidden</t>
        </is>
      </c>
      <c r="AO5" s="19" t="inlineStr">
        <is>
          <t>ls -a</t>
        </is>
      </c>
      <c r="AP5" s="18" t="inlineStr">
        <is>
          <t>l for long, a for all.</t>
        </is>
      </c>
      <c r="AQ5" s="18" t="inlineStr">
        <is>
          <t>Checking file owners and sizes in a customer's log folder.</t>
        </is>
      </c>
      <c r="AR5" s="18" t="inlineStr">
        <is>
          <t>An interviewer may ask: How do you list hidden files?</t>
        </is>
      </c>
      <c r="AS5" s="18" t="inlineStr">
        <is>
          <t>It is like opening a drawer and reading the labels.</t>
        </is>
      </c>
      <c r="AT5" s="18" t="inlineStr">
        <is>
          <t>Which flag shows hidden files?</t>
        </is>
      </c>
      <c r="AU5" s="18" t="inlineStr">
        <is>
          <t>A) -h B) -r C) -a D) -x</t>
        </is>
      </c>
      <c r="AV5" s="18" t="inlineStr">
        <is>
          <t>C</t>
        </is>
      </c>
      <c r="AW5" s="18" t="inlineStr">
        <is>
          <t>-a means all, including names that start with a dot.</t>
        </is>
      </c>
      <c r="AX5" s="19" t="inlineStr">
        <is>
          <t>ls -____ shows the long format with details → l</t>
        </is>
      </c>
      <c r="AY5" s="18" t="inlineStr">
        <is>
          <t>List all files, including hidden ones, with readable sizes in long format.</t>
        </is>
      </c>
      <c r="AZ5" s="19" t="inlineStr">
        <is>
          <t>ls -lah</t>
        </is>
      </c>
      <c r="BA5" s="18" t="inlineStr">
        <is>
          <t>List your home folder with all details and find one hidden file.</t>
        </is>
      </c>
      <c r="BB5" s="19" t="inlineStr">
        <is>
          <t>What does the -h flag change in ls -lh?</t>
        </is>
      </c>
      <c r="BC5" s="19" t="inlineStr">
        <is>
          <t>It shows file sizes in a human-readable form such as 4.0K.</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94.5" customHeight="1">
      <c r="A6" s="17" t="inlineStr">
        <is>
          <t>LNX-008</t>
        </is>
      </c>
      <c r="B6" s="17" t="inlineStr">
        <is>
          <t>02 Files and folders</t>
        </is>
      </c>
      <c r="C6" s="17" t="inlineStr">
        <is>
          <t>Beginner</t>
        </is>
      </c>
      <c r="D6" s="17" t="n">
        <v>8</v>
      </c>
      <c r="E6" s="17" t="inlineStr">
        <is>
          <t>Claude knowledge</t>
        </is>
      </c>
      <c r="F6" s="18" t="inlineStr">
        <is>
          <t>cd and pwd</t>
        </is>
      </c>
      <c r="G6" s="18" t="inlineStr">
        <is>
          <t>Which two commands tell you where you are and move you to another directory?</t>
        </is>
      </c>
      <c r="H6" s="17" t="n"/>
      <c r="I6" s="18" t="inlineStr">
        <is>
          <t>Command</t>
        </is>
      </c>
      <c r="J6" s="18" t="inlineStr">
        <is>
          <t>Very high</t>
        </is>
      </c>
      <c r="K6" s="18" t="n">
        <v>5</v>
      </c>
      <c r="L6" s="18" t="inlineStr">
        <is>
          <t>A shell always has a current working directory, so there are commands to show it and to change it.</t>
        </is>
      </c>
      <c r="M6" s="18" t="inlineStr">
        <is>
          <t>Use cd - to jump back to the previous directory.</t>
        </is>
      </c>
      <c r="N6" s="17" t="n"/>
      <c r="O6" s="18" t="inlineStr">
        <is>
          <t>pwd is the you-are-here pin on a map, and cd is walking to another place on it.</t>
        </is>
      </c>
      <c r="P6" s="18" t="inlineStr">
        <is>
          <t>A map with a pin and an arrow to a new location.</t>
        </is>
      </c>
      <c r="Q6" s="18" t="inlineStr">
        <is>
          <t>The ease of moving around the system quickly.</t>
        </is>
      </c>
      <c r="R6" s="18" t="inlineStr">
        <is>
          <t>pwd prints the current directory, and cd changes to another directory.</t>
        </is>
      </c>
      <c r="S6" s="17" t="n"/>
      <c r="T6" s="19" t="inlineStr">
        <is>
          <t>pwd
cd /var/log
cd ..
cd ~
cd -</t>
        </is>
      </c>
      <c r="U6" s="19" t="inlineStr">
        <is>
          <t>The current path, then moves to /var/log, up to /var, to the home directory, and back to the previous directory.</t>
        </is>
      </c>
      <c r="V6" s="18" t="inlineStr">
        <is>
          <t>cd with no argument goes to your home directory. cd .. goes to the parent, and cd - returns to the last directory you were in. The tilde ~ stands for your home directory. If a path has spaces, put it in quotes. Many commands depend on the current directory, so pwd is a useful habit.</t>
        </is>
      </c>
      <c r="W6" s="18" t="inlineStr">
        <is>
          <t>pwd tells you where you are, and cd takes you somewhere else. Use .. for up one level and - for back to where you were.</t>
        </is>
      </c>
      <c r="X6" s="18" t="inlineStr">
        <is>
          <t>pwd is the you-are-here pin, and cd is walking to another place on the map.</t>
        </is>
      </c>
      <c r="Y6" s="19" t="inlineStr">
        <is>
          <t>pwd  |  cd path</t>
        </is>
      </c>
      <c r="Z6" s="18" t="inlineStr">
        <is>
          <t>pwd = print working directory | cd = change directory | .. = parent | - = previous directory</t>
        </is>
      </c>
      <c r="AA6" s="19" t="inlineStr">
        <is>
          <t>cd /etc</t>
        </is>
      </c>
      <c r="AB6" s="19" t="inlineStr">
        <is>
          <t>cd ../..</t>
        </is>
      </c>
      <c r="AC6" s="19" t="inlineStr">
        <is>
          <t>cd "My Documents"</t>
        </is>
      </c>
      <c r="AD6" s="19" t="inlineStr">
        <is>
          <t>cd   // go home
pushd and popd   // keep a stack of directories</t>
        </is>
      </c>
      <c r="AE6" s="18" t="inlineStr">
        <is>
          <t>ls, absolute and relative paths, tab completion</t>
        </is>
      </c>
      <c r="AF6" s="18" t="inlineStr">
        <is>
          <t>absolute vs relative paths, ls, file system layout</t>
        </is>
      </c>
      <c r="AG6" s="18" t="inlineStr">
        <is>
          <t>Opening a new terminal in the folder</t>
        </is>
      </c>
      <c r="AH6" s="17" t="n"/>
      <c r="AI6" s="18" t="inlineStr">
        <is>
          <t>Moving around | Running scripts | Checking location</t>
        </is>
      </c>
      <c r="AJ6" s="18" t="inlineStr">
        <is>
          <t>A: Where am I in the file system? | B: Run pwd to see the current directory.</t>
        </is>
      </c>
      <c r="AK6" s="18" t="inlineStr">
        <is>
          <t>✗ cd changes the folder of every open terminal → ✓ cd changes only the current shell's working directory</t>
        </is>
      </c>
      <c r="AL6" s="18" t="inlineStr">
        <is>
          <t>pwd vs ls: pwd shows where you are, ls shows what is inside.</t>
        </is>
      </c>
      <c r="AM6" s="18" t="inlineStr">
        <is>
          <t>Do not run destructive commands before checking pwd.</t>
        </is>
      </c>
      <c r="AN6" s="19" t="inlineStr">
        <is>
          <t>cd..</t>
        </is>
      </c>
      <c r="AO6" s="19" t="inlineStr">
        <is>
          <t>cd ..</t>
        </is>
      </c>
      <c r="AP6" s="18" t="inlineStr">
        <is>
          <t>pwd asks where, cd goes there.</t>
        </is>
      </c>
      <c r="AQ6" s="18" t="inlineStr">
        <is>
          <t>Checking pwd before running a delete command on a customer server.</t>
        </is>
      </c>
      <c r="AR6" s="18" t="inlineStr">
        <is>
          <t>An interviewer may ask: What does cd - do?</t>
        </is>
      </c>
      <c r="AS6" s="18" t="inlineStr">
        <is>
          <t>It is like the you-are-here pin on a map.</t>
        </is>
      </c>
      <c r="AT6" s="18" t="inlineStr">
        <is>
          <t>How do you return to the directory you were in before?</t>
        </is>
      </c>
      <c r="AU6" s="18" t="inlineStr">
        <is>
          <t>A) Use the pwd command B) Use cd followed by a tilde C) Use cd followed by two dots D) Use cd followed by a single dash</t>
        </is>
      </c>
      <c r="AV6" s="18" t="inlineStr">
        <is>
          <t>D</t>
        </is>
      </c>
      <c r="AW6" s="18" t="inlineStr">
        <is>
          <t>cd - returns to the directory you were in before.</t>
        </is>
      </c>
      <c r="AX6" s="19" t="inlineStr">
        <is>
          <t>The tilde ~ stands for your ____ directory → home</t>
        </is>
      </c>
      <c r="AY6" s="18" t="inlineStr">
        <is>
          <t>Go up two levels from the current directory.</t>
        </is>
      </c>
      <c r="AZ6" s="19" t="inlineStr">
        <is>
          <t>cd ../..</t>
        </is>
      </c>
      <c r="BA6" s="18" t="inlineStr">
        <is>
          <t>Move around three folders and use pwd to confirm where you are.</t>
        </is>
      </c>
      <c r="BB6" s="19" t="inlineStr">
        <is>
          <t>Which command goes directly to your home directory?</t>
        </is>
      </c>
      <c r="BC6" s="19" t="inlineStr">
        <is>
          <t>cd (or cd ~)</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94.5" customHeight="1">
      <c r="A7" s="17" t="inlineStr">
        <is>
          <t>LNX-009</t>
        </is>
      </c>
      <c r="B7" s="17" t="inlineStr">
        <is>
          <t>02 Files and folders</t>
        </is>
      </c>
      <c r="C7" s="17" t="inlineStr">
        <is>
          <t>Beginner</t>
        </is>
      </c>
      <c r="D7" s="17" t="n">
        <v>9</v>
      </c>
      <c r="E7" s="17" t="inlineStr">
        <is>
          <t>Claude knowledge</t>
        </is>
      </c>
      <c r="F7" s="18" t="inlineStr">
        <is>
          <t>mkdir and rmdir</t>
        </is>
      </c>
      <c r="G7" s="18" t="inlineStr">
        <is>
          <t>Which commands create a new directory, including missing parent folders, and remove an empty one?</t>
        </is>
      </c>
      <c r="H7" s="17" t="n"/>
      <c r="I7" s="18" t="inlineStr">
        <is>
          <t>Command</t>
        </is>
      </c>
      <c r="J7" s="18" t="inlineStr">
        <is>
          <t>Very high</t>
        </is>
      </c>
      <c r="K7" s="18" t="n">
        <v>4</v>
      </c>
      <c r="L7" s="18" t="inlineStr">
        <is>
          <t>Files need folders to stay organised, so there are small commands to make and remove them.</t>
        </is>
      </c>
      <c r="M7" s="18" t="inlineStr">
        <is>
          <t>Use mkdir -p to create a whole path in one go without errors if it exists.</t>
        </is>
      </c>
      <c r="N7" s="17" t="n"/>
      <c r="O7" s="18" t="inlineStr">
        <is>
          <t>mkdir builds a new shelf, and rmdir removes only a shelf that is empty.</t>
        </is>
      </c>
      <c r="P7" s="18" t="inlineStr">
        <is>
          <t>A folder tree growing a new branch.</t>
        </is>
      </c>
      <c r="Q7" s="18" t="inlineStr">
        <is>
          <t>The tidiness of creating a clean structure.</t>
        </is>
      </c>
      <c r="R7" s="18" t="inlineStr">
        <is>
          <t>mkdir creates directories, and rmdir removes empty directories.</t>
        </is>
      </c>
      <c r="S7" s="17" t="n"/>
      <c r="T7" s="19" t="inlineStr">
        <is>
          <t>mkdir reports
mkdir -p project/src/utils
rmdir reports</t>
        </is>
      </c>
      <c r="U7" s="19" t="inlineStr">
        <is>
          <t>A folder named reports, a nested path project/src/utils created in one step, and the empty folder reports removed.</t>
        </is>
      </c>
      <c r="V7" s="18" t="inlineStr">
        <is>
          <t>Without -p, mkdir fails if a parent folder is missing. With -p it creates all missing parents and does not complain if the folder exists. rmdir refuses to remove a folder that still has files in it, which protects you from accidents. To remove a folder with contents you use rm -r.</t>
        </is>
      </c>
      <c r="W7" s="18" t="inlineStr">
        <is>
          <t>Use mkdir to make folders, with -p for nested ones. Use rmdir to delete an empty folder safely.</t>
        </is>
      </c>
      <c r="X7" s="18" t="inlineStr">
        <is>
          <t>It is like building a new shelf, and rmdir removes only a shelf that is empty.</t>
        </is>
      </c>
      <c r="Y7" s="19" t="inlineStr">
        <is>
          <t>mkdir [-p] path  |  rmdir path</t>
        </is>
      </c>
      <c r="Z7" s="18" t="inlineStr">
        <is>
          <t>-p = create parent folders too | rmdir = only works on empty folders</t>
        </is>
      </c>
      <c r="AA7" s="19" t="inlineStr">
        <is>
          <t>mkdir backups</t>
        </is>
      </c>
      <c r="AB7" s="19" t="inlineStr">
        <is>
          <t>mkdir -p a/b/c</t>
        </is>
      </c>
      <c r="AC7" s="19" t="inlineStr">
        <is>
          <t>rmdir old_folder</t>
        </is>
      </c>
      <c r="AD7" s="19" t="inlineStr">
        <is>
          <t>mkdir -m 700 private   // set permissions while creating
mkdir -p logs/{2025,2026}   // brace expansion for several folders</t>
        </is>
      </c>
      <c r="AE7" s="18" t="inlineStr">
        <is>
          <t>ls, cd, rm -r, permissions</t>
        </is>
      </c>
      <c r="AF7" s="18" t="inlineStr">
        <is>
          <t>cp mv rm, ls, permissions</t>
        </is>
      </c>
      <c r="AG7" s="18" t="inlineStr">
        <is>
          <t>rm -r for non-empty folders</t>
        </is>
      </c>
      <c r="AH7" s="17" t="n"/>
      <c r="AI7" s="18" t="inlineStr">
        <is>
          <t>Project setup | Backups | Deployment folders</t>
        </is>
      </c>
      <c r="AJ7" s="18" t="inlineStr">
        <is>
          <t>A: mkdir fails because the parent does not exist. | B: Add -p so it creates the missing parent folders.</t>
        </is>
      </c>
      <c r="AK7" s="18" t="inlineStr">
        <is>
          <t>✗ rmdir removes a folder together with its files → ✓ rmdir removes only empty folders, and rm -r is needed for folders with contents</t>
        </is>
      </c>
      <c r="AL7" s="18" t="inlineStr">
        <is>
          <t>rmdir vs rm -r: rmdir needs an empty folder, rm -r deletes contents too.</t>
        </is>
      </c>
      <c r="AM7" s="18" t="inlineStr">
        <is>
          <t>Do not use rm -r when rmdir would protect you.</t>
        </is>
      </c>
      <c r="AN7" s="19" t="inlineStr">
        <is>
          <t>mkdir a/b/c</t>
        </is>
      </c>
      <c r="AO7" s="19" t="inlineStr">
        <is>
          <t>mkdir -p a/b/c</t>
        </is>
      </c>
      <c r="AP7" s="18" t="inlineStr">
        <is>
          <t>The p flag stands for parents.</t>
        </is>
      </c>
      <c r="AQ7" s="18" t="inlineStr">
        <is>
          <t>Creating a deployment folder structure with one mkdir -p command.</t>
        </is>
      </c>
      <c r="AR7" s="18" t="inlineStr">
        <is>
          <t>An interviewer may ask: What does mkdir -p do?</t>
        </is>
      </c>
      <c r="AS7" s="18" t="inlineStr">
        <is>
          <t>It is like building a new shelf.</t>
        </is>
      </c>
      <c r="AT7" s="18" t="inlineStr">
        <is>
          <t>Which flag creates parent directories as needed?</t>
        </is>
      </c>
      <c r="AU7" s="18" t="inlineStr">
        <is>
          <t>A) -r B) -f C) -v D) -p</t>
        </is>
      </c>
      <c r="AV7" s="18" t="inlineStr">
        <is>
          <t>D</t>
        </is>
      </c>
      <c r="AW7" s="18" t="inlineStr">
        <is>
          <t>-p creates all missing parent directories.</t>
        </is>
      </c>
      <c r="AX7" s="19" t="inlineStr">
        <is>
          <t>mkdir -____ a/b/c creates nested folders → p</t>
        </is>
      </c>
      <c r="AY7" s="18" t="inlineStr">
        <is>
          <t>Create the nested folders data/raw/2026 in one command.</t>
        </is>
      </c>
      <c r="AZ7" s="19" t="inlineStr">
        <is>
          <t>mkdir -p data/raw/2026</t>
        </is>
      </c>
      <c r="BA7" s="18" t="inlineStr">
        <is>
          <t>Create a project folder structure with src, tests and docs.</t>
        </is>
      </c>
      <c r="BB7" s="19" t="inlineStr">
        <is>
          <t>Why does rmdir fail on a folder with files in it?</t>
        </is>
      </c>
      <c r="BC7" s="19" t="inlineStr">
        <is>
          <t>Because rmdir only removes empty directories.</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94.5" customHeight="1">
      <c r="A8" s="17" t="inlineStr">
        <is>
          <t>LNX-010</t>
        </is>
      </c>
      <c r="B8" s="17" t="inlineStr">
        <is>
          <t>02 Files and folders</t>
        </is>
      </c>
      <c r="C8" s="17" t="inlineStr">
        <is>
          <t>Beginner</t>
        </is>
      </c>
      <c r="D8" s="17" t="n">
        <v>10</v>
      </c>
      <c r="E8" s="17" t="inlineStr">
        <is>
          <t>Claude knowledge</t>
        </is>
      </c>
      <c r="F8" s="18" t="inlineStr">
        <is>
          <t>cp, mv and rm</t>
        </is>
      </c>
      <c r="G8" s="18" t="inlineStr">
        <is>
          <t>Which three commands copy, move or rename, and delete files, with no recycle bin?</t>
        </is>
      </c>
      <c r="H8" s="17" t="n"/>
      <c r="I8" s="18" t="inlineStr">
        <is>
          <t>Command</t>
        </is>
      </c>
      <c r="J8" s="18" t="inlineStr">
        <is>
          <t>Very high</t>
        </is>
      </c>
      <c r="K8" s="18" t="n">
        <v>5</v>
      </c>
      <c r="L8" s="18" t="inlineStr">
        <is>
          <t>Basic file management needs copying, moving and deleting, and Unix kept these as tiny commands that do exactly what they say.</t>
        </is>
      </c>
      <c r="M8" s="18" t="inlineStr">
        <is>
          <t>Use the -i flag to be asked before overwriting or deleting, until you are confident.</t>
        </is>
      </c>
      <c r="N8" s="17" t="n"/>
      <c r="O8" s="18" t="inlineStr">
        <is>
          <t>cp is the photocopier, mv is the removal van that also renames, and rm is the shredder.</t>
        </is>
      </c>
      <c r="P8" s="18" t="inlineStr">
        <is>
          <t>A file duplicated, a file moved to a new place, and a file shredded.</t>
        </is>
      </c>
      <c r="Q8" s="18" t="inlineStr">
        <is>
          <t>The caution of knowing rm cannot be undone.</t>
        </is>
      </c>
      <c r="R8" s="18" t="inlineStr">
        <is>
          <t>cp copies files, mv moves or renames them, and rm deletes them permanently.</t>
        </is>
      </c>
      <c r="S8" s="17" t="n"/>
      <c r="T8" s="19" t="inlineStr">
        <is>
          <t>cp report.txt backup/
cp -r project project_copy
mv old.txt new.txt
mv new.txt archive/
rm -i temp.txt</t>
        </is>
      </c>
      <c r="U8" s="19" t="inlineStr">
        <is>
          <t>report.txt is copied into backup, the folder project is copied recursively, old.txt is renamed to new.txt, the file moves into archive, and temp.txt is deleted after confirmation.</t>
        </is>
      </c>
      <c r="V8" s="18" t="inlineStr">
        <is>
          <t>Copying folders needs -r. mv uses the same command for renaming and moving, because renaming is moving to a new name. rm does not use a trash, so deleted files are gone, and rm -rf deletes folders without asking, which is dangerous with a wrong path. Use -v to see what happens.</t>
        </is>
      </c>
      <c r="W8" s="18" t="inlineStr">
        <is>
          <t>cp makes a copy, mv moves or renames, and rm deletes forever. Check the path before pressing Enter.</t>
        </is>
      </c>
      <c r="X8" s="18" t="inlineStr">
        <is>
          <t>cp is a photocopier, mv is a removal van that also renames, and rm is a shredder.</t>
        </is>
      </c>
      <c r="Y8" s="19" t="inlineStr">
        <is>
          <t>cp source dest  |  mv source dest  |  rm file</t>
        </is>
      </c>
      <c r="Z8" s="18" t="inlineStr">
        <is>
          <t>-r = recursive for folders | -i = ask first | -f = force | -v = verbose</t>
        </is>
      </c>
      <c r="AA8" s="19" t="inlineStr">
        <is>
          <t>cp -r src src_backup</t>
        </is>
      </c>
      <c r="AB8" s="19" t="inlineStr">
        <is>
          <t>mv draft.txt final.txt</t>
        </is>
      </c>
      <c r="AC8" s="19" t="inlineStr">
        <is>
          <t>rm -rf build/</t>
        </is>
      </c>
      <c r="AD8" s="19" t="inlineStr">
        <is>
          <t>cp -a src/ dest/   // copy and keep attributes
rm -- -weird-name   // delete a name that starts with a dash</t>
        </is>
      </c>
      <c r="AE8" s="18" t="inlineStr">
        <is>
          <t>ls, mkdir, wildcards, permissions</t>
        </is>
      </c>
      <c r="AF8" s="18" t="inlineStr">
        <is>
          <t>ls, mkdir, find</t>
        </is>
      </c>
      <c r="AG8" s="18" t="inlineStr">
        <is>
          <t>trash-cli for a recoverable delete</t>
        </is>
      </c>
      <c r="AH8" s="17" t="n"/>
      <c r="AI8" s="18" t="inlineStr">
        <is>
          <t>Housekeeping | Deployment | Clean-up scripts</t>
        </is>
      </c>
      <c r="AJ8" s="18" t="inlineStr">
        <is>
          <t>A: I removed the wrong folder with rm -rf. | B: There is no undo, so check with ls and use -i next time.</t>
        </is>
      </c>
      <c r="AK8" s="18" t="inlineStr">
        <is>
          <t>✗ rm moves files to a recycle bin that I can restore → ✓ rm deletes files immediately, with no built-in way to recover them</t>
        </is>
      </c>
      <c r="AL8" s="18" t="inlineStr">
        <is>
          <t>mv vs cp: mv moves the original, cp leaves it in place.</t>
        </is>
      </c>
      <c r="AM8" s="18" t="inlineStr">
        <is>
          <t>Never run rm -rf with a variable that could be empty.</t>
        </is>
      </c>
      <c r="AN8" s="19" t="inlineStr">
        <is>
          <t>cp project project_copy</t>
        </is>
      </c>
      <c r="AO8" s="19" t="inlineStr">
        <is>
          <t>cp -r project project_copy</t>
        </is>
      </c>
      <c r="AP8" s="18" t="inlineStr">
        <is>
          <t>rm means gone for good.</t>
        </is>
      </c>
      <c r="AQ8" s="18" t="inlineStr">
        <is>
          <t>Renaming release folders with mv and clearing old builds with rm in a deployment script.</t>
        </is>
      </c>
      <c r="AR8" s="18" t="inlineStr">
        <is>
          <t>An interviewer may ask: What is the difference between cp and mv?</t>
        </is>
      </c>
      <c r="AS8" s="18" t="inlineStr">
        <is>
          <t>It is like a photocopier, a removal van and a shredder.</t>
        </is>
      </c>
      <c r="AT8" s="18" t="inlineStr">
        <is>
          <t>Which command renames a file?</t>
        </is>
      </c>
      <c r="AU8" s="18" t="inlineStr">
        <is>
          <t>A) rm B) ls C) mv D) cp</t>
        </is>
      </c>
      <c r="AV8" s="18" t="inlineStr">
        <is>
          <t>C</t>
        </is>
      </c>
      <c r="AW8" s="18" t="inlineStr">
        <is>
          <t>mv moves a file to a new name or place.</t>
        </is>
      </c>
      <c r="AX8" s="19" t="inlineStr">
        <is>
          <t>To copy a folder you must add the ____ flag → -r</t>
        </is>
      </c>
      <c r="AY8" s="18" t="inlineStr">
        <is>
          <t>Rename notes.txt to notes_old.txt.</t>
        </is>
      </c>
      <c r="AZ8" s="19" t="inlineStr">
        <is>
          <t>mv notes.txt notes_old.txt</t>
        </is>
      </c>
      <c r="BA8" s="18" t="inlineStr">
        <is>
          <t>Practise copying, moving and deleting in a test folder with the -i flag.</t>
        </is>
      </c>
      <c r="BB8" s="19" t="inlineStr">
        <is>
          <t>What does rm -rf do?</t>
        </is>
      </c>
      <c r="BC8" s="19" t="inlineStr">
        <is>
          <t>It deletes a folder and everything inside it without asking.</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94.5" customHeight="1">
      <c r="A9" s="17" t="inlineStr">
        <is>
          <t>LNX-011</t>
        </is>
      </c>
      <c r="B9" s="17" t="inlineStr">
        <is>
          <t>02 Files and folders</t>
        </is>
      </c>
      <c r="C9" s="17" t="inlineStr">
        <is>
          <t>Beginner</t>
        </is>
      </c>
      <c r="D9" s="17" t="n">
        <v>11</v>
      </c>
      <c r="E9" s="17" t="inlineStr">
        <is>
          <t>Claude knowledge</t>
        </is>
      </c>
      <c r="F9" s="18" t="inlineStr">
        <is>
          <t>touch and the file command</t>
        </is>
      </c>
      <c r="G9" s="18" t="inlineStr">
        <is>
          <t>How do you create an empty file or update its time, and find out what kind of file something really is?</t>
        </is>
      </c>
      <c r="H9" s="17" t="n"/>
      <c r="I9" s="18" t="inlineStr">
        <is>
          <t>Command</t>
        </is>
      </c>
      <c r="J9" s="18" t="inlineStr">
        <is>
          <t>High</t>
        </is>
      </c>
      <c r="K9" s="18" t="n">
        <v>3</v>
      </c>
      <c r="L9" s="18" t="inlineStr">
        <is>
          <t>File names and extensions can lie, so Unix gives a command that inspects the content to tell the type, and another that creates files and updates their timestamps.</t>
        </is>
      </c>
      <c r="M9" s="18" t="inlineStr">
        <is>
          <t>Use file when a download or an unknown file has no extension.</t>
        </is>
      </c>
      <c r="N9" s="17" t="n"/>
      <c r="O9" s="18" t="inlineStr">
        <is>
          <t>touch lays a finger on a file to mark the time, and file is a detective that reads the contents.</t>
        </is>
      </c>
      <c r="P9" s="18" t="inlineStr">
        <is>
          <t>An empty file appearing, and a label saying ASCII text or PNG image.</t>
        </is>
      </c>
      <c r="Q9" s="18" t="inlineStr">
        <is>
          <t>The curiosity of finding out what a mystery file is.</t>
        </is>
      </c>
      <c r="R9" s="18" t="inlineStr">
        <is>
          <t>touch creates an empty file or updates its modification time, and file reports the type of a file from its content.</t>
        </is>
      </c>
      <c r="S9" s="17" t="n"/>
      <c r="T9" s="19" t="inlineStr">
        <is>
          <t>touch notes.txt
ls -l notes.txt
file notes.txt
file /bin/ls</t>
        </is>
      </c>
      <c r="U9" s="19" t="inlineStr">
        <is>
          <t>An empty notes.txt is created, its listing shows size 0, file reports empty, and file reports that /bin/ls is an executable program.</t>
        </is>
      </c>
      <c r="V9" s="18" t="inlineStr">
        <is>
          <t>On Linux, extensions are only a convention and the system does not rely on them. file reads the first bytes and matches known patterns to report text, images, archives or programs. touch on an existing file only changes its timestamps, which is useful to trigger build tools.</t>
        </is>
      </c>
      <c r="W9" s="18" t="inlineStr">
        <is>
          <t>touch makes an empty file. file tells you what a file really is, whatever its name says.</t>
        </is>
      </c>
      <c r="X9" s="18" t="inlineStr">
        <is>
          <t>touch marks a file with a fingerprint of the time, and file is a detective that reads the contents.</t>
        </is>
      </c>
      <c r="Y9" s="19" t="inlineStr">
        <is>
          <t>touch filename  |  file filename</t>
        </is>
      </c>
      <c r="Z9" s="18" t="inlineStr">
        <is>
          <t>touch = create or update time | file = detect the type</t>
        </is>
      </c>
      <c r="AA9" s="19" t="inlineStr">
        <is>
          <t>touch app.log</t>
        </is>
      </c>
      <c r="AB9" s="19" t="inlineStr">
        <is>
          <t>file photo.jpg</t>
        </is>
      </c>
      <c r="AC9" s="19" t="inlineStr">
        <is>
          <t>file script.sh</t>
        </is>
      </c>
      <c r="AD9" s="19" t="inlineStr">
        <is>
          <t>touch -t 202601011200 file   // set a specific time
stat file   // show detailed file information</t>
        </is>
      </c>
      <c r="AE9" s="18" t="inlineStr">
        <is>
          <t>ls, cat, permissions</t>
        </is>
      </c>
      <c r="AF9" s="18" t="inlineStr">
        <is>
          <t>ls, cat, permissions</t>
        </is>
      </c>
      <c r="AG9" s="18" t="inlineStr">
        <is>
          <t>stat for detailed metadata</t>
        </is>
      </c>
      <c r="AH9" s="17" t="n"/>
      <c r="AI9" s="18" t="inlineStr">
        <is>
          <t>Creating placeholders | Checking unknown files | Triggering builds</t>
        </is>
      </c>
      <c r="AJ9" s="18" t="inlineStr">
        <is>
          <t>A: This download has no extension, what is it? | B: Run file on it and it will tell you the type.</t>
        </is>
      </c>
      <c r="AK9" s="18" t="inlineStr">
        <is>
          <t>✗ The file extension decides what a file really is → ✓ The extension is only a hint, and the file command checks the actual content</t>
        </is>
      </c>
      <c r="AL9" s="18" t="inlineStr">
        <is>
          <t>touch vs echo &gt; file: touch keeps content, redirecting a command's output replaces it.</t>
        </is>
      </c>
      <c r="AM9" s="18" t="inlineStr">
        <is>
          <t>Do not trust an extension for a file from an unknown source.</t>
        </is>
      </c>
      <c r="AN9" s="19" t="inlineStr">
        <is>
          <t>file create notes.txt</t>
        </is>
      </c>
      <c r="AO9" s="19" t="inlineStr">
        <is>
          <t>touch notes.txt</t>
        </is>
      </c>
      <c r="AP9" s="18" t="inlineStr">
        <is>
          <t>touch makes the file, file identifies it.</t>
        </is>
      </c>
      <c r="AQ9" s="18" t="inlineStr">
        <is>
          <t>Checking whether an uploaded file is really an image or an archive.</t>
        </is>
      </c>
      <c r="AR9" s="18" t="inlineStr">
        <is>
          <t>An interviewer may ask: How do you check a file's type on Linux?</t>
        </is>
      </c>
      <c r="AS9" s="18" t="inlineStr">
        <is>
          <t>It is like a detective that reads the contents.</t>
        </is>
      </c>
      <c r="AT9" s="18" t="inlineStr">
        <is>
          <t>Which command reads the first bytes of something to report its kind?</t>
        </is>
      </c>
      <c r="AU9" s="18" t="inlineStr">
        <is>
          <t>A) mv B) file C) touch D) rm</t>
        </is>
      </c>
      <c r="AV9" s="18" t="inlineStr">
        <is>
          <t>B</t>
        </is>
      </c>
      <c r="AW9" s="18" t="inlineStr">
        <is>
          <t>file inspects the content to find the type.</t>
        </is>
      </c>
      <c r="AX9" s="19" t="inlineStr">
        <is>
          <t>touch creates an ____ file if it does not exist → empty</t>
        </is>
      </c>
      <c r="AY9" s="18" t="inlineStr">
        <is>
          <t>Create an empty file named app.log.</t>
        </is>
      </c>
      <c r="AZ9" s="19" t="inlineStr">
        <is>
          <t>touch app.log</t>
        </is>
      </c>
      <c r="BA9" s="18" t="inlineStr">
        <is>
          <t>Run file on five different files and write down what it reports.</t>
        </is>
      </c>
      <c r="BB9" s="19" t="inlineStr">
        <is>
          <t>What does touch do to an existing file?</t>
        </is>
      </c>
      <c r="BC9" s="19" t="inlineStr">
        <is>
          <t>It updates its timestamps without changing the content.</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LNX-012</t>
        </is>
      </c>
      <c r="B10" s="17" t="inlineStr">
        <is>
          <t>02 Files and folders</t>
        </is>
      </c>
      <c r="C10" s="17" t="inlineStr">
        <is>
          <t>Beginner</t>
        </is>
      </c>
      <c r="D10" s="17" t="n">
        <v>12</v>
      </c>
      <c r="E10" s="17" t="inlineStr">
        <is>
          <t>Claude knowledge</t>
        </is>
      </c>
      <c r="F10" s="18" t="inlineStr">
        <is>
          <t>cat, less, head and tail</t>
        </is>
      </c>
      <c r="G10" s="18" t="inlineStr">
        <is>
          <t>Which commands show a whole file, one page at a time, only the first lines, or only the last lines and new ones as they arrive?</t>
        </is>
      </c>
      <c r="H10" s="17" t="n"/>
      <c r="I10" s="18" t="inlineStr">
        <is>
          <t>Command</t>
        </is>
      </c>
      <c r="J10" s="18" t="inlineStr">
        <is>
          <t>Very high</t>
        </is>
      </c>
      <c r="K10" s="18" t="n">
        <v>5</v>
      </c>
      <c r="L10" s="18" t="inlineStr">
        <is>
          <t>Admins read text files and logs all day, so there are tools to dump a file, page through it, peek at the start, and follow the end of a growing log.</t>
        </is>
      </c>
      <c r="M10" s="18" t="inlineStr">
        <is>
          <t>Use tail -f on a log file to watch new lines appear while you test something.</t>
        </is>
      </c>
      <c r="N10" s="17" t="n"/>
      <c r="O10" s="18" t="inlineStr">
        <is>
          <t>cat spills the whole file, less is a page turner, head is a peek at the start, and tail is a window on the end.</t>
        </is>
      </c>
      <c r="P10" s="18" t="inlineStr">
        <is>
          <t>A log file with the last lines scrolling as new ones appear.</t>
        </is>
      </c>
      <c r="Q10" s="18" t="inlineStr">
        <is>
          <t>The satisfaction of seeing an error appear live in the log.</t>
        </is>
      </c>
      <c r="R10" s="18" t="inlineStr">
        <is>
          <t>cat prints a file, less lets you scroll through it, head shows the first lines, and tail shows the last lines or follows new ones.</t>
        </is>
      </c>
      <c r="S10" s="17" t="n"/>
      <c r="T10" s="19" t="inlineStr">
        <is>
          <t>cat notes.txt
less /var/log/syslog
head -n 5 data.csv
tail -n 20 app.log
tail -f app.log</t>
        </is>
      </c>
      <c r="U10" s="19" t="inlineStr">
        <is>
          <t>The full file, a scrollable view, the first five lines, the last twenty lines, and a live stream of new lines added to app.log.</t>
        </is>
      </c>
      <c r="V10" s="18" t="inlineStr">
        <is>
          <t>less opens a file without loading it all, so it handles huge files. Inside less, press / to search, n for the next match, and q to quit. tail -f keeps running and prints new lines until you press Ctrl and C. Combine head and tail with pipes to take a slice from the middle.</t>
        </is>
      </c>
      <c r="W10" s="18" t="inlineStr">
        <is>
          <t>Use cat for small files, less for big ones, head and tail for the ends, and tail -f to watch a log grow.</t>
        </is>
      </c>
      <c r="X10" s="18" t="inlineStr">
        <is>
          <t>cat spills everything, less is a page turner, head peeks at the start and tail is a window on the end.</t>
        </is>
      </c>
      <c r="Y10" s="19" t="inlineStr">
        <is>
          <t>cat file  |  less file  |  head -n N file  |  tail -n N file  |  tail -f file</t>
        </is>
      </c>
      <c r="Z10" s="18" t="inlineStr">
        <is>
          <t>-n = how many lines | -f = follow new lines | q = quit less</t>
        </is>
      </c>
      <c r="AA10" s="19" t="inlineStr">
        <is>
          <t>head -n 1 data.csv</t>
        </is>
      </c>
      <c r="AB10" s="19" t="inlineStr">
        <is>
          <t>tail -n 50 /var/log/nginx/error.log</t>
        </is>
      </c>
      <c r="AC10" s="19" t="inlineStr">
        <is>
          <t>tail -f /var/log/app.log</t>
        </is>
      </c>
      <c r="AD10" s="19" t="inlineStr">
        <is>
          <t>head -n 20 file | tail -n 5   // lines 16 to 20
less +F file   // follow mode inside less</t>
        </is>
      </c>
      <c r="AE10" s="18" t="inlineStr">
        <is>
          <t>grep, pipes, logs, redirection</t>
        </is>
      </c>
      <c r="AF10" s="18" t="inlineStr">
        <is>
          <t>grep, pipes, journalctl</t>
        </is>
      </c>
      <c r="AG10" s="18" t="inlineStr">
        <is>
          <t>bat or an editor for viewing code</t>
        </is>
      </c>
      <c r="AH10" s="17" t="n"/>
      <c r="AI10" s="18" t="inlineStr">
        <is>
          <t>Reading logs | Checking CSV headers | Watching a service start</t>
        </is>
      </c>
      <c r="AJ10" s="18" t="inlineStr">
        <is>
          <t>A: How do I watch the log while I restart the service? | B: Run tail -f on the log file in another terminal.</t>
        </is>
      </c>
      <c r="AK10" s="18" t="inlineStr">
        <is>
          <t>✗ cat is the best way to read large log files → ✓ cat dumps everything, so use less, head or tail for large files</t>
        </is>
      </c>
      <c r="AL10" s="18" t="inlineStr">
        <is>
          <t>tail vs tail -f: tail shows the last lines once, tail -f keeps following new lines.</t>
        </is>
      </c>
      <c r="AM10" s="18" t="inlineStr">
        <is>
          <t>Do not cat a huge file into your terminal.</t>
        </is>
      </c>
      <c r="AN10" s="19" t="inlineStr">
        <is>
          <t>tail app.log -follow</t>
        </is>
      </c>
      <c r="AO10" s="19" t="inlineStr">
        <is>
          <t>tail -f app.log</t>
        </is>
      </c>
      <c r="AP10" s="18" t="inlineStr">
        <is>
          <t>Head is the start, tail is the end.</t>
        </is>
      </c>
      <c r="AQ10" s="18" t="inlineStr">
        <is>
          <t>Following an application log while reproducing a customer's error.</t>
        </is>
      </c>
      <c r="AR10" s="18" t="inlineStr">
        <is>
          <t>An interviewer may ask: How do you watch a log file live?</t>
        </is>
      </c>
      <c r="AS10" s="18" t="inlineStr">
        <is>
          <t>It is like a window on the end of a growing scroll.</t>
        </is>
      </c>
      <c r="AT10" s="18" t="inlineStr">
        <is>
          <t>Which command follows new lines added to a file?</t>
        </is>
      </c>
      <c r="AU10" s="18" t="inlineStr">
        <is>
          <t>A) tail -f B) cat -f C) head -f D) less -n</t>
        </is>
      </c>
      <c r="AV10" s="18" t="inlineStr">
        <is>
          <t>A</t>
        </is>
      </c>
      <c r="AW10" s="18" t="inlineStr">
        <is>
          <t>tail -f keeps printing lines as they are added.</t>
        </is>
      </c>
      <c r="AX10" s="19" t="inlineStr">
        <is>
          <t>To see the first five lines you use head -n ____ file → 5</t>
        </is>
      </c>
      <c r="AY10" s="18" t="inlineStr">
        <is>
          <t>Show the last 30 lines of server.log.</t>
        </is>
      </c>
      <c r="AZ10" s="19" t="inlineStr">
        <is>
          <t>tail -n 30 server.log</t>
        </is>
      </c>
      <c r="BA10" s="18" t="inlineStr">
        <is>
          <t>Use tail -f on a log while you trigger an event.</t>
        </is>
      </c>
      <c r="BB10" s="19" t="inlineStr">
        <is>
          <t>Which key quits the less viewer?</t>
        </is>
      </c>
      <c r="BC10" s="19" t="inlineStr">
        <is>
          <t>q</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94.5" customHeight="1">
      <c r="A11" s="17" t="inlineStr">
        <is>
          <t>LNX-013</t>
        </is>
      </c>
      <c r="B11" s="17" t="inlineStr">
        <is>
          <t>02 Files and folders</t>
        </is>
      </c>
      <c r="C11" s="17" t="inlineStr">
        <is>
          <t>Intermediate</t>
        </is>
      </c>
      <c r="D11" s="17" t="n">
        <v>13</v>
      </c>
      <c r="E11" s="17" t="inlineStr">
        <is>
          <t>Claude knowledge</t>
        </is>
      </c>
      <c r="F11" s="18" t="inlineStr">
        <is>
          <t>find</t>
        </is>
      </c>
      <c r="G11" s="18" t="inlineStr">
        <is>
          <t>Which command searches a folder tree for files by name, type, size or age?</t>
        </is>
      </c>
      <c r="H11" s="17" t="n"/>
      <c r="I11" s="18" t="inlineStr">
        <is>
          <t>Command</t>
        </is>
      </c>
      <c r="J11" s="18" t="inlineStr">
        <is>
          <t>Very high</t>
        </is>
      </c>
      <c r="K11" s="18" t="n">
        <v>5</v>
      </c>
      <c r="L11" s="18" t="inlineStr">
        <is>
          <t>Files get lost in deep trees, so find walks a directory tree live and tests every item against the conditions you give.</t>
        </is>
      </c>
      <c r="M11" s="18" t="inlineStr">
        <is>
          <t>Quote patterns such as "*.log" so the shell does not expand them before find sees them.</t>
        </is>
      </c>
      <c r="N11" s="17" t="n"/>
      <c r="O11" s="18" t="inlineStr">
        <is>
          <t>find is a search party walking every corridor and checking each door against your description.</t>
        </is>
      </c>
      <c r="P11" s="18" t="inlineStr">
        <is>
          <t>A tree being walked with matching files highlighted.</t>
        </is>
      </c>
      <c r="Q11" s="18" t="inlineStr">
        <is>
          <t>The relief of finally locating a lost config file.</t>
        </is>
      </c>
      <c r="R11" s="18" t="inlineStr">
        <is>
          <t>find walks a directory and prints the items that match tests such as -name, -type, -size and -mtime.</t>
        </is>
      </c>
      <c r="S11" s="17" t="n"/>
      <c r="T11" s="19" t="inlineStr">
        <is>
          <t>find /var/log -name "*.log"
find . -type f -size +100M
find /tmp -mtime +7 -type f
find . -name "*.tmp" -exec rm {} \;</t>
        </is>
      </c>
      <c r="U11" s="19" t="inlineStr">
        <is>
          <t>Log files under /var/log, files over 100 megabytes under the current folder, files in /tmp older than seven days, and all .tmp files deleted.</t>
        </is>
      </c>
      <c r="V11" s="18" t="inlineStr">
        <is>
          <t>The first argument is where to start, and the rest are tests combined with and. -type f means files and -type d means directories. -mtime +7 means modified more than seven days ago. -exec runs a command on each match, with {} as the file name. Always test with -print first before deleting anything.</t>
        </is>
      </c>
      <c r="W11" s="18" t="inlineStr">
        <is>
          <t>Tell find where to look and what to match. It searches live, so it is slower than an index, but always up to date.</t>
        </is>
      </c>
      <c r="X11" s="18" t="inlineStr">
        <is>
          <t>It is like a search party walking every corridor and checking each door.</t>
        </is>
      </c>
      <c r="Y11" s="19" t="inlineStr">
        <is>
          <t>find path tests actions</t>
        </is>
      </c>
      <c r="Z11" s="18" t="inlineStr">
        <is>
          <t>path = where to start | -name = match name | -type = f or d | -exec = run a command on matches</t>
        </is>
      </c>
      <c r="AA11" s="19" t="inlineStr">
        <is>
          <t>find . -name "config*"</t>
        </is>
      </c>
      <c r="AB11" s="19" t="inlineStr">
        <is>
          <t>find /home -user asha</t>
        </is>
      </c>
      <c r="AC11" s="19" t="inlineStr">
        <is>
          <t>find . -type d -name node_modules</t>
        </is>
      </c>
      <c r="AD11" s="19" t="inlineStr">
        <is>
          <t>find . -name "*.log" -delete   // delete matches directly
find . -newer file   // files newer than a reference file</t>
        </is>
      </c>
      <c r="AE11" s="18" t="inlineStr">
        <is>
          <t>grep, xargs, wildcards, rm</t>
        </is>
      </c>
      <c r="AF11" s="18" t="inlineStr">
        <is>
          <t>ls, grep, xargs</t>
        </is>
      </c>
      <c r="AG11" s="18" t="inlineStr">
        <is>
          <t>locate, which uses a prebuilt index</t>
        </is>
      </c>
      <c r="AH11" s="17" t="n"/>
      <c r="AI11" s="18" t="inlineStr">
        <is>
          <t>Finding configs | Clean-up | Disk space hunts</t>
        </is>
      </c>
      <c r="AJ11" s="18" t="inlineStr">
        <is>
          <t>A: Where is the nginx config on this server? | B: Try find /etc -name "nginx*" to search for it.</t>
        </is>
      </c>
      <c r="AK11" s="18" t="inlineStr">
        <is>
          <t>✗ find uses a pre-built index and is instant → ✓ find walks the directory live, while locate uses an index</t>
        </is>
      </c>
      <c r="AL11" s="18" t="inlineStr">
        <is>
          <t>find vs grep: find searches for files by attributes, grep searches inside files for text.</t>
        </is>
      </c>
      <c r="AM11" s="18" t="inlineStr">
        <is>
          <t>Do not run find with -delete or -exec rm before checking the output with -print.</t>
        </is>
      </c>
      <c r="AN11" s="19" t="inlineStr">
        <is>
          <t>find . -name *.log</t>
        </is>
      </c>
      <c r="AO11" s="19" t="inlineStr">
        <is>
          <t>find . -name "*.log"</t>
        </is>
      </c>
      <c r="AP11" s="18" t="inlineStr">
        <is>
          <t>Quote the pattern, test before deleting.</t>
        </is>
      </c>
      <c r="AQ11" s="18" t="inlineStr">
        <is>
          <t>Finding and removing log files older than a week in a clean-up job.</t>
        </is>
      </c>
      <c r="AR11" s="18" t="inlineStr">
        <is>
          <t>An interviewer may ask: How do you find files larger than 100 MB?</t>
        </is>
      </c>
      <c r="AS11" s="18" t="inlineStr">
        <is>
          <t>It is like a search party checking every door.</t>
        </is>
      </c>
      <c r="AT11" s="18" t="inlineStr">
        <is>
          <t>Which test finds files modified more than seven days ago?</t>
        </is>
      </c>
      <c r="AU11" s="18" t="inlineStr">
        <is>
          <t>A) -name 7 B) -type 7 C) -mtime +7 D) -size +7</t>
        </is>
      </c>
      <c r="AV11" s="18" t="inlineStr">
        <is>
          <t>C</t>
        </is>
      </c>
      <c r="AW11" s="18" t="inlineStr">
        <is>
          <t>-mtime +7 matches items older than seven days.</t>
        </is>
      </c>
      <c r="AX11" s="19" t="inlineStr">
        <is>
          <t>find . -____ f matches only regular files → type</t>
        </is>
      </c>
      <c r="AY11" s="18" t="inlineStr">
        <is>
          <t>Find all files ending in .conf under /etc.</t>
        </is>
      </c>
      <c r="AZ11" s="19" t="inlineStr">
        <is>
          <t>find /etc -name "*.conf"</t>
        </is>
      </c>
      <c r="BA11" s="18" t="inlineStr">
        <is>
          <t>Find the five largest files in your home folder using find and sort.</t>
        </is>
      </c>
      <c r="BB11" s="19" t="inlineStr">
        <is>
          <t>What does {} stand for in -exec?</t>
        </is>
      </c>
      <c r="BC11" s="19" t="inlineStr">
        <is>
          <t>The name of the current matching file.</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21.5" customHeight="1">
      <c r="A12" s="17" t="inlineStr">
        <is>
          <t>LNX-014</t>
        </is>
      </c>
      <c r="B12" s="17" t="inlineStr">
        <is>
          <t>02 Files and folders</t>
        </is>
      </c>
      <c r="C12" s="17" t="inlineStr">
        <is>
          <t>Beginner</t>
        </is>
      </c>
      <c r="D12" s="17" t="n">
        <v>14</v>
      </c>
      <c r="E12" s="17" t="inlineStr">
        <is>
          <t>Claude knowledge</t>
        </is>
      </c>
      <c r="F12" s="18" t="inlineStr">
        <is>
          <t>Wildcards (globbing)</t>
        </is>
      </c>
      <c r="G12" s="18" t="inlineStr">
        <is>
          <t>Which special characters let one pattern match many file names, expanded by the shell before the command runs?</t>
        </is>
      </c>
      <c r="H12" s="17" t="n"/>
      <c r="I12" s="18" t="inlineStr">
        <is>
          <t>Shell feature</t>
        </is>
      </c>
      <c r="J12" s="18" t="inlineStr">
        <is>
          <t>Very high</t>
        </is>
      </c>
      <c r="K12" s="18" t="n">
        <v>4</v>
      </c>
      <c r="L12" s="18" t="inlineStr">
        <is>
          <t>Typing every file name is slow, so the shell lets you write patterns that it expands into the list of matching names.</t>
        </is>
      </c>
      <c r="M12" s="18" t="inlineStr">
        <is>
          <t>Use echo with a pattern first to see what it expands to before running something destructive.</t>
        </is>
      </c>
      <c r="N12" s="17" t="n"/>
      <c r="O12" s="18" t="inlineStr">
        <is>
          <t>A wildcard is a blank card in a card game that can stand for any card you need.</t>
        </is>
      </c>
      <c r="P12" s="18" t="inlineStr">
        <is>
          <t>A pattern star dot txt expanding into a list of text files.</t>
        </is>
      </c>
      <c r="Q12" s="18" t="inlineStr">
        <is>
          <t>The speed of acting on many files at once.</t>
        </is>
      </c>
      <c r="R12" s="18" t="inlineStr">
        <is>
          <t>Wildcards such as *, ? and [] are patterns that the shell expands into matching file names.</t>
        </is>
      </c>
      <c r="S12" s="17" t="n"/>
      <c r="T12" s="19" t="inlineStr">
        <is>
          <t>ls *.txt
ls data_?.csv
ls report_[0-9][0-9].pdf
echo *.log</t>
        </is>
      </c>
      <c r="U12" s="19" t="inlineStr">
        <is>
          <t>All text files, data files with a single character in the place of the question mark, reports with two digits in the name, and the list of log files printed by echo.</t>
        </is>
      </c>
      <c r="V12" s="18" t="inlineStr">
        <is>
          <t>The star matches any number of characters, the question mark matches exactly one, and square brackets match one character from a set or range. The shell expands the pattern before the command starts, so the command sees the full list of names. Curly braces such as {a,b} are a related feature called brace expansion. If nothing matches, Bash passes the pattern unchanged.</t>
        </is>
      </c>
      <c r="W12" s="18" t="inlineStr">
        <is>
          <t>Use star for anything, question mark for one character, and brackets for a set. The shell turns the pattern into real file names first.</t>
        </is>
      </c>
      <c r="X12" s="18" t="inlineStr">
        <is>
          <t>It is like a blank card in a card game that can stand for any card.</t>
        </is>
      </c>
      <c r="Y12" s="19" t="inlineStr">
        <is>
          <t>* ? [abc] [a-z]</t>
        </is>
      </c>
      <c r="Z12" s="18" t="inlineStr">
        <is>
          <t>* = any characters | ? = one character | [..] = one from a set | {a,b} = brace expansion</t>
        </is>
      </c>
      <c r="AA12" s="19" t="inlineStr">
        <is>
          <t>rm *.tmp</t>
        </is>
      </c>
      <c r="AB12" s="19" t="inlineStr">
        <is>
          <t>cp img_?.png backup/</t>
        </is>
      </c>
      <c r="AC12" s="19" t="inlineStr">
        <is>
          <t>ls file{1,2,3}.txt</t>
        </is>
      </c>
      <c r="AD12" s="19" t="inlineStr">
        <is>
          <t>ls [!a]*   // names not starting with a
ls **/*.js   // recursive in shells with globstar on</t>
        </is>
      </c>
      <c r="AE12" s="18" t="inlineStr">
        <is>
          <t>ls, cp, rm, find</t>
        </is>
      </c>
      <c r="AF12" s="18" t="inlineStr">
        <is>
          <t>find, quoting, xargs</t>
        </is>
      </c>
      <c r="AG12" s="18" t="inlineStr">
        <is>
          <t>find for recursive searches</t>
        </is>
      </c>
      <c r="AH12" s="17" t="n"/>
      <c r="AI12" s="18" t="inlineStr">
        <is>
          <t>Bulk actions | Scripts | Logs and exports</t>
        </is>
      </c>
      <c r="AJ12" s="18" t="inlineStr">
        <is>
          <t>A: I need to delete all temp files in this folder. | B: Run echo *.tmp first to check, then rm *.tmp.</t>
        </is>
      </c>
      <c r="AK12" s="18" t="inlineStr">
        <is>
          <t>✗ The command itself expands wildcards → ✓ The shell expands wildcards before the command starts, and quoting stops it</t>
        </is>
      </c>
      <c r="AL12" s="18" t="inlineStr">
        <is>
          <t>Wildcards vs regular expressions: wildcards match file names in the shell, regular expressions match text in tools like grep.</t>
        </is>
      </c>
      <c r="AM12" s="18" t="inlineStr">
        <is>
          <t>Do not run rm * without checking what it expands to.</t>
        </is>
      </c>
      <c r="AN12" s="19" t="inlineStr">
        <is>
          <t>ls *.txt.</t>
        </is>
      </c>
      <c r="AO12" s="19" t="inlineStr">
        <is>
          <t>ls *.txt</t>
        </is>
      </c>
      <c r="AP12" s="18" t="inlineStr">
        <is>
          <t>Star is many, question mark is one.</t>
        </is>
      </c>
      <c r="AQ12" s="18" t="inlineStr">
        <is>
          <t>Archiving all monthly CSV files with one pattern.</t>
        </is>
      </c>
      <c r="AR12" s="18" t="inlineStr">
        <is>
          <t>An interviewer may ask: Who expands a wildcard, the shell or the command?</t>
        </is>
      </c>
      <c r="AS12" s="18" t="inlineStr">
        <is>
          <t>It is like a blank card that can stand for any card.</t>
        </is>
      </c>
      <c r="AT12" s="18" t="inlineStr">
        <is>
          <t>Which wildcard stands for any single character, whatever it is?</t>
        </is>
      </c>
      <c r="AU12" s="18" t="inlineStr">
        <is>
          <t>A) Square brackets B) Curly braces C) The asterisk D) The question mark</t>
        </is>
      </c>
      <c r="AV12" s="18" t="inlineStr">
        <is>
          <t>D</t>
        </is>
      </c>
      <c r="AW12" s="18" t="inlineStr">
        <is>
          <t>The question mark stands for exactly one character.</t>
        </is>
      </c>
      <c r="AX12" s="19" t="inlineStr">
        <is>
          <t>The ____ wildcard matches any number of characters → *</t>
        </is>
      </c>
      <c r="AY12" s="18" t="inlineStr">
        <is>
          <t>List all files that start with report and end with .pdf.</t>
        </is>
      </c>
      <c r="AZ12" s="19" t="inlineStr">
        <is>
          <t>ls report*.pdf</t>
        </is>
      </c>
      <c r="BA12" s="18" t="inlineStr">
        <is>
          <t>Write patterns that match three different groups of files in a test folder.</t>
        </is>
      </c>
      <c r="BB12" s="19" t="inlineStr">
        <is>
          <t>What happens to an unquoted pattern before the command runs?</t>
        </is>
      </c>
      <c r="BC12" s="19" t="inlineStr">
        <is>
          <t>The shell expands it into the list of matching file names.</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08" customHeight="1">
      <c r="A13" s="17" t="inlineStr">
        <is>
          <t>LNX-015</t>
        </is>
      </c>
      <c r="B13" s="17" t="inlineStr">
        <is>
          <t>02 Files and folders</t>
        </is>
      </c>
      <c r="C13" s="17" t="inlineStr">
        <is>
          <t>Intermediate</t>
        </is>
      </c>
      <c r="D13" s="17" t="n">
        <v>15</v>
      </c>
      <c r="E13" s="17" t="inlineStr">
        <is>
          <t>Claude knowledge</t>
        </is>
      </c>
      <c r="F13" s="18" t="inlineStr">
        <is>
          <t>Hard links and symbolic links</t>
        </is>
      </c>
      <c r="G13" s="18" t="inlineStr">
        <is>
          <t>How do you make a second name that points to the same file, and a shortcut that points to a path?</t>
        </is>
      </c>
      <c r="H13" s="17" t="n"/>
      <c r="I13" s="18" t="inlineStr">
        <is>
          <t>Command</t>
        </is>
      </c>
      <c r="J13" s="18" t="inlineStr">
        <is>
          <t>Medium</t>
        </is>
      </c>
      <c r="K13" s="18" t="n">
        <v>4</v>
      </c>
      <c r="L13" s="18" t="inlineStr">
        <is>
          <t>Sometimes one file should appear in two places, and Unix offers two ways: a second name for the same data, and a shortcut file that stores a path.</t>
        </is>
      </c>
      <c r="M13" s="18" t="inlineStr">
        <is>
          <t>Symbolic links are the common choice, for example to switch a current release folder to a new version.</t>
        </is>
      </c>
      <c r="N13" s="17" t="n"/>
      <c r="O13" s="18" t="inlineStr">
        <is>
          <t>A symbolic link is a signpost pointing at a place, and a hard link is a second door into the same room.</t>
        </is>
      </c>
      <c r="P13" s="18" t="inlineStr">
        <is>
          <t>A shortcut arrow beside a file, and two names sharing one block of data.</t>
        </is>
      </c>
      <c r="Q13" s="18" t="inlineStr">
        <is>
          <t>The convenience of one file available in many places.</t>
        </is>
      </c>
      <c r="R13" s="18" t="inlineStr">
        <is>
          <t>ln -s creates a symbolic link that stores a path, and ln creates a hard link, a second name for the same data.</t>
        </is>
      </c>
      <c r="S13" s="17" t="n"/>
      <c r="T13" s="19" t="inlineStr">
        <is>
          <t>ln -s /var/www/releases/v2 /var/www/current
ls -l /var/www
ln original.txt hardcopy.txt</t>
        </is>
      </c>
      <c r="U13" s="19" t="inlineStr">
        <is>
          <t>The link current points to releases/v2, the listing shows current with an arrow to its target, and hardcopy.txt becomes another name for the same data as original.txt.</t>
        </is>
      </c>
      <c r="V13" s="18" t="inlineStr">
        <is>
          <t>A symbolic link is a small file containing a path, so it can point to folders and to other file systems, and it breaks if the target is deleted. A hard link is another directory entry for the same data, so the content stays until all names are removed, but it cannot cross file systems or point to folders. ls -l shows symbolic links with an arrow.</t>
        </is>
      </c>
      <c r="W13" s="18" t="inlineStr">
        <is>
          <t>Use ln -s to make a shortcut to a file or folder. A hard link is a second name for the same file, and is less common.</t>
        </is>
      </c>
      <c r="X13" s="18" t="inlineStr">
        <is>
          <t>A symbolic link is a signpost pointing at a place, and a hard link is a second door into the same room.</t>
        </is>
      </c>
      <c r="Y13" s="19" t="inlineStr">
        <is>
          <t>ln -s target linkname  |  ln target linkname</t>
        </is>
      </c>
      <c r="Z13" s="18" t="inlineStr">
        <is>
          <t>-s = symbolic link | target = what it points to | linkname = the new name</t>
        </is>
      </c>
      <c r="AA13" s="19" t="inlineStr">
        <is>
          <t>ln -s /opt/app/v3 /opt/app/current</t>
        </is>
      </c>
      <c r="AB13" s="19" t="inlineStr">
        <is>
          <t>ln -s ~/projects/site /var/www/site</t>
        </is>
      </c>
      <c r="AC13" s="19" t="inlineStr">
        <is>
          <t>ln data.csv data_backup_name.csv</t>
        </is>
      </c>
      <c r="AD13" s="19" t="inlineStr">
        <is>
          <t>ln -sfn newtarget current   // replace an existing link
readlink current   // show where a link points</t>
        </is>
      </c>
      <c r="AE13" s="18" t="inlineStr">
        <is>
          <t>ls -l, deployment, readlink</t>
        </is>
      </c>
      <c r="AF13" s="18" t="inlineStr">
        <is>
          <t>file system layout, permissions, deployment</t>
        </is>
      </c>
      <c r="AG13" s="18" t="inlineStr">
        <is>
          <t>Copying the file</t>
        </is>
      </c>
      <c r="AH13" s="17" t="n"/>
      <c r="AI13" s="18" t="inlineStr">
        <is>
          <t>Release folders | Config sharing | Shortcuts</t>
        </is>
      </c>
      <c r="AJ13" s="18" t="inlineStr">
        <is>
          <t>A: How do we switch the live site to the new release? | B: Point the current link to the new release folder with ln -sfn.</t>
        </is>
      </c>
      <c r="AK13" s="18" t="inlineStr">
        <is>
          <t>✗ A symbolic link and a hard link behave the same → ✓ A symbolic link stores a path and can break, a hard link is another name for the same data</t>
        </is>
      </c>
      <c r="AL13" s="18" t="inlineStr">
        <is>
          <t>Symbolic vs hard link: symbolic stores a path, hard shares the same data.</t>
        </is>
      </c>
      <c r="AM13" s="18" t="inlineStr">
        <is>
          <t>Do not forget that a symbolic link breaks if its target is removed or moved.</t>
        </is>
      </c>
      <c r="AN13" s="19" t="inlineStr">
        <is>
          <t>ln /var/www/releases/v2 /var/www/current</t>
        </is>
      </c>
      <c r="AO13" s="19" t="inlineStr">
        <is>
          <t>ln -s /var/www/releases/v2 /var/www/current</t>
        </is>
      </c>
      <c r="AP13" s="18" t="inlineStr">
        <is>
          <t>s for signpost, a symbolic link.</t>
        </is>
      </c>
      <c r="AQ13" s="18" t="inlineStr">
        <is>
          <t>Switching a current link to a new release folder during deployment.</t>
        </is>
      </c>
      <c r="AR13" s="18" t="inlineStr">
        <is>
          <t>An interviewer may ask: What is the difference between a hard link and a symbolic link?</t>
        </is>
      </c>
      <c r="AS13" s="18" t="inlineStr">
        <is>
          <t>It is like a signpost versus a second door into the same room.</t>
        </is>
      </c>
      <c r="AT13" s="18" t="inlineStr">
        <is>
          <t>Which flag creates a symbolic link?</t>
        </is>
      </c>
      <c r="AU13" s="18" t="inlineStr">
        <is>
          <t>A) -h B) -s C) -l D) -r</t>
        </is>
      </c>
      <c r="AV13" s="18" t="inlineStr">
        <is>
          <t>B</t>
        </is>
      </c>
      <c r="AW13" s="18" t="inlineStr">
        <is>
          <t>ln -s makes a symbolic link.</t>
        </is>
      </c>
      <c r="AX13" s="19" t="inlineStr">
        <is>
          <t>A symbolic link stores the ____ of its target → path</t>
        </is>
      </c>
      <c r="AY13" s="18" t="inlineStr">
        <is>
          <t>Create a symbolic link named current to the folder releases/v5.</t>
        </is>
      </c>
      <c r="AZ13" s="19" t="inlineStr">
        <is>
          <t>ln -s releases/v5 current</t>
        </is>
      </c>
      <c r="BA13" s="18" t="inlineStr">
        <is>
          <t>Create a link, show it with ls -l, then delete the target and observe what happens.</t>
        </is>
      </c>
      <c r="BB13" s="19" t="inlineStr">
        <is>
          <t>Which command shows where a symbolic link points?</t>
        </is>
      </c>
      <c r="BC13" s="19" t="inlineStr">
        <is>
          <t>readlink linkname (or ls -l)</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94.5" customHeight="1">
      <c r="A14" s="17" t="inlineStr">
        <is>
          <t>LNX-016</t>
        </is>
      </c>
      <c r="B14" s="17" t="inlineStr">
        <is>
          <t>03 Text tools</t>
        </is>
      </c>
      <c r="C14" s="17" t="inlineStr">
        <is>
          <t>Beginner</t>
        </is>
      </c>
      <c r="D14" s="17" t="n">
        <v>16</v>
      </c>
      <c r="E14" s="17" t="inlineStr">
        <is>
          <t>Claude knowledge</t>
        </is>
      </c>
      <c r="F14" s="18" t="inlineStr">
        <is>
          <t>grep</t>
        </is>
      </c>
      <c r="G14" s="18" t="inlineStr">
        <is>
          <t>Which command searches inside files for lines that match a word or pattern?</t>
        </is>
      </c>
      <c r="H14" s="17" t="n"/>
      <c r="I14" s="18" t="inlineStr">
        <is>
          <t>Command</t>
        </is>
      </c>
      <c r="J14" s="18" t="inlineStr">
        <is>
          <t>Very high</t>
        </is>
      </c>
      <c r="K14" s="18" t="n">
        <v>5</v>
      </c>
      <c r="L14" s="18" t="inlineStr">
        <is>
          <t>Searching text is a daily job, so Unix has a tool whose name comes from an old editor command meaning globally search a regular expression and print.</t>
        </is>
      </c>
      <c r="M14" s="18" t="inlineStr">
        <is>
          <t>Combine -r with -n to search a whole folder and see line numbers.</t>
        </is>
      </c>
      <c r="N14" s="17" t="n"/>
      <c r="O14" s="18" t="inlineStr">
        <is>
          <t>grep is a highlighter pen that picks out only the lines you care about.</t>
        </is>
      </c>
      <c r="P14" s="18" t="inlineStr">
        <is>
          <t>A long log with only the lines containing the word error highlighted.</t>
        </is>
      </c>
      <c r="Q14" s="18" t="inlineStr">
        <is>
          <t>The satisfaction of finding the one error line in thousands.</t>
        </is>
      </c>
      <c r="R14" s="18" t="inlineStr">
        <is>
          <t>grep prints the lines of its input that match a pattern.</t>
        </is>
      </c>
      <c r="S14" s="17" t="n"/>
      <c r="T14" s="19" t="inlineStr">
        <is>
          <t>grep "error" app.log
grep -i -n "timeout" app.log
grep -r "API_KEY" ./config
grep -v "^#" settings.conf
grep -c "200" access.log</t>
        </is>
      </c>
      <c r="U14" s="19" t="inlineStr">
        <is>
          <t>Lines containing error, matching lines with numbers ignoring case, matches across a folder, all lines that do not start with a hash, and a count of lines containing 200.</t>
        </is>
      </c>
      <c r="V14" s="18" t="inlineStr">
        <is>
          <t>Common flags are -i to ignore case, -n to show line numbers, -r to search folders, -v to invert the match, -c to count, and -E for extended regular expressions. -A and -B show lines after and before a match. grep reads files or the output of other commands through a pipe.</t>
        </is>
      </c>
      <c r="W14" s="18" t="inlineStr">
        <is>
          <t>Give grep a pattern and a file. It prints only the matching lines, and flags change how it matches and what it shows.</t>
        </is>
      </c>
      <c r="X14" s="18" t="inlineStr">
        <is>
          <t>It is like a highlighter pen that picks out only the lines you care about.</t>
        </is>
      </c>
      <c r="Y14" s="19" t="inlineStr">
        <is>
          <t>grep [options] pattern [files]</t>
        </is>
      </c>
      <c r="Z14" s="18" t="inlineStr">
        <is>
          <t>-i = ignore case | -n = line numbers | -r = recursive | -v = invert | -c = count</t>
        </is>
      </c>
      <c r="AA14" s="19" t="inlineStr">
        <is>
          <t>grep -n "Exception" server.log</t>
        </is>
      </c>
      <c r="AB14" s="19" t="inlineStr">
        <is>
          <t>grep -r "TODO" src/</t>
        </is>
      </c>
      <c r="AC14" s="19" t="inlineStr">
        <is>
          <t>ps aux | grep nginx</t>
        </is>
      </c>
      <c r="AD14" s="19" t="inlineStr">
        <is>
          <t>grep -E "error|fail" app.log   // either word
grep -A 3 -B 3 "crash" app.log   // three lines of context around each match</t>
        </is>
      </c>
      <c r="AE14" s="18" t="inlineStr">
        <is>
          <t>pipes, find, tail, regular expressions</t>
        </is>
      </c>
      <c r="AF14" s="18" t="inlineStr">
        <is>
          <t>sed, awk, find, pipes</t>
        </is>
      </c>
      <c r="AG14" s="18" t="inlineStr">
        <is>
          <t>ripgrep (rg) for faster searches</t>
        </is>
      </c>
      <c r="AH14" s="17" t="n"/>
      <c r="AI14" s="18" t="inlineStr">
        <is>
          <t>Reading logs | Searching code | Filtering command output</t>
        </is>
      </c>
      <c r="AJ14" s="18" t="inlineStr">
        <is>
          <t>A: Which file contains the database password setting? | B: Run grep -r "DB_PASSWORD" on the config folder.</t>
        </is>
      </c>
      <c r="AK14" s="18" t="inlineStr">
        <is>
          <t>✗ grep searches for file names → ✓ grep searches inside files for matching text, and find searches for file names</t>
        </is>
      </c>
      <c r="AL14" s="18" t="inlineStr">
        <is>
          <t>grep vs find: grep looks inside files, find looks for files.</t>
        </is>
      </c>
      <c r="AM14" s="18" t="inlineStr">
        <is>
          <t>Do not paste secrets that grep shows into chats or tickets.</t>
        </is>
      </c>
      <c r="AN14" s="19" t="inlineStr">
        <is>
          <t>grep app.log "error"</t>
        </is>
      </c>
      <c r="AO14" s="19" t="inlineStr">
        <is>
          <t>grep "error" app.log</t>
        </is>
      </c>
      <c r="AP14" s="18" t="inlineStr">
        <is>
          <t>Pattern first, then the file.</t>
        </is>
      </c>
      <c r="AQ14" s="18" t="inlineStr">
        <is>
          <t>Filtering a customer's log for one request id to find a failure.</t>
        </is>
      </c>
      <c r="AR14" s="18" t="inlineStr">
        <is>
          <t>An interviewer may ask: How do you search all files in a folder for a word?</t>
        </is>
      </c>
      <c r="AS14" s="18" t="inlineStr">
        <is>
          <t>It is like a highlighter that picks out the lines you care about.</t>
        </is>
      </c>
      <c r="AT14" s="18" t="inlineStr">
        <is>
          <t>Which flag makes grep ignore upper and lower case?</t>
        </is>
      </c>
      <c r="AU14" s="18" t="inlineStr">
        <is>
          <t>A) -i B) -n C) -v D) -c</t>
        </is>
      </c>
      <c r="AV14" s="18" t="inlineStr">
        <is>
          <t>A</t>
        </is>
      </c>
      <c r="AW14" s="18" t="inlineStr">
        <is>
          <t>-i ignores case differences.</t>
        </is>
      </c>
      <c r="AX14" s="19" t="inlineStr">
        <is>
          <t>grep -____ pattern file prints only lines that do not match → v</t>
        </is>
      </c>
      <c r="AY14" s="18" t="inlineStr">
        <is>
          <t>Count the lines containing the word failed in deploy.log.</t>
        </is>
      </c>
      <c r="AZ14" s="19" t="inlineStr">
        <is>
          <t>grep -c "failed" deploy.log</t>
        </is>
      </c>
      <c r="BA14" s="18" t="inlineStr">
        <is>
          <t>Search a log for three different words and compare the counts.</t>
        </is>
      </c>
      <c r="BB14" s="19" t="inlineStr">
        <is>
          <t>Which flag shows line numbers with each match?</t>
        </is>
      </c>
      <c r="BC14" s="19" t="inlineStr">
        <is>
          <t>-n</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08" customHeight="1">
      <c r="A15" s="17" t="inlineStr">
        <is>
          <t>LNX-017</t>
        </is>
      </c>
      <c r="B15" s="17" t="inlineStr">
        <is>
          <t>03 Text tools</t>
        </is>
      </c>
      <c r="C15" s="17" t="inlineStr">
        <is>
          <t>Intermediate</t>
        </is>
      </c>
      <c r="D15" s="17" t="n">
        <v>17</v>
      </c>
      <c r="E15" s="17" t="inlineStr">
        <is>
          <t>Claude knowledge</t>
        </is>
      </c>
      <c r="F15" s="18" t="inlineStr">
        <is>
          <t>sed</t>
        </is>
      </c>
      <c r="G15" s="18" t="inlineStr">
        <is>
          <t>Which stream editor replaces, deletes or prints lines of text as it flows through, without opening an editor?</t>
        </is>
      </c>
      <c r="H15" s="17" t="n"/>
      <c r="I15" s="18" t="inlineStr">
        <is>
          <t>Command</t>
        </is>
      </c>
      <c r="J15" s="18" t="inlineStr">
        <is>
          <t>High</t>
        </is>
      </c>
      <c r="K15" s="18" t="n">
        <v>4</v>
      </c>
      <c r="L15" s="18" t="inlineStr">
        <is>
          <t>Editing the same change into many files by hand is slow, so sed applies editing commands to a stream of text automatically.</t>
        </is>
      </c>
      <c r="M15" s="18" t="inlineStr">
        <is>
          <t>Test a sed command without -i first, and only then change the file in place.</t>
        </is>
      </c>
      <c r="N15" s="17" t="n"/>
      <c r="O15" s="18" t="inlineStr">
        <is>
          <t>sed is an editor that works on a conveyor belt, changing each line as it passes.</t>
        </is>
      </c>
      <c r="P15" s="18" t="inlineStr">
        <is>
          <t>Lines moving along a belt, with one word swapped as each passes a station.</t>
        </is>
      </c>
      <c r="Q15" s="18" t="inlineStr">
        <is>
          <t>The power of changing a thousand lines with one command.</t>
        </is>
      </c>
      <c r="R15" s="18" t="inlineStr">
        <is>
          <t>sed applies editing commands, most often substitution, to each line of its input.</t>
        </is>
      </c>
      <c r="S15" s="17" t="n"/>
      <c r="T15" s="19" t="inlineStr">
        <is>
          <t>sed 's/staging/production/g' app.conf
sed -n '5,10p' app.log
sed '/^#/d' settings.conf
sed -i 's/8080/9090/' server.conf</t>
        </is>
      </c>
      <c r="U15" s="19" t="inlineStr">
        <is>
          <t>The text with every staging replaced by production, only lines five to ten, the file without comment lines, and server.conf changed in place from 8080 to 9090.</t>
        </is>
      </c>
      <c r="V15" s="18" t="inlineStr">
        <is>
          <t>The most common command is s/old/new/, with g to replace every match on a line. A command can be limited to a line range or to lines matching a pattern. -n with p prints only selected lines, and d deletes lines. The -i flag edits the file in place, and on macOS it needs an argument such as -i ''. Keep a backup before using -i.</t>
        </is>
      </c>
      <c r="W15" s="18" t="inlineStr">
        <is>
          <t>Use sed to replace text with s/old/new/g, delete lines with d, or print a range with -n and p. Add -i only when you are sure.</t>
        </is>
      </c>
      <c r="X15" s="18" t="inlineStr">
        <is>
          <t>It is like an editor on a conveyor belt that changes each line as it passes.</t>
        </is>
      </c>
      <c r="Y15" s="19" t="inlineStr">
        <is>
          <t>sed 's/old/new/g' file</t>
        </is>
      </c>
      <c r="Z15" s="18" t="inlineStr">
        <is>
          <t>s = substitute | g = all matches on the line | -n and p = print selected lines | d = delete | -i = edit in place</t>
        </is>
      </c>
      <c r="AA15" s="19" t="inlineStr">
        <is>
          <t>sed 's/foo/bar/' notes.txt</t>
        </is>
      </c>
      <c r="AB15" s="19" t="inlineStr">
        <is>
          <t>sed '1d' data.csv</t>
        </is>
      </c>
      <c r="AC15" s="19" t="inlineStr">
        <is>
          <t>sed -n '/ERROR/p' app.log</t>
        </is>
      </c>
      <c r="AD15" s="19" t="inlineStr">
        <is>
          <t>sed -i.bak 's/a/b/' file   // keep a backup copy
sed 's#/old/path#/new/path#g' file   // use another separator for paths</t>
        </is>
      </c>
      <c r="AE15" s="18" t="inlineStr">
        <is>
          <t>grep, awk, pipes, regular expressions</t>
        </is>
      </c>
      <c r="AF15" s="18" t="inlineStr">
        <is>
          <t>grep, awk, tr</t>
        </is>
      </c>
      <c r="AG15" s="18" t="inlineStr">
        <is>
          <t>perl or an editor for complex changes</t>
        </is>
      </c>
      <c r="AH15" s="17" t="n"/>
      <c r="AI15" s="18" t="inlineStr">
        <is>
          <t>Config edits | Log clean-up | Bulk text changes</t>
        </is>
      </c>
      <c r="AJ15" s="18" t="inlineStr">
        <is>
          <t>A: I need to change a hostname in fifty config files. | B: Use sed -i with a substitution, after testing it without -i.</t>
        </is>
      </c>
      <c r="AK15" s="18" t="inlineStr">
        <is>
          <t>✗ sed always changes the file you give it → ✓ sed prints the changed text and leaves the file alone unless you use -i</t>
        </is>
      </c>
      <c r="AL15" s="18" t="inlineStr">
        <is>
          <t>sed vs awk: sed edits text by patterns, awk works with fields and calculations.</t>
        </is>
      </c>
      <c r="AM15" s="18" t="inlineStr">
        <is>
          <t>Do not use -i without a backup or version control.</t>
        </is>
      </c>
      <c r="AN15" s="19" t="inlineStr">
        <is>
          <t>sed 's/old/new' file</t>
        </is>
      </c>
      <c r="AO15" s="19" t="inlineStr">
        <is>
          <t>sed 's/old/new/' file</t>
        </is>
      </c>
      <c r="AP15" s="18" t="inlineStr">
        <is>
          <t>The s command swaps old text for new text.</t>
        </is>
      </c>
      <c r="AQ15" s="18" t="inlineStr">
        <is>
          <t>Replacing a database host across configuration files before a customer go-live.</t>
        </is>
      </c>
      <c r="AR15" s="18" t="inlineStr">
        <is>
          <t>An interviewer may ask: How do you replace text in a file from the command line?</t>
        </is>
      </c>
      <c r="AS15" s="18" t="inlineStr">
        <is>
          <t>It is like an editor on a conveyor belt.</t>
        </is>
      </c>
      <c r="AT15" s="18" t="inlineStr">
        <is>
          <t>What does the g at the end of s/a/b/g do?</t>
        </is>
      </c>
      <c r="AU15" s="18" t="inlineStr">
        <is>
          <t>A) Gives a report B) Goes to the next file C) Greps the file D) Replaces every match on a line</t>
        </is>
      </c>
      <c r="AV15" s="18" t="inlineStr">
        <is>
          <t>D</t>
        </is>
      </c>
      <c r="AW15" s="18" t="inlineStr">
        <is>
          <t>Without g only the first match on each line is replaced.</t>
        </is>
      </c>
      <c r="AX15" s="19" t="inlineStr">
        <is>
          <t>sed ____ file.txt edits the file in place → -i</t>
        </is>
      </c>
      <c r="AY15" s="18" t="inlineStr">
        <is>
          <t>Print only lines 3 to 6 of notes.txt.</t>
        </is>
      </c>
      <c r="AZ15" s="19" t="inlineStr">
        <is>
          <t>sed -n '3,6p' notes.txt</t>
        </is>
      </c>
      <c r="BA15" s="18" t="inlineStr">
        <is>
          <t>Replace one word in a copy of a file, and compare the result with diff.</t>
        </is>
      </c>
      <c r="BB15" s="19" t="inlineStr">
        <is>
          <t>Which sed command deletes lines that start with a hash?</t>
        </is>
      </c>
      <c r="BC15" s="19" t="inlineStr">
        <is>
          <t>sed '/^#/d' file</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94.5" customHeight="1">
      <c r="A16" s="17" t="inlineStr">
        <is>
          <t>LNX-018</t>
        </is>
      </c>
      <c r="B16" s="17" t="inlineStr">
        <is>
          <t>03 Text tools</t>
        </is>
      </c>
      <c r="C16" s="17" t="inlineStr">
        <is>
          <t>Intermediate</t>
        </is>
      </c>
      <c r="D16" s="17" t="n">
        <v>18</v>
      </c>
      <c r="E16" s="17" t="inlineStr">
        <is>
          <t>Claude knowledge</t>
        </is>
      </c>
      <c r="F16" s="18" t="inlineStr">
        <is>
          <t>awk</t>
        </is>
      </c>
      <c r="G16" s="18" t="inlineStr">
        <is>
          <t>Which tool treats each line as fields so that you can print columns, filter by values and add numbers?</t>
        </is>
      </c>
      <c r="H16" s="17" t="n"/>
      <c r="I16" s="18" t="inlineStr">
        <is>
          <t>Command</t>
        </is>
      </c>
      <c r="J16" s="18" t="inlineStr">
        <is>
          <t>High</t>
        </is>
      </c>
      <c r="K16" s="18" t="n">
        <v>4</v>
      </c>
      <c r="L16" s="18" t="inlineStr">
        <is>
          <t>Reports in columns needed a small language for splitting lines into fields, and awk was named after its three creators and does exactly that.</t>
        </is>
      </c>
      <c r="M16" s="18" t="inlineStr">
        <is>
          <t>Use -F to set the field separator, such as -F, for CSV-like data.</t>
        </is>
      </c>
      <c r="N16" s="17" t="n"/>
      <c r="O16" s="18" t="inlineStr">
        <is>
          <t>awk is a spreadsheet for text, with columns named dollar one, dollar two and so on.</t>
        </is>
      </c>
      <c r="P16" s="18" t="inlineStr">
        <is>
          <t>A line split into numbered columns, with column three summed at the end.</t>
        </is>
      </c>
      <c r="Q16" s="18" t="inlineStr">
        <is>
          <t>The thrill of a quick report from raw text.</t>
        </is>
      </c>
      <c r="R16" s="18" t="inlineStr">
        <is>
          <t>awk splits each line into fields and runs small programs on them, such as printing columns or summing values.</t>
        </is>
      </c>
      <c r="S16" s="17" t="n"/>
      <c r="T16" s="19" t="inlineStr">
        <is>
          <t>awk '{print $1, $3}' access.log
awk -F, '{print $2}' users.csv
awk '$3 &gt; 100' sales.txt
awk '{sum += $3} END {print sum}' sales.txt</t>
        </is>
      </c>
      <c r="U16" s="19" t="inlineStr">
        <is>
          <t>The first and third columns of each line, the second column of a comma-separated file, only rows whose third column is above 100, and the total of the third column.</t>
        </is>
      </c>
      <c r="V16" s="18" t="inlineStr">
        <is>
          <t>Fields are called $1, $2 and so on, and $0 is the whole line. A program is made of pattern and action pairs. BEGIN runs before the first line and END runs after the last. NR is the line number and NF is the number of fields. By default fields are separated by whitespace.</t>
        </is>
      </c>
      <c r="W16" s="18" t="inlineStr">
        <is>
          <t>awk treats a line as columns. Print columns with $1 and $2, filter with a condition, and total numbers with a variable and END.</t>
        </is>
      </c>
      <c r="X16" s="18" t="inlineStr">
        <is>
          <t>It is like a spreadsheet for text, with columns named $1, $2 and so on.</t>
        </is>
      </c>
      <c r="Y16" s="19" t="inlineStr">
        <is>
          <t>awk 'pattern {action}' file</t>
        </is>
      </c>
      <c r="Z16" s="18" t="inlineStr">
        <is>
          <t>$1 = first field | -F, = comma separator | NR = line number | END = after the last line</t>
        </is>
      </c>
      <c r="AA16" s="19" t="inlineStr">
        <is>
          <t>awk '{print $NF}' file</t>
        </is>
      </c>
      <c r="AB16" s="19" t="inlineStr">
        <is>
          <t>awk -F: '{print $1}' /etc/passwd</t>
        </is>
      </c>
      <c r="AC16" s="19" t="inlineStr">
        <is>
          <t>awk 'NR &gt; 1 {n++} END {print n}' data.csv</t>
        </is>
      </c>
      <c r="AD16" s="19" t="inlineStr">
        <is>
          <t>awk '$2 == "ERROR" {c++} END {print c}' log   // count matches
awk 'BEGIN {print "Report"} {print $1}' file   // header line</t>
        </is>
      </c>
      <c r="AE16" s="18" t="inlineStr">
        <is>
          <t>grep, sort, pipes, CSV files</t>
        </is>
      </c>
      <c r="AF16" s="18" t="inlineStr">
        <is>
          <t>sed, cut, grep</t>
        </is>
      </c>
      <c r="AG16" s="18" t="inlineStr">
        <is>
          <t>Python or pandas for bigger tasks</t>
        </is>
      </c>
      <c r="AH16" s="17" t="n"/>
      <c r="AI16" s="18" t="inlineStr">
        <is>
          <t>Quick reports | Log analysis | Column extraction</t>
        </is>
      </c>
      <c r="AJ16" s="18" t="inlineStr">
        <is>
          <t>A: I need the total of the amount column in this text file. | B: Use awk to add up the third field and print it in END.</t>
        </is>
      </c>
      <c r="AK16" s="18" t="inlineStr">
        <is>
          <t>✗ awk numbers columns from zero → ✓ awk fields start at $1, and $0 means the whole line</t>
        </is>
      </c>
      <c r="AL16" s="18" t="inlineStr">
        <is>
          <t>awk vs cut: cut only extracts fields, awk can also calculate and filter.</t>
        </is>
      </c>
      <c r="AM16" s="18" t="inlineStr">
        <is>
          <t>Do not use awk for real CSV files with quoted commas, use a proper CSV tool.</t>
        </is>
      </c>
      <c r="AN16" s="19" t="inlineStr">
        <is>
          <t>awk {print $1} file</t>
        </is>
      </c>
      <c r="AO16" s="19" t="inlineStr">
        <is>
          <t>awk '{print $1}' file</t>
        </is>
      </c>
      <c r="AP16" s="18" t="inlineStr">
        <is>
          <t>$1 is the first column and $0 is the whole line.</t>
        </is>
      </c>
      <c r="AQ16" s="18" t="inlineStr">
        <is>
          <t>Summing a column of a text export to check totals with a customer.</t>
        </is>
      </c>
      <c r="AR16" s="18" t="inlineStr">
        <is>
          <t>An interviewer may ask: How do you print the second column of a file?</t>
        </is>
      </c>
      <c r="AS16" s="18" t="inlineStr">
        <is>
          <t>It is like a spreadsheet made of text.</t>
        </is>
      </c>
      <c r="AT16" s="18" t="inlineStr">
        <is>
          <t>In awk, what does $0 represent?</t>
        </is>
      </c>
      <c r="AU16" s="18" t="inlineStr">
        <is>
          <t>A) The whole line B) The first field C) The last field D) The line number</t>
        </is>
      </c>
      <c r="AV16" s="18" t="inlineStr">
        <is>
          <t>A</t>
        </is>
      </c>
      <c r="AW16" s="18" t="inlineStr">
        <is>
          <t>$0 holds the entire input line.</t>
        </is>
      </c>
      <c r="AX16" s="19" t="inlineStr">
        <is>
          <t>The special variable ____ holds the number of fields in a line → NF</t>
        </is>
      </c>
      <c r="AY16" s="18" t="inlineStr">
        <is>
          <t>Print the first field of every line in names.txt.</t>
        </is>
      </c>
      <c r="AZ16" s="19" t="inlineStr">
        <is>
          <t>awk '{print $1}' names.txt</t>
        </is>
      </c>
      <c r="BA16" s="18" t="inlineStr">
        <is>
          <t>Use awk to total one column of a small data file.</t>
        </is>
      </c>
      <c r="BB16" s="19" t="inlineStr">
        <is>
          <t>Which block runs after the last line is read?</t>
        </is>
      </c>
      <c r="BC16" s="19" t="inlineStr">
        <is>
          <t>END</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08" customHeight="1">
      <c r="A17" s="17" t="inlineStr">
        <is>
          <t>LNX-019</t>
        </is>
      </c>
      <c r="B17" s="17" t="inlineStr">
        <is>
          <t>03 Text tools</t>
        </is>
      </c>
      <c r="C17" s="17" t="inlineStr">
        <is>
          <t>Intermediate</t>
        </is>
      </c>
      <c r="D17" s="17" t="n">
        <v>19</v>
      </c>
      <c r="E17" s="17" t="inlineStr">
        <is>
          <t>Claude knowledge</t>
        </is>
      </c>
      <c r="F17" s="18" t="inlineStr">
        <is>
          <t>cut, sort and uniq</t>
        </is>
      </c>
      <c r="G17" s="18" t="inlineStr">
        <is>
          <t>Which three small tools take columns, put lines in order, and count or remove repeated lines?</t>
        </is>
      </c>
      <c r="H17" s="17" t="n"/>
      <c r="I17" s="18" t="inlineStr">
        <is>
          <t>Command</t>
        </is>
      </c>
      <c r="J17" s="18" t="inlineStr">
        <is>
          <t>High</t>
        </is>
      </c>
      <c r="K17" s="18" t="n">
        <v>4</v>
      </c>
      <c r="L17" s="18" t="inlineStr">
        <is>
          <t>Counting how often something occurs needs extraction, ordering and grouping, and Unix gave one small tool for each so they can be chained.</t>
        </is>
      </c>
      <c r="M17" s="18" t="inlineStr">
        <is>
          <t>uniq only removes neighbouring duplicates, so always sort first.</t>
        </is>
      </c>
      <c r="N17" s="17" t="n"/>
      <c r="O17" s="18" t="inlineStr">
        <is>
          <t>cut slices a column, sort lines everyone up, and uniq counts the people standing next to each other.</t>
        </is>
      </c>
      <c r="P17" s="18" t="inlineStr">
        <is>
          <t>A list passing through three stations until it shows counts of each item.</t>
        </is>
      </c>
      <c r="Q17" s="18" t="inlineStr">
        <is>
          <t>The pleasure of a ranked list built from one line.</t>
        </is>
      </c>
      <c r="R17" s="18" t="inlineStr">
        <is>
          <t>cut extracts fields, sort orders lines, and uniq collapses or counts repeated adjacent lines.</t>
        </is>
      </c>
      <c r="S17" s="17" t="n"/>
      <c r="T17" s="19" t="inlineStr">
        <is>
          <t>cut -d, -f1 visits.csv | sort | uniq -c | sort -nr | head -5</t>
        </is>
      </c>
      <c r="U17" s="19" t="inlineStr">
        <is>
          <t>The five values that occur most often in the first column, each with its count.</t>
        </is>
      </c>
      <c r="V17" s="18" t="inlineStr">
        <is>
          <t>cut -d sets the delimiter and -f picks the fields. sort orders lines alphabetically, and -n sorts numerically, -r reverses, and -k picks a sort column. uniq -c prefixes each distinct line with its count, but only joins lines that are next to each other, so the input must be sorted. This pattern is a classic way to find the top values.</t>
        </is>
      </c>
      <c r="W17" s="18" t="inlineStr">
        <is>
          <t>Cut the column, sort it, count the repeats with uniq -c, sort the counts, and take the top few.</t>
        </is>
      </c>
      <c r="X17" s="18" t="inlineStr">
        <is>
          <t>cut slices a column, sort lines everyone up, and uniq counts neighbours.</t>
        </is>
      </c>
      <c r="Y17" s="19" t="inlineStr">
        <is>
          <t>cut -d, -f1 file | sort | uniq -c | sort -nr</t>
        </is>
      </c>
      <c r="Z17" s="18" t="inlineStr">
        <is>
          <t>cut -d, -f1 = first comma field | uniq -c = count repeats | sort -nr = largest number first</t>
        </is>
      </c>
      <c r="AA17" s="19" t="inlineStr">
        <is>
          <t>sort -n numbers.txt</t>
        </is>
      </c>
      <c r="AB17" s="19" t="inlineStr">
        <is>
          <t>sort -t, -k2 data.csv</t>
        </is>
      </c>
      <c r="AC17" s="19" t="inlineStr">
        <is>
          <t>sort file | uniq -d</t>
        </is>
      </c>
      <c r="AD17" s="19" t="inlineStr">
        <is>
          <t>sort -u file   // sort and remove duplicates
cut -c1-10 file   // first ten characters</t>
        </is>
      </c>
      <c r="AE17" s="18" t="inlineStr">
        <is>
          <t>pipes, awk, head, grep</t>
        </is>
      </c>
      <c r="AF17" s="18" t="inlineStr">
        <is>
          <t>awk, wc, pipes</t>
        </is>
      </c>
      <c r="AG17" s="18" t="inlineStr">
        <is>
          <t>awk, or pandas for bigger data</t>
        </is>
      </c>
      <c r="AH17" s="17" t="n"/>
      <c r="AI17" s="18" t="inlineStr">
        <is>
          <t>Top-N reports | Duplicate checks | Log summaries</t>
        </is>
      </c>
      <c r="AJ17" s="18" t="inlineStr">
        <is>
          <t>A: Which IP address appears most in the log? | B: Cut the column, sort, uniq -c, then sort the counts.</t>
        </is>
      </c>
      <c r="AK17" s="18" t="inlineStr">
        <is>
          <t>✗ uniq removes all duplicates from any file → ✓ uniq only collapses duplicates that are next to each other, so sort the input first</t>
        </is>
      </c>
      <c r="AL17" s="18" t="inlineStr">
        <is>
          <t>sort -u vs uniq: sort -u sorts and removes duplicates itself, uniq needs sorted input.</t>
        </is>
      </c>
      <c r="AM17" s="18" t="inlineStr">
        <is>
          <t>Do not use uniq without sorting.</t>
        </is>
      </c>
      <c r="AN17" s="19" t="inlineStr">
        <is>
          <t>cut -f1 -d, data.csv | uniq -c</t>
        </is>
      </c>
      <c r="AO17" s="19" t="inlineStr">
        <is>
          <t>cut -f1 -d, data.csv | sort | uniq -c</t>
        </is>
      </c>
      <c r="AP17" s="18" t="inlineStr">
        <is>
          <t>Always sort your data before you uniq.</t>
        </is>
      </c>
      <c r="AQ17" s="18" t="inlineStr">
        <is>
          <t>Finding the most frequent error messages in a customer's log.</t>
        </is>
      </c>
      <c r="AR17" s="18" t="inlineStr">
        <is>
          <t>An interviewer may ask: How do you find the most common value in a column?</t>
        </is>
      </c>
      <c r="AS17" s="18" t="inlineStr">
        <is>
          <t>It is like lining everyone up and counting those standing together.</t>
        </is>
      </c>
      <c r="AT17" s="18" t="inlineStr">
        <is>
          <t>Why must the input to uniq be sorted?</t>
        </is>
      </c>
      <c r="AU17" s="18" t="inlineStr">
        <is>
          <t>A) uniq cannot read files B) uniq only joins adjacent duplicates C) uniq deletes sorted lines D) uniq needs numbers</t>
        </is>
      </c>
      <c r="AV17" s="18" t="inlineStr">
        <is>
          <t>B</t>
        </is>
      </c>
      <c r="AW17" s="18" t="inlineStr">
        <is>
          <t>uniq compares each line only with the one before it.</t>
        </is>
      </c>
      <c r="AX17" s="19" t="inlineStr">
        <is>
          <t>uniq -____ puts the number of repeats in front of each line → c</t>
        </is>
      </c>
      <c r="AY17" s="18" t="inlineStr">
        <is>
          <t>Sort a file numerically from largest to smallest.</t>
        </is>
      </c>
      <c r="AZ17" s="19" t="inlineStr">
        <is>
          <t>sort -nr numbers.txt</t>
        </is>
      </c>
      <c r="BA17" s="18" t="inlineStr">
        <is>
          <t>Build a top-three list of the most common words in a text file.</t>
        </is>
      </c>
      <c r="BB17" s="19" t="inlineStr">
        <is>
          <t>Which sort flag orders numbers by value?</t>
        </is>
      </c>
      <c r="BC17" s="19" t="inlineStr">
        <is>
          <t>-n</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67.5" customHeight="1">
      <c r="A18" s="17" t="inlineStr">
        <is>
          <t>LNX-020</t>
        </is>
      </c>
      <c r="B18" s="17" t="inlineStr">
        <is>
          <t>03 Text tools</t>
        </is>
      </c>
      <c r="C18" s="17" t="inlineStr">
        <is>
          <t>Beginner</t>
        </is>
      </c>
      <c r="D18" s="17" t="n">
        <v>20</v>
      </c>
      <c r="E18" s="17" t="inlineStr">
        <is>
          <t>Claude knowledge</t>
        </is>
      </c>
      <c r="F18" s="18" t="inlineStr">
        <is>
          <t>wc</t>
        </is>
      </c>
      <c r="G18" s="18" t="inlineStr">
        <is>
          <t>Which command counts the lines, words and bytes of its input?</t>
        </is>
      </c>
      <c r="H18" s="17" t="n"/>
      <c r="I18" s="18" t="inlineStr">
        <is>
          <t>Command</t>
        </is>
      </c>
      <c r="J18" s="18" t="inlineStr">
        <is>
          <t>High</t>
        </is>
      </c>
      <c r="K18" s="18" t="n">
        <v>3</v>
      </c>
      <c r="L18" s="18" t="inlineStr">
        <is>
          <t>People often need just a quick count of lines in a file or in command output, so a tiny counting tool was added.</t>
        </is>
      </c>
      <c r="M18" s="18" t="inlineStr">
        <is>
          <t>Pipe any command into wc -l to count how many results it produced.</t>
        </is>
      </c>
      <c r="N18" s="17" t="n"/>
      <c r="O18" s="18" t="inlineStr">
        <is>
          <t>wc is a clicker counter that you hold up to the text.</t>
        </is>
      </c>
      <c r="P18" s="18" t="inlineStr">
        <is>
          <t>A counter showing a number beside a file.</t>
        </is>
      </c>
      <c r="Q18" s="18" t="inlineStr">
        <is>
          <t>The ease of a quick sanity check on size.</t>
        </is>
      </c>
      <c r="R18" s="18" t="inlineStr">
        <is>
          <t>wc counts lines, words and characters or bytes in files or piped text.</t>
        </is>
      </c>
      <c r="S18" s="17" t="n"/>
      <c r="T18" s="19" t="inlineStr">
        <is>
          <t>wc -l app.log
wc -w essay.txt
ls | wc -l
wc -c data.bin</t>
        </is>
      </c>
      <c r="U18" s="19" t="inlineStr">
        <is>
          <t>The number of lines in app.log, the number of words, the number of entries in the folder, and the size in bytes.</t>
        </is>
      </c>
      <c r="V18" s="18" t="inlineStr">
        <is>
          <t>With no flags wc prints lines, words and bytes. -l counts lines, -w counts words, and -c counts bytes. Counting lines is the most common use, to check how many records a file holds or how many matches a command found.</t>
        </is>
      </c>
      <c r="W18" s="18" t="inlineStr">
        <is>
          <t>Use wc -l to count lines, and pipe into it to count anything a command prints.</t>
        </is>
      </c>
      <c r="X18" s="18" t="inlineStr">
        <is>
          <t>It is like a clicker counter held up to the text.</t>
        </is>
      </c>
      <c r="Y18" s="19" t="inlineStr">
        <is>
          <t>wc [-l] [-w] [-c] [file]</t>
        </is>
      </c>
      <c r="Z18" s="18" t="inlineStr">
        <is>
          <t>-l = lines | -w = words | -c = bytes</t>
        </is>
      </c>
      <c r="AA18" s="19" t="inlineStr">
        <is>
          <t>wc -l users.csv</t>
        </is>
      </c>
      <c r="AB18" s="19" t="inlineStr">
        <is>
          <t>grep "error" app.log | wc -l</t>
        </is>
      </c>
      <c r="AC18" s="19" t="inlineStr">
        <is>
          <t>find . -type f | wc -l</t>
        </is>
      </c>
      <c r="AD18" s="19" t="inlineStr">
        <is>
          <t>wc -m file   // count characters
wc -l *.csv   // lines of each file and a total</t>
        </is>
      </c>
      <c r="AE18" s="18" t="inlineStr">
        <is>
          <t>grep, find, pipes</t>
        </is>
      </c>
      <c r="AF18" s="18" t="inlineStr">
        <is>
          <t>grep, find, pipes</t>
        </is>
      </c>
      <c r="AG18" s="18" t="inlineStr">
        <is>
          <t>grep -c for counting matches</t>
        </is>
      </c>
      <c r="AH18" s="17" t="n"/>
      <c r="AI18" s="18" t="inlineStr">
        <is>
          <t>Row counts | Sanity checks | Log statistics</t>
        </is>
      </c>
      <c r="AJ18" s="18" t="inlineStr">
        <is>
          <t>A: How many records are in this export? | B: Run wc -l on the file, and subtract one for the header.</t>
        </is>
      </c>
      <c r="AK18" s="18" t="inlineStr">
        <is>
          <t>✗ wc -l counts the number of words → ✓ wc -l counts lines, and wc -w counts words</t>
        </is>
      </c>
      <c r="AL18" s="18" t="inlineStr">
        <is>
          <t>wc -l vs grep -c: wc -l counts input lines, grep -c counts lines that match.</t>
        </is>
      </c>
      <c r="AM18" s="18" t="inlineStr">
        <is>
          <t>Do not forget the header line when counting records.</t>
        </is>
      </c>
      <c r="AN18" s="19" t="inlineStr">
        <is>
          <t>wc --lines-only file</t>
        </is>
      </c>
      <c r="AO18" s="19" t="inlineStr">
        <is>
          <t>wc -l file</t>
        </is>
      </c>
      <c r="AP18" s="18" t="inlineStr">
        <is>
          <t>The l flag is for lines.</t>
        </is>
      </c>
      <c r="AQ18" s="18" t="inlineStr">
        <is>
          <t>Checking that an exported file has the expected number of rows.</t>
        </is>
      </c>
      <c r="AR18" s="18" t="inlineStr">
        <is>
          <t>An interviewer may ask: How do you count the lines of a file?</t>
        </is>
      </c>
      <c r="AS18" s="18" t="inlineStr">
        <is>
          <t>It is like a clicker counter.</t>
        </is>
      </c>
      <c r="AT18" s="18" t="inlineStr">
        <is>
          <t>Which flag counts lines?</t>
        </is>
      </c>
      <c r="AU18" s="18" t="inlineStr">
        <is>
          <t>A) -m B) -w C) -l D) -c</t>
        </is>
      </c>
      <c r="AV18" s="18" t="inlineStr">
        <is>
          <t>C</t>
        </is>
      </c>
      <c r="AW18" s="18" t="inlineStr">
        <is>
          <t>-l stands for lines.</t>
        </is>
      </c>
      <c r="AX18" s="19" t="inlineStr">
        <is>
          <t>ls | wc -l counts the ____ in a folder → entries</t>
        </is>
      </c>
      <c r="AY18" s="18" t="inlineStr">
        <is>
          <t>Count the lines of users.csv.</t>
        </is>
      </c>
      <c r="AZ18" s="19" t="inlineStr">
        <is>
          <t>wc -l users.csv</t>
        </is>
      </c>
      <c r="BA18" s="18" t="inlineStr">
        <is>
          <t>Count how many files are in three different folders.</t>
        </is>
      </c>
      <c r="BB18" s="19" t="inlineStr">
        <is>
          <t>Which flag counts words?</t>
        </is>
      </c>
      <c r="BC18" s="19" t="inlineStr">
        <is>
          <t>-w</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94.5" customHeight="1">
      <c r="A19" s="17" t="inlineStr">
        <is>
          <t>LNX-021</t>
        </is>
      </c>
      <c r="B19" s="17" t="inlineStr">
        <is>
          <t>03 Text tools</t>
        </is>
      </c>
      <c r="C19" s="17" t="inlineStr">
        <is>
          <t>Intermediate</t>
        </is>
      </c>
      <c r="D19" s="17" t="n">
        <v>21</v>
      </c>
      <c r="E19" s="17" t="inlineStr">
        <is>
          <t>Claude knowledge</t>
        </is>
      </c>
      <c r="F19" s="18" t="inlineStr">
        <is>
          <t>tr</t>
        </is>
      </c>
      <c r="G19" s="18" t="inlineStr">
        <is>
          <t>Which command translates or deletes single characters in a stream, such as changing case or removing carriage returns?</t>
        </is>
      </c>
      <c r="H19" s="17" t="n"/>
      <c r="I19" s="18" t="inlineStr">
        <is>
          <t>Command</t>
        </is>
      </c>
      <c r="J19" s="18" t="inlineStr">
        <is>
          <t>Medium</t>
        </is>
      </c>
      <c r="K19" s="18" t="n">
        <v>3</v>
      </c>
      <c r="L19" s="18" t="inlineStr">
        <is>
          <t>Simple character swaps needed a very small filter, so tr translates or removes characters in text that flows through it.</t>
        </is>
      </c>
      <c r="M19" s="18" t="inlineStr">
        <is>
          <t>Use tr -d '\r' to clean Windows line endings from a file before processing it.</t>
        </is>
      </c>
      <c r="N19" s="17" t="n"/>
      <c r="O19" s="18" t="inlineStr">
        <is>
          <t>tr is a character swapper at a gate, changing or removing each character as it passes.</t>
        </is>
      </c>
      <c r="P19" s="18" t="inlineStr">
        <is>
          <t>Lowercase letters going in and uppercase letters coming out.</t>
        </is>
      </c>
      <c r="Q19" s="18" t="inlineStr">
        <is>
          <t>The relief of fixing line endings in one line.</t>
        </is>
      </c>
      <c r="R19" s="18" t="inlineStr">
        <is>
          <t>tr replaces, squeezes or deletes characters read from standard input.</t>
        </is>
      </c>
      <c r="S19" s="17" t="n"/>
      <c r="T19" s="19" t="inlineStr">
        <is>
          <t>echo "hello" | tr 'a-z' 'A-Z'
tr -d '\r' &lt; windows.txt &gt; unix.txt
echo "a    b" | tr -s ' '</t>
        </is>
      </c>
      <c r="U19" s="19" t="inlineStr">
        <is>
          <t>HELLO, a copy of the file with carriage returns removed, and a string where repeated spaces are squeezed into one.</t>
        </is>
      </c>
      <c r="V19" s="18" t="inlineStr">
        <is>
          <t>tr works on characters, not on words or patterns, and it only reads standard input, so you use a pipe or a redirect. -d deletes the characters in the set, and -s squeezes repeated characters into one. Sets can be ranges such as a-z, and special characters such as \n and \r are written with a backslash.</t>
        </is>
      </c>
      <c r="W19" s="18" t="inlineStr">
        <is>
          <t>tr swaps one set of characters for another, or deletes them. It reads only from a pipe or a redirected file.</t>
        </is>
      </c>
      <c r="X19" s="18" t="inlineStr">
        <is>
          <t>It is like a character swapper at a gate that changes each character as it passes.</t>
        </is>
      </c>
      <c r="Y19" s="19" t="inlineStr">
        <is>
          <t>tr [options] set1 [set2]</t>
        </is>
      </c>
      <c r="Z19" s="18" t="inlineStr">
        <is>
          <t>set1 = characters to find | set2 = replacements | -d = delete | -s = squeeze repeats</t>
        </is>
      </c>
      <c r="AA19" s="19" t="inlineStr">
        <is>
          <t>tr 'A-Z' 'a-z' &lt; in.txt</t>
        </is>
      </c>
      <c r="AB19" s="19" t="inlineStr">
        <is>
          <t>tr -d '[:digit:]' &lt; data.txt</t>
        </is>
      </c>
      <c r="AC19" s="19" t="inlineStr">
        <is>
          <t>tr ',' '\n' &lt; list.txt</t>
        </is>
      </c>
      <c r="AD19" s="19" t="inlineStr">
        <is>
          <t>tr '[:lower:]' '[:upper:]'   // character classes
tr -cd 'a-z0-9'   // keep only letters and digits</t>
        </is>
      </c>
      <c r="AE19" s="18" t="inlineStr">
        <is>
          <t>pipes, redirection, sed</t>
        </is>
      </c>
      <c r="AF19" s="18" t="inlineStr">
        <is>
          <t>sed, cut, pipes</t>
        </is>
      </c>
      <c r="AG19" s="18" t="inlineStr">
        <is>
          <t>sed for replacing words</t>
        </is>
      </c>
      <c r="AH19" s="17" t="n"/>
      <c r="AI19" s="18" t="inlineStr">
        <is>
          <t>Case changes | Line ending fixes | Splitting lists</t>
        </is>
      </c>
      <c r="AJ19" s="18" t="inlineStr">
        <is>
          <t>A: The script fails on a file from Windows. | B: Strip the carriage returns with tr -d '\r'.</t>
        </is>
      </c>
      <c r="AK19" s="18" t="inlineStr">
        <is>
          <t>✗ tr replaces whole words → ✓ tr works on individual characters only, and sed is the tool for words</t>
        </is>
      </c>
      <c r="AL19" s="18" t="inlineStr">
        <is>
          <t>tr vs sed: tr changes single characters, sed changes patterns and words.</t>
        </is>
      </c>
      <c r="AM19" s="18" t="inlineStr">
        <is>
          <t>Do not pass a file name to tr, since it only reads standard input.</t>
        </is>
      </c>
      <c r="AN19" s="19" t="inlineStr">
        <is>
          <t>tr 'a-z' 'A-Z' file.txt</t>
        </is>
      </c>
      <c r="AO19" s="19" t="inlineStr">
        <is>
          <t>tr 'a-z' 'A-Z' &lt; file.txt</t>
        </is>
      </c>
      <c r="AP19" s="18" t="inlineStr">
        <is>
          <t>tr reads only from a pipe or a redirect.</t>
        </is>
      </c>
      <c r="AQ19" s="18" t="inlineStr">
        <is>
          <t>Cleaning carriage returns from files that came from a Windows system.</t>
        </is>
      </c>
      <c r="AR19" s="18" t="inlineStr">
        <is>
          <t>An interviewer may ask: How do you convert text to upper case on the command line?</t>
        </is>
      </c>
      <c r="AS19" s="18" t="inlineStr">
        <is>
          <t>It is like a character swapper at a gate.</t>
        </is>
      </c>
      <c r="AT19" s="18" t="inlineStr">
        <is>
          <t>What does tr -d '\r' do?</t>
        </is>
      </c>
      <c r="AU19" s="18" t="inlineStr">
        <is>
          <t>A) Sorts lines B) Replaces words C) Deletes carriage return characters D) Reads a file</t>
        </is>
      </c>
      <c r="AV19" s="18" t="inlineStr">
        <is>
          <t>C</t>
        </is>
      </c>
      <c r="AW19" s="18" t="inlineStr">
        <is>
          <t>-d deletes the characters in the set.</t>
        </is>
      </c>
      <c r="AX19" s="19" t="inlineStr">
        <is>
          <t>tr reads only from standard ____ → input</t>
        </is>
      </c>
      <c r="AY19" s="18" t="inlineStr">
        <is>
          <t>Convert the text in notes.txt to upper case.</t>
        </is>
      </c>
      <c r="AZ19" s="19" t="inlineStr">
        <is>
          <t>tr 'a-z' 'A-Z' &lt; notes.txt</t>
        </is>
      </c>
      <c r="BA19" s="18" t="inlineStr">
        <is>
          <t>Clean a text file of repeated spaces with tr -s.</t>
        </is>
      </c>
      <c r="BB19" s="19" t="inlineStr">
        <is>
          <t>Which flag squeezes repeated characters into one?</t>
        </is>
      </c>
      <c r="BC19" s="19" t="inlineStr">
        <is>
          <t>-s</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94.5" customHeight="1">
      <c r="A20" s="17" t="inlineStr">
        <is>
          <t>LNX-022</t>
        </is>
      </c>
      <c r="B20" s="17" t="inlineStr">
        <is>
          <t>03 Text tools</t>
        </is>
      </c>
      <c r="C20" s="17" t="inlineStr">
        <is>
          <t>Beginner</t>
        </is>
      </c>
      <c r="D20" s="17" t="n">
        <v>22</v>
      </c>
      <c r="E20" s="17" t="inlineStr">
        <is>
          <t>Claude knowledge</t>
        </is>
      </c>
      <c r="F20" s="18" t="inlineStr">
        <is>
          <t>Pipes</t>
        </is>
      </c>
      <c r="G20" s="18" t="inlineStr">
        <is>
          <t>Which symbol sends the output of one command straight into the input of the next?</t>
        </is>
      </c>
      <c r="H20" s="17" t="n"/>
      <c r="I20" s="18" t="inlineStr">
        <is>
          <t>Shell feature</t>
        </is>
      </c>
      <c r="J20" s="18" t="inlineStr">
        <is>
          <t>Very high</t>
        </is>
      </c>
      <c r="K20" s="18" t="n">
        <v>5</v>
      </c>
      <c r="L20" s="18" t="inlineStr">
        <is>
          <t>Unix was built from small tools that do one job, and pipes let you join them so that big tasks come from small parts.</t>
        </is>
      </c>
      <c r="M20" s="18" t="inlineStr">
        <is>
          <t>Build a pipeline step by step, running it after each added command to see the intermediate result.</t>
        </is>
      </c>
      <c r="N20" s="17" t="n"/>
      <c r="O20" s="18" t="inlineStr">
        <is>
          <t>A pipe is a hose that connects the output of one machine to the input of the next.</t>
        </is>
      </c>
      <c r="P20" s="18" t="inlineStr">
        <is>
          <t>Boxes joined by arrows with a vertical bar between each.</t>
        </is>
      </c>
      <c r="Q20" s="18" t="inlineStr">
        <is>
          <t>The joy of solving a task by chaining small tools.</t>
        </is>
      </c>
      <c r="R20" s="18" t="inlineStr">
        <is>
          <t>The pipe symbol | connects the standard output of one command to the standard input of the next.</t>
        </is>
      </c>
      <c r="S20" s="17" t="n"/>
      <c r="T20" s="19" t="inlineStr">
        <is>
          <t>pgrep -c nginx
cat access.log | cut -d' ' -f1 | sort | uniq -c | sort -nr | head</t>
        </is>
      </c>
      <c r="U20" s="19" t="inlineStr">
        <is>
          <t>The number of nginx processes, and the ten most frequent values of the first field of the access log.</t>
        </is>
      </c>
      <c r="V20" s="18" t="inlineStr">
        <is>
          <t>Each command in a pipeline runs at the same time, and data flows between them without temporary files. Only standard output is piped, and error messages go to the screen unless redirected. The exit status of a pipeline is normally that of the last command, and set -o pipefail changes that in scripts.</t>
        </is>
      </c>
      <c r="W20" s="18" t="inlineStr">
        <is>
          <t>Use a vertical bar to feed one command's output into the next. Small tools combine into powerful one-liners.</t>
        </is>
      </c>
      <c r="X20" s="18" t="inlineStr">
        <is>
          <t>It is like a hose that connects the output of one machine to the input of the next.</t>
        </is>
      </c>
      <c r="Y20" s="19" t="inlineStr">
        <is>
          <t>command1 | command2 | command3</t>
        </is>
      </c>
      <c r="Z20" s="18" t="inlineStr">
        <is>
          <t>| = pipe | each command reads the previous one's output</t>
        </is>
      </c>
      <c r="AA20" s="19" t="inlineStr">
        <is>
          <t>ls -l | less</t>
        </is>
      </c>
      <c r="AB20" s="19" t="inlineStr">
        <is>
          <t>history | grep ssh</t>
        </is>
      </c>
      <c r="AC20" s="19" t="inlineStr">
        <is>
          <t>dmesg | tail -20</t>
        </is>
      </c>
      <c r="AD20" s="19" t="inlineStr">
        <is>
          <t>command 2&gt;&amp;1 | grep error   // pipe errors too
set -o pipefail   // fail if any step fails</t>
        </is>
      </c>
      <c r="AE20" s="18" t="inlineStr">
        <is>
          <t>grep, sort, wc, redirection</t>
        </is>
      </c>
      <c r="AF20" s="18" t="inlineStr">
        <is>
          <t>redirection, xargs, grep</t>
        </is>
      </c>
      <c r="AG20" s="18" t="inlineStr">
        <is>
          <t>Temporary files, which are slower and messier</t>
        </is>
      </c>
      <c r="AH20" s="17" t="n"/>
      <c r="AI20" s="18" t="inlineStr">
        <is>
          <t>Everyday shell work | Log analysis | Scripts</t>
        </is>
      </c>
      <c r="AJ20" s="18" t="inlineStr">
        <is>
          <t>A: How do I count nginx processes? | B: Use pgrep -c nginx, or pipe ps into grep [n]ginx and then into wc -l.</t>
        </is>
      </c>
      <c r="AK20" s="18" t="inlineStr">
        <is>
          <t>✗ A pipe passes both output and error messages → ✓ A pipe passes only standard output, and errors need 2&gt;&amp;1 to be piped</t>
        </is>
      </c>
      <c r="AL20" s="18" t="inlineStr">
        <is>
          <t>Pipe vs redirection: a pipe feeds another command, a redirect writes to or reads from a file.</t>
        </is>
      </c>
      <c r="AM20" s="18" t="inlineStr">
        <is>
          <t>Do not ignore the exit status of a pipeline in scripts.</t>
        </is>
      </c>
      <c r="AN20" s="19" t="inlineStr">
        <is>
          <t>ps aux &gt; grep nginx</t>
        </is>
      </c>
      <c r="AO20" s="19" t="inlineStr">
        <is>
          <t>ps aux | grep nginx</t>
        </is>
      </c>
      <c r="AP20" s="18" t="inlineStr">
        <is>
          <t>A pipe sends output onward to a command.</t>
        </is>
      </c>
      <c r="AQ20" s="18" t="inlineStr">
        <is>
          <t>Chaining grep, sort and uniq to summarise errors in a log.</t>
        </is>
      </c>
      <c r="AR20" s="18" t="inlineStr">
        <is>
          <t>An interviewer may ask: What does the pipe operator do?</t>
        </is>
      </c>
      <c r="AS20" s="18" t="inlineStr">
        <is>
          <t>It is like a hose joining one machine to the next.</t>
        </is>
      </c>
      <c r="AT20" s="18" t="inlineStr">
        <is>
          <t>What does a pipe connect?</t>
        </is>
      </c>
      <c r="AU20" s="18" t="inlineStr">
        <is>
          <t>A) Two users B) Two files C) Two disks D) Output of one command to input of the next</t>
        </is>
      </c>
      <c r="AV20" s="18" t="inlineStr">
        <is>
          <t>D</t>
        </is>
      </c>
      <c r="AW20" s="18" t="inlineStr">
        <is>
          <t>The pipe passes standard output into the next command's input.</t>
        </is>
      </c>
      <c r="AX20" s="19" t="inlineStr">
        <is>
          <t>The pipe symbol is the vertical ____ → bar</t>
        </is>
      </c>
      <c r="AY20" s="18" t="inlineStr">
        <is>
          <t>Count how many files are in the current folder using a pipe.</t>
        </is>
      </c>
      <c r="AZ20" s="19" t="inlineStr">
        <is>
          <t>ls | wc -l</t>
        </is>
      </c>
      <c r="BA20" s="18" t="inlineStr">
        <is>
          <t>Build a three-step pipeline that finds the most common word in a file.</t>
        </is>
      </c>
      <c r="BB20" s="19" t="inlineStr">
        <is>
          <t>Which stream does a pipe carry by default?</t>
        </is>
      </c>
      <c r="BC20" s="19" t="inlineStr">
        <is>
          <t>Standard output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94.5" customHeight="1">
      <c r="A21" s="17" t="inlineStr">
        <is>
          <t>LNX-023</t>
        </is>
      </c>
      <c r="B21" s="17" t="inlineStr">
        <is>
          <t>03 Text tools</t>
        </is>
      </c>
      <c r="C21" s="17" t="inlineStr">
        <is>
          <t>Intermediate</t>
        </is>
      </c>
      <c r="D21" s="17" t="n">
        <v>23</v>
      </c>
      <c r="E21" s="17" t="inlineStr">
        <is>
          <t>Claude knowledge</t>
        </is>
      </c>
      <c r="F21" s="18" t="inlineStr">
        <is>
          <t>Redirection</t>
        </is>
      </c>
      <c r="G21" s="18" t="inlineStr">
        <is>
          <t>Which operators send command output to a file, append to it, separate errors, or feed a file into a command?</t>
        </is>
      </c>
      <c r="H21" s="17" t="n"/>
      <c r="I21" s="18" t="inlineStr">
        <is>
          <t>Shell feature</t>
        </is>
      </c>
      <c r="J21" s="18" t="inlineStr">
        <is>
          <t>Very high</t>
        </is>
      </c>
      <c r="K21" s="18" t="n">
        <v>5</v>
      </c>
      <c r="L21" s="18" t="inlineStr">
        <is>
          <t>Programs write to standard streams, so the shell lets you point those streams at files instead of the screen.</t>
        </is>
      </c>
      <c r="M21" s="18" t="inlineStr">
        <is>
          <t>Send noise to /dev/null with &gt; /dev/null 2&gt;&amp;1 when you only care about the exit status.</t>
        </is>
      </c>
      <c r="N21" s="17" t="n"/>
      <c r="O21" s="18" t="inlineStr">
        <is>
          <t>Redirection turns the tap's spout to fill a bucket instead of the sink.</t>
        </is>
      </c>
      <c r="P21" s="18" t="inlineStr">
        <is>
          <t>Arrows from a command to a file, to another file for errors, and from a file into a command.</t>
        </is>
      </c>
      <c r="Q21" s="18" t="inlineStr">
        <is>
          <t>The control of deciding where output goes.</t>
        </is>
      </c>
      <c r="R21" s="18" t="inlineStr">
        <is>
          <t>Operators such as &gt;, &gt;&gt;, &lt; and 2&gt; connect the standard input, output and error streams to files.</t>
        </is>
      </c>
      <c r="S21" s="17" t="n"/>
      <c r="T21" s="19" t="inlineStr">
        <is>
          <t>ls &gt; files.txt
echo "run done" &gt;&gt; log.txt
sort &lt; names.txt
command 2&gt; errors.txt
command &gt; all.txt 2&gt;&amp;1
command &gt; /dev/null 2&gt;&amp;1</t>
        </is>
      </c>
      <c r="U21" s="19" t="inlineStr">
        <is>
          <t>A file listing, a line appended to a log, sorted input from a file, only errors saved to a file, both output and errors saved together, and everything discarded.</t>
        </is>
      </c>
      <c r="V21" s="18" t="inlineStr">
        <is>
          <t>Every program has three streams: standard input (0), standard output (1) and standard error (2). &gt; writes and replaces the file, &gt;&gt; appends, &lt; reads from a file, and 2&gt; redirects errors. 2&gt;&amp;1 sends errors to the same place as output. /dev/null discards anything written to it.</t>
        </is>
      </c>
      <c r="W21" s="18" t="inlineStr">
        <is>
          <t>Use &gt; to save output, &gt;&gt; to add to a file, and 2&gt; to save errors. Remember that &gt; overwrites the file.</t>
        </is>
      </c>
      <c r="X21" s="18" t="inlineStr">
        <is>
          <t>It is like turning the tap's spout to fill a bucket instead of the sink.</t>
        </is>
      </c>
      <c r="Y21" s="19" t="inlineStr">
        <is>
          <t>command &gt; file  |  command &gt;&gt; file  |  command &lt; file  |  command 2&gt; file</t>
        </is>
      </c>
      <c r="Z21" s="18" t="inlineStr">
        <is>
          <t>&gt; = overwrite | &gt;&gt; = append | &lt; = input | 2&gt; = errors | 2&gt;&amp;1 = errors to output</t>
        </is>
      </c>
      <c r="AA21" s="19" t="inlineStr">
        <is>
          <t>echo hello &gt; greeting.txt</t>
        </is>
      </c>
      <c r="AB21" s="19" t="inlineStr">
        <is>
          <t>./job.sh &gt;&gt; job.log 2&gt;&amp;1</t>
        </is>
      </c>
      <c r="AC21" s="19" t="inlineStr">
        <is>
          <t>grep error app.log &gt; errors_only.txt</t>
        </is>
      </c>
      <c r="AD21" s="19" t="inlineStr">
        <is>
          <t>command &amp;&gt; file   // Bash shortcut for both streams
tee file   // write to a file and to the screen</t>
        </is>
      </c>
      <c r="AE21" s="18" t="inlineStr">
        <is>
          <t>pipes, cron jobs, logs, scripts</t>
        </is>
      </c>
      <c r="AF21" s="18" t="inlineStr">
        <is>
          <t>pipes, cat, cron</t>
        </is>
      </c>
      <c r="AG21" s="18" t="inlineStr">
        <is>
          <t>tee for writing to a file and the screen at once</t>
        </is>
      </c>
      <c r="AH21" s="17" t="n"/>
      <c r="AI21" s="18" t="inlineStr">
        <is>
          <t>Cron jobs | Logs | Saving results</t>
        </is>
      </c>
      <c r="AJ21" s="18" t="inlineStr">
        <is>
          <t>A: My cron job's errors are not saved. | B: Redirect both streams with &gt; job.log 2&gt;&amp;1.</t>
        </is>
      </c>
      <c r="AK21" s="18" t="inlineStr">
        <is>
          <t>✗ &gt; adds to the end of a file → ✓ &gt; replaces the whole file, and &gt;&gt; appends</t>
        </is>
      </c>
      <c r="AL21" s="18" t="inlineStr">
        <is>
          <t>&gt; vs &gt;&gt;: &gt; overwrites, &gt;&gt; appends.</t>
        </is>
      </c>
      <c r="AM21" s="18" t="inlineStr">
        <is>
          <t>Do not use &gt; on a file you want to keep.</t>
        </is>
      </c>
      <c r="AN21" s="19" t="inlineStr">
        <is>
          <t>echo "done" &gt; log.txt   # meant to add a line</t>
        </is>
      </c>
      <c r="AO21" s="19" t="inlineStr">
        <is>
          <t>echo "done" &gt;&gt; log.txt</t>
        </is>
      </c>
      <c r="AP21" s="18" t="inlineStr">
        <is>
          <t>One arrow overwrites, two arrows append.</t>
        </is>
      </c>
      <c r="AQ21" s="18" t="inlineStr">
        <is>
          <t>Saving the output and errors of a nightly job to a log file.</t>
        </is>
      </c>
      <c r="AR21" s="18" t="inlineStr">
        <is>
          <t>An interviewer may ask: What does 2&gt;&amp;1 mean?</t>
        </is>
      </c>
      <c r="AS21" s="18" t="inlineStr">
        <is>
          <t>It is like turning a tap's spout to fill a bucket.</t>
        </is>
      </c>
      <c r="AT21" s="18" t="inlineStr">
        <is>
          <t>Which operator appends to a file?</t>
        </is>
      </c>
      <c r="AU21" s="18" t="inlineStr">
        <is>
          <t>A) The double greater-than sign B) The less-than sign C) The pipe D) The single greater-than sign</t>
        </is>
      </c>
      <c r="AV21" s="18" t="inlineStr">
        <is>
          <t>A</t>
        </is>
      </c>
      <c r="AW21" s="18" t="inlineStr">
        <is>
          <t>&gt;&gt; adds to the end of the file instead of replacing it.</t>
        </is>
      </c>
      <c r="AX21" s="19" t="inlineStr">
        <is>
          <t>The special file /dev/____ discards everything written to it → null</t>
        </is>
      </c>
      <c r="AY21" s="18" t="inlineStr">
        <is>
          <t>Save the output of ls into list.txt, replacing the old file.</t>
        </is>
      </c>
      <c r="AZ21" s="19" t="inlineStr">
        <is>
          <t>ls &gt; list.txt</t>
        </is>
      </c>
      <c r="BA21" s="18" t="inlineStr">
        <is>
          <t>Run a failing command and save its errors in a separate file.</t>
        </is>
      </c>
      <c r="BB21" s="19" t="inlineStr">
        <is>
          <t>What does 2&gt;&amp;1 do?</t>
        </is>
      </c>
      <c r="BC21" s="19" t="inlineStr">
        <is>
          <t>It sends the error stream to the same place as standard output.</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LNX-024</t>
        </is>
      </c>
      <c r="B22" s="17" t="inlineStr">
        <is>
          <t>03 Text tools</t>
        </is>
      </c>
      <c r="C22" s="17" t="inlineStr">
        <is>
          <t>Advanced</t>
        </is>
      </c>
      <c r="D22" s="17" t="n">
        <v>24</v>
      </c>
      <c r="E22" s="17" t="inlineStr">
        <is>
          <t>Claude knowledge</t>
        </is>
      </c>
      <c r="F22" s="18" t="inlineStr">
        <is>
          <t>xargs</t>
        </is>
      </c>
      <c r="G22" s="18" t="inlineStr">
        <is>
          <t>Which command turns lines from its input into arguments for another command?</t>
        </is>
      </c>
      <c r="H22" s="17" t="n"/>
      <c r="I22" s="18" t="inlineStr">
        <is>
          <t>Command</t>
        </is>
      </c>
      <c r="J22" s="18" t="inlineStr">
        <is>
          <t>Medium</t>
        </is>
      </c>
      <c r="K22" s="18" t="n">
        <v>3</v>
      </c>
      <c r="L22" s="18" t="inlineStr">
        <is>
          <t>Some commands read arguments and not input, so xargs bridges the gap and builds command lines from a list.</t>
        </is>
      </c>
      <c r="M22" s="18" t="inlineStr">
        <is>
          <t>Use find with -print0 and xargs -0 so names with spaces are handled safely.</t>
        </is>
      </c>
      <c r="N22" s="17" t="n"/>
      <c r="O22" s="18" t="inlineStr">
        <is>
          <t>xargs is a loader that takes items off a conveyor belt and hands them to a worker.</t>
        </is>
      </c>
      <c r="P22" s="18" t="inlineStr">
        <is>
          <t>A list of names turning into one long command line.</t>
        </is>
      </c>
      <c r="Q22" s="18" t="inlineStr">
        <is>
          <t>The power of applying a command to hundreds of items.</t>
        </is>
      </c>
      <c r="R22" s="18" t="inlineStr">
        <is>
          <t>xargs reads items from standard input and runs a command with them as arguments.</t>
        </is>
      </c>
      <c r="S22" s="17" t="n"/>
      <c r="T22" s="19" t="inlineStr">
        <is>
          <t>find . -name "*.tmp" | xargs rm
find . -name "*.log" -print0 | xargs -0 gzip
cat hosts.txt | xargs -n 1 ping -c 1
echo "a b c" | xargs -I {} echo item {}</t>
        </is>
      </c>
      <c r="U22" s="19" t="inlineStr">
        <is>
          <t>All .tmp files removed, all log files compressed safely, one ping to each host, and the single line item a b c.</t>
        </is>
      </c>
      <c r="V22" s="18" t="inlineStr">
        <is>
          <t>By default xargs puts as many items as fit on one command line. -n 1 runs the command once per item, -I {} lets you place each item anywhere in the command, and -P runs several jobs in parallel. File names with spaces break the default behaviour, so pair find -print0 with xargs -0.</t>
        </is>
      </c>
      <c r="W22" s="18" t="inlineStr">
        <is>
          <t>Pipe a list into xargs and it runs your command with that list as arguments. Use -0 for safe file names.</t>
        </is>
      </c>
      <c r="X22" s="18" t="inlineStr">
        <is>
          <t>It is like a loader that takes items off a belt and hands them to a worker.</t>
        </is>
      </c>
      <c r="Y22" s="19" t="inlineStr">
        <is>
          <t>command | xargs [options] command</t>
        </is>
      </c>
      <c r="Z22" s="18" t="inlineStr">
        <is>
          <t>-n = items per command | -I {} = placeholder | -0 = null-separated input | -P = parallel jobs</t>
        </is>
      </c>
      <c r="AA22" s="19" t="inlineStr">
        <is>
          <t>ls *.txt | xargs wc -l</t>
        </is>
      </c>
      <c r="AB22" s="19" t="inlineStr">
        <is>
          <t>cat ids.txt | xargs -n 1 curl -s</t>
        </is>
      </c>
      <c r="AC22" s="19" t="inlineStr">
        <is>
          <t>find . -type f -print0 | xargs -0 grep -l "TODO"</t>
        </is>
      </c>
      <c r="AD22" s="19" t="inlineStr">
        <is>
          <t>xargs -P 4 -n 1 command   // four at a time
xargs -t command   // print each command before running it</t>
        </is>
      </c>
      <c r="AE22" s="18" t="inlineStr">
        <is>
          <t>find, grep, pipes</t>
        </is>
      </c>
      <c r="AF22" s="18" t="inlineStr">
        <is>
          <t>find, pipes, grep</t>
        </is>
      </c>
      <c r="AG22" s="18" t="inlineStr">
        <is>
          <t>find -exec, or a for loop</t>
        </is>
      </c>
      <c r="AH22" s="17" t="n"/>
      <c r="AI22" s="18" t="inlineStr">
        <is>
          <t>Bulk actions | Parallel jobs | Clean-up scripts</t>
        </is>
      </c>
      <c r="AJ22" s="18" t="inlineStr">
        <is>
          <t>A: rm says the argument list is too long. | B: Use find with xargs, which splits the list into smaller batches.</t>
        </is>
      </c>
      <c r="AK22" s="18" t="inlineStr">
        <is>
          <t>✗ xargs and a pipe do the same job → ✓ A pipe feeds standard input, while xargs turns input lines into arguments</t>
        </is>
      </c>
      <c r="AL22" s="18" t="inlineStr">
        <is>
          <t>xargs vs find -exec: both run a command per match, xargs can batch and run in parallel.</t>
        </is>
      </c>
      <c r="AM22" s="18" t="inlineStr">
        <is>
          <t>Do not use xargs rm on names with spaces without -0.</t>
        </is>
      </c>
      <c r="AN22" s="19" t="inlineStr">
        <is>
          <t>find . -name "*.log" | xargs gzip</t>
        </is>
      </c>
      <c r="AO22" s="19" t="inlineStr">
        <is>
          <t>find . -name "*.log" -print0 | xargs -0 gzip</t>
        </is>
      </c>
      <c r="AP22" s="18" t="inlineStr">
        <is>
          <t>xargs turns lines into arguments.</t>
        </is>
      </c>
      <c r="AQ22" s="18" t="inlineStr">
        <is>
          <t>Running a health check against a list of customer hosts in parallel.</t>
        </is>
      </c>
      <c r="AR22" s="18" t="inlineStr">
        <is>
          <t>An interviewer may ask: Why is xargs useful?</t>
        </is>
      </c>
      <c r="AS22" s="18" t="inlineStr">
        <is>
          <t>It is like a loader that hands items to a worker.</t>
        </is>
      </c>
      <c r="AT22" s="18" t="inlineStr">
        <is>
          <t>What does xargs do?</t>
        </is>
      </c>
      <c r="AU22" s="18" t="inlineStr">
        <is>
          <t>A) Lists files B) Turns input lines into command arguments C) Sorts text D) Changes permissions</t>
        </is>
      </c>
      <c r="AV22" s="18" t="inlineStr">
        <is>
          <t>B</t>
        </is>
      </c>
      <c r="AW22" s="18" t="inlineStr">
        <is>
          <t>xargs builds a command from the items it reads.</t>
        </is>
      </c>
      <c r="AX22" s="19" t="inlineStr">
        <is>
          <t>xargs -____ 1 runs the command once per item → n</t>
        </is>
      </c>
      <c r="AY22" s="18" t="inlineStr">
        <is>
          <t>Run ping once for every host name in hosts.txt.</t>
        </is>
      </c>
      <c r="AZ22" s="19" t="inlineStr">
        <is>
          <t>cat hosts.txt | xargs -n 1 ping -c 1</t>
        </is>
      </c>
      <c r="BA22" s="18" t="inlineStr">
        <is>
          <t>Use xargs to count the lines of every text file in a folder.</t>
        </is>
      </c>
      <c r="BB22" s="19" t="inlineStr">
        <is>
          <t>Which pair of options handles file names with spaces?</t>
        </is>
      </c>
      <c r="BC22" s="19" t="inlineStr">
        <is>
          <t>find -print0 together with xargs -0</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94.5" customHeight="1">
      <c r="A23" s="17" t="inlineStr">
        <is>
          <t>LNX-025</t>
        </is>
      </c>
      <c r="B23" s="17" t="inlineStr">
        <is>
          <t>04 Users and permissions</t>
        </is>
      </c>
      <c r="C23" s="17" t="inlineStr">
        <is>
          <t>Beginner</t>
        </is>
      </c>
      <c r="D23" s="17" t="n">
        <v>25</v>
      </c>
      <c r="E23" s="17" t="inlineStr">
        <is>
          <t>Claude knowledge</t>
        </is>
      </c>
      <c r="F23" s="18" t="inlineStr">
        <is>
          <t>Users and groups (whoami, id, groups)</t>
        </is>
      </c>
      <c r="G23" s="18" t="inlineStr">
        <is>
          <t>Which commands show who you are on the system and which groups you belong to?</t>
        </is>
      </c>
      <c r="H23" s="17" t="n"/>
      <c r="I23" s="18" t="inlineStr">
        <is>
          <t>Command</t>
        </is>
      </c>
      <c r="J23" s="18" t="inlineStr">
        <is>
          <t>High</t>
        </is>
      </c>
      <c r="K23" s="18" t="n">
        <v>4</v>
      </c>
      <c r="L23" s="18" t="inlineStr">
        <is>
          <t>Linux is a multi-user system, so every process and file belongs to a user and to groups, which decide what each may do.</t>
        </is>
      </c>
      <c r="M23" s="18" t="inlineStr">
        <is>
          <t>Run id on a customer machine first, to see which groups give you access to logs and services.</t>
        </is>
      </c>
      <c r="N23" s="17" t="n"/>
      <c r="O23" s="18" t="inlineStr">
        <is>
          <t>Users are people with a badge, and groups are teams that share permissions.</t>
        </is>
      </c>
      <c r="P23" s="18" t="inlineStr">
        <is>
          <t>A badge with a name and several team stickers.</t>
        </is>
      </c>
      <c r="Q23" s="18" t="inlineStr">
        <is>
          <t>The clarity of knowing which identity you have.</t>
        </is>
      </c>
      <c r="R23" s="18" t="inlineStr">
        <is>
          <t>whoami prints the current user, id shows user and group numbers, and groups lists group names.</t>
        </is>
      </c>
      <c r="S23" s="17" t="n"/>
      <c r="T23" s="19" t="inlineStr">
        <is>
          <t>whoami
id
groups
cat /etc/group
sudo usermod -aG docker asha</t>
        </is>
      </c>
      <c r="U23" s="19" t="inlineStr">
        <is>
          <t>The user name, the user id and group ids, the list of group names, all groups on the system, and the user asha added to the docker group.</t>
        </is>
      </c>
      <c r="V23" s="18" t="inlineStr">
        <is>
          <t>Every user has a numeric id (UID) and a primary group, and may belong to other groups. Accounts are listed in /etc/passwd and groups in /etc/group. Adding a user to a group, such as docker, takes effect after the user logs in again. The root user has UID 0 and unrestricted power.</t>
        </is>
      </c>
      <c r="W23" s="18" t="inlineStr">
        <is>
          <t>Every file and process has an owner and a group. Use id to see yours, and add users to groups to share access.</t>
        </is>
      </c>
      <c r="X23" s="18" t="inlineStr">
        <is>
          <t>Users are people with badges, and groups are teams that share permissions.</t>
        </is>
      </c>
      <c r="Y23" s="19" t="inlineStr">
        <is>
          <t>whoami  |  id [user]  |  groups [user]</t>
        </is>
      </c>
      <c r="Z23" s="18" t="inlineStr">
        <is>
          <t>UID = user number | GID = group number | -aG = append to groups</t>
        </is>
      </c>
      <c r="AA23" s="19" t="inlineStr">
        <is>
          <t>id asha</t>
        </is>
      </c>
      <c r="AB23" s="19" t="inlineStr">
        <is>
          <t>groups</t>
        </is>
      </c>
      <c r="AC23" s="19" t="inlineStr">
        <is>
          <t>getent group sudo</t>
        </is>
      </c>
      <c r="AD23" s="19" t="inlineStr">
        <is>
          <t>sudo adduser bob   // create a user on Debian families
sudo useradd -m bob   // create a user with a home folder</t>
        </is>
      </c>
      <c r="AE23" s="18" t="inlineStr">
        <is>
          <t>permissions, sudo, chown</t>
        </is>
      </c>
      <c r="AF23" s="18" t="inlineStr">
        <is>
          <t>permissions, sudo, chown</t>
        </is>
      </c>
      <c r="AG23" s="18" t="inlineStr">
        <is>
          <t>A directory service such as LDAP for many machines</t>
        </is>
      </c>
      <c r="AH23" s="17" t="n"/>
      <c r="AI23" s="18" t="inlineStr">
        <is>
          <t>Access control | Customer servers | Shared folders</t>
        </is>
      </c>
      <c r="AJ23" s="18" t="inlineStr">
        <is>
          <t>A: I cannot read the log folder. | B: Check id, since you may need to be in the adm group.</t>
        </is>
      </c>
      <c r="AK23" s="18" t="inlineStr">
        <is>
          <t>✗ Group changes take effect immediately in my current session → ✓ New group membership usually needs a new login session</t>
        </is>
      </c>
      <c r="AL23" s="18" t="inlineStr">
        <is>
          <t>whoami vs id: whoami prints just the name, id shows numbers and groups.</t>
        </is>
      </c>
      <c r="AM23" s="18" t="inlineStr">
        <is>
          <t>Do not use usermod -G without -a, since it replaces all your groups. Membership of the docker group is effectively root access, so grant it carefully.</t>
        </is>
      </c>
      <c r="AN23" s="19" t="inlineStr">
        <is>
          <t>sudo usermod -G docker asha</t>
        </is>
      </c>
      <c r="AO23" s="19" t="inlineStr">
        <is>
          <t>sudo usermod -aG docker asha</t>
        </is>
      </c>
      <c r="AP23" s="18" t="inlineStr">
        <is>
          <t>Use -a with -G to append.</t>
        </is>
      </c>
      <c r="AQ23" s="18" t="inlineStr">
        <is>
          <t>Adding a deployment user to the docker group on a customer host.</t>
        </is>
      </c>
      <c r="AR23" s="18" t="inlineStr">
        <is>
          <t>An interviewer may ask: How do you add a user to a group?</t>
        </is>
      </c>
      <c r="AS23" s="18" t="inlineStr">
        <is>
          <t>It is like a badge with team stickers.</t>
        </is>
      </c>
      <c r="AT23" s="18" t="inlineStr">
        <is>
          <t>Which command prints the team memberships of the current user?</t>
        </is>
      </c>
      <c r="AU23" s="18" t="inlineStr">
        <is>
          <t>A) groups B) users C) logins D) whoami</t>
        </is>
      </c>
      <c r="AV23" s="18" t="inlineStr">
        <is>
          <t>A</t>
        </is>
      </c>
      <c r="AW23" s="18" t="inlineStr">
        <is>
          <t>groups prints the group names of a user.</t>
        </is>
      </c>
      <c r="AX23" s="19" t="inlineStr">
        <is>
          <t>The administrator account has user id ____ → 0</t>
        </is>
      </c>
      <c r="AY23" s="18" t="inlineStr">
        <is>
          <t>Show your user id and groups.</t>
        </is>
      </c>
      <c r="AZ23" s="19" t="inlineStr">
        <is>
          <t>id</t>
        </is>
      </c>
      <c r="BA23" s="18" t="inlineStr">
        <is>
          <t>Find out which groups your user belongs to and what each one allows.</t>
        </is>
      </c>
      <c r="BB23" s="19" t="inlineStr">
        <is>
          <t>Where are user accounts listed?</t>
        </is>
      </c>
      <c r="BC23" s="19" t="inlineStr">
        <is>
          <t>/etc/passwd</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81" customHeight="1">
      <c r="A24" s="17" t="inlineStr">
        <is>
          <t>LNX-027</t>
        </is>
      </c>
      <c r="B24" s="17" t="inlineStr">
        <is>
          <t>04 Users and permissions</t>
        </is>
      </c>
      <c r="C24" s="17" t="inlineStr">
        <is>
          <t>Beginner</t>
        </is>
      </c>
      <c r="D24" s="17" t="n">
        <v>27</v>
      </c>
      <c r="E24" s="17" t="inlineStr">
        <is>
          <t>Claude knowledge</t>
        </is>
      </c>
      <c r="F24" s="18" t="inlineStr">
        <is>
          <t>chmod</t>
        </is>
      </c>
      <c r="G24" s="18" t="inlineStr">
        <is>
          <t>Which command changes who may read, write or run a file, using letters or numbers?</t>
        </is>
      </c>
      <c r="H24" s="17" t="n"/>
      <c r="I24" s="18" t="inlineStr">
        <is>
          <t>Command</t>
        </is>
      </c>
      <c r="J24" s="18" t="inlineStr">
        <is>
          <t>Very high</t>
        </is>
      </c>
      <c r="K24" s="18" t="n">
        <v>5</v>
      </c>
      <c r="L24" s="18" t="inlineStr">
        <is>
          <t>Permissions must be adjustable, so chmod changes the mode bits of files, either by symbolic letters or by numbers.</t>
        </is>
      </c>
      <c r="M24" s="18" t="inlineStr">
        <is>
          <t>Use chmod u+x script.sh to make a script runnable without touching other permissions.</t>
        </is>
      </c>
      <c r="N24" s="17" t="n"/>
      <c r="O24" s="18" t="inlineStr">
        <is>
          <t>chmod is the locksmith who changes the locks on a file.</t>
        </is>
      </c>
      <c r="P24" s="18" t="inlineStr">
        <is>
          <t>A file with its permission string changing after a command.</t>
        </is>
      </c>
      <c r="Q24" s="18" t="inlineStr">
        <is>
          <t>The satisfaction of fixing a permission denied error properly.</t>
        </is>
      </c>
      <c r="R24" s="18" t="inlineStr">
        <is>
          <t>chmod changes the permission bits of files and folders.</t>
        </is>
      </c>
      <c r="S24" s="17" t="n"/>
      <c r="T24" s="19" t="inlineStr">
        <is>
          <t>chmod +x deploy.sh
chmod 644 notes.txt
chmod 755 script.sh
chmod u=rw,g=r,o= secret.txt
chmod -R 750 /srv/app</t>
        </is>
      </c>
      <c r="U24" s="19" t="inlineStr">
        <is>
          <t>deploy.sh becomes executable, notes.txt becomes read and write for the owner and read for others, script.sh gets 755, secret.txt is owner read and write plus group read, and the app folder tree gets 750.</t>
        </is>
      </c>
      <c r="V24" s="18" t="inlineStr">
        <is>
          <t>Symbolic mode uses u for user, g for group, o for others and a for all, with + to add, - to remove and = to set. Numeric mode sets all three sets at once. -R applies the change to everything inside a folder. Only the owner or root can change permissions.</t>
        </is>
      </c>
      <c r="W24" s="18" t="inlineStr">
        <is>
          <t>Use a number such as 644 or 755 to set everything at once, or letters like u+x to change just one thing.</t>
        </is>
      </c>
      <c r="X24" s="18" t="inlineStr">
        <is>
          <t>It is like a locksmith who changes the locks on a file.</t>
        </is>
      </c>
      <c r="Y24" s="19" t="inlineStr">
        <is>
          <t>chmod mode file</t>
        </is>
      </c>
      <c r="Z24" s="18" t="inlineStr">
        <is>
          <t>u g o a = who | + - = = add, remove, set | r w x = what | 755 = numeric mode</t>
        </is>
      </c>
      <c r="AA24" s="19" t="inlineStr">
        <is>
          <t>chmod u+x run.sh</t>
        </is>
      </c>
      <c r="AB24" s="19" t="inlineStr">
        <is>
          <t>chmod go-rwx private.key</t>
        </is>
      </c>
      <c r="AC24" s="19" t="inlineStr">
        <is>
          <t>chmod 600 ~/.ssh/id_ed25519</t>
        </is>
      </c>
      <c r="AD24" s="19" t="inlineStr">
        <is>
          <t>chmod -R u+rwX folder   // capital X adds execute only to folders and runnable files
chmod --reference=a b   // copy permissions from another file</t>
        </is>
      </c>
      <c r="AE24" s="18" t="inlineStr">
        <is>
          <t>ls -l, chown, umask</t>
        </is>
      </c>
      <c r="AF24" s="18" t="inlineStr">
        <is>
          <t>permissions, chown, umask</t>
        </is>
      </c>
      <c r="AG24" s="18" t="inlineStr">
        <is>
          <t>ACLs for finer control</t>
        </is>
      </c>
      <c r="AH24" s="17" t="n"/>
      <c r="AI24" s="18" t="inlineStr">
        <is>
          <t>Scripts | SSH keys | Web and app folders</t>
        </is>
      </c>
      <c r="AJ24" s="18" t="inlineStr">
        <is>
          <t>A: How do I make this script executable? | B: Run chmod +x on it.</t>
        </is>
      </c>
      <c r="AK24" s="18" t="inlineStr">
        <is>
          <t>✗ chmod 777 is a harmless fix for permission errors → ✓ 777 lets anyone change the file, which is a security risk, so find the real cause</t>
        </is>
      </c>
      <c r="AL24" s="18" t="inlineStr">
        <is>
          <t>chmod vs chown: chmod changes what may be done, chown changes who owns the file.</t>
        </is>
      </c>
      <c r="AM24" s="18" t="inlineStr">
        <is>
          <t>Do not run chmod -R 777 on a folder.</t>
        </is>
      </c>
      <c r="AN24" s="19" t="inlineStr">
        <is>
          <t>chmod 777 /etc/ssh/ssh_config</t>
        </is>
      </c>
      <c r="AO24" s="19" t="inlineStr">
        <is>
          <t>chmod 644 /etc/ssh/ssh_config</t>
        </is>
      </c>
      <c r="AP24" s="18" t="inlineStr">
        <is>
          <t>chmod changes the mode, not the owner.</t>
        </is>
      </c>
      <c r="AQ24" s="18" t="inlineStr">
        <is>
          <t>Making deployment scripts runnable and private keys owner-only.</t>
        </is>
      </c>
      <c r="AR24" s="18" t="inlineStr">
        <is>
          <t>An interviewer may ask: What does chmod 600 mean?</t>
        </is>
      </c>
      <c r="AS24" s="18" t="inlineStr">
        <is>
          <t>It is like a locksmith changing the locks.</t>
        </is>
      </c>
      <c r="AT24" s="18" t="inlineStr">
        <is>
          <t>Which command makes a script executable?</t>
        </is>
      </c>
      <c r="AU24" s="18" t="inlineStr">
        <is>
          <t>A) chown +x script.sh B) ls +x script.sh C) chmod +x script.sh D) run script.sh</t>
        </is>
      </c>
      <c r="AV24" s="18" t="inlineStr">
        <is>
          <t>C</t>
        </is>
      </c>
      <c r="AW24" s="18" t="inlineStr">
        <is>
          <t>chmod +x adds the execute permission.</t>
        </is>
      </c>
      <c r="AX24" s="19" t="inlineStr">
        <is>
          <t>chmod 600 gives read and write to the ____ only → owner</t>
        </is>
      </c>
      <c r="AY24" s="18" t="inlineStr">
        <is>
          <t>Give the owner read and write, and everyone else no permissions, on private.txt.</t>
        </is>
      </c>
      <c r="AZ24" s="19" t="inlineStr">
        <is>
          <t>chmod 600 private.txt</t>
        </is>
      </c>
      <c r="BA24" s="18" t="inlineStr">
        <is>
          <t>Set three files to 600, 644 and 755 and check with ls -l.</t>
        </is>
      </c>
      <c r="BB24" s="19" t="inlineStr">
        <is>
          <t>What does the -R flag do?</t>
        </is>
      </c>
      <c r="BC24" s="19" t="inlineStr">
        <is>
          <t>It applies the change recursively to everything inside a folder.</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94.5" customHeight="1">
      <c r="A25" s="17" t="inlineStr">
        <is>
          <t>LNX-028</t>
        </is>
      </c>
      <c r="B25" s="17" t="inlineStr">
        <is>
          <t>04 Users and permissions</t>
        </is>
      </c>
      <c r="C25" s="17" t="inlineStr">
        <is>
          <t>Intermediate</t>
        </is>
      </c>
      <c r="D25" s="17" t="n">
        <v>28</v>
      </c>
      <c r="E25" s="17" t="inlineStr">
        <is>
          <t>Claude knowledge</t>
        </is>
      </c>
      <c r="F25" s="18" t="inlineStr">
        <is>
          <t>chown</t>
        </is>
      </c>
      <c r="G25" s="18" t="inlineStr">
        <is>
          <t>Which command changes the owner and group of a file or a whole folder tree?</t>
        </is>
      </c>
      <c r="H25" s="17" t="n"/>
      <c r="I25" s="18" t="inlineStr">
        <is>
          <t>Command</t>
        </is>
      </c>
      <c r="J25" s="18" t="inlineStr">
        <is>
          <t>High</t>
        </is>
      </c>
      <c r="K25" s="18" t="n">
        <v>4</v>
      </c>
      <c r="L25" s="18" t="inlineStr">
        <is>
          <t>Files must belong to the right account for services to use them, so chown transfers ownership to a user and group.</t>
        </is>
      </c>
      <c r="M25" s="18" t="inlineStr">
        <is>
          <t>Services often fail because their folder is owned by root, so check ownership with ls -l first.</t>
        </is>
      </c>
      <c r="N25" s="17" t="n"/>
      <c r="O25" s="18" t="inlineStr">
        <is>
          <t>chown hands the deed of a file to a new owner.</t>
        </is>
      </c>
      <c r="P25" s="18" t="inlineStr">
        <is>
          <t>A listing where the owner and group names change.</t>
        </is>
      </c>
      <c r="Q25" s="18" t="inlineStr">
        <is>
          <t>The relief when a service can finally write to its folder.</t>
        </is>
      </c>
      <c r="R25" s="18" t="inlineStr">
        <is>
          <t>chown changes the owner and optionally the group of files and directories.</t>
        </is>
      </c>
      <c r="S25" s="17" t="n"/>
      <c r="T25" s="19" t="inlineStr">
        <is>
          <t>sudo chown asha notes.txt
sudo chown asha:developers project/
sudo chown -R www-data:www-data /var/www/site
sudo chgrp staff report.txt</t>
        </is>
      </c>
      <c r="U25" s="19" t="inlineStr">
        <is>
          <t>notes.txt is owned by asha, project is owned by user asha and group developers, the whole site folder is owned by www-data, and report.txt gets the group staff.</t>
        </is>
      </c>
      <c r="V25" s="18" t="inlineStr">
        <is>
          <t>The format is owner:group, and either part can be left out. Only root can give files away to another user, so chown usually needs sudo. -R changes everything below a folder. chgrp changes only the group. Wrong ownership is one of the most common reasons for permission denied errors from services.</t>
        </is>
      </c>
      <c r="W25" s="18" t="inlineStr">
        <is>
          <t>Use chown user:group path to set who owns something, and -R for a whole tree. You usually need sudo.</t>
        </is>
      </c>
      <c r="X25" s="18" t="inlineStr">
        <is>
          <t>It is like handing the deed of a file to a new owner.</t>
        </is>
      </c>
      <c r="Y25" s="19" t="inlineStr">
        <is>
          <t>chown [-R] owner[:group] path</t>
        </is>
      </c>
      <c r="Z25" s="18" t="inlineStr">
        <is>
          <t>owner:group = new owner and group | -R = recursive | chgrp = group only</t>
        </is>
      </c>
      <c r="AA25" s="19" t="inlineStr">
        <is>
          <t>sudo chown -R app:app /opt/app</t>
        </is>
      </c>
      <c r="AB25" s="19" t="inlineStr">
        <is>
          <t>sudo chown :staff shared.txt</t>
        </is>
      </c>
      <c r="AC25" s="19" t="inlineStr">
        <is>
          <t>sudo chown www-data upload/</t>
        </is>
      </c>
      <c r="AD25" s="19" t="inlineStr">
        <is>
          <t>chown --reference=a b   // copy ownership from another file
chown -h link   // change a symbolic link itself</t>
        </is>
      </c>
      <c r="AE25" s="18" t="inlineStr">
        <is>
          <t>chmod, ls -l, services, sudo</t>
        </is>
      </c>
      <c r="AF25" s="18" t="inlineStr">
        <is>
          <t>chmod, users and groups, services</t>
        </is>
      </c>
      <c r="AG25" s="18" t="inlineStr">
        <is>
          <t>Running the service as the file owner</t>
        </is>
      </c>
      <c r="AH25" s="17" t="n"/>
      <c r="AI25" s="18" t="inlineStr">
        <is>
          <t>Web folders | Application data | Deployments</t>
        </is>
      </c>
      <c r="AJ25" s="18" t="inlineStr">
        <is>
          <t>A: The app cannot write to its upload folder. | B: Check the owner, and use chown to give it to the app user.</t>
        </is>
      </c>
      <c r="AK25" s="18" t="inlineStr">
        <is>
          <t>✗ Any user can give their files to someone else → ✓ Only root can change the owner of a file, which is why chown usually needs sudo</t>
        </is>
      </c>
      <c r="AL25" s="18" t="inlineStr">
        <is>
          <t>chown vs chmod: chown changes the owner, chmod changes the permissions.</t>
        </is>
      </c>
      <c r="AM25" s="18" t="inlineStr">
        <is>
          <t>Do not run chown -R on a path stored in a variable that might be empty.</t>
        </is>
      </c>
      <c r="AN25" s="19" t="inlineStr">
        <is>
          <t>chown -R app /</t>
        </is>
      </c>
      <c r="AO25" s="19" t="inlineStr">
        <is>
          <t>chown -R app:app /opt/app</t>
        </is>
      </c>
      <c r="AP25" s="18" t="inlineStr">
        <is>
          <t>chown changes who owns it.</t>
        </is>
      </c>
      <c r="AQ25" s="18" t="inlineStr">
        <is>
          <t>Giving the web server user ownership of an upload folder.</t>
        </is>
      </c>
      <c r="AR25" s="18" t="inlineStr">
        <is>
          <t>An interviewer may ask: A service cannot write to a folder. What do you check?</t>
        </is>
      </c>
      <c r="AS25" s="18" t="inlineStr">
        <is>
          <t>It is like handing the deed of a property to a new owner.</t>
        </is>
      </c>
      <c r="AT25" s="18" t="inlineStr">
        <is>
          <t>Which command changes the owner of a file?</t>
        </is>
      </c>
      <c r="AU25" s="18" t="inlineStr">
        <is>
          <t>A) chroot B) chown C) chmod D) chcon</t>
        </is>
      </c>
      <c r="AV25" s="18" t="inlineStr">
        <is>
          <t>B</t>
        </is>
      </c>
      <c r="AW25" s="18" t="inlineStr">
        <is>
          <t>chown changes the owner and group.</t>
        </is>
      </c>
      <c r="AX25" s="19" t="inlineStr">
        <is>
          <t>In chown asha:staff file, staff is the ____ → group</t>
        </is>
      </c>
      <c r="AY25" s="18" t="inlineStr">
        <is>
          <t>Give the folder data to the user deploy and the group deploy, recursively.</t>
        </is>
      </c>
      <c r="AZ25" s="19" t="inlineStr">
        <is>
          <t>sudo chown -R deploy:deploy data</t>
        </is>
      </c>
      <c r="BA25" s="18" t="inlineStr">
        <is>
          <t>Check the owners of three folders and explain why they are set that way.</t>
        </is>
      </c>
      <c r="BB25" s="19" t="inlineStr">
        <is>
          <t>Why does chown usually need sudo?</t>
        </is>
      </c>
      <c r="BC25" s="19" t="inlineStr">
        <is>
          <t>Because only root may change the owner of a file.</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94.5" customHeight="1">
      <c r="A26" s="17" t="inlineStr">
        <is>
          <t>LNX-029</t>
        </is>
      </c>
      <c r="B26" s="17" t="inlineStr">
        <is>
          <t>04 Users and permissions</t>
        </is>
      </c>
      <c r="C26" s="17" t="inlineStr">
        <is>
          <t>Beginner</t>
        </is>
      </c>
      <c r="D26" s="17" t="n">
        <v>29</v>
      </c>
      <c r="E26" s="17" t="inlineStr">
        <is>
          <t>Claude knowledge</t>
        </is>
      </c>
      <c r="F26" s="18" t="inlineStr">
        <is>
          <t>sudo</t>
        </is>
      </c>
      <c r="G26" s="18" t="inlineStr">
        <is>
          <t>Which command runs a single command with administrator rights, after checking that you are allowed to?</t>
        </is>
      </c>
      <c r="H26" s="17" t="n"/>
      <c r="I26" s="18" t="inlineStr">
        <is>
          <t>Command</t>
        </is>
      </c>
      <c r="J26" s="18" t="inlineStr">
        <is>
          <t>Very high</t>
        </is>
      </c>
      <c r="K26" s="18" t="n">
        <v>5</v>
      </c>
      <c r="L26" s="18" t="inlineStr">
        <is>
          <t>Working as root all the time is dangerous, so sudo lets trusted users run individual commands with elevated rights and records that they did.</t>
        </is>
      </c>
      <c r="M26" s="18" t="inlineStr">
        <is>
          <t>Prefer sudo for a single command over switching to a root shell, so mistakes stay small.</t>
        </is>
      </c>
      <c r="N26" s="17" t="n"/>
      <c r="O26" s="18" t="inlineStr">
        <is>
          <t>sudo is a temporary visitor pass to the manager's office, used for one task at a time.</t>
        </is>
      </c>
      <c r="P26" s="18" t="inlineStr">
        <is>
          <t>A normal user prompt, and a command carrying a gold pass.</t>
        </is>
      </c>
      <c r="Q26" s="18" t="inlineStr">
        <is>
          <t>The care of knowing you hold extra power.</t>
        </is>
      </c>
      <c r="R26" s="18" t="inlineStr">
        <is>
          <t>sudo runs a command as another user, by default root, if the sudoers rules allow it.</t>
        </is>
      </c>
      <c r="S26" s="17" t="n"/>
      <c r="T26" s="19" t="inlineStr">
        <is>
          <t>sudo apt update
sudo systemctl restart nginx
sudo -u postgres psql
sudo -l
sudo visudo</t>
        </is>
      </c>
      <c r="U26" s="19" t="inlineStr">
        <is>
          <t>The package list is updated as root, the nginx service restarts, a database shell opens as the postgres user, the list of commands you may run is shown, and the sudoers file opens safely for editing.</t>
        </is>
      </c>
      <c r="V26" s="18" t="inlineStr">
        <is>
          <t>sudo reads rules from /etc/sudoers, which should only be edited with visudo because it checks the syntax. -u runs the command as another user. It asks for your password, not root's, and logs what you ran. A wrong sudoers file can lock everyone out, which is why visudo exists.</t>
        </is>
      </c>
      <c r="W26" s="18" t="inlineStr">
        <is>
          <t>Put sudo before a command that needs admin rights. It asks for your own password and leaves a record in the logs.</t>
        </is>
      </c>
      <c r="X26" s="18" t="inlineStr">
        <is>
          <t>It is like a temporary pass to the manager's office, used for one task.</t>
        </is>
      </c>
      <c r="Y26" s="19" t="inlineStr">
        <is>
          <t>sudo [-u user] command</t>
        </is>
      </c>
      <c r="Z26" s="18" t="inlineStr">
        <is>
          <t>sudo = run with elevated rights | -u = run as another user | -l = list allowed commands</t>
        </is>
      </c>
      <c r="AA26" s="19" t="inlineStr">
        <is>
          <t>sudo reboot</t>
        </is>
      </c>
      <c r="AB26" s="19" t="inlineStr">
        <is>
          <t>sudo tail /var/log/auth.log</t>
        </is>
      </c>
      <c r="AC26" s="19" t="inlineStr">
        <is>
          <t>sudo -u www-data touch /var/www/test</t>
        </is>
      </c>
      <c r="AD26" s="19" t="inlineStr">
        <is>
          <t>sudo -i   // open a root shell, use with care
sudo !!   // repeat the last command with sudo</t>
        </is>
      </c>
      <c r="AE26" s="18" t="inlineStr">
        <is>
          <t>systemctl, apt, visudo</t>
        </is>
      </c>
      <c r="AF26" s="18" t="inlineStr">
        <is>
          <t>users and groups, chown, systemd</t>
        </is>
      </c>
      <c r="AG26" s="18" t="inlineStr">
        <is>
          <t>su, or running as root directly, which is less safe</t>
        </is>
      </c>
      <c r="AH26" s="17" t="n"/>
      <c r="AI26" s="18" t="inlineStr">
        <is>
          <t>Installing software | Restarting services | Reading protected files</t>
        </is>
      </c>
      <c r="AJ26" s="18" t="inlineStr">
        <is>
          <t>A: Permission denied when restarting the service. | B: Run it with sudo.</t>
        </is>
      </c>
      <c r="AK26" s="18" t="inlineStr">
        <is>
          <t>✗ sudo asks for the root password → ✓ sudo asks for your own password and checks the sudoers rules</t>
        </is>
      </c>
      <c r="AL26" s="18" t="inlineStr">
        <is>
          <t>sudo vs su: sudo runs one command with your password, su switches to another user with that user's password.</t>
        </is>
      </c>
      <c r="AM26" s="18" t="inlineStr">
        <is>
          <t>Do not edit /etc/sudoers with a normal editor.</t>
        </is>
      </c>
      <c r="AN26" s="19" t="inlineStr">
        <is>
          <t>sudo vim /etc/sudoers</t>
        </is>
      </c>
      <c r="AO26" s="19" t="inlineStr">
        <is>
          <t>sudo visudo</t>
        </is>
      </c>
      <c r="AP26" s="18" t="inlineStr">
        <is>
          <t>One command at a time, with sudo.</t>
        </is>
      </c>
      <c r="AQ26" s="18" t="inlineStr">
        <is>
          <t>Restarting a customer's service with sudo without ever logging in as root.</t>
        </is>
      </c>
      <c r="AR26" s="18" t="inlineStr">
        <is>
          <t>An interviewer may ask: What is the difference between sudo and su?</t>
        </is>
      </c>
      <c r="AS26" s="18" t="inlineStr">
        <is>
          <t>It is like a temporary pass to the manager's office.</t>
        </is>
      </c>
      <c r="AT26" s="18" t="inlineStr">
        <is>
          <t>Which command safely edits the sudoers file?</t>
        </is>
      </c>
      <c r="AU26" s="18" t="inlineStr">
        <is>
          <t>A) vim only B) nano /etc/passwd C) cat D) visudo</t>
        </is>
      </c>
      <c r="AV26" s="18" t="inlineStr">
        <is>
          <t>D</t>
        </is>
      </c>
      <c r="AW26" s="18" t="inlineStr">
        <is>
          <t>visudo checks the syntax before saving.</t>
        </is>
      </c>
      <c r="AX26" s="19" t="inlineStr">
        <is>
          <t>sudo -u ____ psql runs psql as the database user → postgres</t>
        </is>
      </c>
      <c r="AY26" s="18" t="inlineStr">
        <is>
          <t>Restart the nginx service with administrator rights.</t>
        </is>
      </c>
      <c r="AZ26" s="19" t="inlineStr">
        <is>
          <t>sudo systemctl restart nginx</t>
        </is>
      </c>
      <c r="BA26" s="18" t="inlineStr">
        <is>
          <t>Run sudo -l and write what you are allowed to do.</t>
        </is>
      </c>
      <c r="BB26" s="19" t="inlineStr">
        <is>
          <t>Whose password does sudo ask for?</t>
        </is>
      </c>
      <c r="BC26" s="19" t="inlineStr">
        <is>
          <t>Your own password.</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108" customHeight="1">
      <c r="A27" s="17" t="inlineStr">
        <is>
          <t>LNX-030</t>
        </is>
      </c>
      <c r="B27" s="17" t="inlineStr">
        <is>
          <t>04 Users and permissions</t>
        </is>
      </c>
      <c r="C27" s="17" t="inlineStr">
        <is>
          <t>Intermediate</t>
        </is>
      </c>
      <c r="D27" s="17" t="n">
        <v>30</v>
      </c>
      <c r="E27" s="17" t="inlineStr">
        <is>
          <t>Claude knowledge</t>
        </is>
      </c>
      <c r="F27" s="18" t="inlineStr">
        <is>
          <t>umask</t>
        </is>
      </c>
      <c r="G27" s="18" t="inlineStr">
        <is>
          <t>Which setting decides the default permissions of newly created files and folders by removing bits from a base mode?</t>
        </is>
      </c>
      <c r="H27" s="17" t="n"/>
      <c r="I27" s="18" t="inlineStr">
        <is>
          <t>Command</t>
        </is>
      </c>
      <c r="J27" s="18" t="inlineStr">
        <is>
          <t>Medium</t>
        </is>
      </c>
      <c r="K27" s="18" t="n">
        <v>3</v>
      </c>
      <c r="L27" s="18" t="inlineStr">
        <is>
          <t>New files need sensible starting permissions, so the system subtracts a mask from the full permissions to get the defaults.</t>
        </is>
      </c>
      <c r="M27" s="18" t="inlineStr">
        <is>
          <t>A umask of 027 is a common stricter choice, which hides new files from other users.</t>
        </is>
      </c>
      <c r="N27" s="17" t="n"/>
      <c r="O27" s="18" t="inlineStr">
        <is>
          <t>The umask is a stencil of permissions that are always blocked.</t>
        </is>
      </c>
      <c r="P27" s="18" t="inlineStr">
        <is>
          <t>A full set of permissions with a stencil covering some of them.</t>
        </is>
      </c>
      <c r="Q27" s="18" t="inlineStr">
        <is>
          <t>The calm of having predictable default permissions.</t>
        </is>
      </c>
      <c r="R27" s="18" t="inlineStr">
        <is>
          <t>umask is a mask of permission bits that are removed from the default mode of new files and folders.</t>
        </is>
      </c>
      <c r="S27" s="17" t="n"/>
      <c r="T27" s="19" t="inlineStr">
        <is>
          <t>umask
umask 027
touch a.txt &amp;&amp; mkdir d
ls -ld a.txt d</t>
        </is>
      </c>
      <c r="U27" s="19" t="inlineStr">
        <is>
          <t>The current mask such as 0022, then after setting 027 a new file is created with 640 and a new directory with 750.</t>
        </is>
      </c>
      <c r="V27" s="18" t="inlineStr">
        <is>
          <t>New files start from 666 and new directories from 777, then the mask bits are removed. With umask 022, files become 644 and folders 755. With 027, files become 640 and folders 750. The mask applies only to the current shell and its children, unless set in a startup file. New files never get execute by default.</t>
        </is>
      </c>
      <c r="W27" s="18" t="inlineStr">
        <is>
          <t>Take the starting permissions and remove the mask bits. Umask 022 gives files 644 and folders 755.</t>
        </is>
      </c>
      <c r="X27" s="18" t="inlineStr">
        <is>
          <t>It is like a stencil of permissions that are always blocked.</t>
        </is>
      </c>
      <c r="Y27" s="19" t="inlineStr">
        <is>
          <t>umask [mask]</t>
        </is>
      </c>
      <c r="Z27" s="18" t="inlineStr">
        <is>
          <t>files start at 666 | folders start at 777 | the mask bits are removed</t>
        </is>
      </c>
      <c r="AA27" s="19" t="inlineStr">
        <is>
          <t>umask 022</t>
        </is>
      </c>
      <c r="AB27" s="19" t="inlineStr">
        <is>
          <t>umask 077</t>
        </is>
      </c>
      <c r="AC27" s="19" t="inlineStr">
        <is>
          <t>umask 002</t>
        </is>
      </c>
      <c r="AD27" s="19" t="inlineStr">
        <is>
          <t>umask -S   // show the mask in symbolic form
set umask in ~/.bashrc to make it permanent</t>
        </is>
      </c>
      <c r="AE27" s="18" t="inlineStr">
        <is>
          <t>chmod, touch, mkdir</t>
        </is>
      </c>
      <c r="AF27" s="18" t="inlineStr">
        <is>
          <t>permissions, chmod, shell startup files</t>
        </is>
      </c>
      <c r="AG27" s="18" t="inlineStr">
        <is>
          <t>Setting permissions explicitly with chmod</t>
        </is>
      </c>
      <c r="AH27" s="17" t="n"/>
      <c r="AI27" s="18" t="inlineStr">
        <is>
          <t>Shared servers | Security hardening | Service accounts</t>
        </is>
      </c>
      <c r="AJ27" s="18" t="inlineStr">
        <is>
          <t>A: New files are readable by everyone. | B: Set a stricter umask such as 027 or 077.</t>
        </is>
      </c>
      <c r="AK27" s="18" t="inlineStr">
        <is>
          <t>✗ umask adds permissions to new files → ✓ umask removes permission bits from the default mode</t>
        </is>
      </c>
      <c r="AL27" s="18" t="inlineStr">
        <is>
          <t>umask vs chmod: umask sets defaults for future files, chmod changes existing files.</t>
        </is>
      </c>
      <c r="AM27" s="18" t="inlineStr">
        <is>
          <t>Do not rely on umask alone for secrets, set the permissions explicitly.</t>
        </is>
      </c>
      <c r="AN27" s="19" t="inlineStr">
        <is>
          <t>umask 755</t>
        </is>
      </c>
      <c r="AO27" s="19" t="inlineStr">
        <is>
          <t>umask 022</t>
        </is>
      </c>
      <c r="AP27" s="18" t="inlineStr">
        <is>
          <t>The mask removes, it never adds.</t>
        </is>
      </c>
      <c r="AQ27" s="18" t="inlineStr">
        <is>
          <t>Setting umask 077 for a service account that creates private files.</t>
        </is>
      </c>
      <c r="AR27" s="18" t="inlineStr">
        <is>
          <t>An interviewer may ask: What does a umask of 022 mean?</t>
        </is>
      </c>
      <c r="AS27" s="18" t="inlineStr">
        <is>
          <t>It is like a stencil of blocked permissions.</t>
        </is>
      </c>
      <c r="AT27" s="18" t="inlineStr">
        <is>
          <t>With umask 022, what permission does a new file get?</t>
        </is>
      </c>
      <c r="AU27" s="18" t="inlineStr">
        <is>
          <t>A) 644 B) 755 C) 777 D) 600</t>
        </is>
      </c>
      <c r="AV27" s="18" t="inlineStr">
        <is>
          <t>A</t>
        </is>
      </c>
      <c r="AW27" s="18" t="inlineStr">
        <is>
          <t>666 minus 022 gives 644.</t>
        </is>
      </c>
      <c r="AX27" s="19" t="inlineStr">
        <is>
          <t>The starting mode for new files is ____ before the mask is applied → 666</t>
        </is>
      </c>
      <c r="AY27" s="18" t="inlineStr">
        <is>
          <t>Set a mask so new files are readable only by the owner.</t>
        </is>
      </c>
      <c r="AZ27" s="19" t="inlineStr">
        <is>
          <t>umask 077</t>
        </is>
      </c>
      <c r="BA27" s="18" t="inlineStr">
        <is>
          <t>Create a file and folder under three different masks and compare the modes.</t>
        </is>
      </c>
      <c r="BB27" s="19" t="inlineStr">
        <is>
          <t>What mode does a new directory get with umask 027?</t>
        </is>
      </c>
      <c r="BC27" s="19" t="inlineStr">
        <is>
          <t>750</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08" customHeight="1">
      <c r="A28" s="17" t="inlineStr">
        <is>
          <t>LNX-031</t>
        </is>
      </c>
      <c r="B28" s="17" t="inlineStr">
        <is>
          <t>04 Users and permissions</t>
        </is>
      </c>
      <c r="C28" s="17" t="inlineStr">
        <is>
          <t>Intermediate</t>
        </is>
      </c>
      <c r="D28" s="17" t="n">
        <v>31</v>
      </c>
      <c r="E28" s="17" t="inlineStr">
        <is>
          <t>Claude knowledge</t>
        </is>
      </c>
      <c r="F28" s="18" t="inlineStr">
        <is>
          <t>SSH key file permissions</t>
        </is>
      </c>
      <c r="G28" s="18" t="inlineStr">
        <is>
          <t>Why does SSH refuse a private key that other users can read, and what permissions should the key and the .ssh folder have?</t>
        </is>
      </c>
      <c r="H28" s="17" t="n"/>
      <c r="I28" s="18" t="inlineStr">
        <is>
          <t>Security practice</t>
        </is>
      </c>
      <c r="J28" s="18" t="inlineStr">
        <is>
          <t>High</t>
        </is>
      </c>
      <c r="K28" s="18" t="n">
        <v>5</v>
      </c>
      <c r="L28" s="18" t="inlineStr">
        <is>
          <t>A private key that others can read is no longer private, so SSH checks the permissions and refuses to use a key that is too open.</t>
        </is>
      </c>
      <c r="M28" s="18" t="inlineStr">
        <is>
          <t>If you see UNPROTECTED PRIVATE KEY FILE, run chmod 600 on the key.</t>
        </is>
      </c>
      <c r="N28" s="17" t="n"/>
      <c r="O28" s="18" t="inlineStr">
        <is>
          <t>A private key left readable is a house key left under the doormat for everyone.</t>
        </is>
      </c>
      <c r="P28" s="18" t="inlineStr">
        <is>
          <t>A warning message with a key file and its permission string.</t>
        </is>
      </c>
      <c r="Q28" s="18" t="inlineStr">
        <is>
          <t>The relief of fixing a stubborn SSH error in one line.</t>
        </is>
      </c>
      <c r="R28" s="18" t="inlineStr">
        <is>
          <t>SSH requires private keys to be readable only by their owner, and the .ssh folder to be private as well.</t>
        </is>
      </c>
      <c r="S28" s="17" t="n"/>
      <c r="T28" s="19" t="inlineStr">
        <is>
          <t>chmod 700 ~/.ssh
chmod 600 ~/.ssh/id_ed25519
chmod 644 ~/.ssh/id_ed25519.pub
chmod 600 ~/.ssh/authorized_keys</t>
        </is>
      </c>
      <c r="U28" s="19" t="inlineStr">
        <is>
          <t>The folder is private to the owner, the private key is read and write for the owner only, the public key is readable, and authorized_keys is owner-only.</t>
        </is>
      </c>
      <c r="V28" s="18" t="inlineStr">
        <is>
          <t>SSH prints a warning that permissions are too open and ignores the key when group or others can read it. The .ssh folder should be 700, private keys 600 and the authorized_keys file 600. Public keys can be 644 since they are meant to be shared. The same rules apply on the server side for the account you log in to.</t>
        </is>
      </c>
      <c r="W28" s="18" t="inlineStr">
        <is>
          <t>Keep the .ssh folder at 700 and private keys at 600. SSH will not use a key that other users can read.</t>
        </is>
      </c>
      <c r="X28" s="18" t="inlineStr">
        <is>
          <t>It is like a house key that must not be left under the doormat.</t>
        </is>
      </c>
      <c r="Y28" s="19" t="inlineStr">
        <is>
          <t>chmod 700 ~/.ssh  |  chmod 600 private_key</t>
        </is>
      </c>
      <c r="Z28" s="18" t="inlineStr">
        <is>
          <t>700 = owner only, with access to the folder | 600 = owner read and write | 644 = public key</t>
        </is>
      </c>
      <c r="AA28" s="19" t="inlineStr">
        <is>
          <t>chmod 600 ~/.ssh/id_rsa</t>
        </is>
      </c>
      <c r="AB28" s="19" t="inlineStr">
        <is>
          <t>ssh -i key.pem user@host</t>
        </is>
      </c>
      <c r="AC28" s="19" t="inlineStr">
        <is>
          <t>chmod 400 key.pem</t>
        </is>
      </c>
      <c r="AD28" s="19" t="inlineStr">
        <is>
          <t>chmod 400 key.pem   // read only for the owner, common for downloaded keys
ls -l ~/.ssh   // check all modes</t>
        </is>
      </c>
      <c r="AE28" s="18" t="inlineStr">
        <is>
          <t>ssh, scp, authorized_keys, chmod</t>
        </is>
      </c>
      <c r="AF28" s="18" t="inlineStr">
        <is>
          <t>chmod, ssh keys, permissions</t>
        </is>
      </c>
      <c r="AG28" s="18" t="inlineStr">
        <is>
          <t>ssh-agent to hold keys in memory</t>
        </is>
      </c>
      <c r="AH28" s="17" t="n"/>
      <c r="AI28" s="18" t="inlineStr">
        <is>
          <t>Logging into servers | Cloud virtual machines | Git over SSH</t>
        </is>
      </c>
      <c r="AJ28" s="18" t="inlineStr">
        <is>
          <t>A: SSH says my key has permissions that are too open. | B: Run chmod 600 on the private key file.</t>
        </is>
      </c>
      <c r="AK28" s="18" t="inlineStr">
        <is>
          <t>✗ The public key must also be 600 → ✓ The public key may be readable, and only the private key must be private</t>
        </is>
      </c>
      <c r="AL28" s="18" t="inlineStr">
        <is>
          <t>Private key vs public key permissions: the private key needs 600, the public key can be 644.</t>
        </is>
      </c>
      <c r="AM28" s="18" t="inlineStr">
        <is>
          <t>Do not copy a private key to a shared folder.</t>
        </is>
      </c>
      <c r="AN28" s="19" t="inlineStr">
        <is>
          <t>chmod 777 ~/.ssh/id_ed25519</t>
        </is>
      </c>
      <c r="AO28" s="19" t="inlineStr">
        <is>
          <t>chmod 600 ~/.ssh/id_ed25519</t>
        </is>
      </c>
      <c r="AP28" s="18" t="inlineStr">
        <is>
          <t>Six hundred for the private key.</t>
        </is>
      </c>
      <c r="AQ28" s="18" t="inlineStr">
        <is>
          <t>Fixing a downloaded cloud key so it can be used to log in.</t>
        </is>
      </c>
      <c r="AR28" s="18" t="inlineStr">
        <is>
          <t>An interviewer may ask: Why does SSH reject a key with open permissions?</t>
        </is>
      </c>
      <c r="AS28" s="18" t="inlineStr">
        <is>
          <t>It is like a house key that must not be left under the doormat.</t>
        </is>
      </c>
      <c r="AT28" s="18" t="inlineStr">
        <is>
          <t>Which mode is right for a private SSH key?</t>
        </is>
      </c>
      <c r="AU28" s="18" t="inlineStr">
        <is>
          <t>A) 666 B) 600 C) 777 D) 755</t>
        </is>
      </c>
      <c r="AV28" s="18" t="inlineStr">
        <is>
          <t>B</t>
        </is>
      </c>
      <c r="AW28" s="18" t="inlineStr">
        <is>
          <t>Only the owner should read and write the private key.</t>
        </is>
      </c>
      <c r="AX28" s="19" t="inlineStr">
        <is>
          <t>The .ssh folder should have mode ____ → 700</t>
        </is>
      </c>
      <c r="AY28" s="18" t="inlineStr">
        <is>
          <t>Make the key file key.pem readable only by you.</t>
        </is>
      </c>
      <c r="AZ28" s="19" t="inlineStr">
        <is>
          <t>chmod 400 key.pem</t>
        </is>
      </c>
      <c r="BA28" s="18" t="inlineStr">
        <is>
          <t>Check the permissions in your own .ssh folder and fix anything too open.</t>
        </is>
      </c>
      <c r="BB28" s="19" t="inlineStr">
        <is>
          <t>Which mode do many cloud providers suggest for a downloaded key?</t>
        </is>
      </c>
      <c r="BC28" s="19" t="inlineStr">
        <is>
          <t>400</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94.5" customHeight="1">
      <c r="A29" s="17" t="inlineStr">
        <is>
          <t>LNX-032</t>
        </is>
      </c>
      <c r="B29" s="17" t="inlineStr">
        <is>
          <t>05 Processes and system</t>
        </is>
      </c>
      <c r="C29" s="17" t="inlineStr">
        <is>
          <t>Beginner</t>
        </is>
      </c>
      <c r="D29" s="17" t="n">
        <v>32</v>
      </c>
      <c r="E29" s="17" t="inlineStr">
        <is>
          <t>Claude knowledge</t>
        </is>
      </c>
      <c r="F29" s="18" t="inlineStr">
        <is>
          <t>ps, top and htop</t>
        </is>
      </c>
      <c r="G29" s="18" t="inlineStr">
        <is>
          <t>Which commands show what is running on the machine and how much CPU and memory each program uses?</t>
        </is>
      </c>
      <c r="H29" s="17" t="n"/>
      <c r="I29" s="18" t="inlineStr">
        <is>
          <t>Command</t>
        </is>
      </c>
      <c r="J29" s="18" t="inlineStr">
        <is>
          <t>Very high</t>
        </is>
      </c>
      <c r="K29" s="18" t="n">
        <v>5</v>
      </c>
      <c r="L29" s="18" t="inlineStr">
        <is>
          <t>When a machine feels slow you must see which program is responsible, so Unix has tools that list processes and watch them live.</t>
        </is>
      </c>
      <c r="M29" s="18" t="inlineStr">
        <is>
          <t>Press q to leave top, and use the shift and M keys to sort by memory.</t>
        </is>
      </c>
      <c r="N29" s="17" t="n"/>
      <c r="O29" s="18" t="inlineStr">
        <is>
          <t>ps takes a photograph of the processes, and top is a live security camera.</t>
        </is>
      </c>
      <c r="P29" s="18" t="inlineStr">
        <is>
          <t>A table of process names with CPU and memory columns that updates live.</t>
        </is>
      </c>
      <c r="Q29" s="18" t="inlineStr">
        <is>
          <t>The relief of spotting the program that is eating the machine.</t>
        </is>
      </c>
      <c r="R29" s="18" t="inlineStr">
        <is>
          <t>ps lists processes at one moment, and top and htop show them live with CPU and memory use.</t>
        </is>
      </c>
      <c r="S29" s="17" t="n"/>
      <c r="T29" s="19" t="inlineStr">
        <is>
          <t>ps aux
ps aux | grep nginx
top
htop
pgrep -a nginx</t>
        </is>
      </c>
      <c r="U29" s="19" t="inlineStr">
        <is>
          <t>A list of all processes with user, id, CPU and memory, only nginx lines, a live updating view, a friendlier live view, and the process ids and command lines of nginx.</t>
        </is>
      </c>
      <c r="V29" s="18" t="inlineStr">
        <is>
          <t>Each process has a process id (PID). ps aux shows every process of every user in a wide table. top refreshes every few seconds and sorts by CPU by default. htop is a more readable alternative, which may need installing. pgrep finds process ids by name without the extra grep line that ps | grep adds.</t>
        </is>
      </c>
      <c r="W29" s="18" t="inlineStr">
        <is>
          <t>Use ps to take a snapshot and top to watch live. Look at the PID, CPU and memory columns to find the heavy program.</t>
        </is>
      </c>
      <c r="X29" s="18" t="inlineStr">
        <is>
          <t>ps is a photograph of the processes, and top is a live security camera.</t>
        </is>
      </c>
      <c r="Y29" s="19" t="inlineStr">
        <is>
          <t>ps aux  |  top  |  pgrep name</t>
        </is>
      </c>
      <c r="Z29" s="18" t="inlineStr">
        <is>
          <t>PID = process id | %CPU = processor use | %MEM = memory use | aux = all users, with details</t>
        </is>
      </c>
      <c r="AA29" s="19" t="inlineStr">
        <is>
          <t>ps -ef</t>
        </is>
      </c>
      <c r="AB29" s="19" t="inlineStr">
        <is>
          <t>top -o %MEM</t>
        </is>
      </c>
      <c r="AC29" s="19" t="inlineStr">
        <is>
          <t>pgrep -u asha python</t>
        </is>
      </c>
      <c r="AD29" s="19" t="inlineStr">
        <is>
          <t>ps -eo pid,ppid,cmd --sort=-%mem | head   // top memory users
pstree -p   // the process tree</t>
        </is>
      </c>
      <c r="AE29" s="18" t="inlineStr">
        <is>
          <t>grep, kill, systemctl</t>
        </is>
      </c>
      <c r="AF29" s="18" t="inlineStr">
        <is>
          <t>kill and signals, systemctl, free</t>
        </is>
      </c>
      <c r="AG29" s="18" t="inlineStr">
        <is>
          <t>A monitoring tool such as glances</t>
        </is>
      </c>
      <c r="AH29" s="17" t="n"/>
      <c r="AI29" s="18" t="inlineStr">
        <is>
          <t>Slow machines | Finding stuck programs | Checking if a service is running</t>
        </is>
      </c>
      <c r="AJ29" s="18" t="inlineStr">
        <is>
          <t>A: The server is slow. | B: Run top and see which process uses the most CPU.</t>
        </is>
      </c>
      <c r="AK29" s="18" t="inlineStr">
        <is>
          <t>✗ ps shows live changing values → ✓ ps shows a snapshot, and top or htop show live values</t>
        </is>
      </c>
      <c r="AL29" s="18" t="inlineStr">
        <is>
          <t>ps vs top: ps prints once, top keeps updating.</t>
        </is>
      </c>
      <c r="AM29" s="18" t="inlineStr">
        <is>
          <t>Do not kill a process before you know what it is.</t>
        </is>
      </c>
      <c r="AN29" s="19" t="inlineStr">
        <is>
          <t>ps -aux | grep nginx | grep -v nginx</t>
        </is>
      </c>
      <c r="AO29" s="19" t="inlineStr">
        <is>
          <t>ps aux | grep [n]ginx</t>
        </is>
      </c>
      <c r="AP29" s="18" t="inlineStr">
        <is>
          <t>ps is a snapshot, top is live.</t>
        </is>
      </c>
      <c r="AQ29" s="18" t="inlineStr">
        <is>
          <t>Finding a runaway worker process that used all the memory on a customer server.</t>
        </is>
      </c>
      <c r="AR29" s="18" t="inlineStr">
        <is>
          <t>An interviewer may ask: How do you find the process using the most memory?</t>
        </is>
      </c>
      <c r="AS29" s="18" t="inlineStr">
        <is>
          <t>It is like a photograph versus a live camera.</t>
        </is>
      </c>
      <c r="AT29" s="18" t="inlineStr">
        <is>
          <t>Which tool updates its view of processes live?</t>
        </is>
      </c>
      <c r="AU29" s="18" t="inlineStr">
        <is>
          <t>A) cat B) ls C) top D) ps</t>
        </is>
      </c>
      <c r="AV29" s="18" t="inlineStr">
        <is>
          <t>C</t>
        </is>
      </c>
      <c r="AW29" s="18" t="inlineStr">
        <is>
          <t>top refreshes every few seconds.</t>
        </is>
      </c>
      <c r="AX29" s="19" t="inlineStr">
        <is>
          <t>Each running program has a numeric process ____ called a PID → id</t>
        </is>
      </c>
      <c r="AY29" s="18" t="inlineStr">
        <is>
          <t>List all processes whose command contains nginx.</t>
        </is>
      </c>
      <c r="AZ29" s="19" t="inlineStr">
        <is>
          <t>ps aux | grep nginx</t>
        </is>
      </c>
      <c r="BA29" s="18" t="inlineStr">
        <is>
          <t>Find the three processes using the most memory on your machine.</t>
        </is>
      </c>
      <c r="BB29" s="19" t="inlineStr">
        <is>
          <t>Which key quits top?</t>
        </is>
      </c>
      <c r="BC29" s="19" t="inlineStr">
        <is>
          <t>q</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08" customHeight="1">
      <c r="A30" s="17" t="inlineStr">
        <is>
          <t>LNX-033</t>
        </is>
      </c>
      <c r="B30" s="17" t="inlineStr">
        <is>
          <t>05 Processes and system</t>
        </is>
      </c>
      <c r="C30" s="17" t="inlineStr">
        <is>
          <t>Intermediate</t>
        </is>
      </c>
      <c r="D30" s="17" t="n">
        <v>33</v>
      </c>
      <c r="E30" s="17" t="inlineStr">
        <is>
          <t>Claude knowledge</t>
        </is>
      </c>
      <c r="F30" s="18" t="inlineStr">
        <is>
          <t>kill and signals</t>
        </is>
      </c>
      <c r="G30" s="18" t="inlineStr">
        <is>
          <t>Which command sends a signal to a process, asking it to stop politely or forcing it to end?</t>
        </is>
      </c>
      <c r="H30" s="17" t="n"/>
      <c r="I30" s="18" t="inlineStr">
        <is>
          <t>Command</t>
        </is>
      </c>
      <c r="J30" s="18" t="inlineStr">
        <is>
          <t>Very high</t>
        </is>
      </c>
      <c r="K30" s="18" t="n">
        <v>5</v>
      </c>
      <c r="L30" s="18" t="inlineStr">
        <is>
          <t>Processes need a way to be told to reload, pause or stop from outside, so Unix sends small numbered messages called signals.</t>
        </is>
      </c>
      <c r="M30" s="18" t="inlineStr">
        <is>
          <t>Try the polite signal first, and use the forced one only if the process does not respond.</t>
        </is>
      </c>
      <c r="N30" s="17" t="n"/>
      <c r="O30" s="18" t="inlineStr">
        <is>
          <t>Signals are messages slipped under a process's door, from a polite request to a forced eviction.</t>
        </is>
      </c>
      <c r="P30" s="18" t="inlineStr">
        <is>
          <t>A process receiving a note labelled TERM, and then a stronger one labelled KILL.</t>
        </is>
      </c>
      <c r="Q30" s="18" t="inlineStr">
        <is>
          <t>The calm of ending a stuck program without rebooting.</t>
        </is>
      </c>
      <c r="R30" s="18" t="inlineStr">
        <is>
          <t>kill sends a signal to a process id, where TERM asks nicely, KILL forces, and HUP often means reload.</t>
        </is>
      </c>
      <c r="S30" s="17" t="n"/>
      <c r="T30" s="19" t="inlineStr">
        <is>
          <t>kill 1234
kill -15 1234
kill -9 1234
kill -HUP 1234
pkill -f myscript.py</t>
        </is>
      </c>
      <c r="U30" s="19" t="inlineStr">
        <is>
          <t>The process is asked to terminate, the same with signal 15 explicitly, the process is forced to stop, a service rereads its configuration, and processes matching myscript.py are ended.</t>
        </is>
      </c>
      <c r="V30" s="18" t="inlineStr">
        <is>
          <t>kill without a number sends SIGTERM (15), which lets the program clean up. SIGKILL (9) cannot be caught, so the program cannot clean up and may leave temp files or data in a bad state. SIGHUP (1) is often used to ask daemons to reload configuration. Ctrl and C sends SIGINT (2) to the foreground program. pkill matches by name.</t>
        </is>
      </c>
      <c r="W30" s="18" t="inlineStr">
        <is>
          <t>Start with a normal kill so the program can close properly. Use kill -9 only when it refuses to stop.</t>
        </is>
      </c>
      <c r="X30" s="18" t="inlineStr">
        <is>
          <t>It is like a note slipped under a door, from a polite request to a forced eviction.</t>
        </is>
      </c>
      <c r="Y30" s="19" t="inlineStr">
        <is>
          <t>kill [-signal] pid  |  pkill pattern</t>
        </is>
      </c>
      <c r="Z30" s="18" t="inlineStr">
        <is>
          <t>-15 or -TERM = ask to stop | -9 or -KILL = force | -HUP = reload | pid = process id</t>
        </is>
      </c>
      <c r="AA30" s="19" t="inlineStr">
        <is>
          <t>kill 4321</t>
        </is>
      </c>
      <c r="AB30" s="19" t="inlineStr">
        <is>
          <t>kill -9 4321</t>
        </is>
      </c>
      <c r="AC30" s="19" t="inlineStr">
        <is>
          <t>pkill nginx</t>
        </is>
      </c>
      <c r="AD30" s="19" t="inlineStr">
        <is>
          <t>killall name   // all processes with an exact name
kill -l   // list all signals</t>
        </is>
      </c>
      <c r="AE30" s="18" t="inlineStr">
        <is>
          <t>ps, pgrep, systemctl</t>
        </is>
      </c>
      <c r="AF30" s="18" t="inlineStr">
        <is>
          <t>ps and top, background jobs, systemctl</t>
        </is>
      </c>
      <c r="AG30" s="18" t="inlineStr">
        <is>
          <t>systemctl stop for services</t>
        </is>
      </c>
      <c r="AH30" s="17" t="n"/>
      <c r="AI30" s="18" t="inlineStr">
        <is>
          <t>Stuck programs | Reloading services | Clean-up</t>
        </is>
      </c>
      <c r="AJ30" s="18" t="inlineStr">
        <is>
          <t>A: The script is hung and ignores Ctrl and C. | B: Find its PID with ps and try kill, and kill -9 if it still does not stop.</t>
        </is>
      </c>
      <c r="AK30" s="18" t="inlineStr">
        <is>
          <t>✗ kill -9 is the normal way to stop a program → ✓ kill -9 is a last resort, since the program cannot clean up</t>
        </is>
      </c>
      <c r="AL30" s="18" t="inlineStr">
        <is>
          <t>SIGTERM vs SIGKILL: TERM can be handled by the program, KILL cannot.</t>
        </is>
      </c>
      <c r="AM30" s="18" t="inlineStr">
        <is>
          <t>Do not use kill -9 on databases unless you must.</t>
        </is>
      </c>
      <c r="AN30" s="19" t="inlineStr">
        <is>
          <t>kill -9 nginx</t>
        </is>
      </c>
      <c r="AO30" s="19" t="inlineStr">
        <is>
          <t>pkill nginx</t>
        </is>
      </c>
      <c r="AP30" s="18" t="inlineStr">
        <is>
          <t>Ask nicely first, force last.</t>
        </is>
      </c>
      <c r="AQ30" s="18" t="inlineStr">
        <is>
          <t>Reloading a service's configuration with HUP instead of restarting it.</t>
        </is>
      </c>
      <c r="AR30" s="18" t="inlineStr">
        <is>
          <t>An interviewer may ask: What is the difference between kill and kill -9?</t>
        </is>
      </c>
      <c r="AS30" s="18" t="inlineStr">
        <is>
          <t>It is like a polite request versus a forced eviction.</t>
        </is>
      </c>
      <c r="AT30" s="18" t="inlineStr">
        <is>
          <t>Which signal cannot be caught or ignored by a program?</t>
        </is>
      </c>
      <c r="AU30" s="18" t="inlineStr">
        <is>
          <t>A) SIGINT B) SIGKILL C) SIGTERM D) SIGHUP</t>
        </is>
      </c>
      <c r="AV30" s="18" t="inlineStr">
        <is>
          <t>B</t>
        </is>
      </c>
      <c r="AW30" s="18" t="inlineStr">
        <is>
          <t>SIGKILL is handled by the kernel and cannot be caught.</t>
        </is>
      </c>
      <c r="AX30" s="19" t="inlineStr">
        <is>
          <t>The default signal sent by kill is SIG____ → TERM</t>
        </is>
      </c>
      <c r="AY30" s="18" t="inlineStr">
        <is>
          <t>Force a process with id 2345 to stop.</t>
        </is>
      </c>
      <c r="AZ30" s="19" t="inlineStr">
        <is>
          <t>kill -9 2345</t>
        </is>
      </c>
      <c r="BA30" s="18" t="inlineStr">
        <is>
          <t>Start a sleep command, find its PID and stop it with a signal.</t>
        </is>
      </c>
      <c r="BB30" s="19" t="inlineStr">
        <is>
          <t>Which key combination sends SIGINT to the foreground program?</t>
        </is>
      </c>
      <c r="BC30" s="19" t="inlineStr">
        <is>
          <t>Ctrl and C</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108" customHeight="1">
      <c r="A31" s="17" t="inlineStr">
        <is>
          <t>LNX-034</t>
        </is>
      </c>
      <c r="B31" s="17" t="inlineStr">
        <is>
          <t>05 Processes and system</t>
        </is>
      </c>
      <c r="C31" s="17" t="inlineStr">
        <is>
          <t>Intermediate</t>
        </is>
      </c>
      <c r="D31" s="17" t="n">
        <v>34</v>
      </c>
      <c r="E31" s="17" t="inlineStr">
        <is>
          <t>Claude knowledge</t>
        </is>
      </c>
      <c r="F31" s="18" t="inlineStr">
        <is>
          <t>Background jobs and nohup</t>
        </is>
      </c>
      <c r="G31" s="18" t="inlineStr">
        <is>
          <t>How do you run a long command in the background and keep it running after you log out?</t>
        </is>
      </c>
      <c r="H31" s="17" t="n"/>
      <c r="I31" s="18" t="inlineStr">
        <is>
          <t>Shell feature</t>
        </is>
      </c>
      <c r="J31" s="18" t="inlineStr">
        <is>
          <t>High</t>
        </is>
      </c>
      <c r="K31" s="18" t="n">
        <v>4</v>
      </c>
      <c r="L31" s="18" t="inlineStr">
        <is>
          <t>Long tasks should not block your terminal or die when the connection drops, so the shell can run jobs in the background and shield them from hangup signals.</t>
        </is>
      </c>
      <c r="M31" s="18" t="inlineStr">
        <is>
          <t>For anything important, use a service, tmux or screen instead of relying on a bare background job.</t>
        </is>
      </c>
      <c r="N31" s="17" t="n"/>
      <c r="O31" s="18" t="inlineStr">
        <is>
          <t>The ampersand sends a task to the back room, and nohup keeps it working after you leave the building.</t>
        </is>
      </c>
      <c r="P31" s="18" t="inlineStr">
        <is>
          <t>A command returning to the prompt while a number shows it working in the background.</t>
        </is>
      </c>
      <c r="Q31" s="18" t="inlineStr">
        <is>
          <t>The freedom of closing the laptop without killing your job.</t>
        </is>
      </c>
      <c r="R31" s="18" t="inlineStr">
        <is>
          <t>A trailing &amp; runs a command in the background, and nohup keeps it running after the terminal closes.</t>
        </is>
      </c>
      <c r="S31" s="17" t="n"/>
      <c r="T31" s="19" t="inlineStr">
        <is>
          <t>./long_task.sh &amp;
jobs
fg %1
nohup ./long_task.sh &gt; out.log 2&gt;&amp;1 &amp;
disown</t>
        </is>
      </c>
      <c r="U31" s="19" t="inlineStr">
        <is>
          <t>The script starts in the background, the jobs list is shown, job 1 returns to the foreground, a script continues after logout and writes to out.log, and a job is detached from the shell.</t>
        </is>
      </c>
      <c r="V31" s="18" t="inlineStr">
        <is>
          <t>The shell tracks jobs started from it. Ctrl and Z suspends the foreground job, bg continues it in the background and fg brings it back. When the terminal closes, jobs normally receive a hangup signal and stop. nohup ignores that signal and writes output to nohup.out unless redirected. For real services, use systemd or a terminal multiplexer.</t>
        </is>
      </c>
      <c r="W31" s="18" t="inlineStr">
        <is>
          <t>Add an ampersand to run something in the background. Wrap it in nohup if it must survive logout, and redirect the output.</t>
        </is>
      </c>
      <c r="X31" s="18" t="inlineStr">
        <is>
          <t>The ampersand sends a task to the back room, and nohup keeps it working after you leave.</t>
        </is>
      </c>
      <c r="Y31" s="19" t="inlineStr">
        <is>
          <t>command &amp;  |  nohup command &gt; out.log 2&gt;&amp;1 &amp;</t>
        </is>
      </c>
      <c r="Z31" s="18" t="inlineStr">
        <is>
          <t>&amp; = run in background | jobs = list jobs | fg and bg = move jobs | nohup = ignore hangup</t>
        </is>
      </c>
      <c r="AA31" s="19" t="inlineStr">
        <is>
          <t>sleep 300 &amp;</t>
        </is>
      </c>
      <c r="AB31" s="19" t="inlineStr">
        <is>
          <t>nohup python train.py &gt; train.log 2&gt;&amp;1 &amp;</t>
        </is>
      </c>
      <c r="AC31" s="19" t="inlineStr">
        <is>
          <t>fg %2</t>
        </is>
      </c>
      <c r="AD31" s="19" t="inlineStr">
        <is>
          <t>Ctrl and Z then bg   // suspend and continue in the background
disown -h %1   // keep a running job after logout</t>
        </is>
      </c>
      <c r="AE31" s="18" t="inlineStr">
        <is>
          <t>tmux, screen, redirection, systemd</t>
        </is>
      </c>
      <c r="AF31" s="18" t="inlineStr">
        <is>
          <t>tmux, systemctl, redirection</t>
        </is>
      </c>
      <c r="AG31" s="18" t="inlineStr">
        <is>
          <t>tmux, screen, or a systemd service</t>
        </is>
      </c>
      <c r="AH31" s="17" t="n"/>
      <c r="AI31" s="18" t="inlineStr">
        <is>
          <t>Long jobs | Remote sessions | Downloads</t>
        </is>
      </c>
      <c r="AJ31" s="18" t="inlineStr">
        <is>
          <t>A: My job died when my SSH connection dropped. | B: Run it with nohup or inside tmux next time.</t>
        </is>
      </c>
      <c r="AK31" s="18" t="inlineStr">
        <is>
          <t>✗ A background job with &amp; survives when the terminal closes → ✓ Without nohup or a multiplexer, a background job normally ends when the terminal closes</t>
        </is>
      </c>
      <c r="AL31" s="18" t="inlineStr">
        <is>
          <t>&amp; vs nohup: &amp; backgrounds a job, nohup protects it from hangup.</t>
        </is>
      </c>
      <c r="AM31" s="18" t="inlineStr">
        <is>
          <t>Do not forget to redirect the output of a nohup job.</t>
        </is>
      </c>
      <c r="AN31" s="19" t="inlineStr">
        <is>
          <t>nohup ./long_task.sh</t>
        </is>
      </c>
      <c r="AO31" s="19" t="inlineStr">
        <is>
          <t>nohup ./long_task.sh &gt; out.log 2&gt;&amp;1 &amp;</t>
        </is>
      </c>
      <c r="AP31" s="18" t="inlineStr">
        <is>
          <t>The ampersand backgrounds, and nohup survives logout.</t>
        </is>
      </c>
      <c r="AQ31" s="18" t="inlineStr">
        <is>
          <t>Starting a data export on a remote server and logging out.</t>
        </is>
      </c>
      <c r="AR31" s="18" t="inlineStr">
        <is>
          <t>An interviewer may ask: How do you keep a command running after logging out?</t>
        </is>
      </c>
      <c r="AS31" s="18" t="inlineStr">
        <is>
          <t>It is like sending a task to the back room.</t>
        </is>
      </c>
      <c r="AT31" s="18" t="inlineStr">
        <is>
          <t>Which tool keeps a job running after logout?</t>
        </is>
      </c>
      <c r="AU31" s="18" t="inlineStr">
        <is>
          <t>A) pwd B) head C) cat D) nohup</t>
        </is>
      </c>
      <c r="AV31" s="18" t="inlineStr">
        <is>
          <t>D</t>
        </is>
      </c>
      <c r="AW31" s="18" t="inlineStr">
        <is>
          <t>nohup ignores the hangup signal.</t>
        </is>
      </c>
      <c r="AX31" s="19" t="inlineStr">
        <is>
          <t>Ctrl and Z ____ the foreground job → suspends</t>
        </is>
      </c>
      <c r="AY31" s="18" t="inlineStr">
        <is>
          <t>Run backup.sh in the background and keep it running after logout.</t>
        </is>
      </c>
      <c r="AZ31" s="19" t="inlineStr">
        <is>
          <t>nohup ./backup.sh &gt; backup.log 2&gt;&amp;1 &amp;</t>
        </is>
      </c>
      <c r="BA31" s="18" t="inlineStr">
        <is>
          <t>Start a long command in the background and bring it back with fg.</t>
        </is>
      </c>
      <c r="BB31" s="19" t="inlineStr">
        <is>
          <t>What does the jobs command show?</t>
        </is>
      </c>
      <c r="BC31" s="19" t="inlineStr">
        <is>
          <t>The jobs started from the current shell and their state.</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08" customHeight="1">
      <c r="A32" s="17" t="inlineStr">
        <is>
          <t>LNX-035</t>
        </is>
      </c>
      <c r="B32" s="17" t="inlineStr">
        <is>
          <t>05 Processes and system</t>
        </is>
      </c>
      <c r="C32" s="17" t="inlineStr">
        <is>
          <t>Intermediate</t>
        </is>
      </c>
      <c r="D32" s="17" t="n">
        <v>35</v>
      </c>
      <c r="E32" s="17" t="inlineStr">
        <is>
          <t>Claude knowledge</t>
        </is>
      </c>
      <c r="F32" s="18" t="inlineStr">
        <is>
          <t>systemd and systemctl</t>
        </is>
      </c>
      <c r="G32" s="18" t="inlineStr">
        <is>
          <t>Which tool starts, stops and enables background services on most modern Linux systems?</t>
        </is>
      </c>
      <c r="H32" s="17" t="n"/>
      <c r="I32" s="18" t="inlineStr">
        <is>
          <t>Command</t>
        </is>
      </c>
      <c r="J32" s="18" t="inlineStr">
        <is>
          <t>Very high</t>
        </is>
      </c>
      <c r="K32" s="18" t="n">
        <v>5</v>
      </c>
      <c r="L32" s="18" t="inlineStr">
        <is>
          <t>Servers must start the right services at boot and keep them alive, so most distributions use systemd to manage services, and systemctl is its control command.</t>
        </is>
      </c>
      <c r="M32" s="18" t="inlineStr">
        <is>
          <t>Use systemctl status first, since it shows the state and the last log lines together.</t>
        </is>
      </c>
      <c r="N32" s="17" t="n"/>
      <c r="O32" s="18" t="inlineStr">
        <is>
          <t>systemd is the building manager that starts services in the morning and restarts any that fall over.</t>
        </is>
      </c>
      <c r="P32" s="18" t="inlineStr">
        <is>
          <t>A list of services with green active labels and a few red failed ones.</t>
        </is>
      </c>
      <c r="Q32" s="18" t="inlineStr">
        <is>
          <t>The comfort of a service that restarts itself.</t>
        </is>
      </c>
      <c r="R32" s="18" t="inlineStr">
        <is>
          <t>systemctl controls services managed by systemd, such as starting, stopping, enabling at boot and checking status.</t>
        </is>
      </c>
      <c r="S32" s="17" t="n"/>
      <c r="T32" s="19" t="inlineStr">
        <is>
          <t>systemctl status nginx
sudo systemctl restart nginx
sudo systemctl enable nginx
systemctl list-units --type=service --state=failed
sudo systemctl daemon-reload</t>
        </is>
      </c>
      <c r="U32" s="19" t="inlineStr">
        <is>
          <t>The state and last logs of nginx, nginx restarted, nginx set to start at boot, a list of failed services, and unit files reread after a change.</t>
        </is>
      </c>
      <c r="V32" s="18" t="inlineStr">
        <is>
          <t>A service is defined by a unit file, often in /etc/systemd/system or /lib/systemd/system. start and stop act now, while enable and disable decide behaviour at boot. After editing a unit file, run daemon-reload. A unit file has sections such as Unit, Service and Install, with directives like ExecStart and Restart.</t>
        </is>
      </c>
      <c r="W32" s="18" t="inlineStr">
        <is>
          <t>Use systemctl status to check a service, restart to apply changes, and enable so it starts at boot.</t>
        </is>
      </c>
      <c r="X32" s="18" t="inlineStr">
        <is>
          <t>It is like a building manager who starts services in the morning and restarts any that fall over.</t>
        </is>
      </c>
      <c r="Y32" s="19" t="inlineStr">
        <is>
          <t>systemctl action service</t>
        </is>
      </c>
      <c r="Z32" s="18" t="inlineStr">
        <is>
          <t>start stop restart reload = act now | enable disable = boot behaviour | status = state | daemon-reload = reread unit files</t>
        </is>
      </c>
      <c r="AA32" s="19" t="inlineStr">
        <is>
          <t>sudo systemctl start docker</t>
        </is>
      </c>
      <c r="AB32" s="19" t="inlineStr">
        <is>
          <t>systemctl is-active nginx</t>
        </is>
      </c>
      <c r="AC32" s="19" t="inlineStr">
        <is>
          <t>sudo systemctl disable apache2</t>
        </is>
      </c>
      <c r="AD32" s="19" t="inlineStr">
        <is>
          <t>systemctl cat nginx   // show the unit file
sudo systemctl edit nginx   // override settings safely</t>
        </is>
      </c>
      <c r="AE32" s="18" t="inlineStr">
        <is>
          <t>journalctl, sudo, unit files</t>
        </is>
      </c>
      <c r="AF32" s="18" t="inlineStr">
        <is>
          <t>journalctl, cron, background jobs</t>
        </is>
      </c>
      <c r="AG32" s="18" t="inlineStr">
        <is>
          <t>Older init scripts or containers' own supervisors</t>
        </is>
      </c>
      <c r="AH32" s="17" t="n"/>
      <c r="AI32" s="18" t="inlineStr">
        <is>
          <t>Web servers | Databases | Custom services</t>
        </is>
      </c>
      <c r="AJ32" s="18" t="inlineStr">
        <is>
          <t>A: I changed the config but nothing happened. | B: Reload or restart the service with systemctl.</t>
        </is>
      </c>
      <c r="AK32" s="18" t="inlineStr">
        <is>
          <t>✗ systemctl start also makes the service start at every boot → ✓ start runs it now, and enable makes it start at boot</t>
        </is>
      </c>
      <c r="AL32" s="18" t="inlineStr">
        <is>
          <t>start vs enable: start acts now, enable acts at boot.</t>
        </is>
      </c>
      <c r="AM32" s="18" t="inlineStr">
        <is>
          <t>Do not edit a unit file without running daemon-reload.</t>
        </is>
      </c>
      <c r="AN32" s="19" t="inlineStr">
        <is>
          <t>sudo systemctl enable nginx   # expecting it to start now</t>
        </is>
      </c>
      <c r="AO32" s="19" t="inlineStr">
        <is>
          <t>sudo systemctl enable --now nginx</t>
        </is>
      </c>
      <c r="AP32" s="18" t="inlineStr">
        <is>
          <t>Start is now, enable is at boot.</t>
        </is>
      </c>
      <c r="AQ32" s="18" t="inlineStr">
        <is>
          <t>Creating a unit file so a customer's custom service restarts after a crash.</t>
        </is>
      </c>
      <c r="AR32" s="18" t="inlineStr">
        <is>
          <t>An interviewer may ask: What is the difference between start and enable?</t>
        </is>
      </c>
      <c r="AS32" s="18" t="inlineStr">
        <is>
          <t>It is like a building manager who restarts what falls over.</t>
        </is>
      </c>
      <c r="AT32" s="18" t="inlineStr">
        <is>
          <t>Which command makes a service start at boot?</t>
        </is>
      </c>
      <c r="AU32" s="18" t="inlineStr">
        <is>
          <t>A) systemctl cat B) systemctl status C) systemctl enable D) systemctl start</t>
        </is>
      </c>
      <c r="AV32" s="18" t="inlineStr">
        <is>
          <t>C</t>
        </is>
      </c>
      <c r="AW32" s="18" t="inlineStr">
        <is>
          <t>enable creates the links that start the service at boot.</t>
        </is>
      </c>
      <c r="AX32" s="19" t="inlineStr">
        <is>
          <t>After editing a unit file, run systemctl daemon-____ → reload</t>
        </is>
      </c>
      <c r="AY32" s="18" t="inlineStr">
        <is>
          <t>Check whether the ssh service is active.</t>
        </is>
      </c>
      <c r="AZ32" s="19" t="inlineStr">
        <is>
          <t>systemctl is-active ssh</t>
        </is>
      </c>
      <c r="BA32" s="18" t="inlineStr">
        <is>
          <t>Write a short unit file for a script that must restart on failure.</t>
        </is>
      </c>
      <c r="BB32" s="19" t="inlineStr">
        <is>
          <t>Which option starts a service now and enables it at boot?</t>
        </is>
      </c>
      <c r="BC32" s="19" t="inlineStr">
        <is>
          <t>systemctl enable --now service</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94.5" customHeight="1">
      <c r="A33" s="17" t="inlineStr">
        <is>
          <t>LNX-036</t>
        </is>
      </c>
      <c r="B33" s="17" t="inlineStr">
        <is>
          <t>05 Processes and system</t>
        </is>
      </c>
      <c r="C33" s="17" t="inlineStr">
        <is>
          <t>Intermediate</t>
        </is>
      </c>
      <c r="D33" s="17" t="n">
        <v>36</v>
      </c>
      <c r="E33" s="17" t="inlineStr">
        <is>
          <t>Claude knowledge</t>
        </is>
      </c>
      <c r="F33" s="18" t="inlineStr">
        <is>
          <t>journalctl and system logs</t>
        </is>
      </c>
      <c r="G33" s="18" t="inlineStr">
        <is>
          <t>Which command reads the logs that systemd collects, filtered by service, time or priority?</t>
        </is>
      </c>
      <c r="H33" s="17" t="n"/>
      <c r="I33" s="18" t="inlineStr">
        <is>
          <t>Command</t>
        </is>
      </c>
      <c r="J33" s="18" t="inlineStr">
        <is>
          <t>Very high</t>
        </is>
      </c>
      <c r="K33" s="18" t="n">
        <v>5</v>
      </c>
      <c r="L33" s="18" t="inlineStr">
        <is>
          <t>Logs from many services used to be scattered in text files, so systemd gathers them into one journal that you can query.</t>
        </is>
      </c>
      <c r="M33" s="18" t="inlineStr">
        <is>
          <t>Use journalctl -u service -f to watch a service log live, just like tail -f.</t>
        </is>
      </c>
      <c r="N33" s="17" t="n"/>
      <c r="O33" s="18" t="inlineStr">
        <is>
          <t>The journal is a ship's logbook where every service writes in the same book.</t>
        </is>
      </c>
      <c r="P33" s="18" t="inlineStr">
        <is>
          <t>A scrolling log filtered to one service and a time window.</t>
        </is>
      </c>
      <c r="Q33" s="18" t="inlineStr">
        <is>
          <t>The satisfaction of finding why a service failed.</t>
        </is>
      </c>
      <c r="R33" s="18" t="inlineStr">
        <is>
          <t>journalctl shows entries of the systemd journal, with filters for unit, time and priority.</t>
        </is>
      </c>
      <c r="S33" s="17" t="n"/>
      <c r="T33" s="19" t="inlineStr">
        <is>
          <t>journalctl -u nginx
journalctl -u nginx -f
journalctl --since "1 hour ago"
journalctl -p err -b
journalctl --disk-usage</t>
        </is>
      </c>
      <c r="U33" s="19" t="inlineStr">
        <is>
          <t>All logs of nginx, new nginx log lines live, entries from the last hour, errors since the current boot, and the space the journal uses.</t>
        </is>
      </c>
      <c r="V33" s="18" t="inlineStr">
        <is>
          <t>-u picks a service, -f follows new entries, --since and --until limit the time, -p filters by priority such as err, and -b limits to the current boot. Older text logs still live in /var/log, for example in files written by web servers. Journal size is limited by the settings, and old entries are removed.</t>
        </is>
      </c>
      <c r="W33" s="18" t="inlineStr">
        <is>
          <t>Ask the journal for one service with -u, add -f to follow, and use --since to look at a time window.</t>
        </is>
      </c>
      <c r="X33" s="18" t="inlineStr">
        <is>
          <t>It is like a ship's logbook in which every service writes.</t>
        </is>
      </c>
      <c r="Y33" s="19" t="inlineStr">
        <is>
          <t>journalctl [-u unit] [-f] [--since time] [-p priority]</t>
        </is>
      </c>
      <c r="Z33" s="18" t="inlineStr">
        <is>
          <t>-u = unit | -f = follow | --since = from a time | -p = priority | -b = this boot</t>
        </is>
      </c>
      <c r="AA33" s="19" t="inlineStr">
        <is>
          <t>journalctl -u ssh --since today</t>
        </is>
      </c>
      <c r="AB33" s="19" t="inlineStr">
        <is>
          <t>journalctl -p warning -b</t>
        </is>
      </c>
      <c r="AC33" s="19" t="inlineStr">
        <is>
          <t>journalctl -k</t>
        </is>
      </c>
      <c r="AD33" s="19" t="inlineStr">
        <is>
          <t>journalctl -n 100 -u app   // last 100 lines
journalctl -o json   // output as JSON</t>
        </is>
      </c>
      <c r="AE33" s="18" t="inlineStr">
        <is>
          <t>systemctl, grep, less</t>
        </is>
      </c>
      <c r="AF33" s="18" t="inlineStr">
        <is>
          <t>systemctl, tail, /var/log</t>
        </is>
      </c>
      <c r="AG33" s="18" t="inlineStr">
        <is>
          <t>Reading text files in /var/log</t>
        </is>
      </c>
      <c r="AH33" s="17" t="n"/>
      <c r="AI33" s="18" t="inlineStr">
        <is>
          <t>Service failures | Boot problems | Audits</t>
        </is>
      </c>
      <c r="AJ33" s="18" t="inlineStr">
        <is>
          <t>A: The service fails at boot and I do not know why. | B: Check journalctl -u for that service and -b for this boot.</t>
        </is>
      </c>
      <c r="AK33" s="18" t="inlineStr">
        <is>
          <t>✗ All logs on Linux are plain files in /var/log → ✓ Systemd keeps many logs in its journal, which you read with journalctl</t>
        </is>
      </c>
      <c r="AL33" s="18" t="inlineStr">
        <is>
          <t>journalctl vs tail: journalctl queries the journal, tail reads a text file.</t>
        </is>
      </c>
      <c r="AM33" s="18" t="inlineStr">
        <is>
          <t>Do not forget that the journal may be limited in size.</t>
        </is>
      </c>
      <c r="AN33" s="19" t="inlineStr">
        <is>
          <t>journalctl nginx</t>
        </is>
      </c>
      <c r="AO33" s="19" t="inlineStr">
        <is>
          <t>journalctl -u nginx</t>
        </is>
      </c>
      <c r="AP33" s="18" t="inlineStr">
        <is>
          <t>-u picks the unit and -f follows it.</t>
        </is>
      </c>
      <c r="AQ33" s="18" t="inlineStr">
        <is>
          <t>Reading the journal to find why a customer's service stopped after an update.</t>
        </is>
      </c>
      <c r="AR33" s="18" t="inlineStr">
        <is>
          <t>An interviewer may ask: How do you view the logs of a systemd service?</t>
        </is>
      </c>
      <c r="AS33" s="18" t="inlineStr">
        <is>
          <t>It is like a ship's logbook.</t>
        </is>
      </c>
      <c r="AT33" s="18" t="inlineStr">
        <is>
          <t>Which flag follows new journal entries?</t>
        </is>
      </c>
      <c r="AU33" s="18" t="inlineStr">
        <is>
          <t>A) -f B) -b C) -p D) -u</t>
        </is>
      </c>
      <c r="AV33" s="18" t="inlineStr">
        <is>
          <t>A</t>
        </is>
      </c>
      <c r="AW33" s="18" t="inlineStr">
        <is>
          <t>-f follows new entries like tail -f.</t>
        </is>
      </c>
      <c r="AX33" s="19" t="inlineStr">
        <is>
          <t>journalctl -u ____ shows the logs of one service → name</t>
        </is>
      </c>
      <c r="AY33" s="18" t="inlineStr">
        <is>
          <t>Show the logs of the docker service from the last hour.</t>
        </is>
      </c>
      <c r="AZ33" s="19" t="inlineStr">
        <is>
          <t>journalctl -u docker --since "1 hour ago"</t>
        </is>
      </c>
      <c r="BA33" s="18" t="inlineStr">
        <is>
          <t>Find the error messages of the current boot with journalctl.</t>
        </is>
      </c>
      <c r="BB33" s="19" t="inlineStr">
        <is>
          <t>Which flag limits entries to the current boot?</t>
        </is>
      </c>
      <c r="BC33" s="19" t="inlineStr">
        <is>
          <t>-b</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108" customHeight="1">
      <c r="A34" s="17" t="inlineStr">
        <is>
          <t>LNX-037</t>
        </is>
      </c>
      <c r="B34" s="17" t="inlineStr">
        <is>
          <t>05 Processes and system</t>
        </is>
      </c>
      <c r="C34" s="17" t="inlineStr">
        <is>
          <t>Intermediate</t>
        </is>
      </c>
      <c r="D34" s="17" t="n">
        <v>37</v>
      </c>
      <c r="E34" s="17" t="inlineStr">
        <is>
          <t>Claude knowledge</t>
        </is>
      </c>
      <c r="F34" s="18" t="inlineStr">
        <is>
          <t>cron</t>
        </is>
      </c>
      <c r="G34" s="18" t="inlineStr">
        <is>
          <t>Which scheduler runs commands automatically at set times, and what do the five time fields mean?</t>
        </is>
      </c>
      <c r="H34" s="17" t="n"/>
      <c r="I34" s="18" t="inlineStr">
        <is>
          <t>Command</t>
        </is>
      </c>
      <c r="J34" s="18" t="inlineStr">
        <is>
          <t>Very high</t>
        </is>
      </c>
      <c r="K34" s="18" t="n">
        <v>5</v>
      </c>
      <c r="L34" s="18" t="inlineStr">
        <is>
          <t>Regular jobs such as backups should run by themselves, so cron checks a table of schedules every minute and runs the commands that are due.</t>
        </is>
      </c>
      <c r="M34" s="18" t="inlineStr">
        <is>
          <t>Always use absolute paths and redirect output in cron jobs, because cron has a minimal environment.</t>
        </is>
      </c>
      <c r="N34" s="17" t="n"/>
      <c r="O34" s="18" t="inlineStr">
        <is>
          <t>cron is an alarm clock for commands, with five dials for minute, hour, day, month and weekday.</t>
        </is>
      </c>
      <c r="P34" s="18" t="inlineStr">
        <is>
          <t>A line of five fields followed by a command.</t>
        </is>
      </c>
      <c r="Q34" s="18" t="inlineStr">
        <is>
          <t>The satisfaction of a task that runs by itself every night.</t>
        </is>
      </c>
      <c r="R34" s="18" t="inlineStr">
        <is>
          <t>cron runs commands on a schedule defined in a crontab, with five fields for minute, hour, day of month, month and day of week.</t>
        </is>
      </c>
      <c r="S34" s="17" t="n"/>
      <c r="T34" s="19" t="inlineStr">
        <is>
          <t>crontab -e
# minute hour day month weekday command
0 2 * * * /usr/local/bin/backup.sh &gt;&gt; /var/log/backup.log 2&gt;&amp;1
*/15 * * * * /usr/bin/python3 /opt/app/check.py
crontab -l</t>
        </is>
      </c>
      <c r="U34" s="19" t="inlineStr">
        <is>
          <t>The crontab opens for editing, a backup runs every day at 02:00 and logs to a file, a check runs every fifteen minutes, and the current schedule is listed.</t>
        </is>
      </c>
      <c r="V34" s="18" t="inlineStr">
        <is>
          <t>A star means every value, a slash gives steps, and commas give lists. Cron runs jobs with a short PATH and starts in the user's home folder, not where the script is, so absolute paths and explicit redirection are needed. Cron uses the system's timezone unless configured. Each user has a crontab, and system jobs live in /etc/cron.d.</t>
        </is>
      </c>
      <c r="W34" s="18" t="inlineStr">
        <is>
          <t>Write the schedule in five fields and then the command. Use absolute paths and log the output, since cron does not run in your normal shell environment.</t>
        </is>
      </c>
      <c r="X34" s="18" t="inlineStr">
        <is>
          <t>It is like an alarm clock for commands with five dials.</t>
        </is>
      </c>
      <c r="Y34" s="19" t="inlineStr">
        <is>
          <t>m h dom mon dow command</t>
        </is>
      </c>
      <c r="Z34" s="18" t="inlineStr">
        <is>
          <t>minute 0-59 | hour 0-23 | day of month | month | day of week 0-7 | * = every</t>
        </is>
      </c>
      <c r="AA34" s="19" t="inlineStr">
        <is>
          <t>30 6 * * 1-5 /opt/report.sh</t>
        </is>
      </c>
      <c r="AB34" s="19" t="inlineStr">
        <is>
          <t>*/10 * * * * /usr/bin/curl -s https://example.com/health</t>
        </is>
      </c>
      <c r="AC34" s="19" t="inlineStr">
        <is>
          <t>@reboot /opt/start.sh</t>
        </is>
      </c>
      <c r="AD34" s="19" t="inlineStr">
        <is>
          <t>@daily command   // shortcut for once a day
MAILTO="" at the top   // stop cron emailing output</t>
        </is>
      </c>
      <c r="AE34" s="18" t="inlineStr">
        <is>
          <t>absolute paths, redirection, scripts</t>
        </is>
      </c>
      <c r="AF34" s="18" t="inlineStr">
        <is>
          <t>systemctl, redirection, scripts</t>
        </is>
      </c>
      <c r="AG34" s="18" t="inlineStr">
        <is>
          <t>systemd timers</t>
        </is>
      </c>
      <c r="AH34" s="17" t="n"/>
      <c r="AI34" s="18" t="inlineStr">
        <is>
          <t>Backups | Reports | Clean-up jobs</t>
        </is>
      </c>
      <c r="AJ34" s="18" t="inlineStr">
        <is>
          <t>A: My script works by hand but not from cron. | B: Cron has a minimal environment, so use absolute paths and set PATH.</t>
        </is>
      </c>
      <c r="AK34" s="18" t="inlineStr">
        <is>
          <t>✗ Cron jobs run with the same environment as my shell → ✓ Cron uses a minimal environment, so PATH and other variables may differ</t>
        </is>
      </c>
      <c r="AL34" s="18" t="inlineStr">
        <is>
          <t>cron vs systemd timers: cron is the classic scheduler, timers are the systemd alternative.</t>
        </is>
      </c>
      <c r="AM34" s="18" t="inlineStr">
        <is>
          <t>Do not use relative paths in cron jobs.</t>
        </is>
      </c>
      <c r="AN34" s="19" t="inlineStr">
        <is>
          <t>* 2 * * * /opt/backup.sh</t>
        </is>
      </c>
      <c r="AO34" s="19" t="inlineStr">
        <is>
          <t>0 2 * * * /opt/backup.sh</t>
        </is>
      </c>
      <c r="AP34" s="18" t="inlineStr">
        <is>
          <t>Five fields, then the command.</t>
        </is>
      </c>
      <c r="AQ34" s="18" t="inlineStr">
        <is>
          <t>Scheduling a nightly export that logs its output.</t>
        </is>
      </c>
      <c r="AR34" s="18" t="inlineStr">
        <is>
          <t>An interviewer may ask: What does 0 2 * * * mean in a crontab?</t>
        </is>
      </c>
      <c r="AS34" s="18" t="inlineStr">
        <is>
          <t>It is like an alarm clock for commands.</t>
        </is>
      </c>
      <c r="AT34" s="18" t="inlineStr">
        <is>
          <t>What does */15 in the minute field mean?</t>
        </is>
      </c>
      <c r="AU34" s="18" t="inlineStr">
        <is>
          <t>A) Fifteen times an hour only B) At minute 15 only C) Every fifteen minutes D) Every fifteen hours</t>
        </is>
      </c>
      <c r="AV34" s="18" t="inlineStr">
        <is>
          <t>C</t>
        </is>
      </c>
      <c r="AW34" s="18" t="inlineStr">
        <is>
          <t>The slash sets a step of fifteen.</t>
        </is>
      </c>
      <c r="AX34" s="19" t="inlineStr">
        <is>
          <t>The first field of a crontab line is the ____ → minute</t>
        </is>
      </c>
      <c r="AY34" s="18" t="inlineStr">
        <is>
          <t>Write a cron line that runs /opt/clean.sh every day at 03:30.</t>
        </is>
      </c>
      <c r="AZ34" s="19" t="inlineStr">
        <is>
          <t>30 3 * * * /opt/clean.sh</t>
        </is>
      </c>
      <c r="BA34" s="18" t="inlineStr">
        <is>
          <t>Write three cron schedules for different jobs and explain each.</t>
        </is>
      </c>
      <c r="BB34" s="19" t="inlineStr">
        <is>
          <t>Why should cron jobs use absolute paths?</t>
        </is>
      </c>
      <c r="BC34" s="19" t="inlineStr">
        <is>
          <t>Because cron has a minimal environment and starts in the home folder, not the script's folder.</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94.5" customHeight="1">
      <c r="A35" s="17" t="inlineStr">
        <is>
          <t>LNX-038</t>
        </is>
      </c>
      <c r="B35" s="17" t="inlineStr">
        <is>
          <t>05 Processes and system</t>
        </is>
      </c>
      <c r="C35" s="17" t="inlineStr">
        <is>
          <t>Beginner</t>
        </is>
      </c>
      <c r="D35" s="17" t="n">
        <v>38</v>
      </c>
      <c r="E35" s="17" t="inlineStr">
        <is>
          <t>Claude knowledge</t>
        </is>
      </c>
      <c r="F35" s="18" t="inlineStr">
        <is>
          <t>df, du and disk space</t>
        </is>
      </c>
      <c r="G35" s="18" t="inlineStr">
        <is>
          <t>Which commands show how full the disks are and which folders use the most space?</t>
        </is>
      </c>
      <c r="H35" s="17" t="n"/>
      <c r="I35" s="18" t="inlineStr">
        <is>
          <t>Command</t>
        </is>
      </c>
      <c r="J35" s="18" t="inlineStr">
        <is>
          <t>Very high</t>
        </is>
      </c>
      <c r="K35" s="18" t="n">
        <v>5</v>
      </c>
      <c r="L35" s="18" t="inlineStr">
        <is>
          <t>Full disks stop services and databases, so admins need quick commands to see free space and find the folders that are using it.</t>
        </is>
      </c>
      <c r="M35" s="18" t="inlineStr">
        <is>
          <t>Check inodes with df -i too, since you can run out of files before you run out of space.</t>
        </is>
      </c>
      <c r="N35" s="17" t="n"/>
      <c r="O35" s="18" t="inlineStr">
        <is>
          <t>df is the fuel gauge of each disk, and du is the receipt showing which folder used the fuel.</t>
        </is>
      </c>
      <c r="P35" s="18" t="inlineStr">
        <is>
          <t>A table of disks with used and free percentages, and a list of the biggest folders.</t>
        </is>
      </c>
      <c r="Q35" s="18" t="inlineStr">
        <is>
          <t>The relief of finding the folder that filled the disk.</t>
        </is>
      </c>
      <c r="R35" s="18" t="inlineStr">
        <is>
          <t>df shows free and used space of file systems, and du shows the space used by folders.</t>
        </is>
      </c>
      <c r="S35" s="17" t="n"/>
      <c r="T35" s="19" t="inlineStr">
        <is>
          <t>df -h
df -i
du -sh /var/log
du -h --max-depth=1 /var | sort -h
ncdu /var</t>
        </is>
      </c>
      <c r="U35" s="19" t="inlineStr">
        <is>
          <t>The size, used, available and mount point of each disk, inode usage, the total size of /var/log, the size of each folder directly under /var in order, and an interactive browser of space use.</t>
        </is>
      </c>
      <c r="V35" s="18" t="inlineStr">
        <is>
          <t>-h prints human-readable sizes. df works on whole file systems, while du walks folders and adds up file sizes. A disk can be full because of space or because it ran out of inodes, which are file records. Deleted files that are still held open by a process keep using space until that process exits.</t>
        </is>
      </c>
      <c r="W35" s="18" t="inlineStr">
        <is>
          <t>Use df -h to see which disk is full, then du -h --max-depth=1 to find which folder is large, and go one level deeper each time.</t>
        </is>
      </c>
      <c r="X35" s="18" t="inlineStr">
        <is>
          <t>df is the fuel gauge of each disk, and du is the receipt showing where the fuel went.</t>
        </is>
      </c>
      <c r="Y35" s="19" t="inlineStr">
        <is>
          <t>df -h  |  du -sh path</t>
        </is>
      </c>
      <c r="Z35" s="18" t="inlineStr">
        <is>
          <t>df = file systems | du = folders | -h = readable sizes | -s = summary | --max-depth = how deep to list</t>
        </is>
      </c>
      <c r="AA35" s="19" t="inlineStr">
        <is>
          <t>df -h /</t>
        </is>
      </c>
      <c r="AB35" s="19" t="inlineStr">
        <is>
          <t>du -sh *</t>
        </is>
      </c>
      <c r="AC35" s="19" t="inlineStr">
        <is>
          <t>du -h --max-depth=2 /home | sort -h | tail</t>
        </is>
      </c>
      <c r="AD35" s="19" t="inlineStr">
        <is>
          <t>lsof +L1   // deleted files still held open
df -T   // show file system types</t>
        </is>
      </c>
      <c r="AE35" s="18" t="inlineStr">
        <is>
          <t>sort, find, journalctl</t>
        </is>
      </c>
      <c r="AF35" s="18" t="inlineStr">
        <is>
          <t>find, journalctl, ls</t>
        </is>
      </c>
      <c r="AG35" s="18" t="inlineStr">
        <is>
          <t>ncdu for an interactive view</t>
        </is>
      </c>
      <c r="AH35" s="17" t="n"/>
      <c r="AI35" s="18" t="inlineStr">
        <is>
          <t>Disk full incidents | Capacity checks | Log clean-up</t>
        </is>
      </c>
      <c r="AJ35" s="18" t="inlineStr">
        <is>
          <t>A: The database stopped, saying no space left on device. | B: Run df -h and then du to find which folder filled the disk.</t>
        </is>
      </c>
      <c r="AK35" s="18" t="inlineStr">
        <is>
          <t>✗ df and du always show the same numbers → ✓ df reads file system totals and du adds up files, so deleted-but-open files and other details can make them differ</t>
        </is>
      </c>
      <c r="AL35" s="18" t="inlineStr">
        <is>
          <t>df vs du: df shows disks, du shows folders.</t>
        </is>
      </c>
      <c r="AM35" s="18" t="inlineStr">
        <is>
          <t>Do not delete files blindly to free space, find out what they are first.</t>
        </is>
      </c>
      <c r="AN35" s="19" t="inlineStr">
        <is>
          <t>du -h /var --depth 1</t>
        </is>
      </c>
      <c r="AO35" s="19" t="inlineStr">
        <is>
          <t>du -h --max-depth=1 /var</t>
        </is>
      </c>
      <c r="AP35" s="18" t="inlineStr">
        <is>
          <t>df is for disks, du is for directories.</t>
        </is>
      </c>
      <c r="AQ35" s="18" t="inlineStr">
        <is>
          <t>Finding a log folder that filled the disk on a customer server.</t>
        </is>
      </c>
      <c r="AR35" s="18" t="inlineStr">
        <is>
          <t>An interviewer may ask: How do you find the folder using the most disk space?</t>
        </is>
      </c>
      <c r="AS35" s="18" t="inlineStr">
        <is>
          <t>It is like a fuel gauge and a receipt of where the fuel went.</t>
        </is>
      </c>
      <c r="AT35" s="18" t="inlineStr">
        <is>
          <t>Which command shows how full each disk is?</t>
        </is>
      </c>
      <c r="AU35" s="18" t="inlineStr">
        <is>
          <t>A) free B) du -sh C) ls -l D) df -h</t>
        </is>
      </c>
      <c r="AV35" s="18" t="inlineStr">
        <is>
          <t>D</t>
        </is>
      </c>
      <c r="AW35" s="18" t="inlineStr">
        <is>
          <t>df reports file system usage.</t>
        </is>
      </c>
      <c r="AX35" s="19" t="inlineStr">
        <is>
          <t>du -____ prints one total for a folder → s</t>
        </is>
      </c>
      <c r="AY35" s="18" t="inlineStr">
        <is>
          <t>Show the total size of the /var/log folder in readable form.</t>
        </is>
      </c>
      <c r="AZ35" s="19" t="inlineStr">
        <is>
          <t>du -sh /var/log</t>
        </is>
      </c>
      <c r="BA35" s="18" t="inlineStr">
        <is>
          <t>Find the three largest folders under /var on a test machine.</t>
        </is>
      </c>
      <c r="BB35" s="19" t="inlineStr">
        <is>
          <t>What does df -i show?</t>
        </is>
      </c>
      <c r="BC35" s="19" t="inlineStr">
        <is>
          <t>Inode usage of the file systems.</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08" customHeight="1">
      <c r="A36" s="17" t="inlineStr">
        <is>
          <t>LNX-039</t>
        </is>
      </c>
      <c r="B36" s="17" t="inlineStr">
        <is>
          <t>05 Processes and system</t>
        </is>
      </c>
      <c r="C36" s="17" t="inlineStr">
        <is>
          <t>Intermediate</t>
        </is>
      </c>
      <c r="D36" s="17" t="n">
        <v>39</v>
      </c>
      <c r="E36" s="17" t="inlineStr">
        <is>
          <t>Claude knowledge</t>
        </is>
      </c>
      <c r="F36" s="18" t="inlineStr">
        <is>
          <t>Memory and load (free, uptime)</t>
        </is>
      </c>
      <c r="G36" s="18" t="inlineStr">
        <is>
          <t>Which commands show how much memory is used and how busy the CPU has been?</t>
        </is>
      </c>
      <c r="H36" s="17" t="n"/>
      <c r="I36" s="18" t="inlineStr">
        <is>
          <t>Command</t>
        </is>
      </c>
      <c r="J36" s="18" t="inlineStr">
        <is>
          <t>High</t>
        </is>
      </c>
      <c r="K36" s="18" t="n">
        <v>4</v>
      </c>
      <c r="L36" s="18" t="inlineStr">
        <is>
          <t>Slow machines are usually short of memory or CPU, so quick commands report memory use and a load average.</t>
        </is>
      </c>
      <c r="M36" s="18" t="inlineStr">
        <is>
          <t>Look at the available column of free, not the free column, since Linux uses spare memory for caching.</t>
        </is>
      </c>
      <c r="N36" s="17" t="n"/>
      <c r="O36" s="18" t="inlineStr">
        <is>
          <t>free is the memory gauge, and uptime shows how long the engine has run and how hard it has worked.</t>
        </is>
      </c>
      <c r="P36" s="18" t="inlineStr">
        <is>
          <t>A memory table with total, used and available, and three load numbers.</t>
        </is>
      </c>
      <c r="Q36" s="18" t="inlineStr">
        <is>
          <t>The calm of reading the machine's health at a glance.</t>
        </is>
      </c>
      <c r="R36" s="18" t="inlineStr">
        <is>
          <t>free shows memory and swap use, and uptime shows how long the system has run and the load average.</t>
        </is>
      </c>
      <c r="S36" s="17" t="n"/>
      <c r="T36" s="19" t="inlineStr">
        <is>
          <t>free -h
uptime
nproc
vmstat 1 5</t>
        </is>
      </c>
      <c r="U36" s="19" t="inlineStr">
        <is>
          <t>Total, used, free and available memory in readable units, the uptime with three load averages, the number of CPU cores, and five lines of live system statistics.</t>
        </is>
      </c>
      <c r="V36" s="18" t="inlineStr">
        <is>
          <t>Linux uses free memory for caches, so a low free value is normal and the available value is the useful one. The load average shows the average number of processes waiting to run over one, five and fifteen minutes. A load higher than the number of CPU cores suggests the machine is overloaded. Heavy swap use can make a machine slow.</t>
        </is>
      </c>
      <c r="W36" s="18" t="inlineStr">
        <is>
          <t>Read the available column in free, and compare the load average with the number of cores from nproc.</t>
        </is>
      </c>
      <c r="X36" s="18" t="inlineStr">
        <is>
          <t>free is the memory gauge, and uptime shows how long and how hard the engine has worked.</t>
        </is>
      </c>
      <c r="Y36" s="19" t="inlineStr">
        <is>
          <t>free -h  |  uptime  |  nproc</t>
        </is>
      </c>
      <c r="Z36" s="18" t="inlineStr">
        <is>
          <t>total used free available = memory columns | load average = 1, 5 and 15 minutes | swap = disk used as extra memory</t>
        </is>
      </c>
      <c r="AA36" s="19" t="inlineStr">
        <is>
          <t>free -m</t>
        </is>
      </c>
      <c r="AB36" s="19" t="inlineStr">
        <is>
          <t>uptime -p</t>
        </is>
      </c>
      <c r="AC36" s="19" t="inlineStr">
        <is>
          <t>cat /proc/meminfo</t>
        </is>
      </c>
      <c r="AD36" s="19" t="inlineStr">
        <is>
          <t>vmstat 2   // live statistics every two seconds
swapon --show   // swap devices</t>
        </is>
      </c>
      <c r="AE36" s="18" t="inlineStr">
        <is>
          <t>top, ps, vmstat</t>
        </is>
      </c>
      <c r="AF36" s="18" t="inlineStr">
        <is>
          <t>ps and top, df, systemctl</t>
        </is>
      </c>
      <c r="AG36" s="18" t="inlineStr">
        <is>
          <t>htop or a monitoring dashboard</t>
        </is>
      </c>
      <c r="AH36" s="17" t="n"/>
      <c r="AI36" s="18" t="inlineStr">
        <is>
          <t>Slow servers | Capacity planning | Memory leaks</t>
        </is>
      </c>
      <c r="AJ36" s="18" t="inlineStr">
        <is>
          <t>A: Free memory is almost zero, is the server in trouble? | B: Look at available memory, since Linux uses spare memory for caches.</t>
        </is>
      </c>
      <c r="AK36" s="18" t="inlineStr">
        <is>
          <t>✗ Low free memory means the server is out of memory → ✓ Linux uses spare memory for caching, so look at the available value</t>
        </is>
      </c>
      <c r="AL36" s="18" t="inlineStr">
        <is>
          <t>free vs available: free is unused memory, available includes memory that caches can give back.</t>
        </is>
      </c>
      <c r="AM36" s="18" t="inlineStr">
        <is>
          <t>Do not panic when the free column is small.</t>
        </is>
      </c>
      <c r="AN36" s="19" t="inlineStr">
        <is>
          <t>free --human-readable-all</t>
        </is>
      </c>
      <c r="AO36" s="19" t="inlineStr">
        <is>
          <t>free -h</t>
        </is>
      </c>
      <c r="AP36" s="18" t="inlineStr">
        <is>
          <t>Always read available, and not free.</t>
        </is>
      </c>
      <c r="AQ36" s="18" t="inlineStr">
        <is>
          <t>Checking whether a customer's server ran out of memory before an application crash.</t>
        </is>
      </c>
      <c r="AR36" s="18" t="inlineStr">
        <is>
          <t>An interviewer may ask: How do you read the load average?</t>
        </is>
      </c>
      <c r="AS36" s="18" t="inlineStr">
        <is>
          <t>It is like a fuel gauge for memory.</t>
        </is>
      </c>
      <c r="AT36" s="18" t="inlineStr">
        <is>
          <t>Which free column shows memory that applications can really use?</t>
        </is>
      </c>
      <c r="AU36" s="18" t="inlineStr">
        <is>
          <t>A) available B) total C) buff D) shared</t>
        </is>
      </c>
      <c r="AV36" s="18" t="inlineStr">
        <is>
          <t>A</t>
        </is>
      </c>
      <c r="AW36" s="18" t="inlineStr">
        <is>
          <t>available estimates memory that can be used without swapping.</t>
        </is>
      </c>
      <c r="AX36" s="19" t="inlineStr">
        <is>
          <t>A load higher than the number of cores suggests the machine is ____ → overloaded</t>
        </is>
      </c>
      <c r="AY36" s="18" t="inlineStr">
        <is>
          <t>Show memory use in human-readable form.</t>
        </is>
      </c>
      <c r="AZ36" s="19" t="inlineStr">
        <is>
          <t>free -h</t>
        </is>
      </c>
      <c r="BA36" s="18" t="inlineStr">
        <is>
          <t>Compare the load average of an idle and a busy machine.</t>
        </is>
      </c>
      <c r="BB36" s="19" t="inlineStr">
        <is>
          <t>Which command prints the number of CPU cores?</t>
        </is>
      </c>
      <c r="BC36" s="19" t="inlineStr">
        <is>
          <t>nproc</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81" customHeight="1">
      <c r="A37" s="17" t="inlineStr">
        <is>
          <t>LNX-040</t>
        </is>
      </c>
      <c r="B37" s="17" t="inlineStr">
        <is>
          <t>06 Network tools</t>
        </is>
      </c>
      <c r="C37" s="17" t="inlineStr">
        <is>
          <t>Beginner</t>
        </is>
      </c>
      <c r="D37" s="17" t="n">
        <v>40</v>
      </c>
      <c r="E37" s="17" t="inlineStr">
        <is>
          <t>Claude knowledge</t>
        </is>
      </c>
      <c r="F37" s="18" t="inlineStr">
        <is>
          <t>ping</t>
        </is>
      </c>
      <c r="G37" s="18" t="inlineStr">
        <is>
          <t>Which command checks whether another machine answers on the network and how long it takes?</t>
        </is>
      </c>
      <c r="H37" s="17" t="n"/>
      <c r="I37" s="18" t="inlineStr">
        <is>
          <t>Command</t>
        </is>
      </c>
      <c r="J37" s="18" t="inlineStr">
        <is>
          <t>Very high</t>
        </is>
      </c>
      <c r="K37" s="18" t="n">
        <v>5</v>
      </c>
      <c r="L37" s="18" t="inlineStr">
        <is>
          <t>The first question in any network problem is whether the other side is reachable, so ping sends small echo requests and times the replies.</t>
        </is>
      </c>
      <c r="M37" s="18" t="inlineStr">
        <is>
          <t>Ping an IP address and a name separately, to tell a DNS problem apart from a network problem.</t>
        </is>
      </c>
      <c r="N37" s="17" t="n"/>
      <c r="O37" s="18" t="inlineStr">
        <is>
          <t>ping is a sonar pulse that bounces back from the other machine and tells you how far away it is.</t>
        </is>
      </c>
      <c r="P37" s="18" t="inlineStr">
        <is>
          <t>Request lines with times in milliseconds, and a summary of lost packets.</t>
        </is>
      </c>
      <c r="Q37" s="18" t="inlineStr">
        <is>
          <t>The relief of seeing replies come back.</t>
        </is>
      </c>
      <c r="R37" s="18" t="inlineStr">
        <is>
          <t>ping sends echo requests to a host and reports whether replies come back and how long they take.</t>
        </is>
      </c>
      <c r="S37" s="17" t="n"/>
      <c r="T37" s="19" t="inlineStr">
        <is>
          <t>ping -c 4 8.8.8.8
ping -c 4 example.com
ping -c 1 -W 2 10.0.0.5</t>
        </is>
      </c>
      <c r="U37" s="19" t="inlineStr">
        <is>
          <t>Four replies from the address with times, four replies from the name with its resolved address, and one attempt with a two second wait.</t>
        </is>
      </c>
      <c r="V37" s="18" t="inlineStr">
        <is>
          <t>A reply shows the host is reachable and gives the round trip time. No reply does not always mean the host is down, because many networks block ping. Pinging a name tests DNS as well. On Linux, ping runs until you stop it unless you give -c with a count.</t>
        </is>
      </c>
      <c r="W37" s="18" t="inlineStr">
        <is>
          <t>Ping an address to see if it answers. If the IP works but the name fails, the problem is DNS.</t>
        </is>
      </c>
      <c r="X37" s="18" t="inlineStr">
        <is>
          <t>It is like a sonar pulse that bounces back and shows how far away the other machine is.</t>
        </is>
      </c>
      <c r="Y37" s="19" t="inlineStr">
        <is>
          <t>ping [-c count] host</t>
        </is>
      </c>
      <c r="Z37" s="18" t="inlineStr">
        <is>
          <t>-c = how many packets | -W = wait time | host = name or IP</t>
        </is>
      </c>
      <c r="AA37" s="19" t="inlineStr">
        <is>
          <t>ping -c 3 localhost</t>
        </is>
      </c>
      <c r="AB37" s="19" t="inlineStr">
        <is>
          <t>ping -c 5 8.8.8.8</t>
        </is>
      </c>
      <c r="AC37" s="19" t="inlineStr">
        <is>
          <t>ping -6 -c 3 ::1</t>
        </is>
      </c>
      <c r="AD37" s="19" t="inlineStr">
        <is>
          <t>ping -s 1400 host   // packet size for MTU tests
ping -i 0.2 host   // faster interval</t>
        </is>
      </c>
      <c r="AE37" s="18" t="inlineStr">
        <is>
          <t>dig, traceroute, curl</t>
        </is>
      </c>
      <c r="AF37" s="18" t="inlineStr">
        <is>
          <t>dig, traceroute, curl</t>
        </is>
      </c>
      <c r="AG37" s="18" t="inlineStr">
        <is>
          <t>curl or nc when ping is blocked</t>
        </is>
      </c>
      <c r="AH37" s="17" t="n"/>
      <c r="AI37" s="18" t="inlineStr">
        <is>
          <t>Reachability checks | DNS tests | Latency checks</t>
        </is>
      </c>
      <c r="AJ37" s="18" t="inlineStr">
        <is>
          <t>A: I cannot reach the customer's server. | B: Ping its IP address first, and then its name.</t>
        </is>
      </c>
      <c r="AK37" s="18" t="inlineStr">
        <is>
          <t>✗ If ping gets no reply, the host must be down → ✓ Many networks and firewalls block ping, so no reply does not prove the host is down</t>
        </is>
      </c>
      <c r="AL37" s="18" t="inlineStr">
        <is>
          <t>ping vs curl: ping tests basic reachability, curl tests an actual web service.</t>
        </is>
      </c>
      <c r="AM37" s="18" t="inlineStr">
        <is>
          <t>Do not rely on ping alone to test a service.</t>
        </is>
      </c>
      <c r="AN37" s="19" t="inlineStr">
        <is>
          <t>ping example.com -n 4</t>
        </is>
      </c>
      <c r="AO37" s="19" t="inlineStr">
        <is>
          <t>ping -c 4 example.com</t>
        </is>
      </c>
      <c r="AP37" s="18" t="inlineStr">
        <is>
          <t>Ping the number, then the name.</t>
        </is>
      </c>
      <c r="AQ37" s="18" t="inlineStr">
        <is>
          <t>Using ping to separate a network fault from a DNS fault on a customer site.</t>
        </is>
      </c>
      <c r="AR37" s="18" t="inlineStr">
        <is>
          <t>An interviewer may ask: What does it mean if you can ping an IP but not a name?</t>
        </is>
      </c>
      <c r="AS37" s="18" t="inlineStr">
        <is>
          <t>It is like a sonar pulse that bounces back.</t>
        </is>
      </c>
      <c r="AT37" s="18" t="inlineStr">
        <is>
          <t>If an IP address answers but its name does not, what is likely wrong?</t>
        </is>
      </c>
      <c r="AU37" s="18" t="inlineStr">
        <is>
          <t>A) The disk B) DNS C) The CPU D) The cable</t>
        </is>
      </c>
      <c r="AV37" s="18" t="inlineStr">
        <is>
          <t>B</t>
        </is>
      </c>
      <c r="AW37" s="18" t="inlineStr">
        <is>
          <t>The name could not be resolved to an address.</t>
        </is>
      </c>
      <c r="AX37" s="19" t="inlineStr">
        <is>
          <t>ping -____ 4 host sends four packets → c</t>
        </is>
      </c>
      <c r="AY37" s="18" t="inlineStr">
        <is>
          <t>Send exactly three ping packets to example.com.</t>
        </is>
      </c>
      <c r="AZ37" s="19" t="inlineStr">
        <is>
          <t>ping -c 3 example.com</t>
        </is>
      </c>
      <c r="BA37" s="18" t="inlineStr">
        <is>
          <t>Ping three hosts and compare their response times.</t>
        </is>
      </c>
      <c r="BB37" s="19" t="inlineStr">
        <is>
          <t>What does ping time show?</t>
        </is>
      </c>
      <c r="BC37" s="19" t="inlineStr">
        <is>
          <t>The round trip time of the packet in milliseconds.</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94.5" customHeight="1">
      <c r="A38" s="17" t="inlineStr">
        <is>
          <t>LNX-041</t>
        </is>
      </c>
      <c r="B38" s="17" t="inlineStr">
        <is>
          <t>06 Network tools</t>
        </is>
      </c>
      <c r="C38" s="17" t="inlineStr">
        <is>
          <t>Beginner</t>
        </is>
      </c>
      <c r="D38" s="17" t="n">
        <v>41</v>
      </c>
      <c r="E38" s="17" t="inlineStr">
        <is>
          <t>Claude knowledge</t>
        </is>
      </c>
      <c r="F38" s="18" t="inlineStr">
        <is>
          <t>curl and wget</t>
        </is>
      </c>
      <c r="G38" s="18" t="inlineStr">
        <is>
          <t>Which commands fetch a URL from the terminal, send requests with headers, and download files?</t>
        </is>
      </c>
      <c r="H38" s="17" t="n"/>
      <c r="I38" s="18" t="inlineStr">
        <is>
          <t>Command</t>
        </is>
      </c>
      <c r="J38" s="18" t="inlineStr">
        <is>
          <t>Very high</t>
        </is>
      </c>
      <c r="K38" s="18" t="n">
        <v>5</v>
      </c>
      <c r="L38" s="18" t="inlineStr">
        <is>
          <t>Testing web services and downloading files from scripts needs a client without a browser, so curl and wget fetch content over HTTP and other protocols.</t>
        </is>
      </c>
      <c r="M38" s="18" t="inlineStr">
        <is>
          <t>Use curl -v to see the whole conversation, which helps with redirects, certificates and headers.</t>
        </is>
      </c>
      <c r="N38" s="17" t="n"/>
      <c r="O38" s="18" t="inlineStr">
        <is>
          <t>curl is a browser without a window that shows you exactly what the server says.</t>
        </is>
      </c>
      <c r="P38" s="18" t="inlineStr">
        <is>
          <t>A terminal showing response headers and a body.</t>
        </is>
      </c>
      <c r="Q38" s="18" t="inlineStr">
        <is>
          <t>The clarity of seeing the real response.</t>
        </is>
      </c>
      <c r="R38" s="18" t="inlineStr">
        <is>
          <t>curl transfers data to or from a URL and shows details, while wget mainly downloads files.</t>
        </is>
      </c>
      <c r="S38" s="17" t="n"/>
      <c r="T38" s="19" t="inlineStr">
        <is>
          <t>curl https://example.com/health
curl -I https://example.com
curl -s -o page.html https://example.com
curl -X POST -H "Content-Type: application/json" -d '{"a":1}' https://example.com/api
wget https://example.com/file.zip</t>
        </is>
      </c>
      <c r="U38" s="19" t="inlineStr">
        <is>
          <t>The health response body, only the response headers, the page saved to a file quietly, the response of a JSON post request, and file.zip downloaded.</t>
        </is>
      </c>
      <c r="V38" s="18" t="inlineStr">
        <is>
          <t>curl prints the body to the screen by default. -I fetches only headers, -s hides the progress, -o saves to a file, -L follows redirects and -v shows details. -H adds headers and -d sends a body, which makes curl a main tool for testing APIs. wget saves files by default and can download recursively.</t>
        </is>
      </c>
      <c r="W38" s="18" t="inlineStr">
        <is>
          <t>Use curl to look at a response, and add options for headers and bodies. Use wget when you just want a file.</t>
        </is>
      </c>
      <c r="X38" s="18" t="inlineStr">
        <is>
          <t>It is like a browser without a window that shows exactly what the server says.</t>
        </is>
      </c>
      <c r="Y38" s="19" t="inlineStr">
        <is>
          <t>curl [options] url</t>
        </is>
      </c>
      <c r="Z38" s="18" t="inlineStr">
        <is>
          <t>-I = headers only | -s = silent | -o = output file | -L = follow redirects | -v = verbose | -d = body</t>
        </is>
      </c>
      <c r="AA38" s="19" t="inlineStr">
        <is>
          <t>curl -L https://example.com/short</t>
        </is>
      </c>
      <c r="AB38" s="19" t="inlineStr">
        <is>
          <t>curl -H "Authorization: Bearer $TOKEN" https://example.com/api/me</t>
        </is>
      </c>
      <c r="AC38" s="19" t="inlineStr">
        <is>
          <t>curl -sS -o /dev/null -w "%{http_code}\n" https://example.com</t>
        </is>
      </c>
      <c r="AD38" s="19" t="inlineStr">
        <is>
          <t>curl --max-time 5 url   // give up after five seconds
curl -k url   // skip certificate checks, only for tests</t>
        </is>
      </c>
      <c r="AE38" s="18" t="inlineStr">
        <is>
          <t>grep, jq, ssh</t>
        </is>
      </c>
      <c r="AF38" s="18" t="inlineStr">
        <is>
          <t>HTTP and APIs, ping, dig</t>
        </is>
      </c>
      <c r="AG38" s="18" t="inlineStr">
        <is>
          <t>wget, or HTTPie</t>
        </is>
      </c>
      <c r="AH38" s="17" t="n"/>
      <c r="AI38" s="18" t="inlineStr">
        <is>
          <t>API tests | Health checks | Downloads in scripts</t>
        </is>
      </c>
      <c r="AJ38" s="18" t="inlineStr">
        <is>
          <t>A: Does the endpoint respond? | B: Run curl -I on it to see the status and headers.</t>
        </is>
      </c>
      <c r="AK38" s="18" t="inlineStr">
        <is>
          <t>✗ curl -k is a normal way to fix certificate errors → ✓ -k turns off certificate checking, which is unsafe outside quick tests</t>
        </is>
      </c>
      <c r="AL38" s="18" t="inlineStr">
        <is>
          <t>curl vs wget: curl is flexible for requests, wget is simple for downloads.</t>
        </is>
      </c>
      <c r="AM38" s="18" t="inlineStr">
        <is>
          <t>Do not use -k in scripts that handle real data.</t>
        </is>
      </c>
      <c r="AN38" s="19" t="inlineStr">
        <is>
          <t>curl -X POST https://example.com/api -d {"a":1}</t>
        </is>
      </c>
      <c r="AO38" s="19" t="inlineStr">
        <is>
          <t>curl -X POST https://example.com/api -H "Content-Type: application/json" -d '{"a":1}'</t>
        </is>
      </c>
      <c r="AP38" s="18" t="inlineStr">
        <is>
          <t>Remember that curl -v shows everything.</t>
        </is>
      </c>
      <c r="AQ38" s="18" t="inlineStr">
        <is>
          <t>Checking a customer's health endpoint from a script with curl.</t>
        </is>
      </c>
      <c r="AR38" s="18" t="inlineStr">
        <is>
          <t>An interviewer may ask: How do you test an API from the command line?</t>
        </is>
      </c>
      <c r="AS38" s="18" t="inlineStr">
        <is>
          <t>It is like a browser without a window.</t>
        </is>
      </c>
      <c r="AT38" s="18" t="inlineStr">
        <is>
          <t>Which curl option shows only the response headers?</t>
        </is>
      </c>
      <c r="AU38" s="18" t="inlineStr">
        <is>
          <t>A) -o B) -I C) -L D) -s</t>
        </is>
      </c>
      <c r="AV38" s="18" t="inlineStr">
        <is>
          <t>B</t>
        </is>
      </c>
      <c r="AW38" s="18" t="inlineStr">
        <is>
          <t>-I sends a HEAD request and prints the headers.</t>
        </is>
      </c>
      <c r="AX38" s="19" t="inlineStr">
        <is>
          <t>curl -____ follows redirects → L</t>
        </is>
      </c>
      <c r="AY38" s="18" t="inlineStr">
        <is>
          <t>Print only the HTTP status code of https://example.com.</t>
        </is>
      </c>
      <c r="AZ38" s="19" t="inlineStr">
        <is>
          <t>curl -s -o /dev/null -w "%{http_code}\n" https://example.com</t>
        </is>
      </c>
      <c r="BA38" s="18" t="inlineStr">
        <is>
          <t>Call a public endpoint with curl and read its headers.</t>
        </is>
      </c>
      <c r="BB38" s="19" t="inlineStr">
        <is>
          <t>Which option saves the response to a file?</t>
        </is>
      </c>
      <c r="BC38" s="19" t="inlineStr">
        <is>
          <t>-o</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108" customHeight="1">
      <c r="A39" s="17" t="inlineStr">
        <is>
          <t>LNX-042</t>
        </is>
      </c>
      <c r="B39" s="17" t="inlineStr">
        <is>
          <t>06 Network tools</t>
        </is>
      </c>
      <c r="C39" s="17" t="inlineStr">
        <is>
          <t>Intermediate</t>
        </is>
      </c>
      <c r="D39" s="17" t="n">
        <v>42</v>
      </c>
      <c r="E39" s="17" t="inlineStr">
        <is>
          <t>Claude knowledge</t>
        </is>
      </c>
      <c r="F39" s="18" t="inlineStr">
        <is>
          <t>ssh, scp and rsync</t>
        </is>
      </c>
      <c r="G39" s="18" t="inlineStr">
        <is>
          <t>Which commands log in to another machine securely, copy files to it, and sync folders efficiently?</t>
        </is>
      </c>
      <c r="H39" s="17" t="n"/>
      <c r="I39" s="18" t="inlineStr">
        <is>
          <t>Command</t>
        </is>
      </c>
      <c r="J39" s="18" t="inlineStr">
        <is>
          <t>Very high</t>
        </is>
      </c>
      <c r="K39" s="18" t="n">
        <v>5</v>
      </c>
      <c r="L39" s="18" t="inlineStr">
        <is>
          <t>Remote administration needs encryption, so SSH replaced older plain-text tools, and scp and rsync reuse it to move files.</t>
        </is>
      </c>
      <c r="M39" s="18" t="inlineStr">
        <is>
          <t>Add hosts to ~/.ssh/config with short names, so you can type ssh customer-prod.</t>
        </is>
      </c>
      <c r="N39" s="17" t="n"/>
      <c r="O39" s="18" t="inlineStr">
        <is>
          <t>ssh is a secure tunnel to another computer, scp posts a parcel through it, and rsync sends only what changed.</t>
        </is>
      </c>
      <c r="P39" s="18" t="inlineStr">
        <is>
          <t>A terminal prompt of a remote machine, and an arrow of files travelling over a lock.</t>
        </is>
      </c>
      <c r="Q39" s="18" t="inlineStr">
        <is>
          <t>The power of working on a distant server as if it were local.</t>
        </is>
      </c>
      <c r="R39" s="18" t="inlineStr">
        <is>
          <t>ssh opens a secure shell on another machine, scp copies files over it, and rsync synchronises folders by sending only differences.</t>
        </is>
      </c>
      <c r="S39" s="17" t="n"/>
      <c r="T39" s="19" t="inlineStr">
        <is>
          <t>ssh asha@203.0.113.10
ssh -i key.pem ubuntu@host
scp report.txt asha@host:/tmp/
rsync -avz ./site/ asha@host:/var/www/site/
ssh -L 5432:localhost:5432 asha@host</t>
        </is>
      </c>
      <c r="U39" s="19" t="inlineStr">
        <is>
          <t>A shell on the remote machine, a login with a key file, a file copied to /tmp, a folder synchronised with progress, and a tunnel so local port 5432 reaches the remote database.</t>
        </is>
      </c>
      <c r="V39" s="18" t="inlineStr">
        <is>
          <t>SSH authenticates with passwords or, better, key pairs. rsync -a keeps permissions and times, -v is verbose and -z compresses, and a trailing slash on the source copies its contents. Use --dry-run to preview. The -L option forwards a local port through the connection, which helps reach services that are not exposed publicly.</t>
        </is>
      </c>
      <c r="W39" s="18" t="inlineStr">
        <is>
          <t>Use ssh to log in, scp for a quick copy, and rsync for folders, since it sends only changes. Use key files instead of passwords.</t>
        </is>
      </c>
      <c r="X39" s="18" t="inlineStr">
        <is>
          <t>ssh is a secure tunnel, scp posts a parcel through it, and rsync sends only what changed.</t>
        </is>
      </c>
      <c r="Y39" s="19" t="inlineStr">
        <is>
          <t>ssh user@host  |  scp file user@host:path  |  rsync -avz src/ user@host:dest/</t>
        </is>
      </c>
      <c r="Z39" s="18" t="inlineStr">
        <is>
          <t>-i = key file | -p = port | -a = archive mode | -z = compress | -L = local port forward</t>
        </is>
      </c>
      <c r="AA39" s="19" t="inlineStr">
        <is>
          <t>ssh -p 2222 asha@host</t>
        </is>
      </c>
      <c r="AB39" s="19" t="inlineStr">
        <is>
          <t>scp -r folder asha@host:/home/asha/</t>
        </is>
      </c>
      <c r="AC39" s="19" t="inlineStr">
        <is>
          <t>rsync -av --delete src/ backup/</t>
        </is>
      </c>
      <c r="AD39" s="19" t="inlineStr">
        <is>
          <t>rsync -avn src/ dest/   // dry run, show what would change
ssh host 'tail -n 50 /var/log/syslog'   // run one remote command</t>
        </is>
      </c>
      <c r="AE39" s="18" t="inlineStr">
        <is>
          <t>SSH keys, config file, tunnels</t>
        </is>
      </c>
      <c r="AF39" s="18" t="inlineStr">
        <is>
          <t>SSH key permissions, curl, networking</t>
        </is>
      </c>
      <c r="AG39" s="18" t="inlineStr">
        <is>
          <t>sftp for interactive transfers</t>
        </is>
      </c>
      <c r="AH39" s="17" t="n"/>
      <c r="AI39" s="18" t="inlineStr">
        <is>
          <t>Remote servers | Deployments | Backups</t>
        </is>
      </c>
      <c r="AJ39" s="18" t="inlineStr">
        <is>
          <t>A: I need the customer's config file on my laptop. | B: Copy it with scp, or sync the folder with rsync.</t>
        </is>
      </c>
      <c r="AK39" s="18" t="inlineStr">
        <is>
          <t>✗ A trailing slash on the rsync source makes no difference → ✓ With a trailing slash rsync copies the contents of the folder, without it the folder itself is copied</t>
        </is>
      </c>
      <c r="AL39" s="18" t="inlineStr">
        <is>
          <t>scp vs rsync: scp copies everything every time, rsync sends only the differences.</t>
        </is>
      </c>
      <c r="AM39" s="18" t="inlineStr">
        <is>
          <t>Do not use --delete with rsync before a dry run.</t>
        </is>
      </c>
      <c r="AN39" s="19" t="inlineStr">
        <is>
          <t>rsync -avz site asha@host:/var/www/site/</t>
        </is>
      </c>
      <c r="AO39" s="19" t="inlineStr">
        <is>
          <t>rsync -avz site/ asha@host:/var/www/site/</t>
        </is>
      </c>
      <c r="AP39" s="18" t="inlineStr">
        <is>
          <t>Trailing slash copies the contents.</t>
        </is>
      </c>
      <c r="AQ39" s="18" t="inlineStr">
        <is>
          <t>Syncing a build folder to a customer server with rsync over SSH.</t>
        </is>
      </c>
      <c r="AR39" s="18" t="inlineStr">
        <is>
          <t>An interviewer may ask: How do you copy files securely to a server?</t>
        </is>
      </c>
      <c r="AS39" s="18" t="inlineStr">
        <is>
          <t>It is like a secure tunnel with parcels posted through it.</t>
        </is>
      </c>
      <c r="AT39" s="18" t="inlineStr">
        <is>
          <t>Which tool sends only changed files?</t>
        </is>
      </c>
      <c r="AU39" s="18" t="inlineStr">
        <is>
          <t>A) cat B) scp C) rsync D) mv</t>
        </is>
      </c>
      <c r="AV39" s="18" t="inlineStr">
        <is>
          <t>C</t>
        </is>
      </c>
      <c r="AW39" s="18" t="inlineStr">
        <is>
          <t>rsync compares source and target and sends differences.</t>
        </is>
      </c>
      <c r="AX39" s="19" t="inlineStr">
        <is>
          <t>ssh -____ selects a private key file → i</t>
        </is>
      </c>
      <c r="AY39" s="18" t="inlineStr">
        <is>
          <t>Copy report.txt to the /tmp folder of host server1 as user asha.</t>
        </is>
      </c>
      <c r="AZ39" s="19" t="inlineStr">
        <is>
          <t>scp report.txt asha@server1:/tmp/</t>
        </is>
      </c>
      <c r="BA39" s="18" t="inlineStr">
        <is>
          <t>Set up an ssh config entry and log in with the short name.</t>
        </is>
      </c>
      <c r="BB39" s="19" t="inlineStr">
        <is>
          <t>What does rsync -n do?</t>
        </is>
      </c>
      <c r="BC39" s="19" t="inlineStr">
        <is>
          <t>It does a dry run and shows what would be done.</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108" customHeight="1">
      <c r="A40" s="17" t="inlineStr">
        <is>
          <t>LNX-043</t>
        </is>
      </c>
      <c r="B40" s="17" t="inlineStr">
        <is>
          <t>06 Network tools</t>
        </is>
      </c>
      <c r="C40" s="17" t="inlineStr">
        <is>
          <t>Intermediate</t>
        </is>
      </c>
      <c r="D40" s="17" t="n">
        <v>43</v>
      </c>
      <c r="E40" s="17" t="inlineStr">
        <is>
          <t>Claude knowledge</t>
        </is>
      </c>
      <c r="F40" s="18" t="inlineStr">
        <is>
          <t>ss and listening ports</t>
        </is>
      </c>
      <c r="G40" s="18" t="inlineStr">
        <is>
          <t>Which command shows which ports your machine listens on and which connections are open?</t>
        </is>
      </c>
      <c r="H40" s="17" t="n"/>
      <c r="I40" s="18" t="inlineStr">
        <is>
          <t>Command</t>
        </is>
      </c>
      <c r="J40" s="18" t="inlineStr">
        <is>
          <t>High</t>
        </is>
      </c>
      <c r="K40" s="18" t="n">
        <v>5</v>
      </c>
      <c r="L40" s="18" t="inlineStr">
        <is>
          <t>To know whether a service is really listening you need to inspect sockets, and ss replaced the older netstat for this job.</t>
        </is>
      </c>
      <c r="M40" s="18" t="inlineStr">
        <is>
          <t>Run ss -tulpn with sudo to see which program owns each listening port.</t>
        </is>
      </c>
      <c r="N40" s="17" t="n"/>
      <c r="O40" s="18" t="inlineStr">
        <is>
          <t>ss lists the doors of the building that are open and who stands behind each one.</t>
        </is>
      </c>
      <c r="P40" s="18" t="inlineStr">
        <is>
          <t>A table of ports with the process name next to each listening one.</t>
        </is>
      </c>
      <c r="Q40" s="18" t="inlineStr">
        <is>
          <t>The satisfaction of finding the service that blocks a port.</t>
        </is>
      </c>
      <c r="R40" s="18" t="inlineStr">
        <is>
          <t>ss shows sockets, such as listening ports and established connections.</t>
        </is>
      </c>
      <c r="S40" s="17" t="n"/>
      <c r="T40" s="19" t="inlineStr">
        <is>
          <t>ss -tulpn
ss -tn state established
ss -ltn 'sport = :443'
sudo lsof -i :8080</t>
        </is>
      </c>
      <c r="U40" s="19" t="inlineStr">
        <is>
          <t>Listening TCP and UDP ports with their programs, established TCP connections, whether anything listens on port 443, and the process using port 8080.</t>
        </is>
      </c>
      <c r="V40" s="18" t="inlineStr">
        <is>
          <t>The flags -t and -u pick TCP and UDP, -l shows listening sockets, -p shows the process, -n shows numbers instead of names. Listening on 127.0.0.1 means only local connections are accepted, and 0.0.0.0 means all interfaces. If a service starts but cannot be reached, ss shows whether it listens and on which address.</t>
        </is>
      </c>
      <c r="W40" s="18" t="inlineStr">
        <is>
          <t>Use ss -tulpn to see which program listens on which port, and on which address. A service on 127.0.0.1 is not reachable from outside.</t>
        </is>
      </c>
      <c r="X40" s="18" t="inlineStr">
        <is>
          <t>It is like a list of the building's open doors and who stands behind each.</t>
        </is>
      </c>
      <c r="Y40" s="19" t="inlineStr">
        <is>
          <t>ss [options]</t>
        </is>
      </c>
      <c r="Z40" s="18" t="inlineStr">
        <is>
          <t>-t = TCP | -u = UDP | -l = listening | -p = process | -n = numeric</t>
        </is>
      </c>
      <c r="AA40" s="19" t="inlineStr">
        <is>
          <t>ss -ltn</t>
        </is>
      </c>
      <c r="AB40" s="19" t="inlineStr">
        <is>
          <t>ss -s</t>
        </is>
      </c>
      <c r="AC40" s="19" t="inlineStr">
        <is>
          <t>ss -tn dst 10.0.0.5</t>
        </is>
      </c>
      <c r="AD40" s="19" t="inlineStr">
        <is>
          <t>netstat -tulpn   // the older tool with similar output
nc -zv host 443   // test whether a port is open</t>
        </is>
      </c>
      <c r="AE40" s="18" t="inlineStr">
        <is>
          <t>lsof, firewall, curl</t>
        </is>
      </c>
      <c r="AF40" s="18" t="inlineStr">
        <is>
          <t>ip, curl, firewall</t>
        </is>
      </c>
      <c r="AG40" s="18" t="inlineStr">
        <is>
          <t>netstat on older systems</t>
        </is>
      </c>
      <c r="AH40" s="17" t="n"/>
      <c r="AI40" s="18" t="inlineStr">
        <is>
          <t>Port conflicts | Service checks | Firewall debugging</t>
        </is>
      </c>
      <c r="AJ40" s="18" t="inlineStr">
        <is>
          <t>A: My app starts but I cannot reach it from outside. | B: Check with ss whether it listens on 127.0.0.1 or on all interfaces.</t>
        </is>
      </c>
      <c r="AK40" s="18" t="inlineStr">
        <is>
          <t>✗ If a service is running, it is reachable from every machine → ✓ A service listening on 127.0.0.1 accepts only local connections</t>
        </is>
      </c>
      <c r="AL40" s="18" t="inlineStr">
        <is>
          <t>ss vs ping: ss shows local sockets, ping tests reaching another host.</t>
        </is>
      </c>
      <c r="AM40" s="18" t="inlineStr">
        <is>
          <t>Do not bind internal services to 0.0.0.0 without a firewall.</t>
        </is>
      </c>
      <c r="AN40" s="19" t="inlineStr">
        <is>
          <t>ss -tupln | grep 80</t>
        </is>
      </c>
      <c r="AO40" s="19" t="inlineStr">
        <is>
          <t>ss -tulpn | grep ':80 '</t>
        </is>
      </c>
      <c r="AP40" s="18" t="inlineStr">
        <is>
          <t>Listen on localhost means local only.</t>
        </is>
      </c>
      <c r="AQ40" s="18" t="inlineStr">
        <is>
          <t>Finding which process already used the port a new service needed.</t>
        </is>
      </c>
      <c r="AR40" s="18" t="inlineStr">
        <is>
          <t>An interviewer may ask: How do you check which process listens on a port?</t>
        </is>
      </c>
      <c r="AS40" s="18" t="inlineStr">
        <is>
          <t>It is like a list of the building's open doors.</t>
        </is>
      </c>
      <c r="AT40" s="18" t="inlineStr">
        <is>
          <t>Which flag of ss shows listening sockets?</t>
        </is>
      </c>
      <c r="AU40" s="18" t="inlineStr">
        <is>
          <t>A) -p B) -t C) -u D) -l</t>
        </is>
      </c>
      <c r="AV40" s="18" t="inlineStr">
        <is>
          <t>D</t>
        </is>
      </c>
      <c r="AW40" s="18" t="inlineStr">
        <is>
          <t>-l limits output to listening sockets.</t>
        </is>
      </c>
      <c r="AX40" s="19" t="inlineStr">
        <is>
          <t>A service bound to 127.0.0.1 accepts only ____ connections → local</t>
        </is>
      </c>
      <c r="AY40" s="18" t="inlineStr">
        <is>
          <t>Show all listening TCP ports with their process names.</t>
        </is>
      </c>
      <c r="AZ40" s="19" t="inlineStr">
        <is>
          <t>sudo ss -ltnp</t>
        </is>
      </c>
      <c r="BA40" s="18" t="inlineStr">
        <is>
          <t>Find which program listens on port 22 of your machine.</t>
        </is>
      </c>
      <c r="BB40" s="19" t="inlineStr">
        <is>
          <t>What does 0.0.0.0 mean as a listening address?</t>
        </is>
      </c>
      <c r="BC40" s="19" t="inlineStr">
        <is>
          <t>The service listens on all network interfaces.</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108" customHeight="1">
      <c r="A41" s="17" t="inlineStr">
        <is>
          <t>LNX-044</t>
        </is>
      </c>
      <c r="B41" s="17" t="inlineStr">
        <is>
          <t>06 Network tools</t>
        </is>
      </c>
      <c r="C41" s="17" t="inlineStr">
        <is>
          <t>Intermediate</t>
        </is>
      </c>
      <c r="D41" s="17" t="n">
        <v>44</v>
      </c>
      <c r="E41" s="17" t="inlineStr">
        <is>
          <t>Claude knowledge</t>
        </is>
      </c>
      <c r="F41" s="18" t="inlineStr">
        <is>
          <t>ip and network interfaces</t>
        </is>
      </c>
      <c r="G41" s="18" t="inlineStr">
        <is>
          <t>Which command shows your IP addresses, network interfaces and routes?</t>
        </is>
      </c>
      <c r="H41" s="17" t="n"/>
      <c r="I41" s="18" t="inlineStr">
        <is>
          <t>Command</t>
        </is>
      </c>
      <c r="J41" s="18" t="inlineStr">
        <is>
          <t>High</t>
        </is>
      </c>
      <c r="K41" s="18" t="n">
        <v>4</v>
      </c>
      <c r="L41" s="18" t="inlineStr">
        <is>
          <t>To debug a connection you must know your own address and route, and ip replaced the older ifconfig and route commands.</t>
        </is>
      </c>
      <c r="M41" s="18" t="inlineStr">
        <is>
          <t>Use ip -br a for a short summary of interfaces and addresses.</t>
        </is>
      </c>
      <c r="N41" s="17" t="n"/>
      <c r="O41" s="18" t="inlineStr">
        <is>
          <t>ip is the map of your machine's network connections and roads.</t>
        </is>
      </c>
      <c r="P41" s="18" t="inlineStr">
        <is>
          <t>A list of interfaces with addresses and a default route line.</t>
        </is>
      </c>
      <c r="Q41" s="18" t="inlineStr">
        <is>
          <t>The clarity of knowing which way traffic leaves the machine.</t>
        </is>
      </c>
      <c r="R41" s="18" t="inlineStr">
        <is>
          <t>ip shows and changes interfaces, addresses and routes.</t>
        </is>
      </c>
      <c r="S41" s="17" t="n"/>
      <c r="T41" s="19" t="inlineStr">
        <is>
          <t>ip addr
ip -br a
ip route
ip route get 8.8.8.8
ip link show</t>
        </is>
      </c>
      <c r="U41" s="19" t="inlineStr">
        <is>
          <t>Interfaces with addresses, a short summary, the routing table with the default route, the route used to reach 8.8.8.8, and the state of the links.</t>
        </is>
      </c>
      <c r="V41" s="18" t="inlineStr">
        <is>
          <t>ip addr lists addresses on each interface such as eth0, with the loopback lo at 127.0.0.1. ip route shows where traffic goes, and the default route is the gateway for everything else. ip route get tells you which interface and gateway a destination uses. Changes made with ip are lost at reboot unless saved in network configuration.</t>
        </is>
      </c>
      <c r="W41" s="18" t="inlineStr">
        <is>
          <t>Use ip addr to see your address and ip route to see the gateway. If the default route is missing, nothing outside the local network is reachable.</t>
        </is>
      </c>
      <c r="X41" s="18" t="inlineStr">
        <is>
          <t>It is like a map of your machine's connections and roads.</t>
        </is>
      </c>
      <c r="Y41" s="19" t="inlineStr">
        <is>
          <t>ip addr  |  ip route  |  ip link</t>
        </is>
      </c>
      <c r="Z41" s="18" t="inlineStr">
        <is>
          <t>addr = addresses | route = routing table | link = interface state | -br = brief</t>
        </is>
      </c>
      <c r="AA41" s="19" t="inlineStr">
        <is>
          <t>ip addr show eth0</t>
        </is>
      </c>
      <c r="AB41" s="19" t="inlineStr">
        <is>
          <t>ip route | grep default</t>
        </is>
      </c>
      <c r="AC41" s="19" t="inlineStr">
        <is>
          <t>ip neigh</t>
        </is>
      </c>
      <c r="AD41" s="19" t="inlineStr">
        <is>
          <t>hostname -I   // print the host's addresses
ifconfig   // older tool, may be missing</t>
        </is>
      </c>
      <c r="AE41" s="18" t="inlineStr">
        <is>
          <t>ping, ss, dig</t>
        </is>
      </c>
      <c r="AF41" s="18" t="inlineStr">
        <is>
          <t>ping, ss, dig</t>
        </is>
      </c>
      <c r="AG41" s="18" t="inlineStr">
        <is>
          <t>nmcli on systems with NetworkManager</t>
        </is>
      </c>
      <c r="AH41" s="17" t="n"/>
      <c r="AI41" s="18" t="inlineStr">
        <is>
          <t>Network debugging | Cloud servers | Containers</t>
        </is>
      </c>
      <c r="AJ41" s="18" t="inlineStr">
        <is>
          <t>A: The server cannot reach the internet. | B: Check ip route for a default gateway.</t>
        </is>
      </c>
      <c r="AK41" s="18" t="inlineStr">
        <is>
          <t>✗ ip changes survive a reboot → ✓ Changes made with ip are temporary unless saved in the network configuration</t>
        </is>
      </c>
      <c r="AL41" s="18" t="inlineStr">
        <is>
          <t>ip vs ifconfig: ip is the modern tool, ifconfig is older and often not installed.</t>
        </is>
      </c>
      <c r="AM41" s="18" t="inlineStr">
        <is>
          <t>Do not change routes on a remote machine without a way back in.</t>
        </is>
      </c>
      <c r="AN41" s="19" t="inlineStr">
        <is>
          <t>ip show addr</t>
        </is>
      </c>
      <c r="AO41" s="19" t="inlineStr">
        <is>
          <t>ip addr show</t>
        </is>
      </c>
      <c r="AP41" s="18" t="inlineStr">
        <is>
          <t>ip addr shows addresses, ip route shows roads.</t>
        </is>
      </c>
      <c r="AQ41" s="18" t="inlineStr">
        <is>
          <t>Finding the right interface and gateway on a customer's virtual machine.</t>
        </is>
      </c>
      <c r="AR41" s="18" t="inlineStr">
        <is>
          <t>An interviewer may ask: What is a default route?</t>
        </is>
      </c>
      <c r="AS41" s="18" t="inlineStr">
        <is>
          <t>It is like a map of connections and roads.</t>
        </is>
      </c>
      <c r="AT41" s="18" t="inlineStr">
        <is>
          <t>Which command shows the routing table?</t>
        </is>
      </c>
      <c r="AU41" s="18" t="inlineStr">
        <is>
          <t>A) ip route B) ip addr C) ip link D) ip neigh</t>
        </is>
      </c>
      <c r="AV41" s="18" t="inlineStr">
        <is>
          <t>A</t>
        </is>
      </c>
      <c r="AW41" s="18" t="inlineStr">
        <is>
          <t>ip route lists the routes.</t>
        </is>
      </c>
      <c r="AX41" s="19" t="inlineStr">
        <is>
          <t>The loopback address is 127.0.0.____ → 1</t>
        </is>
      </c>
      <c r="AY41" s="18" t="inlineStr">
        <is>
          <t>Show a brief list of interfaces and addresses.</t>
        </is>
      </c>
      <c r="AZ41" s="19" t="inlineStr">
        <is>
          <t>ip -br a</t>
        </is>
      </c>
      <c r="BA41" s="18" t="inlineStr">
        <is>
          <t>Find the default gateway of your machine.</t>
        </is>
      </c>
      <c r="BB41" s="19" t="inlineStr">
        <is>
          <t>Which command shows the route used to reach a given address?</t>
        </is>
      </c>
      <c r="BC41" s="19" t="inlineStr">
        <is>
          <t>ip route get address</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94.5" customHeight="1">
      <c r="A42" s="17" t="inlineStr">
        <is>
          <t>LNX-045</t>
        </is>
      </c>
      <c r="B42" s="17" t="inlineStr">
        <is>
          <t>06 Network tools</t>
        </is>
      </c>
      <c r="C42" s="17" t="inlineStr">
        <is>
          <t>Intermediate</t>
        </is>
      </c>
      <c r="D42" s="17" t="n">
        <v>45</v>
      </c>
      <c r="E42" s="17" t="inlineStr">
        <is>
          <t>Claude knowledge</t>
        </is>
      </c>
      <c r="F42" s="18" t="inlineStr">
        <is>
          <t>dig and DNS lookups</t>
        </is>
      </c>
      <c r="G42" s="18" t="inlineStr">
        <is>
          <t>Which command asks DNS servers what a name resolves to, and shows the full answer?</t>
        </is>
      </c>
      <c r="H42" s="17" t="n"/>
      <c r="I42" s="18" t="inlineStr">
        <is>
          <t>Command</t>
        </is>
      </c>
      <c r="J42" s="18" t="inlineStr">
        <is>
          <t>High</t>
        </is>
      </c>
      <c r="K42" s="18" t="n">
        <v>5</v>
      </c>
      <c r="L42" s="18" t="inlineStr">
        <is>
          <t>Many outages are really DNS problems, so dig lets you query name servers directly and see the answer, the time and the server that gave it.</t>
        </is>
      </c>
      <c r="M42" s="18" t="inlineStr">
        <is>
          <t>Use dig +short for just the answer, and @server to ask a specific DNS server.</t>
        </is>
      </c>
      <c r="N42" s="17" t="n"/>
      <c r="O42" s="18" t="inlineStr">
        <is>
          <t>dig digs into the phone book of the internet and shows you the entry.</t>
        </is>
      </c>
      <c r="P42" s="18" t="inlineStr">
        <is>
          <t>A query for a name with an answer section holding an address.</t>
        </is>
      </c>
      <c r="Q42" s="18" t="inlineStr">
        <is>
          <t>The relief of proving that DNS is the problem.</t>
        </is>
      </c>
      <c r="R42" s="18" t="inlineStr">
        <is>
          <t>dig queries DNS servers for records such as A, AAAA, CNAME, MX and TXT.</t>
        </is>
      </c>
      <c r="S42" s="17" t="n"/>
      <c r="T42" s="19" t="inlineStr">
        <is>
          <t>dig example.com
dig +short example.com
dig example.com MX
dig @8.8.8.8 example.com
dig -x 8.8.8.8</t>
        </is>
      </c>
      <c r="U42" s="19" t="inlineStr">
        <is>
          <t>The full answer for the name, just the address, the mail server records, the answer from a specific resolver, and the name for an address.</t>
        </is>
      </c>
      <c r="V42" s="18" t="inlineStr">
        <is>
          <t>The answer section lists the records and their time to live, which says how long the answer may be cached. Asking different resolvers can show whether a change has spread. A CNAME points a name to another name, and MX records name the mail servers. -x does a reverse lookup from an address to a name.</t>
        </is>
      </c>
      <c r="W42" s="18" t="inlineStr">
        <is>
          <t>Use dig to ask DNS directly. Compare answers from different servers when a name works in one place but not another.</t>
        </is>
      </c>
      <c r="X42" s="18" t="inlineStr">
        <is>
          <t>It is like looking up an entry in the internet's phone book.</t>
        </is>
      </c>
      <c r="Y42" s="19" t="inlineStr">
        <is>
          <t>dig [@server] name [type]</t>
        </is>
      </c>
      <c r="Z42" s="18" t="inlineStr">
        <is>
          <t>@server = which resolver | type = A, MX, TXT, CNAME | +short = answer only | -x = reverse lookup</t>
        </is>
      </c>
      <c r="AA42" s="19" t="inlineStr">
        <is>
          <t>dig api.example.com A</t>
        </is>
      </c>
      <c r="AB42" s="19" t="inlineStr">
        <is>
          <t>dig +short TXT example.com</t>
        </is>
      </c>
      <c r="AC42" s="19" t="inlineStr">
        <is>
          <t>dig @1.1.1.1 example.com</t>
        </is>
      </c>
      <c r="AD42" s="19" t="inlineStr">
        <is>
          <t>dig +trace example.com   // follow the delegation from the root
nslookup example.com   // older, simpler tool</t>
        </is>
      </c>
      <c r="AE42" s="18" t="inlineStr">
        <is>
          <t>ping, curl, ip</t>
        </is>
      </c>
      <c r="AF42" s="18" t="inlineStr">
        <is>
          <t>ping, networking basics, curl</t>
        </is>
      </c>
      <c r="AG42" s="18" t="inlineStr">
        <is>
          <t>nslookup or host</t>
        </is>
      </c>
      <c r="AH42" s="17" t="n"/>
      <c r="AI42" s="18" t="inlineStr">
        <is>
          <t>DNS problems | Mail setup | Migrations</t>
        </is>
      </c>
      <c r="AJ42" s="18" t="inlineStr">
        <is>
          <t>A: The new site address works for me but not for the customer. | B: Query their resolver with dig, since the old record may still be cached.</t>
        </is>
      </c>
      <c r="AK42" s="18" t="inlineStr">
        <is>
          <t>✗ A DNS change takes effect everywhere at once → ✓ Caches keep old answers until the time to live ends, so changes spread gradually</t>
        </is>
      </c>
      <c r="AL42" s="18" t="inlineStr">
        <is>
          <t>dig vs ping: dig asks what a name means, ping tests reaching the address.</t>
        </is>
      </c>
      <c r="AM42" s="18" t="inlineStr">
        <is>
          <t>Do not change DNS records without noting their TTL.</t>
        </is>
      </c>
      <c r="AN42" s="19" t="inlineStr">
        <is>
          <t>dig MX example.com @</t>
        </is>
      </c>
      <c r="AO42" s="19" t="inlineStr">
        <is>
          <t>dig example.com MX</t>
        </is>
      </c>
      <c r="AP42" s="18" t="inlineStr">
        <is>
          <t>dig the name, then check the answer section.</t>
        </is>
      </c>
      <c r="AQ42" s="18" t="inlineStr">
        <is>
          <t>Checking that a customer's new domain points at the right server.</t>
        </is>
      </c>
      <c r="AR42" s="18" t="inlineStr">
        <is>
          <t>An interviewer may ask: What is TTL in DNS?</t>
        </is>
      </c>
      <c r="AS42" s="18" t="inlineStr">
        <is>
          <t>It is like looking up an entry in a phone book.</t>
        </is>
      </c>
      <c r="AT42" s="18" t="inlineStr">
        <is>
          <t>Which record type names mail servers?</t>
        </is>
      </c>
      <c r="AU42" s="18" t="inlineStr">
        <is>
          <t>A) MX B) A C) CNAME D) TXT</t>
        </is>
      </c>
      <c r="AV42" s="18" t="inlineStr">
        <is>
          <t>A</t>
        </is>
      </c>
      <c r="AW42" s="18" t="inlineStr">
        <is>
          <t>MX records point to the mail servers of a domain.</t>
        </is>
      </c>
      <c r="AX42" s="19" t="inlineStr">
        <is>
          <t>dig ____ example.com prints only the answer → +short</t>
        </is>
      </c>
      <c r="AY42" s="18" t="inlineStr">
        <is>
          <t>Show only the IP address of example.com.</t>
        </is>
      </c>
      <c r="AZ42" s="19" t="inlineStr">
        <is>
          <t>dig +short example.com</t>
        </is>
      </c>
      <c r="BA42" s="18" t="inlineStr">
        <is>
          <t>Compare the answers of two public resolvers for one name.</t>
        </is>
      </c>
      <c r="BB42" s="19" t="inlineStr">
        <is>
          <t>What does TTL mean in a DNS answer?</t>
        </is>
      </c>
      <c r="BC42" s="19" t="inlineStr">
        <is>
          <t>How long the answer may be cached.</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row r="43" ht="94.5" customHeight="1">
      <c r="A43" s="17" t="inlineStr">
        <is>
          <t>LNX-046</t>
        </is>
      </c>
      <c r="B43" s="17" t="inlineStr">
        <is>
          <t>07 Bash scripting</t>
        </is>
      </c>
      <c r="C43" s="17" t="inlineStr">
        <is>
          <t>Beginner</t>
        </is>
      </c>
      <c r="D43" s="17" t="n">
        <v>46</v>
      </c>
      <c r="E43" s="17" t="inlineStr">
        <is>
          <t>Claude knowledge</t>
        </is>
      </c>
      <c r="F43" s="18" t="inlineStr">
        <is>
          <t>Shebang and running a script</t>
        </is>
      </c>
      <c r="G43" s="18" t="inlineStr">
        <is>
          <t>Which first line tells the system which interpreter should run a script, and what must you do before you can run it directly?</t>
        </is>
      </c>
      <c r="H43" s="17" t="n"/>
      <c r="I43" s="18" t="inlineStr">
        <is>
          <t>Scripting basics</t>
        </is>
      </c>
      <c r="J43" s="18" t="inlineStr">
        <is>
          <t>Very high</t>
        </is>
      </c>
      <c r="K43" s="18" t="n">
        <v>5</v>
      </c>
      <c r="L43" s="18" t="inlineStr">
        <is>
          <t>A file of commands needs to say which program should read it, so the first line starts with a hash and exclamation mark followed by the interpreter's path.</t>
        </is>
      </c>
      <c r="M43" s="18" t="inlineStr">
        <is>
          <t>Use #!/usr/bin/env bash so the system finds Bash wherever it is installed.</t>
        </is>
      </c>
      <c r="N43" s="17" t="n"/>
      <c r="O43" s="18" t="inlineStr">
        <is>
          <t>The shebang is the label on the envelope telling the post office which clerk should read the letter.</t>
        </is>
      </c>
      <c r="P43" s="18" t="inlineStr">
        <is>
          <t>A script whose first line names the interpreter, then a command that runs it.</t>
        </is>
      </c>
      <c r="Q43" s="18" t="inlineStr">
        <is>
          <t>The pride of your first script that runs.</t>
        </is>
      </c>
      <c r="R43" s="18" t="inlineStr">
        <is>
          <t>The shebang line names the interpreter for a script, and the file must have the execute permission to run directly.</t>
        </is>
      </c>
      <c r="S43" s="17" t="n"/>
      <c r="T43" s="19" t="inlineStr">
        <is>
          <t>#!/usr/bin/env bash
echo "Hello from a script"
# save as hello.sh, then:
chmod +x hello.sh
./hello.sh
bash hello.sh</t>
        </is>
      </c>
      <c r="U43" s="19" t="inlineStr">
        <is>
          <t>Hello from a script, printed both when the file is run directly and when it is passed to bash.</t>
        </is>
      </c>
      <c r="V43" s="18" t="inlineStr">
        <is>
          <t>Without the shebang, the system may use the wrong shell. The file needs the execute bit to run as ./hello.sh, but bash hello.sh works without it. The ./ is needed because the current folder is not in PATH. Comments start with a hash, and the first line is a special comment for the system.</t>
        </is>
      </c>
      <c r="W43" s="18" t="inlineStr">
        <is>
          <t>Start the script with a shebang, make it executable, and run it with ./name. Or run it through bash without changing permissions.</t>
        </is>
      </c>
      <c r="X43" s="18" t="inlineStr">
        <is>
          <t>It is like a label on an envelope that names the clerk who should read the letter.</t>
        </is>
      </c>
      <c r="Y43" s="19" t="inlineStr">
        <is>
          <t>#!/usr/bin/env bash</t>
        </is>
      </c>
      <c r="Z43" s="18" t="inlineStr">
        <is>
          <t>#! = shebang | /usr/bin/env bash = find bash | chmod +x = make it executable | ./ = run from the current folder</t>
        </is>
      </c>
      <c r="AA43" s="19" t="inlineStr">
        <is>
          <t>#!/bin/bash</t>
        </is>
      </c>
      <c r="AB43" s="19" t="inlineStr">
        <is>
          <t>#!/usr/bin/env python3</t>
        </is>
      </c>
      <c r="AC43" s="19" t="inlineStr">
        <is>
          <t>./deploy.sh</t>
        </is>
      </c>
      <c r="AD43" s="19" t="inlineStr">
        <is>
          <t>bash -x script.sh   // run with trace to debug
source script.sh   // run inside the current shell</t>
        </is>
      </c>
      <c r="AE43" s="18" t="inlineStr">
        <is>
          <t>chmod, PATH, variables</t>
        </is>
      </c>
      <c r="AF43" s="18" t="inlineStr">
        <is>
          <t>chmod, PATH, variables</t>
        </is>
      </c>
      <c r="AG43" s="18" t="inlineStr">
        <is>
          <t>Making a script part of a package or a Makefile</t>
        </is>
      </c>
      <c r="AH43" s="17" t="n"/>
      <c r="AI43" s="18" t="inlineStr">
        <is>
          <t>Automation | Deployment | Setup scripts</t>
        </is>
      </c>
      <c r="AJ43" s="18" t="inlineStr">
        <is>
          <t>A: Permission denied when I run ./script.sh. | B: Add the execute bit with chmod +x, or run it with bash.</t>
        </is>
      </c>
      <c r="AK43" s="18" t="inlineStr">
        <is>
          <t>✗ The shebang line is just a comment and does nothing → ✓ The system reads the shebang to choose the interpreter when you run the file directly</t>
        </is>
      </c>
      <c r="AL43" s="18" t="inlineStr">
        <is>
          <t>./script.sh vs bash script.sh: the first needs the execute bit and uses the shebang, the second uses Bash regardless.</t>
        </is>
      </c>
      <c r="AM43" s="18" t="inlineStr">
        <is>
          <t>Do not forget ./ when running a script in the current folder.</t>
        </is>
      </c>
      <c r="AN43" s="19" t="inlineStr">
        <is>
          <t>hello.sh</t>
        </is>
      </c>
      <c r="AO43" s="19" t="inlineStr">
        <is>
          <t>./hello.sh</t>
        </is>
      </c>
      <c r="AP43" s="18" t="inlineStr">
        <is>
          <t>The shebang names the interpreter to use.</t>
        </is>
      </c>
      <c r="AQ43" s="18" t="inlineStr">
        <is>
          <t>Writing a setup script for a customer server that starts with a shebang.</t>
        </is>
      </c>
      <c r="AR43" s="18" t="inlineStr">
        <is>
          <t>An interviewer may ask: What is the shebang line for?</t>
        </is>
      </c>
      <c r="AS43" s="18" t="inlineStr">
        <is>
          <t>It is like a label on an envelope naming the clerk who will read it.</t>
        </is>
      </c>
      <c r="AT43" s="18" t="inlineStr">
        <is>
          <t>What does the first line #!/usr/bin/env bash do?</t>
        </is>
      </c>
      <c r="AU43" s="18" t="inlineStr">
        <is>
          <t>A) Locks the file B) Deletes the script C) Counts lines D) Names the interpreter</t>
        </is>
      </c>
      <c r="AV43" s="18" t="inlineStr">
        <is>
          <t>D</t>
        </is>
      </c>
      <c r="AW43" s="18" t="inlineStr">
        <is>
          <t>The system uses it to pick the program that runs the script.</t>
        </is>
      </c>
      <c r="AX43" s="19" t="inlineStr">
        <is>
          <t>To run ./hello.sh directly, the file needs the ____ permission → execute</t>
        </is>
      </c>
      <c r="AY43" s="18" t="inlineStr">
        <is>
          <t>Make deploy.sh executable and run it.</t>
        </is>
      </c>
      <c r="AZ43" s="19" t="inlineStr">
        <is>
          <t>chmod +x deploy.sh &amp;&amp; ./deploy.sh</t>
        </is>
      </c>
      <c r="BA43" s="18" t="inlineStr">
        <is>
          <t>Write a script that prints today's date and run it both ways.</t>
        </is>
      </c>
      <c r="BB43" s="19" t="inlineStr">
        <is>
          <t>Why is ./ needed before a script name?</t>
        </is>
      </c>
      <c r="BC43" s="19" t="inlineStr">
        <is>
          <t>Because the current folder is not in PATH.</t>
        </is>
      </c>
      <c r="BD43" s="17">
        <f>IF(K43="","",REPT("★",K43)&amp;REPT("☆",5-K43)&amp;" ("&amp;K43&amp;"/5)")</f>
        <v/>
      </c>
      <c r="BE43" s="17">
        <f>IF(S43="","","Meaning: "&amp;S43&amp;"  =  ______   (Answer: "&amp;F43&amp;")")</f>
        <v/>
      </c>
      <c r="BF43" s="17" t="inlineStr">
        <is>
          <t>New</t>
        </is>
      </c>
      <c r="BG43" s="17" t="n"/>
      <c r="BH43" s="17" t="n"/>
      <c r="BI43" s="17" t="n"/>
      <c r="BJ43" s="17" t="n"/>
      <c r="BK43" s="17" t="n"/>
      <c r="BL43" s="17" t="n"/>
      <c r="BM43" s="17" t="n"/>
      <c r="BN43" s="17" t="n"/>
    </row>
    <row r="44" ht="94.5" customHeight="1">
      <c r="A44" s="17" t="inlineStr">
        <is>
          <t>LNX-047</t>
        </is>
      </c>
      <c r="B44" s="17" t="inlineStr">
        <is>
          <t>07 Bash scripting</t>
        </is>
      </c>
      <c r="C44" s="17" t="inlineStr">
        <is>
          <t>Beginner</t>
        </is>
      </c>
      <c r="D44" s="17" t="n">
        <v>47</v>
      </c>
      <c r="E44" s="17" t="inlineStr">
        <is>
          <t>Claude knowledge</t>
        </is>
      </c>
      <c r="F44" s="18" t="inlineStr">
        <is>
          <t>Variables in Bash</t>
        </is>
      </c>
      <c r="G44" s="18" t="inlineStr">
        <is>
          <t>How do you store a value under a name in Bash, and why must you be careful with spaces and quotes?</t>
        </is>
      </c>
      <c r="H44" s="17" t="n"/>
      <c r="I44" s="18" t="inlineStr">
        <is>
          <t>Scripting basics</t>
        </is>
      </c>
      <c r="J44" s="18" t="inlineStr">
        <is>
          <t>Very high</t>
        </is>
      </c>
      <c r="K44" s="18" t="n">
        <v>5</v>
      </c>
      <c r="L44" s="18" t="inlineStr">
        <is>
          <t>Scripts repeat values such as paths and names, so shells provide variables, with strict spacing rules inherited from the early Bourne shell.</t>
        </is>
      </c>
      <c r="M44" s="18" t="inlineStr">
        <is>
          <t>Always put double quotes around variable expansions, such as "$name", to protect spaces.</t>
        </is>
      </c>
      <c r="N44" s="17" t="n"/>
      <c r="O44" s="18" t="inlineStr">
        <is>
          <t>A variable is a labelled box, and quotes keep the contents from spilling into separate words.</t>
        </is>
      </c>
      <c r="P44" s="18" t="inlineStr">
        <is>
          <t>A name on a box with a value inside and a dollar sign used to read it.</t>
        </is>
      </c>
      <c r="Q44" s="18" t="inlineStr">
        <is>
          <t>The satisfaction of a script that is easy to change.</t>
        </is>
      </c>
      <c r="R44" s="18" t="inlineStr">
        <is>
          <t>A variable is set as name=value with no spaces around the equals sign, and read with $name.</t>
        </is>
      </c>
      <c r="S44" s="17" t="n"/>
      <c r="T44" s="19" t="inlineStr">
        <is>
          <t>name="Asha"
echo "Hello, $name"
files=$(ls | wc -l)
echo "There are $files files"
echo "${name}_backup"</t>
        </is>
      </c>
      <c r="U44" s="19" t="inlineStr">
        <is>
          <t>Hello, Asha, then the number of files in the folder, and Asha_backup.</t>
        </is>
      </c>
      <c r="V44" s="18" t="inlineStr">
        <is>
          <t>There must be no spaces around the equals sign. $(...) runs a command and captures its output. Double quotes allow variables to expand, and single quotes do not. Without quotes, a value with spaces splits into separate words, which breaks many commands. Curly braces ${name} mark where the name ends.</t>
        </is>
      </c>
      <c r="W44" s="18" t="inlineStr">
        <is>
          <t>Set with name=value, read with $name, and quote it. Use $( ) to store the result of a command.</t>
        </is>
      </c>
      <c r="X44" s="18" t="inlineStr">
        <is>
          <t>It is like a labelled box, and quotes keep the contents together.</t>
        </is>
      </c>
      <c r="Y44" s="19" t="inlineStr">
        <is>
          <t>name=value  |  "$name"  |  $(command)</t>
        </is>
      </c>
      <c r="Z44" s="18" t="inlineStr">
        <is>
          <t>name=value = assign, no spaces | $name = read | ${name} = clear boundary | $(cmd) = command result</t>
        </is>
      </c>
      <c r="AA44" s="19" t="inlineStr">
        <is>
          <t>dir="/var/log"</t>
        </is>
      </c>
      <c r="AB44" s="19" t="inlineStr">
        <is>
          <t>today=$(date +%F)</t>
        </is>
      </c>
      <c r="AC44" s="19" t="inlineStr">
        <is>
          <t>echo "Backup at $today in ${dir}"</t>
        </is>
      </c>
      <c r="AD44" s="19" t="inlineStr">
        <is>
          <t>readonly PI=3.14   // a value that cannot change
name=${1:-guest}   // default value when empty</t>
        </is>
      </c>
      <c r="AE44" s="18" t="inlineStr">
        <is>
          <t>quotes, scripts, environment variables</t>
        </is>
      </c>
      <c r="AF44" s="18" t="inlineStr">
        <is>
          <t>environment variables, conditionals, loops</t>
        </is>
      </c>
      <c r="AG44" s="18" t="inlineStr">
        <is>
          <t>Config files read by the script</t>
        </is>
      </c>
      <c r="AH44" s="17" t="n"/>
      <c r="AI44" s="18" t="inlineStr">
        <is>
          <t>Scripts | Paths and names | Command results</t>
        </is>
      </c>
      <c r="AJ44" s="18" t="inlineStr">
        <is>
          <t>A: My script breaks on file names with spaces. | B: Put double quotes around the variable expansions.</t>
        </is>
      </c>
      <c r="AK44" s="18" t="inlineStr">
        <is>
          <t>✗ Spaces around the equals sign are fine in Bash → ✓ name = value is an error, and it must be name=value with no spaces</t>
        </is>
      </c>
      <c r="AL44" s="18" t="inlineStr">
        <is>
          <t>Single vs double quotes: double quotes expand variables, single quotes keep text literally.</t>
        </is>
      </c>
      <c r="AM44" s="18" t="inlineStr">
        <is>
          <t>Do not leave variable expansions unquoted.</t>
        </is>
      </c>
      <c r="AN44" s="19" t="inlineStr">
        <is>
          <t>name = "Asha"</t>
        </is>
      </c>
      <c r="AO44" s="19" t="inlineStr">
        <is>
          <t>name="Asha"</t>
        </is>
      </c>
      <c r="AP44" s="18" t="inlineStr">
        <is>
          <t>No spaces around the equals sign.</t>
        </is>
      </c>
      <c r="AQ44" s="18" t="inlineStr">
        <is>
          <t>Storing a release folder name in a variable so a deployment script can reuse it.</t>
        </is>
      </c>
      <c r="AR44" s="18" t="inlineStr">
        <is>
          <t>An interviewer may ask: Why do you quote variables in Bash?</t>
        </is>
      </c>
      <c r="AS44" s="18" t="inlineStr">
        <is>
          <t>It is like a labelled box.</t>
        </is>
      </c>
      <c r="AT44" s="18" t="inlineStr">
        <is>
          <t>How do you assign a variable correctly in Bash?</t>
        </is>
      </c>
      <c r="AU44" s="18" t="inlineStr">
        <is>
          <t>A) Put spaces on both sides of the equals sign B) Write the name, an equals sign and the value with no spaces C) Start the name with a dollar sign when assigning D) Use the set keyword followed by spaces</t>
        </is>
      </c>
      <c r="AV44" s="18" t="inlineStr">
        <is>
          <t>B</t>
        </is>
      </c>
      <c r="AW44" s="18" t="inlineStr">
        <is>
          <t>Assignment has no spaces around the equals sign and no dollar on the left.</t>
        </is>
      </c>
      <c r="AX44" s="19" t="inlineStr">
        <is>
          <t>Wrapping a command in $( ) captures its ____ → output</t>
        </is>
      </c>
      <c r="AY44" s="18" t="inlineStr">
        <is>
          <t>Store the current date in a variable called today.</t>
        </is>
      </c>
      <c r="AZ44" s="19" t="inlineStr">
        <is>
          <t>today=$(date +%F)</t>
        </is>
      </c>
      <c r="BA44" s="18" t="inlineStr">
        <is>
          <t>Write a script with three variables and print them in a sentence.</t>
        </is>
      </c>
      <c r="BB44" s="19" t="inlineStr">
        <is>
          <t>What is the difference between "$name" and '$name'?</t>
        </is>
      </c>
      <c r="BC44" s="19" t="inlineStr">
        <is>
          <t>Double quotes expand the variable, single quotes keep the text as it is.</t>
        </is>
      </c>
      <c r="BD44" s="17">
        <f>IF(K44="","",REPT("★",K44)&amp;REPT("☆",5-K44)&amp;" ("&amp;K44&amp;"/5)")</f>
        <v/>
      </c>
      <c r="BE44" s="17">
        <f>IF(S44="","","Meaning: "&amp;S44&amp;"  =  ______   (Answer: "&amp;F44&amp;")")</f>
        <v/>
      </c>
      <c r="BF44" s="17" t="inlineStr">
        <is>
          <t>New</t>
        </is>
      </c>
      <c r="BG44" s="17" t="n"/>
      <c r="BH44" s="17" t="n"/>
      <c r="BI44" s="17" t="n"/>
      <c r="BJ44" s="17" t="n"/>
      <c r="BK44" s="17" t="n"/>
      <c r="BL44" s="17" t="n"/>
      <c r="BM44" s="17" t="n"/>
      <c r="BN44" s="17" t="n"/>
    </row>
    <row r="45" ht="108" customHeight="1">
      <c r="A45" s="17" t="inlineStr">
        <is>
          <t>LNX-048</t>
        </is>
      </c>
      <c r="B45" s="17" t="inlineStr">
        <is>
          <t>07 Bash scripting</t>
        </is>
      </c>
      <c r="C45" s="17" t="inlineStr">
        <is>
          <t>Beginner</t>
        </is>
      </c>
      <c r="D45" s="17" t="n">
        <v>48</v>
      </c>
      <c r="E45" s="17" t="inlineStr">
        <is>
          <t>Claude knowledge</t>
        </is>
      </c>
      <c r="F45" s="18" t="inlineStr">
        <is>
          <t>Conditionals (if and test)</t>
        </is>
      </c>
      <c r="G45" s="18" t="inlineStr">
        <is>
          <t>How do you make a script choose between actions, such as checking whether a file exists or a number is large?</t>
        </is>
      </c>
      <c r="H45" s="17" t="n"/>
      <c r="I45" s="18" t="inlineStr">
        <is>
          <t>Scripting basics</t>
        </is>
      </c>
      <c r="J45" s="18" t="inlineStr">
        <is>
          <t>Very high</t>
        </is>
      </c>
      <c r="K45" s="18" t="n">
        <v>5</v>
      </c>
      <c r="L45" s="18" t="inlineStr">
        <is>
          <t>Scripts must react to different situations, so shells provide if statements that run commands depending on the result of a test.</t>
        </is>
      </c>
      <c r="M45" s="18" t="inlineStr">
        <is>
          <t>Use [[ ]] in Bash scripts, because it handles empty values and patterns more safely than [ ].</t>
        </is>
      </c>
      <c r="N45" s="17" t="n"/>
      <c r="O45" s="18" t="inlineStr">
        <is>
          <t>An if statement is a fork in the road with a signpost that tests a condition.</t>
        </is>
      </c>
      <c r="P45" s="18" t="inlineStr">
        <is>
          <t>A test in brackets with then and else branches ending in fi.</t>
        </is>
      </c>
      <c r="Q45" s="18" t="inlineStr">
        <is>
          <t>The power of scripts that make decisions.</t>
        </is>
      </c>
      <c r="R45" s="18" t="inlineStr">
        <is>
          <t>if runs commands when a test succeeds, using [[ ]] to check files, strings and numbers.</t>
        </is>
      </c>
      <c r="S45" s="17" t="n"/>
      <c r="T45" s="19" t="inlineStr">
        <is>
          <t>if [[ -f /etc/nginx/nginx.conf ]]; then
  echo "Config exists"
elif [[ $count -gt 10 ]]; then
  echo "Many files"
else
  echo "Missing"
fi</t>
        </is>
      </c>
      <c r="U45" s="19" t="inlineStr">
        <is>
          <t>The first branch whose test is true is run, otherwise the else branch.</t>
        </is>
      </c>
      <c r="V45" s="18" t="inlineStr">
        <is>
          <t>Common file tests are -f for a file, -d for a folder and -e for existing. Numbers are compared with -eq, -ne, -lt, -gt, -le and -ge, and strings with == and !=. An if statement actually checks the exit status of a command, where zero means success. It must end with fi, and spaces around the brackets are required.</t>
        </is>
      </c>
      <c r="W45" s="18" t="inlineStr">
        <is>
          <t>Write if, a test in double brackets, then the commands, and finish with fi. Use -f to test files and -gt to compare numbers.</t>
        </is>
      </c>
      <c r="X45" s="18" t="inlineStr">
        <is>
          <t>It is like a fork in the road with a signpost that tests a condition.</t>
        </is>
      </c>
      <c r="Y45" s="19" t="inlineStr">
        <is>
          <t>if [[ test ]]; then ... elif ...; else ...; fi</t>
        </is>
      </c>
      <c r="Z45" s="18" t="inlineStr">
        <is>
          <t>-f = file exists | -d = directory exists | -z = string empty | -gt = greater than | fi = end</t>
        </is>
      </c>
      <c r="AA45" s="19" t="inlineStr">
        <is>
          <t>if [[ -d /var/log ]]; then echo yes; fi</t>
        </is>
      </c>
      <c r="AB45" s="19" t="inlineStr">
        <is>
          <t>if [[ "$name" == "Asha" ]]; then echo hi; fi</t>
        </is>
      </c>
      <c r="AC45" s="19" t="inlineStr">
        <is>
          <t>if grep -q error app.log; then echo found; fi</t>
        </is>
      </c>
      <c r="AD45" s="19" t="inlineStr">
        <is>
          <t>[[ -z "$var" ]] &amp;&amp; echo empty   // short form with and
[[ $a -lt $b || $c == "x" ]]   // combine tests</t>
        </is>
      </c>
      <c r="AE45" s="18" t="inlineStr">
        <is>
          <t>variables, exit codes, loops</t>
        </is>
      </c>
      <c r="AF45" s="18" t="inlineStr">
        <is>
          <t>variables, exit codes, loops</t>
        </is>
      </c>
      <c r="AG45" s="18" t="inlineStr">
        <is>
          <t>case statements for many choices</t>
        </is>
      </c>
      <c r="AH45" s="17" t="n"/>
      <c r="AI45" s="18" t="inlineStr">
        <is>
          <t>Checks in scripts | Input validation | Deployments</t>
        </is>
      </c>
      <c r="AJ45" s="18" t="inlineStr">
        <is>
          <t>A: How do I stop the script if the config file is missing? | B: Test with if and -f, and exit with an error in the else branch.</t>
        </is>
      </c>
      <c r="AK45" s="18" t="inlineStr">
        <is>
          <t>✗ if tests only true or false values like other languages → ✓ if runs a command and treats exit status zero as success</t>
        </is>
      </c>
      <c r="AL45" s="18" t="inlineStr">
        <is>
          <t>-eq vs ==: -eq compares numbers, == compares strings.</t>
        </is>
      </c>
      <c r="AM45" s="18" t="inlineStr">
        <is>
          <t>Do not forget the spaces inside the brackets.</t>
        </is>
      </c>
      <c r="AN45" s="19" t="inlineStr">
        <is>
          <t>if [[$count -gt 10]]; then echo big; fi</t>
        </is>
      </c>
      <c r="AO45" s="19" t="inlineStr">
        <is>
          <t>if [[ $count -gt 10 ]]; then echo big; fi</t>
        </is>
      </c>
      <c r="AP45" s="18" t="inlineStr">
        <is>
          <t>Every if ends with fi.</t>
        </is>
      </c>
      <c r="AQ45" s="18" t="inlineStr">
        <is>
          <t>Checking that a required config file exists before starting a deployment.</t>
        </is>
      </c>
      <c r="AR45" s="18" t="inlineStr">
        <is>
          <t>An interviewer may ask: How do you check if a file exists in Bash?</t>
        </is>
      </c>
      <c r="AS45" s="18" t="inlineStr">
        <is>
          <t>It is like a fork in the road with a signpost.</t>
        </is>
      </c>
      <c r="AT45" s="18" t="inlineStr">
        <is>
          <t>Which test checks that a file exists and is a regular file?</t>
        </is>
      </c>
      <c r="AU45" s="18" t="inlineStr">
        <is>
          <t>A) -z B) -d C) -f D) -gt</t>
        </is>
      </c>
      <c r="AV45" s="18" t="inlineStr">
        <is>
          <t>C</t>
        </is>
      </c>
      <c r="AW45" s="18" t="inlineStr">
        <is>
          <t>-f is true for a regular file.</t>
        </is>
      </c>
      <c r="AX45" s="19" t="inlineStr">
        <is>
          <t>Every if statement ends with ____ → fi</t>
        </is>
      </c>
      <c r="AY45" s="18" t="inlineStr">
        <is>
          <t>Print yes if the folder /tmp exists.</t>
        </is>
      </c>
      <c r="AZ45" s="19" t="inlineStr">
        <is>
          <t>if [[ -d /tmp ]]; then echo yes; fi</t>
        </is>
      </c>
      <c r="BA45" s="18" t="inlineStr">
        <is>
          <t>Write a script that checks three files and reports which exist.</t>
        </is>
      </c>
      <c r="BB45" s="19" t="inlineStr">
        <is>
          <t>Which operator compares two numbers for equality?</t>
        </is>
      </c>
      <c r="BC45" s="19" t="inlineStr">
        <is>
          <t>-eq</t>
        </is>
      </c>
      <c r="BD45" s="17">
        <f>IF(K45="","",REPT("★",K45)&amp;REPT("☆",5-K45)&amp;" ("&amp;K45&amp;"/5)")</f>
        <v/>
      </c>
      <c r="BE45" s="17">
        <f>IF(S45="","","Meaning: "&amp;S45&amp;"  =  ______   (Answer: "&amp;F45&amp;")")</f>
        <v/>
      </c>
      <c r="BF45" s="17" t="inlineStr">
        <is>
          <t>New</t>
        </is>
      </c>
      <c r="BG45" s="17" t="n"/>
      <c r="BH45" s="17" t="n"/>
      <c r="BI45" s="17" t="n"/>
      <c r="BJ45" s="17" t="n"/>
      <c r="BK45" s="17" t="n"/>
      <c r="BL45" s="17" t="n"/>
      <c r="BM45" s="17" t="n"/>
      <c r="BN45" s="17" t="n"/>
    </row>
    <row r="46" ht="94.5" customHeight="1">
      <c r="A46" s="17" t="inlineStr">
        <is>
          <t>LNX-049</t>
        </is>
      </c>
      <c r="B46" s="17" t="inlineStr">
        <is>
          <t>07 Bash scripting</t>
        </is>
      </c>
      <c r="C46" s="17" t="inlineStr">
        <is>
          <t>Beginner</t>
        </is>
      </c>
      <c r="D46" s="17" t="n">
        <v>49</v>
      </c>
      <c r="E46" s="17" t="inlineStr">
        <is>
          <t>Claude knowledge</t>
        </is>
      </c>
      <c r="F46" s="18" t="inlineStr">
        <is>
          <t>Loops (for and while)</t>
        </is>
      </c>
      <c r="G46" s="18" t="inlineStr">
        <is>
          <t>How do you repeat commands for each item in a list or until a condition changes?</t>
        </is>
      </c>
      <c r="H46" s="17" t="n"/>
      <c r="I46" s="18" t="inlineStr">
        <is>
          <t>Scripting basics</t>
        </is>
      </c>
      <c r="J46" s="18" t="inlineStr">
        <is>
          <t>Very high</t>
        </is>
      </c>
      <c r="K46" s="18" t="n">
        <v>5</v>
      </c>
      <c r="L46" s="18" t="inlineStr">
        <is>
          <t>Doing the same thing to many files or servers by hand is tedious, so shells provide loops to repeat commands automatically.</t>
        </is>
      </c>
      <c r="M46" s="18" t="inlineStr">
        <is>
          <t>Loop over files with a glob such as *.log, and not over the output of ls, which breaks on spaces.</t>
        </is>
      </c>
      <c r="N46" s="17" t="n"/>
      <c r="O46" s="18" t="inlineStr">
        <is>
          <t>A loop is a conveyor belt that hands each item to the same worker.</t>
        </is>
      </c>
      <c r="P46" s="18" t="inlineStr">
        <is>
          <t>A list of items going through the same step one after another.</t>
        </is>
      </c>
      <c r="Q46" s="18" t="inlineStr">
        <is>
          <t>The thrill of automating a boring task.</t>
        </is>
      </c>
      <c r="R46" s="18" t="inlineStr">
        <is>
          <t>for repeats commands for each item in a list, and while repeats as long as a condition holds.</t>
        </is>
      </c>
      <c r="S46" s="17" t="n"/>
      <c r="T46" s="19" t="inlineStr">
        <is>
          <t>for f in *.log; do
  echo "Compressing $f"
  gzip "$f"
done
while read -r host; do
  ping -c 1 "$host"
done &lt; hosts.txt</t>
        </is>
      </c>
      <c r="U46" s="19" t="inlineStr">
        <is>
          <t>Each log file is compressed, then each host in hosts.txt is pinged once.</t>
        </is>
      </c>
      <c r="V46" s="18" t="inlineStr">
        <is>
          <t>A for loop takes a list of words, a glob, or a sequence such as {1..5}. while read -r reads a file line by line, which is the safe way to process lines. Quote variables inside the loop. break leaves a loop and continue skips to the next item. Loops can run commands on many servers, with care.</t>
        </is>
      </c>
      <c r="W46" s="18" t="inlineStr">
        <is>
          <t>Use for to go over a list of files or names. Use while read to go over the lines of a file.</t>
        </is>
      </c>
      <c r="X46" s="18" t="inlineStr">
        <is>
          <t>It is like a conveyor belt that hands each item to the same worker.</t>
        </is>
      </c>
      <c r="Y46" s="19" t="inlineStr">
        <is>
          <t>for item in list; do ...; done  |  while condition; do ...; done</t>
        </is>
      </c>
      <c r="Z46" s="18" t="inlineStr">
        <is>
          <t>for = each item | while = while true | do and done = body | break and continue = control</t>
        </is>
      </c>
      <c r="AA46" s="19" t="inlineStr">
        <is>
          <t>for i in {1..5}; do echo $i; done</t>
        </is>
      </c>
      <c r="AB46" s="19" t="inlineStr">
        <is>
          <t>for host in web1 web2 web3; do ssh "$host" uptime; done</t>
        </is>
      </c>
      <c r="AC46" s="19" t="inlineStr">
        <is>
          <t>while [[ $n -lt 3 ]]; do n=$((n+1)); done</t>
        </is>
      </c>
      <c r="AD46" s="19" t="inlineStr">
        <is>
          <t>for ((i=0; i&lt;3; i++)); do echo $i; done   // C-style loop
until [[ -f done.flag ]]; do sleep 5; done   // wait until something exists</t>
        </is>
      </c>
      <c r="AE46" s="18" t="inlineStr">
        <is>
          <t>globs, variables, read, sleep</t>
        </is>
      </c>
      <c r="AF46" s="18" t="inlineStr">
        <is>
          <t>variables, conditionals, xargs</t>
        </is>
      </c>
      <c r="AG46" s="18" t="inlineStr">
        <is>
          <t>xargs or find -exec</t>
        </is>
      </c>
      <c r="AH46" s="17" t="n"/>
      <c r="AI46" s="18" t="inlineStr">
        <is>
          <t>Batch jobs | Server checks | File processing</t>
        </is>
      </c>
      <c r="AJ46" s="18" t="inlineStr">
        <is>
          <t>A: I need to run the same check on ten servers. | B: Put the host names in a for loop and run the command for each.</t>
        </is>
      </c>
      <c r="AK46" s="18" t="inlineStr">
        <is>
          <t>✗ for f in $(ls) is a safe way to loop over files → ✓ It breaks on names with spaces, so loop over a glob such as *.txt instead</t>
        </is>
      </c>
      <c r="AL46" s="18" t="inlineStr">
        <is>
          <t>for vs while: for goes over a list, while repeats until its test fails.</t>
        </is>
      </c>
      <c r="AM46" s="18" t="inlineStr">
        <is>
          <t>Do not loop over ls output.</t>
        </is>
      </c>
      <c r="AN46" s="19" t="inlineStr">
        <is>
          <t>for f in $(ls *.log); do gzip $f; done</t>
        </is>
      </c>
      <c r="AO46" s="19" t="inlineStr">
        <is>
          <t>for f in *.log; do gzip "$f"; done</t>
        </is>
      </c>
      <c r="AP46" s="18" t="inlineStr">
        <is>
          <t>Loop over globs, not over ls.</t>
        </is>
      </c>
      <c r="AQ46" s="18" t="inlineStr">
        <is>
          <t>Running a health check against each customer host in a for loop.</t>
        </is>
      </c>
      <c r="AR46" s="18" t="inlineStr">
        <is>
          <t>An interviewer may ask: How do you loop over lines of a file in Bash?</t>
        </is>
      </c>
      <c r="AS46" s="18" t="inlineStr">
        <is>
          <t>It is like a conveyor belt that hands each item to the same worker.</t>
        </is>
      </c>
      <c r="AT46" s="18" t="inlineStr">
        <is>
          <t>Which loop reads a file line by line?</t>
        </is>
      </c>
      <c r="AU46" s="18" t="inlineStr">
        <is>
          <t>A) for in ls B) while read C) case D) until</t>
        </is>
      </c>
      <c r="AV46" s="18" t="inlineStr">
        <is>
          <t>B</t>
        </is>
      </c>
      <c r="AW46" s="18" t="inlineStr">
        <is>
          <t>while read -r processes each line safely.</t>
        </is>
      </c>
      <c r="AX46" s="19" t="inlineStr">
        <is>
          <t>A loop body ends with the keyword ____ → done</t>
        </is>
      </c>
      <c r="AY46" s="18" t="inlineStr">
        <is>
          <t>Print the numbers one to five using a loop.</t>
        </is>
      </c>
      <c r="AZ46" s="19" t="inlineStr">
        <is>
          <t>for i in {1..5}; do echo "$i"; done</t>
        </is>
      </c>
      <c r="BA46" s="18" t="inlineStr">
        <is>
          <t>Write a loop that prints the size of each file in a folder.</t>
        </is>
      </c>
      <c r="BB46" s="19" t="inlineStr">
        <is>
          <t>Which keyword leaves a loop early?</t>
        </is>
      </c>
      <c r="BC46" s="19" t="inlineStr">
        <is>
          <t>break</t>
        </is>
      </c>
      <c r="BD46" s="17">
        <f>IF(K46="","",REPT("★",K46)&amp;REPT("☆",5-K46)&amp;" ("&amp;K46&amp;"/5)")</f>
        <v/>
      </c>
      <c r="BE46" s="17">
        <f>IF(S46="","","Meaning: "&amp;S46&amp;"  =  ______   (Answer: "&amp;F46&amp;")")</f>
        <v/>
      </c>
      <c r="BF46" s="17" t="inlineStr">
        <is>
          <t>New</t>
        </is>
      </c>
      <c r="BG46" s="17" t="n"/>
      <c r="BH46" s="17" t="n"/>
      <c r="BI46" s="17" t="n"/>
      <c r="BJ46" s="17" t="n"/>
      <c r="BK46" s="17" t="n"/>
      <c r="BL46" s="17" t="n"/>
      <c r="BM46" s="17" t="n"/>
      <c r="BN46" s="17" t="n"/>
    </row>
    <row r="47" ht="108" customHeight="1">
      <c r="A47" s="17" t="inlineStr">
        <is>
          <t>LNX-050</t>
        </is>
      </c>
      <c r="B47" s="17" t="inlineStr">
        <is>
          <t>07 Bash scripting</t>
        </is>
      </c>
      <c r="C47" s="17" t="inlineStr">
        <is>
          <t>Intermediate</t>
        </is>
      </c>
      <c r="D47" s="17" t="n">
        <v>50</v>
      </c>
      <c r="E47" s="17" t="inlineStr">
        <is>
          <t>Claude knowledge</t>
        </is>
      </c>
      <c r="F47" s="18" t="inlineStr">
        <is>
          <t>Functions and arguments</t>
        </is>
      </c>
      <c r="G47" s="18" t="inlineStr">
        <is>
          <t>How do you group commands under a name and pass values to them, and how do scripts read their command-line arguments?</t>
        </is>
      </c>
      <c r="H47" s="17" t="n"/>
      <c r="I47" s="18" t="inlineStr">
        <is>
          <t>Scripting basics</t>
        </is>
      </c>
      <c r="J47" s="18" t="inlineStr">
        <is>
          <t>High</t>
        </is>
      </c>
      <c r="K47" s="18" t="n">
        <v>4</v>
      </c>
      <c r="L47" s="18" t="inlineStr">
        <is>
          <t>Repeating the same block of code is error-prone, so Bash lets you name a block as a function and pass arguments to it, just as scripts receive arguments.</t>
        </is>
      </c>
      <c r="M47" s="18" t="inlineStr">
        <is>
          <t>Use local for variables inside functions so they do not leak into the rest of the script.</t>
        </is>
      </c>
      <c r="N47" s="17" t="n"/>
      <c r="O47" s="18" t="inlineStr">
        <is>
          <t>A function is a recipe card you can follow again with different ingredients.</t>
        </is>
      </c>
      <c r="P47" s="18" t="inlineStr">
        <is>
          <t>A named block called with a value and returning a result.</t>
        </is>
      </c>
      <c r="Q47" s="18" t="inlineStr">
        <is>
          <t>The tidiness of a script without repetition.</t>
        </is>
      </c>
      <c r="R47" s="18" t="inlineStr">
        <is>
          <t>A function is a named block of commands, and both functions and scripts read their arguments as $1, $2 and so on.</t>
        </is>
      </c>
      <c r="S47" s="17" t="n"/>
      <c r="T47" s="19" t="inlineStr">
        <is>
          <t>greet() {
  local name="$1"
  echo "Hello, $name"
}
greet "Asha"
echo "Script name: $0, first argument: $1, count: $#"
echo "All: $@"</t>
        </is>
      </c>
      <c r="U47" s="19" t="inlineStr">
        <is>
          <t>Hello, Asha, and then the script name, its first argument, how many arguments there were, and all arguments.</t>
        </is>
      </c>
      <c r="V47" s="18" t="inlineStr">
        <is>
          <t>Inside a function or script, $1 is the first argument, $@ is all arguments, $# is the count and $0 is the script name. Functions return an exit status with return, and use echo to output values that you capture with $( ). Variables are global by default, so use local inside functions. Define a function before you call it.</t>
        </is>
      </c>
      <c r="W47" s="18" t="inlineStr">
        <is>
          <t>Define a function with name() { ... } and call it like a command. Read its arguments as $1, $2 and so on, the same as for scripts.</t>
        </is>
      </c>
      <c r="X47" s="18" t="inlineStr">
        <is>
          <t>It is like a recipe card that you can follow again with different ingredients.</t>
        </is>
      </c>
      <c r="Y47" s="19" t="inlineStr">
        <is>
          <t>name() { commands; }  |  $1 $2 $@ $#</t>
        </is>
      </c>
      <c r="Z47" s="18" t="inlineStr">
        <is>
          <t>$1 = first argument | $@ = all arguments | $# = number of arguments | local = function-only variable</t>
        </is>
      </c>
      <c r="AA47" s="19" t="inlineStr">
        <is>
          <t>backup() { cp "$1" "$1.bak"; }</t>
        </is>
      </c>
      <c r="AB47" s="19" t="inlineStr">
        <is>
          <t>result=$(add 2 3)</t>
        </is>
      </c>
      <c r="AC47" s="19" t="inlineStr">
        <is>
          <t>if [[ $# -lt 1 ]]; then echo "usage: $0 file"; exit 1; fi</t>
        </is>
      </c>
      <c r="AD47" s="19" t="inlineStr">
        <is>
          <t>shift   // drop the first argument and move the others down
"${@:2}"   // all arguments from the second on</t>
        </is>
      </c>
      <c r="AE47" s="18" t="inlineStr">
        <is>
          <t>variables, conditionals, exit codes</t>
        </is>
      </c>
      <c r="AF47" s="18" t="inlineStr">
        <is>
          <t>variables, exit codes, scripts</t>
        </is>
      </c>
      <c r="AG47" s="18" t="inlineStr">
        <is>
          <t>Separate scripts called by name</t>
        </is>
      </c>
      <c r="AH47" s="17" t="n"/>
      <c r="AI47" s="18" t="inlineStr">
        <is>
          <t>Reusable scripts | Command-line tools | Deployments</t>
        </is>
      </c>
      <c r="AJ47" s="18" t="inlineStr">
        <is>
          <t>A: The script should accept a host name when I run it. | B: Read it from $1 and check that it was given.</t>
        </is>
      </c>
      <c r="AK47" s="18" t="inlineStr">
        <is>
          <t>✗ Variables set inside a function are always private to it → ✓ Variables are global by default, so use local to keep them inside the function</t>
        </is>
      </c>
      <c r="AL47" s="18" t="inlineStr">
        <is>
          <t>$@ vs $#: $@ is the list of arguments, $# is how many there are.</t>
        </is>
      </c>
      <c r="AM47" s="18" t="inlineStr">
        <is>
          <t>Do not use $1 without checking that an argument was given.</t>
        </is>
      </c>
      <c r="AN47" s="19" t="inlineStr">
        <is>
          <t>greet "Asha"; greet() { echo "Hi $1"; }</t>
        </is>
      </c>
      <c r="AO47" s="19" t="inlineStr">
        <is>
          <t>greet() { echo "Hi $1"; }; greet "Asha"</t>
        </is>
      </c>
      <c r="AP47" s="18" t="inlineStr">
        <is>
          <t>A function must be defined before it is called.</t>
        </is>
      </c>
      <c r="AQ47" s="18" t="inlineStr">
        <is>
          <t>Wrapping a repeated deployment step in a function that takes the target host.</t>
        </is>
      </c>
      <c r="AR47" s="18" t="inlineStr">
        <is>
          <t>An interviewer may ask: How does a Bash script read its arguments?</t>
        </is>
      </c>
      <c r="AS47" s="18" t="inlineStr">
        <is>
          <t>It is like a recipe card followed with different ingredients.</t>
        </is>
      </c>
      <c r="AT47" s="18" t="inlineStr">
        <is>
          <t>Which special variable holds how many arguments were passed?</t>
        </is>
      </c>
      <c r="AU47" s="18" t="inlineStr">
        <is>
          <t>A) $0 (zero) B) $@ (at sign) C) $1 (one) D) $# (hash)</t>
        </is>
      </c>
      <c r="AV47" s="18" t="inlineStr">
        <is>
          <t>D</t>
        </is>
      </c>
      <c r="AW47" s="18" t="inlineStr">
        <is>
          <t>$# is the count of arguments.</t>
        </is>
      </c>
      <c r="AX47" s="19" t="inlineStr">
        <is>
          <t>Inside a function, use ____ to make a variable private → local</t>
        </is>
      </c>
      <c r="AY47" s="18" t="inlineStr">
        <is>
          <t>Write a function that prints Hello followed by its first argument.</t>
        </is>
      </c>
      <c r="AZ47" s="19" t="inlineStr">
        <is>
          <t>hello() { echo "Hello, $1"; }</t>
        </is>
      </c>
      <c r="BA47" s="18" t="inlineStr">
        <is>
          <t>Write a script that takes a file name argument and prints its line count.</t>
        </is>
      </c>
      <c r="BB47" s="19" t="inlineStr">
        <is>
          <t>What does $0 hold in a script?</t>
        </is>
      </c>
      <c r="BC47" s="19" t="inlineStr">
        <is>
          <t>The name of the script.</t>
        </is>
      </c>
      <c r="BD47" s="17">
        <f>IF(K47="","",REPT("★",K47)&amp;REPT("☆",5-K47)&amp;" ("&amp;K47&amp;"/5)")</f>
        <v/>
      </c>
      <c r="BE47" s="17">
        <f>IF(S47="","","Meaning: "&amp;S47&amp;"  =  ______   (Answer: "&amp;F47&amp;")")</f>
        <v/>
      </c>
      <c r="BF47" s="17" t="inlineStr">
        <is>
          <t>New</t>
        </is>
      </c>
      <c r="BG47" s="17" t="n"/>
      <c r="BH47" s="17" t="n"/>
      <c r="BI47" s="17" t="n"/>
      <c r="BJ47" s="17" t="n"/>
      <c r="BK47" s="17" t="n"/>
      <c r="BL47" s="17" t="n"/>
      <c r="BM47" s="17" t="n"/>
      <c r="BN47" s="17" t="n"/>
    </row>
    <row r="48" ht="108" customHeight="1">
      <c r="A48" s="17" t="inlineStr">
        <is>
          <t>LNX-051</t>
        </is>
      </c>
      <c r="B48" s="17" t="inlineStr">
        <is>
          <t>07 Bash scripting</t>
        </is>
      </c>
      <c r="C48" s="17" t="inlineStr">
        <is>
          <t>Intermediate</t>
        </is>
      </c>
      <c r="D48" s="17" t="n">
        <v>51</v>
      </c>
      <c r="E48" s="17" t="inlineStr">
        <is>
          <t>Claude knowledge</t>
        </is>
      </c>
      <c r="F48" s="18" t="inlineStr">
        <is>
          <t>Exit codes</t>
        </is>
      </c>
      <c r="G48" s="18" t="inlineStr">
        <is>
          <t>Which number does every command return to say whether it worked, and how do you read and set it?</t>
        </is>
      </c>
      <c r="H48" s="17" t="n"/>
      <c r="I48" s="18" t="inlineStr">
        <is>
          <t>Scripting basics</t>
        </is>
      </c>
      <c r="J48" s="18" t="inlineStr">
        <is>
          <t>Very high</t>
        </is>
      </c>
      <c r="K48" s="18" t="n">
        <v>5</v>
      </c>
      <c r="L48" s="18" t="inlineStr">
        <is>
          <t>Scripts must know whether a command succeeded, so every program returns a small number, with zero meaning success and anything else meaning a problem.</t>
        </is>
      </c>
      <c r="M48" s="18" t="inlineStr">
        <is>
          <t>Check $? straight after the command, because the next command overwrites it.</t>
        </is>
      </c>
      <c r="N48" s="17" t="n"/>
      <c r="O48" s="18" t="inlineStr">
        <is>
          <t>The exit code is the thumbs up or down that every command gives when it leaves.</t>
        </is>
      </c>
      <c r="P48" s="18" t="inlineStr">
        <is>
          <t>A command followed by a number zero or non-zero.</t>
        </is>
      </c>
      <c r="Q48" s="18" t="inlineStr">
        <is>
          <t>The clarity of knowing why a script failed.</t>
        </is>
      </c>
      <c r="R48" s="18" t="inlineStr">
        <is>
          <t>An exit code is a number returned by a command, where 0 means success and non-zero means failure, available as $?.</t>
        </is>
      </c>
      <c r="S48" s="17" t="n"/>
      <c r="T48" s="19" t="inlineStr">
        <is>
          <t>grep -q "error" app.log
echo "exit code: $?"
mkdir /root/test || echo "failed"
cp a b &amp;&amp; echo "copied"
exit 2</t>
        </is>
      </c>
      <c r="U48" s="19" t="inlineStr">
        <is>
          <t>The exit code of grep, a failure message only when mkdir fails, a success message only when the copy works, and the script ending with code 2.</t>
        </is>
      </c>
      <c r="V48" s="18" t="inlineStr">
        <is>
          <t>$? holds the status of the last command. &amp;&amp; runs the next command only on success, and || only on failure. In if statements, the condition is the exit status. A script can end with exit followed by a number, and other tools, such as CI systems and cron, use that number to decide whether the job failed. Different numbers can mean different errors.</t>
        </is>
      </c>
      <c r="W48" s="18" t="inlineStr">
        <is>
          <t>Zero means it worked, anything else means it did not. Use &amp;&amp; and || to react, and exit with a number so other tools know the result.</t>
        </is>
      </c>
      <c r="X48" s="18" t="inlineStr">
        <is>
          <t>It is like a thumbs up or thumbs down that every command gives when it leaves.</t>
        </is>
      </c>
      <c r="Y48" s="19" t="inlineStr">
        <is>
          <t>$?  |  command1 &amp;&amp; command2  |  command1 || command2  |  exit N</t>
        </is>
      </c>
      <c r="Z48" s="18" t="inlineStr">
        <is>
          <t>0 = success | non-zero = failure | &amp;&amp; = on success | || = on failure</t>
        </is>
      </c>
      <c r="AA48" s="19" t="inlineStr">
        <is>
          <t>ls /missing; echo $?</t>
        </is>
      </c>
      <c r="AB48" s="19" t="inlineStr">
        <is>
          <t>test -f config.yml || exit 1</t>
        </is>
      </c>
      <c r="AC48" s="19" t="inlineStr">
        <is>
          <t>./deploy.sh &amp;&amp; echo "deployed"</t>
        </is>
      </c>
      <c r="AD48" s="19" t="inlineStr">
        <is>
          <t>set -e   // stop the script on the first error
trap 'cleanup' EXIT   // run a function when the script ends</t>
        </is>
      </c>
      <c r="AE48" s="18" t="inlineStr">
        <is>
          <t>if, set -e, cron, CI pipelines</t>
        </is>
      </c>
      <c r="AF48" s="18" t="inlineStr">
        <is>
          <t>conditionals, set -euo pipefail, cron</t>
        </is>
      </c>
      <c r="AG48" s="18" t="inlineStr">
        <is>
          <t>Checking output text, which is less reliable</t>
        </is>
      </c>
      <c r="AH48" s="17" t="n"/>
      <c r="AI48" s="18" t="inlineStr">
        <is>
          <t>Scripts | CI pipelines | Monitoring checks</t>
        </is>
      </c>
      <c r="AJ48" s="18" t="inlineStr">
        <is>
          <t>A: How does the pipeline know my script failed? | B: Through its exit code, so exit with a non-zero number on errors.</t>
        </is>
      </c>
      <c r="AK48" s="18" t="inlineStr">
        <is>
          <t>✗ Zero means failure because it is falsy → ✓ In shells, zero means success and any other number means an error</t>
        </is>
      </c>
      <c r="AL48" s="18" t="inlineStr">
        <is>
          <t>&amp;&amp; vs ||: &amp;&amp; runs the next command on success, || runs it on failure.</t>
        </is>
      </c>
      <c r="AM48" s="18" t="inlineStr">
        <is>
          <t>Do not ignore exit codes in deployment scripts.</t>
        </is>
      </c>
      <c r="AN48" s="19" t="inlineStr">
        <is>
          <t>command; if [[ $? == 1 ]]; then echo ok; fi</t>
        </is>
      </c>
      <c r="AO48" s="19" t="inlineStr">
        <is>
          <t>if command; then echo ok; fi</t>
        </is>
      </c>
      <c r="AP48" s="18" t="inlineStr">
        <is>
          <t>Zero is good, non-zero is a problem.</t>
        </is>
      </c>
      <c r="AQ48" s="18" t="inlineStr">
        <is>
          <t>Making a deployment script exit with a non-zero code so the pipeline fails.</t>
        </is>
      </c>
      <c r="AR48" s="18" t="inlineStr">
        <is>
          <t>An interviewer may ask: What does exit code 0 mean?</t>
        </is>
      </c>
      <c r="AS48" s="18" t="inlineStr">
        <is>
          <t>It is like a thumbs up or down when a command leaves.</t>
        </is>
      </c>
      <c r="AT48" s="18" t="inlineStr">
        <is>
          <t>What does an exit code of 0 mean?</t>
        </is>
      </c>
      <c r="AU48" s="18" t="inlineStr">
        <is>
          <t>A) Timeout B) Warning C) Success D) Failure</t>
        </is>
      </c>
      <c r="AV48" s="18" t="inlineStr">
        <is>
          <t>C</t>
        </is>
      </c>
      <c r="AW48" s="18" t="inlineStr">
        <is>
          <t>Zero means the command succeeded.</t>
        </is>
      </c>
      <c r="AX48" s="19" t="inlineStr">
        <is>
          <t>The variable ____ holds the exit status of the last command → $?</t>
        </is>
      </c>
      <c r="AY48" s="18" t="inlineStr">
        <is>
          <t>Print the exit code of the last command.</t>
        </is>
      </c>
      <c r="AZ48" s="19" t="inlineStr">
        <is>
          <t>echo $?</t>
        </is>
      </c>
      <c r="BA48" s="18" t="inlineStr">
        <is>
          <t>Run three commands that succeed and fail and write down their exit codes.</t>
        </is>
      </c>
      <c r="BB48" s="19" t="inlineStr">
        <is>
          <t>What does &amp;&amp; do?</t>
        </is>
      </c>
      <c r="BC48" s="19" t="inlineStr">
        <is>
          <t>It runs the next command only if the previous one succeeded.</t>
        </is>
      </c>
      <c r="BD48" s="17">
        <f>IF(K48="","",REPT("★",K48)&amp;REPT("☆",5-K48)&amp;" ("&amp;K48&amp;"/5)")</f>
        <v/>
      </c>
      <c r="BE48" s="17">
        <f>IF(S48="","","Meaning: "&amp;S48&amp;"  =  ______   (Answer: "&amp;F48&amp;")")</f>
        <v/>
      </c>
      <c r="BF48" s="17" t="inlineStr">
        <is>
          <t>New</t>
        </is>
      </c>
      <c r="BG48" s="17" t="n"/>
      <c r="BH48" s="17" t="n"/>
      <c r="BI48" s="17" t="n"/>
      <c r="BJ48" s="17" t="n"/>
      <c r="BK48" s="17" t="n"/>
      <c r="BL48" s="17" t="n"/>
      <c r="BM48" s="17" t="n"/>
      <c r="BN48" s="17" t="n"/>
    </row>
    <row r="49" ht="108" customHeight="1">
      <c r="A49" s="17" t="inlineStr">
        <is>
          <t>LNX-052</t>
        </is>
      </c>
      <c r="B49" s="17" t="inlineStr">
        <is>
          <t>07 Bash scripting</t>
        </is>
      </c>
      <c r="C49" s="17" t="inlineStr">
        <is>
          <t>Advanced</t>
        </is>
      </c>
      <c r="D49" s="17" t="n">
        <v>52</v>
      </c>
      <c r="E49" s="17" t="inlineStr">
        <is>
          <t>Claude knowledge</t>
        </is>
      </c>
      <c r="F49" s="18" t="inlineStr">
        <is>
          <t>set -euo pipefail</t>
        </is>
      </c>
      <c r="G49" s="18" t="inlineStr">
        <is>
          <t>Which line makes a Bash script stop on errors, on unset variables and on failures inside pipes?</t>
        </is>
      </c>
      <c r="H49" s="17" t="n"/>
      <c r="I49" s="18" t="inlineStr">
        <is>
          <t>Scripting practice</t>
        </is>
      </c>
      <c r="J49" s="18" t="inlineStr">
        <is>
          <t>High</t>
        </is>
      </c>
      <c r="K49" s="18" t="n">
        <v>5</v>
      </c>
      <c r="L49" s="18" t="inlineStr">
        <is>
          <t>By default a Bash script keeps going after a failed command, which can cause harm, so strict mode options make it stop at the first problem.</t>
        </is>
      </c>
      <c r="M49" s="18" t="inlineStr">
        <is>
          <t>Put it at the top of every script, and handle expected failures with || true.</t>
        </is>
      </c>
      <c r="N49" s="17" t="n"/>
      <c r="O49" s="18" t="inlineStr">
        <is>
          <t>Strict mode is a safety rope that stops the climb at the first slip.</t>
        </is>
      </c>
      <c r="P49" s="18" t="inlineStr">
        <is>
          <t>A script stopping at the first failing line with an error message.</t>
        </is>
      </c>
      <c r="Q49" s="18" t="inlineStr">
        <is>
          <t>The confidence of scripts that fail loudly rather than quietly.</t>
        </is>
      </c>
      <c r="R49" s="18" t="inlineStr">
        <is>
          <t>set -e stops on a failed command, -u treats unset variables as errors, and -o pipefail makes a pipe fail if any part fails.</t>
        </is>
      </c>
      <c r="S49" s="17" t="n"/>
      <c r="T49" s="19" t="inlineStr">
        <is>
          <t>#!/usr/bin/env bash
set -euo pipefail
cd "$DEPLOY_DIR"
rm -rf ./build
grep "ok" result.log | wc -l</t>
        </is>
      </c>
      <c r="U49" s="19" t="inlineStr">
        <is>
          <t>The script stops with an error if DEPLOY_DIR is not set or cd fails, so rm -rf never runs in the wrong folder. If grep finds no match on the last line, pipefail makes the pipe fail and the script stops with an error.</t>
        </is>
      </c>
      <c r="V49" s="18" t="inlineStr">
        <is>
          <t>Without -e, a failed cd would let rm -rf run in the wrong folder. -u catches typing mistakes in variable names. Without pipefail, only the last command of a pipe decides the status. Some commands, such as grep, return non-zero for no match, so use || true where that is acceptable. Strict mode does not replace careful checks.</t>
        </is>
      </c>
      <c r="W49" s="18" t="inlineStr">
        <is>
          <t>Add set -euo pipefail near the top. The script stops at the first error, and unset variables are caught as mistakes.</t>
        </is>
      </c>
      <c r="X49" s="18" t="inlineStr">
        <is>
          <t>It is like a safety rope that stops the climb at the first slip.</t>
        </is>
      </c>
      <c r="Y49" s="19" t="inlineStr">
        <is>
          <t>set -euo pipefail</t>
        </is>
      </c>
      <c r="Z49" s="18" t="inlineStr">
        <is>
          <t>-e = exit on error | -u = unset variable is an error | -o pipefail = a failing pipe step fails the pipe</t>
        </is>
      </c>
      <c r="AA49" s="19" t="inlineStr">
        <is>
          <t>set -e</t>
        </is>
      </c>
      <c r="AB49" s="19" t="inlineStr">
        <is>
          <t>set -u</t>
        </is>
      </c>
      <c r="AC49" s="19" t="inlineStr">
        <is>
          <t>grep -q pattern file || true</t>
        </is>
      </c>
      <c r="AD49" s="19" t="inlineStr">
        <is>
          <t>set -x   // print each command as it runs, for debugging
trap 'echo failed at line $LINENO' ERR</t>
        </is>
      </c>
      <c r="AE49" s="18" t="inlineStr">
        <is>
          <t>exit codes, pipes, variables</t>
        </is>
      </c>
      <c r="AF49" s="18" t="inlineStr">
        <is>
          <t>exit codes, pipes, variables</t>
        </is>
      </c>
      <c r="AG49" s="18" t="inlineStr">
        <is>
          <t>Checking each command by hand</t>
        </is>
      </c>
      <c r="AH49" s="17" t="n"/>
      <c r="AI49" s="18" t="inlineStr">
        <is>
          <t>Deployment scripts | CI jobs | Cron jobs</t>
        </is>
      </c>
      <c r="AJ49" s="18" t="inlineStr">
        <is>
          <t>A: The script deleted the wrong folder after cd failed. | B: Use set -e and quote the variable, so it stops instead.</t>
        </is>
      </c>
      <c r="AK49" s="18" t="inlineStr">
        <is>
          <t>✗ A Bash script always stops on the first error → ✓ By default Bash keeps going, and set -e makes it stop</t>
        </is>
      </c>
      <c r="AL49" s="18" t="inlineStr">
        <is>
          <t>set -e vs set -x: -e stops on errors, -x prints commands for debugging.</t>
        </is>
      </c>
      <c r="AM49" s="18" t="inlineStr">
        <is>
          <t>Do not use rm -rf with variables that could be empty.</t>
        </is>
      </c>
      <c r="AN49" s="19" t="inlineStr">
        <is>
          <t>cd "$DIR"; rm -rf ./build</t>
        </is>
      </c>
      <c r="AO49" s="19" t="inlineStr">
        <is>
          <t>set -euo pipefail; cd "$DIR"; rm -rf ./build</t>
        </is>
      </c>
      <c r="AP49" s="18" t="inlineStr">
        <is>
          <t>e for errors, u for unset, pipefail for pipes.</t>
        </is>
      </c>
      <c r="AQ49" s="18" t="inlineStr">
        <is>
          <t>Starting every deployment script with strict mode so it fails early.</t>
        </is>
      </c>
      <c r="AR49" s="18" t="inlineStr">
        <is>
          <t>An interviewer may ask: What does set -euo pipefail do?</t>
        </is>
      </c>
      <c r="AS49" s="18" t="inlineStr">
        <is>
          <t>It is like a safety rope that stops the climb at the first slip.</t>
        </is>
      </c>
      <c r="AT49" s="18" t="inlineStr">
        <is>
          <t>What does set -u do?</t>
        </is>
      </c>
      <c r="AU49" s="18" t="inlineStr">
        <is>
          <t>A) Treats unset variables as errors B) Uses UTF-8 C) Updates packages D) Unlocks files</t>
        </is>
      </c>
      <c r="AV49" s="18" t="inlineStr">
        <is>
          <t>A</t>
        </is>
      </c>
      <c r="AW49" s="18" t="inlineStr">
        <is>
          <t>-u stops the script when an unset variable is used.</t>
        </is>
      </c>
      <c r="AX49" s="19" t="inlineStr">
        <is>
          <t>The option that makes a failing pipe step fail the whole pipe is ____ → pipefail</t>
        </is>
      </c>
      <c r="AY49" s="18" t="inlineStr">
        <is>
          <t>Write the strict mode line for a Bash script.</t>
        </is>
      </c>
      <c r="AZ49" s="19" t="inlineStr">
        <is>
          <t>set -euo pipefail</t>
        </is>
      </c>
      <c r="BA49" s="18" t="inlineStr">
        <is>
          <t>Write a short script with strict mode and see where it stops on an error.</t>
        </is>
      </c>
      <c r="BB49" s="19" t="inlineStr">
        <is>
          <t>What does set -e do?</t>
        </is>
      </c>
      <c r="BC49" s="19" t="inlineStr">
        <is>
          <t>It exits the script when a command fails.</t>
        </is>
      </c>
      <c r="BD49" s="17">
        <f>IF(K49="","",REPT("★",K49)&amp;REPT("☆",5-K49)&amp;" ("&amp;K49&amp;"/5)")</f>
        <v/>
      </c>
      <c r="BE49" s="17">
        <f>IF(S49="","","Meaning: "&amp;S49&amp;"  =  ______   (Answer: "&amp;F49&amp;")")</f>
        <v/>
      </c>
      <c r="BF49" s="17" t="inlineStr">
        <is>
          <t>New</t>
        </is>
      </c>
      <c r="BG49" s="17" t="n"/>
      <c r="BH49" s="17" t="n"/>
      <c r="BI49" s="17" t="n"/>
      <c r="BJ49" s="17" t="n"/>
      <c r="BK49" s="17" t="n"/>
      <c r="BL49" s="17" t="n"/>
      <c r="BM49" s="17" t="n"/>
      <c r="BN49" s="17" t="n"/>
    </row>
    <row r="50" ht="108" customHeight="1">
      <c r="A50" s="17" t="inlineStr">
        <is>
          <t>LNX-053</t>
        </is>
      </c>
      <c r="B50" s="17" t="inlineStr">
        <is>
          <t>07 Bash scripting</t>
        </is>
      </c>
      <c r="C50" s="17" t="inlineStr">
        <is>
          <t>Intermediate</t>
        </is>
      </c>
      <c r="D50" s="17" t="n">
        <v>53</v>
      </c>
      <c r="E50" s="17" t="inlineStr">
        <is>
          <t>Claude knowledge</t>
        </is>
      </c>
      <c r="F50" s="18" t="inlineStr">
        <is>
          <t>Environment variables and PATH</t>
        </is>
      </c>
      <c r="G50" s="18" t="inlineStr">
        <is>
          <t>Which variables are passed to every program you start, and which one decides where the shell looks for commands?</t>
        </is>
      </c>
      <c r="H50" s="17" t="n"/>
      <c r="I50" s="18" t="inlineStr">
        <is>
          <t>Shell feature</t>
        </is>
      </c>
      <c r="J50" s="18" t="inlineStr">
        <is>
          <t>Very high</t>
        </is>
      </c>
      <c r="K50" s="18" t="n">
        <v>5</v>
      </c>
      <c r="L50" s="18" t="inlineStr">
        <is>
          <t>Programs need settings such as the user's home and the places to find commands, so the shell passes a set of environment variables to every program it starts.</t>
        </is>
      </c>
      <c r="M50" s="18" t="inlineStr">
        <is>
          <t>Check which command runs with which, since an unexpected PATH order can run the wrong version.</t>
        </is>
      </c>
      <c r="N50" s="17" t="n"/>
      <c r="O50" s="18" t="inlineStr">
        <is>
          <t>PATH is the list of shelves the shell searches, in order, to find the tool you named.</t>
        </is>
      </c>
      <c r="P50" s="18" t="inlineStr">
        <is>
          <t>A colon-separated list of folders searched from left to right.</t>
        </is>
      </c>
      <c r="Q50" s="18" t="inlineStr">
        <is>
          <t>The relief of fixing command not found.</t>
        </is>
      </c>
      <c r="R50" s="18" t="inlineStr">
        <is>
          <t>Environment variables are named values given to programs, and PATH is the list of folders searched for commands.</t>
        </is>
      </c>
      <c r="S50" s="17" t="n"/>
      <c r="T50" s="19" t="inlineStr">
        <is>
          <t>echo $PATH
export API_URL="https://example.com"
printenv API_URL
export PATH="$HOME/bin:$PATH"
which python3</t>
        </is>
      </c>
      <c r="U50" s="19" t="inlineStr">
        <is>
          <t>The list of folders, the variable set for child programs, its value printed, the home bin folder searched first, and the path of the python3 that runs.</t>
        </is>
      </c>
      <c r="V50" s="18" t="inlineStr">
        <is>
          <t>A normal shell variable is local to the shell, and export makes it available to programs started from it. PATH folders are separated by colons and searched from left to right. Put persistent settings in startup files such as ~/.bashrc or ~/.profile. Never put secrets in the command line, since they can be seen in the process list.</t>
        </is>
      </c>
      <c r="W50" s="18" t="inlineStr">
        <is>
          <t>Use export to pass a variable to programs. PATH tells the shell where to find commands, so put your own folder in it to run your scripts by name.</t>
        </is>
      </c>
      <c r="X50" s="18" t="inlineStr">
        <is>
          <t>It is like a list of shelves that the shell searches in order to find the tool you named.</t>
        </is>
      </c>
      <c r="Y50" s="19" t="inlineStr">
        <is>
          <t>export NAME=value  |  printenv  |  $PATH</t>
        </is>
      </c>
      <c r="Z50" s="18" t="inlineStr">
        <is>
          <t>export = pass to child programs | PATH = folders searched, separated by colons | which = show which command runs</t>
        </is>
      </c>
      <c r="AA50" s="19" t="inlineStr">
        <is>
          <t>export EDITOR=vim</t>
        </is>
      </c>
      <c r="AB50" s="19" t="inlineStr">
        <is>
          <t>PATH="$PATH:/opt/tools/bin"</t>
        </is>
      </c>
      <c r="AC50" s="19" t="inlineStr">
        <is>
          <t>env | grep AWS</t>
        </is>
      </c>
      <c r="AD50" s="19" t="inlineStr">
        <is>
          <t>NAME=value command   // set a variable for one command only
type -a python   // list all matches in PATH</t>
        </is>
      </c>
      <c r="AE50" s="18" t="inlineStr">
        <is>
          <t>.bashrc, scripts, which</t>
        </is>
      </c>
      <c r="AF50" s="18" t="inlineStr">
        <is>
          <t>variables, scripts, shell</t>
        </is>
      </c>
      <c r="AG50" s="18" t="inlineStr">
        <is>
          <t>A .env file loaded by a tool</t>
        </is>
      </c>
      <c r="AH50" s="17" t="n"/>
      <c r="AI50" s="18" t="inlineStr">
        <is>
          <t>Configuration | Tools in custom folders | Containers and CI</t>
        </is>
      </c>
      <c r="AJ50" s="18" t="inlineStr">
        <is>
          <t>A: It says command not found, but I installed the tool. | B: Its folder may not be in PATH, so add it or use the full path.</t>
        </is>
      </c>
      <c r="AK50" s="18" t="inlineStr">
        <is>
          <t>✗ Setting a variable without export passes it to programs → ✓ Without export, the variable stays inside the current shell</t>
        </is>
      </c>
      <c r="AL50" s="18" t="inlineStr">
        <is>
          <t>Shell variable vs environment variable: only exported variables reach child programs.</t>
        </is>
      </c>
      <c r="AM50" s="18" t="inlineStr">
        <is>
          <t>Do not pass passwords on the command line.</t>
        </is>
      </c>
      <c r="AN50" s="19" t="inlineStr">
        <is>
          <t>PATH="/opt/tools/bin"</t>
        </is>
      </c>
      <c r="AO50" s="19" t="inlineStr">
        <is>
          <t>PATH="/opt/tools/bin:$PATH"</t>
        </is>
      </c>
      <c r="AP50" s="18" t="inlineStr">
        <is>
          <t>Export shares a variable with child programs.</t>
        </is>
      </c>
      <c r="AQ50" s="18" t="inlineStr">
        <is>
          <t>Adding a customer's tools folder to PATH in a setup script.</t>
        </is>
      </c>
      <c r="AR50" s="18" t="inlineStr">
        <is>
          <t>An interviewer may ask: What is PATH and how is it used?</t>
        </is>
      </c>
      <c r="AS50" s="18" t="inlineStr">
        <is>
          <t>It is like a list of shelves searched in order.</t>
        </is>
      </c>
      <c r="AT50" s="18" t="inlineStr">
        <is>
          <t>What does export do?</t>
        </is>
      </c>
      <c r="AU50" s="18" t="inlineStr">
        <is>
          <t>A) Locks a variable B) Prints a variable C) Deletes a variable D) Makes a variable available to child programs</t>
        </is>
      </c>
      <c r="AV50" s="18" t="inlineStr">
        <is>
          <t>D</t>
        </is>
      </c>
      <c r="AW50" s="18" t="inlineStr">
        <is>
          <t>export marks the variable for the environment of child processes.</t>
        </is>
      </c>
      <c r="AX50" s="19" t="inlineStr">
        <is>
          <t>The folders in PATH are separated by a ____ → colon</t>
        </is>
      </c>
      <c r="AY50" s="18" t="inlineStr">
        <is>
          <t>Add /opt/tools to the end of PATH.</t>
        </is>
      </c>
      <c r="AZ50" s="19" t="inlineStr">
        <is>
          <t>export PATH="$PATH:/opt/tools"</t>
        </is>
      </c>
      <c r="BA50" s="18" t="inlineStr">
        <is>
          <t>Find where three commands live with which and explain why.</t>
        </is>
      </c>
      <c r="BB50" s="19" t="inlineStr">
        <is>
          <t>Which command shows where a command comes from?</t>
        </is>
      </c>
      <c r="BC50" s="19" t="inlineStr">
        <is>
          <t>which command (or type -a command)</t>
        </is>
      </c>
      <c r="BD50" s="17">
        <f>IF(K50="","",REPT("★",K50)&amp;REPT("☆",5-K50)&amp;" ("&amp;K50&amp;"/5)")</f>
        <v/>
      </c>
      <c r="BE50" s="17">
        <f>IF(S50="","","Meaning: "&amp;S50&amp;"  =  ______   (Answer: "&amp;F50&amp;")")</f>
        <v/>
      </c>
      <c r="BF50" s="17" t="inlineStr">
        <is>
          <t>New</t>
        </is>
      </c>
      <c r="BG50" s="17" t="n"/>
      <c r="BH50" s="17" t="n"/>
      <c r="BI50" s="17" t="n"/>
      <c r="BJ50" s="17" t="n"/>
      <c r="BK50" s="17" t="n"/>
      <c r="BL50" s="17" t="n"/>
      <c r="BM50" s="17" t="n"/>
      <c r="BN50" s="17" t="n"/>
    </row>
    <row r="51" ht="94.5" customHeight="1">
      <c r="A51" s="17" t="inlineStr">
        <is>
          <t>LNX-054</t>
        </is>
      </c>
      <c r="B51" s="17" t="inlineStr">
        <is>
          <t>08 Advanced</t>
        </is>
      </c>
      <c r="C51" s="17" t="inlineStr">
        <is>
          <t>Intermediate</t>
        </is>
      </c>
      <c r="D51" s="17" t="n">
        <v>54</v>
      </c>
      <c r="E51" s="17" t="inlineStr">
        <is>
          <t>Claude knowledge</t>
        </is>
      </c>
      <c r="F51" s="18" t="inlineStr">
        <is>
          <t>tmux (terminal multiplexer)</t>
        </is>
      </c>
      <c r="G51" s="18" t="inlineStr">
        <is>
          <t>Which tool keeps terminal sessions alive on a server and lets you split the screen and reattach after a disconnect?</t>
        </is>
      </c>
      <c r="H51" s="17" t="n"/>
      <c r="I51" s="18" t="inlineStr">
        <is>
          <t>Command</t>
        </is>
      </c>
      <c r="J51" s="18" t="inlineStr">
        <is>
          <t>High</t>
        </is>
      </c>
      <c r="K51" s="18" t="n">
        <v>4</v>
      </c>
      <c r="L51" s="18" t="inlineStr">
        <is>
          <t>Remote connections drop, and long-running work should survive, so terminal multiplexers keep sessions running on the server independent of your connection.</t>
        </is>
      </c>
      <c r="M51" s="18" t="inlineStr">
        <is>
          <t>Start a named session with tmux new -s work, so you can find it again.</t>
        </is>
      </c>
      <c r="N51" s="17" t="n"/>
      <c r="O51" s="18" t="inlineStr">
        <is>
          <t>tmux is a desk that stays set up on the server, whether or not you are sitting at it.</t>
        </is>
      </c>
      <c r="P51" s="18" t="inlineStr">
        <is>
          <t>A terminal split in panes, with a detach and reattach arrow.</t>
        </is>
      </c>
      <c r="Q51" s="18" t="inlineStr">
        <is>
          <t>The freedom of dropped connections no longer mattering.</t>
        </is>
      </c>
      <c r="R51" s="18" t="inlineStr">
        <is>
          <t>tmux runs persistent terminal sessions that you can detach from, reattach to, and split into windows and panes.</t>
        </is>
      </c>
      <c r="S51" s="17" t="n"/>
      <c r="T51" s="19" t="inlineStr">
        <is>
          <t>tmux new -s work
tmux ls
tmux attach -t work
tmux kill-session -t work</t>
        </is>
      </c>
      <c r="U51" s="19" t="inlineStr">
        <is>
          <t>A new session named work, a list of sessions, a reattached session after a disconnect, and the session removed.</t>
        </is>
      </c>
      <c r="V51" s="18" t="inlineStr">
        <is>
          <t>Inside tmux, most commands start with the prefix Ctrl and B. After the prefix, d detaches, c creates a new window, % splits the window into left and right panes, and double quote into top and bottom panes. A session continues to run when you detach or lose your connection. screen is an older, similar tool.</t>
        </is>
      </c>
      <c r="W51" s="18" t="inlineStr">
        <is>
          <t>Start tmux, work, and detach with the prefix and d. Later reattach with tmux attach, and everything is still running.</t>
        </is>
      </c>
      <c r="X51" s="18" t="inlineStr">
        <is>
          <t>It is like a desk on the server that stays set up whether or not you sit at it.</t>
        </is>
      </c>
      <c r="Y51" s="19" t="inlineStr">
        <is>
          <t>tmux new -s name  |  tmux attach -t name</t>
        </is>
      </c>
      <c r="Z51" s="18" t="inlineStr">
        <is>
          <t>new -s = new named session | attach -t = reattach | prefix then d = detach | ls = list</t>
        </is>
      </c>
      <c r="AA51" s="19" t="inlineStr">
        <is>
          <t>tmux new -s deploy</t>
        </is>
      </c>
      <c r="AB51" s="19" t="inlineStr">
        <is>
          <t>tmux attach -t deploy</t>
        </is>
      </c>
      <c r="AC51" s="19" t="inlineStr">
        <is>
          <t>tmux ls</t>
        </is>
      </c>
      <c r="AD51" s="19" t="inlineStr">
        <is>
          <t>tmux new -d -s job 'long_command'   // start detached
prefix then [   // scroll mode</t>
        </is>
      </c>
      <c r="AE51" s="18" t="inlineStr">
        <is>
          <t>ssh, long jobs, nohup</t>
        </is>
      </c>
      <c r="AF51" s="18" t="inlineStr">
        <is>
          <t>background jobs, ssh, screen</t>
        </is>
      </c>
      <c r="AG51" s="18" t="inlineStr">
        <is>
          <t>screen</t>
        </is>
      </c>
      <c r="AH51" s="17" t="n"/>
      <c r="AI51" s="18" t="inlineStr">
        <is>
          <t>Remote servers | Long jobs | Pairing sessions</t>
        </is>
      </c>
      <c r="AJ51" s="18" t="inlineStr">
        <is>
          <t>A: My SSH dropped and killed my job. | B: Run long jobs inside tmux, then reattach later.</t>
        </is>
      </c>
      <c r="AK51" s="18" t="inlineStr">
        <is>
          <t>✗ Closing the terminal window always ends a tmux session → ✓ A tmux session keeps running on the server when you detach or lose the connection</t>
        </is>
      </c>
      <c r="AL51" s="18" t="inlineStr">
        <is>
          <t>tmux vs nohup: tmux keeps an interactive session, nohup only protects one command.</t>
        </is>
      </c>
      <c r="AM51" s="18" t="inlineStr">
        <is>
          <t>Do not leave many forgotten sessions running.</t>
        </is>
      </c>
      <c r="AN51" s="19" t="inlineStr">
        <is>
          <t>tmux attach work</t>
        </is>
      </c>
      <c r="AO51" s="19" t="inlineStr">
        <is>
          <t>tmux attach -t work</t>
        </is>
      </c>
      <c r="AP51" s="18" t="inlineStr">
        <is>
          <t>Always detach and do not kill.</t>
        </is>
      </c>
      <c r="AQ51" s="18" t="inlineStr">
        <is>
          <t>Running a long data migration in tmux on a customer server.</t>
        </is>
      </c>
      <c r="AR51" s="18" t="inlineStr">
        <is>
          <t>An interviewer may ask: How do you keep a session alive after SSH disconnects?</t>
        </is>
      </c>
      <c r="AS51" s="18" t="inlineStr">
        <is>
          <t>It is like a desk that stays set up on the server.</t>
        </is>
      </c>
      <c r="AT51" s="18" t="inlineStr">
        <is>
          <t>What does detaching from tmux do?</t>
        </is>
      </c>
      <c r="AU51" s="18" t="inlineStr">
        <is>
          <t>A) Leaves the session running B) Ends the session C) Reboots the machine D) Deletes files</t>
        </is>
      </c>
      <c r="AV51" s="18" t="inlineStr">
        <is>
          <t>A</t>
        </is>
      </c>
      <c r="AW51" s="18" t="inlineStr">
        <is>
          <t>A detached session keeps running on the server.</t>
        </is>
      </c>
      <c r="AX51" s="19" t="inlineStr">
        <is>
          <t>The default tmux prefix is Ctrl and ____ → B</t>
        </is>
      </c>
      <c r="AY51" s="18" t="inlineStr">
        <is>
          <t>Start a tmux session named work.</t>
        </is>
      </c>
      <c r="AZ51" s="19" t="inlineStr">
        <is>
          <t>tmux new -s work</t>
        </is>
      </c>
      <c r="BA51" s="18" t="inlineStr">
        <is>
          <t>Start a session, run a command, detach and reattach.</t>
        </is>
      </c>
      <c r="BB51" s="19" t="inlineStr">
        <is>
          <t>Which command lists tmux sessions?</t>
        </is>
      </c>
      <c r="BC51" s="19" t="inlineStr">
        <is>
          <t>tmux ls</t>
        </is>
      </c>
      <c r="BD51" s="17">
        <f>IF(K51="","",REPT("★",K51)&amp;REPT("☆",5-K51)&amp;" ("&amp;K51&amp;"/5)")</f>
        <v/>
      </c>
      <c r="BE51" s="17">
        <f>IF(S51="","","Meaning: "&amp;S51&amp;"  =  ______   (Answer: "&amp;F51&amp;")")</f>
        <v/>
      </c>
      <c r="BF51" s="17" t="inlineStr">
        <is>
          <t>New</t>
        </is>
      </c>
      <c r="BG51" s="17" t="n"/>
      <c r="BH51" s="17" t="n"/>
      <c r="BI51" s="17" t="n"/>
      <c r="BJ51" s="17" t="n"/>
      <c r="BK51" s="17" t="n"/>
      <c r="BL51" s="17" t="n"/>
      <c r="BM51" s="17" t="n"/>
      <c r="BN51" s="17" t="n"/>
    </row>
    <row r="52" ht="108" customHeight="1">
      <c r="A52" s="17" t="inlineStr">
        <is>
          <t>LNX-055</t>
        </is>
      </c>
      <c r="B52" s="17" t="inlineStr">
        <is>
          <t>08 Advanced</t>
        </is>
      </c>
      <c r="C52" s="17" t="inlineStr">
        <is>
          <t>Advanced</t>
        </is>
      </c>
      <c r="D52" s="17" t="n">
        <v>55</v>
      </c>
      <c r="E52" s="17" t="inlineStr">
        <is>
          <t>Claude knowledge</t>
        </is>
      </c>
      <c r="F52" s="18" t="inlineStr">
        <is>
          <t>lsof and strace</t>
        </is>
      </c>
      <c r="G52" s="18" t="inlineStr">
        <is>
          <t>Which tools show which files and ports a process has open, and which system calls it makes?</t>
        </is>
      </c>
      <c r="H52" s="17" t="n"/>
      <c r="I52" s="18" t="inlineStr">
        <is>
          <t>Command</t>
        </is>
      </c>
      <c r="J52" s="18" t="inlineStr">
        <is>
          <t>Medium</t>
        </is>
      </c>
      <c r="K52" s="18" t="n">
        <v>4</v>
      </c>
      <c r="L52" s="18" t="inlineStr">
        <is>
          <t>When a program misbehaves without a clear error, you can watch what it asks the kernel to do, so these tools expose open files and system calls.</t>
        </is>
      </c>
      <c r="M52" s="18" t="inlineStr">
        <is>
          <t>Use lsof -i :port to find who holds a port, and strace -f -p pid to see what a running program is doing.</t>
        </is>
      </c>
      <c r="N52" s="17" t="n"/>
      <c r="O52" s="18" t="inlineStr">
        <is>
          <t>lsof lists what a process is holding in its hands, and strace listens to every request it makes to the kernel.</t>
        </is>
      </c>
      <c r="P52" s="18" t="inlineStr">
        <is>
          <t>A process surrounded by the files and sockets it holds.</t>
        </is>
      </c>
      <c r="Q52" s="18" t="inlineStr">
        <is>
          <t>The detective's thrill of finding a hidden cause.</t>
        </is>
      </c>
      <c r="R52" s="18" t="inlineStr">
        <is>
          <t>lsof lists open files and sockets, and strace traces the system calls of a program.</t>
        </is>
      </c>
      <c r="S52" s="17" t="n"/>
      <c r="T52" s="19" t="inlineStr">
        <is>
          <t>sudo lsof -i :8080
lsof -p 1234
strace -f -o trace.txt ./program
sudo strace -p 1234</t>
        </is>
      </c>
      <c r="U52" s="19" t="inlineStr">
        <is>
          <t>The process using port 8080, the files and sockets of process 1234, a trace of every system call written to a file, and a live trace of a running process.</t>
        </is>
      </c>
      <c r="V52" s="18" t="inlineStr">
        <is>
          <t>On Linux, almost everything is a file, including sockets, so lsof shows files, network connections and even deleted files still held open. strace shows calls such as open, read and connect, with their results, which reveals missing files, permission errors and slow calls. strace slows the program down, so use it with care on busy systems.</t>
        </is>
      </c>
      <c r="W52" s="18" t="inlineStr">
        <is>
          <t>Use lsof to see what a process has open or who uses a port. Use strace to see which system calls a program makes and where it fails.</t>
        </is>
      </c>
      <c r="X52" s="18" t="inlineStr">
        <is>
          <t>lsof lists what a process holds in its hands, and strace listens to each request it makes.</t>
        </is>
      </c>
      <c r="Y52" s="19" t="inlineStr">
        <is>
          <t>lsof [-i :port] [-p pid]  |  strace [-f] [-p pid] command</t>
        </is>
      </c>
      <c r="Z52" s="18" t="inlineStr">
        <is>
          <t>lsof -i = network files | -p = by process | strace -f = follow child processes | -o = write to file</t>
        </is>
      </c>
      <c r="AA52" s="19" t="inlineStr">
        <is>
          <t>sudo lsof +D /var/log</t>
        </is>
      </c>
      <c r="AB52" s="19" t="inlineStr">
        <is>
          <t>strace -e trace=openat ./app</t>
        </is>
      </c>
      <c r="AC52" s="19" t="inlineStr">
        <is>
          <t>sudo lsof | grep deleted</t>
        </is>
      </c>
      <c r="AD52" s="19" t="inlineStr">
        <is>
          <t>strace -c ./app   // summary of time spent per call
lsof -u asha   // files opened by a user</t>
        </is>
      </c>
      <c r="AE52" s="18" t="inlineStr">
        <is>
          <t>ps, ss, grep</t>
        </is>
      </c>
      <c r="AF52" s="18" t="inlineStr">
        <is>
          <t>ss, ps and top, df</t>
        </is>
      </c>
      <c r="AG52" s="18" t="inlineStr">
        <is>
          <t>ltrace for library calls, or a debugger</t>
        </is>
      </c>
      <c r="AH52" s="17" t="n"/>
      <c r="AI52" s="18" t="inlineStr">
        <is>
          <t>Port conflicts | Mystery failures | Disk space held by deleted files</t>
        </is>
      </c>
      <c r="AJ52" s="18" t="inlineStr">
        <is>
          <t>A: The app exits with no error message. | B: Run it under strace and look for failed open calls near the end.</t>
        </is>
      </c>
      <c r="AK52" s="18" t="inlineStr">
        <is>
          <t>✗ strace has no effect on the program speed → ✓ strace can slow a program a lot, so use it carefully on production systems</t>
        </is>
      </c>
      <c r="AL52" s="18" t="inlineStr">
        <is>
          <t>lsof vs strace: lsof shows what is open now, strace shows calls over time.</t>
        </is>
      </c>
      <c r="AM52" s="18" t="inlineStr">
        <is>
          <t>Do not attach strace to a busy production process casually.</t>
        </is>
      </c>
      <c r="AN52" s="19" t="inlineStr">
        <is>
          <t>lsof port 8080</t>
        </is>
      </c>
      <c r="AO52" s="19" t="inlineStr">
        <is>
          <t>sudo lsof -i :8080</t>
        </is>
      </c>
      <c r="AP52" s="18" t="inlineStr">
        <is>
          <t>lsof shows holdings, strace shows requests.</t>
        </is>
      </c>
      <c r="AQ52" s="18" t="inlineStr">
        <is>
          <t>Finding that a missing config file path was the cause of a silent crash.</t>
        </is>
      </c>
      <c r="AR52" s="18" t="inlineStr">
        <is>
          <t>An interviewer may ask: How do you find which process uses a port?</t>
        </is>
      </c>
      <c r="AS52" s="18" t="inlineStr">
        <is>
          <t>It is like seeing what someone holds in their hands.</t>
        </is>
      </c>
      <c r="AT52" s="18" t="inlineStr">
        <is>
          <t>Which tool traces system calls?</t>
        </is>
      </c>
      <c r="AU52" s="18" t="inlineStr">
        <is>
          <t>A) tar B) strace C) df D) lsof</t>
        </is>
      </c>
      <c r="AV52" s="18" t="inlineStr">
        <is>
          <t>B</t>
        </is>
      </c>
      <c r="AW52" s="18" t="inlineStr">
        <is>
          <t>strace follows the system calls a process makes.</t>
        </is>
      </c>
      <c r="AX52" s="19" t="inlineStr">
        <is>
          <t>The tool that traces the system calls of a program is called ____ → strace</t>
        </is>
      </c>
      <c r="AY52" s="18" t="inlineStr">
        <is>
          <t>Show which process uses port 3000.</t>
        </is>
      </c>
      <c r="AZ52" s="19" t="inlineStr">
        <is>
          <t>sudo lsof -i :3000</t>
        </is>
      </c>
      <c r="BA52" s="18" t="inlineStr">
        <is>
          <t>Use strace on a simple command and find the files it opens.</t>
        </is>
      </c>
      <c r="BB52" s="19" t="inlineStr">
        <is>
          <t>Why can deleted files still use disk space?</t>
        </is>
      </c>
      <c r="BC52" s="19" t="inlineStr">
        <is>
          <t>Because a process may still hold them open.</t>
        </is>
      </c>
      <c r="BD52" s="17">
        <f>IF(K52="","",REPT("★",K52)&amp;REPT("☆",5-K52)&amp;" ("&amp;K52&amp;"/5)")</f>
        <v/>
      </c>
      <c r="BE52" s="17">
        <f>IF(S52="","","Meaning: "&amp;S52&amp;"  =  ______   (Answer: "&amp;F52&amp;")")</f>
        <v/>
      </c>
      <c r="BF52" s="17" t="inlineStr">
        <is>
          <t>New</t>
        </is>
      </c>
      <c r="BG52" s="17" t="n"/>
      <c r="BH52" s="17" t="n"/>
      <c r="BI52" s="17" t="n"/>
      <c r="BJ52" s="17" t="n"/>
      <c r="BK52" s="17" t="n"/>
      <c r="BL52" s="17" t="n"/>
      <c r="BM52" s="17" t="n"/>
      <c r="BN52" s="17" t="n"/>
    </row>
    <row r="53" ht="108" customHeight="1">
      <c r="A53" s="17" t="inlineStr">
        <is>
          <t>LNX-056</t>
        </is>
      </c>
      <c r="B53" s="17" t="inlineStr">
        <is>
          <t>08 Advanced</t>
        </is>
      </c>
      <c r="C53" s="17" t="inlineStr">
        <is>
          <t>Beginner</t>
        </is>
      </c>
      <c r="D53" s="17" t="n">
        <v>56</v>
      </c>
      <c r="E53" s="17" t="inlineStr">
        <is>
          <t>Claude knowledge</t>
        </is>
      </c>
      <c r="F53" s="18" t="inlineStr">
        <is>
          <t>tar and gzip</t>
        </is>
      </c>
      <c r="G53" s="18" t="inlineStr">
        <is>
          <t>Which commands bundle many files into one archive and compress it, and unpack it again?</t>
        </is>
      </c>
      <c r="H53" s="17" t="n"/>
      <c r="I53" s="18" t="inlineStr">
        <is>
          <t>Command</t>
        </is>
      </c>
      <c r="J53" s="18" t="inlineStr">
        <is>
          <t>Very high</t>
        </is>
      </c>
      <c r="K53" s="18" t="n">
        <v>5</v>
      </c>
      <c r="L53" s="18" t="inlineStr">
        <is>
          <t>Moving many files is easier as one package, so tar joins them into an archive and compression tools such as gzip make it smaller.</t>
        </is>
      </c>
      <c r="M53" s="18" t="inlineStr">
        <is>
          <t>List an archive with tar -tzf before extracting, to see where the files will land.</t>
        </is>
      </c>
      <c r="N53" s="17" t="n"/>
      <c r="O53" s="18" t="inlineStr">
        <is>
          <t>tar packs a box with everything inside, and gzip squeezes the box smaller.</t>
        </is>
      </c>
      <c r="P53" s="18" t="inlineStr">
        <is>
          <t>A folder going into one file ending in tar dot gz.</t>
        </is>
      </c>
      <c r="Q53" s="18" t="inlineStr">
        <is>
          <t>The ease of moving a whole folder as one file.</t>
        </is>
      </c>
      <c r="R53" s="18" t="inlineStr">
        <is>
          <t>tar creates and extracts archives, and with -z it uses gzip compression.</t>
        </is>
      </c>
      <c r="S53" s="17" t="n"/>
      <c r="T53" s="19" t="inlineStr">
        <is>
          <t>tar -czf backup.tar.gz project/
tar -tzf backup.tar.gz
tar -xzf backup.tar.gz -C /tmp/restore
gzip file.log
gunzip file.log.gz</t>
        </is>
      </c>
      <c r="U53" s="19" t="inlineStr">
        <is>
          <t>A compressed archive of the folder, a list of its contents, the contents extracted into a chosen folder, a single file compressed, and then decompressed.</t>
        </is>
      </c>
      <c r="V53" s="18" t="inlineStr">
        <is>
          <t>The flag c creates, x extracts, t lists, f names the file, z uses gzip, and v shows progress. The -C option picks the target folder for extraction. tar keeps permissions and folder structure. gzip works on single files, and tar combines files so that one compressed file holds a whole folder. Other formats include .zip with the zip and unzip commands.</t>
        </is>
      </c>
      <c r="W53" s="18" t="inlineStr">
        <is>
          <t>Use tar -czf to pack and compress, tar -tzf to look inside, and tar -xzf to unpack. Add -C to choose where it goes.</t>
        </is>
      </c>
      <c r="X53" s="18" t="inlineStr">
        <is>
          <t>tar packs a box with everything inside, and gzip squeezes the box smaller.</t>
        </is>
      </c>
      <c r="Y53" s="19" t="inlineStr">
        <is>
          <t>tar -czf archive.tar.gz folder  |  tar -xzf archive.tar.gz</t>
        </is>
      </c>
      <c r="Z53" s="18" t="inlineStr">
        <is>
          <t>c = create | x = extract | t = list | z = gzip | f = file name | -C = target folder</t>
        </is>
      </c>
      <c r="AA53" s="19" t="inlineStr">
        <is>
          <t>tar -czf site.tar.gz /var/www/site</t>
        </is>
      </c>
      <c r="AB53" s="19" t="inlineStr">
        <is>
          <t>tar -xzf site.tar.gz -C /var/www</t>
        </is>
      </c>
      <c r="AC53" s="19" t="inlineStr">
        <is>
          <t>tar -tzf site.tar.gz | head</t>
        </is>
      </c>
      <c r="AD53" s="19" t="inlineStr">
        <is>
          <t>tar -cjf a.tar.bz2 folder   // bzip2 compression
unzip file.zip   // for zip archives</t>
        </is>
      </c>
      <c r="AE53" s="18" t="inlineStr">
        <is>
          <t>scp, cron backups, rsync</t>
        </is>
      </c>
      <c r="AF53" s="18" t="inlineStr">
        <is>
          <t>scp and rsync, cron, find</t>
        </is>
      </c>
      <c r="AG53" s="18" t="inlineStr">
        <is>
          <t>zip and unzip</t>
        </is>
      </c>
      <c r="AH53" s="17" t="n"/>
      <c r="AI53" s="18" t="inlineStr">
        <is>
          <t>Backups | Moving folders | Releases</t>
        </is>
      </c>
      <c r="AJ53" s="18" t="inlineStr">
        <is>
          <t>A: I need to send the whole folder to the customer. | B: Pack it with tar -czf and send the single archive.</t>
        </is>
      </c>
      <c r="AK53" s="18" t="inlineStr">
        <is>
          <t>✗ gzip can compress a whole folder by itself → ✓ gzip compresses single files, and tar bundles a folder into one file first</t>
        </is>
      </c>
      <c r="AL53" s="18" t="inlineStr">
        <is>
          <t>tar vs gzip: tar bundles files, gzip compresses a file.</t>
        </is>
      </c>
      <c r="AM53" s="18" t="inlineStr">
        <is>
          <t>Do not extract an archive from an unknown source without listing it first.</t>
        </is>
      </c>
      <c r="AN53" s="19" t="inlineStr">
        <is>
          <t>tar -xzf backup.tar.gz /tmp/restore</t>
        </is>
      </c>
      <c r="AO53" s="19" t="inlineStr">
        <is>
          <t>tar -xzf backup.tar.gz -C /tmp/restore</t>
        </is>
      </c>
      <c r="AP53" s="18" t="inlineStr">
        <is>
          <t>Create, extract and list with c, x and t.</t>
        </is>
      </c>
      <c r="AQ53" s="18" t="inlineStr">
        <is>
          <t>Archiving a release folder before copying it to a customer server.</t>
        </is>
      </c>
      <c r="AR53" s="18" t="inlineStr">
        <is>
          <t>An interviewer may ask: What does tar -xzf do?</t>
        </is>
      </c>
      <c r="AS53" s="18" t="inlineStr">
        <is>
          <t>It is like packing a box and squeezing it smaller.</t>
        </is>
      </c>
      <c r="AT53" s="18" t="inlineStr">
        <is>
          <t>Which flag of tar extracts an archive?</t>
        </is>
      </c>
      <c r="AU53" s="18" t="inlineStr">
        <is>
          <t>A) z B) t C) x D) c</t>
        </is>
      </c>
      <c r="AV53" s="18" t="inlineStr">
        <is>
          <t>C</t>
        </is>
      </c>
      <c r="AW53" s="18" t="inlineStr">
        <is>
          <t>x stands for extract.</t>
        </is>
      </c>
      <c r="AX53" s="19" t="inlineStr">
        <is>
          <t>In tar -czf, the letter z means ____ compression → gzip</t>
        </is>
      </c>
      <c r="AY53" s="18" t="inlineStr">
        <is>
          <t>Create a compressed archive named logs.tar.gz from the folder logs.</t>
        </is>
      </c>
      <c r="AZ53" s="19" t="inlineStr">
        <is>
          <t>tar -czf logs.tar.gz logs</t>
        </is>
      </c>
      <c r="BA53" s="18" t="inlineStr">
        <is>
          <t>Pack a folder, list the archive, and extract it elsewhere.</t>
        </is>
      </c>
      <c r="BB53" s="19" t="inlineStr">
        <is>
          <t>Which flag lists the contents of an archive?</t>
        </is>
      </c>
      <c r="BC53" s="19" t="inlineStr">
        <is>
          <t>t</t>
        </is>
      </c>
      <c r="BD53" s="17">
        <f>IF(K53="","",REPT("★",K53)&amp;REPT("☆",5-K53)&amp;" ("&amp;K53&amp;"/5)")</f>
        <v/>
      </c>
      <c r="BE53" s="17">
        <f>IF(S53="","","Meaning: "&amp;S53&amp;"  =  ______   (Answer: "&amp;F53&amp;")")</f>
        <v/>
      </c>
      <c r="BF53" s="17" t="inlineStr">
        <is>
          <t>New</t>
        </is>
      </c>
      <c r="BG53" s="17" t="n"/>
      <c r="BH53" s="17" t="n"/>
      <c r="BI53" s="17" t="n"/>
      <c r="BJ53" s="17" t="n"/>
      <c r="BK53" s="17" t="n"/>
      <c r="BL53" s="17" t="n"/>
      <c r="BM53" s="17" t="n"/>
      <c r="BN53" s="17" t="n"/>
    </row>
  </sheetData>
  <autoFilter ref="A2:BN53"/>
  <mergeCells count="6">
    <mergeCell ref="AT1:BC1"/>
    <mergeCell ref="BD1:BE1"/>
    <mergeCell ref="F1:Q1"/>
    <mergeCell ref="A1:E1"/>
    <mergeCell ref="BF1:BN1"/>
    <mergeCell ref="R1:AS1"/>
  </mergeCells>
  <dataValidations count="2">
    <dataValidation sqref="BF3:BF53" showDropDown="0" showInputMessage="0" showErrorMessage="0" allowBlank="1" type="list">
      <formula1>"New,Learning,Known"</formula1>
    </dataValidation>
    <dataValidation sqref="BM3:BM53"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LNX-005</t>
        </is>
      </c>
    </row>
    <row r="4">
      <c r="A4" s="23" t="inlineStr">
        <is>
          <t>FRONT · Recognition (pehchano)</t>
        </is>
      </c>
    </row>
    <row r="5" ht="30" customHeight="1">
      <c r="A5" s="24" t="inlineStr">
        <is>
          <t>ID</t>
        </is>
      </c>
      <c r="B5" s="17">
        <f>INDEX('Code concept (56-pt) cards'!$A$3:$BN$53,MATCH($B$2,'Code concept (56-pt) cards'!$A$3:$A$53,0),MATCH("ID",'Code concept (56-pt) cards'!$A$2:$BN$2,0))&amp;""</f>
        <v/>
      </c>
    </row>
    <row r="6" ht="30" customHeight="1">
      <c r="A6" s="24" t="inlineStr">
        <is>
          <t>Topic</t>
        </is>
      </c>
      <c r="B6" s="17">
        <f>INDEX('Code concept (56-pt) cards'!$A$3:$BN$53,MATCH($B$2,'Code concept (56-pt) cards'!$A$3:$A$53,0),MATCH("Topic",'Code concept (56-pt) cards'!$A$2:$BN$2,0))&amp;""</f>
        <v/>
      </c>
    </row>
    <row r="7" ht="30" customHeight="1">
      <c r="A7" s="24" t="inlineStr">
        <is>
          <t>Level</t>
        </is>
      </c>
      <c r="B7" s="17">
        <f>INDEX('Code concept (56-pt) cards'!$A$3:$BN$53,MATCH($B$2,'Code concept (56-pt) cards'!$A$3:$A$53,0),MATCH("Level",'Code concept (56-pt) cards'!$A$2:$BN$2,0))&amp;""</f>
        <v/>
      </c>
    </row>
    <row r="8" ht="30" customHeight="1">
      <c r="A8" s="24" t="inlineStr">
        <is>
          <t>Concept</t>
        </is>
      </c>
      <c r="B8" s="17">
        <f>INDEX('Code concept (56-pt) cards'!$A$3:$BN$53,MATCH($B$2,'Code concept (56-pt) cards'!$A$3:$A$53,0),MATCH("Concept",'Code concept (56-pt) cards'!$A$2:$BN$2,0))&amp;""</f>
        <v/>
      </c>
    </row>
    <row r="9" ht="30" customHeight="1">
      <c r="A9" s="24" t="inlineStr">
        <is>
          <t>Recall cue</t>
        </is>
      </c>
      <c r="B9" s="17">
        <f>INDEX('Code concept (56-pt) cards'!$A$3:$BN$53,MATCH($B$2,'Code concept (56-pt) cards'!$A$3:$A$53,0),MATCH("Recall cue",'Code concept (56-pt) cards'!$A$2:$BN$2,0))&amp;""</f>
        <v/>
      </c>
    </row>
    <row r="10" ht="30" customHeight="1">
      <c r="A10" s="24" t="inlineStr">
        <is>
          <t>Read aloud</t>
        </is>
      </c>
      <c r="B10" s="17">
        <f>INDEX('Code concept (56-pt) cards'!$A$3:$BN$53,MATCH($B$2,'Code concept (56-pt) cards'!$A$3:$A$53,0),MATCH("Read aloud",'Code concept (56-pt) cards'!$A$2:$BN$2,0))&amp;""</f>
        <v/>
      </c>
    </row>
    <row r="11" ht="30" customHeight="1">
      <c r="A11" s="24" t="inlineStr">
        <is>
          <t>Type</t>
        </is>
      </c>
      <c r="B11" s="17">
        <f>INDEX('Code concept (56-pt) cards'!$A$3:$BN$53,MATCH($B$2,'Code concept (56-pt) cards'!$A$3:$A$53,0),MATCH("Type",'Code concept (56-pt) cards'!$A$2:$BN$2,0))&amp;""</f>
        <v/>
      </c>
    </row>
    <row r="12" ht="30" customHeight="1">
      <c r="A12" s="24" t="inlineStr">
        <is>
          <t>How often used</t>
        </is>
      </c>
      <c r="B12" s="17">
        <f>INDEX('Code concept (56-pt) cards'!$A$3:$BN$53,MATCH($B$2,'Code concept (56-pt) cards'!$A$3:$A$53,0),MATCH("How often used",'Code concept (56-pt) cards'!$A$2:$BN$2,0))&amp;""</f>
        <v/>
      </c>
    </row>
    <row r="13" ht="30" customHeight="1">
      <c r="A13" s="24" t="inlineStr">
        <is>
          <t>Importance (1-5)</t>
        </is>
      </c>
      <c r="B13" s="17">
        <f>INDEX('Code concept (56-pt) cards'!$A$3:$BN$53,MATCH($B$2,'Code concept (56-pt) cards'!$A$3:$A$53,0),MATCH("Importance (1-5)",'Code concept (56-pt) cards'!$A$2:$BN$2,0))&amp;""</f>
        <v/>
      </c>
    </row>
    <row r="14" ht="30" customHeight="1">
      <c r="A14" s="24" t="inlineStr">
        <is>
          <t>Origin / why it exists</t>
        </is>
      </c>
      <c r="B14" s="17">
        <f>INDEX('Code concept (56-pt) cards'!$A$3:$BN$53,MATCH($B$2,'Code concept (56-pt) cards'!$A$3:$A$53,0),MATCH("Origin / why it exists",'Code concept (56-pt) cards'!$A$2:$BN$2,0))&amp;""</f>
        <v/>
      </c>
    </row>
    <row r="15" ht="30" customHeight="1">
      <c r="A15" s="24" t="inlineStr">
        <is>
          <t>Pro tip</t>
        </is>
      </c>
      <c r="B15" s="17">
        <f>INDEX('Code concept (56-pt) cards'!$A$3:$BN$53,MATCH($B$2,'Code concept (56-pt) cards'!$A$3:$A$53,0),MATCH("Pro tip",'Code concept (56-pt) cards'!$A$2:$BN$2,0))&amp;""</f>
        <v/>
      </c>
    </row>
    <row r="16" ht="30" customHeight="1">
      <c r="A16" s="24" t="inlineStr">
        <is>
          <t>Typing hint</t>
        </is>
      </c>
      <c r="B16" s="17">
        <f>INDEX('Code concept (56-pt) cards'!$A$3:$BN$53,MATCH($B$2,'Code concept (56-pt) cards'!$A$3:$A$53,0),MATCH("Typing hint",'Code concept (56-pt) cards'!$A$2:$BN$2,0))&amp;""</f>
        <v/>
      </c>
    </row>
    <row r="17" ht="30" customHeight="1">
      <c r="A17" s="24" t="inlineStr">
        <is>
          <t>Memory story</t>
        </is>
      </c>
      <c r="B17" s="17">
        <f>INDEX('Code concept (56-pt) cards'!$A$3:$BN$53,MATCH($B$2,'Code concept (56-pt) cards'!$A$3:$A$53,0),MATCH("Memory story",'Code concept (56-pt) cards'!$A$2:$BN$2,0))&amp;""</f>
        <v/>
      </c>
    </row>
    <row r="18" ht="30" customHeight="1">
      <c r="A18" s="24" t="inlineStr">
        <is>
          <t>Picture it</t>
        </is>
      </c>
      <c r="B18" s="17">
        <f>INDEX('Code concept (56-pt) cards'!$A$3:$BN$53,MATCH($B$2,'Code concept (56-pt) cards'!$A$3:$A$53,0),MATCH("Picture it",'Code concept (56-pt) cards'!$A$2:$BN$2,0))&amp;""</f>
        <v/>
      </c>
    </row>
    <row r="19" ht="30" customHeight="1">
      <c r="A19" s="24" t="inlineStr">
        <is>
          <t>Emotion hook</t>
        </is>
      </c>
      <c r="B19" s="17">
        <f>INDEX('Code concept (56-pt) cards'!$A$3:$BN$53,MATCH($B$2,'Code concept (56-pt) cards'!$A$3:$A$53,0),MATCH("Emotion hook",'Code concept (56-pt) cards'!$A$2:$BN$2,0))&amp;""</f>
        <v/>
      </c>
    </row>
    <row r="20" ht="30" customHeight="1">
      <c r="A20" s="24" t="inlineStr">
        <is>
          <t>Importance ★</t>
        </is>
      </c>
      <c r="B20" s="17">
        <f>INDEX('Code concept (56-pt) cards'!$A$3:$BN$53,MATCH($B$2,'Code concept (56-pt) cards'!$A$3:$A$53,0),MATCH("Importance ★",'Code concept (56-pt) cards'!$A$2:$BN$2,0))&amp;""</f>
        <v/>
      </c>
    </row>
    <row r="21">
      <c r="A21" s="25" t="inlineStr">
        <is>
          <t>BACK · Understanding (samjho)</t>
        </is>
      </c>
    </row>
    <row r="22" ht="30" customHeight="1">
      <c r="A22" s="24" t="inlineStr">
        <is>
          <t>Meaning (short)</t>
        </is>
      </c>
      <c r="B22" s="17">
        <f>INDEX('Code concept (56-pt) cards'!$A$3:$BN$53,MATCH($B$2,'Code concept (56-pt) cards'!$A$3:$A$53,0),MATCH("Meaning (short)",'Code concept (56-pt) cards'!$A$2:$BN$2,0))&amp;""</f>
        <v/>
      </c>
    </row>
    <row r="23" ht="30" customHeight="1">
      <c r="A23" s="24" t="inlineStr">
        <is>
          <t>Meaning in learner's language</t>
        </is>
      </c>
      <c r="B23" s="17">
        <f>INDEX('Code concept (56-pt) cards'!$A$3:$BN$53,MATCH($B$2,'Code concept (56-pt) cards'!$A$3:$A$53,0),MATCH("Meaning in learner's language",'Code concept (56-pt) cards'!$A$2:$BN$2,0))&amp;""</f>
        <v/>
      </c>
    </row>
    <row r="24" ht="67.5" customHeight="1">
      <c r="A24" s="24" t="inlineStr">
        <is>
          <t>Code</t>
        </is>
      </c>
      <c r="B24" s="26">
        <f>INDEX('Code concept (56-pt) cards'!$A$3:$BN$53,MATCH($B$2,'Code concept (56-pt) cards'!$A$3:$A$53,0),MATCH("Code",'Code concept (56-pt) cards'!$A$2:$BN$2,0))&amp;""</f>
        <v/>
      </c>
    </row>
    <row r="25" ht="40.5" customHeight="1">
      <c r="A25" s="24" t="inlineStr">
        <is>
          <t>Output</t>
        </is>
      </c>
      <c r="B25" s="26">
        <f>INDEX('Code concept (56-pt) cards'!$A$3:$BN$53,MATCH($B$2,'Code concept (56-pt) cards'!$A$3:$A$53,0),MATCH("Output",'Code concept (56-pt) cards'!$A$2:$BN$2,0))&amp;""</f>
        <v/>
      </c>
    </row>
    <row r="26" ht="54" customHeight="1">
      <c r="A26" s="24" t="inlineStr">
        <is>
          <t>Explanation</t>
        </is>
      </c>
      <c r="B26" s="17">
        <f>INDEX('Code concept (56-pt) cards'!$A$3:$BN$53,MATCH($B$2,'Code concept (56-pt) cards'!$A$3:$A$53,0),MATCH("Explanation",'Code concept (56-pt) cards'!$A$2:$BN$2,0))&amp;""</f>
        <v/>
      </c>
    </row>
    <row r="27" ht="30" customHeight="1">
      <c r="A27" s="24" t="inlineStr">
        <is>
          <t>Simple explanation (Hinglish)</t>
        </is>
      </c>
      <c r="B27" s="17">
        <f>INDEX('Code concept (56-pt) cards'!$A$3:$BN$53,MATCH($B$2,'Code concept (56-pt) cards'!$A$3:$A$53,0),MATCH("Simple explanation (Hinglish)",'Code concept (56-pt) cards'!$A$2:$BN$2,0))&amp;""</f>
        <v/>
      </c>
    </row>
    <row r="28" ht="30" customHeight="1">
      <c r="A28" s="24" t="inlineStr">
        <is>
          <t>Real-life analogy</t>
        </is>
      </c>
      <c r="B28" s="17">
        <f>INDEX('Code concept (56-pt) cards'!$A$3:$BN$53,MATCH($B$2,'Code concept (56-pt) cards'!$A$3:$A$53,0),MATCH("Real-life analogy",'Code concept (56-pt) cards'!$A$2:$BN$2,0))&amp;""</f>
        <v/>
      </c>
    </row>
    <row r="29" ht="30" customHeight="1">
      <c r="A29" s="24" t="inlineStr">
        <is>
          <t>Syntax pattern</t>
        </is>
      </c>
      <c r="B29" s="26">
        <f>INDEX('Code concept (56-pt) cards'!$A$3:$BN$53,MATCH($B$2,'Code concept (56-pt) cards'!$A$3:$A$53,0),MATCH("Syntax pattern",'Code concept (56-pt) cards'!$A$2:$BN$2,0))&amp;""</f>
        <v/>
      </c>
    </row>
    <row r="30" ht="30" customHeight="1">
      <c r="A30" s="24" t="inlineStr">
        <is>
          <t>Anatomy</t>
        </is>
      </c>
      <c r="B30" s="17">
        <f>INDEX('Code concept (56-pt) cards'!$A$3:$BN$53,MATCH($B$2,'Code concept (56-pt) cards'!$A$3:$A$53,0),MATCH("Anatomy",'Code concept (56-pt) cards'!$A$2:$BN$2,0))&amp;""</f>
        <v/>
      </c>
    </row>
    <row r="31" ht="30" customHeight="1">
      <c r="A31" s="24" t="inlineStr">
        <is>
          <t>Example 1</t>
        </is>
      </c>
      <c r="B31" s="26">
        <f>INDEX('Code concept (56-pt) cards'!$A$3:$BN$53,MATCH($B$2,'Code concept (56-pt) cards'!$A$3:$A$53,0),MATCH("Example 1",'Code concept (56-pt) cards'!$A$2:$BN$2,0))&amp;""</f>
        <v/>
      </c>
    </row>
    <row r="32" ht="30" customHeight="1">
      <c r="A32" s="24" t="inlineStr">
        <is>
          <t>Example 2</t>
        </is>
      </c>
      <c r="B32" s="26">
        <f>INDEX('Code concept (56-pt) cards'!$A$3:$BN$53,MATCH($B$2,'Code concept (56-pt) cards'!$A$3:$A$53,0),MATCH("Example 2",'Code concept (56-pt) cards'!$A$2:$BN$2,0))&amp;""</f>
        <v/>
      </c>
    </row>
    <row r="33" ht="30" customHeight="1">
      <c r="A33" s="24" t="inlineStr">
        <is>
          <t>Example 3</t>
        </is>
      </c>
      <c r="B33" s="26">
        <f>INDEX('Code concept (56-pt) cards'!$A$3:$BN$53,MATCH($B$2,'Code concept (56-pt) cards'!$A$3:$A$53,0),MATCH("Example 3",'Code concept (56-pt) cards'!$A$2:$BN$2,0))&amp;""</f>
        <v/>
      </c>
    </row>
    <row r="34" ht="30" customHeight="1">
      <c r="A34" s="24" t="inlineStr">
        <is>
          <t>Variation</t>
        </is>
      </c>
      <c r="B34" s="26">
        <f>INDEX('Code concept (56-pt) cards'!$A$3:$BN$53,MATCH($B$2,'Code concept (56-pt) cards'!$A$3:$A$53,0),MATCH("Variation",'Code concept (56-pt) cards'!$A$2:$BN$2,0))&amp;""</f>
        <v/>
      </c>
    </row>
    <row r="35" ht="30" customHeight="1">
      <c r="A35" s="24" t="inlineStr">
        <is>
          <t>Used with</t>
        </is>
      </c>
      <c r="B35" s="17">
        <f>INDEX('Code concept (56-pt) cards'!$A$3:$BN$53,MATCH($B$2,'Code concept (56-pt) cards'!$A$3:$A$53,0),MATCH("Used with",'Code concept (56-pt) cards'!$A$2:$BN$2,0))&amp;""</f>
        <v/>
      </c>
    </row>
    <row r="36" ht="30" customHeight="1">
      <c r="A36" s="24" t="inlineStr">
        <is>
          <t>Related concepts</t>
        </is>
      </c>
      <c r="B36" s="17">
        <f>INDEX('Code concept (56-pt) cards'!$A$3:$BN$53,MATCH($B$2,'Code concept (56-pt) cards'!$A$3:$A$53,0),MATCH("Related concepts",'Code concept (56-pt) cards'!$A$2:$BN$2,0))&amp;""</f>
        <v/>
      </c>
    </row>
    <row r="37" ht="30" customHeight="1">
      <c r="A37" s="24" t="inlineStr">
        <is>
          <t>Alternatives</t>
        </is>
      </c>
      <c r="B37" s="17">
        <f>INDEX('Code concept (56-pt) cards'!$A$3:$BN$53,MATCH($B$2,'Code concept (56-pt) cards'!$A$3:$A$53,0),MATCH("Alternatives",'Code concept (56-pt) cards'!$A$2:$BN$2,0))&amp;""</f>
        <v/>
      </c>
    </row>
    <row r="38" ht="30" customHeight="1">
      <c r="A38" s="24" t="inlineStr">
        <is>
          <t>Family / group</t>
        </is>
      </c>
      <c r="B38" s="17">
        <f>INDEX('Code concept (56-pt) cards'!$A$3:$BN$53,MATCH($B$2,'Code concept (56-pt) cards'!$A$3:$A$53,0),MATCH("Family / group",'Code concept (56-pt) cards'!$A$2:$BN$2,0))&amp;""</f>
        <v/>
      </c>
    </row>
    <row r="39" ht="30" customHeight="1">
      <c r="A39" s="24" t="inlineStr">
        <is>
          <t>Where it is used</t>
        </is>
      </c>
      <c r="B39" s="17">
        <f>INDEX('Code concept (56-pt) cards'!$A$3:$BN$53,MATCH($B$2,'Code concept (56-pt) cards'!$A$3:$A$53,0),MATCH("Where it is used",'Code concept (56-pt) cards'!$A$2:$BN$2,0))&amp;""</f>
        <v/>
      </c>
    </row>
    <row r="40" ht="30" customHeight="1">
      <c r="A40" s="24" t="inlineStr">
        <is>
          <t>Mini conversation</t>
        </is>
      </c>
      <c r="B40" s="17">
        <f>INDEX('Code concept (56-pt) cards'!$A$3:$BN$53,MATCH($B$2,'Code concept (56-pt) cards'!$A$3:$A$53,0),MATCH("Mini conversation",'Code concept (56-pt) cards'!$A$2:$BN$2,0))&amp;""</f>
        <v/>
      </c>
    </row>
    <row r="41" ht="30" customHeight="1">
      <c r="A41" s="24" t="inlineStr">
        <is>
          <t>Common mistake</t>
        </is>
      </c>
      <c r="B41" s="17">
        <f>INDEX('Code concept (56-pt) cards'!$A$3:$BN$53,MATCH($B$2,'Code concept (56-pt) cards'!$A$3:$A$53,0),MATCH("Common mistake",'Code concept (56-pt) cards'!$A$2:$BN$2,0))&amp;""</f>
        <v/>
      </c>
    </row>
    <row r="42" ht="30" customHeight="1">
      <c r="A42" s="24" t="inlineStr">
        <is>
          <t>Commonly confused with</t>
        </is>
      </c>
      <c r="B42" s="17">
        <f>INDEX('Code concept (56-pt) cards'!$A$3:$BN$53,MATCH($B$2,'Code concept (56-pt) cards'!$A$3:$A$53,0),MATCH("Commonly confused with",'Code concept (56-pt) cards'!$A$2:$BN$2,0))&amp;""</f>
        <v/>
      </c>
    </row>
    <row r="43" ht="30" customHeight="1">
      <c r="A43" s="24" t="inlineStr">
        <is>
          <t>Avoid / don't</t>
        </is>
      </c>
      <c r="B43" s="17">
        <f>INDEX('Code concept (56-pt) cards'!$A$3:$BN$53,MATCH($B$2,'Code concept (56-pt) cards'!$A$3:$A$53,0),MATCH("Avoid / don't",'Code concept (56-pt) cards'!$A$2:$BN$2,0))&amp;""</f>
        <v/>
      </c>
    </row>
    <row r="44" ht="30" customHeight="1">
      <c r="A44" s="24" t="inlineStr">
        <is>
          <t>Wrong code</t>
        </is>
      </c>
      <c r="B44" s="26">
        <f>INDEX('Code concept (56-pt) cards'!$A$3:$BN$53,MATCH($B$2,'Code concept (56-pt) cards'!$A$3:$A$53,0),MATCH("Wrong code",'Code concept (56-pt) cards'!$A$2:$BN$2,0))&amp;""</f>
        <v/>
      </c>
    </row>
    <row r="45" ht="30" customHeight="1">
      <c r="A45" s="24" t="inlineStr">
        <is>
          <t>Right code</t>
        </is>
      </c>
      <c r="B45" s="26">
        <f>INDEX('Code concept (56-pt) cards'!$A$3:$BN$53,MATCH($B$2,'Code concept (56-pt) cards'!$A$3:$A$53,0),MATCH("Right code",'Code concept (56-pt) cards'!$A$2:$BN$2,0))&amp;""</f>
        <v/>
      </c>
    </row>
    <row r="46" ht="30" customHeight="1">
      <c r="A46" s="24" t="inlineStr">
        <is>
          <t>Memory trick</t>
        </is>
      </c>
      <c r="B46" s="17">
        <f>INDEX('Code concept (56-pt) cards'!$A$3:$BN$53,MATCH($B$2,'Code concept (56-pt) cards'!$A$3:$A$53,0),MATCH("Memory trick",'Code concept (56-pt) cards'!$A$2:$BN$2,0))&amp;""</f>
        <v/>
      </c>
    </row>
    <row r="47" ht="30" customHeight="1">
      <c r="A47" s="24" t="inlineStr">
        <is>
          <t>Real life: project / work</t>
        </is>
      </c>
      <c r="B47" s="17">
        <f>INDEX('Code concept (56-pt) cards'!$A$3:$BN$53,MATCH($B$2,'Code concept (56-pt) cards'!$A$3:$A$53,0),MATCH("Real life: project / work",'Code concept (56-pt) cards'!$A$2:$BN$2,0))&amp;""</f>
        <v/>
      </c>
    </row>
    <row r="48" ht="30" customHeight="1">
      <c r="A48" s="24" t="inlineStr">
        <is>
          <t>Real life: interview / exam</t>
        </is>
      </c>
      <c r="B48" s="17">
        <f>INDEX('Code concept (56-pt) cards'!$A$3:$BN$53,MATCH($B$2,'Code concept (56-pt) cards'!$A$3:$A$53,0),MATCH("Real life: interview / exam",'Code concept (56-pt) cards'!$A$2:$BN$2,0))&amp;""</f>
        <v/>
      </c>
    </row>
    <row r="49" ht="30" customHeight="1">
      <c r="A49" s="24" t="inlineStr">
        <is>
          <t>Real life: daily life</t>
        </is>
      </c>
      <c r="B49" s="17">
        <f>INDEX('Code concept (56-pt) cards'!$A$3:$BN$53,MATCH($B$2,'Code concept (56-pt) cards'!$A$3:$A$53,0),MATCH("Real life: daily life",'Code concept (56-pt) cards'!$A$2:$BN$2,0))&amp;""</f>
        <v/>
      </c>
    </row>
    <row r="50">
      <c r="A50" s="27" t="inlineStr">
        <is>
          <t>PRACTICE · Khud karo</t>
        </is>
      </c>
    </row>
    <row r="51" ht="30" customHeight="1">
      <c r="A51" s="24" t="inlineStr">
        <is>
          <t>MCQ question</t>
        </is>
      </c>
      <c r="B51" s="17">
        <f>INDEX('Code concept (56-pt) cards'!$A$3:$BN$53,MATCH($B$2,'Code concept (56-pt) cards'!$A$3:$A$53,0),MATCH("MCQ question",'Code concept (56-pt) cards'!$A$2:$BN$2,0))&amp;""</f>
        <v/>
      </c>
    </row>
    <row r="52" ht="30" customHeight="1">
      <c r="A52" s="24" t="inlineStr">
        <is>
          <t>MCQ options</t>
        </is>
      </c>
      <c r="B52" s="17">
        <f>INDEX('Code concept (56-pt) cards'!$A$3:$BN$53,MATCH($B$2,'Code concept (56-pt) cards'!$A$3:$A$53,0),MATCH("MCQ options",'Code concept (56-pt) cards'!$A$2:$BN$2,0))&amp;""</f>
        <v/>
      </c>
    </row>
    <row r="53" ht="30" customHeight="1">
      <c r="A53" s="24" t="inlineStr">
        <is>
          <t>MCQ answer</t>
        </is>
      </c>
      <c r="B53" s="17">
        <f>INDEX('Code concept (56-pt) cards'!$A$3:$BN$53,MATCH($B$2,'Code concept (56-pt) cards'!$A$3:$A$53,0),MATCH("MCQ answer",'Code concept (56-pt) cards'!$A$2:$BN$2,0))&amp;""</f>
        <v/>
      </c>
    </row>
    <row r="54" ht="30" customHeight="1">
      <c r="A54" s="24" t="inlineStr">
        <is>
          <t>Why that answer</t>
        </is>
      </c>
      <c r="B54" s="17">
        <f>INDEX('Code concept (56-pt) cards'!$A$3:$BN$53,MATCH($B$2,'Code concept (56-pt) cards'!$A$3:$A$53,0),MATCH("Why that answer",'Code concept (56-pt) cards'!$A$2:$BN$2,0))&amp;""</f>
        <v/>
      </c>
    </row>
    <row r="55" ht="30" customHeight="1">
      <c r="A55" s="24" t="inlineStr">
        <is>
          <t>Fill the blank</t>
        </is>
      </c>
      <c r="B55" s="26">
        <f>INDEX('Code concept (56-pt) cards'!$A$3:$BN$53,MATCH($B$2,'Code concept (56-pt) cards'!$A$3:$A$53,0),MATCH("Fill the blank",'Code concept (56-pt) cards'!$A$2:$BN$2,0))&amp;""</f>
        <v/>
      </c>
    </row>
    <row r="56" ht="30" customHeight="1">
      <c r="A56" s="24" t="inlineStr">
        <is>
          <t>Try it yourself</t>
        </is>
      </c>
      <c r="B56" s="17">
        <f>INDEX('Code concept (56-pt) cards'!$A$3:$BN$53,MATCH($B$2,'Code concept (56-pt) cards'!$A$3:$A$53,0),MATCH("Try it yourself",'Code concept (56-pt) cards'!$A$2:$BN$2,0))&amp;""</f>
        <v/>
      </c>
    </row>
    <row r="57" ht="30" customHeight="1">
      <c r="A57" s="24" t="inlineStr">
        <is>
          <t>Task answer</t>
        </is>
      </c>
      <c r="B57" s="26">
        <f>INDEX('Code concept (56-pt) cards'!$A$3:$BN$53,MATCH($B$2,'Code concept (56-pt) cards'!$A$3:$A$53,0),MATCH("Task answer",'Code concept (56-pt) cards'!$A$2:$BN$2,0))&amp;""</f>
        <v/>
      </c>
    </row>
    <row r="58" ht="30" customHeight="1">
      <c r="A58" s="24" t="inlineStr">
        <is>
          <t>Write your own</t>
        </is>
      </c>
      <c r="B58" s="17">
        <f>INDEX('Code concept (56-pt) cards'!$A$3:$BN$53,MATCH($B$2,'Code concept (56-pt) cards'!$A$3:$A$53,0),MATCH("Write your own",'Code concept (56-pt) cards'!$A$2:$BN$2,0))&amp;""</f>
        <v/>
      </c>
    </row>
    <row r="59" ht="30" customHeight="1">
      <c r="A59" s="24" t="inlineStr">
        <is>
          <t>Practice question</t>
        </is>
      </c>
      <c r="B59" s="26">
        <f>INDEX('Code concept (56-pt) cards'!$A$3:$BN$53,MATCH($B$2,'Code concept (56-pt) cards'!$A$3:$A$53,0),MATCH("Practice question",'Code concept (56-pt) cards'!$A$2:$BN$2,0))&amp;""</f>
        <v/>
      </c>
    </row>
    <row r="60" ht="30" customHeight="1">
      <c r="A60" s="24" t="inlineStr">
        <is>
          <t>Practice answer</t>
        </is>
      </c>
      <c r="B60" s="26">
        <f>INDEX('Code concept (56-pt) cards'!$A$3:$BN$53,MATCH($B$2,'Code concept (56-pt) cards'!$A$3:$A$53,0),MATCH("Practice answer",'Code concept (56-pt) cards'!$A$2:$BN$2,0))&amp;""</f>
        <v/>
      </c>
    </row>
    <row r="61" ht="30" customHeight="1">
      <c r="A61" s="24" t="inlineStr">
        <is>
          <t>Quick recall (reverse)</t>
        </is>
      </c>
      <c r="B61" s="17">
        <f>INDEX('Code concept (56-pt) cards'!$A$3:$BN$53,MATCH($B$2,'Code concept (56-pt) cards'!$A$3:$A$53,0),MATCH("Quick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cards'!$A$3:$A$53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94.5" customHeight="1">
      <c r="A3" s="17" t="inlineStr">
        <is>
          <t>LNX-001</t>
        </is>
      </c>
      <c r="B3" s="17" t="inlineStr">
        <is>
          <t>01 Basics</t>
        </is>
      </c>
      <c r="C3" s="17" t="inlineStr">
        <is>
          <t>Beginner</t>
        </is>
      </c>
      <c r="D3" s="17" t="n">
        <v>1</v>
      </c>
      <c r="E3" s="17" t="inlineStr">
        <is>
          <t>Claude knowledge</t>
        </is>
      </c>
      <c r="F3" s="18" t="inlineStr">
        <is>
          <t>Linux and distributions</t>
        </is>
      </c>
      <c r="G3" s="18" t="inlineStr">
        <is>
          <t>Which free, open-source operating system family runs most servers and cloud machines, and what are its different flavours called?</t>
        </is>
      </c>
      <c r="H3" s="18" t="inlineStr">
        <is>
          <t>Core concept</t>
        </is>
      </c>
      <c r="I3" s="18" t="inlineStr">
        <is>
          <t>Very high</t>
        </is>
      </c>
      <c r="J3" s="18" t="n">
        <v>5</v>
      </c>
      <c r="K3" s="18" t="inlineStr">
        <is>
          <t>Linus Torvalds started the Linux kernel in 1991, and groups of volunteers and companies packaged it with other software into complete systems called distributions.</t>
        </is>
      </c>
      <c r="L3" s="18" t="inlineStr">
        <is>
          <t>Learn on Ubuntu or Debian first, since their commands and packages are the most common in tutorials and servers.</t>
        </is>
      </c>
      <c r="M3" s="18" t="inlineStr">
        <is>
          <t>The kernel is the engine, and each distribution is a car built around that same engine with its own body and features.</t>
        </is>
      </c>
      <c r="N3" s="18" t="inlineStr">
        <is>
          <t>One engine in the centre with several different car bodies around it, each with a name tag.</t>
        </is>
      </c>
      <c r="O3" s="18" t="inlineStr">
        <is>
          <t>The confidence of knowing that the same skills work on almost every server.</t>
        </is>
      </c>
      <c r="P3" s="18" t="inlineStr">
        <is>
          <t>Linux is an open-source operating system kernel, and a distribution (distro) bundles that kernel with tools, a package manager and a desktop or server setup.</t>
        </is>
      </c>
      <c r="Q3" s="17" t="n"/>
      <c r="R3" s="18" t="inlineStr">
        <is>
          <t>The kernel manages hardware, memory and processes. Distributions such as Ubuntu, Debian, Fedora, Red Hat Enterprise Linux and Alpine add software, defaults and update systems. Most commands you learn work on all of them, but package managers and some file locations differ between families.</t>
        </is>
      </c>
      <c r="S3" s="18" t="inlineStr">
        <is>
          <t>Linux is the core of the system, and a distro is a ready-to-use package of Linux plus tools. Pick one, learn it well, and most of it carries over to the others.</t>
        </is>
      </c>
      <c r="T3" s="18" t="inlineStr">
        <is>
          <t>The kernel is the engine, and each distribution is a car built around that engine.</t>
        </is>
      </c>
      <c r="U3" s="18" t="inlineStr">
        <is>
          <t>Distribution = Linux kernel + tools + package manager + defaults</t>
        </is>
      </c>
      <c r="V3" s="18" t="inlineStr">
        <is>
          <t>Ubuntu, a popular distribution for servers and desktops.</t>
        </is>
      </c>
      <c r="W3" s="18" t="inlineStr">
        <is>
          <t>Alpine, a very small distribution common in container images.</t>
        </is>
      </c>
      <c r="X3" s="18" t="inlineStr">
        <is>
          <t>Red Hat Enterprise Linux, widely used in large companies.</t>
        </is>
      </c>
      <c r="Y3" s="18" t="inlineStr">
        <is>
          <t>shell, package managers, file system layout, containers</t>
        </is>
      </c>
      <c r="Z3" s="18" t="inlineStr">
        <is>
          <t>kernel, distribution, open source, server, package</t>
        </is>
      </c>
      <c r="AA3" s="18" t="inlineStr">
        <is>
          <t>Servers and cloud machines | Containers | Customer systems</t>
        </is>
      </c>
      <c r="AB3" s="18" t="inlineStr">
        <is>
          <t>A: The customer runs Red Hat but I learned on Ubuntu. | B: Most commands are the same, only the package manager differs.</t>
        </is>
      </c>
      <c r="AC3" s="18" t="inlineStr">
        <is>
          <t>✗ Linux is one single product made by one company → ✓ Linux is a kernel, and many different distributions package it in different ways</t>
        </is>
      </c>
      <c r="AD3" s="18" t="inlineStr">
        <is>
          <t>Kernel vs distribution: the kernel talks to hardware, the distribution is the complete system you install.</t>
        </is>
      </c>
      <c r="AE3" s="18" t="inlineStr">
        <is>
          <t>Do not assume every Linux machine uses the same package manager.</t>
        </is>
      </c>
      <c r="AF3" s="18" t="inlineStr">
        <is>
          <t>One kernel powers many different distributions.</t>
        </is>
      </c>
      <c r="AG3" s="18" t="inlineStr">
        <is>
          <t>Using the same Bash skills on an Ubuntu laptop, a Debian server and an Alpine container.</t>
        </is>
      </c>
      <c r="AH3" s="18" t="inlineStr">
        <is>
          <t>An interviewer may ask: What is the difference between Linux and a Linux distribution?</t>
        </is>
      </c>
      <c r="AI3" s="18" t="inlineStr">
        <is>
          <t>It is like one engine used in many different cars.</t>
        </is>
      </c>
      <c r="AJ3" s="18" t="inlineStr">
        <is>
          <t>What is a Linux distribution?</t>
        </is>
      </c>
      <c r="AK3" s="18" t="inlineStr">
        <is>
          <t>A) The kernel bundled with tools and a package manager B) A programming language C) A web browser D) A hardware brand</t>
        </is>
      </c>
      <c r="AL3" s="18" t="inlineStr">
        <is>
          <t>A</t>
        </is>
      </c>
      <c r="AM3" s="18" t="inlineStr">
        <is>
          <t>A distribution is a complete system built around the Linux kernel.</t>
        </is>
      </c>
      <c r="AN3" s="18" t="inlineStr">
        <is>
          <t>The core part of Linux that manages hardware is called the ____ → kernel</t>
        </is>
      </c>
      <c r="AO3" s="18" t="inlineStr">
        <is>
          <t>A customer runs a different Linux family than you know. What stays the same? → Most commands, while package managers differ</t>
        </is>
      </c>
      <c r="AP3" s="18" t="inlineStr">
        <is>
          <t>Explain Linux and distributions in three lines.</t>
        </is>
      </c>
      <c r="AQ3" s="18" t="inlineStr">
        <is>
          <t>Name the distribution you will practise on and why.</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94.5" customHeight="1">
      <c r="A4" s="17" t="inlineStr">
        <is>
          <t>LNX-002</t>
        </is>
      </c>
      <c r="B4" s="17" t="inlineStr">
        <is>
          <t>01 Basics</t>
        </is>
      </c>
      <c r="C4" s="17" t="inlineStr">
        <is>
          <t>Beginner</t>
        </is>
      </c>
      <c r="D4" s="17" t="n">
        <v>2</v>
      </c>
      <c r="E4" s="17" t="inlineStr">
        <is>
          <t>Claude knowledge</t>
        </is>
      </c>
      <c r="F4" s="18" t="inlineStr">
        <is>
          <t>Shell vs terminal</t>
        </is>
      </c>
      <c r="G4" s="18" t="inlineStr">
        <is>
          <t>Which program interprets the commands you type, and which window do you type them into?</t>
        </is>
      </c>
      <c r="H4" s="18" t="inlineStr">
        <is>
          <t>Core concept</t>
        </is>
      </c>
      <c r="I4" s="18" t="inlineStr">
        <is>
          <t>Very high</t>
        </is>
      </c>
      <c r="J4" s="18" t="n">
        <v>5</v>
      </c>
      <c r="K4" s="18" t="inlineStr">
        <is>
          <t>Early computers were reached through physical terminals, and the shell was the program that read the typed commands, and both ideas survive in the windows we open today.</t>
        </is>
      </c>
      <c r="L4" s="18" t="inlineStr">
        <is>
          <t>Check which shell you are in with echo $SHELL, because Bash and Zsh differ in small ways.</t>
        </is>
      </c>
      <c r="M4" s="18" t="inlineStr">
        <is>
          <t>The terminal is the window of a shop, and the shell is the shopkeeper who understands what you ask for.</t>
        </is>
      </c>
      <c r="N4" s="18" t="inlineStr">
        <is>
          <t>A black window with a prompt, and a figure behind it reading each line.</t>
        </is>
      </c>
      <c r="O4" s="18" t="inlineStr">
        <is>
          <t>The thrill of the first command returning a result.</t>
        </is>
      </c>
      <c r="P4" s="18" t="inlineStr">
        <is>
          <t>The terminal is the window where you type and read text, and the shell is the program inside it that interprets commands, such as Bash or Zsh.</t>
        </is>
      </c>
      <c r="Q4" s="17" t="n"/>
      <c r="R4" s="18" t="inlineStr">
        <is>
          <t>When you press Enter, the shell splits the line into a command and arguments, expands things like wildcards and variables, finds the program and runs it. Bash is the most common shell on servers, and Zsh is common on macOS. Many shells support scripting, so the same commands can be saved in a file.</t>
        </is>
      </c>
      <c r="S4" s="18" t="inlineStr">
        <is>
          <t>The terminal is where you type. The shell is the program that understands and runs what you type.</t>
        </is>
      </c>
      <c r="T4" s="18" t="inlineStr">
        <is>
          <t>The terminal is the shop window, and the shell is the shopkeeper who understands your request.</t>
        </is>
      </c>
      <c r="U4" s="18" t="inlineStr">
        <is>
          <t>Terminal (window) → shell (interpreter) → program</t>
        </is>
      </c>
      <c r="V4" s="18" t="inlineStr">
        <is>
          <t>Opening a terminal and typing ls, which the shell runs.</t>
        </is>
      </c>
      <c r="W4" s="18" t="inlineStr">
        <is>
          <t>Bash as the default shell on many servers.</t>
        </is>
      </c>
      <c r="X4" s="18" t="inlineStr">
        <is>
          <t>Zsh as the default on recent macOS.</t>
        </is>
      </c>
      <c r="Y4" s="18" t="inlineStr">
        <is>
          <t>Bash scripting, environment variables, PATH, commands</t>
        </is>
      </c>
      <c r="Z4" s="18" t="inlineStr">
        <is>
          <t>terminal, shell, Bash, Zsh, prompt, command line</t>
        </is>
      </c>
      <c r="AA4" s="18" t="inlineStr">
        <is>
          <t>Servers | Developer laptops | Automation scripts</t>
        </is>
      </c>
      <c r="AB4" s="18" t="inlineStr">
        <is>
          <t>A: Which shell is this server using? | B: Run echo $SHELL and it will tell you.</t>
        </is>
      </c>
      <c r="AC4" s="18" t="inlineStr">
        <is>
          <t>✗ The terminal and the shell are the same thing → ✓ The terminal is the window, and the shell is the program that runs inside it and interprets commands</t>
        </is>
      </c>
      <c r="AD4" s="18" t="inlineStr">
        <is>
          <t>Terminal vs shell: the terminal shows text, the shell understands commands.</t>
        </is>
      </c>
      <c r="AE4" s="18" t="inlineStr">
        <is>
          <t>Do not assume a script written for Bash works unchanged in every shell.</t>
        </is>
      </c>
      <c r="AF4" s="18" t="inlineStr">
        <is>
          <t>The terminal shows and the shell understands.</t>
        </is>
      </c>
      <c r="AG4" s="18" t="inlineStr">
        <is>
          <t>Logging into a customer server over SSH and working in its Bash shell.</t>
        </is>
      </c>
      <c r="AH4" s="18" t="inlineStr">
        <is>
          <t>An interviewer may ask: What is the difference between a terminal and a shell?</t>
        </is>
      </c>
      <c r="AI4" s="18" t="inlineStr">
        <is>
          <t>It is like a shop window and the shopkeeper behind it.</t>
        </is>
      </c>
      <c r="AJ4" s="18" t="inlineStr">
        <is>
          <t>Which one interprets the commands you type?</t>
        </is>
      </c>
      <c r="AK4" s="18" t="inlineStr">
        <is>
          <t>A) The monitor B) The keyboard C) The kernel only D) The shell</t>
        </is>
      </c>
      <c r="AL4" s="18" t="inlineStr">
        <is>
          <t>D</t>
        </is>
      </c>
      <c r="AM4" s="18" t="inlineStr">
        <is>
          <t>The shell reads and runs commands.</t>
        </is>
      </c>
      <c r="AN4" s="18" t="inlineStr">
        <is>
          <t>Bash and Zsh are examples of a ____ → shell</t>
        </is>
      </c>
      <c r="AO4" s="18" t="inlineStr">
        <is>
          <t>How do you find out which shell you are using? → Run echo $0 (or ps -p $$)</t>
        </is>
      </c>
      <c r="AP4" s="18" t="inlineStr">
        <is>
          <t>Explain terminal and shell in three lines.</t>
        </is>
      </c>
      <c r="AQ4" s="18" t="inlineStr">
        <is>
          <t>Open a terminal and write which shell it uses.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94.5" customHeight="1">
      <c r="A5" s="17" t="inlineStr">
        <is>
          <t>LNX-003</t>
        </is>
      </c>
      <c r="B5" s="17" t="inlineStr">
        <is>
          <t>01 Basics</t>
        </is>
      </c>
      <c r="C5" s="17" t="inlineStr">
        <is>
          <t>Beginner</t>
        </is>
      </c>
      <c r="D5" s="17" t="n">
        <v>3</v>
      </c>
      <c r="E5" s="17" t="inlineStr">
        <is>
          <t>Claude knowledge</t>
        </is>
      </c>
      <c r="F5" s="18" t="inlineStr">
        <is>
          <t>File system layout</t>
        </is>
      </c>
      <c r="G5" s="18" t="inlineStr">
        <is>
          <t>Which single tree starting at the slash holds all files on Linux, and what do directories such as /etc, /var and /home contain?</t>
        </is>
      </c>
      <c r="H5" s="18" t="inlineStr">
        <is>
          <t>Core concept</t>
        </is>
      </c>
      <c r="I5" s="18" t="inlineStr">
        <is>
          <t>Very high</t>
        </is>
      </c>
      <c r="J5" s="18" t="n">
        <v>5</v>
      </c>
      <c r="K5" s="18" t="inlineStr">
        <is>
          <t>Unix systems put everything under one root directory so that programs and people always know where to look for settings, logs and user files.</t>
        </is>
      </c>
      <c r="L5" s="18" t="inlineStr">
        <is>
          <t>Memorise the main folders, since knowing where logs and config live saves hours when debugging.</t>
        </is>
      </c>
      <c r="M5" s="18" t="inlineStr">
        <is>
          <t>The file system is one big tree with / as the trunk and every folder as a branch with a known job.</t>
        </is>
      </c>
      <c r="N5" s="18" t="inlineStr">
        <is>
          <t>A tree diagram with the root at the top and branches labelled etc, var, home and usr.</t>
        </is>
      </c>
      <c r="O5" s="18" t="inlineStr">
        <is>
          <t>The comfort of knowing where to look.</t>
        </is>
      </c>
      <c r="P5" s="18" t="inlineStr">
        <is>
          <t>Linux has one directory tree starting at the root /, where /etc holds configuration, /var holds changing data such as logs, /home holds user files, /usr holds programs, and /tmp holds temporary files.</t>
        </is>
      </c>
      <c r="Q5" s="17" t="n"/>
      <c r="R5" s="18" t="inlineStr">
        <is>
          <t>There are no drive letters. Other disks are mounted at folders inside the tree. Other common places are /bin and /usr/bin for commands, /opt for extra software, /dev for devices, /proc for process information and /root for the administrator's home. Logs usually live in /var/log.</t>
        </is>
      </c>
      <c r="S5" s="18" t="inlineStr">
        <is>
          <t>Everything lives under /. Settings are in /etc, logs in /var/log, people's files in /home, and temporary files in /tmp.</t>
        </is>
      </c>
      <c r="T5" s="18" t="inlineStr">
        <is>
          <t>It is like one big tree where every branch has a known job.</t>
        </is>
      </c>
      <c r="U5" s="18" t="inlineStr">
        <is>
          <t>/etc = config, /var/log = logs, /home = users, /usr = programs, /tmp = temporary</t>
        </is>
      </c>
      <c r="V5" s="18" t="inlineStr">
        <is>
          <t>/etc/nginx/nginx.conf holds a web server's configuration.</t>
        </is>
      </c>
      <c r="W5" s="18" t="inlineStr">
        <is>
          <t>/var/log/syslog holds system messages on many systems.</t>
        </is>
      </c>
      <c r="X5" s="18" t="inlineStr">
        <is>
          <t>/home/asha holds the files of the user asha.</t>
        </is>
      </c>
      <c r="Y5" s="18" t="inlineStr">
        <is>
          <t>absolute paths, permissions, logs, mounting</t>
        </is>
      </c>
      <c r="Z5" s="18" t="inlineStr">
        <is>
          <t>root, directory, mount, config, logs</t>
        </is>
      </c>
      <c r="AA5" s="18" t="inlineStr">
        <is>
          <t>Finding configuration | Reading logs | Customer troubleshooting</t>
        </is>
      </c>
      <c r="AB5" s="18" t="inlineStr">
        <is>
          <t>A: Where do I find the web server's logs? | B: Look in /var/log, usually in a folder named after the service.</t>
        </is>
      </c>
      <c r="AC5" s="18" t="inlineStr">
        <is>
          <t>✗ Linux has drive letters such as C: and D: → ✓ Linux has a single tree under /, and other disks are mounted inside it</t>
        </is>
      </c>
      <c r="AD5" s="18" t="inlineStr">
        <is>
          <t>/etc vs /var: /etc holds settings that you edit, /var holds data that changes while the system runs.</t>
        </is>
      </c>
      <c r="AE5" s="18" t="inlineStr">
        <is>
          <t>Do not store important data in /tmp, since it can be cleared.</t>
        </is>
      </c>
      <c r="AF5" s="18" t="inlineStr">
        <is>
          <t>etc is for settings, var is for changing data.</t>
        </is>
      </c>
      <c r="AG5" s="18" t="inlineStr">
        <is>
          <t>Reading /var/log and /etc to find why a service on a customer server would not start.</t>
        </is>
      </c>
      <c r="AH5" s="18" t="inlineStr">
        <is>
          <t>An interviewer may ask: Where are configuration files and logs usually stored on Linux?</t>
        </is>
      </c>
      <c r="AI5" s="18" t="inlineStr">
        <is>
          <t>It is like a building plan where each floor has a known purpose.</t>
        </is>
      </c>
      <c r="AJ5" s="18" t="inlineStr">
        <is>
          <t>Where are system logs usually found?</t>
        </is>
      </c>
      <c r="AK5" s="18" t="inlineStr">
        <is>
          <t>A) /bin B) /var/log C) /home D) /etc/log only</t>
        </is>
      </c>
      <c r="AL5" s="18" t="inlineStr">
        <is>
          <t>B</t>
        </is>
      </c>
      <c r="AM5" s="18" t="inlineStr">
        <is>
          <t>Logs normally live under /var/log.</t>
        </is>
      </c>
      <c r="AN5" s="18" t="inlineStr">
        <is>
          <t>Configuration files are usually in /____ → etc</t>
        </is>
      </c>
      <c r="AO5" s="18" t="inlineStr">
        <is>
          <t>Where would you look for a web server's settings? → In /etc</t>
        </is>
      </c>
      <c r="AP5" s="18" t="inlineStr">
        <is>
          <t>Explain the Linux file system layout in three lines.</t>
        </is>
      </c>
      <c r="AQ5" s="18" t="inlineStr">
        <is>
          <t>List five directories and what each is used for.</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21.5" customHeight="1">
      <c r="A6" s="17" t="inlineStr">
        <is>
          <t>LNX-004</t>
        </is>
      </c>
      <c r="B6" s="17" t="inlineStr">
        <is>
          <t>01 Basics</t>
        </is>
      </c>
      <c r="C6" s="17" t="inlineStr">
        <is>
          <t>Beginner</t>
        </is>
      </c>
      <c r="D6" s="17" t="n">
        <v>4</v>
      </c>
      <c r="E6" s="17" t="inlineStr">
        <is>
          <t>Claude knowledge</t>
        </is>
      </c>
      <c r="F6" s="18" t="inlineStr">
        <is>
          <t>Absolute vs relative paths</t>
        </is>
      </c>
      <c r="G6" s="18" t="inlineStr">
        <is>
          <t>How do you write the address of a file starting from the root, versus starting from where you are now?</t>
        </is>
      </c>
      <c r="H6" s="18" t="inlineStr">
        <is>
          <t>Core concept</t>
        </is>
      </c>
      <c r="I6" s="18" t="inlineStr">
        <is>
          <t>Very high</t>
        </is>
      </c>
      <c r="J6" s="18" t="n">
        <v>5</v>
      </c>
      <c r="K6" s="18" t="inlineStr">
        <is>
          <t>Commands need to point at files, so paths can be written in full from the root or in short from the current folder.</t>
        </is>
      </c>
      <c r="L6" s="18" t="inlineStr">
        <is>
          <t>Use absolute paths in scripts and cron jobs, because the current folder may not be what you expect.</t>
        </is>
      </c>
      <c r="M6" s="18" t="inlineStr">
        <is>
          <t>An absolute path is a full postal address, and a relative path is directions from where you are standing.</t>
        </is>
      </c>
      <c r="N6" s="18" t="inlineStr">
        <is>
          <t>A path starting with a slash beside a path starting with a dot.</t>
        </is>
      </c>
      <c r="O6" s="18" t="inlineStr">
        <is>
          <t>The clarity of knowing exactly which file a command will touch.</t>
        </is>
      </c>
      <c r="P6" s="18" t="inlineStr">
        <is>
          <t>An absolute path starts at the root /, such as /home/asha/notes.txt, while a relative path starts from the current directory, such as notes.txt or ../data/notes.txt.</t>
        </is>
      </c>
      <c r="Q6" s="17" t="n"/>
      <c r="R6" s="18" t="inlineStr">
        <is>
          <t>A single dot means the current directory, and two dots mean the parent directory. The tilde ~ means your home directory. A relative path changes meaning when you change directory, but an absolute path always points to the same place. Cron starts scripts in the user's home folder, not in the folder where the script lives, so relative paths inside a script break.</t>
        </is>
      </c>
      <c r="S6" s="18" t="inlineStr">
        <is>
          <t>A path that starts with / is complete. Any other path starts from where you are now.</t>
        </is>
      </c>
      <c r="T6" s="18" t="inlineStr">
        <is>
          <t>An absolute path is a full postal address, and a relative path is directions from where you stand.</t>
        </is>
      </c>
      <c r="U6" s="18" t="inlineStr">
        <is>
          <t>/full/path starts at root. path starts here. ../path starts one level up.</t>
        </is>
      </c>
      <c r="V6" s="18" t="inlineStr">
        <is>
          <t>/var/log/syslog is an absolute path.</t>
        </is>
      </c>
      <c r="W6" s="18" t="inlineStr">
        <is>
          <t>./script.sh is a relative path to a file in the current folder.</t>
        </is>
      </c>
      <c r="X6" s="18" t="inlineStr">
        <is>
          <t>../config/app.yml goes up one folder and then into config.</t>
        </is>
      </c>
      <c r="Y6" s="18" t="inlineStr">
        <is>
          <t>cd and pwd, file system layout, cron, scripts</t>
        </is>
      </c>
      <c r="Z6" s="18" t="inlineStr">
        <is>
          <t>absolute, relative, dot, double dot, tilde</t>
        </is>
      </c>
      <c r="AA6" s="18" t="inlineStr">
        <is>
          <t>Every command | Scripts | Cron jobs</t>
        </is>
      </c>
      <c r="AB6" s="18" t="inlineStr">
        <is>
          <t>A: My script cannot find the file when cron runs it. | B: Use an absolute path, since cron starts in your home folder, not in the script's folder.</t>
        </is>
      </c>
      <c r="AC6" s="18" t="inlineStr">
        <is>
          <t>✗ A relative path always points to the same file → ✓ A relative path depends on the current directory, and an absolute path does not</t>
        </is>
      </c>
      <c r="AD6" s="18" t="inlineStr">
        <is>
          <t>Absolute vs relative: absolute starts at /, relative starts at the current folder.</t>
        </is>
      </c>
      <c r="AE6" s="18" t="inlineStr">
        <is>
          <t>Do not use relative paths in scheduled scripts.</t>
        </is>
      </c>
      <c r="AF6" s="18" t="inlineStr">
        <is>
          <t>A leading slash means from the root.</t>
        </is>
      </c>
      <c r="AG6" s="18" t="inlineStr">
        <is>
          <t>Replacing relative paths with absolute ones in a nightly script.</t>
        </is>
      </c>
      <c r="AH6" s="18" t="inlineStr">
        <is>
          <t>An interviewer may ask: What do . and .. mean in a path?</t>
        </is>
      </c>
      <c r="AI6" s="18" t="inlineStr">
        <is>
          <t>It is like a full postal address versus directions from where you stand.</t>
        </is>
      </c>
      <c r="AJ6" s="18" t="inlineStr">
        <is>
          <t>Which description matches an absolute path?</t>
        </is>
      </c>
      <c r="AK6" s="18" t="inlineStr">
        <is>
          <t>A) It begins with two dots B) It has no slash at all C) It starts at the root slash D) It begins with a single dot</t>
        </is>
      </c>
      <c r="AL6" s="18" t="inlineStr">
        <is>
          <t>C</t>
        </is>
      </c>
      <c r="AM6" s="18" t="inlineStr">
        <is>
          <t>An absolute path starts at the root slash.</t>
        </is>
      </c>
      <c r="AN6" s="18" t="inlineStr">
        <is>
          <t>Two dots in a path mean the ____ directory → parent</t>
        </is>
      </c>
      <c r="AO6" s="18" t="inlineStr">
        <is>
          <t>Why use absolute paths in cron scripts? → Because cron does not start in the folder where the script lives</t>
        </is>
      </c>
      <c r="AP6" s="18" t="inlineStr">
        <is>
          <t>Explain absolute and relative paths in three lines.</t>
        </is>
      </c>
      <c r="AQ6" s="18" t="inlineStr">
        <is>
          <t>Write the absolute path of a file in your home folder.</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LNX-026</t>
        </is>
      </c>
      <c r="B7" s="17" t="inlineStr">
        <is>
          <t>04 Users and permissions</t>
        </is>
      </c>
      <c r="C7" s="17" t="inlineStr">
        <is>
          <t>Beginner</t>
        </is>
      </c>
      <c r="D7" s="17" t="n">
        <v>26</v>
      </c>
      <c r="E7" s="17" t="inlineStr">
        <is>
          <t>Claude knowledge</t>
        </is>
      </c>
      <c r="F7" s="18" t="inlineStr">
        <is>
          <t>Read, write and execute permissions</t>
        </is>
      </c>
      <c r="G7" s="18" t="inlineStr">
        <is>
          <t>How do the nine characters in a listing such as rwxr-xr-- say who may read, change or run a file?</t>
        </is>
      </c>
      <c r="H7" s="18" t="inlineStr">
        <is>
          <t>Security concept</t>
        </is>
      </c>
      <c r="I7" s="18" t="inlineStr">
        <is>
          <t>Very high</t>
        </is>
      </c>
      <c r="J7" s="18" t="n">
        <v>5</v>
      </c>
      <c r="K7" s="18" t="inlineStr">
        <is>
          <t>A shared system must stop users from reading or changing each other's files, so Unix gives every file three permission sets for its owner, its group and everyone else.</t>
        </is>
      </c>
      <c r="L7" s="18" t="inlineStr">
        <is>
          <t>Memorise the numbers four, two and one for read, write and execute, since chmod uses them.</t>
        </is>
      </c>
      <c r="M7" s="18" t="inlineStr">
        <is>
          <t>Permissions are three locks on every file, one each for the owner, the team and the public.</t>
        </is>
      </c>
      <c r="N7" s="18" t="inlineStr">
        <is>
          <t>Nine boxes in three groups of three, with r, w and x filled in or empty.</t>
        </is>
      </c>
      <c r="O7" s="18" t="inlineStr">
        <is>
          <t>The relief of finally reading a permission string at a glance.</t>
        </is>
      </c>
      <c r="P7" s="18" t="inlineStr">
        <is>
          <t>Each file has read (r), write (w) and execute (x) permissions for its owner, its group and others, shown as nine characters after the file type in ls -l.</t>
        </is>
      </c>
      <c r="Q7" s="17" t="n"/>
      <c r="R7" s="18" t="inlineStr">
        <is>
          <t>In -rwxr-xr--, the first dash means a regular file, then come the owner, group and others sets. r is worth 4, w is 2 and x is 1, so rwx is 7, r-x is 5 and r-- is 4, giving 754. For a directory, read lets you list names, write lets you create or delete entries, and execute lets you enter it. Without execute on a script, you cannot run it directly.</t>
        </is>
      </c>
      <c r="S7" s="18" t="inlineStr">
        <is>
          <t>Three groups of three letters: owner, group, others. Each can have r for read, w for write, x for run. Add up 4, 2 and 1 to get the number form.</t>
        </is>
      </c>
      <c r="T7" s="18" t="inlineStr">
        <is>
          <t>It is like three locks on every file, for the owner, the team and the public.</t>
        </is>
      </c>
      <c r="U7" s="18" t="inlineStr">
        <is>
          <t>r = 4, w = 2, x = 1. rwxr-xr-- = 754</t>
        </is>
      </c>
      <c r="V7" s="18" t="inlineStr">
        <is>
          <t>-rw-r--r-- (644) is a normal text file everyone can read.</t>
        </is>
      </c>
      <c r="W7" s="18" t="inlineStr">
        <is>
          <t>-rwxr-xr-x (755) is a script everyone can run.</t>
        </is>
      </c>
      <c r="X7" s="18" t="inlineStr">
        <is>
          <t>drwx------ (700) is a private folder.</t>
        </is>
      </c>
      <c r="Y7" s="18" t="inlineStr">
        <is>
          <t>chmod, chown, umask, sudo</t>
        </is>
      </c>
      <c r="Z7" s="18" t="inlineStr">
        <is>
          <t>permission, owner, group, others, execute</t>
        </is>
      </c>
      <c r="AA7" s="18" t="inlineStr">
        <is>
          <t>Every file | Security checks | Deployment problems</t>
        </is>
      </c>
      <c r="AB7" s="18" t="inlineStr">
        <is>
          <t>A: I get permission denied when I run the script. | B: It probably lacks the execute bit, so use chmod +x.</t>
        </is>
      </c>
      <c r="AC7" s="18" t="inlineStr">
        <is>
          <t>✗ The execute permission on a folder lets you run it → ✓ On a folder, execute means you may enter it and reach the files inside</t>
        </is>
      </c>
      <c r="AD7" s="18" t="inlineStr">
        <is>
          <t>File vs folder execute: on a file it means run, on a folder it means enter.</t>
        </is>
      </c>
      <c r="AE7" s="18" t="inlineStr">
        <is>
          <t>Do not give 777 to fix a permission error.</t>
        </is>
      </c>
      <c r="AF7" s="18" t="inlineStr">
        <is>
          <t>Four, two, one, for read, write and execute.</t>
        </is>
      </c>
      <c r="AG7" s="18" t="inlineStr">
        <is>
          <t>Reading ls -l output to find why a service cannot write to its log folder.</t>
        </is>
      </c>
      <c r="AH7" s="18" t="inlineStr">
        <is>
          <t>An interviewer may ask: What does the permission 755 mean?</t>
        </is>
      </c>
      <c r="AI7" s="18" t="inlineStr">
        <is>
          <t>It is like three locks on every file.</t>
        </is>
      </c>
      <c r="AJ7" s="18" t="inlineStr">
        <is>
          <t>What number is the permission rw-r--r--?</t>
        </is>
      </c>
      <c r="AK7" s="18" t="inlineStr">
        <is>
          <t>A) 755 B) 777 C) 600 D) 644</t>
        </is>
      </c>
      <c r="AL7" s="18" t="inlineStr">
        <is>
          <t>D</t>
        </is>
      </c>
      <c r="AM7" s="18" t="inlineStr">
        <is>
          <t>rw- is 6, r-- is 4 and r-- is 4.</t>
        </is>
      </c>
      <c r="AN7" s="18" t="inlineStr">
        <is>
          <t>The execute permission has the value ____ → 1</t>
        </is>
      </c>
      <c r="AO7" s="18" t="inlineStr">
        <is>
          <t>A script gives permission denied. What is likely missing? → The execute permission</t>
        </is>
      </c>
      <c r="AP7" s="18" t="inlineStr">
        <is>
          <t>Explain read, write and execute permissions in three lines.</t>
        </is>
      </c>
      <c r="AQ7" s="18" t="inlineStr">
        <is>
          <t>Write the number for three permission strings of your choice.</t>
        </is>
      </c>
      <c r="AR7" s="17">
        <f>IF(J7="","",REPT("★",J7)&amp;REPT("☆",5-J7)&amp;" ("&amp;J7&amp;"/5)")</f>
        <v/>
      </c>
      <c r="AS7" s="17">
        <f>IF(Q7="","","Meaning: "&amp;Q7&amp;"  =  ______   (Answer: "&amp;F7&amp;")")</f>
        <v/>
      </c>
      <c r="AT7" s="17" t="inlineStr">
        <is>
          <t>New</t>
        </is>
      </c>
      <c r="AU7" s="17" t="n"/>
      <c r="AV7" s="17" t="n"/>
      <c r="AW7" s="17" t="n"/>
      <c r="AX7" s="17" t="n"/>
      <c r="AY7" s="17" t="n"/>
      <c r="AZ7" s="17" t="n"/>
      <c r="BA7" s="17" t="n"/>
      <c r="BB7" s="17" t="n"/>
    </row>
  </sheetData>
  <autoFilter ref="A2:BB7"/>
  <mergeCells count="6">
    <mergeCell ref="F1:O1"/>
    <mergeCell ref="AT1:BB1"/>
    <mergeCell ref="AR1:AS1"/>
    <mergeCell ref="A1:E1"/>
    <mergeCell ref="AJ1:AQ1"/>
    <mergeCell ref="P1:AI1"/>
  </mergeCells>
  <dataValidations count="2">
    <dataValidation sqref="AT3:AT7" showDropDown="0" showInputMessage="0" showErrorMessage="0" allowBlank="1" type="list">
      <formula1>"New,Learning,Known"</formula1>
    </dataValidation>
    <dataValidation sqref="BA3:BA7"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LNX-001</t>
        </is>
      </c>
    </row>
    <row r="4">
      <c r="A4" s="23" t="inlineStr">
        <is>
          <t>FRONT · Recognition (pehchano)</t>
        </is>
      </c>
    </row>
    <row r="5" ht="30" customHeight="1">
      <c r="A5" s="24" t="inlineStr">
        <is>
          <t>ID</t>
        </is>
      </c>
      <c r="B5" s="17">
        <f>INDEX('Topic (56-pt) cards'!$A$3:$BB$7,MATCH($B$2,'Topic (56-pt) cards'!$A$3:$A$7,0),MATCH("ID",'Topic (56-pt) cards'!$A$2:$BB$2,0))&amp;""</f>
        <v/>
      </c>
    </row>
    <row r="6" ht="30" customHeight="1">
      <c r="A6" s="24" t="inlineStr">
        <is>
          <t>Topic</t>
        </is>
      </c>
      <c r="B6" s="17">
        <f>INDEX('Topic (56-pt) cards'!$A$3:$BB$7,MATCH($B$2,'Topic (56-pt) cards'!$A$3:$A$7,0),MATCH("Topic",'Topic (56-pt) cards'!$A$2:$BB$2,0))&amp;""</f>
        <v/>
      </c>
    </row>
    <row r="7" ht="30" customHeight="1">
      <c r="A7" s="24" t="inlineStr">
        <is>
          <t>Level</t>
        </is>
      </c>
      <c r="B7" s="17">
        <f>INDEX('Topic (56-pt) cards'!$A$3:$BB$7,MATCH($B$2,'Topic (56-pt) cards'!$A$3:$A$7,0),MATCH("Level",'Topic (56-pt) cards'!$A$2:$BB$2,0))&amp;""</f>
        <v/>
      </c>
    </row>
    <row r="8" ht="30" customHeight="1">
      <c r="A8" s="24" t="inlineStr">
        <is>
          <t>Term / topic</t>
        </is>
      </c>
      <c r="B8" s="17">
        <f>INDEX('Topic (56-pt) cards'!$A$3:$BB$7,MATCH($B$2,'Topic (56-pt) cards'!$A$3:$A$7,0),MATCH("Term / topic",'Topic (56-pt) cards'!$A$2:$BB$2,0))&amp;""</f>
        <v/>
      </c>
    </row>
    <row r="9" ht="30" customHeight="1">
      <c r="A9" s="24" t="inlineStr">
        <is>
          <t>Recall cue</t>
        </is>
      </c>
      <c r="B9" s="17">
        <f>INDEX('Topic (56-pt) cards'!$A$3:$BB$7,MATCH($B$2,'Topic (56-pt) cards'!$A$3:$A$7,0),MATCH("Recall cue",'Topic (56-pt) cards'!$A$2:$BB$2,0))&amp;""</f>
        <v/>
      </c>
    </row>
    <row r="10" ht="30" customHeight="1">
      <c r="A10" s="24" t="inlineStr">
        <is>
          <t>Category</t>
        </is>
      </c>
      <c r="B10" s="17">
        <f>INDEX('Topic (56-pt) cards'!$A$3:$BB$7,MATCH($B$2,'Topic (56-pt) cards'!$A$3:$A$7,0),MATCH("Category",'Topic (56-pt) cards'!$A$2:$BB$2,0))&amp;""</f>
        <v/>
      </c>
    </row>
    <row r="11" ht="30" customHeight="1">
      <c r="A11" s="24" t="inlineStr">
        <is>
          <t>How often used</t>
        </is>
      </c>
      <c r="B11" s="17">
        <f>INDEX('Topic (56-pt) cards'!$A$3:$BB$7,MATCH($B$2,'Topic (56-pt) cards'!$A$3:$A$7,0),MATCH("How often used",'Topic (56-pt) cards'!$A$2:$BB$2,0))&amp;""</f>
        <v/>
      </c>
    </row>
    <row r="12" ht="30" customHeight="1">
      <c r="A12" s="24" t="inlineStr">
        <is>
          <t>Importance (1-5)</t>
        </is>
      </c>
      <c r="B12" s="17">
        <f>INDEX('Topic (56-pt) cards'!$A$3:$BB$7,MATCH($B$2,'Topic (56-pt) cards'!$A$3:$A$7,0),MATCH("Importance (1-5)",'Topic (56-pt) cards'!$A$2:$BB$2,0))&amp;""</f>
        <v/>
      </c>
    </row>
    <row r="13" ht="30" customHeight="1">
      <c r="A13" s="24" t="inlineStr">
        <is>
          <t>Origin / why it exists</t>
        </is>
      </c>
      <c r="B13" s="17">
        <f>INDEX('Topic (56-pt) cards'!$A$3:$BB$7,MATCH($B$2,'Topic (56-pt) cards'!$A$3:$A$7,0),MATCH("Origin / why it exists",'Topic (56-pt) cards'!$A$2:$BB$2,0))&amp;""</f>
        <v/>
      </c>
    </row>
    <row r="14" ht="30" customHeight="1">
      <c r="A14" s="24" t="inlineStr">
        <is>
          <t>Pro tip</t>
        </is>
      </c>
      <c r="B14" s="17">
        <f>INDEX('Topic (56-pt) cards'!$A$3:$BB$7,MATCH($B$2,'Topic (56-pt) cards'!$A$3:$A$7,0),MATCH("Pro tip",'Topic (56-pt) cards'!$A$2:$BB$2,0))&amp;""</f>
        <v/>
      </c>
    </row>
    <row r="15" ht="30" customHeight="1">
      <c r="A15" s="24" t="inlineStr">
        <is>
          <t>Memory story</t>
        </is>
      </c>
      <c r="B15" s="17">
        <f>INDEX('Topic (56-pt) cards'!$A$3:$BB$7,MATCH($B$2,'Topic (56-pt) cards'!$A$3:$A$7,0),MATCH("Memory story",'Topic (56-pt) cards'!$A$2:$BB$2,0))&amp;""</f>
        <v/>
      </c>
    </row>
    <row r="16" ht="30" customHeight="1">
      <c r="A16" s="24" t="inlineStr">
        <is>
          <t>Picture it</t>
        </is>
      </c>
      <c r="B16" s="17">
        <f>INDEX('Topic (56-pt) cards'!$A$3:$BB$7,MATCH($B$2,'Topic (56-pt) cards'!$A$3:$A$7,0),MATCH("Picture it",'Topic (56-pt) cards'!$A$2:$BB$2,0))&amp;""</f>
        <v/>
      </c>
    </row>
    <row r="17" ht="30" customHeight="1">
      <c r="A17" s="24" t="inlineStr">
        <is>
          <t>Emotion hook</t>
        </is>
      </c>
      <c r="B17" s="17">
        <f>INDEX('Topic (56-pt) cards'!$A$3:$BB$7,MATCH($B$2,'Topic (56-pt) cards'!$A$3:$A$7,0),MATCH("Emotion hook",'Topic (56-pt) cards'!$A$2:$BB$2,0))&amp;""</f>
        <v/>
      </c>
    </row>
    <row r="18" ht="30" customHeight="1">
      <c r="A18" s="24" t="inlineStr">
        <is>
          <t>Importance ★</t>
        </is>
      </c>
      <c r="B18" s="17">
        <f>INDEX('Topic (56-pt) cards'!$A$3:$BB$7,MATCH($B$2,'Topic (56-pt) cards'!$A$3:$A$7,0),MATCH("Importance ★",'Topic (56-pt) cards'!$A$2:$BB$2,0))&amp;""</f>
        <v/>
      </c>
    </row>
    <row r="19">
      <c r="A19" s="25" t="inlineStr">
        <is>
          <t>BACK · Understanding (samjho)</t>
        </is>
      </c>
    </row>
    <row r="20" ht="30" customHeight="1">
      <c r="A20" s="24" t="inlineStr">
        <is>
          <t>Definition (simple)</t>
        </is>
      </c>
      <c r="B20" s="17">
        <f>INDEX('Topic (56-pt) cards'!$A$3:$BB$7,MATCH($B$2,'Topic (56-pt) cards'!$A$3:$A$7,0),MATCH("Definition (simple)",'Topic (56-pt) cards'!$A$2:$BB$2,0))&amp;""</f>
        <v/>
      </c>
    </row>
    <row r="21" ht="30" customHeight="1">
      <c r="A21" s="24" t="inlineStr">
        <is>
          <t>Meaning in learner's language</t>
        </is>
      </c>
      <c r="B21" s="17">
        <f>INDEX('Topic (56-pt) cards'!$A$3:$BB$7,MATCH($B$2,'Topic (56-pt) cards'!$A$3:$A$7,0),MATCH("Meaning in learner's language",'Topic (56-pt) cards'!$A$2:$BB$2,0))&amp;""</f>
        <v/>
      </c>
    </row>
    <row r="22" ht="54" customHeight="1">
      <c r="A22" s="24" t="inlineStr">
        <is>
          <t>How / why it works</t>
        </is>
      </c>
      <c r="B22" s="17">
        <f>INDEX('Topic (56-pt) cards'!$A$3:$BB$7,MATCH($B$2,'Topic (56-pt) cards'!$A$3:$A$7,0),MATCH("How / why it works",'Topic (56-pt) cards'!$A$2:$BB$2,0))&amp;""</f>
        <v/>
      </c>
    </row>
    <row r="23" ht="30" customHeight="1">
      <c r="A23" s="24" t="inlineStr">
        <is>
          <t>Simple explanation (Hinglish)</t>
        </is>
      </c>
      <c r="B23" s="17">
        <f>INDEX('Topic (56-pt) cards'!$A$3:$BB$7,MATCH($B$2,'Topic (56-pt) cards'!$A$3:$A$7,0),MATCH("Simple explanation (Hinglish)",'Topic (56-pt) cards'!$A$2:$BB$2,0))&amp;""</f>
        <v/>
      </c>
    </row>
    <row r="24" ht="30" customHeight="1">
      <c r="A24" s="24" t="inlineStr">
        <is>
          <t>Real-life analogy</t>
        </is>
      </c>
      <c r="B24" s="17">
        <f>INDEX('Topic (56-pt) cards'!$A$3:$BB$7,MATCH($B$2,'Topic (56-pt) cards'!$A$3:$A$7,0),MATCH("Real-life analogy",'Topic (56-pt) cards'!$A$2:$BB$2,0))&amp;""</f>
        <v/>
      </c>
    </row>
    <row r="25" ht="30" customHeight="1">
      <c r="A25" s="24" t="inlineStr">
        <is>
          <t>Formula / rule</t>
        </is>
      </c>
      <c r="B25" s="17">
        <f>INDEX('Topic (56-pt) cards'!$A$3:$BB$7,MATCH($B$2,'Topic (56-pt) cards'!$A$3:$A$7,0),MATCH("Formula / rule",'Topic (56-pt) cards'!$A$2:$BB$2,0))&amp;""</f>
        <v/>
      </c>
    </row>
    <row r="26" ht="30" customHeight="1">
      <c r="A26" s="24" t="inlineStr">
        <is>
          <t>Example 1</t>
        </is>
      </c>
      <c r="B26" s="17">
        <f>INDEX('Topic (56-pt) cards'!$A$3:$BB$7,MATCH($B$2,'Topic (56-pt) cards'!$A$3:$A$7,0),MATCH("Example 1",'Topic (56-pt) cards'!$A$2:$BB$2,0))&amp;""</f>
        <v/>
      </c>
    </row>
    <row r="27" ht="30" customHeight="1">
      <c r="A27" s="24" t="inlineStr">
        <is>
          <t>Example 2</t>
        </is>
      </c>
      <c r="B27" s="17">
        <f>INDEX('Topic (56-pt) cards'!$A$3:$BB$7,MATCH($B$2,'Topic (56-pt) cards'!$A$3:$A$7,0),MATCH("Example 2",'Topic (56-pt) cards'!$A$2:$BB$2,0))&amp;""</f>
        <v/>
      </c>
    </row>
    <row r="28" ht="30" customHeight="1">
      <c r="A28" s="24" t="inlineStr">
        <is>
          <t>Example 3</t>
        </is>
      </c>
      <c r="B28" s="17">
        <f>INDEX('Topic (56-pt) cards'!$A$3:$BB$7,MATCH($B$2,'Topic (56-pt) cards'!$A$3:$A$7,0),MATCH("Example 3",'Topic (56-pt) cards'!$A$2:$BB$2,0))&amp;""</f>
        <v/>
      </c>
    </row>
    <row r="29" ht="30" customHeight="1">
      <c r="A29" s="24" t="inlineStr">
        <is>
          <t>Related concepts</t>
        </is>
      </c>
      <c r="B29" s="17">
        <f>INDEX('Topic (56-pt) cards'!$A$3:$BB$7,MATCH($B$2,'Topic (56-pt) cards'!$A$3:$A$7,0),MATCH("Related concepts",'Topic (56-pt) cards'!$A$2:$BB$2,0))&amp;""</f>
        <v/>
      </c>
    </row>
    <row r="30" ht="30" customHeight="1">
      <c r="A30" s="24" t="inlineStr">
        <is>
          <t>Family / group</t>
        </is>
      </c>
      <c r="B30" s="17">
        <f>INDEX('Topic (56-pt) cards'!$A$3:$BB$7,MATCH($B$2,'Topic (56-pt) cards'!$A$3:$A$7,0),MATCH("Family / group",'Topic (56-pt) cards'!$A$2:$BB$2,0))&amp;""</f>
        <v/>
      </c>
    </row>
    <row r="31" ht="30" customHeight="1">
      <c r="A31" s="24" t="inlineStr">
        <is>
          <t>Where it is used</t>
        </is>
      </c>
      <c r="B31" s="17">
        <f>INDEX('Topic (56-pt) cards'!$A$3:$BB$7,MATCH($B$2,'Topic (56-pt) cards'!$A$3:$A$7,0),MATCH("Where it is used",'Topic (56-pt) cards'!$A$2:$BB$2,0))&amp;""</f>
        <v/>
      </c>
    </row>
    <row r="32" ht="30" customHeight="1">
      <c r="A32" s="24" t="inlineStr">
        <is>
          <t>Mini conversation</t>
        </is>
      </c>
      <c r="B32" s="17">
        <f>INDEX('Topic (56-pt) cards'!$A$3:$BB$7,MATCH($B$2,'Topic (56-pt) cards'!$A$3:$A$7,0),MATCH("Mini conversation",'Topic (56-pt) cards'!$A$2:$BB$2,0))&amp;""</f>
        <v/>
      </c>
    </row>
    <row r="33" ht="30" customHeight="1">
      <c r="A33" s="24" t="inlineStr">
        <is>
          <t>Common mistake</t>
        </is>
      </c>
      <c r="B33" s="17">
        <f>INDEX('Topic (56-pt) cards'!$A$3:$BB$7,MATCH($B$2,'Topic (56-pt) cards'!$A$3:$A$7,0),MATCH("Common mistake",'Topic (56-pt) cards'!$A$2:$BB$2,0))&amp;""</f>
        <v/>
      </c>
    </row>
    <row r="34" ht="30" customHeight="1">
      <c r="A34" s="24" t="inlineStr">
        <is>
          <t>Don't confuse with</t>
        </is>
      </c>
      <c r="B34" s="17">
        <f>INDEX('Topic (56-pt) cards'!$A$3:$BB$7,MATCH($B$2,'Topic (56-pt) cards'!$A$3:$A$7,0),MATCH("Don't confuse with",'Topic (56-pt) cards'!$A$2:$BB$2,0))&amp;""</f>
        <v/>
      </c>
    </row>
    <row r="35" ht="30" customHeight="1">
      <c r="A35" s="24" t="inlineStr">
        <is>
          <t>Avoid / don't</t>
        </is>
      </c>
      <c r="B35" s="17">
        <f>INDEX('Topic (56-pt) cards'!$A$3:$BB$7,MATCH($B$2,'Topic (56-pt) cards'!$A$3:$A$7,0),MATCH("Avoid / don't",'Topic (56-pt) cards'!$A$2:$BB$2,0))&amp;""</f>
        <v/>
      </c>
    </row>
    <row r="36" ht="30" customHeight="1">
      <c r="A36" s="24" t="inlineStr">
        <is>
          <t>Memory trick</t>
        </is>
      </c>
      <c r="B36" s="17">
        <f>INDEX('Topic (56-pt) cards'!$A$3:$BB$7,MATCH($B$2,'Topic (56-pt) cards'!$A$3:$A$7,0),MATCH("Memory trick",'Topic (56-pt) cards'!$A$2:$BB$2,0))&amp;""</f>
        <v/>
      </c>
    </row>
    <row r="37" ht="30" customHeight="1">
      <c r="A37" s="24" t="inlineStr">
        <is>
          <t>Real life: project / work</t>
        </is>
      </c>
      <c r="B37" s="17">
        <f>INDEX('Topic (56-pt) cards'!$A$3:$BB$7,MATCH($B$2,'Topic (56-pt) cards'!$A$3:$A$7,0),MATCH("Real life: project / work",'Topic (56-pt) cards'!$A$2:$BB$2,0))&amp;""</f>
        <v/>
      </c>
    </row>
    <row r="38" ht="30" customHeight="1">
      <c r="A38" s="24" t="inlineStr">
        <is>
          <t>Real life: interview / exam</t>
        </is>
      </c>
      <c r="B38" s="17">
        <f>INDEX('Topic (56-pt) cards'!$A$3:$BB$7,MATCH($B$2,'Topic (56-pt) cards'!$A$3:$A$7,0),MATCH("Real life: interview / exam",'Topic (56-pt) cards'!$A$2:$BB$2,0))&amp;""</f>
        <v/>
      </c>
    </row>
    <row r="39" ht="30" customHeight="1">
      <c r="A39" s="24" t="inlineStr">
        <is>
          <t>Real life: daily life</t>
        </is>
      </c>
      <c r="B39" s="17">
        <f>INDEX('Topic (56-pt) cards'!$A$3:$BB$7,MATCH($B$2,'Topic (56-pt) cards'!$A$3:$A$7,0),MATCH("Real life: daily life",'Topic (56-pt) cards'!$A$2:$BB$2,0))&amp;""</f>
        <v/>
      </c>
    </row>
    <row r="40">
      <c r="A40" s="27" t="inlineStr">
        <is>
          <t>PRACTICE · Khud karo</t>
        </is>
      </c>
    </row>
    <row r="41" ht="30" customHeight="1">
      <c r="A41" s="24" t="inlineStr">
        <is>
          <t>MCQ question</t>
        </is>
      </c>
      <c r="B41" s="17">
        <f>INDEX('Topic (56-pt) cards'!$A$3:$BB$7,MATCH($B$2,'Topic (56-pt) cards'!$A$3:$A$7,0),MATCH("MCQ question",'Topic (56-pt) cards'!$A$2:$BB$2,0))&amp;""</f>
        <v/>
      </c>
    </row>
    <row r="42" ht="30" customHeight="1">
      <c r="A42" s="24" t="inlineStr">
        <is>
          <t>MCQ options</t>
        </is>
      </c>
      <c r="B42" s="17">
        <f>INDEX('Topic (56-pt) cards'!$A$3:$BB$7,MATCH($B$2,'Topic (56-pt) cards'!$A$3:$A$7,0),MATCH("MCQ options",'Topic (56-pt) cards'!$A$2:$BB$2,0))&amp;""</f>
        <v/>
      </c>
    </row>
    <row r="43" ht="30" customHeight="1">
      <c r="A43" s="24" t="inlineStr">
        <is>
          <t>MCQ answer</t>
        </is>
      </c>
      <c r="B43" s="17">
        <f>INDEX('Topic (56-pt) cards'!$A$3:$BB$7,MATCH($B$2,'Topic (56-pt) cards'!$A$3:$A$7,0),MATCH("MCQ answer",'Topic (56-pt) cards'!$A$2:$BB$2,0))&amp;""</f>
        <v/>
      </c>
    </row>
    <row r="44" ht="30" customHeight="1">
      <c r="A44" s="24" t="inlineStr">
        <is>
          <t>Why that answer</t>
        </is>
      </c>
      <c r="B44" s="17">
        <f>INDEX('Topic (56-pt) cards'!$A$3:$BB$7,MATCH($B$2,'Topic (56-pt) cards'!$A$3:$A$7,0),MATCH("Why that answer",'Topic (56-pt) cards'!$A$2:$BB$2,0))&amp;""</f>
        <v/>
      </c>
    </row>
    <row r="45" ht="30" customHeight="1">
      <c r="A45" s="24" t="inlineStr">
        <is>
          <t>Fill the blank</t>
        </is>
      </c>
      <c r="B45" s="17">
        <f>INDEX('Topic (56-pt) cards'!$A$3:$BB$7,MATCH($B$2,'Topic (56-pt) cards'!$A$3:$A$7,0),MATCH("Fill the blank",'Topic (56-pt) cards'!$A$2:$BB$2,0))&amp;""</f>
        <v/>
      </c>
    </row>
    <row r="46" ht="30" customHeight="1">
      <c r="A46" s="24" t="inlineStr">
        <is>
          <t>Apply it</t>
        </is>
      </c>
      <c r="B46" s="17">
        <f>INDEX('Topic (56-pt) cards'!$A$3:$BB$7,MATCH($B$2,'Topic (56-pt) cards'!$A$3:$A$7,0),MATCH("Apply it",'Topic (56-pt) cards'!$A$2:$BB$2,0))&amp;""</f>
        <v/>
      </c>
    </row>
    <row r="47" ht="30" customHeight="1">
      <c r="A47" s="24" t="inlineStr">
        <is>
          <t>Explain it yourself</t>
        </is>
      </c>
      <c r="B47" s="17">
        <f>INDEX('Topic (56-pt) cards'!$A$3:$BB$7,MATCH($B$2,'Topic (56-pt) cards'!$A$3:$A$7,0),MATCH("Explain it yourself",'Topic (56-pt) cards'!$A$2:$BB$2,0))&amp;""</f>
        <v/>
      </c>
    </row>
    <row r="48" ht="30" customHeight="1">
      <c r="A48" s="24" t="inlineStr">
        <is>
          <t>Write your own</t>
        </is>
      </c>
      <c r="B48" s="17">
        <f>INDEX('Topic (56-pt) cards'!$A$3:$BB$7,MATCH($B$2,'Topic (56-pt) cards'!$A$3:$A$7,0),MATCH("Write your own",'Topic (56-pt) cards'!$A$2:$BB$2,0))&amp;""</f>
        <v/>
      </c>
    </row>
    <row r="49" ht="30" customHeight="1">
      <c r="A49" s="24" t="inlineStr">
        <is>
          <t>Quick recall (reverse)</t>
        </is>
      </c>
      <c r="B49" s="17">
        <f>INDEX('Topic (56-pt) cards'!$A$3:$BB$7,MATCH($B$2,'Topic (56-pt) cards'!$A$3:$A$7,0),MATCH("Quick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cards'!$A$3:$A$7</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Linux and distributions
Which free, open-source operating system family runs most servers and cloud machines, and what are its different flavours called?</t>
        </is>
      </c>
      <c r="B2" s="29" t="inlineStr">
        <is>
          <t>DEFINITION (SIMPLE):
Linux is an open-source operating system kernel, and a distribution (distro) bundles that kernel with tools, a package manager and a desktop or server setup.
HOW / WHY IT WORKS:
The kernel manages hardware, memory and processes. Distributions such as Ubuntu, Debian, Fedora, Red Hat Enterprise Linux and Alpine add software, defaults and update systems. Most commands you learn work on all of them, but package managers and some file locations differ between families.
SIMPLE EXPLANATION (HINGLISH):
Linux is the core of the system, and a distro is a ready-to-use package of Linux plus tools. Pick one, learn it well, and most of it carries over to the others.
REAL-LIFE ANALOGY:
The kernel is the engine, and each distribution is a car built around that engine.
FORMULA / RULE:
Distribution = Linux kernel + tools + package manager + defaults
EXAMPLE 1:
Ubuntu, a popular distribution for servers and desktops.
EXAMPLE 2:
Alpine, a very small distribution common in container images.
EXAMPLE 3:
Red Hat Enterprise Linux, widely used in large companies.
RELATED CONCEPTS:
shell, package managers, file system layout, containers
FAMILY / GROUP:
kernel, distribution, open source, server, package
WHERE IT IS USED:
Servers and cloud machines | Containers | Customer systems
MINI CONVERSATION:
A: The customer runs Red Hat but I learned on Ubuntu. | B: Most commands are the same, only the package manager differs.
COMMON MISTAKE:
✗ Linux is one single product made by one company → ✓ Linux is a kernel, and many different distributions package it in different ways
DON'T CONFUSE WITH:
Kernel vs distribution: the kernel talks to hardware, the distribution is the complete system you install.
AVOID / DON'T:
Do not assume every Linux machine uses the same package manager.
MEMORY TRICK:
One kernel powers many different distributions.
REAL LIFE: PROJECT / WORK:
Using the same Bash skills on an Ubuntu laptop, a Debian server and an Alpine container.
REAL LIFE: INTERVIEW / EXAM:
An interviewer may ask: What is the difference between Linux and a Linux distribution?
REAL LIFE: DAILY LIFE:
It is like one engine used in many different cars.</t>
        </is>
      </c>
      <c r="C2" s="29" t="inlineStr">
        <is>
          <t>01_Basics_Beginner_LNX-001</t>
        </is>
      </c>
    </row>
    <row r="3" ht="409" customHeight="1">
      <c r="A3" s="29" t="inlineStr">
        <is>
          <t>Shell vs terminal
Which program interprets the commands you type, and which window do you type them into?</t>
        </is>
      </c>
      <c r="B3" s="29" t="inlineStr">
        <is>
          <t>DEFINITION (SIMPLE):
The terminal is the window where you type and read text, and the shell is the program inside it that interprets commands, such as Bash or Zsh.
HOW / WHY IT WORKS:
When you press Enter, the shell splits the line into a command and arguments, expands things like wildcards and variables, finds the program and runs it. Bash is the most common shell on servers, and Zsh is common on macOS. Many shells support scripting, so the same commands can be saved in a file.
SIMPLE EXPLANATION (HINGLISH):
The terminal is where you type. The shell is the program that understands and runs what you type.
REAL-LIFE ANALOGY:
The terminal is the shop window, and the shell is the shopkeeper who understands your request.
FORMULA / RULE:
Terminal (window) → shell (interpreter) → program
EXAMPLE 1:
Opening a terminal and typing ls, which the shell runs.
EXAMPLE 2:
Bash as the default shell on many servers.
EXAMPLE 3:
Zsh as the default on recent macOS.
RELATED CONCEPTS:
Bash scripting, environment variables, PATH, commands
FAMILY / GROUP:
terminal, shell, Bash, Zsh, prompt, command line
WHERE IT IS USED:
Servers | Developer laptops | Automation scripts
MINI CONVERSATION:
A: Which shell is this server using? | B: Run echo $SHELL and it will tell you.
COMMON MISTAKE:
✗ The terminal and the shell are the same thing → ✓ The terminal is the window, and the shell is the program that runs inside it and interprets commands
DON'T CONFUSE WITH:
Terminal vs shell: the terminal shows text, the shell understands commands.
AVOID / DON'T:
Do not assume a script written for Bash works unchanged in every shell.
MEMORY TRICK:
The terminal shows and the shell understands.
REAL LIFE: PROJECT / WORK:
Logging into a customer server over SSH and working in its Bash shell.
REAL LIFE: INTERVIEW / EXAM:
An interviewer may ask: What is the difference between a terminal and a shell?
REAL LIFE: DAILY LIFE:
It is like a shop window and the shopkeeper behind it.</t>
        </is>
      </c>
      <c r="C3" s="29" t="inlineStr">
        <is>
          <t>01_Basics_Beginner_LNX-002</t>
        </is>
      </c>
    </row>
    <row r="4" ht="409" customHeight="1">
      <c r="A4" s="29" t="inlineStr">
        <is>
          <t>File system layout
Which single tree starting at the slash holds all files on Linux, and what do directories such as /etc, /var and /home contain?</t>
        </is>
      </c>
      <c r="B4" s="29" t="inlineStr">
        <is>
          <t>DEFINITION (SIMPLE):
Linux has one directory tree starting at the root /, where /etc holds configuration, /var holds changing data such as logs, /home holds user files, /usr holds programs, and /tmp holds temporary files.
HOW / WHY IT WORKS:
There are no drive letters. Other disks are mounted at folders inside the tree. Other common places are /bin and /usr/bin for commands, /opt for extra software, /dev for devices, /proc for process information and /root for the administrator's home. Logs usually live in /var/log.
SIMPLE EXPLANATION (HINGLISH):
Everything lives under /. Settings are in /etc, logs in /var/log, people's files in /home, and temporary files in /tmp.
REAL-LIFE ANALOGY:
It is like one big tree where every branch has a known job.
FORMULA / RULE:
/etc = config, /var/log = logs, /home = users, /usr = programs, /tmp = temporary
EXAMPLE 1:
/etc/nginx/nginx.conf holds a web server's configuration.
EXAMPLE 2:
/var/log/syslog holds system messages on many systems.
EXAMPLE 3:
/home/asha holds the files of the user asha.
RELATED CONCEPTS:
absolute paths, permissions, logs, mounting
FAMILY / GROUP:
root, directory, mount, config, logs
WHERE IT IS USED:
Finding configuration | Reading logs | Customer troubleshooting
MINI CONVERSATION:
A: Where do I find the web server's logs? | B: Look in /var/log, usually in a folder named after the service.
COMMON MISTAKE:
✗ Linux has drive letters such as C: and D: → ✓ Linux has a single tree under /, and other disks are mounted inside it
DON'T CONFUSE WITH:
/etc vs /var: /etc holds settings that you edit, /var holds data that changes while the system runs.
AVOID / DON'T:
Do not store important data in /tmp, since it can be cleared.
MEMORY TRICK:
etc is for settings, var is for changing data.
REAL LIFE: PROJECT / WORK:
Reading /var/log and /etc to find why a service on a customer server would not start.
REAL LIFE: INTERVIEW / EXAM:
An interviewer may ask: Where are configuration files and logs usually stored on Linux?
REAL LIFE: DAILY LIFE:
It is like a building plan where each floor has a known purpose.</t>
        </is>
      </c>
      <c r="C4" s="29" t="inlineStr">
        <is>
          <t>01_Basics_Beginner_LNX-003</t>
        </is>
      </c>
    </row>
    <row r="5" ht="409" customHeight="1">
      <c r="A5" s="29" t="inlineStr">
        <is>
          <t>Absolute vs relative paths
How do you write the address of a file starting from the root, versus starting from where you are now?</t>
        </is>
      </c>
      <c r="B5" s="29" t="inlineStr">
        <is>
          <t>DEFINITION (SIMPLE):
An absolute path starts at the root /, such as /home/asha/notes.txt, while a relative path starts from the current directory, such as notes.txt or ../data/notes.txt.
HOW / WHY IT WORKS:
A single dot means the current directory, and two dots mean the parent directory. The tilde ~ means your home directory. A relative path changes meaning when you change directory, but an absolute path always points to the same place. Cron starts scripts in the user's home folder, not in the folder where the script lives, so relative paths inside a script break.
SIMPLE EXPLANATION (HINGLISH):
A path that starts with / is complete. Any other path starts from where you are now.
REAL-LIFE ANALOGY:
An absolute path is a full postal address, and a relative path is directions from where you stand.
FORMULA / RULE:
/full/path starts at root. path starts here. ../path starts one level up.
EXAMPLE 1:
/var/log/syslog is an absolute path.
EXAMPLE 2:
./script.sh is a relative path to a file in the current folder.
EXAMPLE 3:
../config/app.yml goes up one folder and then into config.
RELATED CONCEPTS:
cd and pwd, file system layout, cron, scripts
FAMILY / GROUP:
absolute, relative, dot, double dot, tilde
WHERE IT IS USED:
Every command | Scripts | Cron jobs
MINI CONVERSATION:
A: My script cannot find the file when cron runs it. | B: Use an absolute path, since cron starts in your home folder, not in the script's folder.
COMMON MISTAKE:
✗ A relative path always points to the same file → ✓ A relative path depends on the current directory, and an absolute path does not
DON'T CONFUSE WITH:
Absolute vs relative: absolute starts at /, relative starts at the current folder.
AVOID / DON'T:
Do not use relative paths in scheduled scripts.
MEMORY TRICK:
A leading slash means from the root.
REAL LIFE: PROJECT / WORK:
Replacing relative paths with absolute ones in a nightly script.
REAL LIFE: INTERVIEW / EXAM:
An interviewer may ask: What do . and .. mean in a path?
REAL LIFE: DAILY LIFE:
It is like a full postal address versus directions from where you stand.</t>
        </is>
      </c>
      <c r="C5" s="29" t="inlineStr">
        <is>
          <t>01_Basics_Beginner_LNX-004</t>
        </is>
      </c>
    </row>
    <row r="6" ht="409" customHeight="1">
      <c r="A6" s="29" t="inlineStr">
        <is>
          <t>man pages and --help
Where do you find the official manual of a command without leaving the terminal?
man ls
ls --help
man -k copy</t>
        </is>
      </c>
      <c r="B6" s="29" t="inlineStr">
        <is>
          <t>MEANING (SHORT):
man shows the manual page of a command, and most commands also print a short summary with --help.
CODE:
man ls
ls --help
man -k copy
OUTPUT:
A manual page for ls with its description and options, a short options list from --help, and a list of commands whose summary mentions copy.
EXPLANATION:
A man page has sections such as NAME, SYNOPSIS, DESCRIPTION and OPTIONS. You scroll with the arrow keys, search with a slash, and quit with q. The --help flag gives a shorter summary and works on most commands. man -k searches the summaries for a keyword, which helps when you do not know the command name.
SIMPLE EXPLANATION (HINGLISH):
Type man and the command name to read its manual. Use --help for a quick reminder, and man -k to search by keyword.
REAL-LIFE ANALOGY:
It is like the instruction booklet that comes inside the box.
SYNTAX PATTERN:
man command  |  command --help  |  man -k keyword
ANATOMY:
man = manual | --help = quick summary | -k = search by keyword
EXAMPLE 1:
man grep
EXAMPLE 2:
tar --help
EXAMPLE 3:
man -k network
VARIATION:
man 5 passwd   // a specific manual section
info coreutils   // another documentation format
USED WITH:
less, grep, apropos
RELATED CONCEPTS:
shell, commands, package managers
ALTERNATIVES:
tldr pages for short examples
WHERE IT IS USED:
Learning commands | Checking options | Unknown customer machines
MINI CONVERSATION:
A: What does this flag do? | B: Open the man page for the command and search for the flag.
COMMON MISTAKE:
✗ You need the internet to read command documentation → ✓ Manual pages are stored on the machine, so man works offline
COMMONLY CONFUSED WITH:
man vs --help: man gives the full manual, --help gives a short summary.
AVOID / DON'T:
Do not copy a command from the internet without checking its options in the man page.
WRONG CODE:
man --ls
RIGHT CODE:
man ls
MEMORY TRICK:
When in doubt, man it out.
REAL LIFE: PROJECT / WORK:
Checking the exact flags of a command on a customer server with no internet access.
REAL LIFE: INTERVIEW / EXAM:
An interviewer may ask: How do you learn what a command does on a server?
REAL LIFE: DAILY LIFE:
It is like the instruction booklet inside the box.</t>
        </is>
      </c>
      <c r="C6" s="29" t="inlineStr">
        <is>
          <t>01_Basics_Beginner_LNX-005</t>
        </is>
      </c>
    </row>
    <row r="7" ht="409" customHeight="1">
      <c r="A7" s="29" t="inlineStr">
        <is>
          <t>Package managers (apt and dnf)
Which tools install, update and remove software on a Linux machine from trusted repositories?
sudo apt update
sudo apt install nginx
apt search json
sudo apt remove nginx</t>
        </is>
      </c>
      <c r="B7" s="29" t="inlineStr">
        <is>
          <t>MEANING (SHORT):
A package manager installs and updates software and its dependencies, with apt on Debian and Ubuntu, and dnf on Fedora and Red Hat families.
CODE:
sudo apt update
sudo apt install nginx
apt search json
sudo apt remove nginx
OUTPUT:
The package lists refresh, nginx and its dependencies are installed, packages about json are listed, and nginx is removed.
EXPLANATION:
Packages come from repositories listed in the system configuration. update refreshes the list of available packages, and install fetches the package and its dependencies. On Red Hat families the matching tool is dnf, with commands such as sudo dnf install nginx. Alpine uses apk. Installing needs administrator rights, so commands usually start with sudo.
SIMPLE EXPLANATION (HINGLISH):
Use the package manager of your distribution to install software. Update first, then install, and use sudo because it changes the system.
REAL-LIFE ANALOGY:
It is like an app store that lives in your terminal.
SYNTAX PATTERN:
sudo apt install package  |  sudo dnf install package
ANATOMY:
apt or dnf = the package manager | install = add software | sudo = run with admin rights
EXAMPLE 1:
sudo apt install curl
EXAMPLE 2:
sudo dnf install git
EXAMPLE 3:
apk add curl
VARIATION:
sudo apt upgrade   // update installed packages
dpkg -l | grep nginx   // see if a package is installed
USED WITH:
sudo, repositories, dependencies, containers
RELATED CONCEPTS:
distributions, sudo, Docker images
ALTERNATIVES:
snap, flatpak, or building from source
WHERE IT IS USED:
Setting up servers | Container images | Installing tools on customer machines
MINI CONVERSATION:
A: The command curl is not found on this server. | B: Install it with the package manager, apt or dnf depending on the system.
COMMON MISTAKE:
✗ apt works on every Linux distribution → ✓ apt belongs to Debian and Ubuntu families, while Red Hat families use dnf and Alpine uses apk
COMMONLY CONFUSED WITH:
apt update vs apt upgrade: update refreshes the package list, upgrade installs newer versions.
AVOID / DON'T:
Do not install software by piping unknown scripts into the shell.
WRONG CODE:
apt install nginx
RIGHT CODE:
sudo apt install nginx
MEMORY TRICK:
Update the list, then install.
REAL LIFE: PROJECT / WORK:
Installing the tools a customer's server needs with apt in a setup script.
REAL LIFE: INTERVIEW / EXAM:
An interviewer may ask: What is the difference between apt update and apt upgrade?
REAL LIFE: DAILY LIFE:
It is like an app store in your terminal.</t>
        </is>
      </c>
      <c r="C7" s="29" t="inlineStr">
        <is>
          <t>01_Basics_Beginner_LNX-006</t>
        </is>
      </c>
    </row>
    <row r="8" ht="409" customHeight="1">
      <c r="A8" s="29" t="inlineStr">
        <is>
          <t>ls (listing files)
Which command shows what is inside a directory, including sizes, owners and hidden files?
ls
ls -l
ls -lah /var/log</t>
        </is>
      </c>
      <c r="B8" s="29" t="inlineStr">
        <is>
          <t>MEANING (SHORT):
ls lists the files and folders of a directory, and flags control detail and hidden files.
CODE:
ls
ls -l
ls -lah /var/log
OUTPUT:
A plain list of names, a long list with permissions, owners, sizes and dates, and a long list of /var/log that includes hidden files and human-readable sizes.
EXPLANATION:
Hidden files start with a dot and appear only with -a. The long format -l shows permissions, link count, owner, group, size and modification time. -h makes sizes readable such as 4.0K. You can sort by time with -t and reverse with -r.
SIMPLE EXPLANATION (HINGLISH):
Run ls to see names. Add -l for details, -a for hidden files and -h for readable sizes.
REAL-LIFE ANALOGY:
It is like opening a drawer and reading the labels.
SYNTAX PATTERN:
ls [options] [path]
ANATOMY:
-l = long format | -a = include hidden | -h = human-readable sizes | path = which folder
EXAMPLE 1:
ls -l
EXAMPLE 2:
ls -a ~
EXAMPLE 3:
ls -lt /var/log
VARIATION:
ls -lS   // sort by size
ls -d */   // list only directories
USED WITH:
cd, find, permissions, wildcards
RELATED CONCEPTS:
cd and pwd, find, permissions
ALTERNATIVES:
tree for a nested view
WHERE IT IS USED:
Exploring folders | Checking permissions | Finding recent files
MINI CONVERSATION:
A: I cannot see the config file. | B: It is probably hidden, so use ls -a.
COMMON MISTAKE:
✗ ls shows every file including hidden ones → ✓ Hidden files, which start with a dot, appear only with the -a flag
COMMONLY CONFUSED WITH:
ls -l vs ls -a: -l shows details, -a includes hidden files.
AVOID / DON'T:
Do not forget -a when looking for dotfiles.
WRONG CODE:
ls -hidden
RIGHT CODE:
ls -a
MEMORY TRICK:
l for long, a for all.
REAL LIFE: PROJECT / WORK:
Checking file owners and sizes in a customer's log folder.
REAL LIFE: INTERVIEW / EXAM:
An interviewer may ask: How do you list hidden files?
REAL LIFE: DAILY LIFE:
It is like opening a drawer and reading the labels.</t>
        </is>
      </c>
      <c r="C8" s="29" t="inlineStr">
        <is>
          <t>02_Files_and_folders_Beginner_LNX-007</t>
        </is>
      </c>
    </row>
    <row r="9" ht="409" customHeight="1">
      <c r="A9" s="29" t="inlineStr">
        <is>
          <t>cd and pwd
Which two commands tell you where you are and move you to another directory?
pwd
cd /var/log
cd ..
cd ~
cd -</t>
        </is>
      </c>
      <c r="B9" s="29" t="inlineStr">
        <is>
          <t>MEANING (SHORT):
pwd prints the current directory, and cd changes to another directory.
CODE:
pwd
cd /var/log
cd ..
cd ~
cd -
OUTPUT:
The current path, then moves to /var/log, up to /var, to the home directory, and back to the previous directory.
EXPLANATION:
cd with no argument goes to your home directory. cd .. goes to the parent, and cd - returns to the last directory you were in. The tilde ~ stands for your home directory. If a path has spaces, put it in quotes. Many commands depend on the current directory, so pwd is a useful habit.
SIMPLE EXPLANATION (HINGLISH):
pwd tells you where you are, and cd takes you somewhere else. Use .. for up one level and - for back to where you were.
REAL-LIFE ANALOGY:
pwd is the you-are-here pin, and cd is walking to another place on the map.
SYNTAX PATTERN:
pwd  |  cd path
ANATOMY:
pwd = print working directory | cd = change directory | .. = parent | - = previous directory
EXAMPLE 1:
cd /etc
EXAMPLE 2:
cd ../..
EXAMPLE 3:
cd "My Documents"
VARIATION:
cd   // go home
pushd and popd   // keep a stack of directories
USED WITH:
ls, absolute and relative paths, tab completion
RELATED CONCEPTS:
absolute vs relative paths, ls, file system layout
ALTERNATIVES:
Opening a new terminal in the folder
WHERE IT IS USED:
Moving around | Running scripts | Checking location
MINI CONVERSATION:
A: Where am I in the file system? | B: Run pwd to see the current directory.
COMMON MISTAKE:
✗ cd changes the folder of every open terminal → ✓ cd changes only the current shell's working directory
COMMONLY CONFUSED WITH:
pwd vs ls: pwd shows where you are, ls shows what is inside.
AVOID / DON'T:
Do not run destructive commands before checking pwd.
WRONG CODE:
cd..
RIGHT CODE:
cd ..
MEMORY TRICK:
pwd asks where, cd goes there.
REAL LIFE: PROJECT / WORK:
Checking pwd before running a delete command on a customer server.
REAL LIFE: INTERVIEW / EXAM:
An interviewer may ask: What does cd - do?
REAL LIFE: DAILY LIFE:
It is like the you-are-here pin on a map.</t>
        </is>
      </c>
      <c r="C9" s="29" t="inlineStr">
        <is>
          <t>02_Files_and_folders_Beginner_LNX-008</t>
        </is>
      </c>
    </row>
    <row r="10" ht="409" customHeight="1">
      <c r="A10" s="29" t="inlineStr">
        <is>
          <t>mkdir and rmdir
Which commands create a new directory, including missing parent folders, and remove an empty one?
mkdir reports
mkdir -p project/src/utils
rmdir reports</t>
        </is>
      </c>
      <c r="B10" s="29" t="inlineStr">
        <is>
          <t>MEANING (SHORT):
mkdir creates directories, and rmdir removes empty directories.
CODE:
mkdir reports
mkdir -p project/src/utils
rmdir reports
OUTPUT:
A folder named reports, a nested path project/src/utils created in one step, and the empty folder reports removed.
EXPLANATION:
Without -p, mkdir fails if a parent folder is missing. With -p it creates all missing parents and does not complain if the folder exists. rmdir refuses to remove a folder that still has files in it, which protects you from accidents. To remove a folder with contents you use rm -r.
SIMPLE EXPLANATION (HINGLISH):
Use mkdir to make folders, with -p for nested ones. Use rmdir to delete an empty folder safely.
REAL-LIFE ANALOGY:
It is like building a new shelf, and rmdir removes only a shelf that is empty.
SYNTAX PATTERN:
mkdir [-p] path  |  rmdir path
ANATOMY:
-p = create parent folders too | rmdir = only works on empty folders
EXAMPLE 1:
mkdir backups
EXAMPLE 2:
mkdir -p a/b/c
EXAMPLE 3:
rmdir old_folder
VARIATION:
mkdir -m 700 private   // set permissions while creating
mkdir -p logs/{2025,2026}   // brace expansion for several folders
USED WITH:
ls, cd, rm -r, permissions
RELATED CONCEPTS:
cp mv rm, ls, permissions
ALTERNATIVES:
rm -r for non-empty folders
WHERE IT IS USED:
Project setup | Backups | Deployment folders
MINI CONVERSATION:
A: mkdir fails because the parent does not exist. | B: Add -p so it creates the missing parent folders.
COMMON MISTAKE:
✗ rmdir removes a folder together with its files → ✓ rmdir removes only empty folders, and rm -r is needed for folders with contents
COMMONLY CONFUSED WITH:
rmdir vs rm -r: rmdir needs an empty folder, rm -r deletes contents too.
AVOID / DON'T:
Do not use rm -r when rmdir would protect you.
WRONG CODE:
mkdir a/b/c
RIGHT CODE:
mkdir -p a/b/c
MEMORY TRICK:
The p flag stands for parents.
REAL LIFE: PROJECT / WORK:
Creating a deployment folder structure with one mkdir -p command.
REAL LIFE: INTERVIEW / EXAM:
An interviewer may ask: What does mkdir -p do?
REAL LIFE: DAILY LIFE:
It is like building a new shelf.</t>
        </is>
      </c>
      <c r="C10" s="29" t="inlineStr">
        <is>
          <t>02_Files_and_folders_Beginner_LNX-009</t>
        </is>
      </c>
    </row>
    <row r="11" ht="409" customHeight="1">
      <c r="A11" s="29" t="inlineStr">
        <is>
          <t>cp, mv and rm
Which three commands copy, move or rename, and delete files, with no recycle bin?
cp report.txt backup/
cp -r project project_copy
mv old.txt new.txt
mv new.txt archive/
rm -i temp.txt</t>
        </is>
      </c>
      <c r="B11" s="29" t="inlineStr">
        <is>
          <t>MEANING (SHORT):
cp copies files, mv moves or renames them, and rm deletes them permanently.
CODE:
cp report.txt backup/
cp -r project project_copy
mv old.txt new.txt
mv new.txt archive/
rm -i temp.txt
OUTPUT:
report.txt is copied into backup, the folder project is copied recursively, old.txt is renamed to new.txt, the file moves into archive, and temp.txt is deleted after confirmation.
EXPLANATION:
Copying folders needs -r. mv uses the same command for renaming and moving, because renaming is moving to a new name. rm does not use a trash, so deleted files are gone, and rm -rf deletes folders without asking, which is dangerous with a wrong path. Use -v to see what happens.
SIMPLE EXPLANATION (HINGLISH):
cp makes a copy, mv moves or renames, and rm deletes forever. Check the path before pressing Enter.
REAL-LIFE ANALOGY:
cp is a photocopier, mv is a removal van that also renames, and rm is a shredder.
SYNTAX PATTERN:
cp source dest  |  mv source dest  |  rm file
ANATOMY:
-r = recursive for folders | -i = ask first | -f = force | -v = verbose
EXAMPLE 1:
cp -r src src_backup
EXAMPLE 2:
mv draft.txt final.txt
EXAMPLE 3:
rm -rf build/
VARIATION:
cp -a src/ dest/   // copy and keep attributes
rm -- -weird-name   // delete a name that starts with a dash
USED WITH:
ls, mkdir, wildcards, permissions
RELATED CONCEPTS:
ls, mkdir, find
ALTERNATIVES:
trash-cli for a recoverable delete
WHERE IT IS USED:
Housekeeping | Deployment | Clean-up scripts
MINI CONVERSATION:
A: I removed the wrong folder with rm -rf. | B: There is no undo, so check with ls and use -i next time.
COMMON MISTAKE:
✗ rm moves files to a recycle bin that I can restore → ✓ rm deletes files immediately, with no built-in way to recover them
COMMONLY CONFUSED WITH:
mv vs cp: mv moves the original, cp leaves it in place.
AVOID / DON'T:
Never run rm -rf with a variable that could be empty.
WRONG CODE:
cp project project_copy
RIGHT CODE:
cp -r project project_copy
MEMORY TRICK:
rm means gone for good.
REAL LIFE: PROJECT / WORK:
Renaming release folders with mv and clearing old builds with rm in a deployment script.
REAL LIFE: INTERVIEW / EXAM:
An interviewer may ask: What is the difference between cp and mv?
REAL LIFE: DAILY LIFE:
It is like a photocopier, a removal van and a shredder.</t>
        </is>
      </c>
      <c r="C11" s="29" t="inlineStr">
        <is>
          <t>02_Files_and_folders_Beginner_LNX-010</t>
        </is>
      </c>
    </row>
    <row r="12" ht="409" customHeight="1">
      <c r="A12" s="29" t="inlineStr">
        <is>
          <t>touch and the file command
How do you create an empty file or update its time, and find out what kind of file something really is?
touch notes.txt
ls -l notes.txt
file notes.txt
file /bin/ls</t>
        </is>
      </c>
      <c r="B12" s="29" t="inlineStr">
        <is>
          <t>MEANING (SHORT):
touch creates an empty file or updates its modification time, and file reports the type of a file from its content.
CODE:
touch notes.txt
ls -l notes.txt
file notes.txt
file /bin/ls
OUTPUT:
An empty notes.txt is created, its listing shows size 0, file reports empty, and file reports that /bin/ls is an executable program.
EXPLANATION:
On Linux, extensions are only a convention and the system does not rely on them. file reads the first bytes and matches known patterns to report text, images, archives or programs. touch on an existing file only changes its timestamps, which is useful to trigger build tools.
SIMPLE EXPLANATION (HINGLISH):
touch makes an empty file. file tells you what a file really is, whatever its name says.
REAL-LIFE ANALOGY:
touch marks a file with a fingerprint of the time, and file is a detective that reads the contents.
SYNTAX PATTERN:
touch filename  |  file filename
ANATOMY:
touch = create or update time | file = detect the type
EXAMPLE 1:
touch app.log
EXAMPLE 2:
file photo.jpg
EXAMPLE 3:
file script.sh
VARIATION:
touch -t 202601011200 file   // set a specific time
stat file   // show detailed file information
USED WITH:
ls, cat, permissions
RELATED CONCEPTS:
ls, cat, permissions
ALTERNATIVES:
stat for detailed metadata
WHERE IT IS USED:
Creating placeholders | Checking unknown files | Triggering builds
MINI CONVERSATION:
A: This download has no extension, what is it? | B: Run file on it and it will tell you the type.
COMMON MISTAKE:
✗ The file extension decides what a file really is → ✓ The extension is only a hint, and the file command checks the actual content
COMMONLY CONFUSED WITH:
touch vs echo &gt; file: touch keeps content, redirecting a command's output replaces it.
AVOID / DON'T:
Do not trust an extension for a file from an unknown source.
WRONG CODE:
file create notes.txt
RIGHT CODE:
touch notes.txt
MEMORY TRICK:
touch makes the file, file identifies it.
REAL LIFE: PROJECT / WORK:
Checking whether an uploaded file is really an image or an archive.
REAL LIFE: INTERVIEW / EXAM:
An interviewer may ask: How do you check a file's type on Linux?
REAL LIFE: DAILY LIFE:
It is like a detective that reads the contents.</t>
        </is>
      </c>
      <c r="C12" s="29" t="inlineStr">
        <is>
          <t>02_Files_and_folders_Beginner_LNX-011</t>
        </is>
      </c>
    </row>
    <row r="13" ht="409" customHeight="1">
      <c r="A13" s="29" t="inlineStr">
        <is>
          <t>cat, less, head and tail
Which commands show a whole file, one page at a time, only the first lines, or only the last lines and new ones as they arrive?
cat notes.txt
less /var/log/syslog
head -n 5 data.csv
tail -n 20 app.log
tail -f app.log</t>
        </is>
      </c>
      <c r="B13" s="29" t="inlineStr">
        <is>
          <t>MEANING (SHORT):
cat prints a file, less lets you scroll through it, head shows the first lines, and tail shows the last lines or follows new ones.
CODE:
cat notes.txt
less /var/log/syslog
head -n 5 data.csv
tail -n 20 app.log
tail -f app.log
OUTPUT:
The full file, a scrollable view, the first five lines, the last twenty lines, and a live stream of new lines added to app.log.
EXPLANATION:
less opens a file without loading it all, so it handles huge files. Inside less, press / to search, n for the next match, and q to quit. tail -f keeps running and prints new lines until you press Ctrl and C. Combine head and tail with pipes to take a slice from the middle.
SIMPLE EXPLANATION (HINGLISH):
Use cat for small files, less for big ones, head and tail for the ends, and tail -f to watch a log grow.
REAL-LIFE ANALOGY:
cat spills everything, less is a page turner, head peeks at the start and tail is a window on the end.
SYNTAX PATTERN:
cat file  |  less file  |  head -n N file  |  tail -n N file  |  tail -f file
ANATOMY:
-n = how many lines | -f = follow new lines | q = quit less
EXAMPLE 1:
head -n 1 data.csv
EXAMPLE 2:
tail -n 50 /var/log/nginx/error.log
EXAMPLE 3:
tail -f /var/log/app.log
VARIATION:
head -n 20 file | tail -n 5   // lines 16 to 20
less +F file   // follow mode inside less
USED WITH:
grep, pipes, logs, redirection
RELATED CONCEPTS:
grep, pipes, journalctl
ALTERNATIVES:
bat or an editor for viewing code
WHERE IT IS USED:
Reading logs | Checking CSV headers | Watching a service start
MINI CONVERSATION:
A: How do I watch the log while I restart the service? | B: Run tail -f on the log file in another terminal.
COMMON MISTAKE:
✗ cat is the best way to read large log files → ✓ cat dumps everything, so use less, head or tail for large files
COMMONLY CONFUSED WITH:
tail vs tail -f: tail shows the last lines once, tail -f keeps following new lines.
AVOID / DON'T:
Do not cat a huge file into your terminal.
WRONG CODE:
tail app.log -follow
RIGHT CODE:
tail -f app.log
MEMORY TRICK:
Head is the start, tail is the end.
REAL LIFE: PROJECT / WORK:
Following an application log while reproducing a customer's error.
REAL LIFE: INTERVIEW / EXAM:
An interviewer may ask: How do you watch a log file live?
REAL LIFE: DAILY LIFE:
It is like a window on the end of a growing scroll.</t>
        </is>
      </c>
      <c r="C13" s="29" t="inlineStr">
        <is>
          <t>02_Files_and_folders_Beginner_LNX-012</t>
        </is>
      </c>
    </row>
    <row r="14" ht="409" customHeight="1">
      <c r="A14" s="29" t="inlineStr">
        <is>
          <t>find
Which command searches a folder tree for files by name, type, size or age?
find /var/log -name "*.log"
find . -type f -size +100M
find /tmp -mtime +7 -type f
find . -name "*.tmp" -exec rm {} \;</t>
        </is>
      </c>
      <c r="B14" s="29" t="inlineStr">
        <is>
          <t>MEANING (SHORT):
find walks a directory and prints the items that match tests such as -name, -type, -size and -mtime.
CODE:
find /var/log -name "*.log"
find . -type f -size +100M
find /tmp -mtime +7 -type f
find . -name "*.tmp" -exec rm {} \;
OUTPUT:
Log files under /var/log, files over 100 megabytes under the current folder, files in /tmp older than seven days, and all .tmp files deleted.
EXPLANATION:
The first argument is where to start, and the rest are tests combined with and. -type f means files and -type d means directories. -mtime +7 means modified more than seven days ago. -exec runs a command on each match, with {} as the file name. Always test with -print first before deleting anything.
SIMPLE EXPLANATION (HINGLISH):
Tell find where to look and what to match. It searches live, so it is slower than an index, but always up to date.
REAL-LIFE ANALOGY:
It is like a search party walking every corridor and checking each door.
SYNTAX PATTERN:
find path tests actions
ANATOMY:
path = where to start | -name = match name | -type = f or d | -exec = run a command on matches
EXAMPLE 1:
find . -name "config*"
EXAMPLE 2:
find /home -user asha
EXAMPLE 3:
find . -type d -name node_modules
VARIATION:
find . -name "*.log" -delete   // delete matches directly
find . -newer file   // files newer than a reference file
USED WITH:
grep, xargs, wildcards, rm
RELATED CONCEPTS:
ls, grep, xargs
ALTERNATIVES:
locate, which uses a prebuilt index
WHERE IT IS USED:
Finding configs | Clean-up | Disk space hunts
MINI CONVERSATION:
A: Where is the nginx config on this server? | B: Try find /etc -name "nginx*" to search for it.
COMMON MISTAKE:
✗ find uses a pre-built index and is instant → ✓ find walks the directory live, while locate uses an index
COMMONLY CONFUSED WITH:
find vs grep: find searches for files by attributes, grep searches inside files for text.
AVOID / DON'T:
Do not run find with -delete or -exec rm before checking the output with -print.
WRONG CODE:
find . -name *.log
RIGHT CODE:
find . -name "*.log"
MEMORY TRICK:
Quote the pattern, test before deleting.
REAL LIFE: PROJECT / WORK:
Finding and removing log files older than a week in a clean-up job.
REAL LIFE: INTERVIEW / EXAM:
An interviewer may ask: How do you find files larger than 100 MB?
REAL LIFE: DAILY LIFE:
It is like a search party checking every door.</t>
        </is>
      </c>
      <c r="C14" s="29" t="inlineStr">
        <is>
          <t>02_Files_and_folders_Intermediate_LNX-013</t>
        </is>
      </c>
    </row>
    <row r="15" ht="409" customHeight="1">
      <c r="A15" s="29" t="inlineStr">
        <is>
          <t>Wildcards (globbing)
Which special characters let one pattern match many file names, expanded by the shell before the command runs?
ls *.txt
ls data_?.csv
ls report_[0-9][0-9].pdf
echo *.log</t>
        </is>
      </c>
      <c r="B15" s="29" t="inlineStr">
        <is>
          <t>MEANING (SHORT):
Wildcards such as *, ? and [] are patterns that the shell expands into matching file names.
CODE:
ls *.txt
ls data_?.csv
ls report_[0-9][0-9].pdf
echo *.log
OUTPUT:
All text files, data files with a single character in the place of the question mark, reports with two digits in the name, and the list of log files printed by echo.
EXPLANATION:
The star matches any number of characters, the question mark matches exactly one, and square brackets match one character from a set or range. The shell expands the pattern before the command starts, so the command sees the full list of names. Curly braces such as {a,b} are a related feature called brace expansion. If nothing matches, Bash passes the pattern unchanged.
SIMPLE EXPLANATION (HINGLISH):
Use star for anything, question mark for one character, and brackets for a set. The shell turns the pattern into real file names first.
REAL-LIFE ANALOGY:
It is like a blank card in a card game that can stand for any card.
SYNTAX PATTERN:
* ? [abc] [a-z]
ANATOMY:
* = any characters | ? = one character | [..] = one from a set | {a,b} = brace expansion
EXAMPLE 1:
rm *.tmp
EXAMPLE 2:
cp img_?.png backup/
EXAMPLE 3:
ls file{1,2,3}.txt
VARIATION:
ls [!a]*   // names not starting with a
ls **/*.js   // recursive in shells with globstar on
USED WITH:
ls, cp, rm, find
RELATED CONCEPTS:
find, quoting, xargs
ALTERNATIVES:
find for recursive searches
WHERE IT IS USED:
Bulk actions | Scripts | Logs and exports
MINI CONVERSATION:
A: I need to delete all temp files in this folder. | B: Run echo *.tmp first to check, then rm *.tmp.
COMMON MISTAKE:
✗ The command itself expands wildcards → ✓ The shell expands wildcards before the command starts, and quoting stops it
COMMONLY CONFUSED WITH:
Wildcards vs regular expressions: wildcards match file names in the shell, regular expressions match text in tools like grep.
AVOID / DON'T:
Do not run rm * without checking what it expands to.
WRONG CODE:
ls *.txt.
RIGHT CODE:
ls *.txt
MEMORY TRICK:
Star is many, question mark is one.
REAL LIFE: PROJECT / WORK:
Archiving all monthly CSV files with one pattern.
REAL LIFE: INTERVIEW / EXAM:
An interviewer may ask: Who expands a wildcard, the shell or the command?
REAL LIFE: DAILY LIFE:
It is like a blank card that can stand for any card.</t>
        </is>
      </c>
      <c r="C15" s="29" t="inlineStr">
        <is>
          <t>02_Files_and_folders_Beginner_LNX-014</t>
        </is>
      </c>
    </row>
    <row r="16" ht="409" customHeight="1">
      <c r="A16" s="29" t="inlineStr">
        <is>
          <t>Hard links and symbolic links
How do you make a second name that points to the same file, and a shortcut that points to a path?
ln -s /var/www/releases/v2 /var/www/current
ls -l /var/www
ln original.txt hardcopy.txt</t>
        </is>
      </c>
      <c r="B16" s="29" t="inlineStr">
        <is>
          <t>MEANING (SHORT):
ln -s creates a symbolic link that stores a path, and ln creates a hard link, a second name for the same data.
CODE:
ln -s /var/www/releases/v2 /var/www/current
ls -l /var/www
ln original.txt hardcopy.txt
OUTPUT:
The link current points to releases/v2, the listing shows current with an arrow to its target, and hardcopy.txt becomes another name for the same data as original.txt.
EXPLANATION:
A symbolic link is a small file containing a path, so it can point to folders and to other file systems, and it breaks if the target is deleted. A hard link is another directory entry for the same data, so the content stays until all names are removed, but it cannot cross file systems or point to folders. ls -l shows symbolic links with an arrow.
SIMPLE EXPLANATION (HINGLISH):
Use ln -s to make a shortcut to a file or folder. A hard link is a second name for the same file, and is less common.
REAL-LIFE ANALOGY:
A symbolic link is a signpost pointing at a place, and a hard link is a second door into the same room.
SYNTAX PATTERN:
ln -s target linkname  |  ln target linkname
ANATOMY:
-s = symbolic link | target = what it points to | linkname = the new name
EXAMPLE 1:
ln -s /opt/app/v3 /opt/app/current
EXAMPLE 2:
ln -s ~/projects/site /var/www/site
EXAMPLE 3:
ln data.csv data_backup_name.csv
VARIATION:
ln -sfn newtarget current   // replace an existing link
readlink current   // show where a link points
USED WITH:
ls -l, deployment, readlink
RELATED CONCEPTS:
file system layout, permissions, deployment
ALTERNATIVES:
Copying the file
WHERE IT IS USED:
Release folders | Config sharing | Shortcuts
MINI CONVERSATION:
A: How do we switch the live site to the new release? | B: Point the current link to the new release folder with ln -sfn.
COMMON MISTAKE:
✗ A symbolic link and a hard link behave the same → ✓ A symbolic link stores a path and can break, a hard link is another name for the same data
COMMONLY CONFUSED WITH:
Symbolic vs hard link: symbolic stores a path, hard shares the same data.
AVOID / DON'T:
Do not forget that a symbolic link breaks if its target is removed or moved.
WRONG CODE:
ln /var/www/releases/v2 /var/www/current
RIGHT CODE:
ln -s /var/www/releases/v2 /var/www/current
MEMORY TRICK:
s for signpost, a symbolic link.
REAL LIFE: PROJECT / WORK:
Switching a current link to a new release folder during deployment.
REAL LIFE: INTERVIEW / EXAM:
An interviewer may ask: What is the difference between a hard link and a symbolic link?
REAL LIFE: DAILY LIFE:
It is like a signpost versus a second door into the same room.</t>
        </is>
      </c>
      <c r="C16" s="29" t="inlineStr">
        <is>
          <t>02_Files_and_folders_Intermediate_LNX-015</t>
        </is>
      </c>
    </row>
    <row r="17" ht="409" customHeight="1">
      <c r="A17" s="29" t="inlineStr">
        <is>
          <t>grep
Which command searches inside files for lines that match a word or pattern?
grep "error" app.log
grep -i -n "timeout" app.log
grep -r "API_KEY" ./config
grep -v "^#" settings.conf
grep -c "200" access.log</t>
        </is>
      </c>
      <c r="B17" s="29" t="inlineStr">
        <is>
          <t>MEANING (SHORT):
grep prints the lines of its input that match a pattern.
CODE:
grep "error" app.log
grep -i -n "timeout" app.log
grep -r "API_KEY" ./config
grep -v "^#" settings.conf
grep -c "200" access.log
OUTPUT:
Lines containing error, matching lines with numbers ignoring case, matches across a folder, all lines that do not start with a hash, and a count of lines containing 200.
EXPLANATION:
Common flags are -i to ignore case, -n to show line numbers, -r to search folders, -v to invert the match, -c to count, and -E for extended regular expressions. -A and -B show lines after and before a match. grep reads files or the output of other commands through a pipe.
SIMPLE EXPLANATION (HINGLISH):
Give grep a pattern and a file. It prints only the matching lines, and flags change how it matches and what it shows.
REAL-LIFE ANALOGY:
It is like a highlighter pen that picks out only the lines you care about.
SYNTAX PATTERN:
grep [options] pattern [files]
ANATOMY:
-i = ignore case | -n = line numbers | -r = recursive | -v = invert | -c = count
EXAMPLE 1:
grep -n "Exception" server.log
EXAMPLE 2:
grep -r "TODO" src/
EXAMPLE 3:
ps aux | grep nginx
VARIATION:
grep -E "error|fail" app.log   // either word
grep -A 3 -B 3 "crash" app.log   // three lines of context around each match
USED WITH:
pipes, find, tail, regular expressions
RELATED CONCEPTS:
sed, awk, find, pipes
ALTERNATIVES:
ripgrep (rg) for faster searches
WHERE IT IS USED:
Reading logs | Searching code | Filtering command output
MINI CONVERSATION:
A: Which file contains the database password setting? | B: Run grep -r "DB_PASSWORD" on the config folder.
COMMON MISTAKE:
✗ grep searches for file names → ✓ grep searches inside files for matching text, and find searches for file names
COMMONLY CONFUSED WITH:
grep vs find: grep looks inside files, find looks for files.
AVOID / DON'T:
Do not paste secrets that grep shows into chats or tickets.
WRONG CODE:
grep app.log "error"
RIGHT CODE:
grep "error" app.log
MEMORY TRICK:
Pattern first, then the file.
REAL LIFE: PROJECT / WORK:
Filtering a customer's log for one request id to find a failure.
REAL LIFE: INTERVIEW / EXAM:
An interviewer may ask: How do you search all files in a folder for a word?
REAL LIFE: DAILY LIFE:
It is like a highlighter that picks out the lines you care about.</t>
        </is>
      </c>
      <c r="C17" s="29" t="inlineStr">
        <is>
          <t>03_Text_tools_Beginner_LNX-016</t>
        </is>
      </c>
    </row>
    <row r="18" ht="409" customHeight="1">
      <c r="A18" s="29" t="inlineStr">
        <is>
          <t>sed
Which stream editor replaces, deletes or prints lines of text as it flows through, without opening an editor?
sed 's/staging/production/g' app.conf
sed -n '5,10p' app.log
sed '/^#/d' settings.conf
sed -i 's/8080/9090/' server.conf</t>
        </is>
      </c>
      <c r="B18" s="29" t="inlineStr">
        <is>
          <t>MEANING (SHORT):
sed applies editing commands, most often substitution, to each line of its input.
CODE:
sed 's/staging/production/g' app.conf
sed -n '5,10p' app.log
sed '/^#/d' settings.conf
sed -i 's/8080/9090/' server.conf
OUTPUT:
The text with every staging replaced by production, only lines five to ten, the file without comment lines, and server.conf changed in place from 8080 to 9090.
EXPLANATION:
The most common command is s/old/new/, with g to replace every match on a line. A command can be limited to a line range or to lines matching a pattern. -n with p prints only selected lines, and d deletes lines. The -i flag edits the file in place, and on macOS it needs an argument such as -i ''. Keep a backup before using -i.
SIMPLE EXPLANATION (HINGLISH):
Use sed to replace text with s/old/new/g, delete lines with d, or print a range with -n and p. Add -i only when you are sure.
REAL-LIFE ANALOGY:
It is like an editor on a conveyor belt that changes each line as it passes.
SYNTAX PATTERN:
sed 's/old/new/g' file
ANATOMY:
s = substitute | g = all matches on the line | -n and p = print selected lines | d = delete | -i = edit in place
EXAMPLE 1:
sed 's/foo/bar/' notes.txt
EXAMPLE 2:
sed '1d' data.csv
EXAMPLE 3:
sed -n '/ERROR/p' app.log
VARIATION:
sed -i.bak 's/a/b/' file   // keep a backup copy
sed 's#/old/path#/new/path#g' file   // use another separator for paths
USED WITH:
grep, awk, pipes, regular expressions
RELATED CONCEPTS:
grep, awk, tr
ALTERNATIVES:
perl or an editor for complex changes
WHERE IT IS USED:
Config edits | Log clean-up | Bulk text changes
MINI CONVERSATION:
A: I need to change a hostname in fifty config files. | B: Use sed -i with a substitution, after testing it without -i.
COMMON MISTAKE:
✗ sed always changes the file you give it → ✓ sed prints the changed text and leaves the file alone unless you use -i
COMMONLY CONFUSED WITH:
sed vs awk: sed edits text by patterns, awk works with fields and calculations.
AVOID / DON'T:
Do not use -i without a backup or version control.
WRONG CODE:
sed 's/old/new' file
RIGHT CODE:
sed 's/old/new/' file
MEMORY TRICK:
The s command swaps old text for new text.
REAL LIFE: PROJECT / WORK:
Replacing a database host across configuration files before a customer go-live.
REAL LIFE: INTERVIEW / EXAM:
An interviewer may ask: How do you replace text in a file from the command line?
REAL LIFE: DAILY LIFE:
It is like an editor on a conveyor belt.</t>
        </is>
      </c>
      <c r="C18" s="29" t="inlineStr">
        <is>
          <t>03_Text_tools_Intermediate_LNX-017</t>
        </is>
      </c>
    </row>
    <row r="19" ht="409" customHeight="1">
      <c r="A19" s="29" t="inlineStr">
        <is>
          <t>awk
Which tool treats each line as fields so that you can print columns, filter by values and add numbers?
awk '{print $1, $3}' access.log
awk -F, '{print $2}' users.csv
awk '$3 &gt; 100' sales.txt
awk '{sum += $3} END {print sum}' sales.txt</t>
        </is>
      </c>
      <c r="B19" s="29" t="inlineStr">
        <is>
          <t>MEANING (SHORT):
awk splits each line into fields and runs small programs on them, such as printing columns or summing values.
CODE:
awk '{print $1, $3}' access.log
awk -F, '{print $2}' users.csv
awk '$3 &gt; 100' sales.txt
awk '{sum += $3} END {print sum}' sales.txt
OUTPUT:
The first and third columns of each line, the second column of a comma-separated file, only rows whose third column is above 100, and the total of the third column.
EXPLANATION:
Fields are called $1, $2 and so on, and $0 is the whole line. A program is made of pattern and action pairs. BEGIN runs before the first line and END runs after the last. NR is the line number and NF is the number of fields. By default fields are separated by whitespace.
SIMPLE EXPLANATION (HINGLISH):
awk treats a line as columns. Print columns with $1 and $2, filter with a condition, and total numbers with a variable and END.
REAL-LIFE ANALOGY:
It is like a spreadsheet for text, with columns named $1, $2 and so on.
SYNTAX PATTERN:
awk 'pattern {action}' file
ANATOMY:
$1 = first field | -F, = comma separator | NR = line number | END = after the last line
EXAMPLE 1:
awk '{print $NF}' file
EXAMPLE 2:
awk -F: '{print $1}' /etc/passwd
EXAMPLE 3:
awk 'NR &gt; 1 {n++} END {print n}' data.csv
VARIATION:
awk '$2 == "ERROR" {c++} END {print c}' log   // count matches
awk 'BEGIN {print "Report"} {print $1}' file   // header line
USED WITH:
grep, sort, pipes, CSV files
RELATED CONCEPTS:
sed, cut, grep
ALTERNATIVES:
Python or pandas for bigger tasks
WHERE IT IS USED:
Quick reports | Log analysis | Column extraction
MINI CONVERSATION:
A: I need the total of the amount column in this text file. | B: Use awk to add up the third field and print it in END.
COMMON MISTAKE:
✗ awk numbers columns from zero → ✓ awk fields start at $1, and $0 means the whole line
COMMONLY CONFUSED WITH:
awk vs cut: cut only extracts fields, awk can also calculate and filter.
AVOID / DON'T:
Do not use awk for real CSV files with quoted commas, use a proper CSV tool.
WRONG CODE:
awk {print $1} file
RIGHT CODE:
awk '{print $1}' file
MEMORY TRICK:
$1 is the first column and $0 is the whole line.
REAL LIFE: PROJECT / WORK:
Summing a column of a text export to check totals with a customer.
REAL LIFE: INTERVIEW / EXAM:
An interviewer may ask: How do you print the second column of a file?
REAL LIFE: DAILY LIFE:
It is like a spreadsheet made of text.</t>
        </is>
      </c>
      <c r="C19" s="29" t="inlineStr">
        <is>
          <t>03_Text_tools_Intermediate_LNX-018</t>
        </is>
      </c>
    </row>
    <row r="20" ht="409" customHeight="1">
      <c r="A20" s="29" t="inlineStr">
        <is>
          <t>cut, sort and uniq
Which three small tools take columns, put lines in order, and count or remove repeated lines?
cut -d, -f1 visits.csv | sort | uniq -c | sort -nr | head -5</t>
        </is>
      </c>
      <c r="B20" s="29" t="inlineStr">
        <is>
          <t>MEANING (SHORT):
cut extracts fields, sort orders lines, and uniq collapses or counts repeated adjacent lines.
CODE:
cut -d, -f1 visits.csv | sort | uniq -c | sort -nr | head -5
OUTPUT:
The five values that occur most often in the first column, each with its count.
EXPLANATION:
cut -d sets the delimiter and -f picks the fields. sort orders lines alphabetically, and -n sorts numerically, -r reverses, and -k picks a sort column. uniq -c prefixes each distinct line with its count, but only joins lines that are next to each other, so the input must be sorted. This pattern is a classic way to find the top values.
SIMPLE EXPLANATION (HINGLISH):
Cut the column, sort it, count the repeats with uniq -c, sort the counts, and take the top few.
REAL-LIFE ANALOGY:
cut slices a column, sort lines everyone up, and uniq counts neighbours.
SYNTAX PATTERN:
cut -d, -f1 file | sort | uniq -c | sort -nr
ANATOMY:
cut -d, -f1 = first comma field | uniq -c = count repeats | sort -nr = largest number first
EXAMPLE 1:
sort -n numbers.txt
EXAMPLE 2:
sort -t, -k2 data.csv
EXAMPLE 3:
sort file | uniq -d
VARIATION:
sort -u file   // sort and remove duplicates
cut -c1-10 file   // first ten characters
USED WITH:
pipes, awk, head, grep
RELATED CONCEPTS:
awk, wc, pipes
ALTERNATIVES:
awk, or pandas for bigger data
WHERE IT IS USED:
Top-N reports | Duplicate checks | Log summaries
MINI CONVERSATION:
A: Which IP address appears most in the log? | B: Cut the column, sort, uniq -c, then sort the counts.
COMMON MISTAKE:
✗ uniq removes all duplicates from any file → ✓ uniq only collapses duplicates that are next to each other, so sort the input first
COMMONLY CONFUSED WITH:
sort -u vs uniq: sort -u sorts and removes duplicates itself, uniq needs sorted input.
AVOID / DON'T:
Do not use uniq without sorting.
WRONG CODE:
cut -f1 -d, data.csv | uniq -c
RIGHT CODE:
cut -f1 -d, data.csv | sort | uniq -c
MEMORY TRICK:
Always sort your data before you uniq.
REAL LIFE: PROJECT / WORK:
Finding the most frequent error messages in a customer's log.
REAL LIFE: INTERVIEW / EXAM:
An interviewer may ask: How do you find the most common value in a column?
REAL LIFE: DAILY LIFE:
It is like lining everyone up and counting those standing together.</t>
        </is>
      </c>
      <c r="C20" s="29" t="inlineStr">
        <is>
          <t>03_Text_tools_Intermediate_LNX-019</t>
        </is>
      </c>
    </row>
    <row r="21" ht="409" customHeight="1">
      <c r="A21" s="29" t="inlineStr">
        <is>
          <t>wc
Which command counts the lines, words and bytes of its input?
wc -l app.log
wc -w essay.txt
ls | wc -l
wc -c data.bin</t>
        </is>
      </c>
      <c r="B21" s="29" t="inlineStr">
        <is>
          <t>MEANING (SHORT):
wc counts lines, words and characters or bytes in files or piped text.
CODE:
wc -l app.log
wc -w essay.txt
ls | wc -l
wc -c data.bin
OUTPUT:
The number of lines in app.log, the number of words, the number of entries in the folder, and the size in bytes.
EXPLANATION:
With no flags wc prints lines, words and bytes. -l counts lines, -w counts words, and -c counts bytes. Counting lines is the most common use, to check how many records a file holds or how many matches a command found.
SIMPLE EXPLANATION (HINGLISH):
Use wc -l to count lines, and pipe into it to count anything a command prints.
REAL-LIFE ANALOGY:
It is like a clicker counter held up to the text.
SYNTAX PATTERN:
wc [-l] [-w] [-c] [file]
ANATOMY:
-l = lines | -w = words | -c = bytes
EXAMPLE 1:
wc -l users.csv
EXAMPLE 2:
grep "error" app.log | wc -l
EXAMPLE 3:
find . -type f | wc -l
VARIATION:
wc -m file   // count characters
wc -l *.csv   // lines of each file and a total
USED WITH:
grep, find, pipes
RELATED CONCEPTS:
grep, find, pipes
ALTERNATIVES:
grep -c for counting matches
WHERE IT IS USED:
Row counts | Sanity checks | Log statistics
MINI CONVERSATION:
A: How many records are in this export? | B: Run wc -l on the file, and subtract one for the header.
COMMON MISTAKE:
✗ wc -l counts the number of words → ✓ wc -l counts lines, and wc -w counts words
COMMONLY CONFUSED WITH:
wc -l vs grep -c: wc -l counts input lines, grep -c counts lines that match.
AVOID / DON'T:
Do not forget the header line when counting records.
WRONG CODE:
wc --lines-only file
RIGHT CODE:
wc -l file
MEMORY TRICK:
The l flag is for lines.
REAL LIFE: PROJECT / WORK:
Checking that an exported file has the expected number of rows.
REAL LIFE: INTERVIEW / EXAM:
An interviewer may ask: How do you count the lines of a file?
REAL LIFE: DAILY LIFE:
It is like a clicker counter.</t>
        </is>
      </c>
      <c r="C21" s="29" t="inlineStr">
        <is>
          <t>03_Text_tools_Beginner_LNX-020</t>
        </is>
      </c>
    </row>
    <row r="22" ht="409" customHeight="1">
      <c r="A22" s="29" t="inlineStr">
        <is>
          <t>tr
Which command translates or deletes single characters in a stream, such as changing case or removing carriage returns?
echo "hello" | tr 'a-z' 'A-Z'
tr -d '\r' &lt; windows.txt &gt; unix.txt
echo "a    b" | tr -s ' '</t>
        </is>
      </c>
      <c r="B22" s="29" t="inlineStr">
        <is>
          <t>MEANING (SHORT):
tr replaces, squeezes or deletes characters read from standard input.
CODE:
echo "hello" | tr 'a-z' 'A-Z'
tr -d '\r' &lt; windows.txt &gt; unix.txt
echo "a    b" | tr -s ' '
OUTPUT:
HELLO, a copy of the file with carriage returns removed, and a string where repeated spaces are squeezed into one.
EXPLANATION:
tr works on characters, not on words or patterns, and it only reads standard input, so you use a pipe or a redirect. -d deletes the characters in the set, and -s squeezes repeated characters into one. Sets can be ranges such as a-z, and special characters such as \n and \r are written with a backslash.
SIMPLE EXPLANATION (HINGLISH):
tr swaps one set of characters for another, or deletes them. It reads only from a pipe or a redirected file.
REAL-LIFE ANALOGY:
It is like a character swapper at a gate that changes each character as it passes.
SYNTAX PATTERN:
tr [options] set1 [set2]
ANATOMY:
set1 = characters to find | set2 = replacements | -d = delete | -s = squeeze repeats
EXAMPLE 1:
tr 'A-Z' 'a-z' &lt; in.txt
EXAMPLE 2:
tr -d '[:digit:]' &lt; data.txt
EXAMPLE 3:
tr ',' '\n' &lt; list.txt
VARIATION:
tr '[:lower:]' '[:upper:]'   // character classes
tr -cd 'a-z0-9'   // keep only letters and digits
USED WITH:
pipes, redirection, sed
RELATED CONCEPTS:
sed, cut, pipes
ALTERNATIVES:
sed for replacing words
WHERE IT IS USED:
Case changes | Line ending fixes | Splitting lists
MINI CONVERSATION:
A: The script fails on a file from Windows. | B: Strip the carriage returns with tr -d '\r'.
COMMON MISTAKE:
✗ tr replaces whole words → ✓ tr works on individual characters only, and sed is the tool for words
COMMONLY CONFUSED WITH:
tr vs sed: tr changes single characters, sed changes patterns and words.
AVOID / DON'T:
Do not pass a file name to tr, since it only reads standard input.
WRONG CODE:
tr 'a-z' 'A-Z' file.txt
RIGHT CODE:
tr 'a-z' 'A-Z' &lt; file.txt
MEMORY TRICK:
tr reads only from a pipe or a redirect.
REAL LIFE: PROJECT / WORK:
Cleaning carriage returns from files that came from a Windows system.
REAL LIFE: INTERVIEW / EXAM:
An interviewer may ask: How do you convert text to upper case on the command line?
REAL LIFE: DAILY LIFE:
It is like a character swapper at a gate.</t>
        </is>
      </c>
      <c r="C22" s="29" t="inlineStr">
        <is>
          <t>03_Text_tools_Intermediate_LNX-021</t>
        </is>
      </c>
    </row>
    <row r="23" ht="409" customHeight="1">
      <c r="A23" s="29" t="inlineStr">
        <is>
          <t>Pipes
Which symbol sends the output of one command straight into the input of the next?
pgrep -c nginx
cat access.log | cut -d' ' -f1 | sort | uniq -c | sort -nr | head</t>
        </is>
      </c>
      <c r="B23" s="29" t="inlineStr">
        <is>
          <t>MEANING (SHORT):
The pipe symbol | connects the standard output of one command to the standard input of the next.
CODE:
pgrep -c nginx
cat access.log | cut -d' ' -f1 | sort | uniq -c | sort -nr | head
OUTPUT:
The number of nginx processes, and the ten most frequent values of the first field of the access log.
EXPLANATION:
Each command in a pipeline runs at the same time, and data flows between them without temporary files. Only standard output is piped, and error messages go to the screen unless redirected. The exit status of a pipeline is normally that of the last command, and set -o pipefail changes that in scripts.
SIMPLE EXPLANATION (HINGLISH):
Use a vertical bar to feed one command's output into the next. Small tools combine into powerful one-liners.
REAL-LIFE ANALOGY:
It is like a hose that connects the output of one machine to the input of the next.
SYNTAX PATTERN:
command1 | command2 | command3
ANATOMY:
| = pipe | each command reads the previous one's output
EXAMPLE 1:
ls -l | less
EXAMPLE 2:
history | grep ssh
EXAMPLE 3:
dmesg | tail -20
VARIATION:
command 2&gt;&amp;1 | grep error   // pipe errors too
set -o pipefail   // fail if any step fails
USED WITH:
grep, sort, wc, redirection
RELATED CONCEPTS:
redirection, xargs, grep
ALTERNATIVES:
Temporary files, which are slower and messier
WHERE IT IS USED:
Everyday shell work | Log analysis | Scripts
MINI CONVERSATION:
A: How do I count nginx processes? | B: Use pgrep -c nginx, or pipe ps into grep [n]ginx and then into wc -l.
COMMON MISTAKE:
✗ A pipe passes both output and error messages → ✓ A pipe passes only standard output, and errors need 2&gt;&amp;1 to be piped
COMMONLY CONFUSED WITH:
Pipe vs redirection: a pipe feeds another command, a redirect writes to or reads from a file.
AVOID / DON'T:
Do not ignore the exit status of a pipeline in scripts.
WRONG CODE:
ps aux &gt; grep nginx
RIGHT CODE:
ps aux | grep nginx
MEMORY TRICK:
A pipe sends output onward to a command.
REAL LIFE: PROJECT / WORK:
Chaining grep, sort and uniq to summarise errors in a log.
REAL LIFE: INTERVIEW / EXAM:
An interviewer may ask: What does the pipe operator do?
REAL LIFE: DAILY LIFE:
It is like a hose joining one machine to the next.</t>
        </is>
      </c>
      <c r="C23" s="29" t="inlineStr">
        <is>
          <t>03_Text_tools_Beginner_LNX-022</t>
        </is>
      </c>
    </row>
    <row r="24" ht="409" customHeight="1">
      <c r="A24" s="29" t="inlineStr">
        <is>
          <t>Redirection
Which operators send command output to a file, append to it, separate errors, or feed a file into a command?
ls &gt; files.txt
echo "run done" &gt;&gt; log.txt
sort &lt; names.txt
command 2&gt; errors.txt
command &gt; all.txt 2&gt;&amp;1
command &gt; /dev/null 2&gt;&amp;1</t>
        </is>
      </c>
      <c r="B24" s="29" t="inlineStr">
        <is>
          <t>MEANING (SHORT):
Operators such as &gt;, &gt;&gt;, &lt; and 2&gt; connect the standard input, output and error streams to files.
CODE:
ls &gt; files.txt
echo "run done" &gt;&gt; log.txt
sort &lt; names.txt
command 2&gt; errors.txt
command &gt; all.txt 2&gt;&amp;1
command &gt; /dev/null 2&gt;&amp;1
OUTPUT:
A file listing, a line appended to a log, sorted input from a file, only errors saved to a file, both output and errors saved together, and everything discarded.
EXPLANATION:
Every program has three streams: standard input (0), standard output (1) and standard error (2). &gt; writes and replaces the file, &gt;&gt; appends, &lt; reads from a file, and 2&gt; redirects errors. 2&gt;&amp;1 sends errors to the same place as output. /dev/null discards anything written to it.
SIMPLE EXPLANATION (HINGLISH):
Use &gt; to save output, &gt;&gt; to add to a file, and 2&gt; to save errors. Remember that &gt; overwrites the file.
REAL-LIFE ANALOGY:
It is like turning the tap's spout to fill a bucket instead of the sink.
SYNTAX PATTERN:
command &gt; file  |  command &gt;&gt; file  |  command &lt; file  |  command 2&gt; file
ANATOMY:
&gt; = overwrite | &gt;&gt; = append | &lt; = input | 2&gt; = errors | 2&gt;&amp;1 = errors to output
EXAMPLE 1:
echo hello &gt; greeting.txt
EXAMPLE 2:
./job.sh &gt;&gt; job.log 2&gt;&amp;1
EXAMPLE 3:
grep error app.log &gt; errors_only.txt
VARIATION:
command &amp;&gt; file   // Bash shortcut for both streams
tee file   // write to a file and to the screen
USED WITH:
pipes, cron jobs, logs, scripts
RELATED CONCEPTS:
pipes, cat, cron
ALTERNATIVES:
tee for writing to a file and the screen at once
WHERE IT IS USED:
Cron jobs | Logs | Saving results
MINI CONVERSATION:
A: My cron job's errors are not saved. | B: Redirect both streams with &gt; job.log 2&gt;&amp;1.
COMMON MISTAKE:
✗ &gt; adds to the end of a file → ✓ &gt; replaces the whole file, and &gt;&gt; appends
COMMONLY CONFUSED WITH:
&gt; vs &gt;&gt;: &gt; overwrites, &gt;&gt; appends.
AVOID / DON'T:
Do not use &gt; on a file you want to keep.
WRONG CODE:
echo "done" &gt; log.txt   # meant to add a line
RIGHT CODE:
echo "done" &gt;&gt; log.txt
MEMORY TRICK:
One arrow overwrites, two arrows append.
REAL LIFE: PROJECT / WORK:
Saving the output and errors of a nightly job to a log file.
REAL LIFE: INTERVIEW / EXAM:
An interviewer may ask: What does 2&gt;&amp;1 mean?
REAL LIFE: DAILY LIFE:
It is like turning a tap's spout to fill a bucket.</t>
        </is>
      </c>
      <c r="C24" s="29" t="inlineStr">
        <is>
          <t>03_Text_tools_Intermediate_LNX-023</t>
        </is>
      </c>
    </row>
    <row r="25" ht="409" customHeight="1">
      <c r="A25" s="29" t="inlineStr">
        <is>
          <t>xargs
Which command turns lines from its input into arguments for another command?
find . -name "*.tmp" | xargs rm
find . -name "*.log" -print0 | xargs -0 gzip
cat hosts.txt | xargs -n 1 ping -c 1
echo "a b c" | xargs -I {} echo item {}</t>
        </is>
      </c>
      <c r="B25" s="29" t="inlineStr">
        <is>
          <t>MEANING (SHORT):
xargs reads items from standard input and runs a command with them as arguments.
CODE:
find . -name "*.tmp" | xargs rm
find . -name "*.log" -print0 | xargs -0 gzip
cat hosts.txt | xargs -n 1 ping -c 1
echo "a b c" | xargs -I {} echo item {}
OUTPUT:
All .tmp files removed, all log files compressed safely, one ping to each host, and the single line item a b c.
EXPLANATION:
By default xargs puts as many items as fit on one command line. -n 1 runs the command once per item, -I {} lets you place each item anywhere in the command, and -P runs several jobs in parallel. File names with spaces break the default behaviour, so pair find -print0 with xargs -0.
SIMPLE EXPLANATION (HINGLISH):
Pipe a list into xargs and it runs your command with that list as arguments. Use -0 for safe file names.
REAL-LIFE ANALOGY:
It is like a loader that takes items off a belt and hands them to a worker.
SYNTAX PATTERN:
command | xargs [options] command
ANATOMY:
-n = items per command | -I {} = placeholder | -0 = null-separated input | -P = parallel jobs
EXAMPLE 1:
ls *.txt | xargs wc -l
EXAMPLE 2:
cat ids.txt | xargs -n 1 curl -s
EXAMPLE 3:
find . -type f -print0 | xargs -0 grep -l "TODO"
VARIATION:
xargs -P 4 -n 1 command   // four at a time
xargs -t command   // print each command before running it
USED WITH:
find, grep, pipes
RELATED CONCEPTS:
find, pipes, grep
ALTERNATIVES:
find -exec, or a for loop
WHERE IT IS USED:
Bulk actions | Parallel jobs | Clean-up scripts
MINI CONVERSATION:
A: rm says the argument list is too long. | B: Use find with xargs, which splits the list into smaller batches.
COMMON MISTAKE:
✗ xargs and a pipe do the same job → ✓ A pipe feeds standard input, while xargs turns input lines into arguments
COMMONLY CONFUSED WITH:
xargs vs find -exec: both run a command per match, xargs can batch and run in parallel.
AVOID / DON'T:
Do not use xargs rm on names with spaces without -0.
WRONG CODE:
find . -name "*.log" | xargs gzip
RIGHT CODE:
find . -name "*.log" -print0 | xargs -0 gzip
MEMORY TRICK:
xargs turns lines into arguments.
REAL LIFE: PROJECT / WORK:
Running a health check against a list of customer hosts in parallel.
REAL LIFE: INTERVIEW / EXAM:
An interviewer may ask: Why is xargs useful?
REAL LIFE: DAILY LIFE:
It is like a loader that hands items to a worker.</t>
        </is>
      </c>
      <c r="C25" s="29" t="inlineStr">
        <is>
          <t>03_Text_tools_Advanced_LNX-024</t>
        </is>
      </c>
    </row>
    <row r="26" ht="409" customHeight="1">
      <c r="A26" s="29" t="inlineStr">
        <is>
          <t>Users and groups (whoami, id, groups)
Which commands show who you are on the system and which groups you belong to?
whoami
id
groups
cat /etc/group
sudo usermod -aG docker asha</t>
        </is>
      </c>
      <c r="B26" s="29" t="inlineStr">
        <is>
          <t>MEANING (SHORT):
whoami prints the current user, id shows user and group numbers, and groups lists group names.
CODE:
whoami
id
groups
cat /etc/group
sudo usermod -aG docker asha
OUTPUT:
The user name, the user id and group ids, the list of group names, all groups on the system, and the user asha added to the docker group.
EXPLANATION:
Every user has a numeric id (UID) and a primary group, and may belong to other groups. Accounts are listed in /etc/passwd and groups in /etc/group. Adding a user to a group, such as docker, takes effect after the user logs in again. The root user has UID 0 and unrestricted power.
SIMPLE EXPLANATION (HINGLISH):
Every file and process has an owner and a group. Use id to see yours, and add users to groups to share access.
REAL-LIFE ANALOGY:
Users are people with badges, and groups are teams that share permissions.
SYNTAX PATTERN:
whoami  |  id [user]  |  groups [user]
ANATOMY:
UID = user number | GID = group number | -aG = append to groups
EXAMPLE 1:
id asha
EXAMPLE 2:
groups
EXAMPLE 3:
getent group sudo
VARIATION:
sudo adduser bob   // create a user on Debian families
sudo useradd -m bob   // create a user with a home folder
USED WITH:
permissions, sudo, chown
RELATED CONCEPTS:
permissions, sudo, chown
ALTERNATIVES:
A directory service such as LDAP for many machines
WHERE IT IS USED:
Access control | Customer servers | Shared folders
MINI CONVERSATION:
A: I cannot read the log folder. | B: Check id, since you may need to be in the adm group.
COMMON MISTAKE:
✗ Group changes take effect immediately in my current session → ✓ New group membership usually needs a new login session
COMMONLY CONFUSED WITH:
whoami vs id: whoami prints just the name, id shows numbers and groups.
AVOID / DON'T:
Do not use usermod -G without -a, since it replaces all your groups. Membership of the docker group is effectively root access, so grant it carefully.
WRONG CODE:
sudo usermod -G docker asha
RIGHT CODE:
sudo usermod -aG docker asha
MEMORY TRICK:
Use -a with -G to append.
REAL LIFE: PROJECT / WORK:
Adding a deployment user to the docker group on a customer host.
REAL LIFE: INTERVIEW / EXAM:
An interviewer may ask: How do you add a user to a group?
REAL LIFE: DAILY LIFE:
It is like a badge with team stickers.</t>
        </is>
      </c>
      <c r="C26" s="29" t="inlineStr">
        <is>
          <t>04_Users_and_permissions_Beginner_LNX-025</t>
        </is>
      </c>
    </row>
    <row r="27" ht="409" customHeight="1">
      <c r="A27" s="29" t="inlineStr">
        <is>
          <t>Read, write and execute permissions
How do the nine characters in a listing such as rwxr-xr-- say who may read, change or run a file?</t>
        </is>
      </c>
      <c r="B27" s="29" t="inlineStr">
        <is>
          <t>DEFINITION (SIMPLE):
Each file has read (r), write (w) and execute (x) permissions for its owner, its group and others, shown as nine characters after the file type in ls -l.
HOW / WHY IT WORKS:
In -rwxr-xr--, the first dash means a regular file, then come the owner, group and others sets. r is worth 4, w is 2 and x is 1, so rwx is 7, r-x is 5 and r-- is 4, giving 754. For a directory, read lets you list names, write lets you create or delete entries, and execute lets you enter it. Without execute on a script, you cannot run it directly.
SIMPLE EXPLANATION (HINGLISH):
Three groups of three letters: owner, group, others. Each can have r for read, w for write, x for run. Add up 4, 2 and 1 to get the number form.
REAL-LIFE ANALOGY:
It is like three locks on every file, for the owner, the team and the public.
FORMULA / RULE:
r = 4, w = 2, x = 1. rwxr-xr-- = 754
EXAMPLE 1:
-rw-r--r-- (644) is a normal text file everyone can read.
EXAMPLE 2:
-rwxr-xr-x (755) is a script everyone can run.
EXAMPLE 3:
drwx------ (700) is a private folder.
RELATED CONCEPTS:
chmod, chown, umask, sudo
FAMILY / GROUP:
permission, owner, group, others, execute
WHERE IT IS USED:
Every file | Security checks | Deployment problems
MINI CONVERSATION:
A: I get permission denied when I run the script. | B: It probably lacks the execute bit, so use chmod +x.
COMMON MISTAKE:
✗ The execute permission on a folder lets you run it → ✓ On a folder, execute means you may enter it and reach the files inside
DON'T CONFUSE WITH:
File vs folder execute: on a file it means run, on a folder it means enter.
AVOID / DON'T:
Do not give 777 to fix a permission error.
MEMORY TRICK:
Four, two, one, for read, write and execute.
REAL LIFE: PROJECT / WORK:
Reading ls -l output to find why a service cannot write to its log folder.
REAL LIFE: INTERVIEW / EXAM:
An interviewer may ask: What does the permission 755 mean?
REAL LIFE: DAILY LIFE:
It is like three locks on every file.</t>
        </is>
      </c>
      <c r="C27" s="29" t="inlineStr">
        <is>
          <t>04_Users_and_permissions_Beginner_LNX-026</t>
        </is>
      </c>
    </row>
    <row r="28" ht="409" customHeight="1">
      <c r="A28" s="29" t="inlineStr">
        <is>
          <t>chmod
Which command changes who may read, write or run a file, using letters or numbers?
chmod +x deploy.sh
chmod 644 notes.txt
chmod 755 script.sh
chmod u=rw,g=r,o= secret.txt
chmod -R 750 /srv/app</t>
        </is>
      </c>
      <c r="B28" s="29" t="inlineStr">
        <is>
          <t>MEANING (SHORT):
chmod changes the permission bits of files and folders.
CODE:
chmod +x deploy.sh
chmod 644 notes.txt
chmod 755 script.sh
chmod u=rw,g=r,o= secret.txt
chmod -R 750 /srv/app
OUTPUT:
deploy.sh becomes executable, notes.txt becomes read and write for the owner and read for others, script.sh gets 755, secret.txt is owner read and write plus group read, and the app folder tree gets 750.
EXPLANATION:
Symbolic mode uses u for user, g for group, o for others and a for all, with + to add, - to remove and = to set. Numeric mode sets all three sets at once. -R applies the change to everything inside a folder. Only the owner or root can change permissions.
SIMPLE EXPLANATION (HINGLISH):
Use a number such as 644 or 755 to set everything at once, or letters like u+x to change just one thing.
REAL-LIFE ANALOGY:
It is like a locksmith who changes the locks on a file.
SYNTAX PATTERN:
chmod mode file
ANATOMY:
u g o a = who | + - = = add, remove, set | r w x = what | 755 = numeric mode
EXAMPLE 1:
chmod u+x run.sh
EXAMPLE 2:
chmod go-rwx private.key
EXAMPLE 3:
chmod 600 ~/.ssh/id_ed25519
VARIATION:
chmod -R u+rwX folder   // capital X adds execute only to folders and runnable files
chmod --reference=a b   // copy permissions from another file
USED WITH:
ls -l, chown, umask
RELATED CONCEPTS:
permissions, chown, umask
ALTERNATIVES:
ACLs for finer control
WHERE IT IS USED:
Scripts | SSH keys | Web and app folders
MINI CONVERSATION:
A: How do I make this script executable? | B: Run chmod +x on it.
COMMON MISTAKE:
✗ chmod 777 is a harmless fix for permission errors → ✓ 777 lets anyone change the file, which is a security risk, so find the real cause
COMMONLY CONFUSED WITH:
chmod vs chown: chmod changes what may be done, chown changes who owns the file.
AVOID / DON'T:
Do not run chmod -R 777 on a folder.
WRONG CODE:
chmod 777 /etc/ssh/ssh_config
RIGHT CODE:
chmod 644 /etc/ssh/ssh_config
MEMORY TRICK:
chmod changes the mode, not the owner.
REAL LIFE: PROJECT / WORK:
Making deployment scripts runnable and private keys owner-only.
REAL LIFE: INTERVIEW / EXAM:
An interviewer may ask: What does chmod 600 mean?
REAL LIFE: DAILY LIFE:
It is like a locksmith changing the locks.</t>
        </is>
      </c>
      <c r="C28" s="29" t="inlineStr">
        <is>
          <t>04_Users_and_permissions_Beginner_LNX-027</t>
        </is>
      </c>
    </row>
    <row r="29" ht="409" customHeight="1">
      <c r="A29" s="29" t="inlineStr">
        <is>
          <t>chown
Which command changes the owner and group of a file or a whole folder tree?
sudo chown asha notes.txt
sudo chown asha:developers project/
sudo chown -R www-data:www-data /var/www/site
sudo chgrp staff report.txt</t>
        </is>
      </c>
      <c r="B29" s="29" t="inlineStr">
        <is>
          <t>MEANING (SHORT):
chown changes the owner and optionally the group of files and directories.
CODE:
sudo chown asha notes.txt
sudo chown asha:developers project/
sudo chown -R www-data:www-data /var/www/site
sudo chgrp staff report.txt
OUTPUT:
notes.txt is owned by asha, project is owned by user asha and group developers, the whole site folder is owned by www-data, and report.txt gets the group staff.
EXPLANATION:
The format is owner:group, and either part can be left out. Only root can give files away to another user, so chown usually needs sudo. -R changes everything below a folder. chgrp changes only the group. Wrong ownership is one of the most common reasons for permission denied errors from services.
SIMPLE EXPLANATION (HINGLISH):
Use chown user:group path to set who owns something, and -R for a whole tree. You usually need sudo.
REAL-LIFE ANALOGY:
It is like handing the deed of a file to a new owner.
SYNTAX PATTERN:
chown [-R] owner[:group] path
ANATOMY:
owner:group = new owner and group | -R = recursive | chgrp = group only
EXAMPLE 1:
sudo chown -R app:app /opt/app
EXAMPLE 2:
sudo chown :staff shared.txt
EXAMPLE 3:
sudo chown www-data upload/
VARIATION:
chown --reference=a b   // copy ownership from another file
chown -h link   // change a symbolic link itself
USED WITH:
chmod, ls -l, services, sudo
RELATED CONCEPTS:
chmod, users and groups, services
ALTERNATIVES:
Running the service as the file owner
WHERE IT IS USED:
Web folders | Application data | Deployments
MINI CONVERSATION:
A: The app cannot write to its upload folder. | B: Check the owner, and use chown to give it to the app user.
COMMON MISTAKE:
✗ Any user can give their files to someone else → ✓ Only root can change the owner of a file, which is why chown usually needs sudo
COMMONLY CONFUSED WITH:
chown vs chmod: chown changes the owner, chmod changes the permissions.
AVOID / DON'T:
Do not run chown -R on a path stored in a variable that might be empty.
WRONG CODE:
chown -R app /
RIGHT CODE:
chown -R app:app /opt/app
MEMORY TRICK:
chown changes who owns it.
REAL LIFE: PROJECT / WORK:
Giving the web server user ownership of an upload folder.
REAL LIFE: INTERVIEW / EXAM:
An interviewer may ask: A service cannot write to a folder. What do you check?
REAL LIFE: DAILY LIFE:
It is like handing the deed of a property to a new owner.</t>
        </is>
      </c>
      <c r="C29" s="29" t="inlineStr">
        <is>
          <t>04_Users_and_permissions_Intermediate_LNX-028</t>
        </is>
      </c>
    </row>
    <row r="30" ht="409" customHeight="1">
      <c r="A30" s="29" t="inlineStr">
        <is>
          <t>sudo
Which command runs a single command with administrator rights, after checking that you are allowed to?
sudo apt update
sudo systemctl restart nginx
sudo -u postgres psql
sudo -l
sudo visudo</t>
        </is>
      </c>
      <c r="B30" s="29" t="inlineStr">
        <is>
          <t>MEANING (SHORT):
sudo runs a command as another user, by default root, if the sudoers rules allow it.
CODE:
sudo apt update
sudo systemctl restart nginx
sudo -u postgres psql
sudo -l
sudo visudo
OUTPUT:
The package list is updated as root, the nginx service restarts, a database shell opens as the postgres user, the list of commands you may run is shown, and the sudoers file opens safely for editing.
EXPLANATION:
sudo reads rules from /etc/sudoers, which should only be edited with visudo because it checks the syntax. -u runs the command as another user. It asks for your password, not root's, and logs what you ran. A wrong sudoers file can lock everyone out, which is why visudo exists.
SIMPLE EXPLANATION (HINGLISH):
Put sudo before a command that needs admin rights. It asks for your own password and leaves a record in the logs.
REAL-LIFE ANALOGY:
It is like a temporary pass to the manager's office, used for one task.
SYNTAX PATTERN:
sudo [-u user] command
ANATOMY:
sudo = run with elevated rights | -u = run as another user | -l = list allowed commands
EXAMPLE 1:
sudo reboot
EXAMPLE 2:
sudo tail /var/log/auth.log
EXAMPLE 3:
sudo -u www-data touch /var/www/test
VARIATION:
sudo -i   // open a root shell, use with care
sudo !!   // repeat the last command with sudo
USED WITH:
systemctl, apt, visudo
RELATED CONCEPTS:
users and groups, chown, systemd
ALTERNATIVES:
su, or running as root directly, which is less safe
WHERE IT IS USED:
Installing software | Restarting services | Reading protected files
MINI CONVERSATION:
A: Permission denied when restarting the service. | B: Run it with sudo.
COMMON MISTAKE:
✗ sudo asks for the root password → ✓ sudo asks for your own password and checks the sudoers rules
COMMONLY CONFUSED WITH:
sudo vs su: sudo runs one command with your password, su switches to another user with that user's password.
AVOID / DON'T:
Do not edit /etc/sudoers with a normal editor.
WRONG CODE:
sudo vim /etc/sudoers
RIGHT CODE:
sudo visudo
MEMORY TRICK:
One command at a time, with sudo.
REAL LIFE: PROJECT / WORK:
Restarting a customer's service with sudo without ever logging in as root.
REAL LIFE: INTERVIEW / EXAM:
An interviewer may ask: What is the difference between sudo and su?
REAL LIFE: DAILY LIFE:
It is like a temporary pass to the manager's office.</t>
        </is>
      </c>
      <c r="C30" s="29" t="inlineStr">
        <is>
          <t>04_Users_and_permissions_Beginner_LNX-029</t>
        </is>
      </c>
    </row>
    <row r="31" ht="409" customHeight="1">
      <c r="A31" s="29" t="inlineStr">
        <is>
          <t>umask
Which setting decides the default permissions of newly created files and folders by removing bits from a base mode?
umask
umask 027
touch a.txt &amp;&amp; mkdir d
ls -ld a.txt d</t>
        </is>
      </c>
      <c r="B31" s="29" t="inlineStr">
        <is>
          <t>MEANING (SHORT):
umask is a mask of permission bits that are removed from the default mode of new files and folders.
CODE:
umask
umask 027
touch a.txt &amp;&amp; mkdir d
ls -ld a.txt d
OUTPUT:
The current mask such as 0022, then after setting 027 a new file is created with 640 and a new directory with 750.
EXPLANATION:
New files start from 666 and new directories from 777, then the mask bits are removed. With umask 022, files become 644 and folders 755. With 027, files become 640 and folders 750. The mask applies only to the current shell and its children, unless set in a startup file. New files never get execute by default.
SIMPLE EXPLANATION (HINGLISH):
Take the starting permissions and remove the mask bits. Umask 022 gives files 644 and folders 755.
REAL-LIFE ANALOGY:
It is like a stencil of permissions that are always blocked.
SYNTAX PATTERN:
umask [mask]
ANATOMY:
files start at 666 | folders start at 777 | the mask bits are removed
EXAMPLE 1:
umask 022
EXAMPLE 2:
umask 077
EXAMPLE 3:
umask 002
VARIATION:
umask -S   // show the mask in symbolic form
set umask in ~/.bashrc to make it permanent
USED WITH:
chmod, touch, mkdir
RELATED CONCEPTS:
permissions, chmod, shell startup files
ALTERNATIVES:
Setting permissions explicitly with chmod
WHERE IT IS USED:
Shared servers | Security hardening | Service accounts
MINI CONVERSATION:
A: New files are readable by everyone. | B: Set a stricter umask such as 027 or 077.
COMMON MISTAKE:
✗ umask adds permissions to new files → ✓ umask removes permission bits from the default mode
COMMONLY CONFUSED WITH:
umask vs chmod: umask sets defaults for future files, chmod changes existing files.
AVOID / DON'T:
Do not rely on umask alone for secrets, set the permissions explicitly.
WRONG CODE:
umask 755
RIGHT CODE:
umask 022
MEMORY TRICK:
The mask removes, it never adds.
REAL LIFE: PROJECT / WORK:
Setting umask 077 for a service account that creates private files.
REAL LIFE: INTERVIEW / EXAM:
An interviewer may ask: What does a umask of 022 mean?
REAL LIFE: DAILY LIFE:
It is like a stencil of blocked permissions.</t>
        </is>
      </c>
      <c r="C31" s="29" t="inlineStr">
        <is>
          <t>04_Users_and_permissions_Intermediate_LNX-030</t>
        </is>
      </c>
    </row>
    <row r="32" ht="409" customHeight="1">
      <c r="A32" s="29" t="inlineStr">
        <is>
          <t>SSH key file permissions
Why does SSH refuse a private key that other users can read, and what permissions should the key and the .ssh folder have?
chmod 700 ~/.ssh
chmod 600 ~/.ssh/id_ed25519
chmod 644 ~/.ssh/id_ed25519.pub
chmod 600 ~/.ssh/authorized_keys</t>
        </is>
      </c>
      <c r="B32" s="29" t="inlineStr">
        <is>
          <t>MEANING (SHORT):
SSH requires private keys to be readable only by their owner, and the .ssh folder to be private as well.
CODE:
chmod 700 ~/.ssh
chmod 600 ~/.ssh/id_ed25519
chmod 644 ~/.ssh/id_ed25519.pub
chmod 600 ~/.ssh/authorized_keys
OUTPUT:
The folder is private to the owner, the private key is read and write for the owner only, the public key is readable, and authorized_keys is owner-only.
EXPLANATION:
SSH prints a warning that permissions are too open and ignores the key when group or others can read it. The .ssh folder should be 700, private keys 600 and the authorized_keys file 600. Public keys can be 644 since they are meant to be shared. The same rules apply on the server side for the account you log in to.
SIMPLE EXPLANATION (HINGLISH):
Keep the .ssh folder at 700 and private keys at 600. SSH will not use a key that other users can read.
REAL-LIFE ANALOGY:
It is like a house key that must not be left under the doormat.
SYNTAX PATTERN:
chmod 700 ~/.ssh  |  chmod 600 private_key
ANATOMY:
700 = owner only, with access to the folder | 600 = owner read and write | 644 = public key
EXAMPLE 1:
chmod 600 ~/.ssh/id_rsa
EXAMPLE 2:
ssh -i key.pem user@host
EXAMPLE 3:
chmod 400 key.pem
VARIATION:
chmod 400 key.pem   // read only for the owner, common for downloaded keys
ls -l ~/.ssh   // check all modes
USED WITH:
ssh, scp, authorized_keys, chmod
RELATED CONCEPTS:
chmod, ssh keys, permissions
ALTERNATIVES:
ssh-agent to hold keys in memory
WHERE IT IS USED:
Logging into servers | Cloud virtual machines | Git over SSH
MINI CONVERSATION:
A: SSH says my key has permissions that are too open. | B: Run chmod 600 on the private key file.
COMMON MISTAKE:
✗ The public key must also be 600 → ✓ The public key may be readable, and only the private key must be private
COMMONLY CONFUSED WITH:
Private key vs public key permissions: the private key needs 600, the public key can be 644.
AVOID / DON'T:
Do not copy a private key to a shared folder.
WRONG CODE:
chmod 777 ~/.ssh/id_ed25519
RIGHT CODE:
chmod 600 ~/.ssh/id_ed25519
MEMORY TRICK:
Six hundred for the private key.
REAL LIFE: PROJECT / WORK:
Fixing a downloaded cloud key so it can be used to log in.
REAL LIFE: INTERVIEW / EXAM:
An interviewer may ask: Why does SSH reject a key with open permissions?
REAL LIFE: DAILY LIFE:
It is like a house key that must not be left under the doormat.</t>
        </is>
      </c>
      <c r="C32" s="29" t="inlineStr">
        <is>
          <t>04_Users_and_permissions_Intermediate_LNX-031</t>
        </is>
      </c>
    </row>
    <row r="33" ht="409" customHeight="1">
      <c r="A33" s="29" t="inlineStr">
        <is>
          <t>ps, top and htop
Which commands show what is running on the machine and how much CPU and memory each program uses?
ps aux
ps aux | grep nginx
top
htop
pgrep -a nginx</t>
        </is>
      </c>
      <c r="B33" s="29" t="inlineStr">
        <is>
          <t>MEANING (SHORT):
ps lists processes at one moment, and top and htop show them live with CPU and memory use.
CODE:
ps aux
ps aux | grep nginx
top
htop
pgrep -a nginx
OUTPUT:
A list of all processes with user, id, CPU and memory, only nginx lines, a live updating view, a friendlier live view, and the process ids and command lines of nginx.
EXPLANATION:
Each process has a process id (PID). ps aux shows every process of every user in a wide table. top refreshes every few seconds and sorts by CPU by default. htop is a more readable alternative, which may need installing. pgrep finds process ids by name without the extra grep line that ps | grep adds.
SIMPLE EXPLANATION (HINGLISH):
Use ps to take a snapshot and top to watch live. Look at the PID, CPU and memory columns to find the heavy program.
REAL-LIFE ANALOGY:
ps is a photograph of the processes, and top is a live security camera.
SYNTAX PATTERN:
ps aux  |  top  |  pgrep name
ANATOMY:
PID = process id | %CPU = processor use | %MEM = memory use | aux = all users, with details
EXAMPLE 1:
ps -ef
EXAMPLE 2:
top -o %MEM
EXAMPLE 3:
pgrep -u asha python
VARIATION:
ps -eo pid,ppid,cmd --sort=-%mem | head   // top memory users
pstree -p   // the process tree
USED WITH:
grep, kill, systemctl
RELATED CONCEPTS:
kill and signals, systemctl, free
ALTERNATIVES:
A monitoring tool such as glances
WHERE IT IS USED:
Slow machines | Finding stuck programs | Checking if a service is running
MINI CONVERSATION:
A: The server is slow. | B: Run top and see which process uses the most CPU.
COMMON MISTAKE:
✗ ps shows live changing values → ✓ ps shows a snapshot, and top or htop show live values
COMMONLY CONFUSED WITH:
ps vs top: ps prints once, top keeps updating.
AVOID / DON'T:
Do not kill a process before you know what it is.
WRONG CODE:
ps -aux | grep nginx | grep -v nginx
RIGHT CODE:
ps aux | grep [n]ginx
MEMORY TRICK:
ps is a snapshot, top is live.
REAL LIFE: PROJECT / WORK:
Finding a runaway worker process that used all the memory on a customer server.
REAL LIFE: INTERVIEW / EXAM:
An interviewer may ask: How do you find the process using the most memory?
REAL LIFE: DAILY LIFE:
It is like a photograph versus a live camera.</t>
        </is>
      </c>
      <c r="C33" s="29" t="inlineStr">
        <is>
          <t>05_Processes_and_system_Beginner_LNX-032</t>
        </is>
      </c>
    </row>
    <row r="34" ht="409" customHeight="1">
      <c r="A34" s="29" t="inlineStr">
        <is>
          <t>kill and signals
Which command sends a signal to a process, asking it to stop politely or forcing it to end?
kill 1234
kill -15 1234
kill -9 1234
kill -HUP 1234
pkill -f myscript.py</t>
        </is>
      </c>
      <c r="B34" s="29" t="inlineStr">
        <is>
          <t>MEANING (SHORT):
kill sends a signal to a process id, where TERM asks nicely, KILL forces, and HUP often means reload.
CODE:
kill 1234
kill -15 1234
kill -9 1234
kill -HUP 1234
pkill -f myscript.py
OUTPUT:
The process is asked to terminate, the same with signal 15 explicitly, the process is forced to stop, a service rereads its configuration, and processes matching myscript.py are ended.
EXPLANATION:
kill without a number sends SIGTERM (15), which lets the program clean up. SIGKILL (9) cannot be caught, so the program cannot clean up and may leave temp files or data in a bad state. SIGHUP (1) is often used to ask daemons to reload configuration. Ctrl and C sends SIGINT (2) to the foreground program. pkill matches by name.
SIMPLE EXPLANATION (HINGLISH):
Start with a normal kill so the program can close properly. Use kill -9 only when it refuses to stop.
REAL-LIFE ANALOGY:
It is like a note slipped under a door, from a polite request to a forced eviction.
SYNTAX PATTERN:
kill [-signal] pid  |  pkill pattern
ANATOMY:
-15 or -TERM = ask to stop | -9 or -KILL = force | -HUP = reload | pid = process id
EXAMPLE 1:
kill 4321
EXAMPLE 2:
kill -9 4321
EXAMPLE 3:
pkill nginx
VARIATION:
killall name   // all processes with an exact name
kill -l   // list all signals
USED WITH:
ps, pgrep, systemctl
RELATED CONCEPTS:
ps and top, background jobs, systemctl
ALTERNATIVES:
systemctl stop for services
WHERE IT IS USED:
Stuck programs | Reloading services | Clean-up
MINI CONVERSATION:
A: The script is hung and ignores Ctrl and C. | B: Find its PID with ps and try kill, and kill -9 if it still does not stop.
COMMON MISTAKE:
✗ kill -9 is the normal way to stop a program → ✓ kill -9 is a last resort, since the program cannot clean up
COMMONLY CONFUSED WITH:
SIGTERM vs SIGKILL: TERM can be handled by the program, KILL cannot.
AVOID / DON'T:
Do not use kill -9 on databases unless you must.
WRONG CODE:
kill -9 nginx
RIGHT CODE:
pkill nginx
MEMORY TRICK:
Ask nicely first, force last.
REAL LIFE: PROJECT / WORK:
Reloading a service's configuration with HUP instead of restarting it.
REAL LIFE: INTERVIEW / EXAM:
An interviewer may ask: What is the difference between kill and kill -9?
REAL LIFE: DAILY LIFE:
It is like a polite request versus a forced eviction.</t>
        </is>
      </c>
      <c r="C34" s="29" t="inlineStr">
        <is>
          <t>05_Processes_and_system_Intermediate_LNX-033</t>
        </is>
      </c>
    </row>
    <row r="35" ht="409" customHeight="1">
      <c r="A35" s="29" t="inlineStr">
        <is>
          <t>Background jobs and nohup
How do you run a long command in the background and keep it running after you log out?
./long_task.sh &amp;
jobs
fg %1
nohup ./long_task.sh &gt; out.log 2&gt;&amp;1 &amp;
disown</t>
        </is>
      </c>
      <c r="B35" s="29" t="inlineStr">
        <is>
          <t>MEANING (SHORT):
A trailing &amp; runs a command in the background, and nohup keeps it running after the terminal closes.
CODE:
./long_task.sh &amp;
jobs
fg %1
nohup ./long_task.sh &gt; out.log 2&gt;&amp;1 &amp;
disown
OUTPUT:
The script starts in the background, the jobs list is shown, job 1 returns to the foreground, a script continues after logout and writes to out.log, and a job is detached from the shell.
EXPLANATION:
The shell tracks jobs started from it. Ctrl and Z suspends the foreground job, bg continues it in the background and fg brings it back. When the terminal closes, jobs normally receive a hangup signal and stop. nohup ignores that signal and writes output to nohup.out unless redirected. For real services, use systemd or a terminal multiplexer.
SIMPLE EXPLANATION (HINGLISH):
Add an ampersand to run something in the background. Wrap it in nohup if it must survive logout, and redirect the output.
REAL-LIFE ANALOGY:
The ampersand sends a task to the back room, and nohup keeps it working after you leave.
SYNTAX PATTERN:
command &amp;  |  nohup command &gt; out.log 2&gt;&amp;1 &amp;
ANATOMY:
&amp; = run in background | jobs = list jobs | fg and bg = move jobs | nohup = ignore hangup
EXAMPLE 1:
sleep 300 &amp;
EXAMPLE 2:
nohup python train.py &gt; train.log 2&gt;&amp;1 &amp;
EXAMPLE 3:
fg %2
VARIATION:
Ctrl and Z then bg   // suspend and continue in the background
disown -h %1   // keep a running job after logout
USED WITH:
tmux, screen, redirection, systemd
RELATED CONCEPTS:
tmux, systemctl, redirection
ALTERNATIVES:
tmux, screen, or a systemd service
WHERE IT IS USED:
Long jobs | Remote sessions | Downloads
MINI CONVERSATION:
A: My job died when my SSH connection dropped. | B: Run it with nohup or inside tmux next time.
COMMON MISTAKE:
✗ A background job with &amp; survives when the terminal closes → ✓ Without nohup or a multiplexer, a background job normally ends when the terminal closes
COMMONLY CONFUSED WITH:
&amp; vs nohup: &amp; backgrounds a job, nohup protects it from hangup.
AVOID / DON'T:
Do not forget to redirect the output of a nohup job.
WRONG CODE:
nohup ./long_task.sh
RIGHT CODE:
nohup ./long_task.sh &gt; out.log 2&gt;&amp;1 &amp;
MEMORY TRICK:
The ampersand backgrounds, and nohup survives logout.
REAL LIFE: PROJECT / WORK:
Starting a data export on a remote server and logging out.
REAL LIFE: INTERVIEW / EXAM:
An interviewer may ask: How do you keep a command running after logging out?
REAL LIFE: DAILY LIFE:
It is like sending a task to the back room.</t>
        </is>
      </c>
      <c r="C35" s="29" t="inlineStr">
        <is>
          <t>05_Processes_and_system_Intermediate_LNX-034</t>
        </is>
      </c>
    </row>
    <row r="36" ht="409" customHeight="1">
      <c r="A36" s="29" t="inlineStr">
        <is>
          <t>systemd and systemctl
Which tool starts, stops and enables background services on most modern Linux systems?
systemctl status nginx
sudo systemctl restart nginx
sudo systemctl enable nginx
systemctl list-units --type=service --state=failed
sudo systemctl daemon-reload</t>
        </is>
      </c>
      <c r="B36" s="29" t="inlineStr">
        <is>
          <t>MEANING (SHORT):
systemctl controls services managed by systemd, such as starting, stopping, enabling at boot and checking status.
CODE:
systemctl status nginx
sudo systemctl restart nginx
sudo systemctl enable nginx
systemctl list-units --type=service --state=failed
sudo systemctl daemon-reload
OUTPUT:
The state and last logs of nginx, nginx restarted, nginx set to start at boot, a list of failed services, and unit files reread after a change.
EXPLANATION:
A service is defined by a unit file, often in /etc/systemd/system or /lib/systemd/system. start and stop act now, while enable and disable decide behaviour at boot. After editing a unit file, run daemon-reload. A unit file has sections such as Unit, Service and Install, with directives like ExecStart and Restart.
SIMPLE EXPLANATION (HINGLISH):
Use systemctl status to check a service, restart to apply changes, and enable so it starts at boot.
REAL-LIFE ANALOGY:
It is like a building manager who starts services in the morning and restarts any that fall over.
SYNTAX PATTERN:
systemctl action service
ANATOMY:
start stop restart reload = act now | enable disable = boot behaviour | status = state | daemon-reload = reread unit files
EXAMPLE 1:
sudo systemctl start docker
EXAMPLE 2:
systemctl is-active nginx
EXAMPLE 3:
sudo systemctl disable apache2
VARIATION:
systemctl cat nginx   // show the unit file
sudo systemctl edit nginx   // override settings safely
USED WITH:
journalctl, sudo, unit files
RELATED CONCEPTS:
journalctl, cron, background jobs
ALTERNATIVES:
Older init scripts or containers' own supervisors
WHERE IT IS USED:
Web servers | Databases | Custom services
MINI CONVERSATION:
A: I changed the config but nothing happened. | B: Reload or restart the service with systemctl.
COMMON MISTAKE:
✗ systemctl start also makes the service start at every boot → ✓ start runs it now, and enable makes it start at boot
COMMONLY CONFUSED WITH:
start vs enable: start acts now, enable acts at boot.
AVOID / DON'T:
Do not edit a unit file without running daemon-reload.
WRONG CODE:
sudo systemctl enable nginx   # expecting it to start now
RIGHT CODE:
sudo systemctl enable --now nginx
MEMORY TRICK:
Start is now, enable is at boot.
REAL LIFE: PROJECT / WORK:
Creating a unit file so a customer's custom service restarts after a crash.
REAL LIFE: INTERVIEW / EXAM:
An interviewer may ask: What is the difference between start and enable?
REAL LIFE: DAILY LIFE:
It is like a building manager who restarts what falls over.</t>
        </is>
      </c>
      <c r="C36" s="29" t="inlineStr">
        <is>
          <t>05_Processes_and_system_Intermediate_LNX-035</t>
        </is>
      </c>
    </row>
    <row r="37" ht="409" customHeight="1">
      <c r="A37" s="29" t="inlineStr">
        <is>
          <t>journalctl and system logs
Which command reads the logs that systemd collects, filtered by service, time or priority?
journalctl -u nginx
journalctl -u nginx -f
journalctl --since "1 hour ago"
journalctl -p err -b
journalctl --disk-usage</t>
        </is>
      </c>
      <c r="B37" s="29" t="inlineStr">
        <is>
          <t>MEANING (SHORT):
journalctl shows entries of the systemd journal, with filters for unit, time and priority.
CODE:
journalctl -u nginx
journalctl -u nginx -f
journalctl --since "1 hour ago"
journalctl -p err -b
journalctl --disk-usage
OUTPUT:
All logs of nginx, new nginx log lines live, entries from the last hour, errors since the current boot, and the space the journal uses.
EXPLANATION:
-u picks a service, -f follows new entries, --since and --until limit the time, -p filters by priority such as err, and -b limits to the current boot. Older text logs still live in /var/log, for example in files written by web servers. Journal size is limited by the settings, and old entries are removed.
SIMPLE EXPLANATION (HINGLISH):
Ask the journal for one service with -u, add -f to follow, and use --since to look at a time window.
REAL-LIFE ANALOGY:
It is like a ship's logbook in which every service writes.
SYNTAX PATTERN:
journalctl [-u unit] [-f] [--since time] [-p priority]
ANATOMY:
-u = unit | -f = follow | --since = from a time | -p = priority | -b = this boot
EXAMPLE 1:
journalctl -u ssh --since today
EXAMPLE 2:
journalctl -p warning -b
EXAMPLE 3:
journalctl -k
VARIATION:
journalctl -n 100 -u app   // last 100 lines
journalctl -o json   // output as JSON
USED WITH:
systemctl, grep, less
RELATED CONCEPTS:
systemctl, tail, /var/log
ALTERNATIVES:
Reading text files in /var/log
WHERE IT IS USED:
Service failures | Boot problems | Audits
MINI CONVERSATION:
A: The service fails at boot and I do not know why. | B: Check journalctl -u for that service and -b for this boot.
COMMON MISTAKE:
✗ All logs on Linux are plain files in /var/log → ✓ Systemd keeps many logs in its journal, which you read with journalctl
COMMONLY CONFUSED WITH:
journalctl vs tail: journalctl queries the journal, tail reads a text file.
AVOID / DON'T:
Do not forget that the journal may be limited in size.
WRONG CODE:
journalctl nginx
RIGHT CODE:
journalctl -u nginx
MEMORY TRICK:
-u picks the unit and -f follows it.
REAL LIFE: PROJECT / WORK:
Reading the journal to find why a customer's service stopped after an update.
REAL LIFE: INTERVIEW / EXAM:
An interviewer may ask: How do you view the logs of a systemd service?
REAL LIFE: DAILY LIFE:
It is like a ship's logbook.</t>
        </is>
      </c>
      <c r="C37" s="29" t="inlineStr">
        <is>
          <t>05_Processes_and_system_Intermediate_LNX-036</t>
        </is>
      </c>
    </row>
    <row r="38" ht="409" customHeight="1">
      <c r="A38" s="29" t="inlineStr">
        <is>
          <t>cron
Which scheduler runs commands automatically at set times, and what do the five time fields mean?
crontab -e
# minute hour day month weekday command
0 2 * * * /usr/local/bin/backup.sh &gt;&gt; /var/log/backup.log 2&gt;&amp;1
*/15 * * * * /usr/bin/python3 /opt/app/check.py
crontab -l</t>
        </is>
      </c>
      <c r="B38" s="29" t="inlineStr">
        <is>
          <t>MEANING (SHORT):
cron runs commands on a schedule defined in a crontab, with five fields for minute, hour, day of month, month and day of week.
CODE:
crontab -e
# minute hour day month weekday command
0 2 * * * /usr/local/bin/backup.sh &gt;&gt; /var/log/backup.log 2&gt;&amp;1
*/15 * * * * /usr/bin/python3 /opt/app/check.py
crontab -l
OUTPUT:
The crontab opens for editing, a backup runs every day at 02:00 and logs to a file, a check runs every fifteen minutes, and the current schedule is listed.
EXPLANATION:
A star means every value, a slash gives steps, and commas give lists. Cron runs jobs with a short PATH and starts in the user's home folder, not where the script is, so absolute paths and explicit redirection are needed. Cron uses the system's timezone unless configured. Each user has a crontab, and system jobs live in /etc/cron.d.
SIMPLE EXPLANATION (HINGLISH):
Write the schedule in five fields and then the command. Use absolute paths and log the output, since cron does not run in your normal shell environment.
REAL-LIFE ANALOGY:
It is like an alarm clock for commands with five dials.
SYNTAX PATTERN:
m h dom mon dow command
ANATOMY:
minute 0-59 | hour 0-23 | day of month | month | day of week 0-7 | * = every
EXAMPLE 1:
30 6 * * 1-5 /opt/report.sh
EXAMPLE 2:
*/10 * * * * /usr/bin/curl -s https://example.com/health
EXAMPLE 3:
@reboot /opt/start.sh
VARIATION:
@daily command   // shortcut for once a day
MAILTO="" at the top   // stop cron emailing output
USED WITH:
absolute paths, redirection, scripts
RELATED CONCEPTS:
systemctl, redirection, scripts
ALTERNATIVES:
systemd timers
WHERE IT IS USED:
Backups | Reports | Clean-up jobs
MINI CONVERSATION:
A: My script works by hand but not from cron. | B: Cron has a minimal environment, so use absolute paths and set PATH.
COMMON MISTAKE:
✗ Cron jobs run with the same environment as my shell → ✓ Cron uses a minimal environment, so PATH and other variables may differ
COMMONLY CONFUSED WITH:
cron vs systemd timers: cron is the classic scheduler, timers are the systemd alternative.
AVOID / DON'T:
Do not use relative paths in cron jobs.
WRONG CODE:
* 2 * * * /opt/backup.sh
RIGHT CODE:
0 2 * * * /opt/backup.sh
MEMORY TRICK:
Five fields, then the command.
REAL LIFE: PROJECT / WORK:
Scheduling a nightly export that logs its output.
REAL LIFE: INTERVIEW / EXAM:
An interviewer may ask: What does 0 2 * * * mean in a crontab?
REAL LIFE: DAILY LIFE:
It is like an alarm clock for commands.</t>
        </is>
      </c>
      <c r="C38" s="29" t="inlineStr">
        <is>
          <t>05_Processes_and_system_Intermediate_LNX-037</t>
        </is>
      </c>
    </row>
    <row r="39" ht="409" customHeight="1">
      <c r="A39" s="29" t="inlineStr">
        <is>
          <t>df, du and disk space
Which commands show how full the disks are and which folders use the most space?
df -h
df -i
du -sh /var/log
du -h --max-depth=1 /var | sort -h
ncdu /var</t>
        </is>
      </c>
      <c r="B39" s="29" t="inlineStr">
        <is>
          <t>MEANING (SHORT):
df shows free and used space of file systems, and du shows the space used by folders.
CODE:
df -h
df -i
du -sh /var/log
du -h --max-depth=1 /var | sort -h
ncdu /var
OUTPUT:
The size, used, available and mount point of each disk, inode usage, the total size of /var/log, the size of each folder directly under /var in order, and an interactive browser of space use.
EXPLANATION:
-h prints human-readable sizes. df works on whole file systems, while du walks folders and adds up file sizes. A disk can be full because of space or because it ran out of inodes, which are file records. Deleted files that are still held open by a process keep using space until that process exits.
SIMPLE EXPLANATION (HINGLISH):
Use df -h to see which disk is full, then du -h --max-depth=1 to find which folder is large, and go one level deeper each time.
REAL-LIFE ANALOGY:
df is the fuel gauge of each disk, and du is the receipt showing where the fuel went.
SYNTAX PATTERN:
df -h  |  du -sh path
ANATOMY:
df = file systems | du = folders | -h = readable sizes | -s = summary | --max-depth = how deep to list
EXAMPLE 1:
df -h /
EXAMPLE 2:
du -sh *
EXAMPLE 3:
du -h --max-depth=2 /home | sort -h | tail
VARIATION:
lsof +L1   // deleted files still held open
df -T   // show file system types
USED WITH:
sort, find, journalctl
RELATED CONCEPTS:
find, journalctl, ls
ALTERNATIVES:
ncdu for an interactive view
WHERE IT IS USED:
Disk full incidents | Capacity checks | Log clean-up
MINI CONVERSATION:
A: The database stopped, saying no space left on device. | B: Run df -h and then du to find which folder filled the disk.
COMMON MISTAKE:
✗ df and du always show the same numbers → ✓ df reads file system totals and du adds up files, so deleted-but-open files and other details can make them differ
COMMONLY CONFUSED WITH:
df vs du: df shows disks, du shows folders.
AVOID / DON'T:
Do not delete files blindly to free space, find out what they are first.
WRONG CODE:
du -h /var --depth 1
RIGHT CODE:
du -h --max-depth=1 /var
MEMORY TRICK:
df is for disks, du is for directories.
REAL LIFE: PROJECT / WORK:
Finding a log folder that filled the disk on a customer server.
REAL LIFE: INTERVIEW / EXAM:
An interviewer may ask: How do you find the folder using the most disk space?
REAL LIFE: DAILY LIFE:
It is like a fuel gauge and a receipt of where the fuel went.</t>
        </is>
      </c>
      <c r="C39" s="29" t="inlineStr">
        <is>
          <t>05_Processes_and_system_Beginner_LNX-038</t>
        </is>
      </c>
    </row>
    <row r="40" ht="409" customHeight="1">
      <c r="A40" s="29" t="inlineStr">
        <is>
          <t>Memory and load (free, uptime)
Which commands show how much memory is used and how busy the CPU has been?
free -h
uptime
nproc
vmstat 1 5</t>
        </is>
      </c>
      <c r="B40" s="29" t="inlineStr">
        <is>
          <t>MEANING (SHORT):
free shows memory and swap use, and uptime shows how long the system has run and the load average.
CODE:
free -h
uptime
nproc
vmstat 1 5
OUTPUT:
Total, used, free and available memory in readable units, the uptime with three load averages, the number of CPU cores, and five lines of live system statistics.
EXPLANATION:
Linux uses free memory for caches, so a low free value is normal and the available value is the useful one. The load average shows the average number of processes waiting to run over one, five and fifteen minutes. A load higher than the number of CPU cores suggests the machine is overloaded. Heavy swap use can make a machine slow.
SIMPLE EXPLANATION (HINGLISH):
Read the available column in free, and compare the load average with the number of cores from nproc.
REAL-LIFE ANALOGY:
free is the memory gauge, and uptime shows how long and how hard the engine has worked.
SYNTAX PATTERN:
free -h  |  uptime  |  nproc
ANATOMY:
total used free available = memory columns | load average = 1, 5 and 15 minutes | swap = disk used as extra memory
EXAMPLE 1:
free -m
EXAMPLE 2:
uptime -p
EXAMPLE 3:
cat /proc/meminfo
VARIATION:
vmstat 2   // live statistics every two seconds
swapon --show   // swap devices
USED WITH:
top, ps, vmstat
RELATED CONCEPTS:
ps and top, df, systemctl
ALTERNATIVES:
htop or a monitoring dashboard
WHERE IT IS USED:
Slow servers | Capacity planning | Memory leaks
MINI CONVERSATION:
A: Free memory is almost zero, is the server in trouble? | B: Look at available memory, since Linux uses spare memory for caches.
COMMON MISTAKE:
✗ Low free memory means the server is out of memory → ✓ Linux uses spare memory for caching, so look at the available value
COMMONLY CONFUSED WITH:
free vs available: free is unused memory, available includes memory that caches can give back.
AVOID / DON'T:
Do not panic when the free column is small.
WRONG CODE:
free --human-readable-all
RIGHT CODE:
free -h
MEMORY TRICK:
Always read available, and not free.
REAL LIFE: PROJECT / WORK:
Checking whether a customer's server ran out of memory before an application crash.
REAL LIFE: INTERVIEW / EXAM:
An interviewer may ask: How do you read the load average?
REAL LIFE: DAILY LIFE:
It is like a fuel gauge for memory.</t>
        </is>
      </c>
      <c r="C40" s="29" t="inlineStr">
        <is>
          <t>05_Processes_and_system_Intermediate_LNX-039</t>
        </is>
      </c>
    </row>
    <row r="41" ht="409" customHeight="1">
      <c r="A41" s="29" t="inlineStr">
        <is>
          <t>ping
Which command checks whether another machine answers on the network and how long it takes?
ping -c 4 8.8.8.8
ping -c 4 example.com
ping -c 1 -W 2 10.0.0.5</t>
        </is>
      </c>
      <c r="B41" s="29" t="inlineStr">
        <is>
          <t>MEANING (SHORT):
ping sends echo requests to a host and reports whether replies come back and how long they take.
CODE:
ping -c 4 8.8.8.8
ping -c 4 example.com
ping -c 1 -W 2 10.0.0.5
OUTPUT:
Four replies from the address with times, four replies from the name with its resolved address, and one attempt with a two second wait.
EXPLANATION:
A reply shows the host is reachable and gives the round trip time. No reply does not always mean the host is down, because many networks block ping. Pinging a name tests DNS as well. On Linux, ping runs until you stop it unless you give -c with a count.
SIMPLE EXPLANATION (HINGLISH):
Ping an address to see if it answers. If the IP works but the name fails, the problem is DNS.
REAL-LIFE ANALOGY:
It is like a sonar pulse that bounces back and shows how far away the other machine is.
SYNTAX PATTERN:
ping [-c count] host
ANATOMY:
-c = how many packets | -W = wait time | host = name or IP
EXAMPLE 1:
ping -c 3 localhost
EXAMPLE 2:
ping -c 5 8.8.8.8
EXAMPLE 3:
ping -6 -c 3 ::1
VARIATION:
ping -s 1400 host   // packet size for MTU tests
ping -i 0.2 host   // faster interval
USED WITH:
dig, traceroute, curl
RELATED CONCEPTS:
dig, traceroute, curl
ALTERNATIVES:
curl or nc when ping is blocked
WHERE IT IS USED:
Reachability checks | DNS tests | Latency checks
MINI CONVERSATION:
A: I cannot reach the customer's server. | B: Ping its IP address first, and then its name.
COMMON MISTAKE:
✗ If ping gets no reply, the host must be down → ✓ Many networks and firewalls block ping, so no reply does not prove the host is down
COMMONLY CONFUSED WITH:
ping vs curl: ping tests basic reachability, curl tests an actual web service.
AVOID / DON'T:
Do not rely on ping alone to test a service.
WRONG CODE:
ping example.com -n 4
RIGHT CODE:
ping -c 4 example.com
MEMORY TRICK:
Ping the number, then the name.
REAL LIFE: PROJECT / WORK:
Using ping to separate a network fault from a DNS fault on a customer site.
REAL LIFE: INTERVIEW / EXAM:
An interviewer may ask: What does it mean if you can ping an IP but not a name?
REAL LIFE: DAILY LIFE:
It is like a sonar pulse that bounces back.</t>
        </is>
      </c>
      <c r="C41" s="29" t="inlineStr">
        <is>
          <t>06_Network_tools_Beginner_LNX-040</t>
        </is>
      </c>
    </row>
    <row r="42" ht="409" customHeight="1">
      <c r="A42" s="29" t="inlineStr">
        <is>
          <t>curl and wget
Which commands fetch a URL from the terminal, send requests with headers, and download files?
curl https://example.com/health
curl -I https://example.com
curl -s -o page.html https://example.com
curl -X POST -H "Content-Type: application/json" -d '{"a":1}' https://example.com/api
wget https://example.com/file.zip</t>
        </is>
      </c>
      <c r="B42" s="29" t="inlineStr">
        <is>
          <t>MEANING (SHORT):
curl transfers data to or from a URL and shows details, while wget mainly downloads files.
CODE:
curl https://example.com/health
curl -I https://example.com
curl -s -o page.html https://example.com
curl -X POST -H "Content-Type: application/json" -d '{"a":1}' https://example.com/api
wget https://example.com/file.zip
OUTPUT:
The health response body, only the response headers, the page saved to a file quietly, the response of a JSON post request, and file.zip downloaded.
EXPLANATION:
curl prints the body to the screen by default. -I fetches only headers, -s hides the progress, -o saves to a file, -L follows redirects and -v shows details. -H adds headers and -d sends a body, which makes curl a main tool for testing APIs. wget saves files by default and can download recursively.
SIMPLE EXPLANATION (HINGLISH):
Use curl to look at a response, and add options for headers and bodies. Use wget when you just want a file.
REAL-LIFE ANALOGY:
It is like a browser without a window that shows exactly what the server says.
SYNTAX PATTERN:
curl [options] url
ANATOMY:
-I = headers only | -s = silent | -o = output file | -L = follow redirects | -v = verbose | -d = body
EXAMPLE 1:
curl -L https://example.com/short
EXAMPLE 2:
curl -H "Authorization: Bearer $TOKEN" https://example.com/api/me
EXAMPLE 3:
curl -sS -o /dev/null -w "%{http_code}\n" https://example.com
VARIATION:
curl --max-time 5 url   // give up after five seconds
curl -k url   // skip certificate checks, only for tests
USED WITH:
grep, jq, ssh
RELATED CONCEPTS:
HTTP and APIs, ping, dig
ALTERNATIVES:
wget, or HTTPie
WHERE IT IS USED:
API tests | Health checks | Downloads in scripts
MINI CONVERSATION:
A: Does the endpoint respond? | B: Run curl -I on it to see the status and headers.
COMMON MISTAKE:
✗ curl -k is a normal way to fix certificate errors → ✓ -k turns off certificate checking, which is unsafe outside quick tests
COMMONLY CONFUSED WITH:
curl vs wget: curl is flexible for requests, wget is simple for downloads.
AVOID / DON'T:
Do not use -k in scripts that handle real data.
WRONG CODE:
curl -X POST https://example.com/api -d {"a":1}
RIGHT CODE:
curl -X POST https://example.com/api -H "Content-Type: application/json" -d '{"a":1}'
MEMORY TRICK:
Remember that curl -v shows everything.
REAL LIFE: PROJECT / WORK:
Checking a customer's health endpoint from a script with curl.
REAL LIFE: INTERVIEW / EXAM:
An interviewer may ask: How do you test an API from the command line?
REAL LIFE: DAILY LIFE:
It is like a browser without a window.</t>
        </is>
      </c>
      <c r="C42" s="29" t="inlineStr">
        <is>
          <t>06_Network_tools_Beginner_LNX-041</t>
        </is>
      </c>
    </row>
    <row r="43" ht="409" customHeight="1">
      <c r="A43" s="29" t="inlineStr">
        <is>
          <t>ssh, scp and rsync
Which commands log in to another machine securely, copy files to it, and sync folders efficiently?
ssh asha@203.0.113.10
ssh -i key.pem ubuntu@host
scp report.txt asha@host:/tmp/
rsync -avz ./site/ asha@host:/var/www/site/
ssh -L 5432:localhost:5432 asha@host</t>
        </is>
      </c>
      <c r="B43" s="29" t="inlineStr">
        <is>
          <t>MEANING (SHORT):
ssh opens a secure shell on another machine, scp copies files over it, and rsync synchronises folders by sending only differences.
CODE:
ssh asha@203.0.113.10
ssh -i key.pem ubuntu@host
scp report.txt asha@host:/tmp/
rsync -avz ./site/ asha@host:/var/www/site/
ssh -L 5432:localhost:5432 asha@host
OUTPUT:
A shell on the remote machine, a login with a key file, a file copied to /tmp, a folder synchronised with progress, and a tunnel so local port 5432 reaches the remote database.
EXPLANATION:
SSH authenticates with passwords or, better, key pairs. rsync -a keeps permissions and times, -v is verbose and -z compresses, and a trailing slash on the source copies its contents. Use --dry-run to preview. The -L option forwards a local port through the connection, which helps reach services that are not exposed publicly.
SIMPLE EXPLANATION (HINGLISH):
Use ssh to log in, scp for a quick copy, and rsync for folders, since it sends only changes. Use key files instead of passwords.
REAL-LIFE ANALOGY:
ssh is a secure tunnel, scp posts a parcel through it, and rsync sends only what changed.
SYNTAX PATTERN:
ssh user@host  |  scp file user@host:path  |  rsync -avz src/ user@host:dest/
ANATOMY:
-i = key file | -p = port | -a = archive mode | -z = compress | -L = local port forward
EXAMPLE 1:
ssh -p 2222 asha@host
EXAMPLE 2:
scp -r folder asha@host:/home/asha/
EXAMPLE 3:
rsync -av --delete src/ backup/
VARIATION:
rsync -avn src/ dest/   // dry run, show what would change
ssh host 'tail -n 50 /var/log/syslog'   // run one remote command
USED WITH:
SSH keys, config file, tunnels
RELATED CONCEPTS:
SSH key permissions, curl, networking
ALTERNATIVES:
sftp for interactive transfers
WHERE IT IS USED:
Remote servers | Deployments | Backups
MINI CONVERSATION:
A: I need the customer's config file on my laptop. | B: Copy it with scp, or sync the folder with rsync.
COMMON MISTAKE:
✗ A trailing slash on the rsync source makes no difference → ✓ With a trailing slash rsync copies the contents of the folder, without it the folder itself is copied
COMMONLY CONFUSED WITH:
scp vs rsync: scp copies everything every time, rsync sends only the differences.
AVOID / DON'T:
Do not use --delete with rsync before a dry run.
WRONG CODE:
rsync -avz site asha@host:/var/www/site/
RIGHT CODE:
rsync -avz site/ asha@host:/var/www/site/
MEMORY TRICK:
Trailing slash copies the contents.
REAL LIFE: PROJECT / WORK:
Syncing a build folder to a customer server with rsync over SSH.
REAL LIFE: INTERVIEW / EXAM:
An interviewer may ask: How do you copy files securely to a server?
REAL LIFE: DAILY LIFE:
It is like a secure tunnel with parcels posted through it.</t>
        </is>
      </c>
      <c r="C43" s="29" t="inlineStr">
        <is>
          <t>06_Network_tools_Intermediate_LNX-042</t>
        </is>
      </c>
    </row>
    <row r="44" ht="409" customHeight="1">
      <c r="A44" s="29" t="inlineStr">
        <is>
          <t>ss and listening ports
Which command shows which ports your machine listens on and which connections are open?
ss -tulpn
ss -tn state established
ss -ltn 'sport = :443'
sudo lsof -i :8080</t>
        </is>
      </c>
      <c r="B44" s="29" t="inlineStr">
        <is>
          <t>MEANING (SHORT):
ss shows sockets, such as listening ports and established connections.
CODE:
ss -tulpn
ss -tn state established
ss -ltn 'sport = :443'
sudo lsof -i :8080
OUTPUT:
Listening TCP and UDP ports with their programs, established TCP connections, whether anything listens on port 443, and the process using port 8080.
EXPLANATION:
The flags -t and -u pick TCP and UDP, -l shows listening sockets, -p shows the process, -n shows numbers instead of names. Listening on 127.0.0.1 means only local connections are accepted, and 0.0.0.0 means all interfaces. If a service starts but cannot be reached, ss shows whether it listens and on which address.
SIMPLE EXPLANATION (HINGLISH):
Use ss -tulpn to see which program listens on which port, and on which address. A service on 127.0.0.1 is not reachable from outside.
REAL-LIFE ANALOGY:
It is like a list of the building's open doors and who stands behind each.
SYNTAX PATTERN:
ss [options]
ANATOMY:
-t = TCP | -u = UDP | -l = listening | -p = process | -n = numeric
EXAMPLE 1:
ss -ltn
EXAMPLE 2:
ss -s
EXAMPLE 3:
ss -tn dst 10.0.0.5
VARIATION:
netstat -tulpn   // the older tool with similar output
nc -zv host 443   // test whether a port is open
USED WITH:
lsof, firewall, curl
RELATED CONCEPTS:
ip, curl, firewall
ALTERNATIVES:
netstat on older systems
WHERE IT IS USED:
Port conflicts | Service checks | Firewall debugging
MINI CONVERSATION:
A: My app starts but I cannot reach it from outside. | B: Check with ss whether it listens on 127.0.0.1 or on all interfaces.
COMMON MISTAKE:
✗ If a service is running, it is reachable from every machine → ✓ A service listening on 127.0.0.1 accepts only local connections
COMMONLY CONFUSED WITH:
ss vs ping: ss shows local sockets, ping tests reaching another host.
AVOID / DON'T:
Do not bind internal services to 0.0.0.0 without a firewall.
WRONG CODE:
ss -tupln | grep 80
RIGHT CODE:
ss -tulpn | grep ':80 '
MEMORY TRICK:
Listen on localhost means local only.
REAL LIFE: PROJECT / WORK:
Finding which process already used the port a new service needed.
REAL LIFE: INTERVIEW / EXAM:
An interviewer may ask: How do you check which process listens on a port?
REAL LIFE: DAILY LIFE:
It is like a list of the building's open doors.</t>
        </is>
      </c>
      <c r="C44" s="29" t="inlineStr">
        <is>
          <t>06_Network_tools_Intermediate_LNX-043</t>
        </is>
      </c>
    </row>
    <row r="45" ht="409" customHeight="1">
      <c r="A45" s="29" t="inlineStr">
        <is>
          <t>ip and network interfaces
Which command shows your IP addresses, network interfaces and routes?
ip addr
ip -br a
ip route
ip route get 8.8.8.8
ip link show</t>
        </is>
      </c>
      <c r="B45" s="29" t="inlineStr">
        <is>
          <t>MEANING (SHORT):
ip shows and changes interfaces, addresses and routes.
CODE:
ip addr
ip -br a
ip route
ip route get 8.8.8.8
ip link show
OUTPUT:
Interfaces with addresses, a short summary, the routing table with the default route, the route used to reach 8.8.8.8, and the state of the links.
EXPLANATION:
ip addr lists addresses on each interface such as eth0, with the loopback lo at 127.0.0.1. ip route shows where traffic goes, and the default route is the gateway for everything else. ip route get tells you which interface and gateway a destination uses. Changes made with ip are lost at reboot unless saved in network configuration.
SIMPLE EXPLANATION (HINGLISH):
Use ip addr to see your address and ip route to see the gateway. If the default route is missing, nothing outside the local network is reachable.
REAL-LIFE ANALOGY:
It is like a map of your machine's connections and roads.
SYNTAX PATTERN:
ip addr  |  ip route  |  ip link
ANATOMY:
addr = addresses | route = routing table | link = interface state | -br = brief
EXAMPLE 1:
ip addr show eth0
EXAMPLE 2:
ip route | grep default
EXAMPLE 3:
ip neigh
VARIATION:
hostname -I   // print the host's addresses
ifconfig   // older tool, may be missing
USED WITH:
ping, ss, dig
RELATED CONCEPTS:
ping, ss, dig
ALTERNATIVES:
nmcli on systems with NetworkManager
WHERE IT IS USED:
Network debugging | Cloud servers | Containers
MINI CONVERSATION:
A: The server cannot reach the internet. | B: Check ip route for a default gateway.
COMMON MISTAKE:
✗ ip changes survive a reboot → ✓ Changes made with ip are temporary unless saved in the network configuration
COMMONLY CONFUSED WITH:
ip vs ifconfig: ip is the modern tool, ifconfig is older and often not installed.
AVOID / DON'T:
Do not change routes on a remote machine without a way back in.
WRONG CODE:
ip show addr
RIGHT CODE:
ip addr show
MEMORY TRICK:
ip addr shows addresses, ip route shows roads.
REAL LIFE: PROJECT / WORK:
Finding the right interface and gateway on a customer's virtual machine.
REAL LIFE: INTERVIEW / EXAM:
An interviewer may ask: What is a default route?
REAL LIFE: DAILY LIFE:
It is like a map of connections and roads.</t>
        </is>
      </c>
      <c r="C45" s="29" t="inlineStr">
        <is>
          <t>06_Network_tools_Intermediate_LNX-044</t>
        </is>
      </c>
    </row>
    <row r="46" ht="409" customHeight="1">
      <c r="A46" s="29" t="inlineStr">
        <is>
          <t>dig and DNS lookups
Which command asks DNS servers what a name resolves to, and shows the full answer?
dig example.com
dig +short example.com
dig example.com MX
dig @8.8.8.8 example.com
dig -x 8.8.8.8</t>
        </is>
      </c>
      <c r="B46" s="29" t="inlineStr">
        <is>
          <t>MEANING (SHORT):
dig queries DNS servers for records such as A, AAAA, CNAME, MX and TXT.
CODE:
dig example.com
dig +short example.com
dig example.com MX
dig @8.8.8.8 example.com
dig -x 8.8.8.8
OUTPUT:
The full answer for the name, just the address, the mail server records, the answer from a specific resolver, and the name for an address.
EXPLANATION:
The answer section lists the records and their time to live, which says how long the answer may be cached. Asking different resolvers can show whether a change has spread. A CNAME points a name to another name, and MX records name the mail servers. -x does a reverse lookup from an address to a name.
SIMPLE EXPLANATION (HINGLISH):
Use dig to ask DNS directly. Compare answers from different servers when a name works in one place but not another.
REAL-LIFE ANALOGY:
It is like looking up an entry in the internet's phone book.
SYNTAX PATTERN:
dig [@server] name [type]
ANATOMY:
@server = which resolver | type = A, MX, TXT, CNAME | +short = answer only | -x = reverse lookup
EXAMPLE 1:
dig api.example.com A
EXAMPLE 2:
dig +short TXT example.com
EXAMPLE 3:
dig @1.1.1.1 example.com
VARIATION:
dig +trace example.com   // follow the delegation from the root
nslookup example.com   // older, simpler tool
USED WITH:
ping, curl, ip
RELATED CONCEPTS:
ping, networking basics, curl
ALTERNATIVES:
nslookup or host
WHERE IT IS USED:
DNS problems | Mail setup | Migrations
MINI CONVERSATION:
A: The new site address works for me but not for the customer. | B: Query their resolver with dig, since the old record may still be cached.
COMMON MISTAKE:
✗ A DNS change takes effect everywhere at once → ✓ Caches keep old answers until the time to live ends, so changes spread gradually
COMMONLY CONFUSED WITH:
dig vs ping: dig asks what a name means, ping tests reaching the address.
AVOID / DON'T:
Do not change DNS records without noting their TTL.
WRONG CODE:
dig MX example.com @
RIGHT CODE:
dig example.com MX
MEMORY TRICK:
dig the name, then check the answer section.
REAL LIFE: PROJECT / WORK:
Checking that a customer's new domain points at the right server.
REAL LIFE: INTERVIEW / EXAM:
An interviewer may ask: What is TTL in DNS?
REAL LIFE: DAILY LIFE:
It is like looking up an entry in a phone book.</t>
        </is>
      </c>
      <c r="C46" s="29" t="inlineStr">
        <is>
          <t>06_Network_tools_Intermediate_LNX-045</t>
        </is>
      </c>
    </row>
    <row r="47" ht="409" customHeight="1">
      <c r="A47" s="29" t="inlineStr">
        <is>
          <t>Shebang and running a script
Which first line tells the system which interpreter should run a script, and what must you do before you can run it directly?
#!/usr/bin/env bash
echo "Hello from a script"
# save as hello.sh, then:
chmod +x hello.sh
./hello.sh
bash hello.sh</t>
        </is>
      </c>
      <c r="B47" s="29" t="inlineStr">
        <is>
          <t>MEANING (SHORT):
The shebang line names the interpreter for a script, and the file must have the execute permission to run directly.
CODE:
#!/usr/bin/env bash
echo "Hello from a script"
# save as hello.sh, then:
chmod +x hello.sh
./hello.sh
bash hello.sh
OUTPUT:
Hello from a script, printed both when the file is run directly and when it is passed to bash.
EXPLANATION:
Without the shebang, the system may use the wrong shell. The file needs the execute bit to run as ./hello.sh, but bash hello.sh works without it. The ./ is needed because the current folder is not in PATH. Comments start with a hash, and the first line is a special comment for the system.
SIMPLE EXPLANATION (HINGLISH):
Start the script with a shebang, make it executable, and run it with ./name. Or run it through bash without changing permissions.
REAL-LIFE ANALOGY:
It is like a label on an envelope that names the clerk who should read the letter.
SYNTAX PATTERN:
#!/usr/bin/env bash
ANATOMY:
#! = shebang | /usr/bin/env bash = find bash | chmod +x = make it executable | ./ = run from the current folder
EXAMPLE 1:
#!/bin/bash
EXAMPLE 2:
#!/usr/bin/env python3
EXAMPLE 3:
./deploy.sh
VARIATION:
bash -x script.sh   // run with trace to debug
source script.sh   // run inside the current shell
USED WITH:
chmod, PATH, variables
RELATED CONCEPTS:
chmod, PATH, variables
ALTERNATIVES:
Making a script part of a package or a Makefile
WHERE IT IS USED:
Automation | Deployment | Setup scripts
MINI CONVERSATION:
A: Permission denied when I run ./script.sh. | B: Add the execute bit with chmod +x, or run it with bash.
COMMON MISTAKE:
✗ The shebang line is just a comment and does nothing → ✓ The system reads the shebang to choose the interpreter when you run the file directly
COMMONLY CONFUSED WITH:
./script.sh vs bash script.sh: the first needs the execute bit and uses the shebang, the second uses Bash regardless.
AVOID / DON'T:
Do not forget ./ when running a script in the current folder.
WRONG CODE:
hello.sh
RIGHT CODE:
./hello.sh
MEMORY TRICK:
The shebang names the interpreter to use.
REAL LIFE: PROJECT / WORK:
Writing a setup script for a customer server that starts with a shebang.
REAL LIFE: INTERVIEW / EXAM:
An interviewer may ask: What is the shebang line for?
REAL LIFE: DAILY LIFE:
It is like a label on an envelope naming the clerk who will read it.</t>
        </is>
      </c>
      <c r="C47" s="29" t="inlineStr">
        <is>
          <t>07_Bash_scripting_Beginner_LNX-046</t>
        </is>
      </c>
    </row>
    <row r="48" ht="409" customHeight="1">
      <c r="A48" s="29" t="inlineStr">
        <is>
          <t>Variables in Bash
How do you store a value under a name in Bash, and why must you be careful with spaces and quotes?
name="Asha"
echo "Hello, $name"
files=$(ls | wc -l)
echo "There are $files files"
echo "${name}_backup"</t>
        </is>
      </c>
      <c r="B48" s="29" t="inlineStr">
        <is>
          <t>MEANING (SHORT):
A variable is set as name=value with no spaces around the equals sign, and read with $name.
CODE:
name="Asha"
echo "Hello, $name"
files=$(ls | wc -l)
echo "There are $files files"
echo "${name}_backup"
OUTPUT:
Hello, Asha, then the number of files in the folder, and Asha_backup.
EXPLANATION:
There must be no spaces around the equals sign. $(...) runs a command and captures its output. Double quotes allow variables to expand, and single quotes do not. Without quotes, a value with spaces splits into separate words, which breaks many commands. Curly braces ${name} mark where the name ends.
SIMPLE EXPLANATION (HINGLISH):
Set with name=value, read with $name, and quote it. Use $( ) to store the result of a command.
REAL-LIFE ANALOGY:
It is like a labelled box, and quotes keep the contents together.
SYNTAX PATTERN:
name=value  |  "$name"  |  $(command)
ANATOMY:
name=value = assign, no spaces | $name = read | ${name} = clear boundary | $(cmd) = command result
EXAMPLE 1:
dir="/var/log"
EXAMPLE 2:
today=$(date +%F)
EXAMPLE 3:
echo "Backup at $today in ${dir}"
VARIATION:
readonly PI=3.14   // a value that cannot change
name=${1:-guest}   // default value when empty
USED WITH:
quotes, scripts, environment variables
RELATED CONCEPTS:
environment variables, conditionals, loops
ALTERNATIVES:
Config files read by the script
WHERE IT IS USED:
Scripts | Paths and names | Command results
MINI CONVERSATION:
A: My script breaks on file names with spaces. | B: Put double quotes around the variable expansions.
COMMON MISTAKE:
✗ Spaces around the equals sign are fine in Bash → ✓ name = value is an error, and it must be name=value with no spaces
COMMONLY CONFUSED WITH:
Single vs double quotes: double quotes expand variables, single quotes keep text literally.
AVOID / DON'T:
Do not leave variable expansions unquoted.
WRONG CODE:
name = "Asha"
RIGHT CODE:
name="Asha"
MEMORY TRICK:
No spaces around the equals sign.
REAL LIFE: PROJECT / WORK:
Storing a release folder name in a variable so a deployment script can reuse it.
REAL LIFE: INTERVIEW / EXAM:
An interviewer may ask: Why do you quote variables in Bash?
REAL LIFE: DAILY LIFE:
It is like a labelled box.</t>
        </is>
      </c>
      <c r="C48" s="29" t="inlineStr">
        <is>
          <t>07_Bash_scripting_Beginner_LNX-047</t>
        </is>
      </c>
    </row>
    <row r="49" ht="409" customHeight="1">
      <c r="A49" s="29" t="inlineStr">
        <is>
          <t>Conditionals (if and test)
How do you make a script choose between actions, such as checking whether a file exists or a number is large?
if [[ -f /etc/nginx/nginx.conf ]]; then
  echo "Config exists"
elif [[ $count -gt 10 ]]; then
  echo "Many files"
else
  echo "Missing"
fi</t>
        </is>
      </c>
      <c r="B49" s="29" t="inlineStr">
        <is>
          <t>MEANING (SHORT):
if runs commands when a test succeeds, using [[ ]] to check files, strings and numbers.
CODE:
if [[ -f /etc/nginx/nginx.conf ]]; then
  echo "Config exists"
elif [[ $count -gt 10 ]]; then
  echo "Many files"
else
  echo "Missing"
fi
OUTPUT:
The first branch whose test is true is run, otherwise the else branch.
EXPLANATION:
Common file tests are -f for a file, -d for a folder and -e for existing. Numbers are compared with -eq, -ne, -lt, -gt, -le and -ge, and strings with == and !=. An if statement actually checks the exit status of a command, where zero means success. It must end with fi, and spaces around the brackets are required.
SIMPLE EXPLANATION (HINGLISH):
Write if, a test in double brackets, then the commands, and finish with fi. Use -f to test files and -gt to compare numbers.
REAL-LIFE ANALOGY:
It is like a fork in the road with a signpost that tests a condition.
SYNTAX PATTERN:
if [[ test ]]; then ... elif ...; else ...; fi
ANATOMY:
-f = file exists | -d = directory exists | -z = string empty | -gt = greater than | fi = end
EXAMPLE 1:
if [[ -d /var/log ]]; then echo yes; fi
EXAMPLE 2:
if [[ "$name" == "Asha" ]]; then echo hi; fi
EXAMPLE 3:
if grep -q error app.log; then echo found; fi
VARIATION:
[[ -z "$var" ]] &amp;&amp; echo empty   // short form with and
[[ $a -lt $b || $c == "x" ]]   // combine tests
USED WITH:
variables, exit codes, loops
RELATED CONCEPTS:
variables, exit codes, loops
ALTERNATIVES:
case statements for many choices
WHERE IT IS USED:
Checks in scripts | Input validation | Deployments
MINI CONVERSATION:
A: How do I stop the script if the config file is missing? | B: Test with if and -f, and exit with an error in the else branch.
COMMON MISTAKE:
✗ if tests only true or false values like other languages → ✓ if runs a command and treats exit status zero as success
COMMONLY CONFUSED WITH:
-eq vs ==: -eq compares numbers, == compares strings.
AVOID / DON'T:
Do not forget the spaces inside the brackets.
WRONG CODE:
if [[$count -gt 10]]; then echo big; fi
RIGHT CODE:
if [[ $count -gt 10 ]]; then echo big; fi
MEMORY TRICK:
Every if ends with fi.
REAL LIFE: PROJECT / WORK:
Checking that a required config file exists before starting a deployment.
REAL LIFE: INTERVIEW / EXAM:
An interviewer may ask: How do you check if a file exists in Bash?
REAL LIFE: DAILY LIFE:
It is like a fork in the road with a signpost.</t>
        </is>
      </c>
      <c r="C49" s="29" t="inlineStr">
        <is>
          <t>07_Bash_scripting_Beginner_LNX-048</t>
        </is>
      </c>
    </row>
    <row r="50" ht="409" customHeight="1">
      <c r="A50" s="29" t="inlineStr">
        <is>
          <t>Loops (for and while)
How do you repeat commands for each item in a list or until a condition changes?
for f in *.log; do
  echo "Compressing $f"
  gzip "$f"
done
while read -r host; do
  ping -c 1 "$host"
done &lt; hosts.txt</t>
        </is>
      </c>
      <c r="B50" s="29" t="inlineStr">
        <is>
          <t>MEANING (SHORT):
for repeats commands for each item in a list, and while repeats as long as a condition holds.
CODE:
for f in *.log; do
  echo "Compressing $f"
  gzip "$f"
done
while read -r host; do
  ping -c 1 "$host"
done &lt; hosts.txt
OUTPUT:
Each log file is compressed, then each host in hosts.txt is pinged once.
EXPLANATION:
A for loop takes a list of words, a glob, or a sequence such as {1..5}. while read -r reads a file line by line, which is the safe way to process lines. Quote variables inside the loop. break leaves a loop and continue skips to the next item. Loops can run commands on many servers, with care.
SIMPLE EXPLANATION (HINGLISH):
Use for to go over a list of files or names. Use while read to go over the lines of a file.
REAL-LIFE ANALOGY:
It is like a conveyor belt that hands each item to the same worker.
SYNTAX PATTERN:
for item in list; do ...; done  |  while condition; do ...; done
ANATOMY:
for = each item | while = while true | do and done = body | break and continue = control
EXAMPLE 1:
for i in {1..5}; do echo $i; done
EXAMPLE 2:
for host in web1 web2 web3; do ssh "$host" uptime; done
EXAMPLE 3:
while [[ $n -lt 3 ]]; do n=$((n+1)); done
VARIATION:
for ((i=0; i&lt;3; i++)); do echo $i; done   // C-style loop
until [[ -f done.flag ]]; do sleep 5; done   // wait until something exists
USED WITH:
globs, variables, read, sleep
RELATED CONCEPTS:
variables, conditionals, xargs
ALTERNATIVES:
xargs or find -exec
WHERE IT IS USED:
Batch jobs | Server checks | File processing
MINI CONVERSATION:
A: I need to run the same check on ten servers. | B: Put the host names in a for loop and run the command for each.
COMMON MISTAKE:
✗ for f in $(ls) is a safe way to loop over files → ✓ It breaks on names with spaces, so loop over a glob such as *.txt instead
COMMONLY CONFUSED WITH:
for vs while: for goes over a list, while repeats until its test fails.
AVOID / DON'T:
Do not loop over ls output.
WRONG CODE:
for f in $(ls *.log); do gzip $f; done
RIGHT CODE:
for f in *.log; do gzip "$f"; done
MEMORY TRICK:
Loop over globs, not over ls.
REAL LIFE: PROJECT / WORK:
Running a health check against each customer host in a for loop.
REAL LIFE: INTERVIEW / EXAM:
An interviewer may ask: How do you loop over lines of a file in Bash?
REAL LIFE: DAILY LIFE:
It is like a conveyor belt that hands each item to the same worker.</t>
        </is>
      </c>
      <c r="C50" s="29" t="inlineStr">
        <is>
          <t>07_Bash_scripting_Beginner_LNX-049</t>
        </is>
      </c>
    </row>
    <row r="51" ht="409" customHeight="1">
      <c r="A51" s="29" t="inlineStr">
        <is>
          <t>Functions and arguments
How do you group commands under a name and pass values to them, and how do scripts read their command-line arguments?
greet() {
  local name="$1"
  echo "Hello, $name"
}
greet "Asha"
echo "Script name: $0, first argument: $1, count: $#"
echo "All: $@"</t>
        </is>
      </c>
      <c r="B51" s="29" t="inlineStr">
        <is>
          <t>MEANING (SHORT):
A function is a named block of commands, and both functions and scripts read their arguments as $1, $2 and so on.
CODE:
greet() {
  local name="$1"
  echo "Hello, $name"
}
greet "Asha"
echo "Script name: $0, first argument: $1, count: $#"
echo "All: $@"
OUTPUT:
Hello, Asha, and then the script name, its first argument, how many arguments there were, and all arguments.
EXPLANATION:
Inside a function or script, $1 is the first argument, $@ is all arguments, $# is the count and $0 is the script name. Functions return an exit status with return, and use echo to output values that you capture with $( ). Variables are global by default, so use local inside functions. Define a function before you call it.
SIMPLE EXPLANATION (HINGLISH):
Define a function with name() { ... } and call it like a command. Read its arguments as $1, $2 and so on, the same as for scripts.
REAL-LIFE ANALOGY:
It is like a recipe card that you can follow again with different ingredients.
SYNTAX PATTERN:
name() { commands; }  |  $1 $2 $@ $#
ANATOMY:
$1 = first argument | $@ = all arguments | $# = number of arguments | local = function-only variable
EXAMPLE 1:
backup() { cp "$1" "$1.bak"; }
EXAMPLE 2:
result=$(add 2 3)
EXAMPLE 3:
if [[ $# -lt 1 ]]; then echo "usage: $0 file"; exit 1; fi
VARIATION:
shift   // drop the first argument and move the others down
"${@:2}"   // all arguments from the second on
USED WITH:
variables, conditionals, exit codes
RELATED CONCEPTS:
variables, exit codes, scripts
ALTERNATIVES:
Separate scripts called by name
WHERE IT IS USED:
Reusable scripts | Command-line tools | Deployments
MINI CONVERSATION:
A: The script should accept a host name when I run it. | B: Read it from $1 and check that it was given.
COMMON MISTAKE:
✗ Variables set inside a function are always private to it → ✓ Variables are global by default, so use local to keep them inside the function
COMMONLY CONFUSED WITH:
$@ vs $#: $@ is the list of arguments, $# is how many there are.
AVOID / DON'T:
Do not use $1 without checking that an argument was given.
WRONG CODE:
greet "Asha"; greet() { echo "Hi $1"; }
RIGHT CODE:
greet() { echo "Hi $1"; }; greet "Asha"
MEMORY TRICK:
A function must be defined before it is called.
REAL LIFE: PROJECT / WORK:
Wrapping a repeated deployment step in a function that takes the target host.
REAL LIFE: INTERVIEW / EXAM:
An interviewer may ask: How does a Bash script read its arguments?
REAL LIFE: DAILY LIFE:
It is like a recipe card followed with different ingredients.</t>
        </is>
      </c>
      <c r="C51" s="29" t="inlineStr">
        <is>
          <t>07_Bash_scripting_Intermediate_LNX-050</t>
        </is>
      </c>
    </row>
    <row r="52" ht="409" customHeight="1">
      <c r="A52" s="29" t="inlineStr">
        <is>
          <t>Exit codes
Which number does every command return to say whether it worked, and how do you read and set it?
grep -q "error" app.log
echo "exit code: $?"
mkdir /root/test || echo "failed"
cp a b &amp;&amp; echo "copied"
exit 2</t>
        </is>
      </c>
      <c r="B52" s="29" t="inlineStr">
        <is>
          <t>MEANING (SHORT):
An exit code is a number returned by a command, where 0 means success and non-zero means failure, available as $?.
CODE:
grep -q "error" app.log
echo "exit code: $?"
mkdir /root/test || echo "failed"
cp a b &amp;&amp; echo "copied"
exit 2
OUTPUT:
The exit code of grep, a failure message only when mkdir fails, a success message only when the copy works, and the script ending with code 2.
EXPLANATION:
$? holds the status of the last command. &amp;&amp; runs the next command only on success, and || only on failure. In if statements, the condition is the exit status. A script can end with exit followed by a number, and other tools, such as CI systems and cron, use that number to decide whether the job failed. Different numbers can mean different errors.
SIMPLE EXPLANATION (HINGLISH):
Zero means it worked, anything else means it did not. Use &amp;&amp; and || to react, and exit with a number so other tools know the result.
REAL-LIFE ANALOGY:
It is like a thumbs up or thumbs down that every command gives when it leaves.
SYNTAX PATTERN:
$?  |  command1 &amp;&amp; command2  |  command1 || command2  |  exit N
ANATOMY:
0 = success | non-zero = failure | &amp;&amp; = on success | || = on failure
EXAMPLE 1:
ls /missing; echo $?
EXAMPLE 2:
test -f config.yml || exit 1
EXAMPLE 3:
./deploy.sh &amp;&amp; echo "deployed"
VARIATION:
set -e   // stop the script on the first error
trap 'cleanup' EXIT   // run a function when the script ends
USED WITH:
if, set -e, cron, CI pipelines
RELATED CONCEPTS:
conditionals, set -euo pipefail, cron
ALTERNATIVES:
Checking output text, which is less reliable
WHERE IT IS USED:
Scripts | CI pipelines | Monitoring checks
MINI CONVERSATION:
A: How does the pipeline know my script failed? | B: Through its exit code, so exit with a non-zero number on errors.
COMMON MISTAKE:
✗ Zero means failure because it is falsy → ✓ In shells, zero means success and any other number means an error
COMMONLY CONFUSED WITH:
&amp;&amp; vs ||: &amp;&amp; runs the next command on success, || runs it on failure.
AVOID / DON'T:
Do not ignore exit codes in deployment scripts.
WRONG CODE:
command; if [[ $? == 1 ]]; then echo ok; fi
RIGHT CODE:
if command; then echo ok; fi
MEMORY TRICK:
Zero is good, non-zero is a problem.
REAL LIFE: PROJECT / WORK:
Making a deployment script exit with a non-zero code so the pipeline fails.
REAL LIFE: INTERVIEW / EXAM:
An interviewer may ask: What does exit code 0 mean?
REAL LIFE: DAILY LIFE:
It is like a thumbs up or down when a command leaves.</t>
        </is>
      </c>
      <c r="C52" s="29" t="inlineStr">
        <is>
          <t>07_Bash_scripting_Intermediate_LNX-051</t>
        </is>
      </c>
    </row>
    <row r="53" ht="409" customHeight="1">
      <c r="A53" s="29" t="inlineStr">
        <is>
          <t>set -euo pipefail
Which line makes a Bash script stop on errors, on unset variables and on failures inside pipes?
#!/usr/bin/env bash
set -euo pipefail
cd "$DEPLOY_DIR"
rm -rf ./build
grep "ok" result.log | wc -l</t>
        </is>
      </c>
      <c r="B53" s="29" t="inlineStr">
        <is>
          <t>MEANING (SHORT):
set -e stops on a failed command, -u treats unset variables as errors, and -o pipefail makes a pipe fail if any part fails.
CODE:
#!/usr/bin/env bash
set -euo pipefail
cd "$DEPLOY_DIR"
rm -rf ./build
grep "ok" result.log | wc -l
OUTPUT:
The script stops with an error if DEPLOY_DIR is not set or cd fails, so rm -rf never runs in the wrong folder. If grep finds no match on the last line, pipefail makes the pipe fail and the script stops with an error.
EXPLANATION:
Without -e, a failed cd would let rm -rf run in the wrong folder. -u catches typing mistakes in variable names. Without pipefail, only the last command of a pipe decides the status. Some commands, such as grep, return non-zero for no match, so use || true where that is acceptable. Strict mode does not replace careful checks.
SIMPLE EXPLANATION (HINGLISH):
Add set -euo pipefail near the top. The script stops at the first error, and unset variables are caught as mistakes.
REAL-LIFE ANALOGY:
It is like a safety rope that stops the climb at the first slip.
SYNTAX PATTERN:
set -euo pipefail
ANATOMY:
-e = exit on error | -u = unset variable is an error | -o pipefail = a failing pipe step fails the pipe
EXAMPLE 1:
set -e
EXAMPLE 2:
set -u
EXAMPLE 3:
grep -q pattern file || true
VARIATION:
set -x   // print each command as it runs, for debugging
trap 'echo failed at line $LINENO' ERR
USED WITH:
exit codes, pipes, variables
RELATED CONCEPTS:
exit codes, pipes, variables
ALTERNATIVES:
Checking each command by hand
WHERE IT IS USED:
Deployment scripts | CI jobs | Cron jobs
MINI CONVERSATION:
A: The script deleted the wrong folder after cd failed. | B: Use set -e and quote the variable, so it stops instead.
COMMON MISTAKE:
✗ A Bash script always stops on the first error → ✓ By default Bash keeps going, and set -e makes it stop
COMMONLY CONFUSED WITH:
set -e vs set -x: -e stops on errors, -x prints commands for debugging.
AVOID / DON'T:
Do not use rm -rf with variables that could be empty.
WRONG CODE:
cd "$DIR"; rm -rf ./build
RIGHT CODE:
set -euo pipefail; cd "$DIR"; rm -rf ./build
MEMORY TRICK:
e for errors, u for unset, pipefail for pipes.
REAL LIFE: PROJECT / WORK:
Starting every deployment script with strict mode so it fails early.
REAL LIFE: INTERVIEW / EXAM:
An interviewer may ask: What does set -euo pipefail do?
REAL LIFE: DAILY LIFE:
It is like a safety rope that stops the climb at the first slip.</t>
        </is>
      </c>
      <c r="C53" s="29" t="inlineStr">
        <is>
          <t>07_Bash_scripting_Advanced_LNX-052</t>
        </is>
      </c>
    </row>
    <row r="54" ht="409" customHeight="1">
      <c r="A54" s="29" t="inlineStr">
        <is>
          <t>Environment variables and PATH
Which variables are passed to every program you start, and which one decides where the shell looks for commands?
echo $PATH
export API_URL="https://example.com"
printenv API_URL
export PATH="$HOME/bin:$PATH"
which python3</t>
        </is>
      </c>
      <c r="B54" s="29" t="inlineStr">
        <is>
          <t>MEANING (SHORT):
Environment variables are named values given to programs, and PATH is the list of folders searched for commands.
CODE:
echo $PATH
export API_URL="https://example.com"
printenv API_URL
export PATH="$HOME/bin:$PATH"
which python3
OUTPUT:
The list of folders, the variable set for child programs, its value printed, the home bin folder searched first, and the path of the python3 that runs.
EXPLANATION:
A normal shell variable is local to the shell, and export makes it available to programs started from it. PATH folders are separated by colons and searched from left to right. Put persistent settings in startup files such as ~/.bashrc or ~/.profile. Never put secrets in the command line, since they can be seen in the process list.
SIMPLE EXPLANATION (HINGLISH):
Use export to pass a variable to programs. PATH tells the shell where to find commands, so put your own folder in it to run your scripts by name.
REAL-LIFE ANALOGY:
It is like a list of shelves that the shell searches in order to find the tool you named.
SYNTAX PATTERN:
export NAME=value  |  printenv  |  $PATH
ANATOMY:
export = pass to child programs | PATH = folders searched, separated by colons | which = show which command runs
EXAMPLE 1:
export EDITOR=vim
EXAMPLE 2:
PATH="$PATH:/opt/tools/bin"
EXAMPLE 3:
env | grep AWS
VARIATION:
NAME=value command   // set a variable for one command only
type -a python   // list all matches in PATH
USED WITH:
.bashrc, scripts, which
RELATED CONCEPTS:
variables, scripts, shell
ALTERNATIVES:
A .env file loaded by a tool
WHERE IT IS USED:
Configuration | Tools in custom folders | Containers and CI
MINI CONVERSATION:
A: It says command not found, but I installed the tool. | B: Its folder may not be in PATH, so add it or use the full path.
COMMON MISTAKE:
✗ Setting a variable without export passes it to programs → ✓ Without export, the variable stays inside the current shell
COMMONLY CONFUSED WITH:
Shell variable vs environment variable: only exported variables reach child programs.
AVOID / DON'T:
Do not pass passwords on the command line.
WRONG CODE:
PATH="/opt/tools/bin"
RIGHT CODE:
PATH="/opt/tools/bin:$PATH"
MEMORY TRICK:
Export shares a variable with child programs.
REAL LIFE: PROJECT / WORK:
Adding a customer's tools folder to PATH in a setup script.
REAL LIFE: INTERVIEW / EXAM:
An interviewer may ask: What is PATH and how is it used?
REAL LIFE: DAILY LIFE:
It is like a list of shelves searched in order.</t>
        </is>
      </c>
      <c r="C54" s="29" t="inlineStr">
        <is>
          <t>07_Bash_scripting_Intermediate_LNX-053</t>
        </is>
      </c>
    </row>
    <row r="55" ht="409" customHeight="1">
      <c r="A55" s="29" t="inlineStr">
        <is>
          <t>tmux (terminal multiplexer)
Which tool keeps terminal sessions alive on a server and lets you split the screen and reattach after a disconnect?
tmux new -s work
tmux ls
tmux attach -t work
tmux kill-session -t work</t>
        </is>
      </c>
      <c r="B55" s="29" t="inlineStr">
        <is>
          <t>MEANING (SHORT):
tmux runs persistent terminal sessions that you can detach from, reattach to, and split into windows and panes.
CODE:
tmux new -s work
tmux ls
tmux attach -t work
tmux kill-session -t work
OUTPUT:
A new session named work, a list of sessions, a reattached session after a disconnect, and the session removed.
EXPLANATION:
Inside tmux, most commands start with the prefix Ctrl and B. After the prefix, d detaches, c creates a new window, % splits the window into left and right panes, and double quote into top and bottom panes. A session continues to run when you detach or lose your connection. screen is an older, similar tool.
SIMPLE EXPLANATION (HINGLISH):
Start tmux, work, and detach with the prefix and d. Later reattach with tmux attach, and everything is still running.
REAL-LIFE ANALOGY:
It is like a desk on the server that stays set up whether or not you sit at it.
SYNTAX PATTERN:
tmux new -s name  |  tmux attach -t name
ANATOMY:
new -s = new named session | attach -t = reattach | prefix then d = detach | ls = list
EXAMPLE 1:
tmux new -s deploy
EXAMPLE 2:
tmux attach -t deploy
EXAMPLE 3:
tmux ls
VARIATION:
tmux new -d -s job 'long_command'   // start detached
prefix then [   // scroll mode
USED WITH:
ssh, long jobs, nohup
RELATED CONCEPTS:
background jobs, ssh, screen
ALTERNATIVES:
screen
WHERE IT IS USED:
Remote servers | Long jobs | Pairing sessions
MINI CONVERSATION:
A: My SSH dropped and killed my job. | B: Run long jobs inside tmux, then reattach later.
COMMON MISTAKE:
✗ Closing the terminal window always ends a tmux session → ✓ A tmux session keeps running on the server when you detach or lose the connection
COMMONLY CONFUSED WITH:
tmux vs nohup: tmux keeps an interactive session, nohup only protects one command.
AVOID / DON'T:
Do not leave many forgotten sessions running.
WRONG CODE:
tmux attach work
RIGHT CODE:
tmux attach -t work
MEMORY TRICK:
Always detach and do not kill.
REAL LIFE: PROJECT / WORK:
Running a long data migration in tmux on a customer server.
REAL LIFE: INTERVIEW / EXAM:
An interviewer may ask: How do you keep a session alive after SSH disconnects?
REAL LIFE: DAILY LIFE:
It is like a desk that stays set up on the server.</t>
        </is>
      </c>
      <c r="C55" s="29" t="inlineStr">
        <is>
          <t>08_Advanced_Intermediate_LNX-054</t>
        </is>
      </c>
    </row>
    <row r="56" ht="409" customHeight="1">
      <c r="A56" s="29" t="inlineStr">
        <is>
          <t>lsof and strace
Which tools show which files and ports a process has open, and which system calls it makes?
sudo lsof -i :8080
lsof -p 1234
strace -f -o trace.txt ./program
sudo strace -p 1234</t>
        </is>
      </c>
      <c r="B56" s="29" t="inlineStr">
        <is>
          <t>MEANING (SHORT):
lsof lists open files and sockets, and strace traces the system calls of a program.
CODE:
sudo lsof -i :8080
lsof -p 1234
strace -f -o trace.txt ./program
sudo strace -p 1234
OUTPUT:
The process using port 8080, the files and sockets of process 1234, a trace of every system call written to a file, and a live trace of a running process.
EXPLANATION:
On Linux, almost everything is a file, including sockets, so lsof shows files, network connections and even deleted files still held open. strace shows calls such as open, read and connect, with their results, which reveals missing files, permission errors and slow calls. strace slows the program down, so use it with care on busy systems.
SIMPLE EXPLANATION (HINGLISH):
Use lsof to see what a process has open or who uses a port. Use strace to see which system calls a program makes and where it fails.
REAL-LIFE ANALOGY:
lsof lists what a process holds in its hands, and strace listens to each request it makes.
SYNTAX PATTERN:
lsof [-i :port] [-p pid]  |  strace [-f] [-p pid] command
ANATOMY:
lsof -i = network files | -p = by process | strace -f = follow child processes | -o = write to file
EXAMPLE 1:
sudo lsof +D /var/log
EXAMPLE 2:
strace -e trace=openat ./app
EXAMPLE 3:
sudo lsof | grep deleted
VARIATION:
strace -c ./app   // summary of time spent per call
lsof -u asha   // files opened by a user
USED WITH:
ps, ss, grep
RELATED CONCEPTS:
ss, ps and top, df
ALTERNATIVES:
ltrace for library calls, or a debugger
WHERE IT IS USED:
Port conflicts | Mystery failures | Disk space held by deleted files
MINI CONVERSATION:
A: The app exits with no error message. | B: Run it under strace and look for failed open calls near the end.
COMMON MISTAKE:
✗ strace has no effect on the program speed → ✓ strace can slow a program a lot, so use it carefully on production systems
COMMONLY CONFUSED WITH:
lsof vs strace: lsof shows what is open now, strace shows calls over time.
AVOID / DON'T:
Do not attach strace to a busy production process casually.
WRONG CODE:
lsof port 8080
RIGHT CODE:
sudo lsof -i :8080
MEMORY TRICK:
lsof shows holdings, strace shows requests.
REAL LIFE: PROJECT / WORK:
Finding that a missing config file path was the cause of a silent crash.
REAL LIFE: INTERVIEW / EXAM:
An interviewer may ask: How do you find which process uses a port?
REAL LIFE: DAILY LIFE:
It is like seeing what someone holds in their hands.</t>
        </is>
      </c>
      <c r="C56" s="29" t="inlineStr">
        <is>
          <t>08_Advanced_Advanced_LNX-055</t>
        </is>
      </c>
    </row>
    <row r="57" ht="409" customHeight="1">
      <c r="A57" s="29" t="inlineStr">
        <is>
          <t>tar and gzip
Which commands bundle many files into one archive and compress it, and unpack it again?
tar -czf backup.tar.gz project/
tar -tzf backup.tar.gz
tar -xzf backup.tar.gz -C /tmp/restore
gzip file.log
gunzip file.log.gz</t>
        </is>
      </c>
      <c r="B57" s="29" t="inlineStr">
        <is>
          <t>MEANING (SHORT):
tar creates and extracts archives, and with -z it uses gzip compression.
CODE:
tar -czf backup.tar.gz project/
tar -tzf backup.tar.gz
tar -xzf backup.tar.gz -C /tmp/restore
gzip file.log
gunzip file.log.gz
OUTPUT:
A compressed archive of the folder, a list of its contents, the contents extracted into a chosen folder, a single file compressed, and then decompressed.
EXPLANATION:
The flag c creates, x extracts, t lists, f names the file, z uses gzip, and v shows progress. The -C option picks the target folder for extraction. tar keeps permissions and folder structure. gzip works on single files, and tar combines files so that one compressed file holds a whole folder. Other formats include .zip with the zip and unzip commands.
SIMPLE EXPLANATION (HINGLISH):
Use tar -czf to pack and compress, tar -tzf to look inside, and tar -xzf to unpack. Add -C to choose where it goes.
REAL-LIFE ANALOGY:
tar packs a box with everything inside, and gzip squeezes the box smaller.
SYNTAX PATTERN:
tar -czf archive.tar.gz folder  |  tar -xzf archive.tar.gz
ANATOMY:
c = create | x = extract | t = list | z = gzip | f = file name | -C = target folder
EXAMPLE 1:
tar -czf site.tar.gz /var/www/site
EXAMPLE 2:
tar -xzf site.tar.gz -C /var/www
EXAMPLE 3:
tar -tzf site.tar.gz | head
VARIATION:
tar -cjf a.tar.bz2 folder   // bzip2 compression
unzip file.zip   // for zip archives
USED WITH:
scp, cron backups, rsync
RELATED CONCEPTS:
scp and rsync, cron, find
ALTERNATIVES:
zip and unzip
WHERE IT IS USED:
Backups | Moving folders | Releases
MINI CONVERSATION:
A: I need to send the whole folder to the customer. | B: Pack it with tar -czf and send the single archive.
COMMON MISTAKE:
✗ gzip can compress a whole folder by itself → ✓ gzip compresses single files, and tar bundles a folder into one file first
COMMONLY CONFUSED WITH:
tar vs gzip: tar bundles files, gzip compresses a file.
AVOID / DON'T:
Do not extract an archive from an unknown source without listing it first.
WRONG CODE:
tar -xzf backup.tar.gz /tmp/restore
RIGHT CODE:
tar -xzf backup.tar.gz -C /tmp/restore
MEMORY TRICK:
Create, extract and list with c, x and t.
REAL LIFE: PROJECT / WORK:
Archiving a release folder before copying it to a customer server.
REAL LIFE: INTERVIEW / EXAM:
An interviewer may ask: What does tar -xzf do?
REAL LIFE: DAILY LIFE:
It is like packing a box and squeezing it smaller.</t>
        </is>
      </c>
      <c r="C57" s="29" t="inlineStr">
        <is>
          <t>08_Advanced_Beginner_LNX-056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121.5" customHeight="1">
      <c r="A2" s="29" t="inlineStr">
        <is>
          <t>MCQ: What is a Linux distribution?
A) The kernel bundled with tools and a package manager B) A programming language C) A web browser D) A hardware brand
FILL: The core part of Linux that manages hardware is called the ____
APPLY: A customer runs a different Linux family than you know. What stays the same?</t>
        </is>
      </c>
      <c r="B2" s="29" t="inlineStr">
        <is>
          <t>MCQ answer: A  A distribution is a complete system built around the Linux kernel.
Fill answer: kernel
Apply: Most commands, while package managers differ</t>
        </is>
      </c>
      <c r="C2" s="29" t="inlineStr">
        <is>
          <t>01_Basics_Beginner_LNX-001_quiz</t>
        </is>
      </c>
    </row>
    <row r="3" ht="81" customHeight="1">
      <c r="A3" s="29" t="inlineStr">
        <is>
          <t>MCQ: Which one interprets the commands you type?
A) The monitor B) The keyboard C) The kernel only D) The shell
FILL: Bash and Zsh are examples of a ____
APPLY: How do you find out which shell you are using?</t>
        </is>
      </c>
      <c r="B3" s="29" t="inlineStr">
        <is>
          <t>MCQ answer: D  The shell reads and runs commands.
Fill answer: shell
Apply: Run echo $0 (or ps -p $$)</t>
        </is>
      </c>
      <c r="C3" s="29" t="inlineStr">
        <is>
          <t>01_Basics_Beginner_LNX-002_quiz</t>
        </is>
      </c>
    </row>
    <row r="4" ht="81" customHeight="1">
      <c r="A4" s="29" t="inlineStr">
        <is>
          <t>MCQ: Where are system logs usually found?
A) /bin B) /var/log C) /home D) /etc/log only
FILL: Configuration files are usually in /____
APPLY: Where would you look for a web server's settings?</t>
        </is>
      </c>
      <c r="B4" s="29" t="inlineStr">
        <is>
          <t>MCQ answer: B  Logs normally live under /var/log.
Fill answer: etc
Apply: In /etc</t>
        </is>
      </c>
      <c r="C4" s="29" t="inlineStr">
        <is>
          <t>01_Basics_Beginner_LNX-003_quiz</t>
        </is>
      </c>
    </row>
    <row r="5" ht="94.5" customHeight="1">
      <c r="A5" s="29" t="inlineStr">
        <is>
          <t>MCQ: Which description matches an absolute path?
A) It begins with two dots B) It has no slash at all C) It starts at the root slash D) It begins with a single dot
FILL: Two dots in a path mean the ____ directory
APPLY: Why use absolute paths in cron scripts?</t>
        </is>
      </c>
      <c r="B5" s="29" t="inlineStr">
        <is>
          <t>MCQ answer: C  An absolute path starts at the root slash.
Fill answer: parent
Apply: Because cron does not start in the folder where the script lives</t>
        </is>
      </c>
      <c r="C5" s="29" t="inlineStr">
        <is>
          <t>01_Basics_Beginner_LNX-004_quiz</t>
        </is>
      </c>
    </row>
    <row r="6" ht="121.5" customHeight="1">
      <c r="A6" s="29" t="inlineStr">
        <is>
          <t>MCQ: Which command shows the manual page for grep?
A) show grep B) man grep C) help grep D) read grep
FILL: Inside a man page, press ____ to quit
HINDI TO TASK: Show the manual of the cp command.
PRACTICE QUESTION: Which command searches manual summaries for a keyword?</t>
        </is>
      </c>
      <c r="B6" s="29" t="inlineStr">
        <is>
          <t>MCQ answer: B  man followed by the command name opens its manual.
Fill answer: q
Task answer:
man cp
Practice answer:
man -k keyword</t>
        </is>
      </c>
      <c r="C6" s="29" t="inlineStr">
        <is>
          <t>01_Basics_Beginner_LNX-005_quiz</t>
        </is>
      </c>
    </row>
    <row r="7" ht="135" customHeight="1">
      <c r="A7" s="29" t="inlineStr">
        <is>
          <t>MCQ: Which command refreshes the list of available packages on Ubuntu?
A) sudo apt update B) sudo apt remove C) sudo apt clean D) apt list only
FILL: On Fedora the package manager is called ____
HINDI TO TASK: Install the package git using apt.
PRACTICE QUESTION: Why does apt install usually need sudo?</t>
        </is>
      </c>
      <c r="B7" s="29" t="inlineStr">
        <is>
          <t>MCQ answer: A  update downloads the latest package lists.
Fill answer: dnf
Task answer:
sudo apt install git
Practice answer:
Because installing software changes the system and needs administrator rights.</t>
        </is>
      </c>
      <c r="C7" s="29" t="inlineStr">
        <is>
          <t>01_Basics_Beginner_LNX-006_quiz</t>
        </is>
      </c>
    </row>
    <row r="8" ht="121.5" customHeight="1">
      <c r="A8" s="29" t="inlineStr">
        <is>
          <t>MCQ: Which flag shows hidden files?
A) -h B) -r C) -a D) -x
FILL: ls -____ shows the long format with details
HINDI TO TASK: List all files, including hidden ones, with readable sizes in long format.
PRACTICE QUESTION: What does the -h flag change in ls -lh?</t>
        </is>
      </c>
      <c r="B8" s="29" t="inlineStr">
        <is>
          <t>MCQ answer: C  -a means all, including names that start with a dot.
Fill answer: l
Task answer:
ls -lah
Practice answer:
It shows file sizes in a human-readable form such as 4.0K.</t>
        </is>
      </c>
      <c r="C8" s="29" t="inlineStr">
        <is>
          <t>02_Files_and_folders_Beginner_LNX-007_quiz</t>
        </is>
      </c>
    </row>
    <row r="9" ht="135" customHeight="1">
      <c r="A9" s="29" t="inlineStr">
        <is>
          <t>MCQ: How do you return to the directory you were in before?
A) Use the pwd command B) Use cd followed by a tilde C) Use cd followed by two dots D) Use cd followed by a single dash
FILL: The tilde ~ stands for your ____ directory
HINDI TO TASK: Go up two levels from the current directory.
PRACTICE QUESTION: Which command goes directly to your home directory?</t>
        </is>
      </c>
      <c r="B9" s="29" t="inlineStr">
        <is>
          <t>MCQ answer: D  cd - returns to the directory you were in before.
Fill answer: home
Task answer:
cd ../..
Practice answer:
cd (or cd ~)</t>
        </is>
      </c>
      <c r="C9" s="29" t="inlineStr">
        <is>
          <t>02_Files_and_folders_Beginner_LNX-008_quiz</t>
        </is>
      </c>
    </row>
    <row r="10" ht="121.5" customHeight="1">
      <c r="A10" s="29" t="inlineStr">
        <is>
          <t>MCQ: Which flag creates parent directories as needed?
A) -r B) -f C) -v D) -p
FILL: mkdir -____ a/b/c creates nested folders
HINDI TO TASK: Create the nested folders data/raw/2026 in one command.
PRACTICE QUESTION: Why does rmdir fail on a folder with files in it?</t>
        </is>
      </c>
      <c r="B10" s="29" t="inlineStr">
        <is>
          <t>MCQ answer: D  -p creates all missing parent directories.
Fill answer: p
Task answer:
mkdir -p data/raw/2026
Practice answer:
Because rmdir only removes empty directories.</t>
        </is>
      </c>
      <c r="C10" s="29" t="inlineStr">
        <is>
          <t>02_Files_and_folders_Beginner_LNX-009_quiz</t>
        </is>
      </c>
    </row>
    <row r="11" ht="108" customHeight="1">
      <c r="A11" s="29" t="inlineStr">
        <is>
          <t>MCQ: Which command renames a file?
A) rm B) ls C) mv D) cp
FILL: To copy a folder you must add the ____ flag
HINDI TO TASK: Rename notes.txt to notes_old.txt.
PRACTICE QUESTION: What does rm -rf do?</t>
        </is>
      </c>
      <c r="B11" s="29" t="inlineStr">
        <is>
          <t>MCQ answer: C  mv moves a file to a new name or place.
Fill answer: -r
Task answer:
mv notes.txt notes_old.txt
Practice answer:
It deletes a folder and everything inside it without asking.</t>
        </is>
      </c>
      <c r="C11" s="29" t="inlineStr">
        <is>
          <t>02_Files_and_folders_Beginner_LNX-010_quiz</t>
        </is>
      </c>
    </row>
    <row r="12" ht="121.5" customHeight="1">
      <c r="A12" s="29" t="inlineStr">
        <is>
          <t>MCQ: Which command reads the first bytes of something to report its kind?
A) mv B) file C) touch D) rm
FILL: touch creates an ____ file if it does not exist
HINDI TO TASK: Create an empty file named app.log.
PRACTICE QUESTION: What does touch do to an existing file?</t>
        </is>
      </c>
      <c r="B12" s="29" t="inlineStr">
        <is>
          <t>MCQ answer: B  file inspects the content to find the type.
Fill answer: empty
Task answer:
touch app.log
Practice answer:
It updates its timestamps without changing the content.</t>
        </is>
      </c>
      <c r="C12" s="29" t="inlineStr">
        <is>
          <t>02_Files_and_folders_Beginner_LNX-011_quiz</t>
        </is>
      </c>
    </row>
    <row r="13" ht="108" customHeight="1">
      <c r="A13" s="29" t="inlineStr">
        <is>
          <t>MCQ: Which command follows new lines added to a file?
A) tail -f B) cat -f C) head -f D) less -n
FILL: To see the first five lines you use head -n ____ file
HINDI TO TASK: Show the last 30 lines of server.log.
PRACTICE QUESTION: Which key quits the less viewer?</t>
        </is>
      </c>
      <c r="B13" s="29" t="inlineStr">
        <is>
          <t>MCQ answer: A  tail -f keeps printing lines as they are added.
Fill answer: 5
Task answer:
tail -n 30 server.log
Practice answer:
q</t>
        </is>
      </c>
      <c r="C13" s="29" t="inlineStr">
        <is>
          <t>02_Files_and_folders_Beginner_LNX-012_quiz</t>
        </is>
      </c>
    </row>
    <row r="14" ht="108" customHeight="1">
      <c r="A14" s="29" t="inlineStr">
        <is>
          <t>MCQ: Which test finds files modified more than seven days ago?
A) -name 7 B) -type 7 C) -mtime +7 D) -size +7
FILL: find . -____ f matches only regular files
HINDI TO TASK: Find all files ending in .conf under /etc.
PRACTICE QUESTION: What does {} stand for in -exec?</t>
        </is>
      </c>
      <c r="B14" s="29" t="inlineStr">
        <is>
          <t>MCQ answer: C  -mtime +7 matches items older than seven days.
Fill answer: type
Task answer:
find /etc -name "*.conf"
Practice answer:
The name of the current matching file.</t>
        </is>
      </c>
      <c r="C14" s="29" t="inlineStr">
        <is>
          <t>02_Files_and_folders_Intermediate_LNX-013_quiz</t>
        </is>
      </c>
    </row>
    <row r="15" ht="148.5" customHeight="1">
      <c r="A15" s="29" t="inlineStr">
        <is>
          <t>MCQ: Which wildcard stands for any single character, whatever it is?
A) Square brackets B) Curly braces C) The asterisk D) The question mark
FILL: The ____ wildcard matches any number of characters
HINDI TO TASK: List all files that start with report and end with .pdf.
PRACTICE QUESTION: What happens to an unquoted pattern before the command runs?</t>
        </is>
      </c>
      <c r="B15" s="29" t="inlineStr">
        <is>
          <t>MCQ answer: D  The question mark stands for exactly one character.
Fill answer: *
Task answer:
ls report*.pdf
Practice answer:
The shell expands it into the list of matching file names.</t>
        </is>
      </c>
      <c r="C15" s="29" t="inlineStr">
        <is>
          <t>02_Files_and_folders_Beginner_LNX-014_quiz</t>
        </is>
      </c>
    </row>
    <row r="16" ht="121.5" customHeight="1">
      <c r="A16" s="29" t="inlineStr">
        <is>
          <t>MCQ: Which flag creates a symbolic link?
A) -h B) -s C) -l D) -r
FILL: A symbolic link stores the ____ of its target
HINDI TO TASK: Create a symbolic link named current to the folder releases/v5.
PRACTICE QUESTION: Which command shows where a symbolic link points?</t>
        </is>
      </c>
      <c r="B16" s="29" t="inlineStr">
        <is>
          <t>MCQ answer: B  ln -s makes a symbolic link.
Fill answer: path
Task answer:
ln -s releases/v5 current
Practice answer:
readlink linkname (or ls -l)</t>
        </is>
      </c>
      <c r="C16" s="29" t="inlineStr">
        <is>
          <t>02_Files_and_folders_Intermediate_LNX-015_quiz</t>
        </is>
      </c>
    </row>
    <row r="17" ht="121.5" customHeight="1">
      <c r="A17" s="29" t="inlineStr">
        <is>
          <t>MCQ: Which flag makes grep ignore upper and lower case?
A) -i B) -n C) -v D) -c
FILL: grep -____ pattern file prints only lines that do not match
HINDI TO TASK: Count the lines containing the word failed in deploy.log.
PRACTICE QUESTION: Which flag shows line numbers with each match?</t>
        </is>
      </c>
      <c r="B17" s="29" t="inlineStr">
        <is>
          <t>MCQ answer: A  -i ignores case differences.
Fill answer: v
Task answer:
grep -c "failed" deploy.log
Practice answer:
-n</t>
        </is>
      </c>
      <c r="C17" s="29" t="inlineStr">
        <is>
          <t>03_Text_tools_Beginner_LNX-016_quiz</t>
        </is>
      </c>
    </row>
    <row r="18" ht="135" customHeight="1">
      <c r="A18" s="29" t="inlineStr">
        <is>
          <t>MCQ: What does the g at the end of s/a/b/g do?
A) Gives a report B) Goes to the next file C) Greps the file D) Replaces every match on a line
FILL: sed ____ file.txt edits the file in place
HINDI TO TASK: Print only lines 3 to 6 of notes.txt.
PRACTICE QUESTION: Which sed command deletes lines that start with a hash?</t>
        </is>
      </c>
      <c r="B18" s="29" t="inlineStr">
        <is>
          <t>MCQ answer: D  Without g only the first match on each line is replaced.
Fill answer: -i
Task answer:
sed -n '3,6p' notes.txt
Practice answer:
sed '/^#/d' file</t>
        </is>
      </c>
      <c r="C18" s="29" t="inlineStr">
        <is>
          <t>03_Text_tools_Intermediate_LNX-017_quiz</t>
        </is>
      </c>
    </row>
    <row r="19" ht="121.5" customHeight="1">
      <c r="A19" s="29" t="inlineStr">
        <is>
          <t>MCQ: In awk, what does $0 represent?
A) The whole line B) The first field C) The last field D) The line number
FILL: The special variable ____ holds the number of fields in a line
HINDI TO TASK: Print the first field of every line in names.txt.
PRACTICE QUESTION: Which block runs after the last line is read?</t>
        </is>
      </c>
      <c r="B19" s="29" t="inlineStr">
        <is>
          <t>MCQ answer: A  $0 holds the entire input line.
Fill answer: NF
Task answer:
awk '{print $1}' names.txt
Practice answer:
END</t>
        </is>
      </c>
      <c r="C19" s="29" t="inlineStr">
        <is>
          <t>03_Text_tools_Intermediate_LNX-018_quiz</t>
        </is>
      </c>
    </row>
    <row r="20" ht="121.5" customHeight="1">
      <c r="A20" s="29" t="inlineStr">
        <is>
          <t>MCQ: Why must the input to uniq be sorted?
A) uniq cannot read files B) uniq only joins adjacent duplicates C) uniq deletes sorted lines D) uniq needs numbers
FILL: uniq -____ puts the number of repeats in front of each line
HINDI TO TASK: Sort a file numerically from largest to smallest.
PRACTICE QUESTION: Which sort flag orders numbers by value?</t>
        </is>
      </c>
      <c r="B20" s="29" t="inlineStr">
        <is>
          <t>MCQ answer: B  uniq compares each line only with the one before it.
Fill answer: c
Task answer:
sort -nr numbers.txt
Practice answer:
-n</t>
        </is>
      </c>
      <c r="C20" s="29" t="inlineStr">
        <is>
          <t>03_Text_tools_Intermediate_LNX-019_quiz</t>
        </is>
      </c>
    </row>
    <row r="21" ht="108" customHeight="1">
      <c r="A21" s="29" t="inlineStr">
        <is>
          <t>MCQ: Which flag counts lines?
A) -m B) -w C) -l D) -c
FILL: ls | wc -l counts the ____ in a folder
HINDI TO TASK: Count the lines of users.csv.
PRACTICE QUESTION: Which flag counts words?</t>
        </is>
      </c>
      <c r="B21" s="29" t="inlineStr">
        <is>
          <t>MCQ answer: C  -l stands for lines.
Fill answer: entries
Task answer:
wc -l users.csv
Practice answer:
-w</t>
        </is>
      </c>
      <c r="C21" s="29" t="inlineStr">
        <is>
          <t>03_Text_tools_Beginner_LNX-020_quiz</t>
        </is>
      </c>
    </row>
    <row r="22" ht="121.5" customHeight="1">
      <c r="A22" s="29" t="inlineStr">
        <is>
          <t>MCQ: What does tr -d '\r' do?
A) Sorts lines B) Replaces words C) Deletes carriage return characters D) Reads a file
FILL: tr reads only from standard ____
HINDI TO TASK: Convert the text in notes.txt to upper case.
PRACTICE QUESTION: Which flag squeezes repeated characters into one?</t>
        </is>
      </c>
      <c r="B22" s="29" t="inlineStr">
        <is>
          <t>MCQ answer: C  -d deletes the characters in the set.
Fill answer: input
Task answer:
tr 'a-z' 'A-Z' &lt; notes.txt
Practice answer:
-s</t>
        </is>
      </c>
      <c r="C22" s="29" t="inlineStr">
        <is>
          <t>03_Text_tools_Intermediate_LNX-021_quiz</t>
        </is>
      </c>
    </row>
    <row r="23" ht="135" customHeight="1">
      <c r="A23" s="29" t="inlineStr">
        <is>
          <t>MCQ: What does a pipe connect?
A) Two users B) Two files C) Two disks D) Output of one command to input of the next
FILL: The pipe symbol is the vertical ____
HINDI TO TASK: Count how many files are in the current folder using a pipe.
PRACTICE QUESTION: Which stream does a pipe carry by default?</t>
        </is>
      </c>
      <c r="B23" s="29" t="inlineStr">
        <is>
          <t>MCQ answer: D  The pipe passes standard output into the next command's input.
Fill answer: bar
Task answer:
ls | wc -l
Practice answer:
Standard output</t>
        </is>
      </c>
      <c r="C23" s="29" t="inlineStr">
        <is>
          <t>03_Text_tools_Beginner_LNX-022_quiz</t>
        </is>
      </c>
    </row>
    <row r="24" ht="135" customHeight="1">
      <c r="A24" s="29" t="inlineStr">
        <is>
          <t>MCQ: Which operator appends to a file?
A) The double greater-than sign B) The less-than sign C) The pipe D) The single greater-than sign
FILL: The special file /dev/____ discards everything written to it
HINDI TO TASK: Save the output of ls into list.txt, replacing the old file.
PRACTICE QUESTION: What does 2&gt;&amp;1 do?</t>
        </is>
      </c>
      <c r="B24" s="29" t="inlineStr">
        <is>
          <t>MCQ answer: A  &gt;&gt; adds to the end of the file instead of replacing it.
Fill answer: null
Task answer:
ls &gt; list.txt
Practice answer:
It sends the error stream to the same place as standard output.</t>
        </is>
      </c>
      <c r="C24" s="29" t="inlineStr">
        <is>
          <t>03_Text_tools_Intermediate_LNX-023_quiz</t>
        </is>
      </c>
    </row>
    <row r="25" ht="135" customHeight="1">
      <c r="A25" s="29" t="inlineStr">
        <is>
          <t>MCQ: What does xargs do?
A) Lists files B) Turns input lines into command arguments C) Sorts text D) Changes permissions
FILL: xargs -____ 1 runs the command once per item
HINDI TO TASK: Run ping once for every host name in hosts.txt.
PRACTICE QUESTION: Which pair of options handles file names with spaces?</t>
        </is>
      </c>
      <c r="B25" s="29" t="inlineStr">
        <is>
          <t>MCQ answer: B  xargs builds a command from the items it reads.
Fill answer: n
Task answer:
cat hosts.txt | xargs -n 1 ping -c 1
Practice answer:
find -print0 together with xargs -0</t>
        </is>
      </c>
      <c r="C25" s="29" t="inlineStr">
        <is>
          <t>03_Text_tools_Advanced_LNX-024_quiz</t>
        </is>
      </c>
    </row>
    <row r="26" ht="108" customHeight="1">
      <c r="A26" s="29" t="inlineStr">
        <is>
          <t>MCQ: Which command prints the team memberships of the current user?
A) groups B) users C) logins D) whoami
FILL: The administrator account has user id ____
HINDI TO TASK: Show your user id and groups.
PRACTICE QUESTION: Where are user accounts listed?</t>
        </is>
      </c>
      <c r="B26" s="29" t="inlineStr">
        <is>
          <t>MCQ answer: A  groups prints the group names of a user.
Fill answer: 0
Task answer:
id
Practice answer:
/etc/passwd</t>
        </is>
      </c>
      <c r="C26" s="29" t="inlineStr">
        <is>
          <t>04_Users_and_permissions_Beginner_LNX-025_quiz</t>
        </is>
      </c>
    </row>
    <row r="27" ht="81" customHeight="1">
      <c r="A27" s="29" t="inlineStr">
        <is>
          <t>MCQ: What number is the permission rw-r--r--?
A) 755 B) 777 C) 600 D) 644
FILL: The execute permission has the value ____
APPLY: A script gives permission denied. What is likely missing?</t>
        </is>
      </c>
      <c r="B27" s="29" t="inlineStr">
        <is>
          <t>MCQ answer: D  rw- is 6, r-- is 4 and r-- is 4.
Fill answer: 1
Apply: The execute permission</t>
        </is>
      </c>
      <c r="C27" s="29" t="inlineStr">
        <is>
          <t>04_Users_and_permissions_Beginner_LNX-026_quiz</t>
        </is>
      </c>
    </row>
    <row r="28" ht="135" customHeight="1">
      <c r="A28" s="29" t="inlineStr">
        <is>
          <t>MCQ: Which command makes a script executable?
A) chown +x script.sh B) ls +x script.sh C) chmod +x script.sh D) run script.sh
FILL: chmod 600 gives read and write to the ____ only
HINDI TO TASK: Give the owner read and write, and everyone else no permissions, on private.txt.
PRACTICE QUESTION: What does the -R flag do?</t>
        </is>
      </c>
      <c r="B28" s="29" t="inlineStr">
        <is>
          <t>MCQ answer: C  chmod +x adds the execute permission.
Fill answer: owner
Task answer:
chmod 600 private.txt
Practice answer:
It applies the change recursively to everything inside a folder.</t>
        </is>
      </c>
      <c r="C28" s="29" t="inlineStr">
        <is>
          <t>04_Users_and_permissions_Beginner_LNX-027_quiz</t>
        </is>
      </c>
    </row>
    <row r="29" ht="121.5" customHeight="1">
      <c r="A29" s="29" t="inlineStr">
        <is>
          <t>MCQ: Which command changes the owner of a file?
A) chroot B) chown C) chmod D) chcon
FILL: In chown asha:staff file, staff is the ____
HINDI TO TASK: Give the folder data to the user deploy and the group deploy, recursively.
PRACTICE QUESTION: Why does chown usually need sudo?</t>
        </is>
      </c>
      <c r="B29" s="29" t="inlineStr">
        <is>
          <t>MCQ answer: B  chown changes the owner and group.
Fill answer: group
Task answer:
sudo chown -R deploy:deploy data
Practice answer:
Because only root may change the owner of a file.</t>
        </is>
      </c>
      <c r="C29" s="29" t="inlineStr">
        <is>
          <t>04_Users_and_permissions_Intermediate_LNX-028_quiz</t>
        </is>
      </c>
    </row>
    <row r="30" ht="108" customHeight="1">
      <c r="A30" s="29" t="inlineStr">
        <is>
          <t>MCQ: Which command safely edits the sudoers file?
A) vim only B) nano /etc/passwd C) cat D) visudo
FILL: sudo -u ____ psql runs psql as the database user
HINDI TO TASK: Restart the nginx service with administrator rights.
PRACTICE QUESTION: Whose password does sudo ask for?</t>
        </is>
      </c>
      <c r="B30" s="29" t="inlineStr">
        <is>
          <t>MCQ answer: D  visudo checks the syntax before saving.
Fill answer: postgres
Task answer:
sudo systemctl restart nginx
Practice answer:
Your own password.</t>
        </is>
      </c>
      <c r="C30" s="29" t="inlineStr">
        <is>
          <t>04_Users_and_permissions_Beginner_LNX-029_quiz</t>
        </is>
      </c>
    </row>
    <row r="31" ht="148.5" customHeight="1">
      <c r="A31" s="29" t="inlineStr">
        <is>
          <t>MCQ: With umask 022, what permission does a new file get?
A) 644 B) 755 C) 777 D) 600
FILL: The starting mode for new files is ____ before the mask is applied
HINDI TO TASK: Set a mask so new files are readable only by the owner.
PRACTICE QUESTION: What mode does a new directory get with umask 027?</t>
        </is>
      </c>
      <c r="B31" s="29" t="inlineStr">
        <is>
          <t>MCQ answer: A  666 minus 022 gives 644.
Fill answer: 666
Task answer:
umask 077
Practice answer:
750</t>
        </is>
      </c>
      <c r="C31" s="29" t="inlineStr">
        <is>
          <t>04_Users_and_permissions_Intermediate_LNX-030_quiz</t>
        </is>
      </c>
    </row>
    <row r="32" ht="121.5" customHeight="1">
      <c r="A32" s="29" t="inlineStr">
        <is>
          <t>MCQ: Which mode is right for a private SSH key?
A) 666 B) 600 C) 777 D) 755
FILL: The .ssh folder should have mode ____
HINDI TO TASK: Make the key file key.pem readable only by you.
PRACTICE QUESTION: Which mode do many cloud providers suggest for a downloaded key?</t>
        </is>
      </c>
      <c r="B32" s="29" t="inlineStr">
        <is>
          <t>MCQ answer: B  Only the owner should read and write the private key.
Fill answer: 700
Task answer:
chmod 400 key.pem
Practice answer:
400</t>
        </is>
      </c>
      <c r="C32" s="29" t="inlineStr">
        <is>
          <t>04_Users_and_permissions_Intermediate_LNX-031_quiz</t>
        </is>
      </c>
    </row>
    <row r="33" ht="108" customHeight="1">
      <c r="A33" s="29" t="inlineStr">
        <is>
          <t>MCQ: Which tool updates its view of processes live?
A) cat B) ls C) top D) ps
FILL: Each running program has a numeric process ____ called a PID
HINDI TO TASK: List all processes whose command contains nginx.
PRACTICE QUESTION: Which key quits top?</t>
        </is>
      </c>
      <c r="B33" s="29" t="inlineStr">
        <is>
          <t>MCQ answer: C  top refreshes every few seconds.
Fill answer: id
Task answer:
ps aux | grep nginx
Practice answer:
q</t>
        </is>
      </c>
      <c r="C33" s="29" t="inlineStr">
        <is>
          <t>05_Processes_and_system_Beginner_LNX-032_quiz</t>
        </is>
      </c>
    </row>
    <row r="34" ht="121.5" customHeight="1">
      <c r="A34" s="29" t="inlineStr">
        <is>
          <t>MCQ: Which signal cannot be caught or ignored by a program?
A) SIGINT B) SIGKILL C) SIGTERM D) SIGHUP
FILL: The default signal sent by kill is SIG____
HINDI TO TASK: Force a process with id 2345 to stop.
PRACTICE QUESTION: Which key combination sends SIGINT to the foreground program?</t>
        </is>
      </c>
      <c r="B34" s="29" t="inlineStr">
        <is>
          <t>MCQ answer: B  SIGKILL is handled by the kernel and cannot be caught.
Fill answer: TERM
Task answer:
kill -9 2345
Practice answer:
Ctrl and C</t>
        </is>
      </c>
      <c r="C34" s="29" t="inlineStr">
        <is>
          <t>05_Processes_and_system_Intermediate_LNX-033_quiz</t>
        </is>
      </c>
    </row>
    <row r="35" ht="121.5" customHeight="1">
      <c r="A35" s="29" t="inlineStr">
        <is>
          <t>MCQ: Which tool keeps a job running after logout?
A) pwd B) head C) cat D) nohup
FILL: Ctrl and Z ____ the foreground job
HINDI TO TASK: Run backup.sh in the background and keep it running after logout.
PRACTICE QUESTION: What does the jobs command show?</t>
        </is>
      </c>
      <c r="B35" s="29" t="inlineStr">
        <is>
          <t>MCQ answer: D  nohup ignores the hangup signal.
Fill answer: suspends
Task answer:
nohup ./backup.sh &gt; backup.log 2&gt;&amp;1 &amp;
Practice answer:
The jobs started from the current shell and their state.</t>
        </is>
      </c>
      <c r="C35" s="29" t="inlineStr">
        <is>
          <t>05_Processes_and_system_Intermediate_LNX-034_quiz</t>
        </is>
      </c>
    </row>
    <row r="36" ht="135" customHeight="1">
      <c r="A36" s="29" t="inlineStr">
        <is>
          <t>MCQ: Which command makes a service start at boot?
A) systemctl cat B) systemctl status C) systemctl enable D) systemctl start
FILL: After editing a unit file, run systemctl daemon-____
HINDI TO TASK: Check whether the ssh service is active.
PRACTICE QUESTION: Which option starts a service now and enables it at boot?</t>
        </is>
      </c>
      <c r="B36" s="29" t="inlineStr">
        <is>
          <t>MCQ answer: C  enable creates the links that start the service at boot.
Fill answer: reload
Task answer:
systemctl is-active ssh
Practice answer:
systemctl enable --now service</t>
        </is>
      </c>
      <c r="C36" s="29" t="inlineStr">
        <is>
          <t>05_Processes_and_system_Intermediate_LNX-035_quiz</t>
        </is>
      </c>
    </row>
    <row r="37" ht="121.5" customHeight="1">
      <c r="A37" s="29" t="inlineStr">
        <is>
          <t>MCQ: Which flag follows new journal entries?
A) -f B) -b C) -p D) -u
FILL: journalctl -u ____ shows the logs of one service
HINDI TO TASK: Show the logs of the docker service from the last hour.
PRACTICE QUESTION: Which flag limits entries to the current boot?</t>
        </is>
      </c>
      <c r="B37" s="29" t="inlineStr">
        <is>
          <t>MCQ answer: A  -f follows new entries like tail -f.
Fill answer: name
Task answer:
journalctl -u docker --since "1 hour ago"
Practice answer:
-b</t>
        </is>
      </c>
      <c r="C37" s="29" t="inlineStr">
        <is>
          <t>05_Processes_and_system_Intermediate_LNX-036_quiz</t>
        </is>
      </c>
    </row>
    <row r="38" ht="135" customHeight="1">
      <c r="A38" s="29" t="inlineStr">
        <is>
          <t>MCQ: What does */15 in the minute field mean?
A) Fifteen times an hour only B) At minute 15 only C) Every fifteen minutes D) Every fifteen hours
FILL: The first field of a crontab line is the ____
HINDI TO TASK: Write a cron line that runs /opt/clean.sh every day at 03:30.
PRACTICE QUESTION: Why should cron jobs use absolute paths?</t>
        </is>
      </c>
      <c r="B38" s="29" t="inlineStr">
        <is>
          <t>MCQ answer: C  The slash sets a step of fifteen.
Fill answer: minute
Task answer:
30 3 * * * /opt/clean.sh
Practice answer:
Because cron has a minimal environment and starts in the home folder, not the script's folder.</t>
        </is>
      </c>
      <c r="C38" s="29" t="inlineStr">
        <is>
          <t>05_Processes_and_system_Intermediate_LNX-037_quiz</t>
        </is>
      </c>
    </row>
    <row r="39" ht="121.5" customHeight="1">
      <c r="A39" s="29" t="inlineStr">
        <is>
          <t>MCQ: Which command shows how full each disk is?
A) free B) du -sh C) ls -l D) df -h
FILL: du -____ prints one total for a folder
HINDI TO TASK: Show the total size of the /var/log folder in readable form.
PRACTICE QUESTION: What does df -i show?</t>
        </is>
      </c>
      <c r="B39" s="29" t="inlineStr">
        <is>
          <t>MCQ answer: D  df reports file system usage.
Fill answer: s
Task answer:
du -sh /var/log
Practice answer:
Inode usage of the file systems.</t>
        </is>
      </c>
      <c r="C39" s="29" t="inlineStr">
        <is>
          <t>05_Processes_and_system_Beginner_LNX-038_quiz</t>
        </is>
      </c>
    </row>
    <row r="40" ht="135" customHeight="1">
      <c r="A40" s="29" t="inlineStr">
        <is>
          <t>MCQ: Which free column shows memory that applications can really use?
A) available B) total C) buff D) shared
FILL: A load higher than the number of cores suggests the machine is ____
HINDI TO TASK: Show memory use in human-readable form.
PRACTICE QUESTION: Which command prints the number of CPU cores?</t>
        </is>
      </c>
      <c r="B40" s="29" t="inlineStr">
        <is>
          <t>MCQ answer: A  available estimates memory that can be used without swapping.
Fill answer: overloaded
Task answer:
free -h
Practice answer:
nproc</t>
        </is>
      </c>
      <c r="C40" s="29" t="inlineStr">
        <is>
          <t>05_Processes_and_system_Intermediate_LNX-039_quiz</t>
        </is>
      </c>
    </row>
    <row r="41" ht="121.5" customHeight="1">
      <c r="A41" s="29" t="inlineStr">
        <is>
          <t>MCQ: If an IP address answers but its name does not, what is likely wrong?
A) The disk B) DNS C) The CPU D) The cable
FILL: ping -____ 4 host sends four packets
HINDI TO TASK: Send exactly three ping packets to example.com.
PRACTICE QUESTION: What does ping time show?</t>
        </is>
      </c>
      <c r="B41" s="29" t="inlineStr">
        <is>
          <t>MCQ answer: B  The name could not be resolved to an address.
Fill answer: c
Task answer:
ping -c 3 example.com
Practice answer:
The round trip time of the packet in milliseconds.</t>
        </is>
      </c>
      <c r="C41" s="29" t="inlineStr">
        <is>
          <t>06_Network_tools_Beginner_LNX-040_quiz</t>
        </is>
      </c>
    </row>
    <row r="42" ht="121.5" customHeight="1">
      <c r="A42" s="29" t="inlineStr">
        <is>
          <t>MCQ: Which curl option shows only the response headers?
A) -o B) -I C) -L D) -s
FILL: curl -____ follows redirects
HINDI TO TASK: Print only the HTTP status code of https://example.com.
PRACTICE QUESTION: Which option saves the response to a file?</t>
        </is>
      </c>
      <c r="B42" s="29" t="inlineStr">
        <is>
          <t>MCQ answer: B  -I sends a HEAD request and prints the headers.
Fill answer: L
Task answer:
curl -s -o /dev/null -w "%{http_code}\n" https://example.com
Practice answer:
-o</t>
        </is>
      </c>
      <c r="C42" s="29" t="inlineStr">
        <is>
          <t>06_Network_tools_Beginner_LNX-041_quiz</t>
        </is>
      </c>
    </row>
    <row r="43" ht="121.5" customHeight="1">
      <c r="A43" s="29" t="inlineStr">
        <is>
          <t>MCQ: Which tool sends only changed files?
A) cat B) scp C) rsync D) mv
FILL: ssh -____ selects a private key file
HINDI TO TASK: Copy report.txt to the /tmp folder of host server1 as user asha.
PRACTICE QUESTION: What does rsync -n do?</t>
        </is>
      </c>
      <c r="B43" s="29" t="inlineStr">
        <is>
          <t>MCQ answer: C  rsync compares source and target and sends differences.
Fill answer: i
Task answer:
scp report.txt asha@server1:/tmp/
Practice answer:
It does a dry run and shows what would be done.</t>
        </is>
      </c>
      <c r="C43" s="29" t="inlineStr">
        <is>
          <t>06_Network_tools_Intermediate_LNX-042_quiz</t>
        </is>
      </c>
    </row>
    <row r="44" ht="121.5" customHeight="1">
      <c r="A44" s="29" t="inlineStr">
        <is>
          <t>MCQ: Which flag of ss shows listening sockets?
A) -p B) -t C) -u D) -l
FILL: A service bound to 127.0.0.1 accepts only ____ connections
HINDI TO TASK: Show all listening TCP ports with their process names.
PRACTICE QUESTION: What does 0.0.0.0 mean as a listening address?</t>
        </is>
      </c>
      <c r="B44" s="29" t="inlineStr">
        <is>
          <t>MCQ answer: D  -l limits output to listening sockets.
Fill answer: local
Task answer:
sudo ss -ltnp
Practice answer:
The service listens on all network interfaces.</t>
        </is>
      </c>
      <c r="C44" s="29" t="inlineStr">
        <is>
          <t>06_Network_tools_Intermediate_LNX-043_quiz</t>
        </is>
      </c>
    </row>
    <row r="45" ht="121.5" customHeight="1">
      <c r="A45" s="29" t="inlineStr">
        <is>
          <t>MCQ: Which command shows the routing table?
A) ip route B) ip addr C) ip link D) ip neigh
FILL: The loopback address is 127.0.0.____
HINDI TO TASK: Show a brief list of interfaces and addresses.
PRACTICE QUESTION: Which command shows the route used to reach a given address?</t>
        </is>
      </c>
      <c r="B45" s="29" t="inlineStr">
        <is>
          <t>MCQ answer: A  ip route lists the routes.
Fill answer: 1
Task answer:
ip -br a
Practice answer:
ip route get address</t>
        </is>
      </c>
      <c r="C45" s="29" t="inlineStr">
        <is>
          <t>06_Network_tools_Intermediate_LNX-044_quiz</t>
        </is>
      </c>
    </row>
    <row r="46" ht="108" customHeight="1">
      <c r="A46" s="29" t="inlineStr">
        <is>
          <t>MCQ: Which record type names mail servers?
A) MX B) A C) CNAME D) TXT
FILL: dig ____ example.com prints only the answer
HINDI TO TASK: Show only the IP address of example.com.
PRACTICE QUESTION: What does TTL mean in a DNS answer?</t>
        </is>
      </c>
      <c r="B46" s="29" t="inlineStr">
        <is>
          <t>MCQ answer: A  MX records point to the mail servers of a domain.
Fill answer: +short
Task answer:
dig +short example.com
Practice answer:
How long the answer may be cached.</t>
        </is>
      </c>
      <c r="C46" s="29" t="inlineStr">
        <is>
          <t>06_Network_tools_Intermediate_LNX-045_quiz</t>
        </is>
      </c>
    </row>
    <row r="47" ht="121.5" customHeight="1">
      <c r="A47" s="29" t="inlineStr">
        <is>
          <t>MCQ: What does the first line #!/usr/bin/env bash do?
A) Locks the file B) Deletes the script C) Counts lines D) Names the interpreter
FILL: To run ./hello.sh directly, the file needs the ____ permission
HINDI TO TASK: Make deploy.sh executable and run it.
PRACTICE QUESTION: Why is ./ needed before a script name?</t>
        </is>
      </c>
      <c r="B47" s="29" t="inlineStr">
        <is>
          <t>MCQ answer: D  The system uses it to pick the program that runs the script.
Fill answer: execute
Task answer:
chmod +x deploy.sh &amp;&amp; ./deploy.sh
Practice answer:
Because the current folder is not in PATH.</t>
        </is>
      </c>
      <c r="C47" s="29" t="inlineStr">
        <is>
          <t>07_Bash_scripting_Beginner_LNX-046_quiz</t>
        </is>
      </c>
    </row>
    <row r="48" ht="148.5" customHeight="1">
      <c r="A48" s="29" t="inlineStr">
        <is>
          <t>MCQ: How do you assign a variable correctly in Bash?
A) Put spaces on both sides of the equals sign B) Write the name, an equals sign and the value with no spaces C) Start the name with a dollar sign when assigning D) Use the set keyword followed by spaces
FILL: Wrapping a command in $( ) captures its ____
HINDI TO TASK: Store the current date in a variable called today.
PRACTICE QUESTION: What is the difference between "$name" and '$name'?</t>
        </is>
      </c>
      <c r="B48" s="29" t="inlineStr">
        <is>
          <t>MCQ answer: B  Assignment has no spaces around the equals sign and no dollar on the left.
Fill answer: output
Task answer:
today=$(date +%F)
Practice answer:
Double quotes expand the variable, single quotes keep the text as it is.</t>
        </is>
      </c>
      <c r="C48" s="29" t="inlineStr">
        <is>
          <t>07_Bash_scripting_Beginner_LNX-047_quiz</t>
        </is>
      </c>
    </row>
    <row r="49" ht="108" customHeight="1">
      <c r="A49" s="29" t="inlineStr">
        <is>
          <t>MCQ: Which test checks that a file exists and is a regular file?
A) -z B) -d C) -f D) -gt
FILL: Every if statement ends with ____
HINDI TO TASK: Print yes if the folder /tmp exists.
PRACTICE QUESTION: Which operator compares two numbers for equality?</t>
        </is>
      </c>
      <c r="B49" s="29" t="inlineStr">
        <is>
          <t>MCQ answer: C  -f is true for a regular file.
Fill answer: fi
Task answer:
if [[ -d /tmp ]]; then echo yes; fi
Practice answer:
-eq</t>
        </is>
      </c>
      <c r="C49" s="29" t="inlineStr">
        <is>
          <t>07_Bash_scripting_Beginner_LNX-048_quiz</t>
        </is>
      </c>
    </row>
    <row r="50" ht="108" customHeight="1">
      <c r="A50" s="29" t="inlineStr">
        <is>
          <t>MCQ: Which loop reads a file line by line?
A) for in ls B) while read C) case D) until
FILL: A loop body ends with the keyword ____
HINDI TO TASK: Print the numbers one to five using a loop.
PRACTICE QUESTION: Which keyword leaves a loop early?</t>
        </is>
      </c>
      <c r="B50" s="29" t="inlineStr">
        <is>
          <t>MCQ answer: B  while read -r processes each line safely.
Fill answer: done
Task answer:
for i in {1..5}; do echo "$i"; done
Practice answer:
break</t>
        </is>
      </c>
      <c r="C50" s="29" t="inlineStr">
        <is>
          <t>07_Bash_scripting_Beginner_LNX-049_quiz</t>
        </is>
      </c>
    </row>
    <row r="51" ht="121.5" customHeight="1">
      <c r="A51" s="29" t="inlineStr">
        <is>
          <t>MCQ: Which special variable holds how many arguments were passed?
A) $0 (zero) B) $@ (at sign) C) $1 (one) D) $# (hash)
FILL: Inside a function, use ____ to make a variable private
HINDI TO TASK: Write a function that prints Hello followed by its first argument.
PRACTICE QUESTION: What does $0 hold in a script?</t>
        </is>
      </c>
      <c r="B51" s="29" t="inlineStr">
        <is>
          <t>MCQ answer: D  $# is the count of arguments.
Fill answer: local
Task answer:
hello() { echo "Hello, $1"; }
Practice answer:
The name of the script.</t>
        </is>
      </c>
      <c r="C51" s="29" t="inlineStr">
        <is>
          <t>07_Bash_scripting_Intermediate_LNX-050_quiz</t>
        </is>
      </c>
    </row>
    <row r="52" ht="108" customHeight="1">
      <c r="A52" s="29" t="inlineStr">
        <is>
          <t>MCQ: What does an exit code of 0 mean?
A) Timeout B) Warning C) Success D) Failure
FILL: The variable ____ holds the exit status of the last command
HINDI TO TASK: Print the exit code of the last command.
PRACTICE QUESTION: What does &amp;&amp; do?</t>
        </is>
      </c>
      <c r="B52" s="29" t="inlineStr">
        <is>
          <t>MCQ answer: C  Zero means the command succeeded.
Fill answer: $?
Task answer:
echo $?
Practice answer:
It runs the next command only if the previous one succeeded.</t>
        </is>
      </c>
      <c r="C52" s="29" t="inlineStr">
        <is>
          <t>07_Bash_scripting_Intermediate_LNX-051_quiz</t>
        </is>
      </c>
    </row>
    <row r="53" ht="135" customHeight="1">
      <c r="A53" s="29" t="inlineStr">
        <is>
          <t>MCQ: What does set -u do?
A) Treats unset variables as errors B) Uses UTF-8 C) Updates packages D) Unlocks files
FILL: The option that makes a failing pipe step fail the whole pipe is ____
HINDI TO TASK: Write the strict mode line for a Bash script.
PRACTICE QUESTION: What does set -e do?</t>
        </is>
      </c>
      <c r="B53" s="29" t="inlineStr">
        <is>
          <t>MCQ answer: A  -u stops the script when an unset variable is used.
Fill answer: pipefail
Task answer:
set -euo pipefail
Practice answer:
It exits the script when a command fails.</t>
        </is>
      </c>
      <c r="C53" s="29" t="inlineStr">
        <is>
          <t>07_Bash_scripting_Advanced_LNX-052_quiz</t>
        </is>
      </c>
    </row>
    <row r="54" ht="121.5" customHeight="1">
      <c r="A54" s="29" t="inlineStr">
        <is>
          <t>MCQ: What does export do?
A) Locks a variable B) Prints a variable C) Deletes a variable D) Makes a variable available to child programs
FILL: The folders in PATH are separated by a ____
HINDI TO TASK: Add /opt/tools to the end of PATH.
PRACTICE QUESTION: Which command shows where a command comes from?</t>
        </is>
      </c>
      <c r="B54" s="29" t="inlineStr">
        <is>
          <t>MCQ answer: D  export marks the variable for the environment of child processes.
Fill answer: colon
Task answer:
export PATH="$PATH:/opt/tools"
Practice answer:
which command (or type -a command)</t>
        </is>
      </c>
      <c r="C54" s="29" t="inlineStr">
        <is>
          <t>07_Bash_scripting_Intermediate_LNX-053_quiz</t>
        </is>
      </c>
    </row>
    <row r="55" ht="121.5" customHeight="1">
      <c r="A55" s="29" t="inlineStr">
        <is>
          <t>MCQ: What does detaching from tmux do?
A) Leaves the session running B) Ends the session C) Reboots the machine D) Deletes files
FILL: The default tmux prefix is Ctrl and ____
HINDI TO TASK: Start a tmux session named work.
PRACTICE QUESTION: Which command lists tmux sessions?</t>
        </is>
      </c>
      <c r="B55" s="29" t="inlineStr">
        <is>
          <t>MCQ answer: A  A detached session keeps running on the server.
Fill answer: B
Task answer:
tmux new -s work
Practice answer:
tmux ls</t>
        </is>
      </c>
      <c r="C55" s="29" t="inlineStr">
        <is>
          <t>08_Advanced_Intermediate_LNX-054_quiz</t>
        </is>
      </c>
    </row>
    <row r="56" ht="121.5" customHeight="1">
      <c r="A56" s="29" t="inlineStr">
        <is>
          <t>MCQ: Which tool traces system calls?
A) tar B) strace C) df D) lsof
FILL: The tool that traces the system calls of a program is called ____
HINDI TO TASK: Show which process uses port 3000.
PRACTICE QUESTION: Why can deleted files still use disk space?</t>
        </is>
      </c>
      <c r="B56" s="29" t="inlineStr">
        <is>
          <t>MCQ answer: B  strace follows the system calls a process makes.
Fill answer: strace
Task answer:
sudo lsof -i :3000
Practice answer:
Because a process may still hold them open.</t>
        </is>
      </c>
      <c r="C56" s="29" t="inlineStr">
        <is>
          <t>08_Advanced_Advanced_LNX-055_quiz</t>
        </is>
      </c>
    </row>
    <row r="57" ht="121.5" customHeight="1">
      <c r="A57" s="29" t="inlineStr">
        <is>
          <t>MCQ: Which flag of tar extracts an archive?
A) z B) t C) x D) c
FILL: In tar -czf, the letter z means ____ compression
HINDI TO TASK: Create a compressed archive named logs.tar.gz from the folder logs.
PRACTICE QUESTION: Which flag lists the contents of an archive?</t>
        </is>
      </c>
      <c r="B57" s="29" t="inlineStr">
        <is>
          <t>MCQ answer: C  x stands for extract.
Fill answer: gzip
Task answer:
tar -czf logs.tar.gz logs
Practice answer:
t</t>
        </is>
      </c>
      <c r="C57" s="29" t="inlineStr">
        <is>
          <t>08_Advanced_Beginner_LNX-056_quiz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51</v>
      </c>
    </row>
    <row r="3">
      <c r="A3" t="inlineStr">
        <is>
          <t>Topic (56-pt)</t>
        </is>
      </c>
      <c r="B3" t="n">
        <v>5</v>
      </c>
    </row>
    <row r="5">
      <c r="A5" s="21" t="inlineStr">
        <is>
          <t>Cards by topic</t>
        </is>
      </c>
    </row>
    <row r="6">
      <c r="A6" t="inlineStr">
        <is>
          <t>02 Files and folders</t>
        </is>
      </c>
      <c r="B6" t="n">
        <v>9</v>
      </c>
    </row>
    <row r="7">
      <c r="A7" t="inlineStr">
        <is>
          <t>03 Text tools</t>
        </is>
      </c>
      <c r="B7" t="n">
        <v>9</v>
      </c>
    </row>
    <row r="8">
      <c r="A8" t="inlineStr">
        <is>
          <t>05 Processes and system</t>
        </is>
      </c>
      <c r="B8" t="n">
        <v>8</v>
      </c>
    </row>
    <row r="9">
      <c r="A9" t="inlineStr">
        <is>
          <t>07 Bash scripting</t>
        </is>
      </c>
      <c r="B9" t="n">
        <v>8</v>
      </c>
    </row>
    <row r="10">
      <c r="A10" t="inlineStr">
        <is>
          <t>04 Users and permissions</t>
        </is>
      </c>
      <c r="B10" t="n">
        <v>7</v>
      </c>
    </row>
    <row r="11">
      <c r="A11" t="inlineStr">
        <is>
          <t>01 Basics</t>
        </is>
      </c>
      <c r="B11" t="n">
        <v>6</v>
      </c>
    </row>
    <row r="12">
      <c r="A12" t="inlineStr">
        <is>
          <t>06 Network tools</t>
        </is>
      </c>
      <c r="B12" t="n">
        <v>6</v>
      </c>
    </row>
    <row r="13">
      <c r="A13" t="inlineStr">
        <is>
          <t>08 Advanced</t>
        </is>
      </c>
      <c r="B13" t="n">
        <v>3</v>
      </c>
    </row>
    <row r="15">
      <c r="A15" s="21" t="inlineStr">
        <is>
          <t>Cards by level</t>
        </is>
      </c>
    </row>
    <row r="16">
      <c r="A16" t="inlineStr">
        <is>
          <t>Beginner</t>
        </is>
      </c>
      <c r="B16" t="n">
        <v>29</v>
      </c>
    </row>
    <row r="17">
      <c r="A17" t="inlineStr">
        <is>
          <t>Intermediate</t>
        </is>
      </c>
      <c r="B17" t="n">
        <v>24</v>
      </c>
    </row>
    <row r="18">
      <c r="A18" t="inlineStr">
        <is>
          <t>Advanced</t>
        </is>
      </c>
      <c r="B18" t="n">
        <v>3</v>
      </c>
    </row>
    <row r="20">
      <c r="A20" s="21" t="inlineStr">
        <is>
          <t>Cards by source</t>
        </is>
      </c>
    </row>
    <row r="21">
      <c r="A21" t="inlineStr">
        <is>
          <t>Claude knowledge</t>
        </is>
      </c>
      <c r="B21" t="n">
        <v>56</v>
      </c>
    </row>
    <row r="23">
      <c r="A23" s="21" t="inlineStr">
        <is>
          <t>Error check</t>
        </is>
      </c>
    </row>
    <row r="24">
      <c r="A24"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2026-10-07T16:53:50Z</dcterms:created>
  <dcterms:modified xmlns:dcterms="http://purl.org/dc/terms/" xmlns:xsi="http://www.w3.org/2001/XMLSchema-instance" xsi:type="dcterms:W3CDTF">2026-10-07T16:53:50Z</dcterms:modified>
</cp:coreProperties>
</file>