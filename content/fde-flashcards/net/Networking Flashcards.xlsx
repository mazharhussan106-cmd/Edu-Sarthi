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cards'!$A$2:$BN$9</definedName>
    <definedName name="_xlnm._FilterDatabase" localSheetId="3" hidden="1">'Topic (56-pt) cards'!$A$2:$BB$40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Networking Basics – Beginner to Advanced Flashcards</t>
        </is>
      </c>
    </row>
    <row r="2">
      <c r="A2" s="2" t="inlineStr">
        <is>
          <t>Subject: Computer networking   ·   Learner: Self learner, English   ·   Cards: 45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08" customHeight="1">
      <c r="A3" s="17" t="inlineStr">
        <is>
          <t>NET-035</t>
        </is>
      </c>
      <c r="B3" s="17" t="inlineStr">
        <is>
          <t>06 Troubleshooting</t>
        </is>
      </c>
      <c r="C3" s="17" t="inlineStr">
        <is>
          <t>Beginner</t>
        </is>
      </c>
      <c r="D3" s="17" t="n">
        <v>35</v>
      </c>
      <c r="E3" s="17" t="inlineStr">
        <is>
          <t>Claude knowledge</t>
        </is>
      </c>
      <c r="F3" s="18" t="inlineStr">
        <is>
          <t>ping</t>
        </is>
      </c>
      <c r="G3" s="18" t="inlineStr">
        <is>
          <t>Which command tests whether a host replies and how long the round trip takes?</t>
        </is>
      </c>
      <c r="H3" s="17" t="n"/>
      <c r="I3" s="18" t="inlineStr">
        <is>
          <t>Network command</t>
        </is>
      </c>
      <c r="J3" s="18" t="inlineStr">
        <is>
          <t>Very high</t>
        </is>
      </c>
      <c r="K3" s="18" t="n">
        <v>5</v>
      </c>
      <c r="L3" s="18" t="inlineStr">
        <is>
          <t>Admins needed a quick way to check that a host is alive, so a tool was built to send small echo requests and time the replies.</t>
        </is>
      </c>
      <c r="M3" s="18" t="inlineStr">
        <is>
          <t>A failed ping does not always mean the host is down, since many hosts block ICMP.</t>
        </is>
      </c>
      <c r="N3" s="17" t="n"/>
      <c r="O3" s="18" t="inlineStr">
        <is>
          <t>Ping is a sonar pulse that bounces back from the target.</t>
        </is>
      </c>
      <c r="P3" s="18" t="inlineStr">
        <is>
          <t>A request going out and a reply coming back with a time.</t>
        </is>
      </c>
      <c r="Q3" s="18" t="inlineStr">
        <is>
          <t>The comfort of seeing a reply in a few milliseconds.</t>
        </is>
      </c>
      <c r="R3" s="18" t="inlineStr">
        <is>
          <t>ping sends ICMP echo requests to a host and reports whether replies arrive, how long they take and whether any are lost.</t>
        </is>
      </c>
      <c r="S3" s="17" t="n"/>
      <c r="T3" s="19" t="inlineStr">
        <is>
          <t>ping -c 4 8.8.8.8
ping -c 4 example.com</t>
        </is>
      </c>
      <c r="U3" s="19" t="inlineStr">
        <is>
          <t>Four replies with times such as 12 ms are shown, followed by a summary of packet loss and average time.</t>
        </is>
      </c>
      <c r="V3" s="18" t="inlineStr">
        <is>
          <t>Pinging an address tests basic reachability, and pinging a name also tests DNS. Time shows latency, and loss shows an unreliable path. Firewalls often drop ICMP, so a silent host may still be up. On Windows use -n instead of -c to set the count. Ping uses ICMP and not TCP or UDP, so it does not prove that a port works.</t>
        </is>
      </c>
      <c r="W3" s="18" t="inlineStr">
        <is>
          <t>Ping an address first, then a name, to separate network problems from DNS problems.</t>
        </is>
      </c>
      <c r="X3" s="18" t="inlineStr">
        <is>
          <t>Ping is a sonar pulse that bounces back from the target.</t>
        </is>
      </c>
      <c r="Y3" s="19" t="inlineStr">
        <is>
          <t>ping [-c count] host</t>
        </is>
      </c>
      <c r="Z3" s="18" t="inlineStr">
        <is>
          <t>-c = number of requests | host = name or address | time = round trip | loss = missing replies</t>
        </is>
      </c>
      <c r="AA3" s="19" t="inlineStr">
        <is>
          <t>ping -c 3 192.168.1.1</t>
        </is>
      </c>
      <c r="AB3" s="19" t="inlineStr">
        <is>
          <t>ping -c 3 localhost</t>
        </is>
      </c>
      <c r="AC3" s="19" t="inlineStr">
        <is>
          <t>ping -c 3 google.com</t>
        </is>
      </c>
      <c r="AD3" s="19" t="inlineStr">
        <is>
          <t>ping -n 4 example.com   // Windows form</t>
        </is>
      </c>
      <c r="AE3" s="18" t="inlineStr">
        <is>
          <t>traceroute, dig, curl</t>
        </is>
      </c>
      <c r="AF3" s="18" t="inlineStr">
        <is>
          <t>traceroute, dig, timeouts vs refused, latency</t>
        </is>
      </c>
      <c r="AG3" s="18" t="inlineStr">
        <is>
          <t>curl or nc to test real ports</t>
        </is>
      </c>
      <c r="AH3" s="17" t="n"/>
      <c r="AI3" s="18" t="inlineStr">
        <is>
          <t>Quick checks | Latency tests | Troubleshooting</t>
        </is>
      </c>
      <c r="AJ3" s="18" t="inlineStr">
        <is>
          <t>A: Ping to the name fails but the IP works. | B: That points to a DNS problem.</t>
        </is>
      </c>
      <c r="AK3" s="18" t="inlineStr">
        <is>
          <t>✗ If ping fails, the server is down → ✓ ICMP may be blocked while the service works</t>
        </is>
      </c>
      <c r="AL3" s="18" t="inlineStr">
        <is>
          <t>ping vs curl: ping tests ICMP reachability, curl tests an actual web service.</t>
        </is>
      </c>
      <c r="AM3" s="18" t="inlineStr">
        <is>
          <t>Do not conclude a host is down from one failed ping.</t>
        </is>
      </c>
      <c r="AN3" s="19" t="inlineStr">
        <is>
          <t>ping example.com</t>
        </is>
      </c>
      <c r="AO3" s="19" t="inlineStr">
        <is>
          <t>ping -c 4 example.com</t>
        </is>
      </c>
      <c r="AP3" s="18" t="inlineStr">
        <is>
          <t>Count flag stops endless pinging on Linux.</t>
        </is>
      </c>
      <c r="AQ3" s="18" t="inlineStr">
        <is>
          <t>Showing a customer that the IP replied but the name did not, which pointed to DNS.</t>
        </is>
      </c>
      <c r="AR3" s="18" t="inlineStr">
        <is>
          <t>An interviewer may ask: What protocol does ping use?</t>
        </is>
      </c>
      <c r="AS3" s="18" t="inlineStr">
        <is>
          <t>It is like a sonar pulse.</t>
        </is>
      </c>
      <c r="AT3" s="18" t="inlineStr">
        <is>
          <t>Which protocol does ping use?</t>
        </is>
      </c>
      <c r="AU3" s="18" t="inlineStr">
        <is>
          <t>A) ICMP B) HTTP C) TCP D) UDP</t>
        </is>
      </c>
      <c r="AV3" s="18" t="inlineStr">
        <is>
          <t>A</t>
        </is>
      </c>
      <c r="AW3" s="18" t="inlineStr">
        <is>
          <t>Ping sends ICMP echo requests.</t>
        </is>
      </c>
      <c r="AX3" s="19" t="inlineStr">
        <is>
          <t>On Linux the option that limits the number of requests is ____ → -c</t>
        </is>
      </c>
      <c r="AY3" s="18" t="inlineStr">
        <is>
          <t>Send exactly three pings to a host.</t>
        </is>
      </c>
      <c r="AZ3" s="19" t="inlineStr">
        <is>
          <t>ping -c 3 host</t>
        </is>
      </c>
      <c r="BA3" s="18" t="inlineStr">
        <is>
          <t>Use ping to find out whether the problem is DNS or the network.</t>
        </is>
      </c>
      <c r="BB3" s="19" t="inlineStr">
        <is>
          <t>Why can a working server not reply to ping?</t>
        </is>
      </c>
      <c r="BC3" s="19" t="inlineStr">
        <is>
          <t>A firewall may block ICMP.</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08" customHeight="1">
      <c r="A4" s="17" t="inlineStr">
        <is>
          <t>NET-036</t>
        </is>
      </c>
      <c r="B4" s="17" t="inlineStr">
        <is>
          <t>06 Troubleshooting</t>
        </is>
      </c>
      <c r="C4" s="17" t="inlineStr">
        <is>
          <t>Intermediate</t>
        </is>
      </c>
      <c r="D4" s="17" t="n">
        <v>36</v>
      </c>
      <c r="E4" s="17" t="inlineStr">
        <is>
          <t>Claude knowledge</t>
        </is>
      </c>
      <c r="F4" s="18" t="inlineStr">
        <is>
          <t>traceroute</t>
        </is>
      </c>
      <c r="G4" s="18" t="inlineStr">
        <is>
          <t>Which command shows the path packets take and where they slow down or stop?</t>
        </is>
      </c>
      <c r="H4" s="17" t="n"/>
      <c r="I4" s="18" t="inlineStr">
        <is>
          <t>Network command</t>
        </is>
      </c>
      <c r="J4" s="18" t="inlineStr">
        <is>
          <t>High</t>
        </is>
      </c>
      <c r="K4" s="18" t="n">
        <v>4</v>
      </c>
      <c r="L4" s="18" t="inlineStr">
        <is>
          <t>Knowing that a host is unreachable does not say where, so a tool was made that lists each router along the path.</t>
        </is>
      </c>
      <c r="M4" s="18" t="inlineStr">
        <is>
          <t>Look for the hop where times jump or replies stop for good.</t>
        </is>
      </c>
      <c r="N4" s="17" t="n"/>
      <c r="O4" s="18" t="inlineStr">
        <is>
          <t>Traceroute is a trail of breadcrumbs dropped at each junction.</t>
        </is>
      </c>
      <c r="P4" s="18" t="inlineStr">
        <is>
          <t>A list of numbered hops with names and times.</t>
        </is>
      </c>
      <c r="Q4" s="18" t="inlineStr">
        <is>
          <t>The satisfaction of seeing where the path breaks.</t>
        </is>
      </c>
      <c r="R4" s="18" t="inlineStr">
        <is>
          <t>traceroute sends packets with increasing time-to-live values so each router on the path reveals itself, producing a list of hops with delays.</t>
        </is>
      </c>
      <c r="S4" s="17" t="n"/>
      <c r="T4" s="19" t="inlineStr">
        <is>
          <t>traceroute -n example.com
sudo traceroute -T -p 443 example.com</t>
        </is>
      </c>
      <c r="U4" s="19" t="inlineStr">
        <is>
          <t>Numbered lines list each router address with three timings, and stars appear where a hop does not answer.</t>
        </is>
      </c>
      <c r="V4" s="18" t="inlineStr">
        <is>
          <t>Each router lowers the time-to-live by one and replies with an error when it reaches zero, which shows its address. Stars may only mean that a router ignores these probes, not that it is broken. The path can differ between runs. -n skips name lookups, and -T uses TCP, which passes firewalls more often. On Windows use tracert.</t>
        </is>
      </c>
      <c r="W4" s="18" t="inlineStr">
        <is>
          <t>Run traceroute to see each hop, and look for where delay grows or replies end.</t>
        </is>
      </c>
      <c r="X4" s="18" t="inlineStr">
        <is>
          <t>Traceroute is a trail of breadcrumbs dropped at each junction.</t>
        </is>
      </c>
      <c r="Y4" s="19" t="inlineStr">
        <is>
          <t>traceroute [-n] [-T -p port] host</t>
        </is>
      </c>
      <c r="Z4" s="18" t="inlineStr">
        <is>
          <t>-n = no name lookup | -T = TCP probes | -p = port | hop = one router</t>
        </is>
      </c>
      <c r="AA4" s="19" t="inlineStr">
        <is>
          <t>traceroute -n 1.1.1.1</t>
        </is>
      </c>
      <c r="AB4" s="19" t="inlineStr">
        <is>
          <t>traceroute -m 20 example.com</t>
        </is>
      </c>
      <c r="AC4" s="19" t="inlineStr">
        <is>
          <t>tracert example.com</t>
        </is>
      </c>
      <c r="AD4" s="19" t="inlineStr">
        <is>
          <t>mtr example.com   // a live combined ping and traceroute</t>
        </is>
      </c>
      <c r="AE4" s="18" t="inlineStr">
        <is>
          <t>ping, mtr, firewalls</t>
        </is>
      </c>
      <c r="AF4" s="18" t="inlineStr">
        <is>
          <t>ping, routers, latency, timeouts vs refused</t>
        </is>
      </c>
      <c r="AG4" s="18" t="inlineStr">
        <is>
          <t>mtr | Online path tools</t>
        </is>
      </c>
      <c r="AH4" s="17" t="n"/>
      <c r="AI4" s="18" t="inlineStr">
        <is>
          <t>Path faults | Slow links | ISP reports</t>
        </is>
      </c>
      <c r="AJ4" s="18" t="inlineStr">
        <is>
          <t>A: Where does the traffic stop? | B: Hop six goes silent, so check beyond it.</t>
        </is>
      </c>
      <c r="AK4" s="18" t="inlineStr">
        <is>
          <t>✗ A star in traceroute always marks the broken router → ✓ Many routers ignore probes while still forwarding traffic</t>
        </is>
      </c>
      <c r="AL4" s="18" t="inlineStr">
        <is>
          <t>traceroute vs ping: traceroute lists the path, ping tests one destination.</t>
        </is>
      </c>
      <c r="AM4" s="18" t="inlineStr">
        <is>
          <t>Do not blame a hop for stars if later hops respond.</t>
        </is>
      </c>
      <c r="AN4" s="19" t="inlineStr">
        <is>
          <t>traceroute -T -p 443 example.com   # TCP mode needs root</t>
        </is>
      </c>
      <c r="AO4" s="19" t="inlineStr">
        <is>
          <t>sudo traceroute -T -p 443 example.com</t>
        </is>
      </c>
      <c r="AP4" s="18" t="inlineStr">
        <is>
          <t>Stars alone prove nothing about a hop.</t>
        </is>
      </c>
      <c r="AQ4" s="18" t="inlineStr">
        <is>
          <t>Using traceroute to show a provider where latency jumped on the path.</t>
        </is>
      </c>
      <c r="AR4" s="18" t="inlineStr">
        <is>
          <t>An interviewer may ask: How does traceroute discover each hop?</t>
        </is>
      </c>
      <c r="AS4" s="18" t="inlineStr">
        <is>
          <t>It is like breadcrumbs at each junction.</t>
        </is>
      </c>
      <c r="AT4" s="18" t="inlineStr">
        <is>
          <t>What does traceroute vary to find each hop?</t>
        </is>
      </c>
      <c r="AU4" s="18" t="inlineStr">
        <is>
          <t>A) Size of the packet only B) Name C) Port D) Time to live</t>
        </is>
      </c>
      <c r="AV4" s="18" t="inlineStr">
        <is>
          <t>D</t>
        </is>
      </c>
      <c r="AW4" s="18" t="inlineStr">
        <is>
          <t>Each router decrements TTL and reveals itself when it reaches zero.</t>
        </is>
      </c>
      <c r="AX4" s="19" t="inlineStr">
        <is>
          <t>The Windows version of traceroute is called ____ → tracert</t>
        </is>
      </c>
      <c r="AY4" s="18" t="inlineStr">
        <is>
          <t>Trace the path to example.com without name lookups.</t>
        </is>
      </c>
      <c r="AZ4" s="19" t="inlineStr">
        <is>
          <t>traceroute -n example.com</t>
        </is>
      </c>
      <c r="BA4" s="18" t="inlineStr">
        <is>
          <t>Run traceroute using TCP port 443 and describe what you see.</t>
        </is>
      </c>
      <c r="BB4" s="19" t="inlineStr">
        <is>
          <t>Why can a hop show only stars?</t>
        </is>
      </c>
      <c r="BC4" s="19" t="inlineStr">
        <is>
          <t>The router may ignore the probes while still forwarding traffic.</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08" customHeight="1">
      <c r="A5" s="17" t="inlineStr">
        <is>
          <t>NET-037</t>
        </is>
      </c>
      <c r="B5" s="17" t="inlineStr">
        <is>
          <t>06 Troubleshooting</t>
        </is>
      </c>
      <c r="C5" s="17" t="inlineStr">
        <is>
          <t>Intermediate</t>
        </is>
      </c>
      <c r="D5" s="17" t="n">
        <v>37</v>
      </c>
      <c r="E5" s="17" t="inlineStr">
        <is>
          <t>Claude knowledge</t>
        </is>
      </c>
      <c r="F5" s="18" t="inlineStr">
        <is>
          <t>dig</t>
        </is>
      </c>
      <c r="G5" s="18" t="inlineStr">
        <is>
          <t>Which command queries DNS servers and shows the full answer for a name?</t>
        </is>
      </c>
      <c r="H5" s="17" t="n"/>
      <c r="I5" s="18" t="inlineStr">
        <is>
          <t>Network command</t>
        </is>
      </c>
      <c r="J5" s="18" t="inlineStr">
        <is>
          <t>Very high</t>
        </is>
      </c>
      <c r="K5" s="18" t="n">
        <v>5</v>
      </c>
      <c r="L5" s="18" t="inlineStr">
        <is>
          <t>To check what DNS says you need to ask it directly, so a query tool was written that prints every part of the reply.</t>
        </is>
      </c>
      <c r="M5" s="18" t="inlineStr">
        <is>
          <t>Query a specific server with @ to compare what different resolvers answer.</t>
        </is>
      </c>
      <c r="N5" s="17" t="n"/>
      <c r="O5" s="18" t="inlineStr">
        <is>
          <t>Dig is a shovel that digs the full record out of DNS.</t>
        </is>
      </c>
      <c r="P5" s="18" t="inlineStr">
        <is>
          <t>A reply with question, answer and authority sections.</t>
        </is>
      </c>
      <c r="Q5" s="18" t="inlineStr">
        <is>
          <t>The satisfaction of seeing the exact record and TTL.</t>
        </is>
      </c>
      <c r="R5" s="18" t="inlineStr">
        <is>
          <t>dig sends a DNS query for a name and record type and prints the answer, the server that replied and the time it took.</t>
        </is>
      </c>
      <c r="S5" s="17" t="n"/>
      <c r="T5" s="19" t="inlineStr">
        <is>
          <t>dig example.com A +short
dig @8.8.8.8 example.com MX
dig +trace example.com</t>
        </is>
      </c>
      <c r="U5" s="19" t="inlineStr">
        <is>
          <t>The first command prints only the address, the second shows mail servers from Google's resolver, and the third shows the delegation from the root down.</t>
        </is>
      </c>
      <c r="V5" s="18" t="inlineStr">
        <is>
          <t>The ANSWER section contains the records with their TTL. The status NOERROR means success, and NXDOMAIN means the name does not exist. +short trims the output, and +trace follows the chain of authoritative servers. Asking different resolvers reveals caching differences. On Windows, nslookup gives a similar result.</t>
        </is>
      </c>
      <c r="W5" s="18" t="inlineStr">
        <is>
          <t>Ask for the record you care about, from a chosen server, and read status and TTL.</t>
        </is>
      </c>
      <c r="X5" s="18" t="inlineStr">
        <is>
          <t>Dig is a shovel that digs the full record out of DNS.</t>
        </is>
      </c>
      <c r="Y5" s="19" t="inlineStr">
        <is>
          <t>dig [@server] name [type] [+short]</t>
        </is>
      </c>
      <c r="Z5" s="18" t="inlineStr">
        <is>
          <t>@server = resolver to ask | name = domain | type = A, MX, TXT | +short = brief</t>
        </is>
      </c>
      <c r="AA5" s="19" t="inlineStr">
        <is>
          <t>dig example.com TXT</t>
        </is>
      </c>
      <c r="AB5" s="19" t="inlineStr">
        <is>
          <t>dig -x 8.8.8.8</t>
        </is>
      </c>
      <c r="AC5" s="19" t="inlineStr">
        <is>
          <t>dig +short NS example.com</t>
        </is>
      </c>
      <c r="AD5" s="19" t="inlineStr">
        <is>
          <t>nslookup example.com   // simpler tool on Windows</t>
        </is>
      </c>
      <c r="AE5" s="18" t="inlineStr">
        <is>
          <t>ping, curl, resolvers</t>
        </is>
      </c>
      <c r="AF5" s="18" t="inlineStr">
        <is>
          <t>DNS and record types, DNS caching, ping, curl -v</t>
        </is>
      </c>
      <c r="AG5" s="18" t="inlineStr">
        <is>
          <t>nslookup | host</t>
        </is>
      </c>
      <c r="AH5" s="17" t="n"/>
      <c r="AI5" s="18" t="inlineStr">
        <is>
          <t>DNS faults | Email setup | Migrations</t>
        </is>
      </c>
      <c r="AJ5" s="18" t="inlineStr">
        <is>
          <t>A: Did the DNS change reach everyone? | B: Query a few resolvers with dig and compare TTL.</t>
        </is>
      </c>
      <c r="AK5" s="18" t="inlineStr">
        <is>
          <t>✗ NXDOMAIN means the DNS server is down → ✓ It means the name does not exist in DNS</t>
        </is>
      </c>
      <c r="AL5" s="18" t="inlineStr">
        <is>
          <t>dig vs nslookup: dig shows detail, nslookup is simpler.</t>
        </is>
      </c>
      <c r="AM5" s="18" t="inlineStr">
        <is>
          <t>Do not trust only your own resolver's cached answer.</t>
        </is>
      </c>
      <c r="AN5" s="19" t="inlineStr">
        <is>
          <t>dig example.com@8.8.8.8</t>
        </is>
      </c>
      <c r="AO5" s="19" t="inlineStr">
        <is>
          <t>dig @8.8.8.8 example.com</t>
        </is>
      </c>
      <c r="AP5" s="18" t="inlineStr">
        <is>
          <t>At sign comes before the name.</t>
        </is>
      </c>
      <c r="AQ5" s="18" t="inlineStr">
        <is>
          <t>Using dig against two resolvers to prove a DNS change was still cached.</t>
        </is>
      </c>
      <c r="AR5" s="18" t="inlineStr">
        <is>
          <t>An interviewer may ask: What does NXDOMAIN mean?</t>
        </is>
      </c>
      <c r="AS5" s="18" t="inlineStr">
        <is>
          <t>It is like digging the record out of a directory.</t>
        </is>
      </c>
      <c r="AT5" s="18" t="inlineStr">
        <is>
          <t>Which dig modifier trims the output to the bare data?</t>
        </is>
      </c>
      <c r="AU5" s="18" t="inlineStr">
        <is>
          <t>A) +trace B) +short C) +long D) +raw</t>
        </is>
      </c>
      <c r="AV5" s="18" t="inlineStr">
        <is>
          <t>B</t>
        </is>
      </c>
      <c r="AW5" s="18" t="inlineStr">
        <is>
          <t>+short prints just the data.</t>
        </is>
      </c>
      <c r="AX5" s="19" t="inlineStr">
        <is>
          <t>A status meaning the name does not exist is ____ → NXDOMAIN</t>
        </is>
      </c>
      <c r="AY5" s="18" t="inlineStr">
        <is>
          <t>Look up the mail servers of example.com.</t>
        </is>
      </c>
      <c r="AZ5" s="19" t="inlineStr">
        <is>
          <t>dig example.com MX</t>
        </is>
      </c>
      <c r="BA5" s="18" t="inlineStr">
        <is>
          <t>Query a specific public resolver for an A record and read its TTL.</t>
        </is>
      </c>
      <c r="BB5" s="19" t="inlineStr">
        <is>
          <t>What does +trace do?</t>
        </is>
      </c>
      <c r="BC5" s="19" t="inlineStr">
        <is>
          <t>It follows the chain of authoritative servers from the root.</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21.5" customHeight="1">
      <c r="A6" s="17" t="inlineStr">
        <is>
          <t>NET-038</t>
        </is>
      </c>
      <c r="B6" s="17" t="inlineStr">
        <is>
          <t>06 Troubleshooting</t>
        </is>
      </c>
      <c r="C6" s="17" t="inlineStr">
        <is>
          <t>Intermediate</t>
        </is>
      </c>
      <c r="D6" s="17" t="n">
        <v>38</v>
      </c>
      <c r="E6" s="17" t="inlineStr">
        <is>
          <t>Claude knowledge</t>
        </is>
      </c>
      <c r="F6" s="18" t="inlineStr">
        <is>
          <t>curl -v</t>
        </is>
      </c>
      <c r="G6" s="18" t="inlineStr">
        <is>
          <t>Which command shows the full conversation of a web request, including TLS and headers?</t>
        </is>
      </c>
      <c r="H6" s="17" t="n"/>
      <c r="I6" s="18" t="inlineStr">
        <is>
          <t>Network command</t>
        </is>
      </c>
      <c r="J6" s="18" t="inlineStr">
        <is>
          <t>Very high</t>
        </is>
      </c>
      <c r="K6" s="18" t="n">
        <v>5</v>
      </c>
      <c r="L6" s="18" t="inlineStr">
        <is>
          <t>Browsers hide the details of a request, so a command line client was made that prints every step.</t>
        </is>
      </c>
      <c r="M6" s="18" t="inlineStr">
        <is>
          <t>Add -I to see only the response headers.</t>
        </is>
      </c>
      <c r="N6" s="17" t="n"/>
      <c r="O6" s="18" t="inlineStr">
        <is>
          <t>curl -v is a glass-walled kitchen where you see every step of the order.</t>
        </is>
      </c>
      <c r="P6" s="18" t="inlineStr">
        <is>
          <t>Lines starting with arrows showing connection, TLS and headers.</t>
        </is>
      </c>
      <c r="Q6" s="18" t="inlineStr">
        <is>
          <t>The satisfaction of seeing exactly why a request failed.</t>
        </is>
      </c>
      <c r="R6" s="18" t="inlineStr">
        <is>
          <t>curl sends an HTTP request from the command line, and the -v option prints connection details, TLS information and both request and response headers.</t>
        </is>
      </c>
      <c r="S6" s="17" t="n"/>
      <c r="T6" s="19" t="inlineStr">
        <is>
          <t>curl -v https://example.com/health
curl -sS -o /dev/null -w "%{http_code} %{time_total}s\n" https://example.com
curl -I https://example.com</t>
        </is>
      </c>
      <c r="U6" s="19" t="inlineStr">
        <is>
          <t>The first shows the connection, certificate and headers, the second prints only the status code and total time, and the third shows just response headers.</t>
        </is>
      </c>
      <c r="V6" s="18" t="inlineStr">
        <is>
          <t>Lines beginning with an asterisk show connection and TLS steps, a greater-than sign marks request headers and a less-than sign marks response headers. Useful options are -H for headers, -X for the method, -d for a body, -k to skip certificate checks for testing only, and --resolve to test a name against a chosen address. Redirects are followed only with -L.</t>
        </is>
      </c>
      <c r="W6" s="18" t="inlineStr">
        <is>
          <t>Use -v to watch every step, -I for headers, and -w for the status and timing.</t>
        </is>
      </c>
      <c r="X6" s="18" t="inlineStr">
        <is>
          <t>curl -v is a glass-walled kitchen where you watch every step of the order.</t>
        </is>
      </c>
      <c r="Y6" s="19" t="inlineStr">
        <is>
          <t>curl [-v] [-I] [-H header] [-d data] [-L] url</t>
        </is>
      </c>
      <c r="Z6" s="18" t="inlineStr">
        <is>
          <t>-v = verbose | -I = headers only | -H = header | -d = body | -L = follow redirects</t>
        </is>
      </c>
      <c r="AA6" s="19" t="inlineStr">
        <is>
          <t>curl -H "Authorization: Bearer TOKEN" https://api.example.com/me</t>
        </is>
      </c>
      <c r="AB6" s="19" t="inlineStr">
        <is>
          <t>curl -X POST -d '{"a":1}' -H "Content-Type: application/json" https://api.example.com/items</t>
        </is>
      </c>
      <c r="AC6" s="19" t="inlineStr">
        <is>
          <t>curl --resolve example.com:443:203.0.113.10 https://example.com</t>
        </is>
      </c>
      <c r="AD6" s="19" t="inlineStr">
        <is>
          <t>curl -k https://host   // skip certificate checks, for testing only</t>
        </is>
      </c>
      <c r="AE6" s="18" t="inlineStr">
        <is>
          <t>dig, ping, openssl</t>
        </is>
      </c>
      <c r="AF6" s="18" t="inlineStr">
        <is>
          <t>HTTP, HTTPS and TLS, certificates, proxy problems</t>
        </is>
      </c>
      <c r="AG6" s="18" t="inlineStr">
        <is>
          <t>wget | HTTP client tools</t>
        </is>
      </c>
      <c r="AH6" s="17" t="n"/>
      <c r="AI6" s="18" t="inlineStr">
        <is>
          <t>API debugging | Certificate checks | Health checks</t>
        </is>
      </c>
      <c r="AJ6" s="18" t="inlineStr">
        <is>
          <t>A: The API call fails with no useful message. | B: Run curl -v and read the headers.</t>
        </is>
      </c>
      <c r="AK6" s="18" t="inlineStr">
        <is>
          <t>✗ curl -k is a fine permanent fix for certificate errors → ✓ It only hides the problem and should never stay in scripts</t>
        </is>
      </c>
      <c r="AL6" s="18" t="inlineStr">
        <is>
          <t>curl vs browser: curl shows raw details, a browser hides them.</t>
        </is>
      </c>
      <c r="AM6" s="18" t="inlineStr">
        <is>
          <t>Do not leave -k in production scripts.</t>
        </is>
      </c>
      <c r="AN6" s="19" t="inlineStr">
        <is>
          <t>curl https://example.com/old</t>
        </is>
      </c>
      <c r="AO6" s="19" t="inlineStr">
        <is>
          <t>curl -L https://example.com/old</t>
        </is>
      </c>
      <c r="AP6" s="18" t="inlineStr">
        <is>
          <t>Verbose shows steps, dash I shows headers.</t>
        </is>
      </c>
      <c r="AQ6" s="18" t="inlineStr">
        <is>
          <t>Using curl --resolve to test a new server before changing DNS.</t>
        </is>
      </c>
      <c r="AR6" s="18" t="inlineStr">
        <is>
          <t>An interviewer may ask: How would you debug an API call from the command line?</t>
        </is>
      </c>
      <c r="AS6" s="18" t="inlineStr">
        <is>
          <t>It is like a glass-walled kitchen.</t>
        </is>
      </c>
      <c r="AT6" s="18" t="inlineStr">
        <is>
          <t>Which option follows redirects?</t>
        </is>
      </c>
      <c r="AU6" s="18" t="inlineStr">
        <is>
          <t>A) -k B) -v C) -I D) -L</t>
        </is>
      </c>
      <c r="AV6" s="18" t="inlineStr">
        <is>
          <t>D</t>
        </is>
      </c>
      <c r="AW6" s="18" t="inlineStr">
        <is>
          <t>-L follows Location headers.</t>
        </is>
      </c>
      <c r="AX6" s="19" t="inlineStr">
        <is>
          <t>The option that prints only response headers is ____ → -I</t>
        </is>
      </c>
      <c r="AY6" s="18" t="inlineStr">
        <is>
          <t>Check the status code and time of a URL quietly.</t>
        </is>
      </c>
      <c r="AZ6" s="19" t="inlineStr">
        <is>
          <t>curl -sS -o /dev/null -w "%{http_code} %{time_total}s\n" https://example.com</t>
        </is>
      </c>
      <c r="BA6" s="18" t="inlineStr">
        <is>
          <t>Test a new server address with curl before changing DNS.</t>
        </is>
      </c>
      <c r="BB6" s="19" t="inlineStr">
        <is>
          <t>What does --resolve do?</t>
        </is>
      </c>
      <c r="BC6" s="19" t="inlineStr">
        <is>
          <t>It forces a name to use a chosen address for the request.</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94.5" customHeight="1">
      <c r="A7" s="17" t="inlineStr">
        <is>
          <t>NET-039</t>
        </is>
      </c>
      <c r="B7" s="17" t="inlineStr">
        <is>
          <t>06 Troubleshooting</t>
        </is>
      </c>
      <c r="C7" s="17" t="inlineStr">
        <is>
          <t>Intermediate</t>
        </is>
      </c>
      <c r="D7" s="17" t="n">
        <v>39</v>
      </c>
      <c r="E7" s="17" t="inlineStr">
        <is>
          <t>Claude knowledge</t>
        </is>
      </c>
      <c r="F7" s="18" t="inlineStr">
        <is>
          <t>ss</t>
        </is>
      </c>
      <c r="G7" s="18" t="inlineStr">
        <is>
          <t>Which command lists sockets, so you can see which ports are open and in use?</t>
        </is>
      </c>
      <c r="H7" s="17" t="n"/>
      <c r="I7" s="18" t="inlineStr">
        <is>
          <t>Network command</t>
        </is>
      </c>
      <c r="J7" s="18" t="inlineStr">
        <is>
          <t>High</t>
        </is>
      </c>
      <c r="K7" s="18" t="n">
        <v>4</v>
      </c>
      <c r="L7" s="18" t="inlineStr">
        <is>
          <t>To know what is listening on a machine you need a list of sockets, so a fast tool replaced the older netstat.</t>
        </is>
      </c>
      <c r="M7" s="18" t="inlineStr">
        <is>
          <t>Use ss -ltnp to see listening TCP ports and the programs using them.</t>
        </is>
      </c>
      <c r="N7" s="17" t="n"/>
      <c r="O7" s="18" t="inlineStr">
        <is>
          <t>ss is the building directory showing which doors are open and who is behind each.</t>
        </is>
      </c>
      <c r="P7" s="18" t="inlineStr">
        <is>
          <t>A table of listening addresses, ports and process names.</t>
        </is>
      </c>
      <c r="Q7" s="18" t="inlineStr">
        <is>
          <t>The satisfaction of finding the program that holds a port.</t>
        </is>
      </c>
      <c r="R7" s="18" t="inlineStr">
        <is>
          <t>ss shows sockets on a Linux machine, including listening ports, established connections and the processes that own them.</t>
        </is>
      </c>
      <c r="S7" s="17" t="n"/>
      <c r="T7" s="19" t="inlineStr">
        <is>
          <t>ss -ltnp
ss -tn state established
ss -s</t>
        </is>
      </c>
      <c r="U7" s="19" t="inlineStr">
        <is>
          <t>The first lists listening TCP ports with process names, the second lists active connections, and the third prints a summary of socket counts.</t>
        </is>
      </c>
      <c r="V7" s="18" t="inlineStr">
        <is>
          <t>The flags are l for listening, t for TCP, u for UDP, n for numbers and p for processes. A service listening on 127.0.0.1 is reachable only locally, while 0.0.0.0 or :: means all addresses. Process names need root rights. It replaces the older netstat. Many connections in TIME-WAIT are normal.</t>
        </is>
      </c>
      <c r="W7" s="18" t="inlineStr">
        <is>
          <t>Use ss -ltnp to see what listens where, and check the bind address.</t>
        </is>
      </c>
      <c r="X7" s="18" t="inlineStr">
        <is>
          <t>ss is a building directory showing which doors are open and who is behind each.</t>
        </is>
      </c>
      <c r="Y7" s="19" t="inlineStr">
        <is>
          <t>ss [-l] [-t|-u] [-n] [-p] [state ...]</t>
        </is>
      </c>
      <c r="Z7" s="18" t="inlineStr">
        <is>
          <t>-l = listening | -t = TCP | -u = UDP | -n = numeric | -p = process</t>
        </is>
      </c>
      <c r="AA7" s="19" t="inlineStr">
        <is>
          <t>ss -lun</t>
        </is>
      </c>
      <c r="AB7" s="19" t="inlineStr">
        <is>
          <t>ss -tnp dst :443</t>
        </is>
      </c>
      <c r="AC7" s="19" t="inlineStr">
        <is>
          <t>sudo ss -ltnp | grep 5432</t>
        </is>
      </c>
      <c r="AD7" s="19" t="inlineStr">
        <is>
          <t>netstat -tulpn   // older equivalent</t>
        </is>
      </c>
      <c r="AE7" s="18" t="inlineStr">
        <is>
          <t>lsof, firewalls, curl</t>
        </is>
      </c>
      <c r="AF7" s="18" t="inlineStr">
        <is>
          <t>ports, client and server, firewalls, timeouts vs refused</t>
        </is>
      </c>
      <c r="AG7" s="18" t="inlineStr">
        <is>
          <t>netstat | lsof -i</t>
        </is>
      </c>
      <c r="AH7" s="17" t="n"/>
      <c r="AI7" s="18" t="inlineStr">
        <is>
          <t>Port conflicts | Binding checks | Security reviews</t>
        </is>
      </c>
      <c r="AJ7" s="18" t="inlineStr">
        <is>
          <t>A: The service is up but unreachable from outside. | B: Check whether it listens on 127.0.0.1 only.</t>
        </is>
      </c>
      <c r="AK7" s="18" t="inlineStr">
        <is>
          <t>✗ A service listening on 127.0.0.1 is reachable from other machines → ✓ It accepts only local connections</t>
        </is>
      </c>
      <c r="AL7" s="18" t="inlineStr">
        <is>
          <t>ss vs netstat: ss is newer and faster, netstat is the older tool.</t>
        </is>
      </c>
      <c r="AM7" s="18" t="inlineStr">
        <is>
          <t>Do not read process details without the right permissions.</t>
        </is>
      </c>
      <c r="AN7" s="19" t="inlineStr">
        <is>
          <t>ss -ltn | grep postgres</t>
        </is>
      </c>
      <c r="AO7" s="19" t="inlineStr">
        <is>
          <t>sudo ss -ltnp | grep postgres</t>
        </is>
      </c>
      <c r="AP7" s="18" t="inlineStr">
        <is>
          <t>L T N P shows listeners with names.</t>
        </is>
      </c>
      <c r="AQ7" s="18" t="inlineStr">
        <is>
          <t>Finding that an app bound to 127.0.0.1 so the load balancer could not reach it.</t>
        </is>
      </c>
      <c r="AR7" s="18" t="inlineStr">
        <is>
          <t>An interviewer may ask: How do you see which process uses port 8080?</t>
        </is>
      </c>
      <c r="AS7" s="18" t="inlineStr">
        <is>
          <t>It is like a building directory.</t>
        </is>
      </c>
      <c r="AT7" s="18" t="inlineStr">
        <is>
          <t>What does 0.0.0.0 mean as a listen address?</t>
        </is>
      </c>
      <c r="AU7" s="18" t="inlineStr">
        <is>
          <t>A) All IPv4 addresses on the host B) Only local C) No address D) A broadcast</t>
        </is>
      </c>
      <c r="AV7" s="18" t="inlineStr">
        <is>
          <t>A</t>
        </is>
      </c>
      <c r="AW7" s="18" t="inlineStr">
        <is>
          <t>The service accepts connections on every interface.</t>
        </is>
      </c>
      <c r="AX7" s="19" t="inlineStr">
        <is>
          <t>The flag that shows the owning program is ____ → -p</t>
        </is>
      </c>
      <c r="AY7" s="18" t="inlineStr">
        <is>
          <t>List all listening TCP ports with numbers.</t>
        </is>
      </c>
      <c r="AZ7" s="19" t="inlineStr">
        <is>
          <t>ss -ltn</t>
        </is>
      </c>
      <c r="BA7" s="18" t="inlineStr">
        <is>
          <t>Find which program is listening on port 8080.</t>
        </is>
      </c>
      <c r="BB7" s="19" t="inlineStr">
        <is>
          <t>Why can a service listen but be unreachable from outside?</t>
        </is>
      </c>
      <c r="BC7" s="19" t="inlineStr">
        <is>
          <t>It may be bound to 127.0.0.1 or blocked by a firewall.</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94.5" customHeight="1">
      <c r="A8" s="17" t="inlineStr">
        <is>
          <t>NET-040</t>
        </is>
      </c>
      <c r="B8" s="17" t="inlineStr">
        <is>
          <t>06 Troubleshooting</t>
        </is>
      </c>
      <c r="C8" s="17" t="inlineStr">
        <is>
          <t>Advanced</t>
        </is>
      </c>
      <c r="D8" s="17" t="n">
        <v>40</v>
      </c>
      <c r="E8" s="17" t="inlineStr">
        <is>
          <t>Claude knowledge</t>
        </is>
      </c>
      <c r="F8" s="18" t="inlineStr">
        <is>
          <t>tcpdump</t>
        </is>
      </c>
      <c r="G8" s="18" t="inlineStr">
        <is>
          <t>Which command captures packets so you can see what actually crosses the wire?</t>
        </is>
      </c>
      <c r="H8" s="17" t="n"/>
      <c r="I8" s="18" t="inlineStr">
        <is>
          <t>Network command</t>
        </is>
      </c>
      <c r="J8" s="18" t="inlineStr">
        <is>
          <t>Medium</t>
        </is>
      </c>
      <c r="K8" s="18" t="n">
        <v>4</v>
      </c>
      <c r="L8" s="18" t="inlineStr">
        <is>
          <t>When logs and tools disagree, you need to see the real packets, so a command line sniffer was built.</t>
        </is>
      </c>
      <c r="M8" s="18" t="inlineStr">
        <is>
          <t>Always add a filter, or the output will drown you.</t>
        </is>
      </c>
      <c r="N8" s="17" t="n"/>
      <c r="O8" s="18" t="inlineStr">
        <is>
          <t>tcpdump is a microphone on the cable that records every word spoken.</t>
        </is>
      </c>
      <c r="P8" s="18" t="inlineStr">
        <is>
          <t>A stream of timestamped packet lines with flags and addresses.</t>
        </is>
      </c>
      <c r="Q8" s="18" t="inlineStr">
        <is>
          <t>The thrill of seeing the proof in the packets.</t>
        </is>
      </c>
      <c r="R8" s="18" t="inlineStr">
        <is>
          <t>tcpdump captures and prints packets on an interface, and filters select traffic by host, port or protocol.</t>
        </is>
      </c>
      <c r="S8" s="17" t="n"/>
      <c r="T8" s="19" t="inlineStr">
        <is>
          <t>sudo tcpdump -i any -n port 443 and host 203.0.113.10
sudo tcpdump -i eth0 -w capture.pcap port 53</t>
        </is>
      </c>
      <c r="U8" s="19" t="inlineStr">
        <is>
          <t>The first prints matching packets live, and the second saves DNS packets to a file that can be opened in Wireshark.</t>
        </is>
      </c>
      <c r="V8" s="18" t="inlineStr">
        <is>
          <t>Flags such as S for SYN and S. for SYN-ACK show handshake steps. -n skips name lookups, -i picks the interface, and -w writes a file. Captures need root rights and may contain sensitive data, so handle them carefully. For encrypted traffic you see only metadata. Filters use a language called BPF.</t>
        </is>
      </c>
      <c r="W8" s="18" t="inlineStr">
        <is>
          <t>Capture only the traffic you need, then read the flags to see if the handshake finished.</t>
        </is>
      </c>
      <c r="X8" s="18" t="inlineStr">
        <is>
          <t>tcpdump is a microphone on the cable that records every word spoken.</t>
        </is>
      </c>
      <c r="Y8" s="19" t="inlineStr">
        <is>
          <t>tcpdump -i interface [-n] [-w file] filter</t>
        </is>
      </c>
      <c r="Z8" s="18" t="inlineStr">
        <is>
          <t>-i = interface | -n = numeric | -w = write file | filter = host, port, protocol</t>
        </is>
      </c>
      <c r="AA8" s="19" t="inlineStr">
        <is>
          <t>sudo tcpdump -n icmp</t>
        </is>
      </c>
      <c r="AB8" s="19" t="inlineStr">
        <is>
          <t>sudo tcpdump -n -c 20 port 80</t>
        </is>
      </c>
      <c r="AC8" s="19" t="inlineStr">
        <is>
          <t>sudo tcpdump -r capture.pcap -n</t>
        </is>
      </c>
      <c r="AD8" s="19" t="inlineStr">
        <is>
          <t>tshark -i eth0 -f "port 53"   // command line Wireshark</t>
        </is>
      </c>
      <c r="AE8" s="18" t="inlineStr">
        <is>
          <t>Wireshark, ss, curl</t>
        </is>
      </c>
      <c r="AF8" s="18" t="inlineStr">
        <is>
          <t>Wireshark basics, TCP handshake, ports, timeouts vs refused</t>
        </is>
      </c>
      <c r="AG8" s="18" t="inlineStr">
        <is>
          <t>tshark | Wireshark</t>
        </is>
      </c>
      <c r="AH8" s="17" t="n"/>
      <c r="AI8" s="18" t="inlineStr">
        <is>
          <t>Hard faults | Proof for providers | Security work</t>
        </is>
      </c>
      <c r="AJ8" s="18" t="inlineStr">
        <is>
          <t>A: Does our request even leave the server? | B: Capture on the interface and look for the SYN.</t>
        </is>
      </c>
      <c r="AK8" s="18" t="inlineStr">
        <is>
          <t>✗ tcpdump can show the content of encrypted traffic → ✓ It shows only metadata for TLS traffic</t>
        </is>
      </c>
      <c r="AL8" s="18" t="inlineStr">
        <is>
          <t>tcpdump vs ss: tcpdump shows packets, ss shows sockets.</t>
        </is>
      </c>
      <c r="AM8" s="18" t="inlineStr">
        <is>
          <t>Do not share captures without removing sensitive data.</t>
        </is>
      </c>
      <c r="AN8" s="19" t="inlineStr">
        <is>
          <t>tcpdump port 443</t>
        </is>
      </c>
      <c r="AO8" s="19" t="inlineStr">
        <is>
          <t>sudo tcpdump -n port 443</t>
        </is>
      </c>
      <c r="AP8" s="18" t="inlineStr">
        <is>
          <t>Filter first, or drown in packets.</t>
        </is>
      </c>
      <c r="AQ8" s="18" t="inlineStr">
        <is>
          <t>Capturing traffic to prove the reply was dropped upstream of our server.</t>
        </is>
      </c>
      <c r="AR8" s="18" t="inlineStr">
        <is>
          <t>An interviewer may ask: How do you check whether a SYN is answered?</t>
        </is>
      </c>
      <c r="AS8" s="18" t="inlineStr">
        <is>
          <t>It is like a microphone on the cable.</t>
        </is>
      </c>
      <c r="AT8" s="18" t="inlineStr">
        <is>
          <t>Which option writes packets to a file?</t>
        </is>
      </c>
      <c r="AU8" s="18" t="inlineStr">
        <is>
          <t>A) -n B) -c C) -w D) -r</t>
        </is>
      </c>
      <c r="AV8" s="18" t="inlineStr">
        <is>
          <t>C</t>
        </is>
      </c>
      <c r="AW8" s="18" t="inlineStr">
        <is>
          <t>-w saves a capture file.</t>
        </is>
      </c>
      <c r="AX8" s="19" t="inlineStr">
        <is>
          <t>The filter language used by tcpdump is called ____ → BPF</t>
        </is>
      </c>
      <c r="AY8" s="18" t="inlineStr">
        <is>
          <t>Capture 20 packets on port 80 without name lookups.</t>
        </is>
      </c>
      <c r="AZ8" s="19" t="inlineStr">
        <is>
          <t>sudo tcpdump -n -c 20 port 80</t>
        </is>
      </c>
      <c r="BA8" s="18" t="inlineStr">
        <is>
          <t>Capture DNS traffic into a file for later study.</t>
        </is>
      </c>
      <c r="BB8" s="19" t="inlineStr">
        <is>
          <t>Why does tcpdump need elevated rights?</t>
        </is>
      </c>
      <c r="BC8" s="19" t="inlineStr">
        <is>
          <t>Reading raw packets from an interface is a privileged operation.</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08" customHeight="1">
      <c r="A9" s="17" t="inlineStr">
        <is>
          <t>NET-042</t>
        </is>
      </c>
      <c r="B9" s="17" t="inlineStr">
        <is>
          <t>06 Troubleshooting</t>
        </is>
      </c>
      <c r="C9" s="17" t="inlineStr">
        <is>
          <t>Advanced</t>
        </is>
      </c>
      <c r="D9" s="17" t="n">
        <v>42</v>
      </c>
      <c r="E9" s="17" t="inlineStr">
        <is>
          <t>Claude knowledge</t>
        </is>
      </c>
      <c r="F9" s="18" t="inlineStr">
        <is>
          <t>MTU and fragmentation</t>
        </is>
      </c>
      <c r="G9" s="18" t="inlineStr">
        <is>
          <t>Which size limit can make small requests work and large ones hang?</t>
        </is>
      </c>
      <c r="H9" s="17" t="n"/>
      <c r="I9" s="18" t="inlineStr">
        <is>
          <t>Network concept</t>
        </is>
      </c>
      <c r="J9" s="18" t="inlineStr">
        <is>
          <t>Medium</t>
        </is>
      </c>
      <c r="K9" s="18" t="n">
        <v>4</v>
      </c>
      <c r="L9" s="18" t="inlineStr">
        <is>
          <t>Links carry only a maximum frame size, so large packets are split or dropped when they do not fit.</t>
        </is>
      </c>
      <c r="M9" s="18" t="inlineStr">
        <is>
          <t>If small calls work but large ones hang, test the path MTU.</t>
        </is>
      </c>
      <c r="N9" s="17" t="n"/>
      <c r="O9" s="18" t="inlineStr">
        <is>
          <t>MTU is the door width, and a big sofa must be cut up or stay outside.</t>
        </is>
      </c>
      <c r="P9" s="18" t="inlineStr">
        <is>
          <t>A wide packet failing to fit through a narrow link.</t>
        </is>
      </c>
      <c r="Q9" s="18" t="inlineStr">
        <is>
          <t>The aha moment when a strange hang has a simple cause.</t>
        </is>
      </c>
      <c r="R9" s="18" t="inlineStr">
        <is>
          <t>The MTU is the largest packet a link can carry, and packets bigger than it must be fragmented or are dropped if marked do-not-fragment.</t>
        </is>
      </c>
      <c r="S9" s="17" t="n"/>
      <c r="T9" s="19" t="inlineStr">
        <is>
          <t>ping -M do -s 1472 -c 2 example.com
ping -M do -s 1400 -c 2 example.com
ip link show eth0</t>
        </is>
      </c>
      <c r="U9" s="19" t="inlineStr">
        <is>
          <t>If 1472 fails but 1400 works, the path MTU is below the standard 1500, and ip link shows the interface MTU.</t>
        </is>
      </c>
      <c r="V9" s="18" t="inlineStr">
        <is>
          <t>Ethernet commonly uses 1500 bytes. Tunnels such as VPNs and some cloud links add headers, so the usable size is smaller. TCP learns the limit through path MTU discovery, which needs ICMP messages, and blocked ICMP causes hangs. The usual fix is to lower the MTU or clamp the TCP segment size. The test size is the MTU minus 28 bytes of headers.</t>
        </is>
      </c>
      <c r="W9" s="18" t="inlineStr">
        <is>
          <t>Test with do-not-fragment pings of different sizes, and lower the MTU on tunnels.</t>
        </is>
      </c>
      <c r="X9" s="18" t="inlineStr">
        <is>
          <t>MTU is the door width, and a big sofa must be cut or stay outside.</t>
        </is>
      </c>
      <c r="Y9" s="19" t="inlineStr">
        <is>
          <t>ping -M do -s size host</t>
        </is>
      </c>
      <c r="Z9" s="18" t="inlineStr">
        <is>
          <t>-M do = do not fragment | -s = payload size | 28 bytes = IP and ICMP headers</t>
        </is>
      </c>
      <c r="AA9" s="19" t="inlineStr">
        <is>
          <t>ping -M do -s 1372 -c 2 10.8.0.1</t>
        </is>
      </c>
      <c r="AB9" s="19" t="inlineStr">
        <is>
          <t>ip link set dev tun0 mtu 1400</t>
        </is>
      </c>
      <c r="AC9" s="19" t="inlineStr">
        <is>
          <t>iptables clamp of MSS to path MTU</t>
        </is>
      </c>
      <c r="AD9" s="19" t="inlineStr">
        <is>
          <t>tracepath example.com   // reports path MTU</t>
        </is>
      </c>
      <c r="AE9" s="18" t="inlineStr">
        <is>
          <t>VPN, tcpdump, firewalls</t>
        </is>
      </c>
      <c r="AF9" s="18" t="inlineStr">
        <is>
          <t>packets and frames, VPN, ICMP, timeouts vs refused</t>
        </is>
      </c>
      <c r="AG9" s="18" t="inlineStr">
        <is>
          <t>tracepath | MSS clamping</t>
        </is>
      </c>
      <c r="AH9" s="17" t="n"/>
      <c r="AI9" s="18" t="inlineStr">
        <is>
          <t>VPNs | Tunnels | Cloud links</t>
        </is>
      </c>
      <c r="AJ9" s="18" t="inlineStr">
        <is>
          <t>A: Small API calls work but uploads hang. | B: Test MTU, as a tunnel may cut the size.</t>
        </is>
      </c>
      <c r="AK9" s="18" t="inlineStr">
        <is>
          <t>✗ ICMP can always be blocked safely → ✓ Blocking it can break path MTU discovery and cause hangs</t>
        </is>
      </c>
      <c r="AL9" s="18" t="inlineStr">
        <is>
          <t>MTU vs bandwidth: MTU is the maximum packet size, bandwidth is capacity.</t>
        </is>
      </c>
      <c r="AM9" s="18" t="inlineStr">
        <is>
          <t>Do not block all ICMP messages.</t>
        </is>
      </c>
      <c r="AN9" s="19" t="inlineStr">
        <is>
          <t>ping -s 1500 example.com</t>
        </is>
      </c>
      <c r="AO9" s="19" t="inlineStr">
        <is>
          <t>ping -M do -s 1472 example.com</t>
        </is>
      </c>
      <c r="AP9" s="18" t="inlineStr">
        <is>
          <t>Small works, large hangs, think MTU.</t>
        </is>
      </c>
      <c r="AQ9" s="18" t="inlineStr">
        <is>
          <t>Lowering the tunnel MTU after large uploads hung over a VPN.</t>
        </is>
      </c>
      <c r="AR9" s="18" t="inlineStr">
        <is>
          <t>An interviewer may ask: Why would only large packets fail?</t>
        </is>
      </c>
      <c r="AS9" s="18" t="inlineStr">
        <is>
          <t>It is like a sofa that will not fit a door.</t>
        </is>
      </c>
      <c r="AT9" s="18" t="inlineStr">
        <is>
          <t>Which symptom suggests an MTU problem?</t>
        </is>
      </c>
      <c r="AU9" s="18" t="inlineStr">
        <is>
          <t>A) Small requests work, large ones hang B) Nothing works C) Ping works for none D) DNS fails</t>
        </is>
      </c>
      <c r="AV9" s="18" t="inlineStr">
        <is>
          <t>A</t>
        </is>
      </c>
      <c r="AW9" s="18" t="inlineStr">
        <is>
          <t>Large packets exceed the path limit.</t>
        </is>
      </c>
      <c r="AX9" s="19" t="inlineStr">
        <is>
          <t>The usual Ethernet MTU is ____ bytes → 1500</t>
        </is>
      </c>
      <c r="AY9" s="18" t="inlineStr">
        <is>
          <t>Send a do-not-fragment ping with payload 1400.</t>
        </is>
      </c>
      <c r="AZ9" s="19" t="inlineStr">
        <is>
          <t>ping -M do -s 1400 -c 2 example.com</t>
        </is>
      </c>
      <c r="BA9" s="18" t="inlineStr">
        <is>
          <t>Work out the payload size to test an MTU of 1400.</t>
        </is>
      </c>
      <c r="BB9" s="19" t="inlineStr">
        <is>
          <t>Why can blocking ICMP cause hangs?</t>
        </is>
      </c>
      <c r="BC9" s="19" t="inlineStr">
        <is>
          <t>It breaks path MTU discovery, so large packets are silently dropped.</t>
        </is>
      </c>
      <c r="BD9" s="17">
        <f>IF(K9="","",REPT("★",K9)&amp;REPT("☆",5-K9)&amp;" ("&amp;K9&amp;"/5)")</f>
        <v/>
      </c>
      <c r="BE9" s="17">
        <f>IF(S9="","","Meaning: "&amp;S9&amp;"  =  ______   (Answer: "&amp;F9&amp;")")</f>
        <v/>
      </c>
      <c r="BF9" s="17" t="inlineStr">
        <is>
          <t>New</t>
        </is>
      </c>
      <c r="BG9" s="17" t="n"/>
      <c r="BH9" s="17" t="n"/>
      <c r="BI9" s="17" t="n"/>
      <c r="BJ9" s="17" t="n"/>
      <c r="BK9" s="17" t="n"/>
      <c r="BL9" s="17" t="n"/>
      <c r="BM9" s="17" t="n"/>
      <c r="BN9" s="17" t="n"/>
    </row>
  </sheetData>
  <autoFilter ref="A2:BN9"/>
  <mergeCells count="6">
    <mergeCell ref="AT1:BC1"/>
    <mergeCell ref="BD1:BE1"/>
    <mergeCell ref="F1:Q1"/>
    <mergeCell ref="A1:E1"/>
    <mergeCell ref="BF1:BN1"/>
    <mergeCell ref="R1:AS1"/>
  </mergeCells>
  <dataValidations count="2">
    <dataValidation sqref="BF3:BF9" showDropDown="0" showInputMessage="0" showErrorMessage="0" allowBlank="1" type="list">
      <formula1>"New,Learning,Known"</formula1>
    </dataValidation>
    <dataValidation sqref="BM3:BM9"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NET-035</t>
        </is>
      </c>
    </row>
    <row r="4">
      <c r="A4" s="23" t="inlineStr">
        <is>
          <t>FRONT · Recognition (pehchano)</t>
        </is>
      </c>
    </row>
    <row r="5" ht="30" customHeight="1">
      <c r="A5" s="24" t="inlineStr">
        <is>
          <t>ID</t>
        </is>
      </c>
      <c r="B5" s="17">
        <f>INDEX('Code concept (56-pt) cards'!$A$3:$BN$9,MATCH($B$2,'Code concept (56-pt) cards'!$A$3:$A$9,0),MATCH("ID",'Code concept (56-pt) cards'!$A$2:$BN$2,0))&amp;""</f>
        <v/>
      </c>
    </row>
    <row r="6" ht="30" customHeight="1">
      <c r="A6" s="24" t="inlineStr">
        <is>
          <t>Topic</t>
        </is>
      </c>
      <c r="B6" s="17">
        <f>INDEX('Code concept (56-pt) cards'!$A$3:$BN$9,MATCH($B$2,'Code concept (56-pt) cards'!$A$3:$A$9,0),MATCH("Topic",'Code concept (56-pt) cards'!$A$2:$BN$2,0))&amp;""</f>
        <v/>
      </c>
    </row>
    <row r="7" ht="30" customHeight="1">
      <c r="A7" s="24" t="inlineStr">
        <is>
          <t>Level</t>
        </is>
      </c>
      <c r="B7" s="17">
        <f>INDEX('Code concept (56-pt) cards'!$A$3:$BN$9,MATCH($B$2,'Code concept (56-pt) cards'!$A$3:$A$9,0),MATCH("Level",'Code concept (56-pt) cards'!$A$2:$BN$2,0))&amp;""</f>
        <v/>
      </c>
    </row>
    <row r="8" ht="30" customHeight="1">
      <c r="A8" s="24" t="inlineStr">
        <is>
          <t>Concept</t>
        </is>
      </c>
      <c r="B8" s="17">
        <f>INDEX('Code concept (56-pt) cards'!$A$3:$BN$9,MATCH($B$2,'Code concept (56-pt) cards'!$A$3:$A$9,0),MATCH("Concept",'Code concept (56-pt) cards'!$A$2:$BN$2,0))&amp;""</f>
        <v/>
      </c>
    </row>
    <row r="9" ht="30" customHeight="1">
      <c r="A9" s="24" t="inlineStr">
        <is>
          <t>Recall cue</t>
        </is>
      </c>
      <c r="B9" s="17">
        <f>INDEX('Code concept (56-pt) cards'!$A$3:$BN$9,MATCH($B$2,'Code concept (56-pt) cards'!$A$3:$A$9,0),MATCH("Recall cue",'Code concept (56-pt) cards'!$A$2:$BN$2,0))&amp;""</f>
        <v/>
      </c>
    </row>
    <row r="10" ht="30" customHeight="1">
      <c r="A10" s="24" t="inlineStr">
        <is>
          <t>Read aloud</t>
        </is>
      </c>
      <c r="B10" s="17">
        <f>INDEX('Code concept (56-pt) cards'!$A$3:$BN$9,MATCH($B$2,'Code concept (56-pt) cards'!$A$3:$A$9,0),MATCH("Read aloud",'Code concept (56-pt) cards'!$A$2:$BN$2,0))&amp;""</f>
        <v/>
      </c>
    </row>
    <row r="11" ht="30" customHeight="1">
      <c r="A11" s="24" t="inlineStr">
        <is>
          <t>Type</t>
        </is>
      </c>
      <c r="B11" s="17">
        <f>INDEX('Code concept (56-pt) cards'!$A$3:$BN$9,MATCH($B$2,'Code concept (56-pt) cards'!$A$3:$A$9,0),MATCH("Type",'Code concept (56-pt) cards'!$A$2:$BN$2,0))&amp;""</f>
        <v/>
      </c>
    </row>
    <row r="12" ht="30" customHeight="1">
      <c r="A12" s="24" t="inlineStr">
        <is>
          <t>How often used</t>
        </is>
      </c>
      <c r="B12" s="17">
        <f>INDEX('Code concept (56-pt) cards'!$A$3:$BN$9,MATCH($B$2,'Code concept (56-pt) cards'!$A$3:$A$9,0),MATCH("How often used",'Code concept (56-pt) cards'!$A$2:$BN$2,0))&amp;""</f>
        <v/>
      </c>
    </row>
    <row r="13" ht="30" customHeight="1">
      <c r="A13" s="24" t="inlineStr">
        <is>
          <t>Importance (1-5)</t>
        </is>
      </c>
      <c r="B13" s="17">
        <f>INDEX('Code concept (56-pt) cards'!$A$3:$BN$9,MATCH($B$2,'Code concept (56-pt) cards'!$A$3:$A$9,0),MATCH("Importance (1-5)",'Code concept (56-pt) cards'!$A$2:$BN$2,0))&amp;""</f>
        <v/>
      </c>
    </row>
    <row r="14" ht="30" customHeight="1">
      <c r="A14" s="24" t="inlineStr">
        <is>
          <t>Origin / why it exists</t>
        </is>
      </c>
      <c r="B14" s="17">
        <f>INDEX('Code concept (56-pt) cards'!$A$3:$BN$9,MATCH($B$2,'Code concept (56-pt) cards'!$A$3:$A$9,0),MATCH("Origin / why it exists",'Code concept (56-pt) cards'!$A$2:$BN$2,0))&amp;""</f>
        <v/>
      </c>
    </row>
    <row r="15" ht="30" customHeight="1">
      <c r="A15" s="24" t="inlineStr">
        <is>
          <t>Pro tip</t>
        </is>
      </c>
      <c r="B15" s="17">
        <f>INDEX('Code concept (56-pt) cards'!$A$3:$BN$9,MATCH($B$2,'Code concept (56-pt) cards'!$A$3:$A$9,0),MATCH("Pro tip",'Code concept (56-pt) cards'!$A$2:$BN$2,0))&amp;""</f>
        <v/>
      </c>
    </row>
    <row r="16" ht="30" customHeight="1">
      <c r="A16" s="24" t="inlineStr">
        <is>
          <t>Typing hint</t>
        </is>
      </c>
      <c r="B16" s="17">
        <f>INDEX('Code concept (56-pt) cards'!$A$3:$BN$9,MATCH($B$2,'Code concept (56-pt) cards'!$A$3:$A$9,0),MATCH("Typing hint",'Code concept (56-pt) cards'!$A$2:$BN$2,0))&amp;""</f>
        <v/>
      </c>
    </row>
    <row r="17" ht="30" customHeight="1">
      <c r="A17" s="24" t="inlineStr">
        <is>
          <t>Memory story</t>
        </is>
      </c>
      <c r="B17" s="17">
        <f>INDEX('Code concept (56-pt) cards'!$A$3:$BN$9,MATCH($B$2,'Code concept (56-pt) cards'!$A$3:$A$9,0),MATCH("Memory story",'Code concept (56-pt) cards'!$A$2:$BN$2,0))&amp;""</f>
        <v/>
      </c>
    </row>
    <row r="18" ht="30" customHeight="1">
      <c r="A18" s="24" t="inlineStr">
        <is>
          <t>Picture it</t>
        </is>
      </c>
      <c r="B18" s="17">
        <f>INDEX('Code concept (56-pt) cards'!$A$3:$BN$9,MATCH($B$2,'Code concept (56-pt) cards'!$A$3:$A$9,0),MATCH("Picture it",'Code concept (56-pt) cards'!$A$2:$BN$2,0))&amp;""</f>
        <v/>
      </c>
    </row>
    <row r="19" ht="30" customHeight="1">
      <c r="A19" s="24" t="inlineStr">
        <is>
          <t>Emotion hook</t>
        </is>
      </c>
      <c r="B19" s="17">
        <f>INDEX('Code concept (56-pt) cards'!$A$3:$BN$9,MATCH($B$2,'Code concept (56-pt) cards'!$A$3:$A$9,0),MATCH("Emotion hook",'Code concept (56-pt) cards'!$A$2:$BN$2,0))&amp;""</f>
        <v/>
      </c>
    </row>
    <row r="20" ht="30" customHeight="1">
      <c r="A20" s="24" t="inlineStr">
        <is>
          <t>Importance ★</t>
        </is>
      </c>
      <c r="B20" s="17">
        <f>INDEX('Code concept (56-pt) cards'!$A$3:$BN$9,MATCH($B$2,'Code concept (56-pt) cards'!$A$3:$A$9,0),MATCH("Importance ★",'Code concept (56-pt) cards'!$A$2:$BN$2,0))&amp;""</f>
        <v/>
      </c>
    </row>
    <row r="21">
      <c r="A21" s="25" t="inlineStr">
        <is>
          <t>BACK · Understanding (samjho)</t>
        </is>
      </c>
    </row>
    <row r="22" ht="30" customHeight="1">
      <c r="A22" s="24" t="inlineStr">
        <is>
          <t>Meaning (short)</t>
        </is>
      </c>
      <c r="B22" s="17">
        <f>INDEX('Code concept (56-pt) cards'!$A$3:$BN$9,MATCH($B$2,'Code concept (56-pt) cards'!$A$3:$A$9,0),MATCH("Meaning (short)",'Code concept (56-pt) cards'!$A$2:$BN$2,0))&amp;""</f>
        <v/>
      </c>
    </row>
    <row r="23" ht="30" customHeight="1">
      <c r="A23" s="24" t="inlineStr">
        <is>
          <t>Meaning in learner's language</t>
        </is>
      </c>
      <c r="B23" s="17">
        <f>INDEX('Code concept (56-pt) cards'!$A$3:$BN$9,MATCH($B$2,'Code concept (56-pt) cards'!$A$3:$A$9,0),MATCH("Meaning in learner's language",'Code concept (56-pt) cards'!$A$2:$BN$2,0))&amp;""</f>
        <v/>
      </c>
    </row>
    <row r="24" ht="40.5" customHeight="1">
      <c r="A24" s="24" t="inlineStr">
        <is>
          <t>Code</t>
        </is>
      </c>
      <c r="B24" s="26">
        <f>INDEX('Code concept (56-pt) cards'!$A$3:$BN$9,MATCH($B$2,'Code concept (56-pt) cards'!$A$3:$A$9,0),MATCH("Code",'Code concept (56-pt) cards'!$A$2:$BN$2,0))&amp;""</f>
        <v/>
      </c>
    </row>
    <row r="25" ht="30" customHeight="1">
      <c r="A25" s="24" t="inlineStr">
        <is>
          <t>Output</t>
        </is>
      </c>
      <c r="B25" s="26">
        <f>INDEX('Code concept (56-pt) cards'!$A$3:$BN$9,MATCH($B$2,'Code concept (56-pt) cards'!$A$3:$A$9,0),MATCH("Output",'Code concept (56-pt) cards'!$A$2:$BN$2,0))&amp;""</f>
        <v/>
      </c>
    </row>
    <row r="26" ht="54" customHeight="1">
      <c r="A26" s="24" t="inlineStr">
        <is>
          <t>Explanation</t>
        </is>
      </c>
      <c r="B26" s="17">
        <f>INDEX('Code concept (56-pt) cards'!$A$3:$BN$9,MATCH($B$2,'Code concept (56-pt) cards'!$A$3:$A$9,0),MATCH("Explanation",'Code concept (56-pt) cards'!$A$2:$BN$2,0))&amp;""</f>
        <v/>
      </c>
    </row>
    <row r="27" ht="30" customHeight="1">
      <c r="A27" s="24" t="inlineStr">
        <is>
          <t>Simple explanation (Hinglish)</t>
        </is>
      </c>
      <c r="B27" s="17">
        <f>INDEX('Code concept (56-pt) cards'!$A$3:$BN$9,MATCH($B$2,'Code concept (56-pt) cards'!$A$3:$A$9,0),MATCH("Simple explanation (Hinglish)",'Code concept (56-pt) cards'!$A$2:$BN$2,0))&amp;""</f>
        <v/>
      </c>
    </row>
    <row r="28" ht="30" customHeight="1">
      <c r="A28" s="24" t="inlineStr">
        <is>
          <t>Real-life analogy</t>
        </is>
      </c>
      <c r="B28" s="17">
        <f>INDEX('Code concept (56-pt) cards'!$A$3:$BN$9,MATCH($B$2,'Code concept (56-pt) cards'!$A$3:$A$9,0),MATCH("Real-life analogy",'Code concept (56-pt) cards'!$A$2:$BN$2,0))&amp;""</f>
        <v/>
      </c>
    </row>
    <row r="29" ht="30" customHeight="1">
      <c r="A29" s="24" t="inlineStr">
        <is>
          <t>Syntax pattern</t>
        </is>
      </c>
      <c r="B29" s="26">
        <f>INDEX('Code concept (56-pt) cards'!$A$3:$BN$9,MATCH($B$2,'Code concept (56-pt) cards'!$A$3:$A$9,0),MATCH("Syntax pattern",'Code concept (56-pt) cards'!$A$2:$BN$2,0))&amp;""</f>
        <v/>
      </c>
    </row>
    <row r="30" ht="30" customHeight="1">
      <c r="A30" s="24" t="inlineStr">
        <is>
          <t>Anatomy</t>
        </is>
      </c>
      <c r="B30" s="17">
        <f>INDEX('Code concept (56-pt) cards'!$A$3:$BN$9,MATCH($B$2,'Code concept (56-pt) cards'!$A$3:$A$9,0),MATCH("Anatomy",'Code concept (56-pt) cards'!$A$2:$BN$2,0))&amp;""</f>
        <v/>
      </c>
    </row>
    <row r="31" ht="30" customHeight="1">
      <c r="A31" s="24" t="inlineStr">
        <is>
          <t>Example 1</t>
        </is>
      </c>
      <c r="B31" s="26">
        <f>INDEX('Code concept (56-pt) cards'!$A$3:$BN$9,MATCH($B$2,'Code concept (56-pt) cards'!$A$3:$A$9,0),MATCH("Example 1",'Code concept (56-pt) cards'!$A$2:$BN$2,0))&amp;""</f>
        <v/>
      </c>
    </row>
    <row r="32" ht="30" customHeight="1">
      <c r="A32" s="24" t="inlineStr">
        <is>
          <t>Example 2</t>
        </is>
      </c>
      <c r="B32" s="26">
        <f>INDEX('Code concept (56-pt) cards'!$A$3:$BN$9,MATCH($B$2,'Code concept (56-pt) cards'!$A$3:$A$9,0),MATCH("Example 2",'Code concept (56-pt) cards'!$A$2:$BN$2,0))&amp;""</f>
        <v/>
      </c>
    </row>
    <row r="33" ht="30" customHeight="1">
      <c r="A33" s="24" t="inlineStr">
        <is>
          <t>Example 3</t>
        </is>
      </c>
      <c r="B33" s="26">
        <f>INDEX('Code concept (56-pt) cards'!$A$3:$BN$9,MATCH($B$2,'Code concept (56-pt) cards'!$A$3:$A$9,0),MATCH("Example 3",'Code concept (56-pt) cards'!$A$2:$BN$2,0))&amp;""</f>
        <v/>
      </c>
    </row>
    <row r="34" ht="30" customHeight="1">
      <c r="A34" s="24" t="inlineStr">
        <is>
          <t>Variation</t>
        </is>
      </c>
      <c r="B34" s="26">
        <f>INDEX('Code concept (56-pt) cards'!$A$3:$BN$9,MATCH($B$2,'Code concept (56-pt) cards'!$A$3:$A$9,0),MATCH("Variation",'Code concept (56-pt) cards'!$A$2:$BN$2,0))&amp;""</f>
        <v/>
      </c>
    </row>
    <row r="35" ht="30" customHeight="1">
      <c r="A35" s="24" t="inlineStr">
        <is>
          <t>Used with</t>
        </is>
      </c>
      <c r="B35" s="17">
        <f>INDEX('Code concept (56-pt) cards'!$A$3:$BN$9,MATCH($B$2,'Code concept (56-pt) cards'!$A$3:$A$9,0),MATCH("Used with",'Code concept (56-pt) cards'!$A$2:$BN$2,0))&amp;""</f>
        <v/>
      </c>
    </row>
    <row r="36" ht="30" customHeight="1">
      <c r="A36" s="24" t="inlineStr">
        <is>
          <t>Related concepts</t>
        </is>
      </c>
      <c r="B36" s="17">
        <f>INDEX('Code concept (56-pt) cards'!$A$3:$BN$9,MATCH($B$2,'Code concept (56-pt) cards'!$A$3:$A$9,0),MATCH("Related concepts",'Code concept (56-pt) cards'!$A$2:$BN$2,0))&amp;""</f>
        <v/>
      </c>
    </row>
    <row r="37" ht="30" customHeight="1">
      <c r="A37" s="24" t="inlineStr">
        <is>
          <t>Alternatives</t>
        </is>
      </c>
      <c r="B37" s="17">
        <f>INDEX('Code concept (56-pt) cards'!$A$3:$BN$9,MATCH($B$2,'Code concept (56-pt) cards'!$A$3:$A$9,0),MATCH("Alternatives",'Code concept (56-pt) cards'!$A$2:$BN$2,0))&amp;""</f>
        <v/>
      </c>
    </row>
    <row r="38" ht="30" customHeight="1">
      <c r="A38" s="24" t="inlineStr">
        <is>
          <t>Family / group</t>
        </is>
      </c>
      <c r="B38" s="17">
        <f>INDEX('Code concept (56-pt) cards'!$A$3:$BN$9,MATCH($B$2,'Code concept (56-pt) cards'!$A$3:$A$9,0),MATCH("Family / group",'Code concept (56-pt) cards'!$A$2:$BN$2,0))&amp;""</f>
        <v/>
      </c>
    </row>
    <row r="39" ht="30" customHeight="1">
      <c r="A39" s="24" t="inlineStr">
        <is>
          <t>Where it is used</t>
        </is>
      </c>
      <c r="B39" s="17">
        <f>INDEX('Code concept (56-pt) cards'!$A$3:$BN$9,MATCH($B$2,'Code concept (56-pt) cards'!$A$3:$A$9,0),MATCH("Where it is used",'Code concept (56-pt) cards'!$A$2:$BN$2,0))&amp;""</f>
        <v/>
      </c>
    </row>
    <row r="40" ht="30" customHeight="1">
      <c r="A40" s="24" t="inlineStr">
        <is>
          <t>Mini conversation</t>
        </is>
      </c>
      <c r="B40" s="17">
        <f>INDEX('Code concept (56-pt) cards'!$A$3:$BN$9,MATCH($B$2,'Code concept (56-pt) cards'!$A$3:$A$9,0),MATCH("Mini conversation",'Code concept (56-pt) cards'!$A$2:$BN$2,0))&amp;""</f>
        <v/>
      </c>
    </row>
    <row r="41" ht="30" customHeight="1">
      <c r="A41" s="24" t="inlineStr">
        <is>
          <t>Common mistake</t>
        </is>
      </c>
      <c r="B41" s="17">
        <f>INDEX('Code concept (56-pt) cards'!$A$3:$BN$9,MATCH($B$2,'Code concept (56-pt) cards'!$A$3:$A$9,0),MATCH("Common mistake",'Code concept (56-pt) cards'!$A$2:$BN$2,0))&amp;""</f>
        <v/>
      </c>
    </row>
    <row r="42" ht="30" customHeight="1">
      <c r="A42" s="24" t="inlineStr">
        <is>
          <t>Commonly confused with</t>
        </is>
      </c>
      <c r="B42" s="17">
        <f>INDEX('Code concept (56-pt) cards'!$A$3:$BN$9,MATCH($B$2,'Code concept (56-pt) cards'!$A$3:$A$9,0),MATCH("Commonly confused with",'Code concept (56-pt) cards'!$A$2:$BN$2,0))&amp;""</f>
        <v/>
      </c>
    </row>
    <row r="43" ht="30" customHeight="1">
      <c r="A43" s="24" t="inlineStr">
        <is>
          <t>Avoid / don't</t>
        </is>
      </c>
      <c r="B43" s="17">
        <f>INDEX('Code concept (56-pt) cards'!$A$3:$BN$9,MATCH($B$2,'Code concept (56-pt) cards'!$A$3:$A$9,0),MATCH("Avoid / don't",'Code concept (56-pt) cards'!$A$2:$BN$2,0))&amp;""</f>
        <v/>
      </c>
    </row>
    <row r="44" ht="30" customHeight="1">
      <c r="A44" s="24" t="inlineStr">
        <is>
          <t>Wrong code</t>
        </is>
      </c>
      <c r="B44" s="26">
        <f>INDEX('Code concept (56-pt) cards'!$A$3:$BN$9,MATCH($B$2,'Code concept (56-pt) cards'!$A$3:$A$9,0),MATCH("Wrong code",'Code concept (56-pt) cards'!$A$2:$BN$2,0))&amp;""</f>
        <v/>
      </c>
    </row>
    <row r="45" ht="30" customHeight="1">
      <c r="A45" s="24" t="inlineStr">
        <is>
          <t>Right code</t>
        </is>
      </c>
      <c r="B45" s="26">
        <f>INDEX('Code concept (56-pt) cards'!$A$3:$BN$9,MATCH($B$2,'Code concept (56-pt) cards'!$A$3:$A$9,0),MATCH("Right code",'Code concept (56-pt) cards'!$A$2:$BN$2,0))&amp;""</f>
        <v/>
      </c>
    </row>
    <row r="46" ht="30" customHeight="1">
      <c r="A46" s="24" t="inlineStr">
        <is>
          <t>Memory trick</t>
        </is>
      </c>
      <c r="B46" s="17">
        <f>INDEX('Code concept (56-pt) cards'!$A$3:$BN$9,MATCH($B$2,'Code concept (56-pt) cards'!$A$3:$A$9,0),MATCH("Memory trick",'Code concept (56-pt) cards'!$A$2:$BN$2,0))&amp;""</f>
        <v/>
      </c>
    </row>
    <row r="47" ht="30" customHeight="1">
      <c r="A47" s="24" t="inlineStr">
        <is>
          <t>Real life: project / work</t>
        </is>
      </c>
      <c r="B47" s="17">
        <f>INDEX('Code concept (56-pt) cards'!$A$3:$BN$9,MATCH($B$2,'Code concept (56-pt) cards'!$A$3:$A$9,0),MATCH("Real life: project / work",'Code concept (56-pt) cards'!$A$2:$BN$2,0))&amp;""</f>
        <v/>
      </c>
    </row>
    <row r="48" ht="30" customHeight="1">
      <c r="A48" s="24" t="inlineStr">
        <is>
          <t>Real life: interview / exam</t>
        </is>
      </c>
      <c r="B48" s="17">
        <f>INDEX('Code concept (56-pt) cards'!$A$3:$BN$9,MATCH($B$2,'Code concept (56-pt) cards'!$A$3:$A$9,0),MATCH("Real life: interview / exam",'Code concept (56-pt) cards'!$A$2:$BN$2,0))&amp;""</f>
        <v/>
      </c>
    </row>
    <row r="49" ht="30" customHeight="1">
      <c r="A49" s="24" t="inlineStr">
        <is>
          <t>Real life: daily life</t>
        </is>
      </c>
      <c r="B49" s="17">
        <f>INDEX('Code concept (56-pt) cards'!$A$3:$BN$9,MATCH($B$2,'Code concept (56-pt) cards'!$A$3:$A$9,0),MATCH("Real life: daily life",'Code concept (56-pt) cards'!$A$2:$BN$2,0))&amp;""</f>
        <v/>
      </c>
    </row>
    <row r="50">
      <c r="A50" s="27" t="inlineStr">
        <is>
          <t>PRACTICE · Khud karo</t>
        </is>
      </c>
    </row>
    <row r="51" ht="30" customHeight="1">
      <c r="A51" s="24" t="inlineStr">
        <is>
          <t>MCQ question</t>
        </is>
      </c>
      <c r="B51" s="17">
        <f>INDEX('Code concept (56-pt) cards'!$A$3:$BN$9,MATCH($B$2,'Code concept (56-pt) cards'!$A$3:$A$9,0),MATCH("MCQ question",'Code concept (56-pt) cards'!$A$2:$BN$2,0))&amp;""</f>
        <v/>
      </c>
    </row>
    <row r="52" ht="30" customHeight="1">
      <c r="A52" s="24" t="inlineStr">
        <is>
          <t>MCQ options</t>
        </is>
      </c>
      <c r="B52" s="17">
        <f>INDEX('Code concept (56-pt) cards'!$A$3:$BN$9,MATCH($B$2,'Code concept (56-pt) cards'!$A$3:$A$9,0),MATCH("MCQ options",'Code concept (56-pt) cards'!$A$2:$BN$2,0))&amp;""</f>
        <v/>
      </c>
    </row>
    <row r="53" ht="30" customHeight="1">
      <c r="A53" s="24" t="inlineStr">
        <is>
          <t>MCQ answer</t>
        </is>
      </c>
      <c r="B53" s="17">
        <f>INDEX('Code concept (56-pt) cards'!$A$3:$BN$9,MATCH($B$2,'Code concept (56-pt) cards'!$A$3:$A$9,0),MATCH("MCQ answer",'Code concept (56-pt) cards'!$A$2:$BN$2,0))&amp;""</f>
        <v/>
      </c>
    </row>
    <row r="54" ht="30" customHeight="1">
      <c r="A54" s="24" t="inlineStr">
        <is>
          <t>Why that answer</t>
        </is>
      </c>
      <c r="B54" s="17">
        <f>INDEX('Code concept (56-pt) cards'!$A$3:$BN$9,MATCH($B$2,'Code concept (56-pt) cards'!$A$3:$A$9,0),MATCH("Why that answer",'Code concept (56-pt) cards'!$A$2:$BN$2,0))&amp;""</f>
        <v/>
      </c>
    </row>
    <row r="55" ht="30" customHeight="1">
      <c r="A55" s="24" t="inlineStr">
        <is>
          <t>Fill the blank</t>
        </is>
      </c>
      <c r="B55" s="26">
        <f>INDEX('Code concept (56-pt) cards'!$A$3:$BN$9,MATCH($B$2,'Code concept (56-pt) cards'!$A$3:$A$9,0),MATCH("Fill the blank",'Code concept (56-pt) cards'!$A$2:$BN$2,0))&amp;""</f>
        <v/>
      </c>
    </row>
    <row r="56" ht="30" customHeight="1">
      <c r="A56" s="24" t="inlineStr">
        <is>
          <t>Try it yourself</t>
        </is>
      </c>
      <c r="B56" s="17">
        <f>INDEX('Code concept (56-pt) cards'!$A$3:$BN$9,MATCH($B$2,'Code concept (56-pt) cards'!$A$3:$A$9,0),MATCH("Try it yourself",'Code concept (56-pt) cards'!$A$2:$BN$2,0))&amp;""</f>
        <v/>
      </c>
    </row>
    <row r="57" ht="30" customHeight="1">
      <c r="A57" s="24" t="inlineStr">
        <is>
          <t>Task answer</t>
        </is>
      </c>
      <c r="B57" s="26">
        <f>INDEX('Code concept (56-pt) cards'!$A$3:$BN$9,MATCH($B$2,'Code concept (56-pt) cards'!$A$3:$A$9,0),MATCH("Task answer",'Code concept (56-pt) cards'!$A$2:$BN$2,0))&amp;""</f>
        <v/>
      </c>
    </row>
    <row r="58" ht="30" customHeight="1">
      <c r="A58" s="24" t="inlineStr">
        <is>
          <t>Write your own</t>
        </is>
      </c>
      <c r="B58" s="17">
        <f>INDEX('Code concept (56-pt) cards'!$A$3:$BN$9,MATCH($B$2,'Code concept (56-pt) cards'!$A$3:$A$9,0),MATCH("Write your own",'Code concept (56-pt) cards'!$A$2:$BN$2,0))&amp;""</f>
        <v/>
      </c>
    </row>
    <row r="59" ht="30" customHeight="1">
      <c r="A59" s="24" t="inlineStr">
        <is>
          <t>Practice question</t>
        </is>
      </c>
      <c r="B59" s="26">
        <f>INDEX('Code concept (56-pt) cards'!$A$3:$BN$9,MATCH($B$2,'Code concept (56-pt) cards'!$A$3:$A$9,0),MATCH("Practice question",'Code concept (56-pt) cards'!$A$2:$BN$2,0))&amp;""</f>
        <v/>
      </c>
    </row>
    <row r="60" ht="30" customHeight="1">
      <c r="A60" s="24" t="inlineStr">
        <is>
          <t>Practice answer</t>
        </is>
      </c>
      <c r="B60" s="26">
        <f>INDEX('Code concept (56-pt) cards'!$A$3:$BN$9,MATCH($B$2,'Code concept (56-pt) cards'!$A$3:$A$9,0),MATCH("Practice answer",'Code concept (56-pt) cards'!$A$2:$BN$2,0))&amp;""</f>
        <v/>
      </c>
    </row>
    <row r="61" ht="30" customHeight="1">
      <c r="A61" s="24" t="inlineStr">
        <is>
          <t>Quick recall (reverse)</t>
        </is>
      </c>
      <c r="B61" s="17">
        <f>INDEX('Code concept (56-pt) cards'!$A$3:$BN$9,MATCH($B$2,'Code concept (56-pt) cards'!$A$3:$A$9,0),MATCH("Quick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4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21.5" customHeight="1">
      <c r="A3" s="17" t="inlineStr">
        <is>
          <t>NET-001</t>
        </is>
      </c>
      <c r="B3" s="17" t="inlineStr">
        <is>
          <t>01 Models</t>
        </is>
      </c>
      <c r="C3" s="17" t="inlineStr">
        <is>
          <t>Beginner</t>
        </is>
      </c>
      <c r="D3" s="17" t="n">
        <v>1</v>
      </c>
      <c r="E3" s="17" t="inlineStr">
        <is>
          <t>Claude knowledge</t>
        </is>
      </c>
      <c r="F3" s="18" t="inlineStr">
        <is>
          <t>OSI and TCP/IP layers</t>
        </is>
      </c>
      <c r="G3" s="18" t="inlineStr">
        <is>
          <t>Which layered models describe how data travels from an application down to the wire and back?</t>
        </is>
      </c>
      <c r="H3" s="18" t="inlineStr">
        <is>
          <t>Core concept</t>
        </is>
      </c>
      <c r="I3" s="18" t="inlineStr">
        <is>
          <t>Very high</t>
        </is>
      </c>
      <c r="J3" s="18" t="n">
        <v>5</v>
      </c>
      <c r="K3" s="18" t="inlineStr">
        <is>
          <t>Networks involve many different jobs, so engineers split them into layers where each layer does one task and relies on the one below.</t>
        </is>
      </c>
      <c r="L3" s="18" t="inlineStr">
        <is>
          <t>Use the layers to place a problem, such as cable at layer one or a web error at layer seven.</t>
        </is>
      </c>
      <c r="M3" s="18" t="inlineStr">
        <is>
          <t>The layers are like a postal chain, with the letter, the envelope, the sorting office and the truck each doing one job.</t>
        </is>
      </c>
      <c r="N3" s="18" t="inlineStr">
        <is>
          <t>A stack of boxes from application at the top down to physical at the bottom.</t>
        </is>
      </c>
      <c r="O3" s="18" t="inlineStr">
        <is>
          <t>The clarity of knowing where in the stack a problem lives.</t>
        </is>
      </c>
      <c r="P3" s="18" t="inlineStr">
        <is>
          <t>The OSI model has seven layers and the TCP/IP model has four, and both describe how application data is wrapped step by step for sending and unwrapped on arrival.</t>
        </is>
      </c>
      <c r="Q3" s="17" t="n"/>
      <c r="R3" s="18" t="inlineStr">
        <is>
          <t>OSI layers from the bottom are physical, data link, network, transport, session, presentation and application. TCP/IP groups them into link, internet, transport and application. Ethernet and Wi-Fi sit low, IP at the network layer, TCP and UDP at the transport layer, and HTTP and DNS at the application layer. Each layer adds its own header, which is called encapsulation.</t>
        </is>
      </c>
      <c r="S3" s="18" t="inlineStr">
        <is>
          <t>Data moves down the layers when sent, picking up headers, and up the layers when received, losing them.</t>
        </is>
      </c>
      <c r="T3" s="18" t="inlineStr">
        <is>
          <t>The layers are a postal chain where the letter, the envelope, the sorting office and the truck each do one job.</t>
        </is>
      </c>
      <c r="U3" s="18" t="inlineStr">
        <is>
          <t>Application data + header at each layer = encapsulation.</t>
        </is>
      </c>
      <c r="V3" s="18" t="inlineStr">
        <is>
          <t>HTTP at the application layer carrying a web page request.</t>
        </is>
      </c>
      <c r="W3" s="18" t="inlineStr">
        <is>
          <t>TCP at the transport layer splitting the data into numbered segments.</t>
        </is>
      </c>
      <c r="X3" s="18" t="inlineStr">
        <is>
          <t>IP at the network layer adding source and destination addresses.</t>
        </is>
      </c>
      <c r="Y3" s="18" t="inlineStr">
        <is>
          <t>packets and frames, TCP vs UDP, routers and switches, troubleshooting method</t>
        </is>
      </c>
      <c r="Z3" s="18" t="inlineStr">
        <is>
          <t>layer, encapsulation, header, protocol, stack</t>
        </is>
      </c>
      <c r="AA3" s="18" t="inlineStr">
        <is>
          <t>Troubleshooting | Interviews | Network design</t>
        </is>
      </c>
      <c r="AB3" s="18" t="inlineStr">
        <is>
          <t>A: Is the cable the problem or the website? | B: Check the lower layers first, then work upward.</t>
        </is>
      </c>
      <c r="AC3" s="18" t="inlineStr">
        <is>
          <t>✗ The OSI model is how the internet is actually built → ✓ OSI is a teaching reference, and the internet follows the simpler TCP/IP model</t>
        </is>
      </c>
      <c r="AD3" s="18" t="inlineStr">
        <is>
          <t>OSI vs TCP/IP: OSI has seven layers for teaching, TCP/IP has four and matches real protocols.</t>
        </is>
      </c>
      <c r="AE3" s="18" t="inlineStr">
        <is>
          <t>Do not memorise layers without linking each to a real protocol.</t>
        </is>
      </c>
      <c r="AF3" s="18" t="inlineStr">
        <is>
          <t>Please do not throw sausage pizza away.</t>
        </is>
      </c>
      <c r="AG3" s="18" t="inlineStr">
        <is>
          <t>Using the layers to prove that a customer outage was a DNS problem, not a cable fault.</t>
        </is>
      </c>
      <c r="AH3" s="18" t="inlineStr">
        <is>
          <t>An interviewer may ask: At which layer does a router work?</t>
        </is>
      </c>
      <c r="AI3" s="18" t="inlineStr">
        <is>
          <t>It is like a postal chain with one job per step.</t>
        </is>
      </c>
      <c r="AJ3" s="18" t="inlineStr">
        <is>
          <t>At which OSI layer does IP work?</t>
        </is>
      </c>
      <c r="AK3" s="18" t="inlineStr">
        <is>
          <t>A) Session layer B) Application layer C) Physical layer D) Network layer</t>
        </is>
      </c>
      <c r="AL3" s="18" t="inlineStr">
        <is>
          <t>D</t>
        </is>
      </c>
      <c r="AM3" s="18" t="inlineStr">
        <is>
          <t>IP handles addressing and routing at the network layer.</t>
        </is>
      </c>
      <c r="AN3" s="18" t="inlineStr">
        <is>
          <t>Adding a header at each layer is called ____ → encapsulation</t>
        </is>
      </c>
      <c r="AO3" s="18" t="inlineStr">
        <is>
          <t>A web page fails but pings work. Which layers are likely fine? → The lower layers</t>
        </is>
      </c>
      <c r="AP3" s="18" t="inlineStr">
        <is>
          <t>Explain the layered model in three lines.</t>
        </is>
      </c>
      <c r="AQ3" s="18" t="inlineStr">
        <is>
          <t>Match five common protocols to their layers in the stack.</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NET-002</t>
        </is>
      </c>
      <c r="B4" s="17" t="inlineStr">
        <is>
          <t>01 Models</t>
        </is>
      </c>
      <c r="C4" s="17" t="inlineStr">
        <is>
          <t>Beginner</t>
        </is>
      </c>
      <c r="D4" s="17" t="n">
        <v>2</v>
      </c>
      <c r="E4" s="17" t="inlineStr">
        <is>
          <t>Claude knowledge</t>
        </is>
      </c>
      <c r="F4" s="18" t="inlineStr">
        <is>
          <t>Packets and frames</t>
        </is>
      </c>
      <c r="G4" s="18" t="inlineStr">
        <is>
          <t>Which units carry data at the network and link layers?</t>
        </is>
      </c>
      <c r="H4" s="18" t="inlineStr">
        <is>
          <t>Core concept</t>
        </is>
      </c>
      <c r="I4" s="18" t="inlineStr">
        <is>
          <t>High</t>
        </is>
      </c>
      <c r="J4" s="18" t="n">
        <v>4</v>
      </c>
      <c r="K4" s="18" t="inlineStr">
        <is>
          <t>Sending a big file in one piece would block the line and lose everything on error, so data is cut into small labelled units.</t>
        </is>
      </c>
      <c r="L4" s="18" t="inlineStr">
        <is>
          <t>Think of a packet as the letter and a frame as the envelope for one hop.</t>
        </is>
      </c>
      <c r="M4" s="18" t="inlineStr">
        <is>
          <t>A packet is a letter with its address, and a frame is the local delivery bag it rides in for one stretch.</t>
        </is>
      </c>
      <c r="N4" s="18" t="inlineStr">
        <is>
          <t>A packet nested inside a frame with headers on both.</t>
        </is>
      </c>
      <c r="O4" s="18" t="inlineStr">
        <is>
          <t>The satisfaction of understanding what actually crosses the wire.</t>
        </is>
      </c>
      <c r="P4" s="18" t="inlineStr">
        <is>
          <t>A packet is a unit of data with IP addresses at the network layer, and a frame is the link-layer wrapper that carries a packet across one local network.</t>
        </is>
      </c>
      <c r="Q4" s="17" t="n"/>
      <c r="R4" s="18" t="inlineStr">
        <is>
          <t>A packet keeps its source and destination IP addresses from end to end. A frame has MAC addresses and is rebuilt at every hop. Frames have a size limit called the MTU. Large data is split into many packets and reassembled at the destination. Lost packets may be retransmitted by TCP.</t>
        </is>
      </c>
      <c r="S4" s="18" t="inlineStr">
        <is>
          <t>Packets travel end to end, and each hop puts them into a fresh frame.</t>
        </is>
      </c>
      <c r="T4" s="18" t="inlineStr">
        <is>
          <t>A packet is a letter with its address, and a frame is the local delivery bag it rides in for one stretch.</t>
        </is>
      </c>
      <c r="U4" s="18" t="inlineStr">
        <is>
          <t>Packet = end-to-end address. Frame = hop-by-hop address.</t>
        </is>
      </c>
      <c r="V4" s="18" t="inlineStr">
        <is>
          <t>A web request split into several packets.</t>
        </is>
      </c>
      <c r="W4" s="18" t="inlineStr">
        <is>
          <t>A router stripping the old frame and building a new one.</t>
        </is>
      </c>
      <c r="X4" s="18" t="inlineStr">
        <is>
          <t>A frame limited to 1500 bytes of payload.</t>
        </is>
      </c>
      <c r="Y4" s="18" t="inlineStr">
        <is>
          <t>OSI layers, MAC and ARP, MTU, routers</t>
        </is>
      </c>
      <c r="Z4" s="18" t="inlineStr">
        <is>
          <t>packet, frame, header, payload, MTU</t>
        </is>
      </c>
      <c r="AA4" s="18" t="inlineStr">
        <is>
          <t>Packet captures | Troubleshooting | Performance work</t>
        </is>
      </c>
      <c r="AB4" s="18" t="inlineStr">
        <is>
          <t>A: Does the destination IP change at each router? | B: No, but the frame addresses do.</t>
        </is>
      </c>
      <c r="AC4" s="18" t="inlineStr">
        <is>
          <t>✗ Packets and frames are two names for the same thing → ✓ They belong to different layers and carry different addresses</t>
        </is>
      </c>
      <c r="AD4" s="18" t="inlineStr">
        <is>
          <t>Packet vs frame: packets use IP addresses across networks, frames use MAC addresses on one link.</t>
        </is>
      </c>
      <c r="AE4" s="18" t="inlineStr">
        <is>
          <t>Do not say frame when you mean a routed IP packet.</t>
        </is>
      </c>
      <c r="AF4" s="18" t="inlineStr">
        <is>
          <t>Packets go the distance, frames go one hop.</t>
        </is>
      </c>
      <c r="AG4" s="18" t="inlineStr">
        <is>
          <t>Reading a capture to confirm packets arrived intact but frames were dropped by a switch.</t>
        </is>
      </c>
      <c r="AH4" s="18" t="inlineStr">
        <is>
          <t>An interviewer may ask: What changes at each router hop?</t>
        </is>
      </c>
      <c r="AI4" s="18" t="inlineStr">
        <is>
          <t>It is like a letter put into a new local bag at each stop.</t>
        </is>
      </c>
      <c r="AJ4" s="18" t="inlineStr">
        <is>
          <t>Which address changes at each hop?</t>
        </is>
      </c>
      <c r="AK4" s="18" t="inlineStr">
        <is>
          <t>A) The source IP B) The MAC address in the frame C) The domain name D) The destination IP</t>
        </is>
      </c>
      <c r="AL4" s="18" t="inlineStr">
        <is>
          <t>B</t>
        </is>
      </c>
      <c r="AM4" s="18" t="inlineStr">
        <is>
          <t>Frames are rebuilt for every link.</t>
        </is>
      </c>
      <c r="AN4" s="18" t="inlineStr">
        <is>
          <t>The largest frame payload allowed is the ____ → MTU</t>
        </is>
      </c>
      <c r="AO4" s="18" t="inlineStr">
        <is>
          <t>A packet crosses three routers. What stays the same end to end? → The IP addresses</t>
        </is>
      </c>
      <c r="AP4" s="18" t="inlineStr">
        <is>
          <t>Explain packets and frames in three lines.</t>
        </is>
      </c>
      <c r="AQ4" s="18" t="inlineStr">
        <is>
          <t>List what is inside a packet and what is inside a frame.</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NET-003</t>
        </is>
      </c>
      <c r="B5" s="17" t="inlineStr">
        <is>
          <t>01 Models</t>
        </is>
      </c>
      <c r="C5" s="17" t="inlineStr">
        <is>
          <t>Beginner</t>
        </is>
      </c>
      <c r="D5" s="17" t="n">
        <v>3</v>
      </c>
      <c r="E5" s="17" t="inlineStr">
        <is>
          <t>Claude knowledge</t>
        </is>
      </c>
      <c r="F5" s="18" t="inlineStr">
        <is>
          <t>Client and server</t>
        </is>
      </c>
      <c r="G5" s="18" t="inlineStr">
        <is>
          <t>Which two roles describe who asks for a service and who provides it?</t>
        </is>
      </c>
      <c r="H5" s="18" t="inlineStr">
        <is>
          <t>Core concept</t>
        </is>
      </c>
      <c r="I5" s="18" t="inlineStr">
        <is>
          <t>Very high</t>
        </is>
      </c>
      <c r="J5" s="18" t="n">
        <v>5</v>
      </c>
      <c r="K5" s="18" t="inlineStr">
        <is>
          <t>Shared resources needed a central provider, so the pattern of clients that ask and servers that answer became the basis of most networking.</t>
        </is>
      </c>
      <c r="L5" s="18" t="inlineStr">
        <is>
          <t>One machine can act as both client and server at different times.</t>
        </is>
      </c>
      <c r="M5" s="18" t="inlineStr">
        <is>
          <t>The client is the diner who orders, and the server is the kitchen that cooks and replies.</t>
        </is>
      </c>
      <c r="N5" s="18" t="inlineStr">
        <is>
          <t>An arrow of request from a browser to a server and a response back.</t>
        </is>
      </c>
      <c r="O5" s="18" t="inlineStr">
        <is>
          <t>The comfort of a simple pattern behind complex systems.</t>
        </is>
      </c>
      <c r="P5" s="18" t="inlineStr">
        <is>
          <t>A client starts a request for a service, and a server listens on a port and responds to requests.</t>
        </is>
      </c>
      <c r="Q5" s="17" t="n"/>
      <c r="R5" s="18" t="inlineStr">
        <is>
          <t>A web browser is a client and a web server is the server. The server listens on a known port, such as 443 for HTTPS. The client picks a temporary port for its side of the connection. A database server is a client of a storage system, so roles depend on the conversation. Services in the cloud usually run as servers behind load balancers.</t>
        </is>
      </c>
      <c r="S5" s="18" t="inlineStr">
        <is>
          <t>Clients ask, servers answer, and servers wait on known ports.</t>
        </is>
      </c>
      <c r="T5" s="18" t="inlineStr">
        <is>
          <t>The client is the diner who orders, and the server is the kitchen that cooks and replies.</t>
        </is>
      </c>
      <c r="U5" s="18" t="inlineStr">
        <is>
          <t>Client = initiates. Server = listens and responds.</t>
        </is>
      </c>
      <c r="V5" s="18" t="inlineStr">
        <is>
          <t>A browser requesting a web page from a web server.</t>
        </is>
      </c>
      <c r="W5" s="18" t="inlineStr">
        <is>
          <t>An app server acting as a client of a database.</t>
        </is>
      </c>
      <c r="X5" s="18" t="inlineStr">
        <is>
          <t>A script calling an API as a client.</t>
        </is>
      </c>
      <c r="Y5" s="18" t="inlineStr">
        <is>
          <t>ports, TCP handshake, HTTP, load balancers</t>
        </is>
      </c>
      <c r="Z5" s="18" t="inlineStr">
        <is>
          <t>client, server, request, response, listen</t>
        </is>
      </c>
      <c r="AA5" s="18" t="inlineStr">
        <is>
          <t>Every networked application | API work | Debugging</t>
        </is>
      </c>
      <c r="AB5" s="18" t="inlineStr">
        <is>
          <t>A: Which side opens the connection? | B: The client does, and the server just listens.</t>
        </is>
      </c>
      <c r="AC5" s="18" t="inlineStr">
        <is>
          <t>✗ A server is always a powerful dedicated machine → ✓ A server is any program that listens and answers, even on a laptop</t>
        </is>
      </c>
      <c r="AD5" s="18" t="inlineStr">
        <is>
          <t>Client vs server: the client starts, the server waits.</t>
        </is>
      </c>
      <c r="AE5" s="18" t="inlineStr">
        <is>
          <t>Do not assume the same machine plays only one role.</t>
        </is>
      </c>
      <c r="AF5" s="18" t="inlineStr">
        <is>
          <t>Clients knock, servers listen at the door.</t>
        </is>
      </c>
      <c r="AG5" s="18" t="inlineStr">
        <is>
          <t>Mapping which services acted as clients to find missing firewall rules.</t>
        </is>
      </c>
      <c r="AH5" s="18" t="inlineStr">
        <is>
          <t>An interviewer may ask: Can one machine be a client and a server?</t>
        </is>
      </c>
      <c r="AI5" s="18" t="inlineStr">
        <is>
          <t>It is like a diner ordering from a kitchen.</t>
        </is>
      </c>
      <c r="AJ5" s="18" t="inlineStr">
        <is>
          <t>Which side listens on a known port?</t>
        </is>
      </c>
      <c r="AK5" s="18" t="inlineStr">
        <is>
          <t>A) The router B) The client C) The server D) The switch</t>
        </is>
      </c>
      <c r="AL5" s="18" t="inlineStr">
        <is>
          <t>C</t>
        </is>
      </c>
      <c r="AM5" s="18" t="inlineStr">
        <is>
          <t>Servers wait for incoming connections.</t>
        </is>
      </c>
      <c r="AN5" s="18" t="inlineStr">
        <is>
          <t>A program that waits for requests is said to ____ on a port → listen</t>
        </is>
      </c>
      <c r="AO5" s="18" t="inlineStr">
        <is>
          <t>An app calls a payment API. Which role is the app? → Client</t>
        </is>
      </c>
      <c r="AP5" s="18" t="inlineStr">
        <is>
          <t>Explain client and server in three lines.</t>
        </is>
      </c>
      <c r="AQ5" s="18" t="inlineStr">
        <is>
          <t>Give two examples where one program plays both roles.</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21.5" customHeight="1">
      <c r="A6" s="17" t="inlineStr">
        <is>
          <t>NET-004</t>
        </is>
      </c>
      <c r="B6" s="17" t="inlineStr">
        <is>
          <t>01 Models</t>
        </is>
      </c>
      <c r="C6" s="17" t="inlineStr">
        <is>
          <t>Beginner</t>
        </is>
      </c>
      <c r="D6" s="17" t="n">
        <v>4</v>
      </c>
      <c r="E6" s="17" t="inlineStr">
        <is>
          <t>Claude knowledge</t>
        </is>
      </c>
      <c r="F6" s="18" t="inlineStr">
        <is>
          <t>Latency vs bandwidth</t>
        </is>
      </c>
      <c r="G6" s="18" t="inlineStr">
        <is>
          <t>Which two measures describe how fast a network feels and how much it can carry?</t>
        </is>
      </c>
      <c r="H6" s="18" t="inlineStr">
        <is>
          <t>Core concept</t>
        </is>
      </c>
      <c r="I6" s="18" t="inlineStr">
        <is>
          <t>Very high</t>
        </is>
      </c>
      <c r="J6" s="18" t="n">
        <v>4</v>
      </c>
      <c r="K6" s="18" t="inlineStr">
        <is>
          <t>People said the network was slow without saying why, so two separate measures were named for delay and capacity.</t>
        </is>
      </c>
      <c r="L6" s="18" t="inlineStr">
        <is>
          <t>For chatty small requests latency matters most, and for large downloads bandwidth matters most.</t>
        </is>
      </c>
      <c r="M6" s="18" t="inlineStr">
        <is>
          <t>Latency is how long the pipe takes to deliver a drop, and bandwidth is how wide the pipe is.</t>
        </is>
      </c>
      <c r="N6" s="18" t="inlineStr">
        <is>
          <t>A pipe showing its length as delay and its width as capacity.</t>
        </is>
      </c>
      <c r="O6" s="18" t="inlineStr">
        <is>
          <t>The insight of knowing why a fast line can still feel slow.</t>
        </is>
      </c>
      <c r="P6" s="18" t="inlineStr">
        <is>
          <t>Latency is the time a packet takes to travel from source to destination, and bandwidth is the maximum amount of data that can be sent per second.</t>
        </is>
      </c>
      <c r="Q6" s="17" t="n"/>
      <c r="R6" s="18" t="inlineStr">
        <is>
          <t>Latency is measured in milliseconds and is limited by distance and processing delays. Bandwidth is measured in megabits or gigabits per second. A satellite link may have high bandwidth but high latency. Throughput is the speed you actually achieve, which can be below bandwidth. Many small requests suffer from latency, which is why connections are reused.</t>
        </is>
      </c>
      <c r="S6" s="18" t="inlineStr">
        <is>
          <t>Latency is delay, bandwidth is capacity, and real speed is throughput.</t>
        </is>
      </c>
      <c r="T6" s="18" t="inlineStr">
        <is>
          <t>Latency is how long the pipe takes to deliver a drop, and bandwidth is how wide the pipe is.</t>
        </is>
      </c>
      <c r="U6" s="18" t="inlineStr">
        <is>
          <t>Transfer time ≈ latency + data size ÷ bandwidth.</t>
        </is>
      </c>
      <c r="V6" s="18" t="inlineStr">
        <is>
          <t>A video call sensitive to delay.</t>
        </is>
      </c>
      <c r="W6" s="18" t="inlineStr">
        <is>
          <t>A large file download limited by bandwidth.</t>
        </is>
      </c>
      <c r="X6" s="18" t="inlineStr">
        <is>
          <t>An API making many small calls, slowed by latency.</t>
        </is>
      </c>
      <c r="Y6" s="18" t="inlineStr">
        <is>
          <t>ping, TCP, CDN, MTU</t>
        </is>
      </c>
      <c r="Z6" s="18" t="inlineStr">
        <is>
          <t>latency, bandwidth, throughput, jitter, round trip</t>
        </is>
      </c>
      <c r="AA6" s="18" t="inlineStr">
        <is>
          <t>Performance tuning | Customer complaints | Capacity planning</t>
        </is>
      </c>
      <c r="AB6" s="18" t="inlineStr">
        <is>
          <t>A: The line is one gigabit but the app is slow. | B: Latency to the server may be high.</t>
        </is>
      </c>
      <c r="AC6" s="18" t="inlineStr">
        <is>
          <t>✗ More bandwidth always makes an application faster → ✓ If latency is the bottleneck, extra bandwidth does not help</t>
        </is>
      </c>
      <c r="AD6" s="18" t="inlineStr">
        <is>
          <t>Latency vs throughput: latency is delay per packet, throughput is data moved per second.</t>
        </is>
      </c>
      <c r="AE6" s="18" t="inlineStr">
        <is>
          <t>Do not blame bandwidth before measuring latency.</t>
        </is>
      </c>
      <c r="AF6" s="18" t="inlineStr">
        <is>
          <t>Delay is distance, capacity is width.</t>
        </is>
      </c>
      <c r="AG6" s="18" t="inlineStr">
        <is>
          <t>Showing a customer that a distant region caused slow calls and moving the service closer.</t>
        </is>
      </c>
      <c r="AH6" s="18" t="inlineStr">
        <is>
          <t>An interviewer may ask: Why can a fast link still feel slow?</t>
        </is>
      </c>
      <c r="AI6" s="18" t="inlineStr">
        <is>
          <t>It is like a long thin pipe versus a short wide one.</t>
        </is>
      </c>
      <c r="AJ6" s="18" t="inlineStr">
        <is>
          <t>Which measure is in milliseconds?</t>
        </is>
      </c>
      <c r="AK6" s="18" t="inlineStr">
        <is>
          <t>A) Latency B) Bandwidth C) Storage D) Capacity</t>
        </is>
      </c>
      <c r="AL6" s="18" t="inlineStr">
        <is>
          <t>A</t>
        </is>
      </c>
      <c r="AM6" s="18" t="inlineStr">
        <is>
          <t>Latency is a time delay.</t>
        </is>
      </c>
      <c r="AN6" s="18" t="inlineStr">
        <is>
          <t>The real speed you achieve is called ____ → throughput</t>
        </is>
      </c>
      <c r="AO6" s="18" t="inlineStr">
        <is>
          <t>Many tiny API calls are slow across continents. What is the cause? → High latency</t>
        </is>
      </c>
      <c r="AP6" s="18" t="inlineStr">
        <is>
          <t>Explain latency versus bandwidth in three lines.</t>
        </is>
      </c>
      <c r="AQ6" s="18" t="inlineStr">
        <is>
          <t>Give one case where latency matters and one where bandwidth matters.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NET-005</t>
        </is>
      </c>
      <c r="B7" s="17" t="inlineStr">
        <is>
          <t>02 Addressing</t>
        </is>
      </c>
      <c r="C7" s="17" t="inlineStr">
        <is>
          <t>Beginner</t>
        </is>
      </c>
      <c r="D7" s="17" t="n">
        <v>5</v>
      </c>
      <c r="E7" s="17" t="inlineStr">
        <is>
          <t>Claude knowledge</t>
        </is>
      </c>
      <c r="F7" s="18" t="inlineStr">
        <is>
          <t>IPv4</t>
        </is>
      </c>
      <c r="G7" s="18" t="inlineStr">
        <is>
          <t>Which addressing scheme uses four numbers separated by dots?</t>
        </is>
      </c>
      <c r="H7" s="18" t="inlineStr">
        <is>
          <t>Core concept</t>
        </is>
      </c>
      <c r="I7" s="18" t="inlineStr">
        <is>
          <t>Very high</t>
        </is>
      </c>
      <c r="J7" s="18" t="n">
        <v>5</v>
      </c>
      <c r="K7" s="18" t="inlineStr">
        <is>
          <t>Every device needs a unique address to be found, so a numeric scheme of 32 bits was defined for the early internet.</t>
        </is>
      </c>
      <c r="L7" s="18" t="inlineStr">
        <is>
          <t>Learn to read the dotted form and know that each number runs from 0 to 255.</t>
        </is>
      </c>
      <c r="M7" s="18" t="inlineStr">
        <is>
          <t>An IPv4 address is a street address with four parts that narrow down to one house.</t>
        </is>
      </c>
      <c r="N7" s="18" t="inlineStr">
        <is>
          <t>Four boxes of numbers separated by dots.</t>
        </is>
      </c>
      <c r="O7" s="18" t="inlineStr">
        <is>
          <t>The familiarity of recognising 192.168.1.1 at a glance.</t>
        </is>
      </c>
      <c r="P7" s="18" t="inlineStr">
        <is>
          <t>An IPv4 address is a 32-bit number written as four decimal values from 0 to 255, such as 203.0.113.10, identifying a network interface.</t>
        </is>
      </c>
      <c r="Q7" s="17" t="n"/>
      <c r="R7" s="18" t="inlineStr">
        <is>
          <t>There are about four billion possible addresses, which is not enough for every device, so address sharing through NAT and private ranges is used. An address has a network part and a host part, separated by the subnet mask. Special ranges exist for loopback, private use and broadcast. Public addresses are assigned by registries and providers.</t>
        </is>
      </c>
      <c r="S7" s="18" t="inlineStr">
        <is>
          <t>IPv4 gives each interface a four-part number, and a mask says which part is the network.</t>
        </is>
      </c>
      <c r="T7" s="18" t="inlineStr">
        <is>
          <t>An IPv4 address is a street address with four parts that narrow down to one house.</t>
        </is>
      </c>
      <c r="U7" s="18" t="inlineStr">
        <is>
          <t>32 bits = 4 numbers of 8 bits each.</t>
        </is>
      </c>
      <c r="V7" s="18" t="inlineStr">
        <is>
          <t>192.168.1.20 on a home network.</t>
        </is>
      </c>
      <c r="W7" s="18" t="inlineStr">
        <is>
          <t>127.0.0.1 as the loopback address.</t>
        </is>
      </c>
      <c r="X7" s="18" t="inlineStr">
        <is>
          <t>8.8.8.8 as a public DNS server.</t>
        </is>
      </c>
      <c r="Y7" s="18" t="inlineStr">
        <is>
          <t>IPv6, subnets and CIDR, private vs public IPs, NAT</t>
        </is>
      </c>
      <c r="Z7" s="18" t="inlineStr">
        <is>
          <t>address, octet, mask, loopback, broadcast</t>
        </is>
      </c>
      <c r="AA7" s="18" t="inlineStr">
        <is>
          <t>Configuration | Troubleshooting | Cloud networking</t>
        </is>
      </c>
      <c r="AB7" s="18" t="inlineStr">
        <is>
          <t>A: What is the server's IP? | B: It is 10.0.2.15 inside the VPC.</t>
        </is>
      </c>
      <c r="AC7" s="18" t="inlineStr">
        <is>
          <t>✗ An IP address identifies a person or a computer forever → ✓ It identifies an interface at a point in time and can change</t>
        </is>
      </c>
      <c r="AD7" s="18" t="inlineStr">
        <is>
          <t>IPv4 vs IPv6: IPv4 has 32 bits and runs short, IPv6 has 128 bits.</t>
        </is>
      </c>
      <c r="AE7" s="18" t="inlineStr">
        <is>
          <t>Do not hard-code addresses that may change.</t>
        </is>
      </c>
      <c r="AF7" s="18" t="inlineStr">
        <is>
          <t>Four numbers, each up to two fifty-five.</t>
        </is>
      </c>
      <c r="AG7" s="18" t="inlineStr">
        <is>
          <t>Fixing a clash where two devices were given the same IPv4 address.</t>
        </is>
      </c>
      <c r="AH7" s="18" t="inlineStr">
        <is>
          <t>An interviewer may ask: How many bits is an IPv4 address?</t>
        </is>
      </c>
      <c r="AI7" s="18" t="inlineStr">
        <is>
          <t>It is like a street address with four parts.</t>
        </is>
      </c>
      <c r="AJ7" s="18" t="inlineStr">
        <is>
          <t>What is the highest value in one IPv4 part?</t>
        </is>
      </c>
      <c r="AK7" s="18" t="inlineStr">
        <is>
          <t>A) 999 B) 256 C) 100 D) 255</t>
        </is>
      </c>
      <c r="AL7" s="18" t="inlineStr">
        <is>
          <t>D</t>
        </is>
      </c>
      <c r="AM7" s="18" t="inlineStr">
        <is>
          <t>Each part is 8 bits, so it runs from 0 to 255.</t>
        </is>
      </c>
      <c r="AN7" s="18" t="inlineStr">
        <is>
          <t>The address 127.0.0.1 is the ____ address → loopback</t>
        </is>
      </c>
      <c r="AO7" s="18" t="inlineStr">
        <is>
          <t>Which address always means this machine itself? → 127.0.0.1</t>
        </is>
      </c>
      <c r="AP7" s="18" t="inlineStr">
        <is>
          <t>Explain IPv4 in three lines.</t>
        </is>
      </c>
      <c r="AQ7" s="18" t="inlineStr">
        <is>
          <t>Write three valid IPv4 addresses and say what each is for.</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NET-006</t>
        </is>
      </c>
      <c r="B8" s="17" t="inlineStr">
        <is>
          <t>02 Addressing</t>
        </is>
      </c>
      <c r="C8" s="17" t="inlineStr">
        <is>
          <t>Intermediate</t>
        </is>
      </c>
      <c r="D8" s="17" t="n">
        <v>6</v>
      </c>
      <c r="E8" s="17" t="inlineStr">
        <is>
          <t>Claude knowledge</t>
        </is>
      </c>
      <c r="F8" s="18" t="inlineStr">
        <is>
          <t>IPv6</t>
        </is>
      </c>
      <c r="G8" s="18" t="inlineStr">
        <is>
          <t>Which newer addressing scheme was created because IPv4 addresses ran short?</t>
        </is>
      </c>
      <c r="H8" s="18" t="inlineStr">
        <is>
          <t>Core concept</t>
        </is>
      </c>
      <c r="I8" s="18" t="inlineStr">
        <is>
          <t>Medium</t>
        </is>
      </c>
      <c r="J8" s="18" t="n">
        <v>4</v>
      </c>
      <c r="K8" s="18" t="inlineStr">
        <is>
          <t>The pool of IPv4 addresses was nearly used up, so a far larger 128-bit scheme was designed to give every device its own address.</t>
        </is>
      </c>
      <c r="L8" s="18" t="inlineStr">
        <is>
          <t>Learn the shortening rules, because full addresses are long.</t>
        </is>
      </c>
      <c r="M8" s="18" t="inlineStr">
        <is>
          <t>IPv6 is a city so large that every grain of sand can have its own street number.</t>
        </is>
      </c>
      <c r="N8" s="18" t="inlineStr">
        <is>
          <t>Eight groups of hex digits separated by colons.</t>
        </is>
      </c>
      <c r="O8" s="18" t="inlineStr">
        <is>
          <t>The calm of an address space that will not run out.</t>
        </is>
      </c>
      <c r="P8" s="18" t="inlineStr">
        <is>
          <t>IPv6 uses 128-bit addresses written as eight groups of hexadecimal digits separated by colons, such as 2001:db8::1.</t>
        </is>
      </c>
      <c r="Q8" s="17" t="n"/>
      <c r="R8" s="18" t="inlineStr">
        <is>
          <t>Leading zeros in a group can be dropped, and one run of zero groups can be replaced by a double colon. IPv6 removes the need for NAT in most cases and includes features such as stateless address configuration. Many networks run both IPv4 and IPv6, which is called dual stack. Firewalls must be configured for both.</t>
        </is>
      </c>
      <c r="S8" s="18" t="inlineStr">
        <is>
          <t>IPv6 gives huge address space, written in hex with colons, and often runs beside IPv4.</t>
        </is>
      </c>
      <c r="T8" s="18" t="inlineStr">
        <is>
          <t>IPv6 is a city so big that every grain of sand can have a street number.</t>
        </is>
      </c>
      <c r="U8" s="18" t="inlineStr">
        <is>
          <t>128 bits = 8 groups of 16 bits, with zero compression.</t>
        </is>
      </c>
      <c r="V8" s="18" t="inlineStr">
        <is>
          <t>2001:db8::1 as a shortened address.</t>
        </is>
      </c>
      <c r="W8" s="18" t="inlineStr">
        <is>
          <t>::1 as the loopback address.</t>
        </is>
      </c>
      <c r="X8" s="18" t="inlineStr">
        <is>
          <t>A dual stack server reachable over both versions.</t>
        </is>
      </c>
      <c r="Y8" s="18" t="inlineStr">
        <is>
          <t>IPv4, subnets and CIDR, DNS record types, firewalls</t>
        </is>
      </c>
      <c r="Z8" s="18" t="inlineStr">
        <is>
          <t>IPv6, hexadecimal, dual stack, prefix, compression</t>
        </is>
      </c>
      <c r="AA8" s="18" t="inlineStr">
        <is>
          <t>Modern networks | Cloud | Mobile networks</t>
        </is>
      </c>
      <c r="AB8" s="18" t="inlineStr">
        <is>
          <t>A: Why does the site work on mobile but not at the office? | B: The office network may have no IPv6 routes.</t>
        </is>
      </c>
      <c r="AC8" s="18" t="inlineStr">
        <is>
          <t>✗ IPv6 is just IPv4 with longer numbers → ✓ It changes address configuration, header design and NAT needs</t>
        </is>
      </c>
      <c r="AD8" s="18" t="inlineStr">
        <is>
          <t>IPv4 vs IPv6: dotted decimal and 32 bits versus hex with colons and 128 bits.</t>
        </is>
      </c>
      <c r="AE8" s="18" t="inlineStr">
        <is>
          <t>Do not leave IPv6 open in firewalls while only securing IPv4.</t>
        </is>
      </c>
      <c r="AF8" s="18" t="inlineStr">
        <is>
          <t>Colons mean six, dots mean four.</t>
        </is>
      </c>
      <c r="AG8" s="18" t="inlineStr">
        <is>
          <t>Finding that a firewall blocked only IPv4 while IPv6 traffic passed freely.</t>
        </is>
      </c>
      <c r="AH8" s="18" t="inlineStr">
        <is>
          <t>An interviewer may ask: What is dual stack?</t>
        </is>
      </c>
      <c r="AI8" s="18" t="inlineStr">
        <is>
          <t>It is like a city with a street number for every grain of sand.</t>
        </is>
      </c>
      <c r="AJ8" s="18" t="inlineStr">
        <is>
          <t>How many bits does an IPv6 address have?</t>
        </is>
      </c>
      <c r="AK8" s="18" t="inlineStr">
        <is>
          <t>A) 128 B) 32 C) 256 D) 64</t>
        </is>
      </c>
      <c r="AL8" s="18" t="inlineStr">
        <is>
          <t>A</t>
        </is>
      </c>
      <c r="AM8" s="18" t="inlineStr">
        <is>
          <t>IPv6 addresses are 128 bits long.</t>
        </is>
      </c>
      <c r="AN8" s="18" t="inlineStr">
        <is>
          <t>Running IPv4 and IPv6 together is called dual ____ → stack</t>
        </is>
      </c>
      <c r="AO8" s="18" t="inlineStr">
        <is>
          <t>A firewall rule covers only IPv4. What risk exists? → IPv6 traffic may bypass it</t>
        </is>
      </c>
      <c r="AP8" s="18" t="inlineStr">
        <is>
          <t>Explain IPv6 in three lines.</t>
        </is>
      </c>
      <c r="AQ8" s="18" t="inlineStr">
        <is>
          <t>Shorten this long IPv6 address using the two compression rules: 2001:0db8:0000:0000:0000:0000:0000:0001.</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NET-007</t>
        </is>
      </c>
      <c r="B9" s="17" t="inlineStr">
        <is>
          <t>02 Addressing</t>
        </is>
      </c>
      <c r="C9" s="17" t="inlineStr">
        <is>
          <t>Intermediate</t>
        </is>
      </c>
      <c r="D9" s="17" t="n">
        <v>7</v>
      </c>
      <c r="E9" s="17" t="inlineStr">
        <is>
          <t>Claude knowledge</t>
        </is>
      </c>
      <c r="F9" s="18" t="inlineStr">
        <is>
          <t>Subnets and CIDR</t>
        </is>
      </c>
      <c r="G9" s="18" t="inlineStr">
        <is>
          <t>Which notation says how many bits of an address identify the network?</t>
        </is>
      </c>
      <c r="H9" s="18" t="inlineStr">
        <is>
          <t>Core concept</t>
        </is>
      </c>
      <c r="I9" s="18" t="inlineStr">
        <is>
          <t>Very high</t>
        </is>
      </c>
      <c r="J9" s="18" t="n">
        <v>5</v>
      </c>
      <c r="K9" s="18" t="inlineStr">
        <is>
          <t>Fixed address classes wasted space, so a flexible prefix length was introduced to size networks exactly.</t>
        </is>
      </c>
      <c r="L9" s="18" t="inlineStr">
        <is>
          <t>Memorise that /24 holds 256 addresses and each step down in prefix doubles the size.</t>
        </is>
      </c>
      <c r="M9" s="18" t="inlineStr">
        <is>
          <t>CIDR is a ruler that slides the line between the network part and the host part.</t>
        </is>
      </c>
      <c r="N9" s="18" t="inlineStr">
        <is>
          <t>A 32-bit strip with a line after the first 24 bits.</t>
        </is>
      </c>
      <c r="O9" s="18" t="inlineStr">
        <is>
          <t>The confidence of reading 10.0.0.0/16 and knowing its size.</t>
        </is>
      </c>
      <c r="P9" s="18" t="inlineStr">
        <is>
          <t>CIDR notation writes an address followed by a slash and the number of network bits, so 10.0.1.0/24 means the first 24 bits are the network and 8 bits are for hosts.</t>
        </is>
      </c>
      <c r="Q9" s="17" t="n"/>
      <c r="R9" s="18" t="inlineStr">
        <is>
          <t>A /24 has 256 addresses, a /16 has 65,536, and a /32 is a single address. The remaining bits are for hosts, with two addresses normally reserved for the network and broadcast. A subnet mask such as 255.255.255.0 is the same as /24. Subnetting splits a larger block into smaller blocks for separate networks. Overlapping ranges cause routing problems.</t>
        </is>
      </c>
      <c r="S9" s="18" t="inlineStr">
        <is>
          <t>The slash number tells how many bits are the network, and the rest are for hosts.</t>
        </is>
      </c>
      <c r="T9" s="18" t="inlineStr">
        <is>
          <t>CIDR is a ruler that slides the line between network and host.</t>
        </is>
      </c>
      <c r="U9" s="18" t="inlineStr">
        <is>
          <t>Addresses in a block = 2 to the power of (32 − prefix).</t>
        </is>
      </c>
      <c r="V9" s="18" t="inlineStr">
        <is>
          <t>192.168.1.0/24 holding 256 addresses.</t>
        </is>
      </c>
      <c r="W9" s="18" t="inlineStr">
        <is>
          <t>10.0.0.0/16 split into 256 networks of /24.</t>
        </is>
      </c>
      <c r="X9" s="18" t="inlineStr">
        <is>
          <t>203.0.113.5/32 for one host.</t>
        </is>
      </c>
      <c r="Y9" s="18" t="inlineStr">
        <is>
          <t>IPv4, route tables, VPC, NAT</t>
        </is>
      </c>
      <c r="Z9" s="18" t="inlineStr">
        <is>
          <t>CIDR, prefix, mask, host bits, block</t>
        </is>
      </c>
      <c r="AA9" s="18" t="inlineStr">
        <is>
          <t>Cloud networks | Firewalls | Routing</t>
        </is>
      </c>
      <c r="AB9" s="18" t="inlineStr">
        <is>
          <t>A: How big is a /20? | B: 4,096 addresses, since 12 bits are for hosts.</t>
        </is>
      </c>
      <c r="AC9" s="18" t="inlineStr">
        <is>
          <t>✗ A /24 has 254 usable addresses in every cloud → ✓ Clouds may reserve extra addresses in each subnet</t>
        </is>
      </c>
      <c r="AD9" s="18" t="inlineStr">
        <is>
          <t>/16 vs /24: a /16 is a much larger network, with 65,536 addresses against 256.</t>
        </is>
      </c>
      <c r="AE9" s="18" t="inlineStr">
        <is>
          <t>Do not choose overlapping ranges for networks you may connect.</t>
        </is>
      </c>
      <c r="AF9" s="18" t="inlineStr">
        <is>
          <t>Smaller slash number means a bigger network.</t>
        </is>
      </c>
      <c r="AG9" s="18" t="inlineStr">
        <is>
          <t>Re-planning address ranges so two customer networks could be linked without overlap.</t>
        </is>
      </c>
      <c r="AH9" s="18" t="inlineStr">
        <is>
          <t>An interviewer may ask: How many addresses are in a /26?</t>
        </is>
      </c>
      <c r="AI9" s="18" t="inlineStr">
        <is>
          <t>It is like a ruler that slides the line.</t>
        </is>
      </c>
      <c r="AJ9" s="18" t="inlineStr">
        <is>
          <t>How many addresses are in a /24?</t>
        </is>
      </c>
      <c r="AK9" s="18" t="inlineStr">
        <is>
          <t>A) 24 B) 1024 C) 256 D) 65536</t>
        </is>
      </c>
      <c r="AL9" s="18" t="inlineStr">
        <is>
          <t>C</t>
        </is>
      </c>
      <c r="AM9" s="18" t="inlineStr">
        <is>
          <t>Eight host bits give two to the power of eight.</t>
        </is>
      </c>
      <c r="AN9" s="18" t="inlineStr">
        <is>
          <t>The mask 255.255.255.0 is the same as slash ____ → 24</t>
        </is>
      </c>
      <c r="AO9" s="18" t="inlineStr">
        <is>
          <t>You need about 1,000 addresses. Which prefix fits? → /22</t>
        </is>
      </c>
      <c r="AP9" s="18" t="inlineStr">
        <is>
          <t>Explain CIDR in three lines.</t>
        </is>
      </c>
      <c r="AQ9" s="18" t="inlineStr">
        <is>
          <t>Work out the number of addresses in /28 and /20.</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NET-008</t>
        </is>
      </c>
      <c r="B10" s="17" t="inlineStr">
        <is>
          <t>02 Addressing</t>
        </is>
      </c>
      <c r="C10" s="17" t="inlineStr">
        <is>
          <t>Beginner</t>
        </is>
      </c>
      <c r="D10" s="17" t="n">
        <v>8</v>
      </c>
      <c r="E10" s="17" t="inlineStr">
        <is>
          <t>Claude knowledge</t>
        </is>
      </c>
      <c r="F10" s="18" t="inlineStr">
        <is>
          <t>Private vs public IP addresses</t>
        </is>
      </c>
      <c r="G10" s="18" t="inlineStr">
        <is>
          <t>Which ranges are used inside local networks and which are reachable on the internet?</t>
        </is>
      </c>
      <c r="H10" s="18" t="inlineStr">
        <is>
          <t>Core concept</t>
        </is>
      </c>
      <c r="I10" s="18" t="inlineStr">
        <is>
          <t>Very high</t>
        </is>
      </c>
      <c r="J10" s="18" t="n">
        <v>5</v>
      </c>
      <c r="K10" s="18" t="inlineStr">
        <is>
          <t>There were too few public addresses, so private ranges were reserved that anyone could reuse inside their own networks.</t>
        </is>
      </c>
      <c r="L10" s="18" t="inlineStr">
        <is>
          <t>Know the three private ranges by heart, as they appear in every network design.</t>
        </is>
      </c>
      <c r="M10" s="18" t="inlineStr">
        <is>
          <t>Private addresses are internal extension numbers, and public ones are the main phone number.</t>
        </is>
      </c>
      <c r="N10" s="18" t="inlineStr">
        <is>
          <t>A home network with 192.168 addresses behind one public address.</t>
        </is>
      </c>
      <c r="O10" s="18" t="inlineStr">
        <is>
          <t>The ease of recognising a private address on sight.</t>
        </is>
      </c>
      <c r="P10" s="18" t="inlineStr">
        <is>
          <t>Private addresses, such as 10.0.0.0/8, 172.16.0.0/12 and 192.168.0.0/16, are not routed on the public internet, while public addresses are globally unique and reachable.</t>
        </is>
      </c>
      <c r="Q10" s="17" t="n"/>
      <c r="R10" s="18" t="inlineStr">
        <is>
          <t>Many organisations reuse the same private ranges, which is fine because they never meet on the internet. To reach the internet, private hosts go through NAT, which maps them to a public address. Public addresses are assigned by providers. Link-local addresses starting with 169.254 appear when a device cannot get an address automatically.</t>
        </is>
      </c>
      <c r="S10" s="18" t="inlineStr">
        <is>
          <t>Use private ranges inside, share one public address outside, and let NAT translate.</t>
        </is>
      </c>
      <c r="T10" s="18" t="inlineStr">
        <is>
          <t>Private addresses are internal extension numbers, and the public one is the main phone number.</t>
        </is>
      </c>
      <c r="U10" s="18" t="inlineStr">
        <is>
          <t>10/8, 172.16/12, 192.168/16 = private ranges.</t>
        </is>
      </c>
      <c r="V10" s="18" t="inlineStr">
        <is>
          <t>192.168.1.5 on a laptop at home.</t>
        </is>
      </c>
      <c r="W10" s="18" t="inlineStr">
        <is>
          <t>10.0.2.8 on a cloud server.</t>
        </is>
      </c>
      <c r="X10" s="18" t="inlineStr">
        <is>
          <t>169.254.12.3 showing a failed address request.</t>
        </is>
      </c>
      <c r="Y10" s="18" t="inlineStr">
        <is>
          <t>NAT, DHCP, subnets and CIDR, VPC</t>
        </is>
      </c>
      <c r="Z10" s="18" t="inlineStr">
        <is>
          <t>private, public, RFC 1918, link-local, routable</t>
        </is>
      </c>
      <c r="AA10" s="18" t="inlineStr">
        <is>
          <t>Network design | Cloud | Troubleshooting</t>
        </is>
      </c>
      <c r="AB10" s="18" t="inlineStr">
        <is>
          <t>A: Can I reach 10.0.2.8 from home? | B: No, it is private and only works inside the network.</t>
        </is>
      </c>
      <c r="AC10" s="18" t="inlineStr">
        <is>
          <t>✗ Every device on the internet has its own unique public address → ✓ Most devices sit behind NAT and share one</t>
        </is>
      </c>
      <c r="AD10" s="18" t="inlineStr">
        <is>
          <t>Private vs public: private addresses are reused locally, public ones are globally unique.</t>
        </is>
      </c>
      <c r="AE10" s="18" t="inlineStr">
        <is>
          <t>Do not publish services on private addresses and expect outside access.</t>
        </is>
      </c>
      <c r="AF10" s="18" t="inlineStr">
        <is>
          <t>Ten, one seventy-two, one ninety-two are private.</t>
        </is>
      </c>
      <c r="AG10" s="18" t="inlineStr">
        <is>
          <t>Explaining to a customer why their private address could not be reached from our side.</t>
        </is>
      </c>
      <c r="AH10" s="18" t="inlineStr">
        <is>
          <t>An interviewer may ask: What are the private IPv4 ranges?</t>
        </is>
      </c>
      <c r="AI10" s="18" t="inlineStr">
        <is>
          <t>It is like internal extension numbers.</t>
        </is>
      </c>
      <c r="AJ10" s="18" t="inlineStr">
        <is>
          <t>Which address is private?</t>
        </is>
      </c>
      <c r="AK10" s="18" t="inlineStr">
        <is>
          <t>A) 203.0.113.5 B) 192.168.1.10 C) 8.8.8.8 D) 1.1.1.1</t>
        </is>
      </c>
      <c r="AL10" s="18" t="inlineStr">
        <is>
          <t>B</t>
        </is>
      </c>
      <c r="AM10" s="18" t="inlineStr">
        <is>
          <t>192.168.0.0/16 is a private range.</t>
        </is>
      </c>
      <c r="AN10" s="18" t="inlineStr">
        <is>
          <t>Addresses starting with 169.254 are ____ addresses → link-local</t>
        </is>
      </c>
      <c r="AO10" s="18" t="inlineStr">
        <is>
          <t>A device shows 169.254.x.x. What likely failed? → Automatic address assignment</t>
        </is>
      </c>
      <c r="AP10" s="18" t="inlineStr">
        <is>
          <t>Explain private and public addresses in three lines.</t>
        </is>
      </c>
      <c r="AQ10" s="18" t="inlineStr">
        <is>
          <t>List the three private ranges and one example in each.</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21.5" customHeight="1">
      <c r="A11" s="17" t="inlineStr">
        <is>
          <t>NET-009</t>
        </is>
      </c>
      <c r="B11" s="17" t="inlineStr">
        <is>
          <t>02 Addressing</t>
        </is>
      </c>
      <c r="C11" s="17" t="inlineStr">
        <is>
          <t>Beginner</t>
        </is>
      </c>
      <c r="D11" s="17" t="n">
        <v>9</v>
      </c>
      <c r="E11" s="17" t="inlineStr">
        <is>
          <t>Claude knowledge</t>
        </is>
      </c>
      <c r="F11" s="18" t="inlineStr">
        <is>
          <t>Ports</t>
        </is>
      </c>
      <c r="G11" s="18" t="inlineStr">
        <is>
          <t>Which numbers let one machine run many network services at once?</t>
        </is>
      </c>
      <c r="H11" s="18" t="inlineStr">
        <is>
          <t>Core concept</t>
        </is>
      </c>
      <c r="I11" s="18" t="inlineStr">
        <is>
          <t>Very high</t>
        </is>
      </c>
      <c r="J11" s="18" t="n">
        <v>5</v>
      </c>
      <c r="K11" s="18" t="inlineStr">
        <is>
          <t>One address hosts many services, so a second number was added to tell which program should receive each connection.</t>
        </is>
      </c>
      <c r="L11" s="18" t="inlineStr">
        <is>
          <t>Memorise the common ones such as 22, 53, 80, 443 and 5432.</t>
        </is>
      </c>
      <c r="M11" s="18" t="inlineStr">
        <is>
          <t>The IP address is the building, and the port is the apartment number.</t>
        </is>
      </c>
      <c r="N11" s="18" t="inlineStr">
        <is>
          <t>A single server with several numbered doors along one wall.</t>
        </is>
      </c>
      <c r="O11" s="18" t="inlineStr">
        <is>
          <t>The ease of reading a connection as address plus port.</t>
        </is>
      </c>
      <c r="P11" s="18" t="inlineStr">
        <is>
          <t>A port is a 16-bit number that identifies a specific service or connection endpoint on a host, from 0 to 65535.</t>
        </is>
      </c>
      <c r="Q11" s="17" t="n"/>
      <c r="R11" s="18" t="inlineStr">
        <is>
          <t>Well-known ports below 1024 are assigned to standard services, such as 80 for HTTP and 443 for HTTPS. Servers listen on a fixed port, and clients use a random high port for their side. A connection is identified by source address and port plus destination address and port. Firewalls filter by port. Two services cannot listen on the same address and port.</t>
        </is>
      </c>
      <c r="S11" s="18" t="inlineStr">
        <is>
          <t>Address finds the machine, port finds the service.</t>
        </is>
      </c>
      <c r="T11" s="18" t="inlineStr">
        <is>
          <t>The IP address is the building, and the port is the apartment number.</t>
        </is>
      </c>
      <c r="U11" s="18" t="inlineStr">
        <is>
          <t>Connection = source IP:port + destination IP:port.</t>
        </is>
      </c>
      <c r="V11" s="18" t="inlineStr">
        <is>
          <t>Port 443 for HTTPS.</t>
        </is>
      </c>
      <c r="W11" s="18" t="inlineStr">
        <is>
          <t>Port 22 for SSH.</t>
        </is>
      </c>
      <c r="X11" s="18" t="inlineStr">
        <is>
          <t>Port 5432 for PostgreSQL.</t>
        </is>
      </c>
      <c r="Y11" s="18" t="inlineStr">
        <is>
          <t>client and server, TCP vs UDP, firewalls, NAT</t>
        </is>
      </c>
      <c r="Z11" s="18" t="inlineStr">
        <is>
          <t>port, listen, well-known, socket, ephemeral</t>
        </is>
      </c>
      <c r="AA11" s="18" t="inlineStr">
        <is>
          <t>Firewalls | Troubleshooting | Deployment</t>
        </is>
      </c>
      <c r="AB11" s="18" t="inlineStr">
        <is>
          <t>A: Port 8080 is already in use. | B: Another service is listening there, so choose a different port.</t>
        </is>
      </c>
      <c r="AC11" s="18" t="inlineStr">
        <is>
          <t>✗ Ports are physical connectors → ✓ They are software numbers, not hardware sockets</t>
        </is>
      </c>
      <c r="AD11" s="18" t="inlineStr">
        <is>
          <t>Port vs address: the address finds the host, the port finds the program.</t>
        </is>
      </c>
      <c r="AE11" s="18" t="inlineStr">
        <is>
          <t>Do not open more ports than a service needs.</t>
        </is>
      </c>
      <c r="AF11" s="18" t="inlineStr">
        <is>
          <t>Address is the building, port is the flat.</t>
        </is>
      </c>
      <c r="AG11" s="18" t="inlineStr">
        <is>
          <t>Finding which process held port 5432 and blocking a database start.</t>
        </is>
      </c>
      <c r="AH11" s="18" t="inlineStr">
        <is>
          <t>An interviewer may ask: What is the default port for HTTPS?</t>
        </is>
      </c>
      <c r="AI11" s="18" t="inlineStr">
        <is>
          <t>It is like an apartment number inside a building.</t>
        </is>
      </c>
      <c r="AJ11" s="18" t="inlineStr">
        <is>
          <t>What is the standard port for HTTPS?</t>
        </is>
      </c>
      <c r="AK11" s="18" t="inlineStr">
        <is>
          <t>A) 22 B) 443 C) 53 D) 80</t>
        </is>
      </c>
      <c r="AL11" s="18" t="inlineStr">
        <is>
          <t>B</t>
        </is>
      </c>
      <c r="AM11" s="18" t="inlineStr">
        <is>
          <t>HTTPS uses port 443 by default.</t>
        </is>
      </c>
      <c r="AN11" s="18" t="inlineStr">
        <is>
          <t>The number of ports on one address goes up to ____ → 65535</t>
        </is>
      </c>
      <c r="AO11" s="18" t="inlineStr">
        <is>
          <t>A service fails with address already in use. What is the cause? → Another program listens on that port</t>
        </is>
      </c>
      <c r="AP11" s="18" t="inlineStr">
        <is>
          <t>Explain ports in three lines.</t>
        </is>
      </c>
      <c r="AQ11" s="18" t="inlineStr">
        <is>
          <t>List five common ports and their services.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21.5" customHeight="1">
      <c r="A12" s="17" t="inlineStr">
        <is>
          <t>NET-010</t>
        </is>
      </c>
      <c r="B12" s="17" t="inlineStr">
        <is>
          <t>02 Addressing</t>
        </is>
      </c>
      <c r="C12" s="17" t="inlineStr">
        <is>
          <t>Intermediate</t>
        </is>
      </c>
      <c r="D12" s="17" t="n">
        <v>10</v>
      </c>
      <c r="E12" s="17" t="inlineStr">
        <is>
          <t>Claude knowledge</t>
        </is>
      </c>
      <c r="F12" s="18" t="inlineStr">
        <is>
          <t>NAT</t>
        </is>
      </c>
      <c r="G12" s="18" t="inlineStr">
        <is>
          <t>Which technique lets many private devices share one public address?</t>
        </is>
      </c>
      <c r="H12" s="18" t="inlineStr">
        <is>
          <t>Core concept</t>
        </is>
      </c>
      <c r="I12" s="18" t="inlineStr">
        <is>
          <t>Very high</t>
        </is>
      </c>
      <c r="J12" s="18" t="n">
        <v>5</v>
      </c>
      <c r="K12" s="18" t="inlineStr">
        <is>
          <t>Public IPv4 addresses ran short, so routers learned to rewrite addresses so a whole network could share one.</t>
        </is>
      </c>
      <c r="L12" s="18" t="inlineStr">
        <is>
          <t>Remember that NAT allows outgoing connections easily, but incoming ones need a port forward.</t>
        </is>
      </c>
      <c r="M12" s="18" t="inlineStr">
        <is>
          <t>NAT is a receptionist who makes calls under the company number and routes replies back to the right desk.</t>
        </is>
      </c>
      <c r="N12" s="18" t="inlineStr">
        <is>
          <t>Many private addresses on one side mapped to one public address on the other.</t>
        </is>
      </c>
      <c r="O12" s="18" t="inlineStr">
        <is>
          <t>The aha moment of understanding why home devices share an address.</t>
        </is>
      </c>
      <c r="P12" s="18" t="inlineStr">
        <is>
          <t>Network address translation rewrites source or destination addresses and ports as packets pass through a router, usually mapping private addresses to a public one.</t>
        </is>
      </c>
      <c r="Q12" s="17" t="n"/>
      <c r="R12" s="18" t="inlineStr">
        <is>
          <t>When a private host connects out, the router replaces its address with the public address and remembers the mapping in a table, using different source ports to tell connections apart. Replies are translated back. Unsolicited incoming traffic has no mapping, so it is dropped unless a port forward is set. NAT can complicate peer-to-peer and some protocols.</t>
        </is>
      </c>
      <c r="S12" s="18" t="inlineStr">
        <is>
          <t>The router swaps private addresses for its public one, and remembers who asked for what.</t>
        </is>
      </c>
      <c r="T12" s="18" t="inlineStr">
        <is>
          <t>NAT is a receptionist who makes calls under the company number and routes replies to the right desk.</t>
        </is>
      </c>
      <c r="U12" s="18" t="inlineStr">
        <is>
          <t>Private IP:port ↔ public IP:port in a translation table.</t>
        </is>
      </c>
      <c r="V12" s="18" t="inlineStr">
        <is>
          <t>A home router sharing one address between a phone and a laptop.</t>
        </is>
      </c>
      <c r="W12" s="18" t="inlineStr">
        <is>
          <t>A cloud NAT gateway giving private servers outbound access.</t>
        </is>
      </c>
      <c r="X12" s="18" t="inlineStr">
        <is>
          <t>A port forward sending outside port 8080 to an inside server.</t>
        </is>
      </c>
      <c r="Y12" s="18" t="inlineStr">
        <is>
          <t>private vs public IPs, ports, firewalls, route tables</t>
        </is>
      </c>
      <c r="Z12" s="18" t="inlineStr">
        <is>
          <t>NAT, translation, port forward, masquerade, table</t>
        </is>
      </c>
      <c r="AA12" s="18" t="inlineStr">
        <is>
          <t>Home routers | Cloud gateways | Firewalls</t>
        </is>
      </c>
      <c r="AB12" s="18" t="inlineStr">
        <is>
          <t>A: Why can I not connect to my laptop from outside? | B: NAT blocks unsolicited incoming connections.</t>
        </is>
      </c>
      <c r="AC12" s="18" t="inlineStr">
        <is>
          <t>✗ NAT is a security feature that replaces a firewall → ✓ It hides addresses but is not a complete protection</t>
        </is>
      </c>
      <c r="AD12" s="18" t="inlineStr">
        <is>
          <t>NAT vs port forwarding: NAT handles outgoing sharing, port forwarding maps one incoming port to a host.</t>
        </is>
      </c>
      <c r="AE12" s="18" t="inlineStr">
        <is>
          <t>Do not treat NAT as security on its own.</t>
        </is>
      </c>
      <c r="AF12" s="18" t="inlineStr">
        <is>
          <t>NAT swaps addresses and remembers the swap.</t>
        </is>
      </c>
      <c r="AG12" s="18" t="inlineStr">
        <is>
          <t>Adding a NAT gateway so private servers could fetch updates safely.</t>
        </is>
      </c>
      <c r="AH12" s="18" t="inlineStr">
        <is>
          <t>An interviewer may ask: How does NAT let many devices share one IP?</t>
        </is>
      </c>
      <c r="AI12" s="18" t="inlineStr">
        <is>
          <t>It is like a receptionist using the company number.</t>
        </is>
      </c>
      <c r="AJ12" s="18" t="inlineStr">
        <is>
          <t>What does NAT keep in its table?</t>
        </is>
      </c>
      <c r="AK12" s="18" t="inlineStr">
        <is>
          <t>A) Web pages B) Passwords C) Address and port mappings D) Logs only</t>
        </is>
      </c>
      <c r="AL12" s="18" t="inlineStr">
        <is>
          <t>C</t>
        </is>
      </c>
      <c r="AM12" s="18" t="inlineStr">
        <is>
          <t>It tracks which private connection each translated one belongs to.</t>
        </is>
      </c>
      <c r="AN12" s="18" t="inlineStr">
        <is>
          <t>Sending an outside port to an inside host is a port ____ → forward</t>
        </is>
      </c>
      <c r="AO12" s="18" t="inlineStr">
        <is>
          <t>Private servers need updates but no inbound access. What do you use? → NAT</t>
        </is>
      </c>
      <c r="AP12" s="18" t="inlineStr">
        <is>
          <t>Explain NAT in three lines.</t>
        </is>
      </c>
      <c r="AQ12" s="18" t="inlineStr">
        <is>
          <t>Draw a NAT table for two laptops visiting the same site.</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NET-011</t>
        </is>
      </c>
      <c r="B13" s="17" t="inlineStr">
        <is>
          <t>02 Addressing</t>
        </is>
      </c>
      <c r="C13" s="17" t="inlineStr">
        <is>
          <t>Beginner</t>
        </is>
      </c>
      <c r="D13" s="17" t="n">
        <v>11</v>
      </c>
      <c r="E13" s="17" t="inlineStr">
        <is>
          <t>Claude knowledge</t>
        </is>
      </c>
      <c r="F13" s="18" t="inlineStr">
        <is>
          <t>DHCP</t>
        </is>
      </c>
      <c r="G13" s="18" t="inlineStr">
        <is>
          <t>Which service gives devices their network settings automatically?</t>
        </is>
      </c>
      <c r="H13" s="18" t="inlineStr">
        <is>
          <t>Core concept</t>
        </is>
      </c>
      <c r="I13" s="18" t="inlineStr">
        <is>
          <t>High</t>
        </is>
      </c>
      <c r="J13" s="18" t="n">
        <v>4</v>
      </c>
      <c r="K13" s="18" t="inlineStr">
        <is>
          <t>Typing addresses by hand on every device was slow and error-prone, so a service was created to hand them out on request.</t>
        </is>
      </c>
      <c r="L13" s="18" t="inlineStr">
        <is>
          <t>Reserve fixed addresses for servers in DHCP instead of setting them by hand.</t>
        </is>
      </c>
      <c r="M13" s="18" t="inlineStr">
        <is>
          <t>DHCP is the hotel clerk who gives each guest a room number and the house rules.</t>
        </is>
      </c>
      <c r="N13" s="18" t="inlineStr">
        <is>
          <t>A device asking for an address and receiving a lease.</t>
        </is>
      </c>
      <c r="O13" s="18" t="inlineStr">
        <is>
          <t>The ease of plugging in and being online.</t>
        </is>
      </c>
      <c r="P13" s="18" t="inlineStr">
        <is>
          <t>The Dynamic Host Configuration Protocol automatically leases an IP address, subnet mask, gateway and DNS servers to devices when they join a network.</t>
        </is>
      </c>
      <c r="Q13" s="17" t="n"/>
      <c r="R13" s="18" t="inlineStr">
        <is>
          <t>A new device broadcasts a request, the server offers an address, the device requests it, and the server acknowledges, often remembered as discover, offer, request and acknowledge. The address is leased for a time and renewed. A reservation always gives the same address to the same device. If no server answers, the device may take a 169.254 address.</t>
        </is>
      </c>
      <c r="S13" s="18" t="inlineStr">
        <is>
          <t>Devices ask for settings on joining, and DHCP lends them an address for a while.</t>
        </is>
      </c>
      <c r="T13" s="18" t="inlineStr">
        <is>
          <t>DHCP is a hotel clerk who gives each guest a room number and the house rules.</t>
        </is>
      </c>
      <c r="U13" s="18" t="inlineStr">
        <is>
          <t>Discover → Offer → Request → Acknowledge.</t>
        </is>
      </c>
      <c r="V13" s="18" t="inlineStr">
        <is>
          <t>A phone receiving 192.168.1.23 on home Wi-Fi.</t>
        </is>
      </c>
      <c r="W13" s="18" t="inlineStr">
        <is>
          <t>A server given a reserved address.</t>
        </is>
      </c>
      <c r="X13" s="18" t="inlineStr">
        <is>
          <t>A lease expiring and being renewed.</t>
        </is>
      </c>
      <c r="Y13" s="18" t="inlineStr">
        <is>
          <t>IPv4, private addresses, DNS, ARP</t>
        </is>
      </c>
      <c r="Z13" s="18" t="inlineStr">
        <is>
          <t>lease, scope, reservation, gateway, offer</t>
        </is>
      </c>
      <c r="AA13" s="18" t="inlineStr">
        <is>
          <t>Offices | Home networks | Cloud networks</t>
        </is>
      </c>
      <c r="AB13" s="18" t="inlineStr">
        <is>
          <t>A: My laptop has a 169.254 address. | B: It could not reach the DHCP server.</t>
        </is>
      </c>
      <c r="AC13" s="18" t="inlineStr">
        <is>
          <t>✗ Devices always keep the same address from DHCP → ✓ Addresses are leased and may change unless reserved</t>
        </is>
      </c>
      <c r="AD13" s="18" t="inlineStr">
        <is>
          <t>Static vs DHCP address: static is typed in by hand, DHCP is leased automatically.</t>
        </is>
      </c>
      <c r="AE13" s="18" t="inlineStr">
        <is>
          <t>Do not give two devices the same static address inside a DHCP range.</t>
        </is>
      </c>
      <c r="AF13" s="18" t="inlineStr">
        <is>
          <t>Discover, offer, request, acknowledge, in that order.</t>
        </is>
      </c>
      <c r="AG13" s="18" t="inlineStr">
        <is>
          <t>Reserving addresses for printers so they stopped changing between days.</t>
        </is>
      </c>
      <c r="AH13" s="18" t="inlineStr">
        <is>
          <t>An interviewer may ask: What are the four DHCP steps?</t>
        </is>
      </c>
      <c r="AI13" s="18" t="inlineStr">
        <is>
          <t>It is like a hotel clerk giving room numbers.</t>
        </is>
      </c>
      <c r="AJ13" s="18" t="inlineStr">
        <is>
          <t>What does DHCP provide?</t>
        </is>
      </c>
      <c r="AK13" s="18" t="inlineStr">
        <is>
          <t>A) IP address, gateway and DNS settings B) Passwords C) Web pages D) Email</t>
        </is>
      </c>
      <c r="AL13" s="18" t="inlineStr">
        <is>
          <t>A</t>
        </is>
      </c>
      <c r="AM13" s="18" t="inlineStr">
        <is>
          <t>It supplies the configuration a device needs to join.</t>
        </is>
      </c>
      <c r="AN13" s="18" t="inlineStr">
        <is>
          <t>Time an address is held is called a ____ → lease</t>
        </is>
      </c>
      <c r="AO13" s="18" t="inlineStr">
        <is>
          <t>A server must keep the same address. What do you set in DHCP? → A reservation</t>
        </is>
      </c>
      <c r="AP13" s="18" t="inlineStr">
        <is>
          <t>Explain DHCP in three lines.</t>
        </is>
      </c>
      <c r="AQ13" s="18" t="inlineStr">
        <is>
          <t>List the four DHCP steps in order.</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NET-012</t>
        </is>
      </c>
      <c r="B14" s="17" t="inlineStr">
        <is>
          <t>02 Addressing</t>
        </is>
      </c>
      <c r="C14" s="17" t="inlineStr">
        <is>
          <t>Intermediate</t>
        </is>
      </c>
      <c r="D14" s="17" t="n">
        <v>12</v>
      </c>
      <c r="E14" s="17" t="inlineStr">
        <is>
          <t>Claude knowledge</t>
        </is>
      </c>
      <c r="F14" s="18" t="inlineStr">
        <is>
          <t>MAC addresses and ARP</t>
        </is>
      </c>
      <c r="G14" s="18" t="inlineStr">
        <is>
          <t>Which address works on the local link and which protocol links it to an IP address?</t>
        </is>
      </c>
      <c r="H14" s="18" t="inlineStr">
        <is>
          <t>Core concept</t>
        </is>
      </c>
      <c r="I14" s="18" t="inlineStr">
        <is>
          <t>High</t>
        </is>
      </c>
      <c r="J14" s="18" t="n">
        <v>4</v>
      </c>
      <c r="K14" s="18" t="inlineStr">
        <is>
          <t>On a local network frames need a hardware address, so devices use ARP to find the one that matches a given IP.</t>
        </is>
      </c>
      <c r="L14" s="18" t="inlineStr">
        <is>
          <t>If two devices cannot talk on one subnet, check the ARP table.</t>
        </is>
      </c>
      <c r="M14" s="18" t="inlineStr">
        <is>
          <t>ARP is shouting who has this IP and waiting for the owner to shout back their hardware name.</t>
        </is>
      </c>
      <c r="N14" s="18" t="inlineStr">
        <is>
          <t>A broadcast question and a unicast answer between two devices.</t>
        </is>
      </c>
      <c r="O14" s="18" t="inlineStr">
        <is>
          <t>The satisfaction of watching the table fill as devices talk.</t>
        </is>
      </c>
      <c r="P14" s="18" t="inlineStr">
        <is>
          <t>A MAC address is a 48-bit hardware address of a network interface used on the local link, and ARP finds the MAC address that belongs to a given IPv4 address.</t>
        </is>
      </c>
      <c r="Q14" s="17" t="n"/>
      <c r="R14" s="18" t="inlineStr">
        <is>
          <t>A device wanting to reach a local IP broadcasts an ARP request, and the owner replies with its MAC. The answer is cached in the ARP table for a while. To reach a remote network, a device sends frames to the gateway's MAC. Attackers can forge ARP replies, which is called ARP spoofing. IPv6 uses neighbour discovery instead.</t>
        </is>
      </c>
      <c r="S14" s="18" t="inlineStr">
        <is>
          <t>ARP turns an IP address into the MAC address needed on the local link.</t>
        </is>
      </c>
      <c r="T14" s="18" t="inlineStr">
        <is>
          <t>ARP is shouting who has this IP and waiting for the owner to answer with their hardware name.</t>
        </is>
      </c>
      <c r="U14" s="18" t="inlineStr">
        <is>
          <t>IP says who, MAC says which card, ARP links them.</t>
        </is>
      </c>
      <c r="V14" s="18" t="inlineStr">
        <is>
          <t>arp -a showing IP and MAC pairs.</t>
        </is>
      </c>
      <c r="W14" s="18" t="inlineStr">
        <is>
          <t>A device sending to the gateway's MAC for outside traffic.</t>
        </is>
      </c>
      <c r="X14" s="18" t="inlineStr">
        <is>
          <t>A duplicate IP showing two MACs for one address.</t>
        </is>
      </c>
      <c r="Y14" s="18" t="inlineStr">
        <is>
          <t>packets and frames, switches, DHCP, IPv6</t>
        </is>
      </c>
      <c r="Z14" s="18" t="inlineStr">
        <is>
          <t>MAC, ARP, cache, broadcast, neighbour</t>
        </is>
      </c>
      <c r="AA14" s="18" t="inlineStr">
        <is>
          <t>Switching | Troubleshooting | Security</t>
        </is>
      </c>
      <c r="AB14" s="18" t="inlineStr">
        <is>
          <t>A: Two devices claim the same IP. | B: Check the ARP table for two MACs.</t>
        </is>
      </c>
      <c r="AC14" s="18" t="inlineStr">
        <is>
          <t>✗ MAC addresses are used across the internet → ✓ They only matter on the local link, and change at each hop</t>
        </is>
      </c>
      <c r="AD14" s="18" t="inlineStr">
        <is>
          <t>MAC vs IP: MAC identifies an interface locally, IP identifies it across networks.</t>
        </is>
      </c>
      <c r="AE14" s="18" t="inlineStr">
        <is>
          <t>Do not trust MAC filtering as strong security.</t>
        </is>
      </c>
      <c r="AF14" s="18" t="inlineStr">
        <is>
          <t>ARP asks who has this IP.</t>
        </is>
      </c>
      <c r="AG14" s="18" t="inlineStr">
        <is>
          <t>Finding a duplicate IP by spotting two MAC addresses in the ARP table.</t>
        </is>
      </c>
      <c r="AH14" s="18" t="inlineStr">
        <is>
          <t>An interviewer may ask: What does ARP do?</t>
        </is>
      </c>
      <c r="AI14" s="18" t="inlineStr">
        <is>
          <t>It is like shouting who has this address.</t>
        </is>
      </c>
      <c r="AJ14" s="18" t="inlineStr">
        <is>
          <t>What does ARP map?</t>
        </is>
      </c>
      <c r="AK14" s="18" t="inlineStr">
        <is>
          <t>A) Ports to services B) Users to roles C) Names to IP addresses D) IP addresses to MAC addresses</t>
        </is>
      </c>
      <c r="AL14" s="18" t="inlineStr">
        <is>
          <t>D</t>
        </is>
      </c>
      <c r="AM14" s="18" t="inlineStr">
        <is>
          <t>ARP resolves a local IP to a hardware address.</t>
        </is>
      </c>
      <c r="AN14" s="18" t="inlineStr">
        <is>
          <t>A MAC address has ____ bits → 48</t>
        </is>
      </c>
      <c r="AO14" s="18" t="inlineStr">
        <is>
          <t>Two hosts on one subnet cannot talk. What table do you check? → The ARP table</t>
        </is>
      </c>
      <c r="AP14" s="18" t="inlineStr">
        <is>
          <t>Explain ARP in three lines.</t>
        </is>
      </c>
      <c r="AQ14" s="18" t="inlineStr">
        <is>
          <t>Write what the ARP table shows after pinging a neighbour.</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NET-013</t>
        </is>
      </c>
      <c r="B15" s="17" t="inlineStr">
        <is>
          <t>03 Protocols</t>
        </is>
      </c>
      <c r="C15" s="17" t="inlineStr">
        <is>
          <t>Beginner</t>
        </is>
      </c>
      <c r="D15" s="17" t="n">
        <v>13</v>
      </c>
      <c r="E15" s="17" t="inlineStr">
        <is>
          <t>Claude knowledge</t>
        </is>
      </c>
      <c r="F15" s="18" t="inlineStr">
        <is>
          <t>TCP vs UDP</t>
        </is>
      </c>
      <c r="G15" s="18" t="inlineStr">
        <is>
          <t>Which two transport protocols differ in reliability versus speed?</t>
        </is>
      </c>
      <c r="H15" s="18" t="inlineStr">
        <is>
          <t>Core concept</t>
        </is>
      </c>
      <c r="I15" s="18" t="inlineStr">
        <is>
          <t>Very high</t>
        </is>
      </c>
      <c r="J15" s="18" t="n">
        <v>5</v>
      </c>
      <c r="K15" s="18" t="inlineStr">
        <is>
          <t>Some applications need every byte in order, and others need speed above all, so two transport protocols were defined.</t>
        </is>
      </c>
      <c r="L15" s="18" t="inlineStr">
        <is>
          <t>Choose TCP when correctness matters and UDP when late data is useless.</t>
        </is>
      </c>
      <c r="M15" s="18" t="inlineStr">
        <is>
          <t>TCP is registered post with receipts, and UDP is a postcard dropped in the box.</t>
        </is>
      </c>
      <c r="N15" s="18" t="inlineStr">
        <is>
          <t>One arrow with acknowledgements and another arrow with none.</t>
        </is>
      </c>
      <c r="O15" s="18" t="inlineStr">
        <is>
          <t>The clarity of knowing why video calls and downloads behave differently.</t>
        </is>
      </c>
      <c r="P15" s="18" t="inlineStr">
        <is>
          <t>TCP is a connection-oriented protocol that delivers data reliably and in order, and UDP is a connectionless protocol that sends datagrams quickly with no guarantee.</t>
        </is>
      </c>
      <c r="Q15" s="17" t="n"/>
      <c r="R15" s="18" t="inlineStr">
        <is>
          <t>TCP sets up a connection, numbers bytes, acknowledges them, retransmits losses and controls congestion. UDP has no setup and no retransmission, which means low delay. Web pages, email and databases use TCP. DNS queries, streaming, voice calls and games often use UDP. HTTP/3 builds reliability on top of UDP through QUIC.</t>
        </is>
      </c>
      <c r="S15" s="18" t="inlineStr">
        <is>
          <t>TCP is safe and ordered, UDP is fast and light.</t>
        </is>
      </c>
      <c r="T15" s="18" t="inlineStr">
        <is>
          <t>TCP is registered post with receipts, and UDP is a postcard dropped in the box.</t>
        </is>
      </c>
      <c r="U15" s="18" t="inlineStr">
        <is>
          <t>TCP = reliable and ordered. UDP = fast and best effort.</t>
        </is>
      </c>
      <c r="V15" s="18" t="inlineStr">
        <is>
          <t>A file download over TCP.</t>
        </is>
      </c>
      <c r="W15" s="18" t="inlineStr">
        <is>
          <t>A voice call over UDP, where a late packet is useless.</t>
        </is>
      </c>
      <c r="X15" s="18" t="inlineStr">
        <is>
          <t>A DNS query over UDP.</t>
        </is>
      </c>
      <c r="Y15" s="18" t="inlineStr">
        <is>
          <t>TCP handshake, ports, DNS, HTTP/3</t>
        </is>
      </c>
      <c r="Z15" s="18" t="inlineStr">
        <is>
          <t>TCP, UDP, datagram, reliable, connectionless</t>
        </is>
      </c>
      <c r="AA15" s="18" t="inlineStr">
        <is>
          <t>Application design | Troubleshooting | Firewalls</t>
        </is>
      </c>
      <c r="AB15" s="18" t="inlineStr">
        <is>
          <t>A: Why does the video call skip instead of freezing? | B: It uses UDP, so lost data is skipped.</t>
        </is>
      </c>
      <c r="AC15" s="18" t="inlineStr">
        <is>
          <t>✗ UDP is always worse than TCP → ✓ UDP is the right choice when speed matters more than perfect delivery</t>
        </is>
      </c>
      <c r="AD15" s="18" t="inlineStr">
        <is>
          <t>TCP vs UDP: TCP guarantees delivery, UDP does not.</t>
        </is>
      </c>
      <c r="AE15" s="18" t="inlineStr">
        <is>
          <t>Do not build your own reliability unless you must.</t>
        </is>
      </c>
      <c r="AF15" s="18" t="inlineStr">
        <is>
          <t>TCP checks every parcel, UDP just throws.</t>
        </is>
      </c>
      <c r="AG15" s="18" t="inlineStr">
        <is>
          <t>Explaining that a real-time feed used UDP and tolerated small losses by design.</t>
        </is>
      </c>
      <c r="AH15" s="18" t="inlineStr">
        <is>
          <t>An interviewer may ask: When would you choose UDP over TCP?</t>
        </is>
      </c>
      <c r="AI15" s="18" t="inlineStr">
        <is>
          <t>It is like registered post versus a postcard.</t>
        </is>
      </c>
      <c r="AJ15" s="18" t="inlineStr">
        <is>
          <t>Which protocol retransmits lost data?</t>
        </is>
      </c>
      <c r="AK15" s="18" t="inlineStr">
        <is>
          <t>A) UDP B) TCP C) Both equally D) Neither</t>
        </is>
      </c>
      <c r="AL15" s="18" t="inlineStr">
        <is>
          <t>B</t>
        </is>
      </c>
      <c r="AM15" s="18" t="inlineStr">
        <is>
          <t>TCP tracks and resends missing data.</t>
        </is>
      </c>
      <c r="AN15" s="18" t="inlineStr">
        <is>
          <t>A protocol with no setup step is called ____ → connectionless</t>
        </is>
      </c>
      <c r="AO15" s="18" t="inlineStr">
        <is>
          <t>A live game needs the lowest delay and tolerates loss. Which protocol? → UDP</t>
        </is>
      </c>
      <c r="AP15" s="18" t="inlineStr">
        <is>
          <t>Explain TCP versus UDP in three lines.</t>
        </is>
      </c>
      <c r="AQ15" s="18" t="inlineStr">
        <is>
          <t>List three real applications that use each of the two protocols.</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NET-014</t>
        </is>
      </c>
      <c r="B16" s="17" t="inlineStr">
        <is>
          <t>03 Protocols</t>
        </is>
      </c>
      <c r="C16" s="17" t="inlineStr">
        <is>
          <t>Intermediate</t>
        </is>
      </c>
      <c r="D16" s="17" t="n">
        <v>14</v>
      </c>
      <c r="E16" s="17" t="inlineStr">
        <is>
          <t>Claude knowledge</t>
        </is>
      </c>
      <c r="F16" s="18" t="inlineStr">
        <is>
          <t>The TCP handshake</t>
        </is>
      </c>
      <c r="G16" s="18" t="inlineStr">
        <is>
          <t>Which three steps open a reliable TCP connection?</t>
        </is>
      </c>
      <c r="H16" s="18" t="inlineStr">
        <is>
          <t>Core concept</t>
        </is>
      </c>
      <c r="I16" s="18" t="inlineStr">
        <is>
          <t>High</t>
        </is>
      </c>
      <c r="J16" s="18" t="n">
        <v>4</v>
      </c>
      <c r="K16" s="18" t="inlineStr">
        <is>
          <t>Both sides need to agree on starting numbers before reliable transfer, so a short exchange opens each connection.</t>
        </is>
      </c>
      <c r="L16" s="18" t="inlineStr">
        <is>
          <t>A hanging connect usually means the SYN got no reply, which points to a firewall or a down host.</t>
        </is>
      </c>
      <c r="M16" s="18" t="inlineStr">
        <is>
          <t>It is a polite phone call that starts with hello, yes hello, and okay then.</t>
        </is>
      </c>
      <c r="N16" s="18" t="inlineStr">
        <is>
          <t>Three arrows between client and server labelled SYN, SYN-ACK and ACK.</t>
        </is>
      </c>
      <c r="O16" s="18" t="inlineStr">
        <is>
          <t>The satisfaction of reading a capture and seeing it work.</t>
        </is>
      </c>
      <c r="P16" s="18" t="inlineStr">
        <is>
          <t>The TCP handshake is a three-step exchange of SYN, SYN-ACK and ACK segments that opens a connection and agrees on sequence numbers.</t>
        </is>
      </c>
      <c r="Q16" s="17" t="n"/>
      <c r="R16" s="18" t="inlineStr">
        <is>
          <t>The client sends SYN, the server answers SYN-ACK, and the client confirms with ACK, after which data flows. A closed port answers with a reset, which gives connection refused. A filtered port gives no answer, so the client times out. Closing uses FIN segments. TLS adds its own handshake on top of TCP.</t>
        </is>
      </c>
      <c r="S16" s="18" t="inlineStr">
        <is>
          <t>SYN, SYN-ACK, ACK, and then data can flow.</t>
        </is>
      </c>
      <c r="T16" s="18" t="inlineStr">
        <is>
          <t>It is a polite phone call that starts with hello, yes hello, and okay then.</t>
        </is>
      </c>
      <c r="U16" s="18" t="inlineStr">
        <is>
          <t>SYN → SYN-ACK → ACK.</t>
        </is>
      </c>
      <c r="V16" s="18" t="inlineStr">
        <is>
          <t>A browser opening a connection to port 443.</t>
        </is>
      </c>
      <c r="W16" s="18" t="inlineStr">
        <is>
          <t>A refused connection because the port is closed.</t>
        </is>
      </c>
      <c r="X16" s="18" t="inlineStr">
        <is>
          <t>A timeout because a firewall dropped the SYN.</t>
        </is>
      </c>
      <c r="Y16" s="18" t="inlineStr">
        <is>
          <t>TCP vs UDP, TLS, firewalls, timeouts vs refused</t>
        </is>
      </c>
      <c r="Z16" s="18" t="inlineStr">
        <is>
          <t>SYN, ACK, handshake, reset, FIN</t>
        </is>
      </c>
      <c r="AA16" s="18" t="inlineStr">
        <is>
          <t>Packet captures | Troubleshooting | Security</t>
        </is>
      </c>
      <c r="AB16" s="18" t="inlineStr">
        <is>
          <t>A: The connection times out. | B: The SYN may be dropped by a firewall.</t>
        </is>
      </c>
      <c r="AC16" s="18" t="inlineStr">
        <is>
          <t>✗ Connection refused and timeout mean the same thing → ✓ Refused means someone answered no, and timeout means nobody answered</t>
        </is>
      </c>
      <c r="AD16" s="18" t="inlineStr">
        <is>
          <t>Reset vs timeout: a reset is an active refusal, a timeout is silence.</t>
        </is>
      </c>
      <c r="AE16" s="18" t="inlineStr">
        <is>
          <t>Do not assume a firewall when you see a reset.</t>
        </is>
      </c>
      <c r="AF16" s="18" t="inlineStr">
        <is>
          <t>SYN, SYN-ACK, ACK opens the call.</t>
        </is>
      </c>
      <c r="AG16" s="18" t="inlineStr">
        <is>
          <t>Using a capture to prove the server never sent SYN-ACK because a firewall dropped the request.</t>
        </is>
      </c>
      <c r="AH16" s="18" t="inlineStr">
        <is>
          <t>An interviewer may ask: What are the three steps of the TCP handshake?</t>
        </is>
      </c>
      <c r="AI16" s="18" t="inlineStr">
        <is>
          <t>It is like hello, yes hello, okay.</t>
        </is>
      </c>
      <c r="AJ16" s="18" t="inlineStr">
        <is>
          <t>Which segment starts a TCP connection?</t>
        </is>
      </c>
      <c r="AK16" s="18" t="inlineStr">
        <is>
          <t>A) FIN B) PSH C) RST D) SYN</t>
        </is>
      </c>
      <c r="AL16" s="18" t="inlineStr">
        <is>
          <t>D</t>
        </is>
      </c>
      <c r="AM16" s="18" t="inlineStr">
        <is>
          <t>SYN opens the handshake.</t>
        </is>
      </c>
      <c r="AN16" s="18" t="inlineStr">
        <is>
          <t>The reply to a SYN is a ____ → SYN-ACK</t>
        </is>
      </c>
      <c r="AO16" s="18" t="inlineStr">
        <is>
          <t>A client times out with no reply at all. What likely happens to the SYN? → It is dropped</t>
        </is>
      </c>
      <c r="AP16" s="18" t="inlineStr">
        <is>
          <t>Explain the TCP handshake in three lines.</t>
        </is>
      </c>
      <c r="AQ16" s="18" t="inlineStr">
        <is>
          <t>Draw the three steps with the flags.</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21.5" customHeight="1">
      <c r="A17" s="17" t="inlineStr">
        <is>
          <t>NET-015</t>
        </is>
      </c>
      <c r="B17" s="17" t="inlineStr">
        <is>
          <t>03 Protocols</t>
        </is>
      </c>
      <c r="C17" s="17" t="inlineStr">
        <is>
          <t>Beginner</t>
        </is>
      </c>
      <c r="D17" s="17" t="n">
        <v>15</v>
      </c>
      <c r="E17" s="17" t="inlineStr">
        <is>
          <t>Claude knowledge</t>
        </is>
      </c>
      <c r="F17" s="18" t="inlineStr">
        <is>
          <t>DNS and record types</t>
        </is>
      </c>
      <c r="G17" s="18" t="inlineStr">
        <is>
          <t>Which system turns names into addresses, and which records hold the answers?</t>
        </is>
      </c>
      <c r="H17" s="18" t="inlineStr">
        <is>
          <t>Core concept</t>
        </is>
      </c>
      <c r="I17" s="18" t="inlineStr">
        <is>
          <t>Very high</t>
        </is>
      </c>
      <c r="J17" s="18" t="n">
        <v>5</v>
      </c>
      <c r="K17" s="18" t="inlineStr">
        <is>
          <t>People remember names, not numbers, so a distributed directory maps names to the data computers need.</t>
        </is>
      </c>
      <c r="L17" s="18" t="inlineStr">
        <is>
          <t>When something works by IP but not by name, suspect DNS first.</t>
        </is>
      </c>
      <c r="M17" s="18" t="inlineStr">
        <is>
          <t>DNS is the contacts list of the internet.</t>
        </is>
      </c>
      <c r="N17" s="18" t="inlineStr">
        <is>
          <t>A name flowing to a resolver and an address returning.</t>
        </is>
      </c>
      <c r="O17" s="18" t="inlineStr">
        <is>
          <t>The relief of finding that the problem was only a DNS record.</t>
        </is>
      </c>
      <c r="P17" s="18" t="inlineStr">
        <is>
          <t>DNS is a distributed system that resolves names into data, with record types such as A, AAAA, CNAME, MX, TXT and NS.</t>
        </is>
      </c>
      <c r="Q17" s="17" t="n"/>
      <c r="R17" s="18" t="inlineStr">
        <is>
          <t>A resolver asks root, top-level and authoritative servers in turn and caches the answer for its TTL. An A record holds an IPv4 address, AAAA an IPv6 address, CNAME an alias to another name, MX the mail servers and TXT free text such as verification codes. NS records name the servers that hold a zone. DNS usually uses UDP port 53, and TCP for large answers.</t>
        </is>
      </c>
      <c r="S17" s="18" t="inlineStr">
        <is>
          <t>Ask the resolver for a name, get a record back, and it is cached for the TTL.</t>
        </is>
      </c>
      <c r="T17" s="18" t="inlineStr">
        <is>
          <t>DNS is the contacts list of the internet.</t>
        </is>
      </c>
      <c r="U17" s="18" t="inlineStr">
        <is>
          <t>Name → resolver → authoritative server → record, cached for the TTL.</t>
        </is>
      </c>
      <c r="V17" s="18" t="inlineStr">
        <is>
          <t>An A record mapping app.example.com to an address.</t>
        </is>
      </c>
      <c r="W17" s="18" t="inlineStr">
        <is>
          <t>A CNAME pointing www to the main name.</t>
        </is>
      </c>
      <c r="X17" s="18" t="inlineStr">
        <is>
          <t>A TXT record proving ownership of a domain.</t>
        </is>
      </c>
      <c r="Y17" s="18" t="inlineStr">
        <is>
          <t>DNS caching, dig, load balancers, email basics</t>
        </is>
      </c>
      <c r="Z17" s="18" t="inlineStr">
        <is>
          <t>resolver, zone, record, TTL, authoritative</t>
        </is>
      </c>
      <c r="AA17" s="18" t="inlineStr">
        <is>
          <t>Websites | Email | Troubleshooting</t>
        </is>
      </c>
      <c r="AB17" s="18" t="inlineStr">
        <is>
          <t>A: The site works by IP but not by name. | B: Check the DNS record and its cache.</t>
        </is>
      </c>
      <c r="AC17" s="18" t="inlineStr">
        <is>
          <t>✗ DNS changes appear instantly everywhere → ✓ Caches hold old answers until the TTL ends</t>
        </is>
      </c>
      <c r="AD17" s="18" t="inlineStr">
        <is>
          <t>A vs CNAME: A gives an address, CNAME gives another name.</t>
        </is>
      </c>
      <c r="AE17" s="18" t="inlineStr">
        <is>
          <t>Do not put a CNAME record on the bare domain apex. Use an A record or an alias record instead.</t>
        </is>
      </c>
      <c r="AF17" s="18" t="inlineStr">
        <is>
          <t>A is address, MX is mail.</t>
        </is>
      </c>
      <c r="AG17" s="18" t="inlineStr">
        <is>
          <t>Fixing a missing MX record that stopped a customer's email delivery.</t>
        </is>
      </c>
      <c r="AH17" s="18" t="inlineStr">
        <is>
          <t>An interviewer may ask: What happens when you type a URL into a browser?</t>
        </is>
      </c>
      <c r="AI17" s="18" t="inlineStr">
        <is>
          <t>It is like looking up a contact.</t>
        </is>
      </c>
      <c r="AJ17" s="18" t="inlineStr">
        <is>
          <t>Which record maps a name to an IPv4 address?</t>
        </is>
      </c>
      <c r="AK17" s="18" t="inlineStr">
        <is>
          <t>A) A B) TXT C) NS D) MX</t>
        </is>
      </c>
      <c r="AL17" s="18" t="inlineStr">
        <is>
          <t>A</t>
        </is>
      </c>
      <c r="AM17" s="18" t="inlineStr">
        <is>
          <t>An A record holds an IPv4 address.</t>
        </is>
      </c>
      <c r="AN17" s="18" t="inlineStr">
        <is>
          <t>DNS usually uses port ____ → 53</t>
        </is>
      </c>
      <c r="AO17" s="18" t="inlineStr">
        <is>
          <t>Mail is not arriving at a domain. Which record do you check? → MX</t>
        </is>
      </c>
      <c r="AP17" s="18" t="inlineStr">
        <is>
          <t>Explain how DNS resolves a name in three lines.</t>
        </is>
      </c>
      <c r="AQ17" s="18" t="inlineStr">
        <is>
          <t>List five record types with their purposes.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NET-016</t>
        </is>
      </c>
      <c r="B18" s="17" t="inlineStr">
        <is>
          <t>03 Protocols</t>
        </is>
      </c>
      <c r="C18" s="17" t="inlineStr">
        <is>
          <t>Beginner</t>
        </is>
      </c>
      <c r="D18" s="17" t="n">
        <v>16</v>
      </c>
      <c r="E18" s="17" t="inlineStr">
        <is>
          <t>Claude knowledge</t>
        </is>
      </c>
      <c r="F18" s="18" t="inlineStr">
        <is>
          <t>HTTP</t>
        </is>
      </c>
      <c r="G18" s="18" t="inlineStr">
        <is>
          <t>Which protocol do browsers and APIs use to request and send web content?</t>
        </is>
      </c>
      <c r="H18" s="18" t="inlineStr">
        <is>
          <t>Core concept</t>
        </is>
      </c>
      <c r="I18" s="18" t="inlineStr">
        <is>
          <t>Very high</t>
        </is>
      </c>
      <c r="J18" s="18" t="n">
        <v>5</v>
      </c>
      <c r="K18" s="18" t="inlineStr">
        <is>
          <t>The web needed a simple request and response language for documents, which grew into the standard way for apps to talk.</t>
        </is>
      </c>
      <c r="L18" s="18" t="inlineStr">
        <is>
          <t>Learn methods and status codes well, because they appear in every API and every log.</t>
        </is>
      </c>
      <c r="M18" s="18" t="inlineStr">
        <is>
          <t>HTTP is a waiter's order slip, with a request on one side and a numbered answer on the other.</t>
        </is>
      </c>
      <c r="N18" s="18" t="inlineStr">
        <is>
          <t>A request with method, path and headers above a response with status and body.</t>
        </is>
      </c>
      <c r="O18" s="18" t="inlineStr">
        <is>
          <t>The ease of reading a request and seeing exactly what was asked.</t>
        </is>
      </c>
      <c r="P18" s="18" t="inlineStr">
        <is>
          <t>HTTP is a request and response protocol where a client sends a method, a path, headers and an optional body, and a server returns a status code, headers and a body.</t>
        </is>
      </c>
      <c r="Q18" s="17" t="n"/>
      <c r="R18" s="18" t="inlineStr">
        <is>
          <t>Methods include GET to read, POST to create, PUT to replace, PATCH to change and DELETE to remove. Status codes group by first digit, with 2xx success, 3xx redirects, 4xx client errors and 5xx server errors. Headers carry details such as content type and authorisation. HTTP is stateless, so each request stands alone.</t>
        </is>
      </c>
      <c r="S18" s="18" t="inlineStr">
        <is>
          <t>Send a method and path, receive a status and body, and remember each request is independent.</t>
        </is>
      </c>
      <c r="T18" s="18" t="inlineStr">
        <is>
          <t>HTTP is a waiter's order slip with a request on one side and a numbered answer on the other.</t>
        </is>
      </c>
      <c r="U18" s="18" t="inlineStr">
        <is>
          <t>Request = method + path + headers + body. Response = status + headers + body.</t>
        </is>
      </c>
      <c r="V18" s="18" t="inlineStr">
        <is>
          <t>GET /users/42 returning 200.</t>
        </is>
      </c>
      <c r="W18" s="18" t="inlineStr">
        <is>
          <t>POST /orders returning 201.</t>
        </is>
      </c>
      <c r="X18" s="18" t="inlineStr">
        <is>
          <t>A request returning 404 for a missing path.</t>
        </is>
      </c>
      <c r="Y18" s="18" t="inlineStr">
        <is>
          <t>HTTPS and TLS, APIs, HTTP/2 and HTTP/3, curl</t>
        </is>
      </c>
      <c r="Z18" s="18" t="inlineStr">
        <is>
          <t>method, status code, header, body, stateless</t>
        </is>
      </c>
      <c r="AA18" s="18" t="inlineStr">
        <is>
          <t>Web | APIs | Integrations</t>
        </is>
      </c>
      <c r="AB18" s="18" t="inlineStr">
        <is>
          <t>A: The API returns 401. | B: The request is missing valid credentials.</t>
        </is>
      </c>
      <c r="AC18" s="18" t="inlineStr">
        <is>
          <t>✗ A 500 error means the client made a mistake → ✓ 5xx errors are server-side, while 4xx errors are client-side</t>
        </is>
      </c>
      <c r="AD18" s="18" t="inlineStr">
        <is>
          <t>4xx vs 5xx: 4xx means the request was wrong, 5xx means the server failed.</t>
        </is>
      </c>
      <c r="AE18" s="18" t="inlineStr">
        <is>
          <t>Do not ignore status codes and parse only the body.</t>
        </is>
      </c>
      <c r="AF18" s="18" t="inlineStr">
        <is>
          <t>Four for you, five for them.</t>
        </is>
      </c>
      <c r="AG18" s="18" t="inlineStr">
        <is>
          <t>Reading status codes in logs to find that a customer app sent bad requests.</t>
        </is>
      </c>
      <c r="AH18" s="18" t="inlineStr">
        <is>
          <t>An interviewer may ask: What is the difference between PUT and PATCH?</t>
        </is>
      </c>
      <c r="AI18" s="18" t="inlineStr">
        <is>
          <t>It is like an order slip with a numbered answer.</t>
        </is>
      </c>
      <c r="AJ18" s="18" t="inlineStr">
        <is>
          <t>Which status code range means a server error?</t>
        </is>
      </c>
      <c r="AK18" s="18" t="inlineStr">
        <is>
          <t>A) 4xx B) 3xx C) 5xx D) 2xx</t>
        </is>
      </c>
      <c r="AL18" s="18" t="inlineStr">
        <is>
          <t>C</t>
        </is>
      </c>
      <c r="AM18" s="18" t="inlineStr">
        <is>
          <t>Five hundred codes indicate server failures.</t>
        </is>
      </c>
      <c r="AN18" s="18" t="inlineStr">
        <is>
          <t>HTTP is ____, so each request is independent → stateless</t>
        </is>
      </c>
      <c r="AO18" s="18" t="inlineStr">
        <is>
          <t>An API returns 404. What does it mean? → The path or resource was not found</t>
        </is>
      </c>
      <c r="AP18" s="18" t="inlineStr">
        <is>
          <t>Explain HTTP requests and responses in three lines.</t>
        </is>
      </c>
      <c r="AQ18" s="18" t="inlineStr">
        <is>
          <t>List five status codes and their meanings.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NET-017</t>
        </is>
      </c>
      <c r="B19" s="17" t="inlineStr">
        <is>
          <t>03 Protocols</t>
        </is>
      </c>
      <c r="C19" s="17" t="inlineStr">
        <is>
          <t>Intermediate</t>
        </is>
      </c>
      <c r="D19" s="17" t="n">
        <v>17</v>
      </c>
      <c r="E19" s="17" t="inlineStr">
        <is>
          <t>Claude knowledge</t>
        </is>
      </c>
      <c r="F19" s="18" t="inlineStr">
        <is>
          <t>HTTPS and TLS</t>
        </is>
      </c>
      <c r="G19" s="18" t="inlineStr">
        <is>
          <t>Which protocol encrypts web traffic and proves the server's identity?</t>
        </is>
      </c>
      <c r="H19" s="18" t="inlineStr">
        <is>
          <t>Core concept</t>
        </is>
      </c>
      <c r="I19" s="18" t="inlineStr">
        <is>
          <t>Very high</t>
        </is>
      </c>
      <c r="J19" s="18" t="n">
        <v>5</v>
      </c>
      <c r="K19" s="18" t="inlineStr">
        <is>
          <t>Plain HTTP can be read and changed on the way, so a secure layer was added to protect privacy and integrity.</t>
        </is>
      </c>
      <c r="L19" s="18" t="inlineStr">
        <is>
          <t>Always use HTTPS, and redirect plain HTTP to it.</t>
        </is>
      </c>
      <c r="M19" s="18" t="inlineStr">
        <is>
          <t>TLS is a sealed envelope with the sender's verified signature.</t>
        </is>
      </c>
      <c r="N19" s="18" t="inlineStr">
        <is>
          <t>A padlock icon beside a web address.</t>
        </is>
      </c>
      <c r="O19" s="18" t="inlineStr">
        <is>
          <t>The trust that a connection is private.</t>
        </is>
      </c>
      <c r="P19" s="18" t="inlineStr">
        <is>
          <t>HTTPS is HTTP carried inside TLS, which encrypts the data, checks it was not altered, and authenticates the server using a certificate.</t>
        </is>
      </c>
      <c r="Q19" s="17" t="n"/>
      <c r="R19" s="18" t="inlineStr">
        <is>
          <t>During the TLS handshake the client and server agree on a version and cipher, the server presents its certificate, and both derive shared keys. Later data is encrypted with those keys. The certificate must be valid, unexpired, issued by a trusted authority and match the host name. TLS 1.3 is faster and removes old weak options.</t>
        </is>
      </c>
      <c r="S19" s="18" t="inlineStr">
        <is>
          <t>TLS encrypts and verifies, and the certificate proves who the server is.</t>
        </is>
      </c>
      <c r="T19" s="18" t="inlineStr">
        <is>
          <t>TLS is a sealed envelope with the sender's verified signature.</t>
        </is>
      </c>
      <c r="U19" s="18" t="inlineStr">
        <is>
          <t>HTTPS = HTTP + TLS, with a certificate for identity.</t>
        </is>
      </c>
      <c r="V19" s="18" t="inlineStr">
        <is>
          <t>A browser showing a padlock for https://example.com.</t>
        </is>
      </c>
      <c r="W19" s="18" t="inlineStr">
        <is>
          <t>A certificate error because the date has expired.</t>
        </is>
      </c>
      <c r="X19" s="18" t="inlineStr">
        <is>
          <t>Redirecting port 80 to port 443.</t>
        </is>
      </c>
      <c r="Y19" s="18" t="inlineStr">
        <is>
          <t>certificates, HTTP, TLS inspection, curl -v</t>
        </is>
      </c>
      <c r="Z19" s="18" t="inlineStr">
        <is>
          <t>TLS, handshake, cipher, certificate, encryption</t>
        </is>
      </c>
      <c r="AA19" s="18" t="inlineStr">
        <is>
          <t>Websites | APIs | Internal services</t>
        </is>
      </c>
      <c r="AB19" s="18" t="inlineStr">
        <is>
          <t>A: The browser warns about the certificate. | B: It may be expired or for a different host name.</t>
        </is>
      </c>
      <c r="AC19" s="18" t="inlineStr">
        <is>
          <t>✗ The padlock means the website is trustworthy → ✓ It means the connection is encrypted, not that the site is honest</t>
        </is>
      </c>
      <c r="AD19" s="18" t="inlineStr">
        <is>
          <t>HTTP vs HTTPS: HTTPS adds encryption and server authentication.</t>
        </is>
      </c>
      <c r="AE19" s="18" t="inlineStr">
        <is>
          <t>Do not ignore certificate warnings or disable verification in code.</t>
        </is>
      </c>
      <c r="AF19" s="18" t="inlineStr">
        <is>
          <t>HTTPS is HTTP wrapped in TLS.</t>
        </is>
      </c>
      <c r="AG19" s="18" t="inlineStr">
        <is>
          <t>Fixing an integration that failed because the server certificate had expired.</t>
        </is>
      </c>
      <c r="AH19" s="18" t="inlineStr">
        <is>
          <t>An interviewer may ask: What happens during a TLS handshake?</t>
        </is>
      </c>
      <c r="AI19" s="18" t="inlineStr">
        <is>
          <t>It is like a sealed envelope with a signature.</t>
        </is>
      </c>
      <c r="AJ19" s="18" t="inlineStr">
        <is>
          <t>What does the certificate prove?</t>
        </is>
      </c>
      <c r="AK19" s="18" t="inlineStr">
        <is>
          <t>A) The user's password B) The IP range C) The page speed D) The server's identity</t>
        </is>
      </c>
      <c r="AL19" s="18" t="inlineStr">
        <is>
          <t>D</t>
        </is>
      </c>
      <c r="AM19" s="18" t="inlineStr">
        <is>
          <t>A trusted authority signs it to vouch for the host name.</t>
        </is>
      </c>
      <c r="AN19" s="18" t="inlineStr">
        <is>
          <t>HTTPS uses TCP port ____ by default → 443</t>
        </is>
      </c>
      <c r="AO19" s="18" t="inlineStr">
        <is>
          <t>A client reports a certificate name mismatch. What is wrong? → The host name does not match the certificate</t>
        </is>
      </c>
      <c r="AP19" s="18" t="inlineStr">
        <is>
          <t>Explain HTTPS and TLS in three lines.</t>
        </is>
      </c>
      <c r="AQ19" s="18" t="inlineStr">
        <is>
          <t>List four reasons a certificate check could fail.</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35" customHeight="1">
      <c r="A20" s="17" t="inlineStr">
        <is>
          <t>NET-018</t>
        </is>
      </c>
      <c r="B20" s="17" t="inlineStr">
        <is>
          <t>03 Protocols</t>
        </is>
      </c>
      <c r="C20" s="17" t="inlineStr">
        <is>
          <t>Intermediate</t>
        </is>
      </c>
      <c r="D20" s="17" t="n">
        <v>18</v>
      </c>
      <c r="E20" s="17" t="inlineStr">
        <is>
          <t>Claude knowledge</t>
        </is>
      </c>
      <c r="F20" s="18" t="inlineStr">
        <is>
          <t>Certificates</t>
        </is>
      </c>
      <c r="G20" s="18" t="inlineStr">
        <is>
          <t>Which documents bind a name to a public key and are signed by a trusted authority?</t>
        </is>
      </c>
      <c r="H20" s="18" t="inlineStr">
        <is>
          <t>Core concept</t>
        </is>
      </c>
      <c r="I20" s="18" t="inlineStr">
        <is>
          <t>High</t>
        </is>
      </c>
      <c r="J20" s="18" t="n">
        <v>5</v>
      </c>
      <c r="K20" s="18" t="inlineStr">
        <is>
          <t>Encryption alone does not say who you are talking to, so signed certificates link a name to a key.</t>
        </is>
      </c>
      <c r="L20" s="18" t="inlineStr">
        <is>
          <t>Set renewal reminders or automate renewal, since expiry is a classic outage.</t>
        </is>
      </c>
      <c r="M20" s="18" t="inlineStr">
        <is>
          <t>A certificate is a passport issued by an authority that others trust.</t>
        </is>
      </c>
      <c r="N20" s="18" t="inlineStr">
        <is>
          <t>A document showing subject, issuer, validity dates and a signature.</t>
        </is>
      </c>
      <c r="O20" s="18" t="inlineStr">
        <is>
          <t>The caution of checking a passport before letting someone in.</t>
        </is>
      </c>
      <c r="P20" s="18" t="inlineStr">
        <is>
          <t>A certificate is a signed document that links a host name to a public key, issued by a certificate authority that clients trust.</t>
        </is>
      </c>
      <c r="Q20" s="17" t="n"/>
      <c r="R20" s="18" t="inlineStr">
        <is>
          <t>Servers present a chain, from their own certificate through intermediate authorities to a root already trusted by the client. The name must match one in the certificate, including alternative names. Certificates expire and can be revoked. Automated authorities such as Let's Encrypt issue short-lived certificates. Internal systems may use a private authority, which clients must be told to trust.</t>
        </is>
      </c>
      <c r="S20" s="18" t="inlineStr">
        <is>
          <t>A certificate proves a name belongs to a key, and clients check the chain, name and dates.</t>
        </is>
      </c>
      <c r="T20" s="18" t="inlineStr">
        <is>
          <t>A certificate is a passport issued by an authority that others trust.</t>
        </is>
      </c>
      <c r="U20" s="18" t="inlineStr">
        <is>
          <t>Valid dates + trusted chain + matching name = accepted.</t>
        </is>
      </c>
      <c r="V20" s="18" t="inlineStr">
        <is>
          <t>A certificate for api.example.com valid for ninety days.</t>
        </is>
      </c>
      <c r="W20" s="18" t="inlineStr">
        <is>
          <t>A chain with a missing intermediate causing errors.</t>
        </is>
      </c>
      <c r="X20" s="18" t="inlineStr">
        <is>
          <t>A private authority used inside a company.</t>
        </is>
      </c>
      <c r="Y20" s="18" t="inlineStr">
        <is>
          <t>HTTPS and TLS, DNS, curl -v, expiry monitoring</t>
        </is>
      </c>
      <c r="Z20" s="18" t="inlineStr">
        <is>
          <t>certificate, authority, chain, expiry, SAN</t>
        </is>
      </c>
      <c r="AA20" s="18" t="inlineStr">
        <is>
          <t>Websites | Mutual TLS | Internal services</t>
        </is>
      </c>
      <c r="AB20" s="18" t="inlineStr">
        <is>
          <t>A: Only some clients show errors. | B: The server may not send the intermediate certificate.</t>
        </is>
      </c>
      <c r="AC20" s="18" t="inlineStr">
        <is>
          <t>✗ Certificates never need attention after setup → ✓ They expire, so renewal must be tracked or automated</t>
        </is>
      </c>
      <c r="AD20" s="18" t="inlineStr">
        <is>
          <t>Public vs private authority: public ones are trusted by default, private ones must be installed.</t>
        </is>
      </c>
      <c r="AE20" s="18" t="inlineStr">
        <is>
          <t>Do not turn off certificate verification to make an error go away.</t>
        </is>
      </c>
      <c r="AF20" s="18" t="inlineStr">
        <is>
          <t>Check dates, chain and name every time.</t>
        </is>
      </c>
      <c r="AG20" s="18" t="inlineStr">
        <is>
          <t>Automating renewal after an expired certificate caused an outage.</t>
        </is>
      </c>
      <c r="AH20" s="18" t="inlineStr">
        <is>
          <t>An interviewer may ask: What is a certificate chain?</t>
        </is>
      </c>
      <c r="AI20" s="18" t="inlineStr">
        <is>
          <t>It is like a passport issued by a trusted office.</t>
        </is>
      </c>
      <c r="AJ20" s="18" t="inlineStr">
        <is>
          <t>What makes clients trust a certificate?</t>
        </is>
      </c>
      <c r="AK20" s="18" t="inlineStr">
        <is>
          <t>A) A chain to a trusted authority B) A fast server C) A long name D) A big file</t>
        </is>
      </c>
      <c r="AL20" s="18" t="inlineStr">
        <is>
          <t>A</t>
        </is>
      </c>
      <c r="AM20" s="18" t="inlineStr">
        <is>
          <t>Clients trust issuers already in their store.</t>
        </is>
      </c>
      <c r="AN20" s="18" t="inlineStr">
        <is>
          <t>A certificate lists extra host names in the subject alternative ____ → name</t>
        </is>
      </c>
      <c r="AO20" s="18" t="inlineStr">
        <is>
          <t>Only some clients fail with a certificate error. What do you check? → That the server sends the intermediate</t>
        </is>
      </c>
      <c r="AP20" s="18" t="inlineStr">
        <is>
          <t>Explain certificates in three lines.</t>
        </is>
      </c>
      <c r="AQ20" s="18" t="inlineStr">
        <is>
          <t>List the checks a client makes on a certificate.</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08" customHeight="1">
      <c r="A21" s="17" t="inlineStr">
        <is>
          <t>NET-019</t>
        </is>
      </c>
      <c r="B21" s="17" t="inlineStr">
        <is>
          <t>03 Protocols</t>
        </is>
      </c>
      <c r="C21" s="17" t="inlineStr">
        <is>
          <t>Advanced</t>
        </is>
      </c>
      <c r="D21" s="17" t="n">
        <v>19</v>
      </c>
      <c r="E21" s="17" t="inlineStr">
        <is>
          <t>Claude knowledge</t>
        </is>
      </c>
      <c r="F21" s="18" t="inlineStr">
        <is>
          <t>HTTP/2 and HTTP/3</t>
        </is>
      </c>
      <c r="G21" s="18" t="inlineStr">
        <is>
          <t>Which newer versions of HTTP make web traffic faster?</t>
        </is>
      </c>
      <c r="H21" s="18" t="inlineStr">
        <is>
          <t>Core concept</t>
        </is>
      </c>
      <c r="I21" s="18" t="inlineStr">
        <is>
          <t>Medium</t>
        </is>
      </c>
      <c r="J21" s="18" t="n">
        <v>3</v>
      </c>
      <c r="K21" s="18" t="inlineStr">
        <is>
          <t>HTTP/1.1 opened many connections and waited on each reply, so newer versions send many requests together over one connection.</t>
        </is>
      </c>
      <c r="L21" s="18" t="inlineStr">
        <is>
          <t>Servers usually negotiate the best version automatically, so you rarely configure the client.</t>
        </is>
      </c>
      <c r="M21" s="18" t="inlineStr">
        <is>
          <t>HTTP/2 is one motorway with many lanes, and HTTP/3 builds that motorway on a faster road base.</t>
        </is>
      </c>
      <c r="N21" s="18" t="inlineStr">
        <is>
          <t>Several requests sharing one connection side by side.</t>
        </is>
      </c>
      <c r="O21" s="18" t="inlineStr">
        <is>
          <t>The pleasure of pages loading faster without any code change.</t>
        </is>
      </c>
      <c r="P21" s="18" t="inlineStr">
        <is>
          <t>HTTP/2 multiplexes many requests over a single TCP connection with compressed headers, and HTTP/3 does the same over QUIC, which runs on UDP.</t>
        </is>
      </c>
      <c r="Q21" s="17" t="n"/>
      <c r="R21" s="18" t="inlineStr">
        <is>
          <t>HTTP/2 removes the need for many parallel connections and compresses headers. A single lost packet can still stall all streams on TCP. HTTP/3 uses QUIC to avoid that, and speeds up connection setup. Both require TLS in practice. Support depends on the server, client and network, since some firewalls block UDP.</t>
        </is>
      </c>
      <c r="S21" s="18" t="inlineStr">
        <is>
          <t>Newer versions send many requests in parallel on one connection and are faster.</t>
        </is>
      </c>
      <c r="T21" s="18" t="inlineStr">
        <is>
          <t>HTTP/2 is one motorway with many lanes, and HTTP/3 builds it on a faster road base.</t>
        </is>
      </c>
      <c r="U21" s="18" t="inlineStr">
        <is>
          <t>One connection, many streams, less waiting.</t>
        </is>
      </c>
      <c r="V21" s="18" t="inlineStr">
        <is>
          <t>A browser loading many files over one HTTP/2 connection.</t>
        </is>
      </c>
      <c r="W21" s="18" t="inlineStr">
        <is>
          <t>A curl command forcing HTTP/3.</t>
        </is>
      </c>
      <c r="X21" s="18" t="inlineStr">
        <is>
          <t>A firewall blocking UDP so HTTP/3 falls back.</t>
        </is>
      </c>
      <c r="Y21" s="18" t="inlineStr">
        <is>
          <t>HTTP, TCP vs UDP, TLS, CDN</t>
        </is>
      </c>
      <c r="Z21" s="18" t="inlineStr">
        <is>
          <t>multiplexing, QUIC, stream, header compression, fallback</t>
        </is>
      </c>
      <c r="AA21" s="18" t="inlineStr">
        <is>
          <t>Websites | CDNs | Performance tuning</t>
        </is>
      </c>
      <c r="AB21" s="18" t="inlineStr">
        <is>
          <t>A: Does our site support HTTP/3? | B: Yes, if UDP 443 is open to it.</t>
        </is>
      </c>
      <c r="AC21" s="18" t="inlineStr">
        <is>
          <t>✗ HTTP/2 and HTTP/3 change how you write API requests → ✓ Methods and status codes stay the same, only the transport improves</t>
        </is>
      </c>
      <c r="AD21" s="18" t="inlineStr">
        <is>
          <t>HTTP/2 vs HTTP/3: HTTP/2 runs on TCP, HTTP/3 runs on QUIC over UDP.</t>
        </is>
      </c>
      <c r="AE21" s="18" t="inlineStr">
        <is>
          <t>Do not block UDP 443 without knowing it breaks HTTP/3.</t>
        </is>
      </c>
      <c r="AF21" s="18" t="inlineStr">
        <is>
          <t>Two multiplexes on TCP, three moves to UDP.</t>
        </is>
      </c>
      <c r="AG21" s="18" t="inlineStr">
        <is>
          <t>Enabling HTTP/3 on a CDN and seeing faster loads on mobile networks.</t>
        </is>
      </c>
      <c r="AH21" s="18" t="inlineStr">
        <is>
          <t>An interviewer may ask: What problem does HTTP/2 solve?</t>
        </is>
      </c>
      <c r="AI21" s="18" t="inlineStr">
        <is>
          <t>It is like a motorway with many lanes.</t>
        </is>
      </c>
      <c r="AJ21" s="18" t="inlineStr">
        <is>
          <t>Which transport does HTTP/3 use?</t>
        </is>
      </c>
      <c r="AK21" s="18" t="inlineStr">
        <is>
          <t>A) FTP B) QUIC over UDP C) TCP only D) ICMP</t>
        </is>
      </c>
      <c r="AL21" s="18" t="inlineStr">
        <is>
          <t>B</t>
        </is>
      </c>
      <c r="AM21" s="18" t="inlineStr">
        <is>
          <t>QUIC runs over UDP.</t>
        </is>
      </c>
      <c r="AN21" s="18" t="inlineStr">
        <is>
          <t>Sending several requests on one connection is called ____ → multiplexing</t>
        </is>
      </c>
      <c r="AO21" s="18" t="inlineStr">
        <is>
          <t>HTTP/3 never connects on a restricted network. What is blocked? → UDP on port 443</t>
        </is>
      </c>
      <c r="AP21" s="18" t="inlineStr">
        <is>
          <t>Explain HTTP/2 and HTTP/3 in three lines.</t>
        </is>
      </c>
      <c r="AQ21" s="18" t="inlineStr">
        <is>
          <t>List two benefits and one network risk.</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21.5" customHeight="1">
      <c r="A22" s="17" t="inlineStr">
        <is>
          <t>NET-020</t>
        </is>
      </c>
      <c r="B22" s="17" t="inlineStr">
        <is>
          <t>03 Protocols</t>
        </is>
      </c>
      <c r="C22" s="17" t="inlineStr">
        <is>
          <t>Intermediate</t>
        </is>
      </c>
      <c r="D22" s="17" t="n">
        <v>20</v>
      </c>
      <c r="E22" s="17" t="inlineStr">
        <is>
          <t>Claude knowledge</t>
        </is>
      </c>
      <c r="F22" s="18" t="inlineStr">
        <is>
          <t>WebSockets</t>
        </is>
      </c>
      <c r="G22" s="18" t="inlineStr">
        <is>
          <t>Which protocol keeps a two-way connection open between a browser and a server?</t>
        </is>
      </c>
      <c r="H22" s="18" t="inlineStr">
        <is>
          <t>Core concept</t>
        </is>
      </c>
      <c r="I22" s="18" t="inlineStr">
        <is>
          <t>Medium</t>
        </is>
      </c>
      <c r="J22" s="18" t="n">
        <v>3</v>
      </c>
      <c r="K22" s="18" t="inlineStr">
        <is>
          <t>Plain HTTP makes the client ask every time, so a persistent channel was added for chat, live prices and notifications.</t>
        </is>
      </c>
      <c r="L22" s="18" t="inlineStr">
        <is>
          <t>Plan for reconnection, since long-lived connections will drop.</t>
        </is>
      </c>
      <c r="M22" s="18" t="inlineStr">
        <is>
          <t>A WebSocket is a phone line left open, where either side can speak at any time.</t>
        </is>
      </c>
      <c r="N22" s="18" t="inlineStr">
        <is>
          <t>A long-lived two-way arrow between browser and server.</t>
        </is>
      </c>
      <c r="O22" s="18" t="inlineStr">
        <is>
          <t>The thrill of live updates arriving without refreshing.</t>
        </is>
      </c>
      <c r="P22" s="18" t="inlineStr">
        <is>
          <t>A WebSocket is a long-lived, full-duplex connection started with an HTTP upgrade, over which both client and server can send messages at any time.</t>
        </is>
      </c>
      <c r="Q22" s="17" t="n"/>
      <c r="R22" s="18" t="inlineStr">
        <is>
          <t>The browser sends an HTTP request asking to upgrade, and the server accepts, after which the same TCP connection carries framed messages. It suits chat, dashboards and games. Proxies and load balancers must support upgrades and long timeouts. Each connection uses server resources, so scale needs planning. Secure versions use wss, which is WebSocket over TLS.</t>
        </is>
      </c>
      <c r="S22" s="18" t="inlineStr">
        <is>
          <t>Open once with an upgrade, then both sides send messages freely until closed.</t>
        </is>
      </c>
      <c r="T22" s="18" t="inlineStr">
        <is>
          <t>A WebSocket is a phone line left open, where either side can speak at any time.</t>
        </is>
      </c>
      <c r="U22" s="18" t="inlineStr">
        <is>
          <t>HTTP upgrade → persistent two-way channel.</t>
        </is>
      </c>
      <c r="V22" s="18" t="inlineStr">
        <is>
          <t>A live chat in a browser.</t>
        </is>
      </c>
      <c r="W22" s="18" t="inlineStr">
        <is>
          <t>A dashboard showing prices as they change.</t>
        </is>
      </c>
      <c r="X22" s="18" t="inlineStr">
        <is>
          <t>A load balancer closing idle sockets after sixty seconds.</t>
        </is>
      </c>
      <c r="Y22" s="18" t="inlineStr">
        <is>
          <t>HTTP, TCP, load balancers, proxies</t>
        </is>
      </c>
      <c r="Z22" s="18" t="inlineStr">
        <is>
          <t>upgrade, full-duplex, wss, frame, keep-alive</t>
        </is>
      </c>
      <c r="AA22" s="18" t="inlineStr">
        <is>
          <t>Chat | Live dashboards | Games</t>
        </is>
      </c>
      <c r="AB22" s="18" t="inlineStr">
        <is>
          <t>A: The live feed drops every minute. | B: A proxy timeout is closing the idle socket.</t>
        </is>
      </c>
      <c r="AC22" s="18" t="inlineStr">
        <is>
          <t>✗ WebSockets replace HTTP completely → ✓ They begin as HTTP, and ordinary requests still use HTTP</t>
        </is>
      </c>
      <c r="AD22" s="18" t="inlineStr">
        <is>
          <t>Polling vs WebSocket: polling asks repeatedly, a WebSocket stays open.</t>
        </is>
      </c>
      <c r="AE22" s="18" t="inlineStr">
        <is>
          <t>Do not forget idle timeouts on proxies.</t>
        </is>
      </c>
      <c r="AF22" s="18" t="inlineStr">
        <is>
          <t>Upgrade once, then talk both ways.</t>
        </is>
      </c>
      <c r="AG22" s="18" t="inlineStr">
        <is>
          <t>Raising the load balancer idle timeout so live dashboards stopped disconnecting.</t>
        </is>
      </c>
      <c r="AH22" s="18" t="inlineStr">
        <is>
          <t>An interviewer may ask: When would you use WebSockets over polling?</t>
        </is>
      </c>
      <c r="AI22" s="18" t="inlineStr">
        <is>
          <t>It is like a phone line left open.</t>
        </is>
      </c>
      <c r="AJ22" s="18" t="inlineStr">
        <is>
          <t>How does a WebSocket start?</t>
        </is>
      </c>
      <c r="AK22" s="18" t="inlineStr">
        <is>
          <t>A) A ping B) An ARP request C) An HTTP upgrade request D) A DNS query</t>
        </is>
      </c>
      <c r="AL22" s="18" t="inlineStr">
        <is>
          <t>C</t>
        </is>
      </c>
      <c r="AM22" s="18" t="inlineStr">
        <is>
          <t>It begins as HTTP and upgrades.</t>
        </is>
      </c>
      <c r="AN22" s="18" t="inlineStr">
        <is>
          <t>The secure form of a WebSocket address begins with ____ → wss</t>
        </is>
      </c>
      <c r="AO22" s="18" t="inlineStr">
        <is>
          <t>A live feed disconnects exactly after sixty seconds. What do you check? → Proxy idle timeouts</t>
        </is>
      </c>
      <c r="AP22" s="18" t="inlineStr">
        <is>
          <t>Explain WebSockets in three lines.</t>
        </is>
      </c>
      <c r="AQ22" s="18" t="inlineStr">
        <is>
          <t>Give two uses where WebSockets beat polling.</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08" customHeight="1">
      <c r="A23" s="17" t="inlineStr">
        <is>
          <t>NET-021</t>
        </is>
      </c>
      <c r="B23" s="17" t="inlineStr">
        <is>
          <t>03 Protocols</t>
        </is>
      </c>
      <c r="C23" s="17" t="inlineStr">
        <is>
          <t>Intermediate</t>
        </is>
      </c>
      <c r="D23" s="17" t="n">
        <v>21</v>
      </c>
      <c r="E23" s="17" t="inlineStr">
        <is>
          <t>Claude knowledge</t>
        </is>
      </c>
      <c r="F23" s="18" t="inlineStr">
        <is>
          <t>SMTP and email basics</t>
        </is>
      </c>
      <c r="G23" s="18" t="inlineStr">
        <is>
          <t>Which protocols and records move email between servers and prove it is genuine?</t>
        </is>
      </c>
      <c r="H23" s="18" t="inlineStr">
        <is>
          <t>Core concept</t>
        </is>
      </c>
      <c r="I23" s="18" t="inlineStr">
        <is>
          <t>Medium</t>
        </is>
      </c>
      <c r="J23" s="18" t="n">
        <v>3</v>
      </c>
      <c r="K23" s="18" t="inlineStr">
        <is>
          <t>Email crosses many organisations, so open protocols and DNS records were defined for sending, receiving and checking it.</t>
        </is>
      </c>
      <c r="L23" s="18" t="inlineStr">
        <is>
          <t>Set SPF, DKIM and DMARC records so your mail is trusted and spoofing is harder.</t>
        </is>
      </c>
      <c r="M23" s="18" t="inlineStr">
        <is>
          <t>SMTP is the postal van, and SPF, DKIM and DMARC are the seals that prove the van is yours.</t>
        </is>
      </c>
      <c r="N23" s="18" t="inlineStr">
        <is>
          <t>A message moving between mail servers with DNS checks.</t>
        </is>
      </c>
      <c r="O23" s="18" t="inlineStr">
        <is>
          <t>The relief of mail landing in the inbox, not spam.</t>
        </is>
      </c>
      <c r="P23" s="18" t="inlineStr">
        <is>
          <t>SMTP sends email between servers, IMAP or POP read it, and DNS records MX, SPF, DKIM and DMARC route and authenticate it.</t>
        </is>
      </c>
      <c r="Q23" s="17" t="n"/>
      <c r="R23" s="18" t="inlineStr">
        <is>
          <t>A sender's server looks up the MX record of the recipient's domain and delivers by SMTP. SPF lists servers allowed to send for the domain, DKIM signs messages with a key published in DNS, and DMARC says what to do when checks fail. Ports 25 and 587 carry SMTP. Missing records cause mail to land in spam or be rejected.</t>
        </is>
      </c>
      <c r="S23" s="18" t="inlineStr">
        <is>
          <t>SMTP delivers mail, MX says where, and SPF, DKIM and DMARC prove it is genuine.</t>
        </is>
      </c>
      <c r="T23" s="18" t="inlineStr">
        <is>
          <t>SMTP is the postal van, and SPF, DKIM and DMARC are seals proving it is yours.</t>
        </is>
      </c>
      <c r="U23" s="18" t="inlineStr">
        <is>
          <t>MX = where to deliver. SPF + DKIM + DMARC = who may send.</t>
        </is>
      </c>
      <c r="V23" s="18" t="inlineStr">
        <is>
          <t>An MX record pointing to a mail provider.</t>
        </is>
      </c>
      <c r="W23" s="18" t="inlineStr">
        <is>
          <t>A TXT record listing allowed senders for SPF.</t>
        </is>
      </c>
      <c r="X23" s="18" t="inlineStr">
        <is>
          <t>A DMARC policy rejecting failed mail.</t>
        </is>
      </c>
      <c r="Y23" s="18" t="inlineStr">
        <is>
          <t>DNS and record types, TLS, ports, certificates</t>
        </is>
      </c>
      <c r="Z23" s="18" t="inlineStr">
        <is>
          <t>SMTP, MX, SPF, DKIM, DMARC</t>
        </is>
      </c>
      <c r="AA23" s="18" t="inlineStr">
        <is>
          <t>Notifications | Customer email | Security</t>
        </is>
      </c>
      <c r="AB23" s="18" t="inlineStr">
        <is>
          <t>A: Our invoices go to spam. | B: Check that SPF and DKIM are set for our domain.</t>
        </is>
      </c>
      <c r="AC23" s="18" t="inlineStr">
        <is>
          <t>✗ If an email shows our address, it was surely sent by us → ✓ The From address can be forged without SPF, DKIM and DMARC checks</t>
        </is>
      </c>
      <c r="AD23" s="18" t="inlineStr">
        <is>
          <t>SPF vs DKIM: SPF checks the sending server, DKIM checks a signature on the message.</t>
        </is>
      </c>
      <c r="AE23" s="18" t="inlineStr">
        <is>
          <t>Do not send bulk mail from a domain without authentication records.</t>
        </is>
      </c>
      <c r="AF23" s="18" t="inlineStr">
        <is>
          <t>SPF who, DKIM signed, DMARC what then.</t>
        </is>
      </c>
      <c r="AG23" s="18" t="inlineStr">
        <is>
          <t>Adding SPF and DKIM records so a customer's alerts stopped landing in spam.</t>
        </is>
      </c>
      <c r="AH23" s="18" t="inlineStr">
        <is>
          <t>An interviewer may ask: What do SPF, DKIM and DMARC do?</t>
        </is>
      </c>
      <c r="AI23" s="18" t="inlineStr">
        <is>
          <t>It is like a postal van with seals.</t>
        </is>
      </c>
      <c r="AJ23" s="18" t="inlineStr">
        <is>
          <t>Which record says where to deliver mail for a domain?</t>
        </is>
      </c>
      <c r="AK23" s="18" t="inlineStr">
        <is>
          <t>A) A B) PTR C) NS D) MX</t>
        </is>
      </c>
      <c r="AL23" s="18" t="inlineStr">
        <is>
          <t>D</t>
        </is>
      </c>
      <c r="AM23" s="18" t="inlineStr">
        <is>
          <t>MX records name the mail servers.</t>
        </is>
      </c>
      <c r="AN23" s="18" t="inlineStr">
        <is>
          <t>Port ____ is commonly used to submit mail with authentication → 587</t>
        </is>
      </c>
      <c r="AO23" s="18" t="inlineStr">
        <is>
          <t>Alerts land in spam. Which records do you check? → SPF, DKIM and DMARC</t>
        </is>
      </c>
      <c r="AP23" s="18" t="inlineStr">
        <is>
          <t>Explain how email is delivered and verified in three lines.</t>
        </is>
      </c>
      <c r="AQ23" s="18" t="inlineStr">
        <is>
          <t>Write which DNS records a new sending domain needs.</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NET-022</t>
        </is>
      </c>
      <c r="B24" s="17" t="inlineStr">
        <is>
          <t>04 Devices and Paths</t>
        </is>
      </c>
      <c r="C24" s="17" t="inlineStr">
        <is>
          <t>Beginner</t>
        </is>
      </c>
      <c r="D24" s="17" t="n">
        <v>22</v>
      </c>
      <c r="E24" s="17" t="inlineStr">
        <is>
          <t>Claude knowledge</t>
        </is>
      </c>
      <c r="F24" s="18" t="inlineStr">
        <is>
          <t>Routers and switches</t>
        </is>
      </c>
      <c r="G24" s="18" t="inlineStr">
        <is>
          <t>Which two devices connect networks together and connect devices inside one network?</t>
        </is>
      </c>
      <c r="H24" s="18" t="inlineStr">
        <is>
          <t>Core concept</t>
        </is>
      </c>
      <c r="I24" s="18" t="inlineStr">
        <is>
          <t>Very high</t>
        </is>
      </c>
      <c r="J24" s="18" t="n">
        <v>5</v>
      </c>
      <c r="K24" s="18" t="inlineStr">
        <is>
          <t>Devices need to talk inside a building and across the world, so one device forwards locally and another forwards between networks.</t>
        </is>
      </c>
      <c r="L24" s="18" t="inlineStr">
        <is>
          <t>A switch decides by MAC address and a router decides by IP address.</t>
        </is>
      </c>
      <c r="M24" s="18" t="inlineStr">
        <is>
          <t>A switch is the corridor inside a building, and a router is the road that joins buildings.</t>
        </is>
      </c>
      <c r="N24" s="18" t="inlineStr">
        <is>
          <t>Several devices joined to a switch, and the switch joined to a router leading outside.</t>
        </is>
      </c>
      <c r="O24" s="18" t="inlineStr">
        <is>
          <t>The clarity of seeing how a local network reaches the world.</t>
        </is>
      </c>
      <c r="P24" s="18" t="inlineStr">
        <is>
          <t>A switch forwards frames between devices on the same network using MAC addresses, and a router forwards packets between different networks using IP addresses.</t>
        </is>
      </c>
      <c r="Q24" s="17" t="n"/>
      <c r="R24" s="18" t="inlineStr">
        <is>
          <t>A switch learns which MAC address is on which port and sends frames only there. A router has a routing table that chooses the next hop for a destination network. The default gateway is the router address that devices use for anything outside their subnet. Home devices often combine the two with Wi-Fi in one box.</t>
        </is>
      </c>
      <c r="S24" s="18" t="inlineStr">
        <is>
          <t>Switches connect devices in one network, and routers connect different networks.</t>
        </is>
      </c>
      <c r="T24" s="18" t="inlineStr">
        <is>
          <t>A switch is the corridor inside a building, and a router is the road that joins buildings.</t>
        </is>
      </c>
      <c r="U24" s="18" t="inlineStr">
        <is>
          <t>Switch = layer 2, MAC. Router = layer 3, IP.</t>
        </is>
      </c>
      <c r="V24" s="18" t="inlineStr">
        <is>
          <t>Laptops and printers connected to one office switch.</t>
        </is>
      </c>
      <c r="W24" s="18" t="inlineStr">
        <is>
          <t>A router sending traffic from 10.0.1.0/24 to 10.0.2.0/24.</t>
        </is>
      </c>
      <c r="X24" s="18" t="inlineStr">
        <is>
          <t>A default gateway sending unknown destinations to the internet.</t>
        </is>
      </c>
      <c r="Y24" s="18" t="inlineStr">
        <is>
          <t>MAC and ARP, route tables, gateways, VLANs</t>
        </is>
      </c>
      <c r="Z24" s="18" t="inlineStr">
        <is>
          <t>switch, router, gateway, routing table, hop</t>
        </is>
      </c>
      <c r="AA24" s="18" t="inlineStr">
        <is>
          <t>Offices | Data centres | Cloud route tables</t>
        </is>
      </c>
      <c r="AB24" s="18" t="inlineStr">
        <is>
          <t>A: Which device sends traffic to another subnet? | B: The router, through the default gateway.</t>
        </is>
      </c>
      <c r="AC24" s="18" t="inlineStr">
        <is>
          <t>✗ Switches and routers do the same job → ✓ A switch works inside a network, and a router connects networks</t>
        </is>
      </c>
      <c r="AD24" s="18" t="inlineStr">
        <is>
          <t>Switch vs router: a switch uses MAC addresses locally, a router uses IP addresses between networks.</t>
        </is>
      </c>
      <c r="AE24" s="18" t="inlineStr">
        <is>
          <t>Do not call every network box a router.</t>
        </is>
      </c>
      <c r="AF24" s="18" t="inlineStr">
        <is>
          <t>Switches work inside, routers work between.</t>
        </is>
      </c>
      <c r="AG24" s="18" t="inlineStr">
        <is>
          <t>Tracing a customer outage to a missing route on the office router.</t>
        </is>
      </c>
      <c r="AH24" s="18" t="inlineStr">
        <is>
          <t>An interviewer may ask: What is a default gateway?</t>
        </is>
      </c>
      <c r="AI24" s="18" t="inlineStr">
        <is>
          <t>It is like a corridor versus a road.</t>
        </is>
      </c>
      <c r="AJ24" s="18" t="inlineStr">
        <is>
          <t>Which device forwards between different networks?</t>
        </is>
      </c>
      <c r="AK24" s="18" t="inlineStr">
        <is>
          <t>A) A hub B) A router C) A switch D) A cable</t>
        </is>
      </c>
      <c r="AL24" s="18" t="inlineStr">
        <is>
          <t>B</t>
        </is>
      </c>
      <c r="AM24" s="18" t="inlineStr">
        <is>
          <t>Routers use IP routing between networks.</t>
        </is>
      </c>
      <c r="AN24" s="18" t="inlineStr">
        <is>
          <t>Traffic for other subnets is sent to the default ____ → gateway</t>
        </is>
      </c>
      <c r="AO24" s="18" t="inlineStr">
        <is>
          <t>Two subnets must communicate. Which device do you need? → A router</t>
        </is>
      </c>
      <c r="AP24" s="18" t="inlineStr">
        <is>
          <t>Explain routers and switches in three lines.</t>
        </is>
      </c>
      <c r="AQ24" s="18" t="inlineStr">
        <is>
          <t>Draw a small network with one switch and one router.</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21.5" customHeight="1">
      <c r="A25" s="17" t="inlineStr">
        <is>
          <t>NET-023</t>
        </is>
      </c>
      <c r="B25" s="17" t="inlineStr">
        <is>
          <t>04 Devices and Paths</t>
        </is>
      </c>
      <c r="C25" s="17" t="inlineStr">
        <is>
          <t>Intermediate</t>
        </is>
      </c>
      <c r="D25" s="17" t="n">
        <v>23</v>
      </c>
      <c r="E25" s="17" t="inlineStr">
        <is>
          <t>Claude knowledge</t>
        </is>
      </c>
      <c r="F25" s="18" t="inlineStr">
        <is>
          <t>Firewalls</t>
        </is>
      </c>
      <c r="G25" s="18" t="inlineStr">
        <is>
          <t>Which devices or services allow or block traffic according to rules?</t>
        </is>
      </c>
      <c r="H25" s="18" t="inlineStr">
        <is>
          <t>Core concept</t>
        </is>
      </c>
      <c r="I25" s="18" t="inlineStr">
        <is>
          <t>Very high</t>
        </is>
      </c>
      <c r="J25" s="18" t="n">
        <v>5</v>
      </c>
      <c r="K25" s="18" t="inlineStr">
        <is>
          <t>Open networks were attacked at once, so rule-based filters were placed at the edges and inside networks.</t>
        </is>
      </c>
      <c r="L25" s="18" t="inlineStr">
        <is>
          <t>Default deny, then allow only what a service truly needs.</t>
        </is>
      </c>
      <c r="M25" s="18" t="inlineStr">
        <is>
          <t>A firewall is the security desk that checks every visitor against a list.</t>
        </is>
      </c>
      <c r="N25" s="18" t="inlineStr">
        <is>
          <t>A wall with a few gates that match a rule list.</t>
        </is>
      </c>
      <c r="O25" s="18" t="inlineStr">
        <is>
          <t>The comfort of a closed door by default.</t>
        </is>
      </c>
      <c r="P25" s="18" t="inlineStr">
        <is>
          <t>A firewall filters network traffic using rules based on addresses, ports, protocols and sometimes connection state or application content.</t>
        </is>
      </c>
      <c r="Q25" s="17" t="n"/>
      <c r="R25" s="18" t="inlineStr">
        <is>
          <t>Stateful firewalls remember connections, so replies to allowed requests pass automatically. Rules are checked in order or by priority, with a default action for no match. Next-generation firewalls can also inspect applications. Host firewalls protect single machines, while network firewalls protect segments. Cloud security groups act as firewalls for instances.</t>
        </is>
      </c>
      <c r="S25" s="18" t="inlineStr">
        <is>
          <t>Write rules that allow only needed traffic, and block everything else by default.</t>
        </is>
      </c>
      <c r="T25" s="18" t="inlineStr">
        <is>
          <t>A firewall is the security desk that checks every visitor against a list.</t>
        </is>
      </c>
      <c r="U25" s="18" t="inlineStr">
        <is>
          <t>Match rule → allow or deny. No match → default deny.</t>
        </is>
      </c>
      <c r="V25" s="18" t="inlineStr">
        <is>
          <t>A rule allowing inbound port 443 only.</t>
        </is>
      </c>
      <c r="W25" s="18" t="inlineStr">
        <is>
          <t>A rule blocking outbound traffic to a bad address range.</t>
        </is>
      </c>
      <c r="X25" s="18" t="inlineStr">
        <is>
          <t>A host firewall allowing SSH only from the office.</t>
        </is>
      </c>
      <c r="Y25" s="18" t="inlineStr">
        <is>
          <t>ports, security groups, zero trust, allow-lists</t>
        </is>
      </c>
      <c r="Z25" s="18" t="inlineStr">
        <is>
          <t>rule, stateful, deny, allow, rule order</t>
        </is>
      </c>
      <c r="AA25" s="18" t="inlineStr">
        <is>
          <t>Networks | Servers | Cloud</t>
        </is>
      </c>
      <c r="AB25" s="18" t="inlineStr">
        <is>
          <t>A: The port is open on the server but unreachable. | B: A firewall rule may block it.</t>
        </is>
      </c>
      <c r="AC25" s="18" t="inlineStr">
        <is>
          <t>✗ Opening a port on the server is enough to make a service reachable → ✓ Every firewall on the path must allow it</t>
        </is>
      </c>
      <c r="AD25" s="18" t="inlineStr">
        <is>
          <t>Stateful vs stateless filter: stateful remembers connections, stateless checks each packet alone.</t>
        </is>
      </c>
      <c r="AE25" s="18" t="inlineStr">
        <is>
          <t>Do not allow all traffic just to make something work.</t>
        </is>
      </c>
      <c r="AF25" s="18" t="inlineStr">
        <is>
          <t>Default deny, allow by exception.</t>
        </is>
      </c>
      <c r="AG25" s="18" t="inlineStr">
        <is>
          <t>Tightening a rule from any address to the office range after an audit.</t>
        </is>
      </c>
      <c r="AH25" s="18" t="inlineStr">
        <is>
          <t>An interviewer may ask: What is a stateful firewall?</t>
        </is>
      </c>
      <c r="AI25" s="18" t="inlineStr">
        <is>
          <t>It is like a security desk with a visitor list.</t>
        </is>
      </c>
      <c r="AJ25" s="18" t="inlineStr">
        <is>
          <t>What should the default firewall action be?</t>
        </is>
      </c>
      <c r="AK25" s="18" t="inlineStr">
        <is>
          <t>A) Deny B) Ignore C) Log only D) Allow</t>
        </is>
      </c>
      <c r="AL25" s="18" t="inlineStr">
        <is>
          <t>A</t>
        </is>
      </c>
      <c r="AM25" s="18" t="inlineStr">
        <is>
          <t>Unmatched traffic should be blocked.</t>
        </is>
      </c>
      <c r="AN25" s="18" t="inlineStr">
        <is>
          <t>A firewall that tracks connections is called ____ → stateful</t>
        </is>
      </c>
      <c r="AO25" s="18" t="inlineStr">
        <is>
          <t>A service is open locally but unreachable from outside. What do you check? → Firewalls along the path</t>
        </is>
      </c>
      <c r="AP25" s="18" t="inlineStr">
        <is>
          <t>Explain firewalls in three lines.</t>
        </is>
      </c>
      <c r="AQ25" s="18" t="inlineStr">
        <is>
          <t>Write three rules for a public web server.</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08" customHeight="1">
      <c r="A26" s="17" t="inlineStr">
        <is>
          <t>NET-024</t>
        </is>
      </c>
      <c r="B26" s="17" t="inlineStr">
        <is>
          <t>04 Devices and Paths</t>
        </is>
      </c>
      <c r="C26" s="17" t="inlineStr">
        <is>
          <t>Intermediate</t>
        </is>
      </c>
      <c r="D26" s="17" t="n">
        <v>24</v>
      </c>
      <c r="E26" s="17" t="inlineStr">
        <is>
          <t>Claude knowledge</t>
        </is>
      </c>
      <c r="F26" s="18" t="inlineStr">
        <is>
          <t>Proxies and reverse proxies</t>
        </is>
      </c>
      <c r="G26" s="18" t="inlineStr">
        <is>
          <t>Which intermediaries sit between clients and servers on either side?</t>
        </is>
      </c>
      <c r="H26" s="18" t="inlineStr">
        <is>
          <t>Core concept</t>
        </is>
      </c>
      <c r="I26" s="18" t="inlineStr">
        <is>
          <t>High</t>
        </is>
      </c>
      <c r="J26" s="18" t="n">
        <v>4</v>
      </c>
      <c r="K26" s="18" t="inlineStr">
        <is>
          <t>Organisations wanted to control outgoing traffic and protect servers, so intermediaries were placed in the middle.</t>
        </is>
      </c>
      <c r="L26" s="18" t="inlineStr">
        <is>
          <t>Remember that a forward proxy serves clients and a reverse proxy serves servers.</t>
        </is>
      </c>
      <c r="M26" s="18" t="inlineStr">
        <is>
          <t>A forward proxy is a company's travel agent, and a reverse proxy is the receptionist for the building.</t>
        </is>
      </c>
      <c r="N26" s="18" t="inlineStr">
        <is>
          <t>Clients behind a proxy on one side, and a proxy in front of servers on the other.</t>
        </is>
      </c>
      <c r="O26" s="18" t="inlineStr">
        <is>
          <t>The ease of seeing which side each proxy protects.</t>
        </is>
      </c>
      <c r="P26" s="18" t="inlineStr">
        <is>
          <t>A forward proxy makes requests on behalf of clients, and a reverse proxy receives requests on behalf of servers and forwards them to the right backend.</t>
        </is>
      </c>
      <c r="Q26" s="17" t="n"/>
      <c r="R26" s="18" t="inlineStr">
        <is>
          <t>Forward proxies filter, log and cache outgoing web traffic, and many companies force browsers through one. Reverse proxies such as Nginx terminate TLS, balance load, cache and hide backend details. Proxies add headers such as X-Forwarded-For, which carry the original client address. Misconfigured proxies cause timeouts and wrong addresses in logs.</t>
        </is>
      </c>
      <c r="S26" s="18" t="inlineStr">
        <is>
          <t>Forward proxies speak for clients, reverse proxies speak for servers.</t>
        </is>
      </c>
      <c r="T26" s="18" t="inlineStr">
        <is>
          <t>A forward proxy is a travel agent for staff, and a reverse proxy is the building receptionist.</t>
        </is>
      </c>
      <c r="U26" s="18" t="inlineStr">
        <is>
          <t>Forward = client side. Reverse = server side.</t>
        </is>
      </c>
      <c r="V26" s="18" t="inlineStr">
        <is>
          <t>A company proxy filtering employee web access.</t>
        </is>
      </c>
      <c r="W26" s="18" t="inlineStr">
        <is>
          <t>Nginx in front of three app servers.</t>
        </is>
      </c>
      <c r="X26" s="18" t="inlineStr">
        <is>
          <t>A header showing the original client address.</t>
        </is>
      </c>
      <c r="Y26" s="18" t="inlineStr">
        <is>
          <t>load balancers, TLS inspection, CDN, proxy problems</t>
        </is>
      </c>
      <c r="Z26" s="18" t="inlineStr">
        <is>
          <t>proxy, reverse proxy, header, backend, cache</t>
        </is>
      </c>
      <c r="AA26" s="18" t="inlineStr">
        <is>
          <t>Corporate networks | Web hosting | APIs</t>
        </is>
      </c>
      <c r="AB26" s="18" t="inlineStr">
        <is>
          <t>A: All our logs show the same client address. | B: The proxy hides it, so read X-Forwarded-For.</t>
        </is>
      </c>
      <c r="AC26" s="18" t="inlineStr">
        <is>
          <t>✗ A proxy and a VPN do the same thing → ✓ A proxy handles specific application traffic, while a VPN tunnels all network traffic</t>
        </is>
      </c>
      <c r="AD26" s="18" t="inlineStr">
        <is>
          <t>Forward vs reverse proxy: forward protects clients, reverse protects servers.</t>
        </is>
      </c>
      <c r="AE26" s="18" t="inlineStr">
        <is>
          <t>Do not trust forwarded headers from untrusted sources.</t>
        </is>
      </c>
      <c r="AF26" s="18" t="inlineStr">
        <is>
          <t>Forward faces clients, reverse faces servers.</t>
        </is>
      </c>
      <c r="AG26" s="18" t="inlineStr">
        <is>
          <t>Reading forwarded headers to find real client addresses behind a reverse proxy.</t>
        </is>
      </c>
      <c r="AH26" s="18" t="inlineStr">
        <is>
          <t>An interviewer may ask: What is a reverse proxy used for?</t>
        </is>
      </c>
      <c r="AI26" s="18" t="inlineStr">
        <is>
          <t>It is like a building receptionist.</t>
        </is>
      </c>
      <c r="AJ26" s="18" t="inlineStr">
        <is>
          <t>Which proxy sits in front of web servers?</t>
        </is>
      </c>
      <c r="AK26" s="18" t="inlineStr">
        <is>
          <t>A) A forward proxy B) A mail proxy C) A reverse proxy D) A DNS proxy</t>
        </is>
      </c>
      <c r="AL26" s="18" t="inlineStr">
        <is>
          <t>C</t>
        </is>
      </c>
      <c r="AM26" s="18" t="inlineStr">
        <is>
          <t>It receives requests for the servers behind it.</t>
        </is>
      </c>
      <c r="AN26" s="18" t="inlineStr">
        <is>
          <t>The header carrying the original client address is X-Forwarded-____ → For</t>
        </is>
      </c>
      <c r="AO26" s="18" t="inlineStr">
        <is>
          <t>Logs show only the proxy address. What do you read for the real client? → X-Forwarded-For</t>
        </is>
      </c>
      <c r="AP26" s="18" t="inlineStr">
        <is>
          <t>Explain forward and reverse proxies in three lines.</t>
        </is>
      </c>
      <c r="AQ26" s="18" t="inlineStr">
        <is>
          <t>List three jobs a reverse proxy can do.</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NET-025</t>
        </is>
      </c>
      <c r="B27" s="17" t="inlineStr">
        <is>
          <t>04 Devices and Paths</t>
        </is>
      </c>
      <c r="C27" s="17" t="inlineStr">
        <is>
          <t>Intermediate</t>
        </is>
      </c>
      <c r="D27" s="17" t="n">
        <v>25</v>
      </c>
      <c r="E27" s="17" t="inlineStr">
        <is>
          <t>Claude knowledge</t>
        </is>
      </c>
      <c r="F27" s="18" t="inlineStr">
        <is>
          <t>Load balancers (layer 4 vs layer 7)</t>
        </is>
      </c>
      <c r="G27" s="18" t="inlineStr">
        <is>
          <t>How do load balancers differ when they work on connections versus on requests?</t>
        </is>
      </c>
      <c r="H27" s="18" t="inlineStr">
        <is>
          <t>Core concept</t>
        </is>
      </c>
      <c r="I27" s="18" t="inlineStr">
        <is>
          <t>High</t>
        </is>
      </c>
      <c r="J27" s="18" t="n">
        <v>4</v>
      </c>
      <c r="K27" s="18" t="inlineStr">
        <is>
          <t>Spreading traffic over many servers can be done by looking at connections or at the content of each request.</t>
        </is>
      </c>
      <c r="L27" s="18" t="inlineStr">
        <is>
          <t>Use layer 7 for web routing by path and host, and layer 4 for raw speed or non-HTTP traffic.</t>
        </is>
      </c>
      <c r="M27" s="18" t="inlineStr">
        <is>
          <t>Layer 4 is a post room sorting by address only, and layer 7 reads the letter before choosing the desk.</t>
        </is>
      </c>
      <c r="N27" s="18" t="inlineStr">
        <is>
          <t>Two balancers, one reading ports and one reading URLs.</t>
        </is>
      </c>
      <c r="O27" s="18" t="inlineStr">
        <is>
          <t>The satisfaction of picking the right tool for the job.</t>
        </is>
      </c>
      <c r="P27" s="18" t="inlineStr">
        <is>
          <t>A layer 4 load balancer distributes connections by address and port, and a layer 7 load balancer inspects HTTP details such as paths, headers and cookies to choose a backend.</t>
        </is>
      </c>
      <c r="Q27" s="17" t="n"/>
      <c r="R27" s="18" t="inlineStr">
        <is>
          <t>Layer 4 is faster and simpler and works for any TCP or UDP service. Layer 7 can route by path, host or header, terminate TLS, rewrite requests and apply rules. Both use health checks and algorithms such as round robin or least connections. Sticky sessions send a user to the same backend, which should be avoided if possible.</t>
        </is>
      </c>
      <c r="S27" s="18" t="inlineStr">
        <is>
          <t>Layer 4 balances connections quickly, layer 7 makes smarter decisions from HTTP content.</t>
        </is>
      </c>
      <c r="T27" s="18" t="inlineStr">
        <is>
          <t>Layer 4 is a post room sorting by address only, and layer 7 reads the letter first.</t>
        </is>
      </c>
      <c r="U27" s="18" t="inlineStr">
        <is>
          <t>L4 = address and port. L7 = path, host and headers.</t>
        </is>
      </c>
      <c r="V27" s="18" t="inlineStr">
        <is>
          <t>A layer 4 balancer for a database proxy.</t>
        </is>
      </c>
      <c r="W27" s="18" t="inlineStr">
        <is>
          <t>A layer 7 balancer sending /api to one pool.</t>
        </is>
      </c>
      <c r="X27" s="18" t="inlineStr">
        <is>
          <t>Least connections choosing the quietest server.</t>
        </is>
      </c>
      <c r="Y27" s="18" t="inlineStr">
        <is>
          <t>cloud load balancers, TLS, health checks, proxies</t>
        </is>
      </c>
      <c r="Z27" s="18" t="inlineStr">
        <is>
          <t>layer 4, layer 7, round robin, sticky, health check</t>
        </is>
      </c>
      <c r="AA27" s="18" t="inlineStr">
        <is>
          <t>Web services | APIs | Cloud</t>
        </is>
      </c>
      <c r="AB27" s="18" t="inlineStr">
        <is>
          <t>A: We need different servers for /api and /web. | B: Use a layer 7 balancer with path rules.</t>
        </is>
      </c>
      <c r="AC27" s="18" t="inlineStr">
        <is>
          <t>✗ Sticky sessions are good practice for scaling → ✓ They limit even distribution, so share session state instead</t>
        </is>
      </c>
      <c r="AD27" s="18" t="inlineStr">
        <is>
          <t>Layer 4 vs layer 7: L4 is faster and simple, L7 is smarter and HTTP aware.</t>
        </is>
      </c>
      <c r="AE27" s="18" t="inlineStr">
        <is>
          <t>Do not rely on sticky sessions to fix poor design.</t>
        </is>
      </c>
      <c r="AF27" s="18" t="inlineStr">
        <is>
          <t>Four sees ports, seven reads paths.</t>
        </is>
      </c>
      <c r="AG27" s="18" t="inlineStr">
        <is>
          <t>Switching to path-based routing so one balancer served three services.</t>
        </is>
      </c>
      <c r="AH27" s="18" t="inlineStr">
        <is>
          <t>An interviewer may ask: When would you choose a layer 4 balancer?</t>
        </is>
      </c>
      <c r="AI27" s="18" t="inlineStr">
        <is>
          <t>It is like sorting mail by address or by content.</t>
        </is>
      </c>
      <c r="AJ27" s="18" t="inlineStr">
        <is>
          <t>Which balancer can route by URL path?</t>
        </is>
      </c>
      <c r="AK27" s="18" t="inlineStr">
        <is>
          <t>A) Layer 7 B) Layer 1 C) Layer 4 D) Layer 2</t>
        </is>
      </c>
      <c r="AL27" s="18" t="inlineStr">
        <is>
          <t>A</t>
        </is>
      </c>
      <c r="AM27" s="18" t="inlineStr">
        <is>
          <t>Layer 7 understands HTTP.</t>
        </is>
      </c>
      <c r="AN27" s="18" t="inlineStr">
        <is>
          <t>An algorithm that rotates through servers is ____ robin → round</t>
        </is>
      </c>
      <c r="AO27" s="18" t="inlineStr">
        <is>
          <t>A non-HTTP TCP service needs balancing. Which layer? → Layer 4</t>
        </is>
      </c>
      <c r="AP27" s="18" t="inlineStr">
        <is>
          <t>Explain layer 4 versus layer 7 balancers in three lines.</t>
        </is>
      </c>
      <c r="AQ27" s="18" t="inlineStr">
        <is>
          <t>Choose a balancer type for an API and a game server.</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21.5" customHeight="1">
      <c r="A28" s="17" t="inlineStr">
        <is>
          <t>NET-026</t>
        </is>
      </c>
      <c r="B28" s="17" t="inlineStr">
        <is>
          <t>04 Devices and Paths</t>
        </is>
      </c>
      <c r="C28" s="17" t="inlineStr">
        <is>
          <t>Intermediate</t>
        </is>
      </c>
      <c r="D28" s="17" t="n">
        <v>26</v>
      </c>
      <c r="E28" s="17" t="inlineStr">
        <is>
          <t>Claude knowledge</t>
        </is>
      </c>
      <c r="F28" s="18" t="inlineStr">
        <is>
          <t>VPN</t>
        </is>
      </c>
      <c r="G28" s="18" t="inlineStr">
        <is>
          <t>Which technology creates a private encrypted tunnel across a public network?</t>
        </is>
      </c>
      <c r="H28" s="18" t="inlineStr">
        <is>
          <t>Core concept</t>
        </is>
      </c>
      <c r="I28" s="18" t="inlineStr">
        <is>
          <t>High</t>
        </is>
      </c>
      <c r="J28" s="18" t="n">
        <v>4</v>
      </c>
      <c r="K28" s="18" t="inlineStr">
        <is>
          <t>Remote workers and offices needed to reach private systems safely over the internet, so encrypted tunnels were built.</t>
        </is>
      </c>
      <c r="L28" s="18" t="inlineStr">
        <is>
          <t>Know the difference between a site-to-site VPN and a remote-access VPN.</t>
        </is>
      </c>
      <c r="M28" s="18" t="inlineStr">
        <is>
          <t>A VPN is a private covered bridge across a public river.</t>
        </is>
      </c>
      <c r="N28" s="18" t="inlineStr">
        <is>
          <t>Two networks joined by a tunnel drawn across the internet.</t>
        </is>
      </c>
      <c r="O28" s="18" t="inlineStr">
        <is>
          <t>The comfort of reaching private systems safely from anywhere.</t>
        </is>
      </c>
      <c r="P28" s="18" t="inlineStr">
        <is>
          <t>A virtual private network encrypts traffic between two endpoints and carries it over a public network as if the endpoints were on one private network.</t>
        </is>
      </c>
      <c r="Q28" s="17" t="n"/>
      <c r="R28" s="18" t="inlineStr">
        <is>
          <t>A site-to-site VPN joins two networks, such as an office and a cloud network, while a remote-access VPN connects one user to a network. Common protocols include IPsec, OpenVPN and WireGuard. Split tunnelling sends only some traffic through the VPN. Address ranges must not overlap between the sides. Throughput is limited by encryption and the internet path.</t>
        </is>
      </c>
      <c r="S28" s="18" t="inlineStr">
        <is>
          <t>A VPN tunnels and encrypts traffic so remote parties can use a private network.</t>
        </is>
      </c>
      <c r="T28" s="18" t="inlineStr">
        <is>
          <t>A VPN is a private covered bridge across a public river.</t>
        </is>
      </c>
      <c r="U28" s="18" t="inlineStr">
        <is>
          <t>Encrypted tunnel + routes to private ranges.</t>
        </is>
      </c>
      <c r="V28" s="18" t="inlineStr">
        <is>
          <t>An office linked to a cloud VPC by site-to-site VPN.</t>
        </is>
      </c>
      <c r="W28" s="18" t="inlineStr">
        <is>
          <t>An engineer connecting from home with a client.</t>
        </is>
      </c>
      <c r="X28" s="18" t="inlineStr">
        <is>
          <t>Split tunnelling sending only company traffic through the VPN.</t>
        </is>
      </c>
      <c r="Y28" s="18" t="inlineStr">
        <is>
          <t>IPsec, route tables, subnets, zero trust</t>
        </is>
      </c>
      <c r="Z28" s="18" t="inlineStr">
        <is>
          <t>tunnel, IPsec, WireGuard, split tunnel, endpoint</t>
        </is>
      </c>
      <c r="AA28" s="18" t="inlineStr">
        <is>
          <t>Hybrid cloud | Remote work | Customer links</t>
        </is>
      </c>
      <c r="AB28" s="18" t="inlineStr">
        <is>
          <t>A: The VPN is up but we cannot reach the server. | B: Check that routes and firewalls allow that subnet.</t>
        </is>
      </c>
      <c r="AC28" s="18" t="inlineStr">
        <is>
          <t>✗ A VPN makes you anonymous and fully safe → ✓ It protects the path between endpoints, not what happens at either end</t>
        </is>
      </c>
      <c r="AD28" s="18" t="inlineStr">
        <is>
          <t>Site-to-site vs remote-access: one joins networks, the other connects one user.</t>
        </is>
      </c>
      <c r="AE28" s="18" t="inlineStr">
        <is>
          <t>Do not use overlapping address ranges across a VPN.</t>
        </is>
      </c>
      <c r="AF28" s="18" t="inlineStr">
        <is>
          <t>Tunnel up still needs routes up.</t>
        </is>
      </c>
      <c r="AG28" s="18" t="inlineStr">
        <is>
          <t>Building a site-to-site VPN so a customer's data centre could reach a cloud network.</t>
        </is>
      </c>
      <c r="AH28" s="18" t="inlineStr">
        <is>
          <t>An interviewer may ask: What is the difference between site-to-site and remote-access VPNs?</t>
        </is>
      </c>
      <c r="AI28" s="18" t="inlineStr">
        <is>
          <t>It is like a covered bridge across a river.</t>
        </is>
      </c>
      <c r="AJ28" s="18" t="inlineStr">
        <is>
          <t>Which VPN type joins two networks?</t>
        </is>
      </c>
      <c r="AK28" s="18" t="inlineStr">
        <is>
          <t>A) Split tunnel B) Proxy C) Site-to-site D) Remote-access</t>
        </is>
      </c>
      <c r="AL28" s="18" t="inlineStr">
        <is>
          <t>C</t>
        </is>
      </c>
      <c r="AM28" s="18" t="inlineStr">
        <is>
          <t>It links whole networks together.</t>
        </is>
      </c>
      <c r="AN28" s="18" t="inlineStr">
        <is>
          <t>Sending only some traffic through a VPN is split ____ → tunnelling</t>
        </is>
      </c>
      <c r="AO28" s="18" t="inlineStr">
        <is>
          <t>A tunnel is up but one subnet is unreachable. What do you check? → Routes and firewall rules</t>
        </is>
      </c>
      <c r="AP28" s="18" t="inlineStr">
        <is>
          <t>Explain what a VPN does in three lines.</t>
        </is>
      </c>
      <c r="AQ28" s="18" t="inlineStr">
        <is>
          <t>List what must match on both sides of a site-to-site VPN.</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94.5" customHeight="1">
      <c r="A29" s="17" t="inlineStr">
        <is>
          <t>NET-027</t>
        </is>
      </c>
      <c r="B29" s="17" t="inlineStr">
        <is>
          <t>04 Devices and Paths</t>
        </is>
      </c>
      <c r="C29" s="17" t="inlineStr">
        <is>
          <t>Intermediate</t>
        </is>
      </c>
      <c r="D29" s="17" t="n">
        <v>27</v>
      </c>
      <c r="E29" s="17" t="inlineStr">
        <is>
          <t>Claude knowledge</t>
        </is>
      </c>
      <c r="F29" s="18" t="inlineStr">
        <is>
          <t>CDN and edge networks</t>
        </is>
      </c>
      <c r="G29" s="18" t="inlineStr">
        <is>
          <t>How do content delivery networks bring data closer to users?</t>
        </is>
      </c>
      <c r="H29" s="18" t="inlineStr">
        <is>
          <t>Core concept</t>
        </is>
      </c>
      <c r="I29" s="18" t="inlineStr">
        <is>
          <t>Medium</t>
        </is>
      </c>
      <c r="J29" s="18" t="n">
        <v>3</v>
      </c>
      <c r="K29" s="18" t="inlineStr">
        <is>
          <t>Distance adds delay, so providers placed caches near users to serve popular content from nearby.</t>
        </is>
      </c>
      <c r="L29" s="18" t="inlineStr">
        <is>
          <t>Set cache headers properly, or the edge will fetch from the origin every time.</t>
        </is>
      </c>
      <c r="M29" s="18" t="inlineStr">
        <is>
          <t>A CDN is a chain of local shops stocking your goods so nobody travels to the factory.</t>
        </is>
      </c>
      <c r="N29" s="18" t="inlineStr">
        <is>
          <t>A world map with small cache points close to users.</t>
        </is>
      </c>
      <c r="O29" s="18" t="inlineStr">
        <is>
          <t>The delight of fast pages from anywhere.</t>
        </is>
      </c>
      <c r="P29" s="18" t="inlineStr">
        <is>
          <t>A content delivery network is a distributed set of cache servers that store copies of content near users and fetch from the origin only on a miss.</t>
        </is>
      </c>
      <c r="Q29" s="17" t="n"/>
      <c r="R29" s="18" t="inlineStr">
        <is>
          <t>DNS or anycast routing sends each user to a nearby edge location. A cache hit is served locally, and a miss goes to the origin. Cache-Control headers decide how long content stays cached. CDNs also absorb traffic spikes, terminate TLS near the user and filter attacks. Purging removes outdated content.</t>
        </is>
      </c>
      <c r="S29" s="18" t="inlineStr">
        <is>
          <t>Serve popular files from nearby caches and let the origin handle only misses.</t>
        </is>
      </c>
      <c r="T29" s="18" t="inlineStr">
        <is>
          <t>A CDN is a chain of local shops stocking your goods.</t>
        </is>
      </c>
      <c r="U29" s="18" t="inlineStr">
        <is>
          <t>Hit = nearby copy. Miss = fetch from origin once.</t>
        </is>
      </c>
      <c r="V29" s="18" t="inlineStr">
        <is>
          <t>Images served from an edge in the user's city.</t>
        </is>
      </c>
      <c r="W29" s="18" t="inlineStr">
        <is>
          <t>A Cache-Control header of one day.</t>
        </is>
      </c>
      <c r="X29" s="18" t="inlineStr">
        <is>
          <t>Purging a stale script after a release.</t>
        </is>
      </c>
      <c r="Y29" s="18" t="inlineStr">
        <is>
          <t>HTTP, DNS, TLS, latency</t>
        </is>
      </c>
      <c r="Z29" s="18" t="inlineStr">
        <is>
          <t>edge, origin, cache hit, purge, anycast</t>
        </is>
      </c>
      <c r="AA29" s="18" t="inlineStr">
        <is>
          <t>Websites | Downloads | Streaming</t>
        </is>
      </c>
      <c r="AB29" s="18" t="inlineStr">
        <is>
          <t>A: Users abroad see old files. | B: The edge cache is stale, so purge it.</t>
        </is>
      </c>
      <c r="AC29" s="18" t="inlineStr">
        <is>
          <t>✗ A CDN stores only images → ✓ It can cache many kinds of content and also accelerate dynamic traffic</t>
        </is>
      </c>
      <c r="AD29" s="18" t="inlineStr">
        <is>
          <t>Origin vs edge: the origin holds the source, the edge holds cached copies.</t>
        </is>
      </c>
      <c r="AE29" s="18" t="inlineStr">
        <is>
          <t>Do not cache personalised pages for everyone.</t>
        </is>
      </c>
      <c r="AF29" s="18" t="inlineStr">
        <is>
          <t>Edges hold copies, the origin owns them.</t>
        </is>
      </c>
      <c r="AG29" s="18" t="inlineStr">
        <is>
          <t>Putting static assets on a CDN and halving page load time for distant users.</t>
        </is>
      </c>
      <c r="AH29" s="18" t="inlineStr">
        <is>
          <t>An interviewer may ask: What is a cache miss at a CDN?</t>
        </is>
      </c>
      <c r="AI29" s="18" t="inlineStr">
        <is>
          <t>It is like local shops stocking goods.</t>
        </is>
      </c>
      <c r="AJ29" s="18" t="inlineStr">
        <is>
          <t>Which header controls how long content is cached?</t>
        </is>
      </c>
      <c r="AK29" s="18" t="inlineStr">
        <is>
          <t>A) Accept B) Host C) Cookie D) Cache-Control</t>
        </is>
      </c>
      <c r="AL29" s="18" t="inlineStr">
        <is>
          <t>D</t>
        </is>
      </c>
      <c r="AM29" s="18" t="inlineStr">
        <is>
          <t>Cache-Control sets lifetime rules.</t>
        </is>
      </c>
      <c r="AN29" s="18" t="inlineStr">
        <is>
          <t>The server that holds the source content is the ____ → origin</t>
        </is>
      </c>
      <c r="AO29" s="18" t="inlineStr">
        <is>
          <t>Users abroad see slow static files. What do you add? → A CDN</t>
        </is>
      </c>
      <c r="AP29" s="18" t="inlineStr">
        <is>
          <t>Explain a CDN in three lines.</t>
        </is>
      </c>
      <c r="AQ29" s="18" t="inlineStr">
        <is>
          <t>List three headers or settings that affect CDN caching.</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108" customHeight="1">
      <c r="A30" s="17" t="inlineStr">
        <is>
          <t>NET-028</t>
        </is>
      </c>
      <c r="B30" s="17" t="inlineStr">
        <is>
          <t>04 Devices and Paths</t>
        </is>
      </c>
      <c r="C30" s="17" t="inlineStr">
        <is>
          <t>Beginner</t>
        </is>
      </c>
      <c r="D30" s="17" t="n">
        <v>28</v>
      </c>
      <c r="E30" s="17" t="inlineStr">
        <is>
          <t>Claude knowledge</t>
        </is>
      </c>
      <c r="F30" s="18" t="inlineStr">
        <is>
          <t>Gateways</t>
        </is>
      </c>
      <c r="G30" s="18" t="inlineStr">
        <is>
          <t>Which devices or addresses connect one network to another or to a different kind of network?</t>
        </is>
      </c>
      <c r="H30" s="18" t="inlineStr">
        <is>
          <t>Core concept</t>
        </is>
      </c>
      <c r="I30" s="18" t="inlineStr">
        <is>
          <t>High</t>
        </is>
      </c>
      <c r="J30" s="18" t="n">
        <v>4</v>
      </c>
      <c r="K30" s="18" t="inlineStr">
        <is>
          <t>Networks with different rules need a meeting point, so gateways translate or forward traffic across the boundary.</t>
        </is>
      </c>
      <c r="L30" s="18" t="inlineStr">
        <is>
          <t>When nothing outside works, check that the default gateway is correct and reachable.</t>
        </is>
      </c>
      <c r="M30" s="18" t="inlineStr">
        <is>
          <t>A gateway is the front gate of a compound where all outgoing and incoming traffic passes.</t>
        </is>
      </c>
      <c r="N30" s="18" t="inlineStr">
        <is>
          <t>A network boundary with a single gate drawn on it.</t>
        </is>
      </c>
      <c r="O30" s="18" t="inlineStr">
        <is>
          <t>The relief of finding the one setting that was wrong.</t>
        </is>
      </c>
      <c r="P30" s="18" t="inlineStr">
        <is>
          <t>A gateway is a node that connects two networks, and the default gateway is the router address a device uses to reach anything outside its own subnet.</t>
        </is>
      </c>
      <c r="Q30" s="17" t="n"/>
      <c r="R30" s="18" t="inlineStr">
        <is>
          <t>A device compares a destination with its own subnet. If it is outside, the frame goes to the gateway's MAC address. In clouds, internet gateways and NAT gateways play this role for private networks. API gateways are a different idea, where a service fronts many APIs. Wrong gateways cause local traffic to work and outside traffic to fail.</t>
        </is>
      </c>
      <c r="S30" s="18" t="inlineStr">
        <is>
          <t>The gateway is the door to everything outside your own network.</t>
        </is>
      </c>
      <c r="T30" s="18" t="inlineStr">
        <is>
          <t>A gateway is the front gate of a compound where traffic passes.</t>
        </is>
      </c>
      <c r="U30" s="18" t="inlineStr">
        <is>
          <t>Destination outside subnet → send to gateway.</t>
        </is>
      </c>
      <c r="V30" s="18" t="inlineStr">
        <is>
          <t>192.168.1.1 as a home gateway.</t>
        </is>
      </c>
      <c r="W30" s="18" t="inlineStr">
        <is>
          <t>A cloud NAT gateway for private servers.</t>
        </is>
      </c>
      <c r="X30" s="18" t="inlineStr">
        <is>
          <t>An API gateway in front of microservices.</t>
        </is>
      </c>
      <c r="Y30" s="18" t="inlineStr">
        <is>
          <t>routers and switches, NAT, route tables, cloud gateways</t>
        </is>
      </c>
      <c r="Z30" s="18" t="inlineStr">
        <is>
          <t>gateway, default route, next hop, subnet, boundary</t>
        </is>
      </c>
      <c r="AA30" s="18" t="inlineStr">
        <is>
          <t>Home networks | Cloud | Troubleshooting</t>
        </is>
      </c>
      <c r="AB30" s="18" t="inlineStr">
        <is>
          <t>A: I can ping local servers but not the internet. | B: The default gateway may be wrong.</t>
        </is>
      </c>
      <c r="AC30" s="18" t="inlineStr">
        <is>
          <t>✗ An API gateway and a network gateway are the same → ✓ An API gateway manages API traffic, a network gateway routes between networks</t>
        </is>
      </c>
      <c r="AD30" s="18" t="inlineStr">
        <is>
          <t>Default gateway vs API gateway: one routes packets out, the other manages API calls.</t>
        </is>
      </c>
      <c r="AE30" s="18" t="inlineStr">
        <is>
          <t>Do not set a gateway outside the local subnet.</t>
        </is>
      </c>
      <c r="AF30" s="18" t="inlineStr">
        <is>
          <t>Local works, outside fails, check the gateway.</t>
        </is>
      </c>
      <c r="AG30" s="18" t="inlineStr">
        <is>
          <t>Correcting a wrong gateway setting on a new server that could reach nothing outside.</t>
        </is>
      </c>
      <c r="AH30" s="18" t="inlineStr">
        <is>
          <t>An interviewer may ask: What is a default gateway?</t>
        </is>
      </c>
      <c r="AI30" s="18" t="inlineStr">
        <is>
          <t>It is like the front gate of a compound.</t>
        </is>
      </c>
      <c r="AJ30" s="18" t="inlineStr">
        <is>
          <t>Where does a device send traffic for another subnet?</t>
        </is>
      </c>
      <c r="AK30" s="18" t="inlineStr">
        <is>
          <t>A) The printer B) The default gateway C) The DNS server D) The switch</t>
        </is>
      </c>
      <c r="AL30" s="18" t="inlineStr">
        <is>
          <t>B</t>
        </is>
      </c>
      <c r="AM30" s="18" t="inlineStr">
        <is>
          <t>The gateway forwards traffic outside the subnet.</t>
        </is>
      </c>
      <c r="AN30" s="18" t="inlineStr">
        <is>
          <t>The route used when nothing else matches is the ____ route → default</t>
        </is>
      </c>
      <c r="AO30" s="18" t="inlineStr">
        <is>
          <t>Local pings work, internet pings fail. What do you check? → The default gateway</t>
        </is>
      </c>
      <c r="AP30" s="18" t="inlineStr">
        <is>
          <t>Explain a gateway in three lines.</t>
        </is>
      </c>
      <c r="AQ30" s="18" t="inlineStr">
        <is>
          <t>Write how a device decides whether to use the gateway.</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94.5" customHeight="1">
      <c r="A31" s="17" t="inlineStr">
        <is>
          <t>NET-029</t>
        </is>
      </c>
      <c r="B31" s="17" t="inlineStr">
        <is>
          <t>05 Network Security</t>
        </is>
      </c>
      <c r="C31" s="17" t="inlineStr">
        <is>
          <t>Intermediate</t>
        </is>
      </c>
      <c r="D31" s="17" t="n">
        <v>29</v>
      </c>
      <c r="E31" s="17" t="inlineStr">
        <is>
          <t>Claude knowledge</t>
        </is>
      </c>
      <c r="F31" s="18" t="inlineStr">
        <is>
          <t>Zero trust</t>
        </is>
      </c>
      <c r="G31" s="18" t="inlineStr">
        <is>
          <t>Which security model treats no user or device as trusted just because of its network location?</t>
        </is>
      </c>
      <c r="H31" s="18" t="inlineStr">
        <is>
          <t>Core concept</t>
        </is>
      </c>
      <c r="I31" s="18" t="inlineStr">
        <is>
          <t>High</t>
        </is>
      </c>
      <c r="J31" s="18" t="n">
        <v>4</v>
      </c>
      <c r="K31" s="18" t="inlineStr">
        <is>
          <t>Attackers who got inside a network could move freely, so security shifted from trusting the inside to checking every request.</t>
        </is>
      </c>
      <c r="L31" s="18" t="inlineStr">
        <is>
          <t>Verify identity, device health and permission for every access, not just at the edge.</t>
        </is>
      </c>
      <c r="M31" s="18" t="inlineStr">
        <is>
          <t>Zero trust is a building where every door has its own lock and a guard checks you at each one.</t>
        </is>
      </c>
      <c r="N31" s="18" t="inlineStr">
        <is>
          <t>Many small checkpoints between each user and each service.</t>
        </is>
      </c>
      <c r="O31" s="18" t="inlineStr">
        <is>
          <t>The confidence of access that is checked at every step.</t>
        </is>
      </c>
      <c r="P31" s="18" t="inlineStr">
        <is>
          <t>Zero trust is a model where every request is authenticated, authorised and checked regardless of whether it comes from inside or outside the network.</t>
        </is>
      </c>
      <c r="Q31" s="17" t="n"/>
      <c r="R31" s="18" t="inlineStr">
        <is>
          <t>Instead of one strong wall and a soft inside, access is granted per resource using identity, device state and context. Network segments are small, and services talk through verified, encrypted paths. Least privilege and continuous monitoring support it. Zero trust is an approach, not a single product.</t>
        </is>
      </c>
      <c r="S31" s="18" t="inlineStr">
        <is>
          <t>Never trust a request just because it is on the internal network.</t>
        </is>
      </c>
      <c r="T31" s="18" t="inlineStr">
        <is>
          <t>Zero trust is a building where every door has its own lock and a guard.</t>
        </is>
      </c>
      <c r="U31" s="18" t="inlineStr">
        <is>
          <t>Verify identity + device + context for every request.</t>
        </is>
      </c>
      <c r="V31" s="18" t="inlineStr">
        <is>
          <t>Access to an app only after sign-in and device check.</t>
        </is>
      </c>
      <c r="W31" s="18" t="inlineStr">
        <is>
          <t>Services using mutual TLS inside the network.</t>
        </is>
      </c>
      <c r="X31" s="18" t="inlineStr">
        <is>
          <t>Short sessions that need re-authentication.</t>
        </is>
      </c>
      <c r="Y31" s="18" t="inlineStr">
        <is>
          <t>firewalls, VPN, least privilege, mutual TLS</t>
        </is>
      </c>
      <c r="Z31" s="18" t="inlineStr">
        <is>
          <t>zero trust, identity, segmentation, verify, context</t>
        </is>
      </c>
      <c r="AA31" s="18" t="inlineStr">
        <is>
          <t>Modern enterprises | Cloud security | Remote work</t>
        </is>
      </c>
      <c r="AB31" s="18" t="inlineStr">
        <is>
          <t>A: It is on the internal network, so it is safe. | B: Zero trust says to verify it anyway.</t>
        </is>
      </c>
      <c r="AC31" s="18" t="inlineStr">
        <is>
          <t>✗ Zero trust means buying one special product → ✓ It is an approach made of many controls working together</t>
        </is>
      </c>
      <c r="AD31" s="18" t="inlineStr">
        <is>
          <t>Perimeter vs zero trust: perimeter trusts the inside, zero trust verifies everywhere.</t>
        </is>
      </c>
      <c r="AE31" s="18" t="inlineStr">
        <is>
          <t>Do not treat internal traffic as automatically safe.</t>
        </is>
      </c>
      <c r="AF31" s="18" t="inlineStr">
        <is>
          <t>Never trust, always verify, every request.</t>
        </is>
      </c>
      <c r="AG31" s="18" t="inlineStr">
        <is>
          <t>Replacing a flat VPN with per-application access checks for contractors.</t>
        </is>
      </c>
      <c r="AH31" s="18" t="inlineStr">
        <is>
          <t>An interviewer may ask: How is zero trust different from a VPN-based perimeter?</t>
        </is>
      </c>
      <c r="AI31" s="18" t="inlineStr">
        <is>
          <t>It is like a lock and a guard on every door.</t>
        </is>
      </c>
      <c r="AJ31" s="18" t="inlineStr">
        <is>
          <t>What does zero trust assume?</t>
        </is>
      </c>
      <c r="AK31" s="18" t="inlineStr">
        <is>
          <t>A) Passwords are optional B) The inside is safe C) VPN is enough D) No request is trusted by location alone</t>
        </is>
      </c>
      <c r="AL31" s="18" t="inlineStr">
        <is>
          <t>D</t>
        </is>
      </c>
      <c r="AM31" s="18" t="inlineStr">
        <is>
          <t>Each request must be verified.</t>
        </is>
      </c>
      <c r="AN31" s="18" t="inlineStr">
        <is>
          <t>Splitting a network into small zones is called ____ → segmentation</t>
        </is>
      </c>
      <c r="AO31" s="18" t="inlineStr">
        <is>
          <t>A contractor needs one app only. What does zero trust suggest? → Grant access to that app only, per request</t>
        </is>
      </c>
      <c r="AP31" s="18" t="inlineStr">
        <is>
          <t>Explain zero trust in three lines.</t>
        </is>
      </c>
      <c r="AQ31" s="18" t="inlineStr">
        <is>
          <t>List three checks in a zero trust access decision.</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108" customHeight="1">
      <c r="A32" s="17" t="inlineStr">
        <is>
          <t>NET-030</t>
        </is>
      </c>
      <c r="B32" s="17" t="inlineStr">
        <is>
          <t>05 Network Security</t>
        </is>
      </c>
      <c r="C32" s="17" t="inlineStr">
        <is>
          <t>Advanced</t>
        </is>
      </c>
      <c r="D32" s="17" t="n">
        <v>30</v>
      </c>
      <c r="E32" s="17" t="inlineStr">
        <is>
          <t>Claude knowledge</t>
        </is>
      </c>
      <c r="F32" s="18" t="inlineStr">
        <is>
          <t>TLS inspection</t>
        </is>
      </c>
      <c r="G32" s="18" t="inlineStr">
        <is>
          <t>How do some organisations decrypt and inspect encrypted traffic, and what are the risks?</t>
        </is>
      </c>
      <c r="H32" s="18" t="inlineStr">
        <is>
          <t>Core concept</t>
        </is>
      </c>
      <c r="I32" s="18" t="inlineStr">
        <is>
          <t>Medium</t>
        </is>
      </c>
      <c r="J32" s="18" t="n">
        <v>3</v>
      </c>
      <c r="K32" s="18" t="inlineStr">
        <is>
          <t>Encrypted traffic hides threats from security tools, so some networks decrypt it at a gateway and inspect it before re-encrypting.</t>
        </is>
      </c>
      <c r="L32" s="18" t="inlineStr">
        <is>
          <t>If an app fails only on a customer's network, suspect TLS inspection replacing the certificate.</t>
        </is>
      </c>
      <c r="M32" s="18" t="inlineStr">
        <is>
          <t>TLS inspection is a mail room that opens, reads and reseals every envelope with its own stamp.</t>
        </is>
      </c>
      <c r="N32" s="18" t="inlineStr">
        <is>
          <t>A proxy sitting in the middle of a client and a server with two separate TLS connections.</t>
        </is>
      </c>
      <c r="O32" s="18" t="inlineStr">
        <is>
          <t>The recognition of why a certificate looked different on a customer network.</t>
        </is>
      </c>
      <c r="P32" s="18" t="inlineStr">
        <is>
          <t>TLS inspection is when a network device terminates the client's TLS connection, inspects the content, and opens a new TLS connection to the server, presenting its own certificate to the client.</t>
        </is>
      </c>
      <c r="Q32" s="17" t="n"/>
      <c r="R32" s="18" t="inlineStr">
        <is>
          <t>The client must trust the inspecting device's authority certificate, usually installed by the organisation on managed devices. Tools that use their own certificate store can fail with trust errors. Pinned certificates break completely. Inspection raises privacy and security concerns, so sensitive categories are often excluded.</t>
        </is>
      </c>
      <c r="S32" s="18" t="inlineStr">
        <is>
          <t>A middle device decrypts and re-encrypts traffic, and clients must trust its certificate.</t>
        </is>
      </c>
      <c r="T32" s="18" t="inlineStr">
        <is>
          <t>It is a mail room that opens, reads and reseals every envelope.</t>
        </is>
      </c>
      <c r="U32" s="18" t="inlineStr">
        <is>
          <t>Two TLS sessions with an inspector in between.</t>
        </is>
      </c>
      <c r="V32" s="18" t="inlineStr">
        <is>
          <t>A browser showing a company-issued certificate for a public site.</t>
        </is>
      </c>
      <c r="W32" s="18" t="inlineStr">
        <is>
          <t>A command line tool failing with unknown authority.</t>
        </is>
      </c>
      <c r="X32" s="18" t="inlineStr">
        <is>
          <t>An app with pinned certificates refusing to connect.</t>
        </is>
      </c>
      <c r="Y32" s="18" t="inlineStr">
        <is>
          <t>HTTPS and TLS, certificates, proxies, curl -v</t>
        </is>
      </c>
      <c r="Z32" s="18" t="inlineStr">
        <is>
          <t>inspection, interception, trust store, pinning, authority</t>
        </is>
      </c>
      <c r="AA32" s="18" t="inlineStr">
        <is>
          <t>Corporate networks | Customer sites | Security tools</t>
        </is>
      </c>
      <c r="AB32" s="18" t="inlineStr">
        <is>
          <t>A: Our tool fails with a certificate error only at the customer. | B: Their proxy inspects TLS, so add their authority.</t>
        </is>
      </c>
      <c r="AC32" s="18" t="inlineStr">
        <is>
          <t>✗ A different certificate always means an attack → ✓ It may be legitimate company inspection, but you must confirm</t>
        </is>
      </c>
      <c r="AD32" s="18" t="inlineStr">
        <is>
          <t>End-to-end TLS vs inspected TLS: one is a single session, the other is split in two.</t>
        </is>
      </c>
      <c r="AE32" s="18" t="inlineStr">
        <is>
          <t>Do not disable verification instead of trusting the right authority.</t>
        </is>
      </c>
      <c r="AF32" s="18" t="inlineStr">
        <is>
          <t>Unexpected issuer means check for inspection.</t>
        </is>
      </c>
      <c r="AG32" s="18" t="inlineStr">
        <is>
          <t>Installing a customer's inspection authority into the tool's trust store.</t>
        </is>
      </c>
      <c r="AH32" s="18" t="inlineStr">
        <is>
          <t>An interviewer may ask: Why might a tool fail on a corporate network?</t>
        </is>
      </c>
      <c r="AI32" s="18" t="inlineStr">
        <is>
          <t>It is like a mail room that reseals envelopes.</t>
        </is>
      </c>
      <c r="AJ32" s="18" t="inlineStr">
        <is>
          <t>What must clients trust for inspection to work cleanly?</t>
        </is>
      </c>
      <c r="AK32" s="18" t="inlineStr">
        <is>
          <t>A) The inspector's authority certificate B) A bigger server C) A new DNS D) A new browser</t>
        </is>
      </c>
      <c r="AL32" s="18" t="inlineStr">
        <is>
          <t>A</t>
        </is>
      </c>
      <c r="AM32" s="18" t="inlineStr">
        <is>
          <t>The inspector signs certificates with its own authority.</t>
        </is>
      </c>
      <c r="AN32" s="18" t="inlineStr">
        <is>
          <t>Fixing a certificate to one expected value is called ____ → pinning</t>
        </is>
      </c>
      <c r="AO32" s="18" t="inlineStr">
        <is>
          <t>A tool fails only on a customer network with an unknown authority error. What is likely? → TLS inspection</t>
        </is>
      </c>
      <c r="AP32" s="18" t="inlineStr">
        <is>
          <t>Explain TLS inspection in three lines.</t>
        </is>
      </c>
      <c r="AQ32" s="18" t="inlineStr">
        <is>
          <t>List the steps to make a tool trust a customer's inspection authority.</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108" customHeight="1">
      <c r="A33" s="17" t="inlineStr">
        <is>
          <t>NET-031</t>
        </is>
      </c>
      <c r="B33" s="17" t="inlineStr">
        <is>
          <t>05 Network Security</t>
        </is>
      </c>
      <c r="C33" s="17" t="inlineStr">
        <is>
          <t>Intermediate</t>
        </is>
      </c>
      <c r="D33" s="17" t="n">
        <v>31</v>
      </c>
      <c r="E33" s="17" t="inlineStr">
        <is>
          <t>Claude knowledge</t>
        </is>
      </c>
      <c r="F33" s="18" t="inlineStr">
        <is>
          <t>Allow-lists</t>
        </is>
      </c>
      <c r="G33" s="18" t="inlineStr">
        <is>
          <t>Which approach permits only known addresses or names and blocks everything else?</t>
        </is>
      </c>
      <c r="H33" s="18" t="inlineStr">
        <is>
          <t>Core concept</t>
        </is>
      </c>
      <c r="I33" s="18" t="inlineStr">
        <is>
          <t>High</t>
        </is>
      </c>
      <c r="J33" s="18" t="n">
        <v>4</v>
      </c>
      <c r="K33" s="18" t="inlineStr">
        <is>
          <t>Block lists never keep up with new threats, so strict environments list what is allowed instead of what is forbidden.</t>
        </is>
      </c>
      <c r="L33" s="18" t="inlineStr">
        <is>
          <t>Document why each entry exists and who owns it, so lists do not rot.</t>
        </is>
      </c>
      <c r="M33" s="18" t="inlineStr">
        <is>
          <t>An allow-list is a guest list at the door, and anyone not on it stays outside.</t>
        </is>
      </c>
      <c r="N33" s="18" t="inlineStr">
        <is>
          <t>A list of approved addresses beside a closed gate.</t>
        </is>
      </c>
      <c r="O33" s="18" t="inlineStr">
        <is>
          <t>The tidy feeling of knowing exactly what may connect.</t>
        </is>
      </c>
      <c r="P33" s="18" t="inlineStr">
        <is>
          <t>An allow-list permits only listed addresses, domains, ports or applications, and denies everything not on the list.</t>
        </is>
      </c>
      <c r="Q33" s="17" t="n"/>
      <c r="R33" s="18" t="inlineStr">
        <is>
          <t>Outbound allow-lists limit which sites a server can call, which stops data theft and malware calls. Inbound allow-lists limit who may reach a service, such as an office address range for a database. Lists by IP break when providers change addresses, so name-based or service-based rules may suit better. Reviews remove stale entries.</t>
        </is>
      </c>
      <c r="S33" s="18" t="inlineStr">
        <is>
          <t>Permit only what is known and needed, and review the list often.</t>
        </is>
      </c>
      <c r="T33" s="18" t="inlineStr">
        <is>
          <t>An allow-list is a guest list at the door.</t>
        </is>
      </c>
      <c r="U33" s="18" t="inlineStr">
        <is>
          <t>Not on the list = blocked.</t>
        </is>
      </c>
      <c r="V33" s="18" t="inlineStr">
        <is>
          <t>A database allowing only the app subnet.</t>
        </is>
      </c>
      <c r="W33" s="18" t="inlineStr">
        <is>
          <t>A server permitted to call one payment API only.</t>
        </is>
      </c>
      <c r="X33" s="18" t="inlineStr">
        <is>
          <t>A customer sharing a list of source addresses for our service.</t>
        </is>
      </c>
      <c r="Y33" s="18" t="inlineStr">
        <is>
          <t>firewalls, security groups, least privilege, proxies</t>
        </is>
      </c>
      <c r="Z33" s="18" t="inlineStr">
        <is>
          <t>allow-list, deny-list, entry, egress, ingress</t>
        </is>
      </c>
      <c r="AA33" s="18" t="inlineStr">
        <is>
          <t>Customer networks | Cloud | Compliance</t>
        </is>
      </c>
      <c r="AB33" s="18" t="inlineStr">
        <is>
          <t>A: The customer needs our source IPs. | B: Give them our NAT address so they can add it to their allow-list.</t>
        </is>
      </c>
      <c r="AC33" s="18" t="inlineStr">
        <is>
          <t>✗ Allow-lists are set once and then fine forever → ✓ Addresses change and entries go stale, so they need reviews</t>
        </is>
      </c>
      <c r="AD33" s="18" t="inlineStr">
        <is>
          <t>Allow-list vs deny-list: allow-lists block by default, deny-lists allow by default.</t>
        </is>
      </c>
      <c r="AE33" s="18" t="inlineStr">
        <is>
          <t>Do not leave unexplained entries in a list.</t>
        </is>
      </c>
      <c r="AF33" s="18" t="inlineStr">
        <is>
          <t>Guest list in, everyone else out.</t>
        </is>
      </c>
      <c r="AG33" s="18" t="inlineStr">
        <is>
          <t>Giving a customer a fixed NAT address so they could allow-list our service.</t>
        </is>
      </c>
      <c r="AH33" s="18" t="inlineStr">
        <is>
          <t>An interviewer may ask: Why is an allow-list safer than a deny-list?</t>
        </is>
      </c>
      <c r="AI33" s="18" t="inlineStr">
        <is>
          <t>It is like a guest list at the door.</t>
        </is>
      </c>
      <c r="AJ33" s="18" t="inlineStr">
        <is>
          <t>What happens to traffic not on an allow-list?</t>
        </is>
      </c>
      <c r="AK33" s="18" t="inlineStr">
        <is>
          <t>A) It is allowed B) It is encrypted C) It is blocked D) It is logged only</t>
        </is>
      </c>
      <c r="AL33" s="18" t="inlineStr">
        <is>
          <t>C</t>
        </is>
      </c>
      <c r="AM33" s="18" t="inlineStr">
        <is>
          <t>Everything not listed is denied.</t>
        </is>
      </c>
      <c r="AN33" s="18" t="inlineStr">
        <is>
          <t>Rules limiting traffic leaving a network are called ____ rules → egress</t>
        </is>
      </c>
      <c r="AO33" s="18" t="inlineStr">
        <is>
          <t>A customer wants only our service to reach their API. What do they use? → An allow-list of our addresses</t>
        </is>
      </c>
      <c r="AP33" s="18" t="inlineStr">
        <is>
          <t>Explain allow-lists in three lines.</t>
        </is>
      </c>
      <c r="AQ33" s="18" t="inlineStr">
        <is>
          <t>List what you should record for each entry.</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108" customHeight="1">
      <c r="A34" s="17" t="inlineStr">
        <is>
          <t>NET-032</t>
        </is>
      </c>
      <c r="B34" s="17" t="inlineStr">
        <is>
          <t>05 Network Security</t>
        </is>
      </c>
      <c r="C34" s="17" t="inlineStr">
        <is>
          <t>Advanced</t>
        </is>
      </c>
      <c r="D34" s="17" t="n">
        <v>32</v>
      </c>
      <c r="E34" s="17" t="inlineStr">
        <is>
          <t>Claude knowledge</t>
        </is>
      </c>
      <c r="F34" s="18" t="inlineStr">
        <is>
          <t>Bastion hosts</t>
        </is>
      </c>
      <c r="G34" s="18" t="inlineStr">
        <is>
          <t>Which hardened server acts as the single entry point into a private network?</t>
        </is>
      </c>
      <c r="H34" s="18" t="inlineStr">
        <is>
          <t>Core concept</t>
        </is>
      </c>
      <c r="I34" s="18" t="inlineStr">
        <is>
          <t>Medium</t>
        </is>
      </c>
      <c r="J34" s="18" t="n">
        <v>4</v>
      </c>
      <c r="K34" s="18" t="inlineStr">
        <is>
          <t>Exposing every private server to SSH is dangerous, so one carefully protected host is used as the only door in.</t>
        </is>
      </c>
      <c r="L34" s="18" t="inlineStr">
        <is>
          <t>Prefer session managers or just-in-time access to a permanent open bastion.</t>
        </is>
      </c>
      <c r="M34" s="18" t="inlineStr">
        <is>
          <t>A bastion is the castle gatehouse, strong, watched and the only way in.</t>
        </is>
      </c>
      <c r="N34" s="18" t="inlineStr">
        <is>
          <t>One server in a public subnet leading to servers in a private subnet.</t>
        </is>
      </c>
      <c r="O34" s="18" t="inlineStr">
        <is>
          <t>The calm of one door to guard instead of many.</t>
        </is>
      </c>
      <c r="P34" s="18" t="inlineStr">
        <is>
          <t>A bastion host is a hardened, tightly monitored server in a public subnet that administrators connect to first, in order to reach private servers.</t>
        </is>
      </c>
      <c r="Q34" s="17" t="n"/>
      <c r="R34" s="18" t="inlineStr">
        <is>
          <t>Only the bastion accepts SSH from the internet, and only from allowed addresses. Private servers accept SSH only from the bastion. Access is logged and uses keys with multi-factor authentication. Modern alternatives include session managers, identity-aware proxies and just-in-time access, which avoid a permanently exposed port.</t>
        </is>
      </c>
      <c r="S34" s="18" t="inlineStr">
        <is>
          <t>Connect to one guarded host, and jump from there to private servers.</t>
        </is>
      </c>
      <c r="T34" s="18" t="inlineStr">
        <is>
          <t>A bastion is the castle gatehouse, strong, watched and the only way in.</t>
        </is>
      </c>
      <c r="U34" s="18" t="inlineStr">
        <is>
          <t>Internet → bastion → private servers.</t>
        </is>
      </c>
      <c r="V34" s="18" t="inlineStr">
        <is>
          <t>SSH to a bastion and then to a database host.</t>
        </is>
      </c>
      <c r="W34" s="18" t="inlineStr">
        <is>
          <t>ProxyJump configured in an SSH config file.</t>
        </is>
      </c>
      <c r="X34" s="18" t="inlineStr">
        <is>
          <t>A session manager replacing the bastion.</t>
        </is>
      </c>
      <c r="Y34" s="18" t="inlineStr">
        <is>
          <t>SSH tunnels, security groups, least privilege, zero trust</t>
        </is>
      </c>
      <c r="Z34" s="18" t="inlineStr">
        <is>
          <t>bastion, jump host, ProxyJump, hardened, audit</t>
        </is>
      </c>
      <c r="AA34" s="18" t="inlineStr">
        <is>
          <t>Cloud admin | Private networks | Audits</t>
        </is>
      </c>
      <c r="AB34" s="18" t="inlineStr">
        <is>
          <t>A: How do we reach the private database server? | B: Through the bastion with ProxyJump.</t>
        </is>
      </c>
      <c r="AC34" s="18" t="inlineStr">
        <is>
          <t>✗ A bastion host can be a normal general-purpose server → ✓ It must be minimal, hardened and monitored</t>
        </is>
      </c>
      <c r="AD34" s="18" t="inlineStr">
        <is>
          <t>Bastion vs session manager: a bastion needs an open port, a session manager does not.</t>
        </is>
      </c>
      <c r="AE34" s="18" t="inlineStr">
        <is>
          <t>Do not run other services on a bastion.</t>
        </is>
      </c>
      <c r="AF34" s="18" t="inlineStr">
        <is>
          <t>One guarded gate, then the inner rooms.</t>
        </is>
      </c>
      <c r="AG34" s="18" t="inlineStr">
        <is>
          <t>Replacing a bastion with a session manager to close the last public SSH port.</t>
        </is>
      </c>
      <c r="AH34" s="18" t="inlineStr">
        <is>
          <t>An interviewer may ask: How do you give admins access to private servers?</t>
        </is>
      </c>
      <c r="AI34" s="18" t="inlineStr">
        <is>
          <t>It is like a castle gatehouse.</t>
        </is>
      </c>
      <c r="AJ34" s="18" t="inlineStr">
        <is>
          <t>Where does a bastion usually live?</t>
        </is>
      </c>
      <c r="AK34" s="18" t="inlineStr">
        <is>
          <t>A) Inside the database B) A public subnet C) A private subnet only D) On a laptop</t>
        </is>
      </c>
      <c r="AL34" s="18" t="inlineStr">
        <is>
          <t>B</t>
        </is>
      </c>
      <c r="AM34" s="18" t="inlineStr">
        <is>
          <t>It must be reachable from outside.</t>
        </is>
      </c>
      <c r="AN34" s="18" t="inlineStr">
        <is>
          <t>SSH can hop through a bastion with the option Proxy____ → Jump</t>
        </is>
      </c>
      <c r="AO34" s="18" t="inlineStr">
        <is>
          <t>Admins need access to private servers with one exposed door. What do you build? → A bastion host</t>
        </is>
      </c>
      <c r="AP34" s="18" t="inlineStr">
        <is>
          <t>Explain a bastion host in three lines.</t>
        </is>
      </c>
      <c r="AQ34" s="18" t="inlineStr">
        <is>
          <t>Write the firewall rules for a bastion and a private server.</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row r="35" ht="108" customHeight="1">
      <c r="A35" s="17" t="inlineStr">
        <is>
          <t>NET-033</t>
        </is>
      </c>
      <c r="B35" s="17" t="inlineStr">
        <is>
          <t>05 Network Security</t>
        </is>
      </c>
      <c r="C35" s="17" t="inlineStr">
        <is>
          <t>Intermediate</t>
        </is>
      </c>
      <c r="D35" s="17" t="n">
        <v>33</v>
      </c>
      <c r="E35" s="17" t="inlineStr">
        <is>
          <t>Claude knowledge</t>
        </is>
      </c>
      <c r="F35" s="18" t="inlineStr">
        <is>
          <t>SSH tunnels</t>
        </is>
      </c>
      <c r="G35" s="18" t="inlineStr">
        <is>
          <t>How can you reach a private service securely through an SSH connection?</t>
        </is>
      </c>
      <c r="H35" s="18" t="inlineStr">
        <is>
          <t>Core concept</t>
        </is>
      </c>
      <c r="I35" s="18" t="inlineStr">
        <is>
          <t>High</t>
        </is>
      </c>
      <c r="J35" s="18" t="n">
        <v>4</v>
      </c>
      <c r="K35" s="18" t="inlineStr">
        <is>
          <t>Some services have no safe public access, so SSH can carry their traffic through an encrypted tunnel.</t>
        </is>
      </c>
      <c r="L35" s="18" t="inlineStr">
        <is>
          <t>Use a local forward to reach a private database from your laptop for a short task.</t>
        </is>
      </c>
      <c r="M35" s="18" t="inlineStr">
        <is>
          <t>An SSH tunnel is a pipe laid inside an encrypted cable.</t>
        </is>
      </c>
      <c r="N35" s="18" t="inlineStr">
        <is>
          <t>A local port on a laptop leading through a server to a private database.</t>
        </is>
      </c>
      <c r="O35" s="18" t="inlineStr">
        <is>
          <t>The satisfaction of reaching a hidden service with one command.</t>
        </is>
      </c>
      <c r="P35" s="18" t="inlineStr">
        <is>
          <t>An SSH tunnel forwards a local or remote port through an encrypted SSH connection, so traffic reaches a service on the far side.</t>
        </is>
      </c>
      <c r="Q35" s="17" t="n"/>
      <c r="R35" s="18" t="inlineStr">
        <is>
          <t>A local forward opens a port on your machine, such as 5433, and sends connections through the SSH server to a target like db.internal:5432. A remote forward does the reverse. Dynamic forwarding makes a SOCKS proxy. Tunnels are handy for debugging but can bypass controls, so teams should know when they are used and avoid leaving them open.</t>
        </is>
      </c>
      <c r="S35" s="18" t="inlineStr">
        <is>
          <t>ssh -L opens a local port that leads through the server to a private service.</t>
        </is>
      </c>
      <c r="T35" s="18" t="inlineStr">
        <is>
          <t>An SSH tunnel is a pipe laid inside an encrypted cable.</t>
        </is>
      </c>
      <c r="U35" s="18" t="inlineStr">
        <is>
          <t>Local port → SSH server → target host and port.</t>
        </is>
      </c>
      <c r="V35" s="18" t="inlineStr">
        <is>
          <t>ssh -L 5433:db.internal:5432 bastion</t>
        </is>
      </c>
      <c r="W35" s="18" t="inlineStr">
        <is>
          <t>A remote forward exposing a local web app temporarily.</t>
        </is>
      </c>
      <c r="X35" s="18" t="inlineStr">
        <is>
          <t>ssh -D 1080 for a SOCKS proxy.</t>
        </is>
      </c>
      <c r="Y35" s="18" t="inlineStr">
        <is>
          <t>bastion hosts, ports, VPN, SSH keys</t>
        </is>
      </c>
      <c r="Z35" s="18" t="inlineStr">
        <is>
          <t>tunnel, forward, local, remote, SOCKS</t>
        </is>
      </c>
      <c r="AA35" s="18" t="inlineStr">
        <is>
          <t>Debugging | Private access | Temporary access</t>
        </is>
      </c>
      <c r="AB35" s="18" t="inlineStr">
        <is>
          <t>A: I need to query the private database now. | B: Open an SSH tunnel through the bastion.</t>
        </is>
      </c>
      <c r="AC35" s="18" t="inlineStr">
        <is>
          <t>✗ SSH tunnels are a permanent replacement for proper access → ✓ They suit short tasks, and long-term access should use managed paths</t>
        </is>
      </c>
      <c r="AD35" s="18" t="inlineStr">
        <is>
          <t>Local vs remote forward: local brings a remote service to you, remote exposes your service to them.</t>
        </is>
      </c>
      <c r="AE35" s="18" t="inlineStr">
        <is>
          <t>Do not leave tunnels open after finishing.</t>
        </is>
      </c>
      <c r="AF35" s="18" t="inlineStr">
        <is>
          <t>Dash L brings it local.</t>
        </is>
      </c>
      <c r="AG35" s="18" t="inlineStr">
        <is>
          <t>Opening a tunnel through a bastion to check data in a private database.</t>
        </is>
      </c>
      <c r="AH35" s="18" t="inlineStr">
        <is>
          <t>An interviewer may ask: How do you reach a private database from your laptop?</t>
        </is>
      </c>
      <c r="AI35" s="18" t="inlineStr">
        <is>
          <t>It is like a pipe inside a protected cable.</t>
        </is>
      </c>
      <c r="AJ35" s="18" t="inlineStr">
        <is>
          <t>Which option creates a local port forward?</t>
        </is>
      </c>
      <c r="AK35" s="18" t="inlineStr">
        <is>
          <t>A) -X B) -L C) -D D) -R</t>
        </is>
      </c>
      <c r="AL35" s="18" t="inlineStr">
        <is>
          <t>B</t>
        </is>
      </c>
      <c r="AM35" s="18" t="inlineStr">
        <is>
          <t>-L maps a local port to a remote target.</t>
        </is>
      </c>
      <c r="AN35" s="18" t="inlineStr">
        <is>
          <t>The option for a dynamic SOCKS proxy is -____ → D</t>
        </is>
      </c>
      <c r="AO35" s="18" t="inlineStr">
        <is>
          <t>You need to reach a private database briefly. What do you use? → An SSH local forward</t>
        </is>
      </c>
      <c r="AP35" s="18" t="inlineStr">
        <is>
          <t>Explain SSH tunnels in three lines.</t>
        </is>
      </c>
      <c r="AQ35" s="18" t="inlineStr">
        <is>
          <t>Write the command for a local forward to a private database.</t>
        </is>
      </c>
      <c r="AR35" s="17">
        <f>IF(J35="","",REPT("★",J35)&amp;REPT("☆",5-J35)&amp;" ("&amp;J35&amp;"/5)")</f>
        <v/>
      </c>
      <c r="AS35" s="17">
        <f>IF(Q35="","","Meaning: "&amp;Q35&amp;"  =  ______   (Answer: "&amp;F35&amp;")")</f>
        <v/>
      </c>
      <c r="AT35" s="17" t="inlineStr">
        <is>
          <t>New</t>
        </is>
      </c>
      <c r="AU35" s="17" t="n"/>
      <c r="AV35" s="17" t="n"/>
      <c r="AW35" s="17" t="n"/>
      <c r="AX35" s="17" t="n"/>
      <c r="AY35" s="17" t="n"/>
      <c r="AZ35" s="17" t="n"/>
      <c r="BA35" s="17" t="n"/>
      <c r="BB35" s="17" t="n"/>
    </row>
    <row r="36" ht="108" customHeight="1">
      <c r="A36" s="17" t="inlineStr">
        <is>
          <t>NET-034</t>
        </is>
      </c>
      <c r="B36" s="17" t="inlineStr">
        <is>
          <t>06 Troubleshooting</t>
        </is>
      </c>
      <c r="C36" s="17" t="inlineStr">
        <is>
          <t>Intermediate</t>
        </is>
      </c>
      <c r="D36" s="17" t="n">
        <v>34</v>
      </c>
      <c r="E36" s="17" t="inlineStr">
        <is>
          <t>Claude knowledge</t>
        </is>
      </c>
      <c r="F36" s="18" t="inlineStr">
        <is>
          <t>A troubleshooting method</t>
        </is>
      </c>
      <c r="G36" s="18" t="inlineStr">
        <is>
          <t>Which step-by-step approach finds a network problem without guessing?</t>
        </is>
      </c>
      <c r="H36" s="18" t="inlineStr">
        <is>
          <t>Practice</t>
        </is>
      </c>
      <c r="I36" s="18" t="inlineStr">
        <is>
          <t>Very high</t>
        </is>
      </c>
      <c r="J36" s="18" t="n">
        <v>5</v>
      </c>
      <c r="K36" s="18" t="inlineStr">
        <is>
          <t>Network faults have many possible causes, so engineers follow an ordered method that narrows them down one layer at a time.</t>
        </is>
      </c>
      <c r="L36" s="18" t="inlineStr">
        <is>
          <t>Change one thing at a time and write down what you tried.</t>
        </is>
      </c>
      <c r="M36" s="18" t="inlineStr">
        <is>
          <t>Troubleshooting is a doctor's routine of symptoms, tests, diagnosis and treatment.</t>
        </is>
      </c>
      <c r="N36" s="18" t="inlineStr">
        <is>
          <t>A flow from define the problem to test, isolate, fix and verify.</t>
        </is>
      </c>
      <c r="O36" s="18" t="inlineStr">
        <is>
          <t>The calm of following a routine under pressure.</t>
        </is>
      </c>
      <c r="P36" s="18" t="inlineStr">
        <is>
          <t>A troubleshooting method defines the problem, checks the layers from the bottom up or the top down, forms a hypothesis, tests it, fixes one thing and confirms the result.</t>
        </is>
      </c>
      <c r="Q36" s="17" t="n"/>
      <c r="R36" s="18" t="inlineStr">
        <is>
          <t>Start with what exactly fails, for whom and since when. Check the basics first: link, address, gateway, DNS and port. Compare a working case with the failing one, such as another client or another network. Use the right tool for each layer. Record findings so a colleague can continue. Verify the fix with the original user.</t>
        </is>
      </c>
      <c r="S36" s="18" t="inlineStr">
        <is>
          <t>Define, isolate, test one idea at a time, fix, and verify.</t>
        </is>
      </c>
      <c r="T36" s="18" t="inlineStr">
        <is>
          <t>Troubleshooting is a doctor's routine of symptoms, tests, diagnosis and treatment.</t>
        </is>
      </c>
      <c r="U36" s="18" t="inlineStr">
        <is>
          <t>Symptom → hypothesis → test → fix → verify.</t>
        </is>
      </c>
      <c r="V36" s="18" t="inlineStr">
        <is>
          <t>Testing the gateway, then DNS, then the port, in that order.</t>
        </is>
      </c>
      <c r="W36" s="18" t="inlineStr">
        <is>
          <t>Comparing a failing laptop with a working one.</t>
        </is>
      </c>
      <c r="X36" s="18" t="inlineStr">
        <is>
          <t>Writing a short incident note of steps tried.</t>
        </is>
      </c>
      <c r="Y36" s="18" t="inlineStr">
        <is>
          <t>OSI layers, ping, dig, curl -v</t>
        </is>
      </c>
      <c r="Z36" s="18" t="inlineStr">
        <is>
          <t>symptom, hypothesis, isolate, verify, baseline</t>
        </is>
      </c>
      <c r="AA36" s="18" t="inlineStr">
        <is>
          <t>Incidents | Customer support | Operations</t>
        </is>
      </c>
      <c r="AB36" s="18" t="inlineStr">
        <is>
          <t>A: Nothing works, restart everything. | B: Let us first check which layer fails.</t>
        </is>
      </c>
      <c r="AC36" s="18" t="inlineStr">
        <is>
          <t>✗ Changing several settings at once speeds up the fix → ✓ It hides which change helped and may cause new problems</t>
        </is>
      </c>
      <c r="AD36" s="18" t="inlineStr">
        <is>
          <t>Top-down vs bottom-up: one starts at the application, the other at the cable.</t>
        </is>
      </c>
      <c r="AE36" s="18" t="inlineStr">
        <is>
          <t>Do not change several things at once.</t>
        </is>
      </c>
      <c r="AF36" s="18" t="inlineStr">
        <is>
          <t>One change, one test, one note.</t>
        </is>
      </c>
      <c r="AG36" s="18" t="inlineStr">
        <is>
          <t>Following a layer checklist to show a customer that their DNS, not our service, failed.</t>
        </is>
      </c>
      <c r="AH36" s="18" t="inlineStr">
        <is>
          <t>An interviewer may ask: How do you troubleshoot a connectivity problem?</t>
        </is>
      </c>
      <c r="AI36" s="18" t="inlineStr">
        <is>
          <t>It is like a doctor working through symptoms.</t>
        </is>
      </c>
      <c r="AJ36" s="18" t="inlineStr">
        <is>
          <t>What is the first step in troubleshooting?</t>
        </is>
      </c>
      <c r="AK36" s="18" t="inlineStr">
        <is>
          <t>A) Change settings B) Reboot everything C) Define the exact problem D) Blame the user</t>
        </is>
      </c>
      <c r="AL36" s="18" t="inlineStr">
        <is>
          <t>C</t>
        </is>
      </c>
      <c r="AM36" s="18" t="inlineStr">
        <is>
          <t>A clear definition guides every later test.</t>
        </is>
      </c>
      <c r="AN36" s="18" t="inlineStr">
        <is>
          <t>A guess to be tested is called a ____ → hypothesis</t>
        </is>
      </c>
      <c r="AO36" s="18" t="inlineStr">
        <is>
          <t>A site fails for one user only. What do you compare first? → A working user and the failing one</t>
        </is>
      </c>
      <c r="AP36" s="18" t="inlineStr">
        <is>
          <t>Explain a troubleshooting routine in three lines.</t>
        </is>
      </c>
      <c r="AQ36" s="18" t="inlineStr">
        <is>
          <t>Write a checklist of five basic network checks in order.</t>
        </is>
      </c>
      <c r="AR36" s="17">
        <f>IF(J36="","",REPT("★",J36)&amp;REPT("☆",5-J36)&amp;" ("&amp;J36&amp;"/5)")</f>
        <v/>
      </c>
      <c r="AS36" s="17">
        <f>IF(Q36="","","Meaning: "&amp;Q36&amp;"  =  ______   (Answer: "&amp;F36&amp;")")</f>
        <v/>
      </c>
      <c r="AT36" s="17" t="inlineStr">
        <is>
          <t>New</t>
        </is>
      </c>
      <c r="AU36" s="17" t="n"/>
      <c r="AV36" s="17" t="n"/>
      <c r="AW36" s="17" t="n"/>
      <c r="AX36" s="17" t="n"/>
      <c r="AY36" s="17" t="n"/>
      <c r="AZ36" s="17" t="n"/>
      <c r="BA36" s="17" t="n"/>
      <c r="BB36" s="17" t="n"/>
    </row>
    <row r="37" ht="108" customHeight="1">
      <c r="A37" s="17" t="inlineStr">
        <is>
          <t>NET-041</t>
        </is>
      </c>
      <c r="B37" s="17" t="inlineStr">
        <is>
          <t>06 Troubleshooting</t>
        </is>
      </c>
      <c r="C37" s="17" t="inlineStr">
        <is>
          <t>Advanced</t>
        </is>
      </c>
      <c r="D37" s="17" t="n">
        <v>41</v>
      </c>
      <c r="E37" s="17" t="inlineStr">
        <is>
          <t>Claude knowledge</t>
        </is>
      </c>
      <c r="F37" s="18" t="inlineStr">
        <is>
          <t>Wireshark basics</t>
        </is>
      </c>
      <c r="G37" s="18" t="inlineStr">
        <is>
          <t>Which graphical tool lets you open and analyse packet captures?</t>
        </is>
      </c>
      <c r="H37" s="18" t="inlineStr">
        <is>
          <t>Tool</t>
        </is>
      </c>
      <c r="I37" s="18" t="inlineStr">
        <is>
          <t>Medium</t>
        </is>
      </c>
      <c r="J37" s="18" t="n">
        <v>3</v>
      </c>
      <c r="K37" s="18" t="inlineStr">
        <is>
          <t>Reading raw packet lists is hard, so a graphical analyser was made that decodes protocols and colours problems.</t>
        </is>
      </c>
      <c r="L37" s="18" t="inlineStr">
        <is>
          <t>Apply a display filter such as tcp.port == 443 to cut the noise.</t>
        </is>
      </c>
      <c r="M37" s="18" t="inlineStr">
        <is>
          <t>Wireshark is a translator that turns raw packets into readable sentences.</t>
        </is>
      </c>
      <c r="N37" s="18" t="inlineStr">
        <is>
          <t>Three panes showing packet list, details and raw bytes.</t>
        </is>
      </c>
      <c r="O37" s="18" t="inlineStr">
        <is>
          <t>The thrill of finding the exact malformed packet.</t>
        </is>
      </c>
      <c r="P37" s="18" t="inlineStr">
        <is>
          <t>Wireshark is a packet analyser that opens captures, decodes protocols layer by layer, and offers filters and tools to follow conversations.</t>
        </is>
      </c>
      <c r="Q37" s="17" t="n"/>
      <c r="R37" s="18" t="inlineStr">
        <is>
          <t>The main screen shows a list of packets, a tree of protocol layers and the raw bytes. Display filters such as ip.addr == 10.0.0.5 or http narrow the list. Follow TCP stream shows one conversation as text. Expert information flags retransmissions and resets. Capture filters limit what is recorded, while display filters limit what is shown.</t>
        </is>
      </c>
      <c r="S37" s="18" t="inlineStr">
        <is>
          <t>Open a capture, filter it, follow a stream, and read the expert warnings.</t>
        </is>
      </c>
      <c r="T37" s="18" t="inlineStr">
        <is>
          <t>Wireshark is a translator that turns raw packets into readable sentences.</t>
        </is>
      </c>
      <c r="U37" s="18" t="inlineStr">
        <is>
          <t>Capture filter limits recording. Display filter limits viewing.</t>
        </is>
      </c>
      <c r="V37" s="18" t="inlineStr">
        <is>
          <t>Filtering with dns to see only DNS traffic.</t>
        </is>
      </c>
      <c r="W37" s="18" t="inlineStr">
        <is>
          <t>Following a TCP stream to read an HTTP exchange.</t>
        </is>
      </c>
      <c r="X37" s="18" t="inlineStr">
        <is>
          <t>Spotting retransmissions in expert information.</t>
        </is>
      </c>
      <c r="Y37" s="18" t="inlineStr">
        <is>
          <t>tcpdump, TCP handshake, HTTP, TLS</t>
        </is>
      </c>
      <c r="Z37" s="18" t="inlineStr">
        <is>
          <t>capture, display filter, stream, dissector, expert</t>
        </is>
      </c>
      <c r="AA37" s="18" t="inlineStr">
        <is>
          <t>Deep troubleshooting | Training | Security analysis</t>
        </is>
      </c>
      <c r="AB37" s="18" t="inlineStr">
        <is>
          <t>A: The transfer is slow. | B: Wireshark shows many retransmissions on that stream.</t>
        </is>
      </c>
      <c r="AC37" s="18" t="inlineStr">
        <is>
          <t>✗ Wireshark can decrypt any HTTPS traffic → ✓ It needs the session keys to decrypt, otherwise only metadata is visible</t>
        </is>
      </c>
      <c r="AD37" s="18" t="inlineStr">
        <is>
          <t>Capture filter vs display filter: one limits recording, the other limits what you see.</t>
        </is>
      </c>
      <c r="AE37" s="18" t="inlineStr">
        <is>
          <t>Do not capture on production without permission.</t>
        </is>
      </c>
      <c r="AF37" s="18" t="inlineStr">
        <is>
          <t>Capture narrow first, then display narrower still.</t>
        </is>
      </c>
      <c r="AG37" s="18" t="inlineStr">
        <is>
          <t>Opening a capture to show a customer firewall resetting connections.</t>
        </is>
      </c>
      <c r="AH37" s="18" t="inlineStr">
        <is>
          <t>An interviewer may ask: What is the difference between a capture and a display filter?</t>
        </is>
      </c>
      <c r="AI37" s="18" t="inlineStr">
        <is>
          <t>It is like a translator for raw packets.</t>
        </is>
      </c>
      <c r="AJ37" s="18" t="inlineStr">
        <is>
          <t>Which feature shows one conversation as text?</t>
        </is>
      </c>
      <c r="AK37" s="18" t="inlineStr">
        <is>
          <t>A) Export B) Expert info C) Statistics D) Follow TCP stream</t>
        </is>
      </c>
      <c r="AL37" s="18" t="inlineStr">
        <is>
          <t>D</t>
        </is>
      </c>
      <c r="AM37" s="18" t="inlineStr">
        <is>
          <t>It reassembles the stream for reading.</t>
        </is>
      </c>
      <c r="AN37" s="18" t="inlineStr">
        <is>
          <t>A filter applied after capture is a ____ filter → display</t>
        </is>
      </c>
      <c r="AO37" s="18" t="inlineStr">
        <is>
          <t>A transfer is slow and you suspect packet loss. What do you look at? → Retransmissions in expert information</t>
        </is>
      </c>
      <c r="AP37" s="18" t="inlineStr">
        <is>
          <t>Explain how to use Wireshark in three lines.</t>
        </is>
      </c>
      <c r="AQ37" s="18" t="inlineStr">
        <is>
          <t>Write three display filters for a DNS problem.</t>
        </is>
      </c>
      <c r="AR37" s="17">
        <f>IF(J37="","",REPT("★",J37)&amp;REPT("☆",5-J37)&amp;" ("&amp;J37&amp;"/5)")</f>
        <v/>
      </c>
      <c r="AS37" s="17">
        <f>IF(Q37="","","Meaning: "&amp;Q37&amp;"  =  ______   (Answer: "&amp;F37&amp;")")</f>
        <v/>
      </c>
      <c r="AT37" s="17" t="inlineStr">
        <is>
          <t>New</t>
        </is>
      </c>
      <c r="AU37" s="17" t="n"/>
      <c r="AV37" s="17" t="n"/>
      <c r="AW37" s="17" t="n"/>
      <c r="AX37" s="17" t="n"/>
      <c r="AY37" s="17" t="n"/>
      <c r="AZ37" s="17" t="n"/>
      <c r="BA37" s="17" t="n"/>
      <c r="BB37" s="17" t="n"/>
    </row>
    <row r="38" ht="108" customHeight="1">
      <c r="A38" s="17" t="inlineStr">
        <is>
          <t>NET-043</t>
        </is>
      </c>
      <c r="B38" s="17" t="inlineStr">
        <is>
          <t>06 Troubleshooting</t>
        </is>
      </c>
      <c r="C38" s="17" t="inlineStr">
        <is>
          <t>Intermediate</t>
        </is>
      </c>
      <c r="D38" s="17" t="n">
        <v>43</v>
      </c>
      <c r="E38" s="17" t="inlineStr">
        <is>
          <t>Claude knowledge</t>
        </is>
      </c>
      <c r="F38" s="18" t="inlineStr">
        <is>
          <t>Timeouts vs connection refused</t>
        </is>
      </c>
      <c r="G38" s="18" t="inlineStr">
        <is>
          <t>Which two failures look similar but point to different causes?</t>
        </is>
      </c>
      <c r="H38" s="18" t="inlineStr">
        <is>
          <t>Practice</t>
        </is>
      </c>
      <c r="I38" s="18" t="inlineStr">
        <is>
          <t>Very high</t>
        </is>
      </c>
      <c r="J38" s="18" t="n">
        <v>5</v>
      </c>
      <c r="K38" s="18" t="inlineStr">
        <is>
          <t>Both errors mean no connection, but they have different meanings, so reading them correctly saves a lot of time.</t>
        </is>
      </c>
      <c r="L38" s="18" t="inlineStr">
        <is>
          <t>Refused means someone answered no, and timeout means nobody answered.</t>
        </is>
      </c>
      <c r="M38" s="18" t="inlineStr">
        <is>
          <t>Refused is a door slammed in your face, and timeout is knocking on a silent house.</t>
        </is>
      </c>
      <c r="N38" s="18" t="inlineStr">
        <is>
          <t>One arrow bouncing back with a reset and another arrow vanishing.</t>
        </is>
      </c>
      <c r="O38" s="18" t="inlineStr">
        <is>
          <t>The relief of knowing which layer to look at.</t>
        </is>
      </c>
      <c r="P38" s="18" t="inlineStr">
        <is>
          <t>Connection refused means the host replied with a reset because nothing listens on that port, while a timeout means no reply arrived at all.</t>
        </is>
      </c>
      <c r="Q38" s="17" t="n"/>
      <c r="R38" s="18" t="inlineStr">
        <is>
          <t>A refusal shows the host is reachable and the port is closed, or the service is not running or bound elsewhere. A timeout suggests a firewall dropping packets, a wrong address, a routing problem or a host that is down. Test from the same side as the client, since the path may differ. Tools such as nc, curl and tcpdump show which case you have.</t>
        </is>
      </c>
      <c r="S38" s="18" t="inlineStr">
        <is>
          <t>Refused means the host answered no. Timeout means silence.</t>
        </is>
      </c>
      <c r="T38" s="18" t="inlineStr">
        <is>
          <t>Refused is a door slammed in your face, and timeout is knocking on a silent house.</t>
        </is>
      </c>
      <c r="U38" s="18" t="inlineStr">
        <is>
          <t>Reset = refused. Silence = timeout.</t>
        </is>
      </c>
      <c r="V38" s="18" t="inlineStr">
        <is>
          <t>Connecting to a closed port and getting refused at once.</t>
        </is>
      </c>
      <c r="W38" s="18" t="inlineStr">
        <is>
          <t>Connecting through a firewall that drops packets and timing out.</t>
        </is>
      </c>
      <c r="X38" s="18" t="inlineStr">
        <is>
          <t>A service bound to localhost giving refused from outside.</t>
        </is>
      </c>
      <c r="Y38" s="18" t="inlineStr">
        <is>
          <t>TCP handshake, firewalls, ss, tcpdump</t>
        </is>
      </c>
      <c r="Z38" s="18" t="inlineStr">
        <is>
          <t>refused, timeout, reset, drop, reachable</t>
        </is>
      </c>
      <c r="AA38" s="18" t="inlineStr">
        <is>
          <t>Daily debugging | Incident calls | Firewall work</t>
        </is>
      </c>
      <c r="AB38" s="18" t="inlineStr">
        <is>
          <t>A: It says connection refused. | B: The host is reachable, so check that the service listens.</t>
        </is>
      </c>
      <c r="AC38" s="18" t="inlineStr">
        <is>
          <t>✗ A timeout always means the server is down → ✓ It can also mean a firewall silently drops packets</t>
        </is>
      </c>
      <c r="AD38" s="18" t="inlineStr">
        <is>
          <t>Refused vs timeout: refused is an answer, timeout is no answer.</t>
        </is>
      </c>
      <c r="AE38" s="18" t="inlineStr">
        <is>
          <t>Do not open firewall rules for a refused error.</t>
        </is>
      </c>
      <c r="AF38" s="18" t="inlineStr">
        <is>
          <t>Refused answered, timeout stayed silent.</t>
        </is>
      </c>
      <c r="AG38" s="18" t="inlineStr">
        <is>
          <t>Telling a customer that a timeout meant their firewall dropped our traffic.</t>
        </is>
      </c>
      <c r="AH38" s="18" t="inlineStr">
        <is>
          <t>An interviewer may ask: What is the difference between refused and timeout?</t>
        </is>
      </c>
      <c r="AI38" s="18" t="inlineStr">
        <is>
          <t>It is like a slammed door versus a silent house.</t>
        </is>
      </c>
      <c r="AJ38" s="18" t="inlineStr">
        <is>
          <t>What does connection refused indicate?</t>
        </is>
      </c>
      <c r="AK38" s="18" t="inlineStr">
        <is>
          <t>A) The host is down B) A cable is cut C) The host replied that nothing listens there D) DNS failed</t>
        </is>
      </c>
      <c r="AL38" s="18" t="inlineStr">
        <is>
          <t>C</t>
        </is>
      </c>
      <c r="AM38" s="18" t="inlineStr">
        <is>
          <t>A reset is an active reply.</t>
        </is>
      </c>
      <c r="AN38" s="18" t="inlineStr">
        <is>
          <t>A silent drop leads to a connection ____ → timeout</t>
        </is>
      </c>
      <c r="AO38" s="18" t="inlineStr">
        <is>
          <t>A client gets refused from outside but works locally. What is likely? → The service listens only on localhost</t>
        </is>
      </c>
      <c r="AP38" s="18" t="inlineStr">
        <is>
          <t>Explain refused versus timeout in three lines.</t>
        </is>
      </c>
      <c r="AQ38" s="18" t="inlineStr">
        <is>
          <t>List two likely causes for each of the two results.</t>
        </is>
      </c>
      <c r="AR38" s="17">
        <f>IF(J38="","",REPT("★",J38)&amp;REPT("☆",5-J38)&amp;" ("&amp;J38&amp;"/5)")</f>
        <v/>
      </c>
      <c r="AS38" s="17">
        <f>IF(Q38="","","Meaning: "&amp;Q38&amp;"  =  ______   (Answer: "&amp;F38&amp;")")</f>
        <v/>
      </c>
      <c r="AT38" s="17" t="inlineStr">
        <is>
          <t>New</t>
        </is>
      </c>
      <c r="AU38" s="17" t="n"/>
      <c r="AV38" s="17" t="n"/>
      <c r="AW38" s="17" t="n"/>
      <c r="AX38" s="17" t="n"/>
      <c r="AY38" s="17" t="n"/>
      <c r="AZ38" s="17" t="n"/>
      <c r="BA38" s="17" t="n"/>
      <c r="BB38" s="17" t="n"/>
    </row>
    <row r="39" ht="108" customHeight="1">
      <c r="A39" s="17" t="inlineStr">
        <is>
          <t>NET-044</t>
        </is>
      </c>
      <c r="B39" s="17" t="inlineStr">
        <is>
          <t>06 Troubleshooting</t>
        </is>
      </c>
      <c r="C39" s="17" t="inlineStr">
        <is>
          <t>Intermediate</t>
        </is>
      </c>
      <c r="D39" s="17" t="n">
        <v>44</v>
      </c>
      <c r="E39" s="17" t="inlineStr">
        <is>
          <t>Claude knowledge</t>
        </is>
      </c>
      <c r="F39" s="18" t="inlineStr">
        <is>
          <t>DNS caching</t>
        </is>
      </c>
      <c r="G39" s="18" t="inlineStr">
        <is>
          <t>Where are DNS answers stored, and why do old answers survive after a change?</t>
        </is>
      </c>
      <c r="H39" s="18" t="inlineStr">
        <is>
          <t>Practice</t>
        </is>
      </c>
      <c r="I39" s="18" t="inlineStr">
        <is>
          <t>High</t>
        </is>
      </c>
      <c r="J39" s="18" t="n">
        <v>4</v>
      </c>
      <c r="K39" s="18" t="inlineStr">
        <is>
          <t>Asking the root servers every time would be slow, so answers are cached at several levels for their lifetime.</t>
        </is>
      </c>
      <c r="L39" s="18" t="inlineStr">
        <is>
          <t>Lower the TTL before a planned change and flush caches when testing.</t>
        </is>
      </c>
      <c r="M39" s="18" t="inlineStr">
        <is>
          <t>DNS caches are sticky notes left on every desk, and each note has an expiry date.</t>
        </is>
      </c>
      <c r="N39" s="18" t="inlineStr">
        <is>
          <t>Layers of caches in the browser, the system and the resolver.</t>
        </is>
      </c>
      <c r="O39" s="18" t="inlineStr">
        <is>
          <t>The patience of waiting for an old note to expire.</t>
        </is>
      </c>
      <c r="P39" s="18" t="inlineStr">
        <is>
          <t>DNS caching stores answers in browsers, operating systems and resolvers for the time set by the record's TTL, so changes spread only as old entries expire.</t>
        </is>
      </c>
      <c r="Q39" s="17" t="n"/>
      <c r="R39" s="18" t="inlineStr">
        <is>
          <t>A browser may keep an answer, then the operating system, then the router or provider's resolver. Each obeys the TTL, but some apps cache longer. Negative answers, such as NXDOMAIN, are cached too. Flush commands exist for the system cache, but you cannot flush a provider's resolver. Test with dig against different resolvers.</t>
        </is>
      </c>
      <c r="S39" s="18" t="inlineStr">
        <is>
          <t>Old answers live until their TTL ends, so lower it before changes and test several resolvers.</t>
        </is>
      </c>
      <c r="T39" s="18" t="inlineStr">
        <is>
          <t>DNS caches are sticky notes on every desk, each with an expiry date.</t>
        </is>
      </c>
      <c r="U39" s="18" t="inlineStr">
        <is>
          <t>Change takes effect after the longest TTL still cached.</t>
        </is>
      </c>
      <c r="V39" s="18" t="inlineStr">
        <is>
          <t>A browser still opening the old server after a change.</t>
        </is>
      </c>
      <c r="W39" s="18" t="inlineStr">
        <is>
          <t>A system cache flushed to pick up a new record.</t>
        </is>
      </c>
      <c r="X39" s="18" t="inlineStr">
        <is>
          <t>A negative answer cached for a few minutes.</t>
        </is>
      </c>
      <c r="Y39" s="18" t="inlineStr">
        <is>
          <t>DNS and record types, dig, load balancers, migrations</t>
        </is>
      </c>
      <c r="Z39" s="18" t="inlineStr">
        <is>
          <t>cache, TTL, flush, negative caching, resolver</t>
        </is>
      </c>
      <c r="AA39" s="18" t="inlineStr">
        <is>
          <t>Migrations | Failover | Troubleshooting</t>
        </is>
      </c>
      <c r="AB39" s="18" t="inlineStr">
        <is>
          <t>A: I changed the record but my site is unchanged. | B: Caches still hold the old answer until the TTL expires.</t>
        </is>
      </c>
      <c r="AC39" s="18" t="inlineStr">
        <is>
          <t>✗ Flushing my own computer's DNS cache updates everyone → ✓ It affects only my machine, and other caches keep the old answer</t>
        </is>
      </c>
      <c r="AD39" s="18" t="inlineStr">
        <is>
          <t>Positive vs negative caching: one stores found records, the other stores not found answers.</t>
        </is>
      </c>
      <c r="AE39" s="18" t="inlineStr">
        <is>
          <t>Do not plan a cutover with a very long TTL.</t>
        </is>
      </c>
      <c r="AF39" s="18" t="inlineStr">
        <is>
          <t>Lower the TTL a day before.</t>
        </is>
      </c>
      <c r="AG39" s="18" t="inlineStr">
        <is>
          <t>Lowering the TTL to sixty seconds the day before a server move.</t>
        </is>
      </c>
      <c r="AH39" s="18" t="inlineStr">
        <is>
          <t>An interviewer may ask: Why does a DNS change take time?</t>
        </is>
      </c>
      <c r="AI39" s="18" t="inlineStr">
        <is>
          <t>It is like sticky notes with expiry dates.</t>
        </is>
      </c>
      <c r="AJ39" s="18" t="inlineStr">
        <is>
          <t>What controls how long an answer is cached?</t>
        </is>
      </c>
      <c r="AK39" s="18" t="inlineStr">
        <is>
          <t>A) The gateway B) The TTL C) The port D) The MAC</t>
        </is>
      </c>
      <c r="AL39" s="18" t="inlineStr">
        <is>
          <t>B</t>
        </is>
      </c>
      <c r="AM39" s="18" t="inlineStr">
        <is>
          <t>Each record carries a time to live.</t>
        </is>
      </c>
      <c r="AN39" s="18" t="inlineStr">
        <is>
          <t>Caching a not-found answer is called ____ caching → negative</t>
        </is>
      </c>
      <c r="AO39" s="18" t="inlineStr">
        <is>
          <t>A cutover is tomorrow. What do you lower today? → The TTL</t>
        </is>
      </c>
      <c r="AP39" s="18" t="inlineStr">
        <is>
          <t>Explain DNS caching in three lines.</t>
        </is>
      </c>
      <c r="AQ39" s="18" t="inlineStr">
        <is>
          <t>Write a plan for lowering and restoring TTL around a move.</t>
        </is>
      </c>
      <c r="AR39" s="17">
        <f>IF(J39="","",REPT("★",J39)&amp;REPT("☆",5-J39)&amp;" ("&amp;J39&amp;"/5)")</f>
        <v/>
      </c>
      <c r="AS39" s="17">
        <f>IF(Q39="","","Meaning: "&amp;Q39&amp;"  =  ______   (Answer: "&amp;F39&amp;")")</f>
        <v/>
      </c>
      <c r="AT39" s="17" t="inlineStr">
        <is>
          <t>New</t>
        </is>
      </c>
      <c r="AU39" s="17" t="n"/>
      <c r="AV39" s="17" t="n"/>
      <c r="AW39" s="17" t="n"/>
      <c r="AX39" s="17" t="n"/>
      <c r="AY39" s="17" t="n"/>
      <c r="AZ39" s="17" t="n"/>
      <c r="BA39" s="17" t="n"/>
      <c r="BB39" s="17" t="n"/>
    </row>
    <row r="40" ht="121.5" customHeight="1">
      <c r="A40" s="17" t="inlineStr">
        <is>
          <t>NET-045</t>
        </is>
      </c>
      <c r="B40" s="17" t="inlineStr">
        <is>
          <t>06 Troubleshooting</t>
        </is>
      </c>
      <c r="C40" s="17" t="inlineStr">
        <is>
          <t>Advanced</t>
        </is>
      </c>
      <c r="D40" s="17" t="n">
        <v>45</v>
      </c>
      <c r="E40" s="17" t="inlineStr">
        <is>
          <t>Claude knowledge</t>
        </is>
      </c>
      <c r="F40" s="18" t="inlineStr">
        <is>
          <t>Proxy problems</t>
        </is>
      </c>
      <c r="G40" s="18" t="inlineStr">
        <is>
          <t>Which failures are caused by proxies, and how do you spot them?</t>
        </is>
      </c>
      <c r="H40" s="18" t="inlineStr">
        <is>
          <t>Practice</t>
        </is>
      </c>
      <c r="I40" s="18" t="inlineStr">
        <is>
          <t>High</t>
        </is>
      </c>
      <c r="J40" s="18" t="n">
        <v>4</v>
      </c>
      <c r="K40" s="18" t="inlineStr">
        <is>
          <t>Corporate and cloud networks put proxies in the path, and they change addresses, headers and certificates in ways that break tools.</t>
        </is>
      </c>
      <c r="L40" s="18" t="inlineStr">
        <is>
          <t>Check the proxy environment variables first when a tool works on your laptop but not on a server.</t>
        </is>
      </c>
      <c r="M40" s="18" t="inlineStr">
        <is>
          <t>A proxy is a middleman, so every missing or odd detail may be the middleman's doing.</t>
        </is>
      </c>
      <c r="N40" s="18" t="inlineStr">
        <is>
          <t>A request passing through a proxy that modifies it.</t>
        </is>
      </c>
      <c r="O40" s="18" t="inlineStr">
        <is>
          <t>The relief of finding the middleman responsible.</t>
        </is>
      </c>
      <c r="P40" s="18" t="inlineStr">
        <is>
          <t>Proxy problems are failures caused by an intermediary that blocks, rewrites, times out or inspects requests, often visible through proxy settings, headers and certificates.</t>
        </is>
      </c>
      <c r="Q40" s="17" t="n"/>
      <c r="R40" s="18" t="inlineStr">
        <is>
          <t>Command line tools read variables such as HTTP_PROXY, HTTPS_PROXY and NO_PROXY, and some ignore them. Internal addresses should be listed in NO_PROXY. Proxies can enforce time limits, size limits and allow-lists. They can add forwarded headers, change the host header or replace certificates. Compare a direct request with a proxied one to find the difference.</t>
        </is>
      </c>
      <c r="S40" s="18" t="inlineStr">
        <is>
          <t>Find out whether a proxy is in the path, read its settings, and compare direct and proxied requests.</t>
        </is>
      </c>
      <c r="T40" s="18" t="inlineStr">
        <is>
          <t>A proxy is a middleman, so every odd detail may be the middleman's doing.</t>
        </is>
      </c>
      <c r="U40" s="18" t="inlineStr">
        <is>
          <t>Direct request vs proxied request, compare the difference.</t>
        </is>
      </c>
      <c r="V40" s="18" t="inlineStr">
        <is>
          <t>A tool failing because HTTPS_PROXY is not set on the server.</t>
        </is>
      </c>
      <c r="W40" s="18" t="inlineStr">
        <is>
          <t>An internal service wrongly sent through a proxy because NO_PROXY is missing.</t>
        </is>
      </c>
      <c r="X40" s="18" t="inlineStr">
        <is>
          <t>A 502 error returned by the proxy instead of the app.</t>
        </is>
      </c>
      <c r="Y40" s="18" t="inlineStr">
        <is>
          <t>proxies and reverse proxies, TLS inspection, curl -v, allow-lists</t>
        </is>
      </c>
      <c r="Z40" s="18" t="inlineStr">
        <is>
          <t>proxy, NO_PROXY, 502, timeout, header</t>
        </is>
      </c>
      <c r="AA40" s="18" t="inlineStr">
        <is>
          <t>Corporate networks | Cloud | CI runners</t>
        </is>
      </c>
      <c r="AB40" s="18" t="inlineStr">
        <is>
          <t>A: It works on my laptop but not on the server. | B: The server needs the proxy variables set.</t>
        </is>
      </c>
      <c r="AC40" s="18" t="inlineStr">
        <is>
          <t>✗ If the target is up, the proxy cannot be the problem → ✓ The proxy may block, slow or rewrite the request</t>
        </is>
      </c>
      <c r="AD40" s="18" t="inlineStr">
        <is>
          <t>502 vs 504: 502 is a bad reply from upstream, 504 means upstream timed out.</t>
        </is>
      </c>
      <c r="AE40" s="18" t="inlineStr">
        <is>
          <t>Do not hard-code proxy settings in code.</t>
        </is>
      </c>
      <c r="AF40" s="18" t="inlineStr">
        <is>
          <t>Works at home, check the proxy variables.</t>
        </is>
      </c>
      <c r="AG40" s="18" t="inlineStr">
        <is>
          <t>Adding NO_PROXY entries so internal calls stopped going through the company proxy.</t>
        </is>
      </c>
      <c r="AH40" s="18" t="inlineStr">
        <is>
          <t>An interviewer may ask: What does a 504 mean?</t>
        </is>
      </c>
      <c r="AI40" s="18" t="inlineStr">
        <is>
          <t>It is like a middleman that may be the cause.</t>
        </is>
      </c>
      <c r="AJ40" s="18" t="inlineStr">
        <is>
          <t>Which variable lists hosts that bypass the proxy?</t>
        </is>
      </c>
      <c r="AK40" s="18" t="inlineStr">
        <is>
          <t>A) HTTP_HOST B) NO_PROXY C) HOME D) PATH</t>
        </is>
      </c>
      <c r="AL40" s="18" t="inlineStr">
        <is>
          <t>B</t>
        </is>
      </c>
      <c r="AM40" s="18" t="inlineStr">
        <is>
          <t>NO_PROXY lists exceptions to the proxy.</t>
        </is>
      </c>
      <c r="AN40" s="18" t="inlineStr">
        <is>
          <t>A gateway timeout is the status code ____ → 504</t>
        </is>
      </c>
      <c r="AO40" s="18" t="inlineStr">
        <is>
          <t>A tool works from your laptop but not from a server behind a proxy. What do you set? → The proxy environment variables</t>
        </is>
      </c>
      <c r="AP40" s="18" t="inlineStr">
        <is>
          <t>Explain how to find proxy problems in three lines.</t>
        </is>
      </c>
      <c r="AQ40" s="18" t="inlineStr">
        <is>
          <t>Write the environment variables a server behind a proxy needs.</t>
        </is>
      </c>
      <c r="AR40" s="17">
        <f>IF(J40="","",REPT("★",J40)&amp;REPT("☆",5-J40)&amp;" ("&amp;J40&amp;"/5)")</f>
        <v/>
      </c>
      <c r="AS40" s="17">
        <f>IF(Q40="","","Meaning: "&amp;Q40&amp;"  =  ______   (Answer: "&amp;F40&amp;")")</f>
        <v/>
      </c>
      <c r="AT40" s="17" t="inlineStr">
        <is>
          <t>New</t>
        </is>
      </c>
      <c r="AU40" s="17" t="n"/>
      <c r="AV40" s="17" t="n"/>
      <c r="AW40" s="17" t="n"/>
      <c r="AX40" s="17" t="n"/>
      <c r="AY40" s="17" t="n"/>
      <c r="AZ40" s="17" t="n"/>
      <c r="BA40" s="17" t="n"/>
      <c r="BB40" s="17" t="n"/>
    </row>
  </sheetData>
  <autoFilter ref="A2:BB40"/>
  <mergeCells count="6">
    <mergeCell ref="F1:O1"/>
    <mergeCell ref="AT1:BB1"/>
    <mergeCell ref="AR1:AS1"/>
    <mergeCell ref="A1:E1"/>
    <mergeCell ref="AJ1:AQ1"/>
    <mergeCell ref="P1:AI1"/>
  </mergeCells>
  <dataValidations count="2">
    <dataValidation sqref="AT3:AT40" showDropDown="0" showInputMessage="0" showErrorMessage="0" allowBlank="1" type="list">
      <formula1>"New,Learning,Known"</formula1>
    </dataValidation>
    <dataValidation sqref="BA3:BA40"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NET-001</t>
        </is>
      </c>
    </row>
    <row r="4">
      <c r="A4" s="23" t="inlineStr">
        <is>
          <t>FRONT · Recognition (pehchano)</t>
        </is>
      </c>
    </row>
    <row r="5" ht="30" customHeight="1">
      <c r="A5" s="24" t="inlineStr">
        <is>
          <t>ID</t>
        </is>
      </c>
      <c r="B5" s="17">
        <f>INDEX('Topic (56-pt) cards'!$A$3:$BB$40,MATCH($B$2,'Topic (56-pt) cards'!$A$3:$A$40,0),MATCH("ID",'Topic (56-pt) cards'!$A$2:$BB$2,0))&amp;""</f>
        <v/>
      </c>
    </row>
    <row r="6" ht="30" customHeight="1">
      <c r="A6" s="24" t="inlineStr">
        <is>
          <t>Topic</t>
        </is>
      </c>
      <c r="B6" s="17">
        <f>INDEX('Topic (56-pt) cards'!$A$3:$BB$40,MATCH($B$2,'Topic (56-pt) cards'!$A$3:$A$40,0),MATCH("Topic",'Topic (56-pt) cards'!$A$2:$BB$2,0))&amp;""</f>
        <v/>
      </c>
    </row>
    <row r="7" ht="30" customHeight="1">
      <c r="A7" s="24" t="inlineStr">
        <is>
          <t>Level</t>
        </is>
      </c>
      <c r="B7" s="17">
        <f>INDEX('Topic (56-pt) cards'!$A$3:$BB$40,MATCH($B$2,'Topic (56-pt) cards'!$A$3:$A$40,0),MATCH("Level",'Topic (56-pt) cards'!$A$2:$BB$2,0))&amp;""</f>
        <v/>
      </c>
    </row>
    <row r="8" ht="30" customHeight="1">
      <c r="A8" s="24" t="inlineStr">
        <is>
          <t>Term / topic</t>
        </is>
      </c>
      <c r="B8" s="17">
        <f>INDEX('Topic (56-pt) cards'!$A$3:$BB$40,MATCH($B$2,'Topic (56-pt) cards'!$A$3:$A$40,0),MATCH("Term / topic",'Topic (56-pt) cards'!$A$2:$BB$2,0))&amp;""</f>
        <v/>
      </c>
    </row>
    <row r="9" ht="30" customHeight="1">
      <c r="A9" s="24" t="inlineStr">
        <is>
          <t>Recall cue</t>
        </is>
      </c>
      <c r="B9" s="17">
        <f>INDEX('Topic (56-pt) cards'!$A$3:$BB$40,MATCH($B$2,'Topic (56-pt) cards'!$A$3:$A$40,0),MATCH("Recall cue",'Topic (56-pt) cards'!$A$2:$BB$2,0))&amp;""</f>
        <v/>
      </c>
    </row>
    <row r="10" ht="30" customHeight="1">
      <c r="A10" s="24" t="inlineStr">
        <is>
          <t>Category</t>
        </is>
      </c>
      <c r="B10" s="17">
        <f>INDEX('Topic (56-pt) cards'!$A$3:$BB$40,MATCH($B$2,'Topic (56-pt) cards'!$A$3:$A$40,0),MATCH("Category",'Topic (56-pt) cards'!$A$2:$BB$2,0))&amp;""</f>
        <v/>
      </c>
    </row>
    <row r="11" ht="30" customHeight="1">
      <c r="A11" s="24" t="inlineStr">
        <is>
          <t>How often used</t>
        </is>
      </c>
      <c r="B11" s="17">
        <f>INDEX('Topic (56-pt) cards'!$A$3:$BB$40,MATCH($B$2,'Topic (56-pt) cards'!$A$3:$A$40,0),MATCH("How often used",'Topic (56-pt) cards'!$A$2:$BB$2,0))&amp;""</f>
        <v/>
      </c>
    </row>
    <row r="12" ht="30" customHeight="1">
      <c r="A12" s="24" t="inlineStr">
        <is>
          <t>Importance (1-5)</t>
        </is>
      </c>
      <c r="B12" s="17">
        <f>INDEX('Topic (56-pt) cards'!$A$3:$BB$40,MATCH($B$2,'Topic (56-pt) cards'!$A$3:$A$40,0),MATCH("Importance (1-5)",'Topic (56-pt) cards'!$A$2:$BB$2,0))&amp;""</f>
        <v/>
      </c>
    </row>
    <row r="13" ht="30" customHeight="1">
      <c r="A13" s="24" t="inlineStr">
        <is>
          <t>Origin / why it exists</t>
        </is>
      </c>
      <c r="B13" s="17">
        <f>INDEX('Topic (56-pt) cards'!$A$3:$BB$40,MATCH($B$2,'Topic (56-pt) cards'!$A$3:$A$40,0),MATCH("Origin / why it exists",'Topic (56-pt) cards'!$A$2:$BB$2,0))&amp;""</f>
        <v/>
      </c>
    </row>
    <row r="14" ht="30" customHeight="1">
      <c r="A14" s="24" t="inlineStr">
        <is>
          <t>Pro tip</t>
        </is>
      </c>
      <c r="B14" s="17">
        <f>INDEX('Topic (56-pt) cards'!$A$3:$BB$40,MATCH($B$2,'Topic (56-pt) cards'!$A$3:$A$40,0),MATCH("Pro tip",'Topic (56-pt) cards'!$A$2:$BB$2,0))&amp;""</f>
        <v/>
      </c>
    </row>
    <row r="15" ht="30" customHeight="1">
      <c r="A15" s="24" t="inlineStr">
        <is>
          <t>Memory story</t>
        </is>
      </c>
      <c r="B15" s="17">
        <f>INDEX('Topic (56-pt) cards'!$A$3:$BB$40,MATCH($B$2,'Topic (56-pt) cards'!$A$3:$A$40,0),MATCH("Memory story",'Topic (56-pt) cards'!$A$2:$BB$2,0))&amp;""</f>
        <v/>
      </c>
    </row>
    <row r="16" ht="30" customHeight="1">
      <c r="A16" s="24" t="inlineStr">
        <is>
          <t>Picture it</t>
        </is>
      </c>
      <c r="B16" s="17">
        <f>INDEX('Topic (56-pt) cards'!$A$3:$BB$40,MATCH($B$2,'Topic (56-pt) cards'!$A$3:$A$40,0),MATCH("Picture it",'Topic (56-pt) cards'!$A$2:$BB$2,0))&amp;""</f>
        <v/>
      </c>
    </row>
    <row r="17" ht="30" customHeight="1">
      <c r="A17" s="24" t="inlineStr">
        <is>
          <t>Emotion hook</t>
        </is>
      </c>
      <c r="B17" s="17">
        <f>INDEX('Topic (56-pt) cards'!$A$3:$BB$40,MATCH($B$2,'Topic (56-pt) cards'!$A$3:$A$40,0),MATCH("Emotion hook",'Topic (56-pt) cards'!$A$2:$BB$2,0))&amp;""</f>
        <v/>
      </c>
    </row>
    <row r="18" ht="30" customHeight="1">
      <c r="A18" s="24" t="inlineStr">
        <is>
          <t>Importance ★</t>
        </is>
      </c>
      <c r="B18" s="17">
        <f>INDEX('Topic (56-pt) cards'!$A$3:$BB$40,MATCH($B$2,'Topic (56-pt) cards'!$A$3:$A$40,0),MATCH("Importance ★",'Topic (56-pt) cards'!$A$2:$BB$2,0))&amp;""</f>
        <v/>
      </c>
    </row>
    <row r="19">
      <c r="A19" s="25" t="inlineStr">
        <is>
          <t>BACK · Understanding (samjho)</t>
        </is>
      </c>
    </row>
    <row r="20" ht="30" customHeight="1">
      <c r="A20" s="24" t="inlineStr">
        <is>
          <t>Definition (simple)</t>
        </is>
      </c>
      <c r="B20" s="17">
        <f>INDEX('Topic (56-pt) cards'!$A$3:$BB$40,MATCH($B$2,'Topic (56-pt) cards'!$A$3:$A$40,0),MATCH("Definition (simple)",'Topic (56-pt) cards'!$A$2:$BB$2,0))&amp;""</f>
        <v/>
      </c>
    </row>
    <row r="21" ht="30" customHeight="1">
      <c r="A21" s="24" t="inlineStr">
        <is>
          <t>Meaning in learner's language</t>
        </is>
      </c>
      <c r="B21" s="17">
        <f>INDEX('Topic (56-pt) cards'!$A$3:$BB$40,MATCH($B$2,'Topic (56-pt) cards'!$A$3:$A$40,0),MATCH("Meaning in learner's language",'Topic (56-pt) cards'!$A$2:$BB$2,0))&amp;""</f>
        <v/>
      </c>
    </row>
    <row r="22" ht="54" customHeight="1">
      <c r="A22" s="24" t="inlineStr">
        <is>
          <t>How / why it works</t>
        </is>
      </c>
      <c r="B22" s="17">
        <f>INDEX('Topic (56-pt) cards'!$A$3:$BB$40,MATCH($B$2,'Topic (56-pt) cards'!$A$3:$A$40,0),MATCH("How / why it works",'Topic (56-pt) cards'!$A$2:$BB$2,0))&amp;""</f>
        <v/>
      </c>
    </row>
    <row r="23" ht="30" customHeight="1">
      <c r="A23" s="24" t="inlineStr">
        <is>
          <t>Simple explanation (Hinglish)</t>
        </is>
      </c>
      <c r="B23" s="17">
        <f>INDEX('Topic (56-pt) cards'!$A$3:$BB$40,MATCH($B$2,'Topic (56-pt) cards'!$A$3:$A$40,0),MATCH("Simple explanation (Hinglish)",'Topic (56-pt) cards'!$A$2:$BB$2,0))&amp;""</f>
        <v/>
      </c>
    </row>
    <row r="24" ht="30" customHeight="1">
      <c r="A24" s="24" t="inlineStr">
        <is>
          <t>Real-life analogy</t>
        </is>
      </c>
      <c r="B24" s="17">
        <f>INDEX('Topic (56-pt) cards'!$A$3:$BB$40,MATCH($B$2,'Topic (56-pt) cards'!$A$3:$A$40,0),MATCH("Real-life analogy",'Topic (56-pt) cards'!$A$2:$BB$2,0))&amp;""</f>
        <v/>
      </c>
    </row>
    <row r="25" ht="30" customHeight="1">
      <c r="A25" s="24" t="inlineStr">
        <is>
          <t>Formula / rule</t>
        </is>
      </c>
      <c r="B25" s="17">
        <f>INDEX('Topic (56-pt) cards'!$A$3:$BB$40,MATCH($B$2,'Topic (56-pt) cards'!$A$3:$A$40,0),MATCH("Formula / rule",'Topic (56-pt) cards'!$A$2:$BB$2,0))&amp;""</f>
        <v/>
      </c>
    </row>
    <row r="26" ht="30" customHeight="1">
      <c r="A26" s="24" t="inlineStr">
        <is>
          <t>Example 1</t>
        </is>
      </c>
      <c r="B26" s="17">
        <f>INDEX('Topic (56-pt) cards'!$A$3:$BB$40,MATCH($B$2,'Topic (56-pt) cards'!$A$3:$A$40,0),MATCH("Example 1",'Topic (56-pt) cards'!$A$2:$BB$2,0))&amp;""</f>
        <v/>
      </c>
    </row>
    <row r="27" ht="30" customHeight="1">
      <c r="A27" s="24" t="inlineStr">
        <is>
          <t>Example 2</t>
        </is>
      </c>
      <c r="B27" s="17">
        <f>INDEX('Topic (56-pt) cards'!$A$3:$BB$40,MATCH($B$2,'Topic (56-pt) cards'!$A$3:$A$40,0),MATCH("Example 2",'Topic (56-pt) cards'!$A$2:$BB$2,0))&amp;""</f>
        <v/>
      </c>
    </row>
    <row r="28" ht="30" customHeight="1">
      <c r="A28" s="24" t="inlineStr">
        <is>
          <t>Example 3</t>
        </is>
      </c>
      <c r="B28" s="17">
        <f>INDEX('Topic (56-pt) cards'!$A$3:$BB$40,MATCH($B$2,'Topic (56-pt) cards'!$A$3:$A$40,0),MATCH("Example 3",'Topic (56-pt) cards'!$A$2:$BB$2,0))&amp;""</f>
        <v/>
      </c>
    </row>
    <row r="29" ht="30" customHeight="1">
      <c r="A29" s="24" t="inlineStr">
        <is>
          <t>Related concepts</t>
        </is>
      </c>
      <c r="B29" s="17">
        <f>INDEX('Topic (56-pt) cards'!$A$3:$BB$40,MATCH($B$2,'Topic (56-pt) cards'!$A$3:$A$40,0),MATCH("Related concepts",'Topic (56-pt) cards'!$A$2:$BB$2,0))&amp;""</f>
        <v/>
      </c>
    </row>
    <row r="30" ht="30" customHeight="1">
      <c r="A30" s="24" t="inlineStr">
        <is>
          <t>Family / group</t>
        </is>
      </c>
      <c r="B30" s="17">
        <f>INDEX('Topic (56-pt) cards'!$A$3:$BB$40,MATCH($B$2,'Topic (56-pt) cards'!$A$3:$A$40,0),MATCH("Family / group",'Topic (56-pt) cards'!$A$2:$BB$2,0))&amp;""</f>
        <v/>
      </c>
    </row>
    <row r="31" ht="30" customHeight="1">
      <c r="A31" s="24" t="inlineStr">
        <is>
          <t>Where it is used</t>
        </is>
      </c>
      <c r="B31" s="17">
        <f>INDEX('Topic (56-pt) cards'!$A$3:$BB$40,MATCH($B$2,'Topic (56-pt) cards'!$A$3:$A$40,0),MATCH("Where it is used",'Topic (56-pt) cards'!$A$2:$BB$2,0))&amp;""</f>
        <v/>
      </c>
    </row>
    <row r="32" ht="30" customHeight="1">
      <c r="A32" s="24" t="inlineStr">
        <is>
          <t>Mini conversation</t>
        </is>
      </c>
      <c r="B32" s="17">
        <f>INDEX('Topic (56-pt) cards'!$A$3:$BB$40,MATCH($B$2,'Topic (56-pt) cards'!$A$3:$A$40,0),MATCH("Mini conversation",'Topic (56-pt) cards'!$A$2:$BB$2,0))&amp;""</f>
        <v/>
      </c>
    </row>
    <row r="33" ht="30" customHeight="1">
      <c r="A33" s="24" t="inlineStr">
        <is>
          <t>Common mistake</t>
        </is>
      </c>
      <c r="B33" s="17">
        <f>INDEX('Topic (56-pt) cards'!$A$3:$BB$40,MATCH($B$2,'Topic (56-pt) cards'!$A$3:$A$40,0),MATCH("Common mistake",'Topic (56-pt) cards'!$A$2:$BB$2,0))&amp;""</f>
        <v/>
      </c>
    </row>
    <row r="34" ht="30" customHeight="1">
      <c r="A34" s="24" t="inlineStr">
        <is>
          <t>Don't confuse with</t>
        </is>
      </c>
      <c r="B34" s="17">
        <f>INDEX('Topic (56-pt) cards'!$A$3:$BB$40,MATCH($B$2,'Topic (56-pt) cards'!$A$3:$A$40,0),MATCH("Don't confuse with",'Topic (56-pt) cards'!$A$2:$BB$2,0))&amp;""</f>
        <v/>
      </c>
    </row>
    <row r="35" ht="30" customHeight="1">
      <c r="A35" s="24" t="inlineStr">
        <is>
          <t>Avoid / don't</t>
        </is>
      </c>
      <c r="B35" s="17">
        <f>INDEX('Topic (56-pt) cards'!$A$3:$BB$40,MATCH($B$2,'Topic (56-pt) cards'!$A$3:$A$40,0),MATCH("Avoid / don't",'Topic (56-pt) cards'!$A$2:$BB$2,0))&amp;""</f>
        <v/>
      </c>
    </row>
    <row r="36" ht="30" customHeight="1">
      <c r="A36" s="24" t="inlineStr">
        <is>
          <t>Memory trick</t>
        </is>
      </c>
      <c r="B36" s="17">
        <f>INDEX('Topic (56-pt) cards'!$A$3:$BB$40,MATCH($B$2,'Topic (56-pt) cards'!$A$3:$A$40,0),MATCH("Memory trick",'Topic (56-pt) cards'!$A$2:$BB$2,0))&amp;""</f>
        <v/>
      </c>
    </row>
    <row r="37" ht="30" customHeight="1">
      <c r="A37" s="24" t="inlineStr">
        <is>
          <t>Real life: project / work</t>
        </is>
      </c>
      <c r="B37" s="17">
        <f>INDEX('Topic (56-pt) cards'!$A$3:$BB$40,MATCH($B$2,'Topic (56-pt) cards'!$A$3:$A$40,0),MATCH("Real life: project / work",'Topic (56-pt) cards'!$A$2:$BB$2,0))&amp;""</f>
        <v/>
      </c>
    </row>
    <row r="38" ht="30" customHeight="1">
      <c r="A38" s="24" t="inlineStr">
        <is>
          <t>Real life: interview / exam</t>
        </is>
      </c>
      <c r="B38" s="17">
        <f>INDEX('Topic (56-pt) cards'!$A$3:$BB$40,MATCH($B$2,'Topic (56-pt) cards'!$A$3:$A$40,0),MATCH("Real life: interview / exam",'Topic (56-pt) cards'!$A$2:$BB$2,0))&amp;""</f>
        <v/>
      </c>
    </row>
    <row r="39" ht="30" customHeight="1">
      <c r="A39" s="24" t="inlineStr">
        <is>
          <t>Real life: daily life</t>
        </is>
      </c>
      <c r="B39" s="17">
        <f>INDEX('Topic (56-pt) cards'!$A$3:$BB$40,MATCH($B$2,'Topic (56-pt) cards'!$A$3:$A$40,0),MATCH("Real life: daily life",'Topic (56-pt) cards'!$A$2:$BB$2,0))&amp;""</f>
        <v/>
      </c>
    </row>
    <row r="40">
      <c r="A40" s="27" t="inlineStr">
        <is>
          <t>PRACTICE · Khud karo</t>
        </is>
      </c>
    </row>
    <row r="41" ht="30" customHeight="1">
      <c r="A41" s="24" t="inlineStr">
        <is>
          <t>MCQ question</t>
        </is>
      </c>
      <c r="B41" s="17">
        <f>INDEX('Topic (56-pt) cards'!$A$3:$BB$40,MATCH($B$2,'Topic (56-pt) cards'!$A$3:$A$40,0),MATCH("MCQ question",'Topic (56-pt) cards'!$A$2:$BB$2,0))&amp;""</f>
        <v/>
      </c>
    </row>
    <row r="42" ht="30" customHeight="1">
      <c r="A42" s="24" t="inlineStr">
        <is>
          <t>MCQ options</t>
        </is>
      </c>
      <c r="B42" s="17">
        <f>INDEX('Topic (56-pt) cards'!$A$3:$BB$40,MATCH($B$2,'Topic (56-pt) cards'!$A$3:$A$40,0),MATCH("MCQ options",'Topic (56-pt) cards'!$A$2:$BB$2,0))&amp;""</f>
        <v/>
      </c>
    </row>
    <row r="43" ht="30" customHeight="1">
      <c r="A43" s="24" t="inlineStr">
        <is>
          <t>MCQ answer</t>
        </is>
      </c>
      <c r="B43" s="17">
        <f>INDEX('Topic (56-pt) cards'!$A$3:$BB$40,MATCH($B$2,'Topic (56-pt) cards'!$A$3:$A$40,0),MATCH("MCQ answer",'Topic (56-pt) cards'!$A$2:$BB$2,0))&amp;""</f>
        <v/>
      </c>
    </row>
    <row r="44" ht="30" customHeight="1">
      <c r="A44" s="24" t="inlineStr">
        <is>
          <t>Why that answer</t>
        </is>
      </c>
      <c r="B44" s="17">
        <f>INDEX('Topic (56-pt) cards'!$A$3:$BB$40,MATCH($B$2,'Topic (56-pt) cards'!$A$3:$A$40,0),MATCH("Why that answer",'Topic (56-pt) cards'!$A$2:$BB$2,0))&amp;""</f>
        <v/>
      </c>
    </row>
    <row r="45" ht="30" customHeight="1">
      <c r="A45" s="24" t="inlineStr">
        <is>
          <t>Fill the blank</t>
        </is>
      </c>
      <c r="B45" s="17">
        <f>INDEX('Topic (56-pt) cards'!$A$3:$BB$40,MATCH($B$2,'Topic (56-pt) cards'!$A$3:$A$40,0),MATCH("Fill the blank",'Topic (56-pt) cards'!$A$2:$BB$2,0))&amp;""</f>
        <v/>
      </c>
    </row>
    <row r="46" ht="30" customHeight="1">
      <c r="A46" s="24" t="inlineStr">
        <is>
          <t>Apply it</t>
        </is>
      </c>
      <c r="B46" s="17">
        <f>INDEX('Topic (56-pt) cards'!$A$3:$BB$40,MATCH($B$2,'Topic (56-pt) cards'!$A$3:$A$40,0),MATCH("Apply it",'Topic (56-pt) cards'!$A$2:$BB$2,0))&amp;""</f>
        <v/>
      </c>
    </row>
    <row r="47" ht="30" customHeight="1">
      <c r="A47" s="24" t="inlineStr">
        <is>
          <t>Explain it yourself</t>
        </is>
      </c>
      <c r="B47" s="17">
        <f>INDEX('Topic (56-pt) cards'!$A$3:$BB$40,MATCH($B$2,'Topic (56-pt) cards'!$A$3:$A$40,0),MATCH("Explain it yourself",'Topic (56-pt) cards'!$A$2:$BB$2,0))&amp;""</f>
        <v/>
      </c>
    </row>
    <row r="48" ht="30" customHeight="1">
      <c r="A48" s="24" t="inlineStr">
        <is>
          <t>Write your own</t>
        </is>
      </c>
      <c r="B48" s="17">
        <f>INDEX('Topic (56-pt) cards'!$A$3:$BB$40,MATCH($B$2,'Topic (56-pt) cards'!$A$3:$A$40,0),MATCH("Write your own",'Topic (56-pt) cards'!$A$2:$BB$2,0))&amp;""</f>
        <v/>
      </c>
    </row>
    <row r="49" ht="30" customHeight="1">
      <c r="A49" s="24" t="inlineStr">
        <is>
          <t>Quick recall (reverse)</t>
        </is>
      </c>
      <c r="B49" s="17">
        <f>INDEX('Topic (56-pt) cards'!$A$3:$BB$40,MATCH($B$2,'Topic (56-pt) cards'!$A$3:$A$40,0),MATCH("Quick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cards'!$A$3:$A$40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OSI and TCP/IP layers
Which layered models describe how data travels from an application down to the wire and back?</t>
        </is>
      </c>
      <c r="B2" s="29" t="inlineStr">
        <is>
          <t>DEFINITION (SIMPLE):
The OSI model has seven layers and the TCP/IP model has four, and both describe how application data is wrapped step by step for sending and unwrapped on arrival.
HOW / WHY IT WORKS:
OSI layers from the bottom are physical, data link, network, transport, session, presentation and application. TCP/IP groups them into link, internet, transport and application. Ethernet and Wi-Fi sit low, IP at the network layer, TCP and UDP at the transport layer, and HTTP and DNS at the application layer. Each layer adds its own header, which is called encapsulation.
SIMPLE EXPLANATION (HINGLISH):
Data moves down the layers when sent, picking up headers, and up the layers when received, losing them.
REAL-LIFE ANALOGY:
The layers are a postal chain where the letter, the envelope, the sorting office and the truck each do one job.
FORMULA / RULE:
Application data + header at each layer = encapsulation.
EXAMPLE 1:
HTTP at the application layer carrying a web page request.
EXAMPLE 2:
TCP at the transport layer splitting the data into numbered segments.
EXAMPLE 3:
IP at the network layer adding source and destination addresses.
RELATED CONCEPTS:
packets and frames, TCP vs UDP, routers and switches, troubleshooting method
FAMILY / GROUP:
layer, encapsulation, header, protocol, stack
WHERE IT IS USED:
Troubleshooting | Interviews | Network design
MINI CONVERSATION:
A: Is the cable the problem or the website? | B: Check the lower layers first, then work upward.
COMMON MISTAKE:
✗ The OSI model is how the internet is actually built → ✓ OSI is a teaching reference, and the internet follows the simpler TCP/IP model
DON'T CONFUSE WITH:
OSI vs TCP/IP: OSI has seven layers for teaching, TCP/IP has four and matches real protocols.
AVOID / DON'T:
Do not memorise layers without linking each to a real protocol.
MEMORY TRICK:
Please do not throw sausage pizza away.
REAL LIFE: PROJECT / WORK:
Using the layers to prove that a customer outage was a DNS problem, not a cable fault.
REAL LIFE: INTERVIEW / EXAM:
An interviewer may ask: At which layer does a router work?
REAL LIFE: DAILY LIFE:
It is like a postal chain with one job per step.</t>
        </is>
      </c>
      <c r="C2" s="29" t="inlineStr">
        <is>
          <t>01_Models_Beginner_NET-001</t>
        </is>
      </c>
    </row>
    <row r="3" ht="409" customHeight="1">
      <c r="A3" s="29" t="inlineStr">
        <is>
          <t>Packets and frames
Which units carry data at the network and link layers?</t>
        </is>
      </c>
      <c r="B3" s="29" t="inlineStr">
        <is>
          <t>DEFINITION (SIMPLE):
A packet is a unit of data with IP addresses at the network layer, and a frame is the link-layer wrapper that carries a packet across one local network.
HOW / WHY IT WORKS:
A packet keeps its source and destination IP addresses from end to end. A frame has MAC addresses and is rebuilt at every hop. Frames have a size limit called the MTU. Large data is split into many packets and reassembled at the destination. Lost packets may be retransmitted by TCP.
SIMPLE EXPLANATION (HINGLISH):
Packets travel end to end, and each hop puts them into a fresh frame.
REAL-LIFE ANALOGY:
A packet is a letter with its address, and a frame is the local delivery bag it rides in for one stretch.
FORMULA / RULE:
Packet = end-to-end address. Frame = hop-by-hop address.
EXAMPLE 1:
A web request split into several packets.
EXAMPLE 2:
A router stripping the old frame and building a new one.
EXAMPLE 3:
A frame limited to 1500 bytes of payload.
RELATED CONCEPTS:
OSI layers, MAC and ARP, MTU, routers
FAMILY / GROUP:
packet, frame, header, payload, MTU
WHERE IT IS USED:
Packet captures | Troubleshooting | Performance work
MINI CONVERSATION:
A: Does the destination IP change at each router? | B: No, but the frame addresses do.
COMMON MISTAKE:
✗ Packets and frames are two names for the same thing → ✓ They belong to different layers and carry different addresses
DON'T CONFUSE WITH:
Packet vs frame: packets use IP addresses across networks, frames use MAC addresses on one link.
AVOID / DON'T:
Do not say frame when you mean a routed IP packet.
MEMORY TRICK:
Packets go the distance, frames go one hop.
REAL LIFE: PROJECT / WORK:
Reading a capture to confirm packets arrived intact but frames were dropped by a switch.
REAL LIFE: INTERVIEW / EXAM:
An interviewer may ask: What changes at each router hop?
REAL LIFE: DAILY LIFE:
It is like a letter put into a new local bag at each stop.</t>
        </is>
      </c>
      <c r="C3" s="29" t="inlineStr">
        <is>
          <t>01_Models_Beginner_NET-002</t>
        </is>
      </c>
    </row>
    <row r="4" ht="409" customHeight="1">
      <c r="A4" s="29" t="inlineStr">
        <is>
          <t>Client and server
Which two roles describe who asks for a service and who provides it?</t>
        </is>
      </c>
      <c r="B4" s="29" t="inlineStr">
        <is>
          <t>DEFINITION (SIMPLE):
A client starts a request for a service, and a server listens on a port and responds to requests.
HOW / WHY IT WORKS:
A web browser is a client and a web server is the server. The server listens on a known port, such as 443 for HTTPS. The client picks a temporary port for its side of the connection. A database server is a client of a storage system, so roles depend on the conversation. Services in the cloud usually run as servers behind load balancers.
SIMPLE EXPLANATION (HINGLISH):
Clients ask, servers answer, and servers wait on known ports.
REAL-LIFE ANALOGY:
The client is the diner who orders, and the server is the kitchen that cooks and replies.
FORMULA / RULE:
Client = initiates. Server = listens and responds.
EXAMPLE 1:
A browser requesting a web page from a web server.
EXAMPLE 2:
An app server acting as a client of a database.
EXAMPLE 3:
A script calling an API as a client.
RELATED CONCEPTS:
ports, TCP handshake, HTTP, load balancers
FAMILY / GROUP:
client, server, request, response, listen
WHERE IT IS USED:
Every networked application | API work | Debugging
MINI CONVERSATION:
A: Which side opens the connection? | B: The client does, and the server just listens.
COMMON MISTAKE:
✗ A server is always a powerful dedicated machine → ✓ A server is any program that listens and answers, even on a laptop
DON'T CONFUSE WITH:
Client vs server: the client starts, the server waits.
AVOID / DON'T:
Do not assume the same machine plays only one role.
MEMORY TRICK:
Clients knock, servers listen at the door.
REAL LIFE: PROJECT / WORK:
Mapping which services acted as clients to find missing firewall rules.
REAL LIFE: INTERVIEW / EXAM:
An interviewer may ask: Can one machine be a client and a server?
REAL LIFE: DAILY LIFE:
It is like a diner ordering from a kitchen.</t>
        </is>
      </c>
      <c r="C4" s="29" t="inlineStr">
        <is>
          <t>01_Models_Beginner_NET-003</t>
        </is>
      </c>
    </row>
    <row r="5" ht="409" customHeight="1">
      <c r="A5" s="29" t="inlineStr">
        <is>
          <t>Latency vs bandwidth
Which two measures describe how fast a network feels and how much it can carry?</t>
        </is>
      </c>
      <c r="B5" s="29" t="inlineStr">
        <is>
          <t>DEFINITION (SIMPLE):
Latency is the time a packet takes to travel from source to destination, and bandwidth is the maximum amount of data that can be sent per second.
HOW / WHY IT WORKS:
Latency is measured in milliseconds and is limited by distance and processing delays. Bandwidth is measured in megabits or gigabits per second. A satellite link may have high bandwidth but high latency. Throughput is the speed you actually achieve, which can be below bandwidth. Many small requests suffer from latency, which is why connections are reused.
SIMPLE EXPLANATION (HINGLISH):
Latency is delay, bandwidth is capacity, and real speed is throughput.
REAL-LIFE ANALOGY:
Latency is how long the pipe takes to deliver a drop, and bandwidth is how wide the pipe is.
FORMULA / RULE:
Transfer time ≈ latency + data size ÷ bandwidth.
EXAMPLE 1:
A video call sensitive to delay.
EXAMPLE 2:
A large file download limited by bandwidth.
EXAMPLE 3:
An API making many small calls, slowed by latency.
RELATED CONCEPTS:
ping, TCP, CDN, MTU
FAMILY / GROUP:
latency, bandwidth, throughput, jitter, round trip
WHERE IT IS USED:
Performance tuning | Customer complaints | Capacity planning
MINI CONVERSATION:
A: The line is one gigabit but the app is slow. | B: Latency to the server may be high.
COMMON MISTAKE:
✗ More bandwidth always makes an application faster → ✓ If latency is the bottleneck, extra bandwidth does not help
DON'T CONFUSE WITH:
Latency vs throughput: latency is delay per packet, throughput is data moved per second.
AVOID / DON'T:
Do not blame bandwidth before measuring latency.
MEMORY TRICK:
Delay is distance, capacity is width.
REAL LIFE: PROJECT / WORK:
Showing a customer that a distant region caused slow calls and moving the service closer.
REAL LIFE: INTERVIEW / EXAM:
An interviewer may ask: Why can a fast link still feel slow?
REAL LIFE: DAILY LIFE:
It is like a long thin pipe versus a short wide one.</t>
        </is>
      </c>
      <c r="C5" s="29" t="inlineStr">
        <is>
          <t>01_Models_Beginner_NET-004</t>
        </is>
      </c>
    </row>
    <row r="6" ht="409" customHeight="1">
      <c r="A6" s="29" t="inlineStr">
        <is>
          <t>IPv4
Which addressing scheme uses four numbers separated by dots?</t>
        </is>
      </c>
      <c r="B6" s="29" t="inlineStr">
        <is>
          <t>DEFINITION (SIMPLE):
An IPv4 address is a 32-bit number written as four decimal values from 0 to 255, such as 203.0.113.10, identifying a network interface.
HOW / WHY IT WORKS:
There are about four billion possible addresses, which is not enough for every device, so address sharing through NAT and private ranges is used. An address has a network part and a host part, separated by the subnet mask. Special ranges exist for loopback, private use and broadcast. Public addresses are assigned by registries and providers.
SIMPLE EXPLANATION (HINGLISH):
IPv4 gives each interface a four-part number, and a mask says which part is the network.
REAL-LIFE ANALOGY:
An IPv4 address is a street address with four parts that narrow down to one house.
FORMULA / RULE:
32 bits = 4 numbers of 8 bits each.
EXAMPLE 1:
192.168.1.20 on a home network.
EXAMPLE 2:
127.0.0.1 as the loopback address.
EXAMPLE 3:
8.8.8.8 as a public DNS server.
RELATED CONCEPTS:
IPv6, subnets and CIDR, private vs public IPs, NAT
FAMILY / GROUP:
address, octet, mask, loopback, broadcast
WHERE IT IS USED:
Configuration | Troubleshooting | Cloud networking
MINI CONVERSATION:
A: What is the server's IP? | B: It is 10.0.2.15 inside the VPC.
COMMON MISTAKE:
✗ An IP address identifies a person or a computer forever → ✓ It identifies an interface at a point in time and can change
DON'T CONFUSE WITH:
IPv4 vs IPv6: IPv4 has 32 bits and runs short, IPv6 has 128 bits.
AVOID / DON'T:
Do not hard-code addresses that may change.
MEMORY TRICK:
Four numbers, each up to two fifty-five.
REAL LIFE: PROJECT / WORK:
Fixing a clash where two devices were given the same IPv4 address.
REAL LIFE: INTERVIEW / EXAM:
An interviewer may ask: How many bits is an IPv4 address?
REAL LIFE: DAILY LIFE:
It is like a street address with four parts.</t>
        </is>
      </c>
      <c r="C6" s="29" t="inlineStr">
        <is>
          <t>02_Addressing_Beginner_NET-005</t>
        </is>
      </c>
    </row>
    <row r="7" ht="409" customHeight="1">
      <c r="A7" s="29" t="inlineStr">
        <is>
          <t>IPv6
Which newer addressing scheme was created because IPv4 addresses ran short?</t>
        </is>
      </c>
      <c r="B7" s="29" t="inlineStr">
        <is>
          <t>DEFINITION (SIMPLE):
IPv6 uses 128-bit addresses written as eight groups of hexadecimal digits separated by colons, such as 2001:db8::1.
HOW / WHY IT WORKS:
Leading zeros in a group can be dropped, and one run of zero groups can be replaced by a double colon. IPv6 removes the need for NAT in most cases and includes features such as stateless address configuration. Many networks run both IPv4 and IPv6, which is called dual stack. Firewalls must be configured for both.
SIMPLE EXPLANATION (HINGLISH):
IPv6 gives huge address space, written in hex with colons, and often runs beside IPv4.
REAL-LIFE ANALOGY:
IPv6 is a city so big that every grain of sand can have a street number.
FORMULA / RULE:
128 bits = 8 groups of 16 bits, with zero compression.
EXAMPLE 1:
2001:db8::1 as a shortened address.
EXAMPLE 2:
::1 as the loopback address.
EXAMPLE 3:
A dual stack server reachable over both versions.
RELATED CONCEPTS:
IPv4, subnets and CIDR, DNS record types, firewalls
FAMILY / GROUP:
IPv6, hexadecimal, dual stack, prefix, compression
WHERE IT IS USED:
Modern networks | Cloud | Mobile networks
MINI CONVERSATION:
A: Why does the site work on mobile but not at the office? | B: The office network may have no IPv6 routes.
COMMON MISTAKE:
✗ IPv6 is just IPv4 with longer numbers → ✓ It changes address configuration, header design and NAT needs
DON'T CONFUSE WITH:
IPv4 vs IPv6: dotted decimal and 32 bits versus hex with colons and 128 bits.
AVOID / DON'T:
Do not leave IPv6 open in firewalls while only securing IPv4.
MEMORY TRICK:
Colons mean six, dots mean four.
REAL LIFE: PROJECT / WORK:
Finding that a firewall blocked only IPv4 while IPv6 traffic passed freely.
REAL LIFE: INTERVIEW / EXAM:
An interviewer may ask: What is dual stack?
REAL LIFE: DAILY LIFE:
It is like a city with a street number for every grain of sand.</t>
        </is>
      </c>
      <c r="C7" s="29" t="inlineStr">
        <is>
          <t>02_Addressing_Intermediate_NET-006</t>
        </is>
      </c>
    </row>
    <row r="8" ht="409" customHeight="1">
      <c r="A8" s="29" t="inlineStr">
        <is>
          <t>Subnets and CIDR
Which notation says how many bits of an address identify the network?</t>
        </is>
      </c>
      <c r="B8" s="29" t="inlineStr">
        <is>
          <t>DEFINITION (SIMPLE):
CIDR notation writes an address followed by a slash and the number of network bits, so 10.0.1.0/24 means the first 24 bits are the network and 8 bits are for hosts.
HOW / WHY IT WORKS:
A /24 has 256 addresses, a /16 has 65,536, and a /32 is a single address. The remaining bits are for hosts, with two addresses normally reserved for the network and broadcast. A subnet mask such as 255.255.255.0 is the same as /24. Subnetting splits a larger block into smaller blocks for separate networks. Overlapping ranges cause routing problems.
SIMPLE EXPLANATION (HINGLISH):
The slash number tells how many bits are the network, and the rest are for hosts.
REAL-LIFE ANALOGY:
CIDR is a ruler that slides the line between network and host.
FORMULA / RULE:
Addresses in a block = 2 to the power of (32 − prefix).
EXAMPLE 1:
192.168.1.0/24 holding 256 addresses.
EXAMPLE 2:
10.0.0.0/16 split into 256 networks of /24.
EXAMPLE 3:
203.0.113.5/32 for one host.
RELATED CONCEPTS:
IPv4, route tables, VPC, NAT
FAMILY / GROUP:
CIDR, prefix, mask, host bits, block
WHERE IT IS USED:
Cloud networks | Firewalls | Routing
MINI CONVERSATION:
A: How big is a /20? | B: 4,096 addresses, since 12 bits are for hosts.
COMMON MISTAKE:
✗ A /24 has 254 usable addresses in every cloud → ✓ Clouds may reserve extra addresses in each subnet
DON'T CONFUSE WITH:
/16 vs /24: a /16 is a much larger network, with 65,536 addresses against 256.
AVOID / DON'T:
Do not choose overlapping ranges for networks you may connect.
MEMORY TRICK:
Smaller slash number means a bigger network.
REAL LIFE: PROJECT / WORK:
Re-planning address ranges so two customer networks could be linked without overlap.
REAL LIFE: INTERVIEW / EXAM:
An interviewer may ask: How many addresses are in a /26?
REAL LIFE: DAILY LIFE:
It is like a ruler that slides the line.</t>
        </is>
      </c>
      <c r="C8" s="29" t="inlineStr">
        <is>
          <t>02_Addressing_Intermediate_NET-007</t>
        </is>
      </c>
    </row>
    <row r="9" ht="409" customHeight="1">
      <c r="A9" s="29" t="inlineStr">
        <is>
          <t>Private vs public IP addresses
Which ranges are used inside local networks and which are reachable on the internet?</t>
        </is>
      </c>
      <c r="B9" s="29" t="inlineStr">
        <is>
          <t>DEFINITION (SIMPLE):
Private addresses, such as 10.0.0.0/8, 172.16.0.0/12 and 192.168.0.0/16, are not routed on the public internet, while public addresses are globally unique and reachable.
HOW / WHY IT WORKS:
Many organisations reuse the same private ranges, which is fine because they never meet on the internet. To reach the internet, private hosts go through NAT, which maps them to a public address. Public addresses are assigned by providers. Link-local addresses starting with 169.254 appear when a device cannot get an address automatically.
SIMPLE EXPLANATION (HINGLISH):
Use private ranges inside, share one public address outside, and let NAT translate.
REAL-LIFE ANALOGY:
Private addresses are internal extension numbers, and the public one is the main phone number.
FORMULA / RULE:
10/8, 172.16/12, 192.168/16 = private ranges.
EXAMPLE 1:
192.168.1.5 on a laptop at home.
EXAMPLE 2:
10.0.2.8 on a cloud server.
EXAMPLE 3:
169.254.12.3 showing a failed address request.
RELATED CONCEPTS:
NAT, DHCP, subnets and CIDR, VPC
FAMILY / GROUP:
private, public, RFC 1918, link-local, routable
WHERE IT IS USED:
Network design | Cloud | Troubleshooting
MINI CONVERSATION:
A: Can I reach 10.0.2.8 from home? | B: No, it is private and only works inside the network.
COMMON MISTAKE:
✗ Every device on the internet has its own unique public address → ✓ Most devices sit behind NAT and share one
DON'T CONFUSE WITH:
Private vs public: private addresses are reused locally, public ones are globally unique.
AVOID / DON'T:
Do not publish services on private addresses and expect outside access.
MEMORY TRICK:
Ten, one seventy-two, one ninety-two are private.
REAL LIFE: PROJECT / WORK:
Explaining to a customer why their private address could not be reached from our side.
REAL LIFE: INTERVIEW / EXAM:
An interviewer may ask: What are the private IPv4 ranges?
REAL LIFE: DAILY LIFE:
It is like internal extension numbers.</t>
        </is>
      </c>
      <c r="C9" s="29" t="inlineStr">
        <is>
          <t>02_Addressing_Beginner_NET-008</t>
        </is>
      </c>
    </row>
    <row r="10" ht="409" customHeight="1">
      <c r="A10" s="29" t="inlineStr">
        <is>
          <t>Ports
Which numbers let one machine run many network services at once?</t>
        </is>
      </c>
      <c r="B10" s="29" t="inlineStr">
        <is>
          <t>DEFINITION (SIMPLE):
A port is a 16-bit number that identifies a specific service or connection endpoint on a host, from 0 to 65535.
HOW / WHY IT WORKS:
Well-known ports below 1024 are assigned to standard services, such as 80 for HTTP and 443 for HTTPS. Servers listen on a fixed port, and clients use a random high port for their side. A connection is identified by source address and port plus destination address and port. Firewalls filter by port. Two services cannot listen on the same address and port.
SIMPLE EXPLANATION (HINGLISH):
Address finds the machine, port finds the service.
REAL-LIFE ANALOGY:
The IP address is the building, and the port is the apartment number.
FORMULA / RULE:
Connection = source IP:port + destination IP:port.
EXAMPLE 1:
Port 443 for HTTPS.
EXAMPLE 2:
Port 22 for SSH.
EXAMPLE 3:
Port 5432 for PostgreSQL.
RELATED CONCEPTS:
client and server, TCP vs UDP, firewalls, NAT
FAMILY / GROUP:
port, listen, well-known, socket, ephemeral
WHERE IT IS USED:
Firewalls | Troubleshooting | Deployment
MINI CONVERSATION:
A: Port 8080 is already in use. | B: Another service is listening there, so choose a different port.
COMMON MISTAKE:
✗ Ports are physical connectors → ✓ They are software numbers, not hardware sockets
DON'T CONFUSE WITH:
Port vs address: the address finds the host, the port finds the program.
AVOID / DON'T:
Do not open more ports than a service needs.
MEMORY TRICK:
Address is the building, port is the flat.
REAL LIFE: PROJECT / WORK:
Finding which process held port 5432 and blocking a database start.
REAL LIFE: INTERVIEW / EXAM:
An interviewer may ask: What is the default port for HTTPS?
REAL LIFE: DAILY LIFE:
It is like an apartment number inside a building.</t>
        </is>
      </c>
      <c r="C10" s="29" t="inlineStr">
        <is>
          <t>02_Addressing_Beginner_NET-009</t>
        </is>
      </c>
    </row>
    <row r="11" ht="409" customHeight="1">
      <c r="A11" s="29" t="inlineStr">
        <is>
          <t>NAT
Which technique lets many private devices share one public address?</t>
        </is>
      </c>
      <c r="B11" s="29" t="inlineStr">
        <is>
          <t>DEFINITION (SIMPLE):
Network address translation rewrites source or destination addresses and ports as packets pass through a router, usually mapping private addresses to a public one.
HOW / WHY IT WORKS:
When a private host connects out, the router replaces its address with the public address and remembers the mapping in a table, using different source ports to tell connections apart. Replies are translated back. Unsolicited incoming traffic has no mapping, so it is dropped unless a port forward is set. NAT can complicate peer-to-peer and some protocols.
SIMPLE EXPLANATION (HINGLISH):
The router swaps private addresses for its public one, and remembers who asked for what.
REAL-LIFE ANALOGY:
NAT is a receptionist who makes calls under the company number and routes replies to the right desk.
FORMULA / RULE:
Private IP:port ↔ public IP:port in a translation table.
EXAMPLE 1:
A home router sharing one address between a phone and a laptop.
EXAMPLE 2:
A cloud NAT gateway giving private servers outbound access.
EXAMPLE 3:
A port forward sending outside port 8080 to an inside server.
RELATED CONCEPTS:
private vs public IPs, ports, firewalls, route tables
FAMILY / GROUP:
NAT, translation, port forward, masquerade, table
WHERE IT IS USED:
Home routers | Cloud gateways | Firewalls
MINI CONVERSATION:
A: Why can I not connect to my laptop from outside? | B: NAT blocks unsolicited incoming connections.
COMMON MISTAKE:
✗ NAT is a security feature that replaces a firewall → ✓ It hides addresses but is not a complete protection
DON'T CONFUSE WITH:
NAT vs port forwarding: NAT handles outgoing sharing, port forwarding maps one incoming port to a host.
AVOID / DON'T:
Do not treat NAT as security on its own.
MEMORY TRICK:
NAT swaps addresses and remembers the swap.
REAL LIFE: PROJECT / WORK:
Adding a NAT gateway so private servers could fetch updates safely.
REAL LIFE: INTERVIEW / EXAM:
An interviewer may ask: How does NAT let many devices share one IP?
REAL LIFE: DAILY LIFE:
It is like a receptionist using the company number.</t>
        </is>
      </c>
      <c r="C11" s="29" t="inlineStr">
        <is>
          <t>02_Addressing_Intermediate_NET-010</t>
        </is>
      </c>
    </row>
    <row r="12" ht="409" customHeight="1">
      <c r="A12" s="29" t="inlineStr">
        <is>
          <t>DHCP
Which service gives devices their network settings automatically?</t>
        </is>
      </c>
      <c r="B12" s="29" t="inlineStr">
        <is>
          <t>DEFINITION (SIMPLE):
The Dynamic Host Configuration Protocol automatically leases an IP address, subnet mask, gateway and DNS servers to devices when they join a network.
HOW / WHY IT WORKS:
A new device broadcasts a request, the server offers an address, the device requests it, and the server acknowledges, often remembered as discover, offer, request and acknowledge. The address is leased for a time and renewed. A reservation always gives the same address to the same device. If no server answers, the device may take a 169.254 address.
SIMPLE EXPLANATION (HINGLISH):
Devices ask for settings on joining, and DHCP lends them an address for a while.
REAL-LIFE ANALOGY:
DHCP is a hotel clerk who gives each guest a room number and the house rules.
FORMULA / RULE:
Discover → Offer → Request → Acknowledge.
EXAMPLE 1:
A phone receiving 192.168.1.23 on home Wi-Fi.
EXAMPLE 2:
A server given a reserved address.
EXAMPLE 3:
A lease expiring and being renewed.
RELATED CONCEPTS:
IPv4, private addresses, DNS, ARP
FAMILY / GROUP:
lease, scope, reservation, gateway, offer
WHERE IT IS USED:
Offices | Home networks | Cloud networks
MINI CONVERSATION:
A: My laptop has a 169.254 address. | B: It could not reach the DHCP server.
COMMON MISTAKE:
✗ Devices always keep the same address from DHCP → ✓ Addresses are leased and may change unless reserved
DON'T CONFUSE WITH:
Static vs DHCP address: static is typed in by hand, DHCP is leased automatically.
AVOID / DON'T:
Do not give two devices the same static address inside a DHCP range.
MEMORY TRICK:
Discover, offer, request, acknowledge, in that order.
REAL LIFE: PROJECT / WORK:
Reserving addresses for printers so they stopped changing between days.
REAL LIFE: INTERVIEW / EXAM:
An interviewer may ask: What are the four DHCP steps?
REAL LIFE: DAILY LIFE:
It is like a hotel clerk giving room numbers.</t>
        </is>
      </c>
      <c r="C12" s="29" t="inlineStr">
        <is>
          <t>02_Addressing_Beginner_NET-011</t>
        </is>
      </c>
    </row>
    <row r="13" ht="409" customHeight="1">
      <c r="A13" s="29" t="inlineStr">
        <is>
          <t>MAC addresses and ARP
Which address works on the local link and which protocol links it to an IP address?</t>
        </is>
      </c>
      <c r="B13" s="29" t="inlineStr">
        <is>
          <t>DEFINITION (SIMPLE):
A MAC address is a 48-bit hardware address of a network interface used on the local link, and ARP finds the MAC address that belongs to a given IPv4 address.
HOW / WHY IT WORKS:
A device wanting to reach a local IP broadcasts an ARP request, and the owner replies with its MAC. The answer is cached in the ARP table for a while. To reach a remote network, a device sends frames to the gateway's MAC. Attackers can forge ARP replies, which is called ARP spoofing. IPv6 uses neighbour discovery instead.
SIMPLE EXPLANATION (HINGLISH):
ARP turns an IP address into the MAC address needed on the local link.
REAL-LIFE ANALOGY:
ARP is shouting who has this IP and waiting for the owner to answer with their hardware name.
FORMULA / RULE:
IP says who, MAC says which card, ARP links them.
EXAMPLE 1:
arp -a showing IP and MAC pairs.
EXAMPLE 2:
A device sending to the gateway's MAC for outside traffic.
EXAMPLE 3:
A duplicate IP showing two MACs for one address.
RELATED CONCEPTS:
packets and frames, switches, DHCP, IPv6
FAMILY / GROUP:
MAC, ARP, cache, broadcast, neighbour
WHERE IT IS USED:
Switching | Troubleshooting | Security
MINI CONVERSATION:
A: Two devices claim the same IP. | B: Check the ARP table for two MACs.
COMMON MISTAKE:
✗ MAC addresses are used across the internet → ✓ They only matter on the local link, and change at each hop
DON'T CONFUSE WITH:
MAC vs IP: MAC identifies an interface locally, IP identifies it across networks.
AVOID / DON'T:
Do not trust MAC filtering as strong security.
MEMORY TRICK:
ARP asks who has this IP.
REAL LIFE: PROJECT / WORK:
Finding a duplicate IP by spotting two MAC addresses in the ARP table.
REAL LIFE: INTERVIEW / EXAM:
An interviewer may ask: What does ARP do?
REAL LIFE: DAILY LIFE:
It is like shouting who has this address.</t>
        </is>
      </c>
      <c r="C13" s="29" t="inlineStr">
        <is>
          <t>02_Addressing_Intermediate_NET-012</t>
        </is>
      </c>
    </row>
    <row r="14" ht="409" customHeight="1">
      <c r="A14" s="29" t="inlineStr">
        <is>
          <t>TCP vs UDP
Which two transport protocols differ in reliability versus speed?</t>
        </is>
      </c>
      <c r="B14" s="29" t="inlineStr">
        <is>
          <t>DEFINITION (SIMPLE):
TCP is a connection-oriented protocol that delivers data reliably and in order, and UDP is a connectionless protocol that sends datagrams quickly with no guarantee.
HOW / WHY IT WORKS:
TCP sets up a connection, numbers bytes, acknowledges them, retransmits losses and controls congestion. UDP has no setup and no retransmission, which means low delay. Web pages, email and databases use TCP. DNS queries, streaming, voice calls and games often use UDP. HTTP/3 builds reliability on top of UDP through QUIC.
SIMPLE EXPLANATION (HINGLISH):
TCP is safe and ordered, UDP is fast and light.
REAL-LIFE ANALOGY:
TCP is registered post with receipts, and UDP is a postcard dropped in the box.
FORMULA / RULE:
TCP = reliable and ordered. UDP = fast and best effort.
EXAMPLE 1:
A file download over TCP.
EXAMPLE 2:
A voice call over UDP, where a late packet is useless.
EXAMPLE 3:
A DNS query over UDP.
RELATED CONCEPTS:
TCP handshake, ports, DNS, HTTP/3
FAMILY / GROUP:
TCP, UDP, datagram, reliable, connectionless
WHERE IT IS USED:
Application design | Troubleshooting | Firewalls
MINI CONVERSATION:
A: Why does the video call skip instead of freezing? | B: It uses UDP, so lost data is skipped.
COMMON MISTAKE:
✗ UDP is always worse than TCP → ✓ UDP is the right choice when speed matters more than perfect delivery
DON'T CONFUSE WITH:
TCP vs UDP: TCP guarantees delivery, UDP does not.
AVOID / DON'T:
Do not build your own reliability unless you must.
MEMORY TRICK:
TCP checks every parcel, UDP just throws.
REAL LIFE: PROJECT / WORK:
Explaining that a real-time feed used UDP and tolerated small losses by design.
REAL LIFE: INTERVIEW / EXAM:
An interviewer may ask: When would you choose UDP over TCP?
REAL LIFE: DAILY LIFE:
It is like registered post versus a postcard.</t>
        </is>
      </c>
      <c r="C14" s="29" t="inlineStr">
        <is>
          <t>03_Protocols_Beginner_NET-013</t>
        </is>
      </c>
    </row>
    <row r="15" ht="409" customHeight="1">
      <c r="A15" s="29" t="inlineStr">
        <is>
          <t>The TCP handshake
Which three steps open a reliable TCP connection?</t>
        </is>
      </c>
      <c r="B15" s="29" t="inlineStr">
        <is>
          <t>DEFINITION (SIMPLE):
The TCP handshake is a three-step exchange of SYN, SYN-ACK and ACK segments that opens a connection and agrees on sequence numbers.
HOW / WHY IT WORKS:
The client sends SYN, the server answers SYN-ACK, and the client confirms with ACK, after which data flows. A closed port answers with a reset, which gives connection refused. A filtered port gives no answer, so the client times out. Closing uses FIN segments. TLS adds its own handshake on top of TCP.
SIMPLE EXPLANATION (HINGLISH):
SYN, SYN-ACK, ACK, and then data can flow.
REAL-LIFE ANALOGY:
It is a polite phone call that starts with hello, yes hello, and okay then.
FORMULA / RULE:
SYN → SYN-ACK → ACK.
EXAMPLE 1:
A browser opening a connection to port 443.
EXAMPLE 2:
A refused connection because the port is closed.
EXAMPLE 3:
A timeout because a firewall dropped the SYN.
RELATED CONCEPTS:
TCP vs UDP, TLS, firewalls, timeouts vs refused
FAMILY / GROUP:
SYN, ACK, handshake, reset, FIN
WHERE IT IS USED:
Packet captures | Troubleshooting | Security
MINI CONVERSATION:
A: The connection times out. | B: The SYN may be dropped by a firewall.
COMMON MISTAKE:
✗ Connection refused and timeout mean the same thing → ✓ Refused means someone answered no, and timeout means nobody answered
DON'T CONFUSE WITH:
Reset vs timeout: a reset is an active refusal, a timeout is silence.
AVOID / DON'T:
Do not assume a firewall when you see a reset.
MEMORY TRICK:
SYN, SYN-ACK, ACK opens the call.
REAL LIFE: PROJECT / WORK:
Using a capture to prove the server never sent SYN-ACK because a firewall dropped the request.
REAL LIFE: INTERVIEW / EXAM:
An interviewer may ask: What are the three steps of the TCP handshake?
REAL LIFE: DAILY LIFE:
It is like hello, yes hello, okay.</t>
        </is>
      </c>
      <c r="C15" s="29" t="inlineStr">
        <is>
          <t>03_Protocols_Intermediate_NET-014</t>
        </is>
      </c>
    </row>
    <row r="16" ht="409" customHeight="1">
      <c r="A16" s="29" t="inlineStr">
        <is>
          <t>DNS and record types
Which system turns names into addresses, and which records hold the answers?</t>
        </is>
      </c>
      <c r="B16" s="29" t="inlineStr">
        <is>
          <t>DEFINITION (SIMPLE):
DNS is a distributed system that resolves names into data, with record types such as A, AAAA, CNAME, MX, TXT and NS.
HOW / WHY IT WORKS:
A resolver asks root, top-level and authoritative servers in turn and caches the answer for its TTL. An A record holds an IPv4 address, AAAA an IPv6 address, CNAME an alias to another name, MX the mail servers and TXT free text such as verification codes. NS records name the servers that hold a zone. DNS usually uses UDP port 53, and TCP for large answers.
SIMPLE EXPLANATION (HINGLISH):
Ask the resolver for a name, get a record back, and it is cached for the TTL.
REAL-LIFE ANALOGY:
DNS is the contacts list of the internet.
FORMULA / RULE:
Name → resolver → authoritative server → record, cached for the TTL.
EXAMPLE 1:
An A record mapping app.example.com to an address.
EXAMPLE 2:
A CNAME pointing www to the main name.
EXAMPLE 3:
A TXT record proving ownership of a domain.
RELATED CONCEPTS:
DNS caching, dig, load balancers, email basics
FAMILY / GROUP:
resolver, zone, record, TTL, authoritative
WHERE IT IS USED:
Websites | Email | Troubleshooting
MINI CONVERSATION:
A: The site works by IP but not by name. | B: Check the DNS record and its cache.
COMMON MISTAKE:
✗ DNS changes appear instantly everywhere → ✓ Caches hold old answers until the TTL ends
DON'T CONFUSE WITH:
A vs CNAME: A gives an address, CNAME gives another name.
AVOID / DON'T:
Do not put a CNAME record on the bare domain apex. Use an A record or an alias record instead.
MEMORY TRICK:
A is address, MX is mail.
REAL LIFE: PROJECT / WORK:
Fixing a missing MX record that stopped a customer's email delivery.
REAL LIFE: INTERVIEW / EXAM:
An interviewer may ask: What happens when you type a URL into a browser?
REAL LIFE: DAILY LIFE:
It is like looking up a contact.</t>
        </is>
      </c>
      <c r="C16" s="29" t="inlineStr">
        <is>
          <t>03_Protocols_Beginner_NET-015</t>
        </is>
      </c>
    </row>
    <row r="17" ht="409" customHeight="1">
      <c r="A17" s="29" t="inlineStr">
        <is>
          <t>HTTP
Which protocol do browsers and APIs use to request and send web content?</t>
        </is>
      </c>
      <c r="B17" s="29" t="inlineStr">
        <is>
          <t>DEFINITION (SIMPLE):
HTTP is a request and response protocol where a client sends a method, a path, headers and an optional body, and a server returns a status code, headers and a body.
HOW / WHY IT WORKS:
Methods include GET to read, POST to create, PUT to replace, PATCH to change and DELETE to remove. Status codes group by first digit, with 2xx success, 3xx redirects, 4xx client errors and 5xx server errors. Headers carry details such as content type and authorisation. HTTP is stateless, so each request stands alone.
SIMPLE EXPLANATION (HINGLISH):
Send a method and path, receive a status and body, and remember each request is independent.
REAL-LIFE ANALOGY:
HTTP is a waiter's order slip with a request on one side and a numbered answer on the other.
FORMULA / RULE:
Request = method + path + headers + body. Response = status + headers + body.
EXAMPLE 1:
GET /users/42 returning 200.
EXAMPLE 2:
POST /orders returning 201.
EXAMPLE 3:
A request returning 404 for a missing path.
RELATED CONCEPTS:
HTTPS and TLS, APIs, HTTP/2 and HTTP/3, curl
FAMILY / GROUP:
method, status code, header, body, stateless
WHERE IT IS USED:
Web | APIs | Integrations
MINI CONVERSATION:
A: The API returns 401. | B: The request is missing valid credentials.
COMMON MISTAKE:
✗ A 500 error means the client made a mistake → ✓ 5xx errors are server-side, while 4xx errors are client-side
DON'T CONFUSE WITH:
4xx vs 5xx: 4xx means the request was wrong, 5xx means the server failed.
AVOID / DON'T:
Do not ignore status codes and parse only the body.
MEMORY TRICK:
Four for you, five for them.
REAL LIFE: PROJECT / WORK:
Reading status codes in logs to find that a customer app sent bad requests.
REAL LIFE: INTERVIEW / EXAM:
An interviewer may ask: What is the difference between PUT and PATCH?
REAL LIFE: DAILY LIFE:
It is like an order slip with a numbered answer.</t>
        </is>
      </c>
      <c r="C17" s="29" t="inlineStr">
        <is>
          <t>03_Protocols_Beginner_NET-016</t>
        </is>
      </c>
    </row>
    <row r="18" ht="409" customHeight="1">
      <c r="A18" s="29" t="inlineStr">
        <is>
          <t>HTTPS and TLS
Which protocol encrypts web traffic and proves the server's identity?</t>
        </is>
      </c>
      <c r="B18" s="29" t="inlineStr">
        <is>
          <t>DEFINITION (SIMPLE):
HTTPS is HTTP carried inside TLS, which encrypts the data, checks it was not altered, and authenticates the server using a certificate.
HOW / WHY IT WORKS:
During the TLS handshake the client and server agree on a version and cipher, the server presents its certificate, and both derive shared keys. Later data is encrypted with those keys. The certificate must be valid, unexpired, issued by a trusted authority and match the host name. TLS 1.3 is faster and removes old weak options.
SIMPLE EXPLANATION (HINGLISH):
TLS encrypts and verifies, and the certificate proves who the server is.
REAL-LIFE ANALOGY:
TLS is a sealed envelope with the sender's verified signature.
FORMULA / RULE:
HTTPS = HTTP + TLS, with a certificate for identity.
EXAMPLE 1:
A browser showing a padlock for https://example.com.
EXAMPLE 2:
A certificate error because the date has expired.
EXAMPLE 3:
Redirecting port 80 to port 443.
RELATED CONCEPTS:
certificates, HTTP, TLS inspection, curl -v
FAMILY / GROUP:
TLS, handshake, cipher, certificate, encryption
WHERE IT IS USED:
Websites | APIs | Internal services
MINI CONVERSATION:
A: The browser warns about the certificate. | B: It may be expired or for a different host name.
COMMON MISTAKE:
✗ The padlock means the website is trustworthy → ✓ It means the connection is encrypted, not that the site is honest
DON'T CONFUSE WITH:
HTTP vs HTTPS: HTTPS adds encryption and server authentication.
AVOID / DON'T:
Do not ignore certificate warnings or disable verification in code.
MEMORY TRICK:
HTTPS is HTTP wrapped in TLS.
REAL LIFE: PROJECT / WORK:
Fixing an integration that failed because the server certificate had expired.
REAL LIFE: INTERVIEW / EXAM:
An interviewer may ask: What happens during a TLS handshake?
REAL LIFE: DAILY LIFE:
It is like a sealed envelope with a signature.</t>
        </is>
      </c>
      <c r="C18" s="29" t="inlineStr">
        <is>
          <t>03_Protocols_Intermediate_NET-017</t>
        </is>
      </c>
    </row>
    <row r="19" ht="409" customHeight="1">
      <c r="A19" s="29" t="inlineStr">
        <is>
          <t>Certificates
Which documents bind a name to a public key and are signed by a trusted authority?</t>
        </is>
      </c>
      <c r="B19" s="29" t="inlineStr">
        <is>
          <t>DEFINITION (SIMPLE):
A certificate is a signed document that links a host name to a public key, issued by a certificate authority that clients trust.
HOW / WHY IT WORKS:
Servers present a chain, from their own certificate through intermediate authorities to a root already trusted by the client. The name must match one in the certificate, including alternative names. Certificates expire and can be revoked. Automated authorities such as Let's Encrypt issue short-lived certificates. Internal systems may use a private authority, which clients must be told to trust.
SIMPLE EXPLANATION (HINGLISH):
A certificate proves a name belongs to a key, and clients check the chain, name and dates.
REAL-LIFE ANALOGY:
A certificate is a passport issued by an authority that others trust.
FORMULA / RULE:
Valid dates + trusted chain + matching name = accepted.
EXAMPLE 1:
A certificate for api.example.com valid for ninety days.
EXAMPLE 2:
A chain with a missing intermediate causing errors.
EXAMPLE 3:
A private authority used inside a company.
RELATED CONCEPTS:
HTTPS and TLS, DNS, curl -v, expiry monitoring
FAMILY / GROUP:
certificate, authority, chain, expiry, SAN
WHERE IT IS USED:
Websites | Mutual TLS | Internal services
MINI CONVERSATION:
A: Only some clients show errors. | B: The server may not send the intermediate certificate.
COMMON MISTAKE:
✗ Certificates never need attention after setup → ✓ They expire, so renewal must be tracked or automated
DON'T CONFUSE WITH:
Public vs private authority: public ones are trusted by default, private ones must be installed.
AVOID / DON'T:
Do not turn off certificate verification to make an error go away.
MEMORY TRICK:
Check dates, chain and name every time.
REAL LIFE: PROJECT / WORK:
Automating renewal after an expired certificate caused an outage.
REAL LIFE: INTERVIEW / EXAM:
An interviewer may ask: What is a certificate chain?
REAL LIFE: DAILY LIFE:
It is like a passport issued by a trusted office.</t>
        </is>
      </c>
      <c r="C19" s="29" t="inlineStr">
        <is>
          <t>03_Protocols_Intermediate_NET-018</t>
        </is>
      </c>
    </row>
    <row r="20" ht="409" customHeight="1">
      <c r="A20" s="29" t="inlineStr">
        <is>
          <t>HTTP/2 and HTTP/3
Which newer versions of HTTP make web traffic faster?</t>
        </is>
      </c>
      <c r="B20" s="29" t="inlineStr">
        <is>
          <t>DEFINITION (SIMPLE):
HTTP/2 multiplexes many requests over a single TCP connection with compressed headers, and HTTP/3 does the same over QUIC, which runs on UDP.
HOW / WHY IT WORKS:
HTTP/2 removes the need for many parallel connections and compresses headers. A single lost packet can still stall all streams on TCP. HTTP/3 uses QUIC to avoid that, and speeds up connection setup. Both require TLS in practice. Support depends on the server, client and network, since some firewalls block UDP.
SIMPLE EXPLANATION (HINGLISH):
Newer versions send many requests in parallel on one connection and are faster.
REAL-LIFE ANALOGY:
HTTP/2 is one motorway with many lanes, and HTTP/3 builds it on a faster road base.
FORMULA / RULE:
One connection, many streams, less waiting.
EXAMPLE 1:
A browser loading many files over one HTTP/2 connection.
EXAMPLE 2:
A curl command forcing HTTP/3.
EXAMPLE 3:
A firewall blocking UDP so HTTP/3 falls back.
RELATED CONCEPTS:
HTTP, TCP vs UDP, TLS, CDN
FAMILY / GROUP:
multiplexing, QUIC, stream, header compression, fallback
WHERE IT IS USED:
Websites | CDNs | Performance tuning
MINI CONVERSATION:
A: Does our site support HTTP/3? | B: Yes, if UDP 443 is open to it.
COMMON MISTAKE:
✗ HTTP/2 and HTTP/3 change how you write API requests → ✓ Methods and status codes stay the same, only the transport improves
DON'T CONFUSE WITH:
HTTP/2 vs HTTP/3: HTTP/2 runs on TCP, HTTP/3 runs on QUIC over UDP.
AVOID / DON'T:
Do not block UDP 443 without knowing it breaks HTTP/3.
MEMORY TRICK:
Two multiplexes on TCP, three moves to UDP.
REAL LIFE: PROJECT / WORK:
Enabling HTTP/3 on a CDN and seeing faster loads on mobile networks.
REAL LIFE: INTERVIEW / EXAM:
An interviewer may ask: What problem does HTTP/2 solve?
REAL LIFE: DAILY LIFE:
It is like a motorway with many lanes.</t>
        </is>
      </c>
      <c r="C20" s="29" t="inlineStr">
        <is>
          <t>03_Protocols_Advanced_NET-019</t>
        </is>
      </c>
    </row>
    <row r="21" ht="409" customHeight="1">
      <c r="A21" s="29" t="inlineStr">
        <is>
          <t>WebSockets
Which protocol keeps a two-way connection open between a browser and a server?</t>
        </is>
      </c>
      <c r="B21" s="29" t="inlineStr">
        <is>
          <t>DEFINITION (SIMPLE):
A WebSocket is a long-lived, full-duplex connection started with an HTTP upgrade, over which both client and server can send messages at any time.
HOW / WHY IT WORKS:
The browser sends an HTTP request asking to upgrade, and the server accepts, after which the same TCP connection carries framed messages. It suits chat, dashboards and games. Proxies and load balancers must support upgrades and long timeouts. Each connection uses server resources, so scale needs planning. Secure versions use wss, which is WebSocket over TLS.
SIMPLE EXPLANATION (HINGLISH):
Open once with an upgrade, then both sides send messages freely until closed.
REAL-LIFE ANALOGY:
A WebSocket is a phone line left open, where either side can speak at any time.
FORMULA / RULE:
HTTP upgrade → persistent two-way channel.
EXAMPLE 1:
A live chat in a browser.
EXAMPLE 2:
A dashboard showing prices as they change.
EXAMPLE 3:
A load balancer closing idle sockets after sixty seconds.
RELATED CONCEPTS:
HTTP, TCP, load balancers, proxies
FAMILY / GROUP:
upgrade, full-duplex, wss, frame, keep-alive
WHERE IT IS USED:
Chat | Live dashboards | Games
MINI CONVERSATION:
A: The live feed drops every minute. | B: A proxy timeout is closing the idle socket.
COMMON MISTAKE:
✗ WebSockets replace HTTP completely → ✓ They begin as HTTP, and ordinary requests still use HTTP
DON'T CONFUSE WITH:
Polling vs WebSocket: polling asks repeatedly, a WebSocket stays open.
AVOID / DON'T:
Do not forget idle timeouts on proxies.
MEMORY TRICK:
Upgrade once, then talk both ways.
REAL LIFE: PROJECT / WORK:
Raising the load balancer idle timeout so live dashboards stopped disconnecting.
REAL LIFE: INTERVIEW / EXAM:
An interviewer may ask: When would you use WebSockets over polling?
REAL LIFE: DAILY LIFE:
It is like a phone line left open.</t>
        </is>
      </c>
      <c r="C21" s="29" t="inlineStr">
        <is>
          <t>03_Protocols_Intermediate_NET-020</t>
        </is>
      </c>
    </row>
    <row r="22" ht="409" customHeight="1">
      <c r="A22" s="29" t="inlineStr">
        <is>
          <t>SMTP and email basics
Which protocols and records move email between servers and prove it is genuine?</t>
        </is>
      </c>
      <c r="B22" s="29" t="inlineStr">
        <is>
          <t>DEFINITION (SIMPLE):
SMTP sends email between servers, IMAP or POP read it, and DNS records MX, SPF, DKIM and DMARC route and authenticate it.
HOW / WHY IT WORKS:
A sender's server looks up the MX record of the recipient's domain and delivers by SMTP. SPF lists servers allowed to send for the domain, DKIM signs messages with a key published in DNS, and DMARC says what to do when checks fail. Ports 25 and 587 carry SMTP. Missing records cause mail to land in spam or be rejected.
SIMPLE EXPLANATION (HINGLISH):
SMTP delivers mail, MX says where, and SPF, DKIM and DMARC prove it is genuine.
REAL-LIFE ANALOGY:
SMTP is the postal van, and SPF, DKIM and DMARC are seals proving it is yours.
FORMULA / RULE:
MX = where to deliver. SPF + DKIM + DMARC = who may send.
EXAMPLE 1:
An MX record pointing to a mail provider.
EXAMPLE 2:
A TXT record listing allowed senders for SPF.
EXAMPLE 3:
A DMARC policy rejecting failed mail.
RELATED CONCEPTS:
DNS and record types, TLS, ports, certificates
FAMILY / GROUP:
SMTP, MX, SPF, DKIM, DMARC
WHERE IT IS USED:
Notifications | Customer email | Security
MINI CONVERSATION:
A: Our invoices go to spam. | B: Check that SPF and DKIM are set for our domain.
COMMON MISTAKE:
✗ If an email shows our address, it was surely sent by us → ✓ The From address can be forged without SPF, DKIM and DMARC checks
DON'T CONFUSE WITH:
SPF vs DKIM: SPF checks the sending server, DKIM checks a signature on the message.
AVOID / DON'T:
Do not send bulk mail from a domain without authentication records.
MEMORY TRICK:
SPF who, DKIM signed, DMARC what then.
REAL LIFE: PROJECT / WORK:
Adding SPF and DKIM records so a customer's alerts stopped landing in spam.
REAL LIFE: INTERVIEW / EXAM:
An interviewer may ask: What do SPF, DKIM and DMARC do?
REAL LIFE: DAILY LIFE:
It is like a postal van with seals.</t>
        </is>
      </c>
      <c r="C22" s="29" t="inlineStr">
        <is>
          <t>03_Protocols_Intermediate_NET-021</t>
        </is>
      </c>
    </row>
    <row r="23" ht="409" customHeight="1">
      <c r="A23" s="29" t="inlineStr">
        <is>
          <t>Routers and switches
Which two devices connect networks together and connect devices inside one network?</t>
        </is>
      </c>
      <c r="B23" s="29" t="inlineStr">
        <is>
          <t>DEFINITION (SIMPLE):
A switch forwards frames between devices on the same network using MAC addresses, and a router forwards packets between different networks using IP addresses.
HOW / WHY IT WORKS:
A switch learns which MAC address is on which port and sends frames only there. A router has a routing table that chooses the next hop for a destination network. The default gateway is the router address that devices use for anything outside their subnet. Home devices often combine the two with Wi-Fi in one box.
SIMPLE EXPLANATION (HINGLISH):
Switches connect devices in one network, and routers connect different networks.
REAL-LIFE ANALOGY:
A switch is the corridor inside a building, and a router is the road that joins buildings.
FORMULA / RULE:
Switch = layer 2, MAC. Router = layer 3, IP.
EXAMPLE 1:
Laptops and printers connected to one office switch.
EXAMPLE 2:
A router sending traffic from 10.0.1.0/24 to 10.0.2.0/24.
EXAMPLE 3:
A default gateway sending unknown destinations to the internet.
RELATED CONCEPTS:
MAC and ARP, route tables, gateways, VLANs
FAMILY / GROUP:
switch, router, gateway, routing table, hop
WHERE IT IS USED:
Offices | Data centres | Cloud route tables
MINI CONVERSATION:
A: Which device sends traffic to another subnet? | B: The router, through the default gateway.
COMMON MISTAKE:
✗ Switches and routers do the same job → ✓ A switch works inside a network, and a router connects networks
DON'T CONFUSE WITH:
Switch vs router: a switch uses MAC addresses locally, a router uses IP addresses between networks.
AVOID / DON'T:
Do not call every network box a router.
MEMORY TRICK:
Switches work inside, routers work between.
REAL LIFE: PROJECT / WORK:
Tracing a customer outage to a missing route on the office router.
REAL LIFE: INTERVIEW / EXAM:
An interviewer may ask: What is a default gateway?
REAL LIFE: DAILY LIFE:
It is like a corridor versus a road.</t>
        </is>
      </c>
      <c r="C23" s="29" t="inlineStr">
        <is>
          <t>04_Devices_and_Paths_Beginner_NET-022</t>
        </is>
      </c>
    </row>
    <row r="24" ht="409" customHeight="1">
      <c r="A24" s="29" t="inlineStr">
        <is>
          <t>Firewalls
Which devices or services allow or block traffic according to rules?</t>
        </is>
      </c>
      <c r="B24" s="29" t="inlineStr">
        <is>
          <t>DEFINITION (SIMPLE):
A firewall filters network traffic using rules based on addresses, ports, protocols and sometimes connection state or application content.
HOW / WHY IT WORKS:
Stateful firewalls remember connections, so replies to allowed requests pass automatically. Rules are checked in order or by priority, with a default action for no match. Next-generation firewalls can also inspect applications. Host firewalls protect single machines, while network firewalls protect segments. Cloud security groups act as firewalls for instances.
SIMPLE EXPLANATION (HINGLISH):
Write rules that allow only needed traffic, and block everything else by default.
REAL-LIFE ANALOGY:
A firewall is the security desk that checks every visitor against a list.
FORMULA / RULE:
Match rule → allow or deny. No match → default deny.
EXAMPLE 1:
A rule allowing inbound port 443 only.
EXAMPLE 2:
A rule blocking outbound traffic to a bad address range.
EXAMPLE 3:
A host firewall allowing SSH only from the office.
RELATED CONCEPTS:
ports, security groups, zero trust, allow-lists
FAMILY / GROUP:
rule, stateful, deny, allow, rule order
WHERE IT IS USED:
Networks | Servers | Cloud
MINI CONVERSATION:
A: The port is open on the server but unreachable. | B: A firewall rule may block it.
COMMON MISTAKE:
✗ Opening a port on the server is enough to make a service reachable → ✓ Every firewall on the path must allow it
DON'T CONFUSE WITH:
Stateful vs stateless filter: stateful remembers connections, stateless checks each packet alone.
AVOID / DON'T:
Do not allow all traffic just to make something work.
MEMORY TRICK:
Default deny, allow by exception.
REAL LIFE: PROJECT / WORK:
Tightening a rule from any address to the office range after an audit.
REAL LIFE: INTERVIEW / EXAM:
An interviewer may ask: What is a stateful firewall?
REAL LIFE: DAILY LIFE:
It is like a security desk with a visitor list.</t>
        </is>
      </c>
      <c r="C24" s="29" t="inlineStr">
        <is>
          <t>04_Devices_and_Paths_Intermediate_NET-023</t>
        </is>
      </c>
    </row>
    <row r="25" ht="409" customHeight="1">
      <c r="A25" s="29" t="inlineStr">
        <is>
          <t>Proxies and reverse proxies
Which intermediaries sit between clients and servers on either side?</t>
        </is>
      </c>
      <c r="B25" s="29" t="inlineStr">
        <is>
          <t>DEFINITION (SIMPLE):
A forward proxy makes requests on behalf of clients, and a reverse proxy receives requests on behalf of servers and forwards them to the right backend.
HOW / WHY IT WORKS:
Forward proxies filter, log and cache outgoing web traffic, and many companies force browsers through one. Reverse proxies such as Nginx terminate TLS, balance load, cache and hide backend details. Proxies add headers such as X-Forwarded-For, which carry the original client address. Misconfigured proxies cause timeouts and wrong addresses in logs.
SIMPLE EXPLANATION (HINGLISH):
Forward proxies speak for clients, reverse proxies speak for servers.
REAL-LIFE ANALOGY:
A forward proxy is a travel agent for staff, and a reverse proxy is the building receptionist.
FORMULA / RULE:
Forward = client side. Reverse = server side.
EXAMPLE 1:
A company proxy filtering employee web access.
EXAMPLE 2:
Nginx in front of three app servers.
EXAMPLE 3:
A header showing the original client address.
RELATED CONCEPTS:
load balancers, TLS inspection, CDN, proxy problems
FAMILY / GROUP:
proxy, reverse proxy, header, backend, cache
WHERE IT IS USED:
Corporate networks | Web hosting | APIs
MINI CONVERSATION:
A: All our logs show the same client address. | B: The proxy hides it, so read X-Forwarded-For.
COMMON MISTAKE:
✗ A proxy and a VPN do the same thing → ✓ A proxy handles specific application traffic, while a VPN tunnels all network traffic
DON'T CONFUSE WITH:
Forward vs reverse proxy: forward protects clients, reverse protects servers.
AVOID / DON'T:
Do not trust forwarded headers from untrusted sources.
MEMORY TRICK:
Forward faces clients, reverse faces servers.
REAL LIFE: PROJECT / WORK:
Reading forwarded headers to find real client addresses behind a reverse proxy.
REAL LIFE: INTERVIEW / EXAM:
An interviewer may ask: What is a reverse proxy used for?
REAL LIFE: DAILY LIFE:
It is like a building receptionist.</t>
        </is>
      </c>
      <c r="C25" s="29" t="inlineStr">
        <is>
          <t>04_Devices_and_Paths_Intermediate_NET-024</t>
        </is>
      </c>
    </row>
    <row r="26" ht="409" customHeight="1">
      <c r="A26" s="29" t="inlineStr">
        <is>
          <t>Load balancers (layer 4 vs layer 7)
How do load balancers differ when they work on connections versus on requests?</t>
        </is>
      </c>
      <c r="B26" s="29" t="inlineStr">
        <is>
          <t>DEFINITION (SIMPLE):
A layer 4 load balancer distributes connections by address and port, and a layer 7 load balancer inspects HTTP details such as paths, headers and cookies to choose a backend.
HOW / WHY IT WORKS:
Layer 4 is faster and simpler and works for any TCP or UDP service. Layer 7 can route by path, host or header, terminate TLS, rewrite requests and apply rules. Both use health checks and algorithms such as round robin or least connections. Sticky sessions send a user to the same backend, which should be avoided if possible.
SIMPLE EXPLANATION (HINGLISH):
Layer 4 balances connections quickly, layer 7 makes smarter decisions from HTTP content.
REAL-LIFE ANALOGY:
Layer 4 is a post room sorting by address only, and layer 7 reads the letter first.
FORMULA / RULE:
L4 = address and port. L7 = path, host and headers.
EXAMPLE 1:
A layer 4 balancer for a database proxy.
EXAMPLE 2:
A layer 7 balancer sending /api to one pool.
EXAMPLE 3:
Least connections choosing the quietest server.
RELATED CONCEPTS:
cloud load balancers, TLS, health checks, proxies
FAMILY / GROUP:
layer 4, layer 7, round robin, sticky, health check
WHERE IT IS USED:
Web services | APIs | Cloud
MINI CONVERSATION:
A: We need different servers for /api and /web. | B: Use a layer 7 balancer with path rules.
COMMON MISTAKE:
✗ Sticky sessions are good practice for scaling → ✓ They limit even distribution, so share session state instead
DON'T CONFUSE WITH:
Layer 4 vs layer 7: L4 is faster and simple, L7 is smarter and HTTP aware.
AVOID / DON'T:
Do not rely on sticky sessions to fix poor design.
MEMORY TRICK:
Four sees ports, seven reads paths.
REAL LIFE: PROJECT / WORK:
Switching to path-based routing so one balancer served three services.
REAL LIFE: INTERVIEW / EXAM:
An interviewer may ask: When would you choose a layer 4 balancer?
REAL LIFE: DAILY LIFE:
It is like sorting mail by address or by content.</t>
        </is>
      </c>
      <c r="C26" s="29" t="inlineStr">
        <is>
          <t>04_Devices_and_Paths_Intermediate_NET-025</t>
        </is>
      </c>
    </row>
    <row r="27" ht="409" customHeight="1">
      <c r="A27" s="29" t="inlineStr">
        <is>
          <t>VPN
Which technology creates a private encrypted tunnel across a public network?</t>
        </is>
      </c>
      <c r="B27" s="29" t="inlineStr">
        <is>
          <t>DEFINITION (SIMPLE):
A virtual private network encrypts traffic between two endpoints and carries it over a public network as if the endpoints were on one private network.
HOW / WHY IT WORKS:
A site-to-site VPN joins two networks, such as an office and a cloud network, while a remote-access VPN connects one user to a network. Common protocols include IPsec, OpenVPN and WireGuard. Split tunnelling sends only some traffic through the VPN. Address ranges must not overlap between the sides. Throughput is limited by encryption and the internet path.
SIMPLE EXPLANATION (HINGLISH):
A VPN tunnels and encrypts traffic so remote parties can use a private network.
REAL-LIFE ANALOGY:
A VPN is a private covered bridge across a public river.
FORMULA / RULE:
Encrypted tunnel + routes to private ranges.
EXAMPLE 1:
An office linked to a cloud VPC by site-to-site VPN.
EXAMPLE 2:
An engineer connecting from home with a client.
EXAMPLE 3:
Split tunnelling sending only company traffic through the VPN.
RELATED CONCEPTS:
IPsec, route tables, subnets, zero trust
FAMILY / GROUP:
tunnel, IPsec, WireGuard, split tunnel, endpoint
WHERE IT IS USED:
Hybrid cloud | Remote work | Customer links
MINI CONVERSATION:
A: The VPN is up but we cannot reach the server. | B: Check that routes and firewalls allow that subnet.
COMMON MISTAKE:
✗ A VPN makes you anonymous and fully safe → ✓ It protects the path between endpoints, not what happens at either end
DON'T CONFUSE WITH:
Site-to-site vs remote-access: one joins networks, the other connects one user.
AVOID / DON'T:
Do not use overlapping address ranges across a VPN.
MEMORY TRICK:
Tunnel up still needs routes up.
REAL LIFE: PROJECT / WORK:
Building a site-to-site VPN so a customer's data centre could reach a cloud network.
REAL LIFE: INTERVIEW / EXAM:
An interviewer may ask: What is the difference between site-to-site and remote-access VPNs?
REAL LIFE: DAILY LIFE:
It is like a covered bridge across a river.</t>
        </is>
      </c>
      <c r="C27" s="29" t="inlineStr">
        <is>
          <t>04_Devices_and_Paths_Intermediate_NET-026</t>
        </is>
      </c>
    </row>
    <row r="28" ht="409" customHeight="1">
      <c r="A28" s="29" t="inlineStr">
        <is>
          <t>CDN and edge networks
How do content delivery networks bring data closer to users?</t>
        </is>
      </c>
      <c r="B28" s="29" t="inlineStr">
        <is>
          <t>DEFINITION (SIMPLE):
A content delivery network is a distributed set of cache servers that store copies of content near users and fetch from the origin only on a miss.
HOW / WHY IT WORKS:
DNS or anycast routing sends each user to a nearby edge location. A cache hit is served locally, and a miss goes to the origin. Cache-Control headers decide how long content stays cached. CDNs also absorb traffic spikes, terminate TLS near the user and filter attacks. Purging removes outdated content.
SIMPLE EXPLANATION (HINGLISH):
Serve popular files from nearby caches and let the origin handle only misses.
REAL-LIFE ANALOGY:
A CDN is a chain of local shops stocking your goods.
FORMULA / RULE:
Hit = nearby copy. Miss = fetch from origin once.
EXAMPLE 1:
Images served from an edge in the user's city.
EXAMPLE 2:
A Cache-Control header of one day.
EXAMPLE 3:
Purging a stale script after a release.
RELATED CONCEPTS:
HTTP, DNS, TLS, latency
FAMILY / GROUP:
edge, origin, cache hit, purge, anycast
WHERE IT IS USED:
Websites | Downloads | Streaming
MINI CONVERSATION:
A: Users abroad see old files. | B: The edge cache is stale, so purge it.
COMMON MISTAKE:
✗ A CDN stores only images → ✓ It can cache many kinds of content and also accelerate dynamic traffic
DON'T CONFUSE WITH:
Origin vs edge: the origin holds the source, the edge holds cached copies.
AVOID / DON'T:
Do not cache personalised pages for everyone.
MEMORY TRICK:
Edges hold copies, the origin owns them.
REAL LIFE: PROJECT / WORK:
Putting static assets on a CDN and halving page load time for distant users.
REAL LIFE: INTERVIEW / EXAM:
An interviewer may ask: What is a cache miss at a CDN?
REAL LIFE: DAILY LIFE:
It is like local shops stocking goods.</t>
        </is>
      </c>
      <c r="C28" s="29" t="inlineStr">
        <is>
          <t>04_Devices_and_Paths_Intermediate_NET-027</t>
        </is>
      </c>
    </row>
    <row r="29" ht="409" customHeight="1">
      <c r="A29" s="29" t="inlineStr">
        <is>
          <t>Gateways
Which devices or addresses connect one network to another or to a different kind of network?</t>
        </is>
      </c>
      <c r="B29" s="29" t="inlineStr">
        <is>
          <t>DEFINITION (SIMPLE):
A gateway is a node that connects two networks, and the default gateway is the router address a device uses to reach anything outside its own subnet.
HOW / WHY IT WORKS:
A device compares a destination with its own subnet. If it is outside, the frame goes to the gateway's MAC address. In clouds, internet gateways and NAT gateways play this role for private networks. API gateways are a different idea, where a service fronts many APIs. Wrong gateways cause local traffic to work and outside traffic to fail.
SIMPLE EXPLANATION (HINGLISH):
The gateway is the door to everything outside your own network.
REAL-LIFE ANALOGY:
A gateway is the front gate of a compound where traffic passes.
FORMULA / RULE:
Destination outside subnet → send to gateway.
EXAMPLE 1:
192.168.1.1 as a home gateway.
EXAMPLE 2:
A cloud NAT gateway for private servers.
EXAMPLE 3:
An API gateway in front of microservices.
RELATED CONCEPTS:
routers and switches, NAT, route tables, cloud gateways
FAMILY / GROUP:
gateway, default route, next hop, subnet, boundary
WHERE IT IS USED:
Home networks | Cloud | Troubleshooting
MINI CONVERSATION:
A: I can ping local servers but not the internet. | B: The default gateway may be wrong.
COMMON MISTAKE:
✗ An API gateway and a network gateway are the same → ✓ An API gateway manages API traffic, a network gateway routes between networks
DON'T CONFUSE WITH:
Default gateway vs API gateway: one routes packets out, the other manages API calls.
AVOID / DON'T:
Do not set a gateway outside the local subnet.
MEMORY TRICK:
Local works, outside fails, check the gateway.
REAL LIFE: PROJECT / WORK:
Correcting a wrong gateway setting on a new server that could reach nothing outside.
REAL LIFE: INTERVIEW / EXAM:
An interviewer may ask: What is a default gateway?
REAL LIFE: DAILY LIFE:
It is like the front gate of a compound.</t>
        </is>
      </c>
      <c r="C29" s="29" t="inlineStr">
        <is>
          <t>04_Devices_and_Paths_Beginner_NET-028</t>
        </is>
      </c>
    </row>
    <row r="30" ht="409" customHeight="1">
      <c r="A30" s="29" t="inlineStr">
        <is>
          <t>Zero trust
Which security model treats no user or device as trusted just because of its network location?</t>
        </is>
      </c>
      <c r="B30" s="29" t="inlineStr">
        <is>
          <t>DEFINITION (SIMPLE):
Zero trust is a model where every request is authenticated, authorised and checked regardless of whether it comes from inside or outside the network.
HOW / WHY IT WORKS:
Instead of one strong wall and a soft inside, access is granted per resource using identity, device state and context. Network segments are small, and services talk through verified, encrypted paths. Least privilege and continuous monitoring support it. Zero trust is an approach, not a single product.
SIMPLE EXPLANATION (HINGLISH):
Never trust a request just because it is on the internal network.
REAL-LIFE ANALOGY:
Zero trust is a building where every door has its own lock and a guard.
FORMULA / RULE:
Verify identity + device + context for every request.
EXAMPLE 1:
Access to an app only after sign-in and device check.
EXAMPLE 2:
Services using mutual TLS inside the network.
EXAMPLE 3:
Short sessions that need re-authentication.
RELATED CONCEPTS:
firewalls, VPN, least privilege, mutual TLS
FAMILY / GROUP:
zero trust, identity, segmentation, verify, context
WHERE IT IS USED:
Modern enterprises | Cloud security | Remote work
MINI CONVERSATION:
A: It is on the internal network, so it is safe. | B: Zero trust says to verify it anyway.
COMMON MISTAKE:
✗ Zero trust means buying one special product → ✓ It is an approach made of many controls working together
DON'T CONFUSE WITH:
Perimeter vs zero trust: perimeter trusts the inside, zero trust verifies everywhere.
AVOID / DON'T:
Do not treat internal traffic as automatically safe.
MEMORY TRICK:
Never trust, always verify, every request.
REAL LIFE: PROJECT / WORK:
Replacing a flat VPN with per-application access checks for contractors.
REAL LIFE: INTERVIEW / EXAM:
An interviewer may ask: How is zero trust different from a VPN-based perimeter?
REAL LIFE: DAILY LIFE:
It is like a lock and a guard on every door.</t>
        </is>
      </c>
      <c r="C30" s="29" t="inlineStr">
        <is>
          <t>05_Network_Security_Intermediate_NET-029</t>
        </is>
      </c>
    </row>
    <row r="31" ht="409" customHeight="1">
      <c r="A31" s="29" t="inlineStr">
        <is>
          <t>TLS inspection
How do some organisations decrypt and inspect encrypted traffic, and what are the risks?</t>
        </is>
      </c>
      <c r="B31" s="29" t="inlineStr">
        <is>
          <t>DEFINITION (SIMPLE):
TLS inspection is when a network device terminates the client's TLS connection, inspects the content, and opens a new TLS connection to the server, presenting its own certificate to the client.
HOW / WHY IT WORKS:
The client must trust the inspecting device's authority certificate, usually installed by the organisation on managed devices. Tools that use their own certificate store can fail with trust errors. Pinned certificates break completely. Inspection raises privacy and security concerns, so sensitive categories are often excluded.
SIMPLE EXPLANATION (HINGLISH):
A middle device decrypts and re-encrypts traffic, and clients must trust its certificate.
REAL-LIFE ANALOGY:
It is a mail room that opens, reads and reseals every envelope.
FORMULA / RULE:
Two TLS sessions with an inspector in between.
EXAMPLE 1:
A browser showing a company-issued certificate for a public site.
EXAMPLE 2:
A command line tool failing with unknown authority.
EXAMPLE 3:
An app with pinned certificates refusing to connect.
RELATED CONCEPTS:
HTTPS and TLS, certificates, proxies, curl -v
FAMILY / GROUP:
inspection, interception, trust store, pinning, authority
WHERE IT IS USED:
Corporate networks | Customer sites | Security tools
MINI CONVERSATION:
A: Our tool fails with a certificate error only at the customer. | B: Their proxy inspects TLS, so add their authority.
COMMON MISTAKE:
✗ A different certificate always means an attack → ✓ It may be legitimate company inspection, but you must confirm
DON'T CONFUSE WITH:
End-to-end TLS vs inspected TLS: one is a single session, the other is split in two.
AVOID / DON'T:
Do not disable verification instead of trusting the right authority.
MEMORY TRICK:
Unexpected issuer means check for inspection.
REAL LIFE: PROJECT / WORK:
Installing a customer's inspection authority into the tool's trust store.
REAL LIFE: INTERVIEW / EXAM:
An interviewer may ask: Why might a tool fail on a corporate network?
REAL LIFE: DAILY LIFE:
It is like a mail room that reseals envelopes.</t>
        </is>
      </c>
      <c r="C31" s="29" t="inlineStr">
        <is>
          <t>05_Network_Security_Advanced_NET-030</t>
        </is>
      </c>
    </row>
    <row r="32" ht="409" customHeight="1">
      <c r="A32" s="29" t="inlineStr">
        <is>
          <t>Allow-lists
Which approach permits only known addresses or names and blocks everything else?</t>
        </is>
      </c>
      <c r="B32" s="29" t="inlineStr">
        <is>
          <t>DEFINITION (SIMPLE):
An allow-list permits only listed addresses, domains, ports or applications, and denies everything not on the list.
HOW / WHY IT WORKS:
Outbound allow-lists limit which sites a server can call, which stops data theft and malware calls. Inbound allow-lists limit who may reach a service, such as an office address range for a database. Lists by IP break when providers change addresses, so name-based or service-based rules may suit better. Reviews remove stale entries.
SIMPLE EXPLANATION (HINGLISH):
Permit only what is known and needed, and review the list often.
REAL-LIFE ANALOGY:
An allow-list is a guest list at the door.
FORMULA / RULE:
Not on the list = blocked.
EXAMPLE 1:
A database allowing only the app subnet.
EXAMPLE 2:
A server permitted to call one payment API only.
EXAMPLE 3:
A customer sharing a list of source addresses for our service.
RELATED CONCEPTS:
firewalls, security groups, least privilege, proxies
FAMILY / GROUP:
allow-list, deny-list, entry, egress, ingress
WHERE IT IS USED:
Customer networks | Cloud | Compliance
MINI CONVERSATION:
A: The customer needs our source IPs. | B: Give them our NAT address so they can add it to their allow-list.
COMMON MISTAKE:
✗ Allow-lists are set once and then fine forever → ✓ Addresses change and entries go stale, so they need reviews
DON'T CONFUSE WITH:
Allow-list vs deny-list: allow-lists block by default, deny-lists allow by default.
AVOID / DON'T:
Do not leave unexplained entries in a list.
MEMORY TRICK:
Guest list in, everyone else out.
REAL LIFE: PROJECT / WORK:
Giving a customer a fixed NAT address so they could allow-list our service.
REAL LIFE: INTERVIEW / EXAM:
An interviewer may ask: Why is an allow-list safer than a deny-list?
REAL LIFE: DAILY LIFE:
It is like a guest list at the door.</t>
        </is>
      </c>
      <c r="C32" s="29" t="inlineStr">
        <is>
          <t>05_Network_Security_Intermediate_NET-031</t>
        </is>
      </c>
    </row>
    <row r="33" ht="409" customHeight="1">
      <c r="A33" s="29" t="inlineStr">
        <is>
          <t>Bastion hosts
Which hardened server acts as the single entry point into a private network?</t>
        </is>
      </c>
      <c r="B33" s="29" t="inlineStr">
        <is>
          <t>DEFINITION (SIMPLE):
A bastion host is a hardened, tightly monitored server in a public subnet that administrators connect to first, in order to reach private servers.
HOW / WHY IT WORKS:
Only the bastion accepts SSH from the internet, and only from allowed addresses. Private servers accept SSH only from the bastion. Access is logged and uses keys with multi-factor authentication. Modern alternatives include session managers, identity-aware proxies and just-in-time access, which avoid a permanently exposed port.
SIMPLE EXPLANATION (HINGLISH):
Connect to one guarded host, and jump from there to private servers.
REAL-LIFE ANALOGY:
A bastion is the castle gatehouse, strong, watched and the only way in.
FORMULA / RULE:
Internet → bastion → private servers.
EXAMPLE 1:
SSH to a bastion and then to a database host.
EXAMPLE 2:
ProxyJump configured in an SSH config file.
EXAMPLE 3:
A session manager replacing the bastion.
RELATED CONCEPTS:
SSH tunnels, security groups, least privilege, zero trust
FAMILY / GROUP:
bastion, jump host, ProxyJump, hardened, audit
WHERE IT IS USED:
Cloud admin | Private networks | Audits
MINI CONVERSATION:
A: How do we reach the private database server? | B: Through the bastion with ProxyJump.
COMMON MISTAKE:
✗ A bastion host can be a normal general-purpose server → ✓ It must be minimal, hardened and monitored
DON'T CONFUSE WITH:
Bastion vs session manager: a bastion needs an open port, a session manager does not.
AVOID / DON'T:
Do not run other services on a bastion.
MEMORY TRICK:
One guarded gate, then the inner rooms.
REAL LIFE: PROJECT / WORK:
Replacing a bastion with a session manager to close the last public SSH port.
REAL LIFE: INTERVIEW / EXAM:
An interviewer may ask: How do you give admins access to private servers?
REAL LIFE: DAILY LIFE:
It is like a castle gatehouse.</t>
        </is>
      </c>
      <c r="C33" s="29" t="inlineStr">
        <is>
          <t>05_Network_Security_Advanced_NET-032</t>
        </is>
      </c>
    </row>
    <row r="34" ht="409" customHeight="1">
      <c r="A34" s="29" t="inlineStr">
        <is>
          <t>SSH tunnels
How can you reach a private service securely through an SSH connection?</t>
        </is>
      </c>
      <c r="B34" s="29" t="inlineStr">
        <is>
          <t>DEFINITION (SIMPLE):
An SSH tunnel forwards a local or remote port through an encrypted SSH connection, so traffic reaches a service on the far side.
HOW / WHY IT WORKS:
A local forward opens a port on your machine, such as 5433, and sends connections through the SSH server to a target like db.internal:5432. A remote forward does the reverse. Dynamic forwarding makes a SOCKS proxy. Tunnels are handy for debugging but can bypass controls, so teams should know when they are used and avoid leaving them open.
SIMPLE EXPLANATION (HINGLISH):
ssh -L opens a local port that leads through the server to a private service.
REAL-LIFE ANALOGY:
An SSH tunnel is a pipe laid inside an encrypted cable.
FORMULA / RULE:
Local port → SSH server → target host and port.
EXAMPLE 1:
ssh -L 5433:db.internal:5432 bastion
EXAMPLE 2:
A remote forward exposing a local web app temporarily.
EXAMPLE 3:
ssh -D 1080 for a SOCKS proxy.
RELATED CONCEPTS:
bastion hosts, ports, VPN, SSH keys
FAMILY / GROUP:
tunnel, forward, local, remote, SOCKS
WHERE IT IS USED:
Debugging | Private access | Temporary access
MINI CONVERSATION:
A: I need to query the private database now. | B: Open an SSH tunnel through the bastion.
COMMON MISTAKE:
✗ SSH tunnels are a permanent replacement for proper access → ✓ They suit short tasks, and long-term access should use managed paths
DON'T CONFUSE WITH:
Local vs remote forward: local brings a remote service to you, remote exposes your service to them.
AVOID / DON'T:
Do not leave tunnels open after finishing.
MEMORY TRICK:
Dash L brings it local.
REAL LIFE: PROJECT / WORK:
Opening a tunnel through a bastion to check data in a private database.
REAL LIFE: INTERVIEW / EXAM:
An interviewer may ask: How do you reach a private database from your laptop?
REAL LIFE: DAILY LIFE:
It is like a pipe inside a protected cable.</t>
        </is>
      </c>
      <c r="C34" s="29" t="inlineStr">
        <is>
          <t>05_Network_Security_Intermediate_NET-033</t>
        </is>
      </c>
    </row>
    <row r="35" ht="409" customHeight="1">
      <c r="A35" s="29" t="inlineStr">
        <is>
          <t>A troubleshooting method
Which step-by-step approach finds a network problem without guessing?</t>
        </is>
      </c>
      <c r="B35" s="29" t="inlineStr">
        <is>
          <t>DEFINITION (SIMPLE):
A troubleshooting method defines the problem, checks the layers from the bottom up or the top down, forms a hypothesis, tests it, fixes one thing and confirms the result.
HOW / WHY IT WORKS:
Start with what exactly fails, for whom and since when. Check the basics first: link, address, gateway, DNS and port. Compare a working case with the failing one, such as another client or another network. Use the right tool for each layer. Record findings so a colleague can continue. Verify the fix with the original user.
SIMPLE EXPLANATION (HINGLISH):
Define, isolate, test one idea at a time, fix, and verify.
REAL-LIFE ANALOGY:
Troubleshooting is a doctor's routine of symptoms, tests, diagnosis and treatment.
FORMULA / RULE:
Symptom → hypothesis → test → fix → verify.
EXAMPLE 1:
Testing the gateway, then DNS, then the port, in that order.
EXAMPLE 2:
Comparing a failing laptop with a working one.
EXAMPLE 3:
Writing a short incident note of steps tried.
RELATED CONCEPTS:
OSI layers, ping, dig, curl -v
FAMILY / GROUP:
symptom, hypothesis, isolate, verify, baseline
WHERE IT IS USED:
Incidents | Customer support | Operations
MINI CONVERSATION:
A: Nothing works, restart everything. | B: Let us first check which layer fails.
COMMON MISTAKE:
✗ Changing several settings at once speeds up the fix → ✓ It hides which change helped and may cause new problems
DON'T CONFUSE WITH:
Top-down vs bottom-up: one starts at the application, the other at the cable.
AVOID / DON'T:
Do not change several things at once.
MEMORY TRICK:
One change, one test, one note.
REAL LIFE: PROJECT / WORK:
Following a layer checklist to show a customer that their DNS, not our service, failed.
REAL LIFE: INTERVIEW / EXAM:
An interviewer may ask: How do you troubleshoot a connectivity problem?
REAL LIFE: DAILY LIFE:
It is like a doctor working through symptoms.</t>
        </is>
      </c>
      <c r="C35" s="29" t="inlineStr">
        <is>
          <t>06_Troubleshooting_Intermediate_NET-034</t>
        </is>
      </c>
    </row>
    <row r="36" ht="409" customHeight="1">
      <c r="A36" s="29" t="inlineStr">
        <is>
          <t>ping
Which command tests whether a host replies and how long the round trip takes?
ping -c 4 8.8.8.8
ping -c 4 example.com</t>
        </is>
      </c>
      <c r="B36" s="29" t="inlineStr">
        <is>
          <t>MEANING (SHORT):
ping sends ICMP echo requests to a host and reports whether replies arrive, how long they take and whether any are lost.
CODE:
ping -c 4 8.8.8.8
ping -c 4 example.com
OUTPUT:
Four replies with times such as 12 ms are shown, followed by a summary of packet loss and average time.
EXPLANATION:
Pinging an address tests basic reachability, and pinging a name also tests DNS. Time shows latency, and loss shows an unreliable path. Firewalls often drop ICMP, so a silent host may still be up. On Windows use -n instead of -c to set the count. Ping uses ICMP and not TCP or UDP, so it does not prove that a port works.
SIMPLE EXPLANATION (HINGLISH):
Ping an address first, then a name, to separate network problems from DNS problems.
REAL-LIFE ANALOGY:
Ping is a sonar pulse that bounces back from the target.
SYNTAX PATTERN:
ping [-c count] host
ANATOMY:
-c = number of requests | host = name or address | time = round trip | loss = missing replies
EXAMPLE 1:
ping -c 3 192.168.1.1
EXAMPLE 2:
ping -c 3 localhost
EXAMPLE 3:
ping -c 3 google.com
VARIATION:
ping -n 4 example.com   // Windows form
USED WITH:
traceroute, dig, curl
RELATED CONCEPTS:
traceroute, dig, timeouts vs refused, latency
ALTERNATIVES:
curl or nc to test real ports
WHERE IT IS USED:
Quick checks | Latency tests | Troubleshooting
MINI CONVERSATION:
A: Ping to the name fails but the IP works. | B: That points to a DNS problem.
COMMON MISTAKE:
✗ If ping fails, the server is down → ✓ ICMP may be blocked while the service works
COMMONLY CONFUSED WITH:
ping vs curl: ping tests ICMP reachability, curl tests an actual web service.
AVOID / DON'T:
Do not conclude a host is down from one failed ping.
WRONG CODE:
ping example.com
RIGHT CODE:
ping -c 4 example.com
MEMORY TRICK:
Count flag stops endless pinging on Linux.
REAL LIFE: PROJECT / WORK:
Showing a customer that the IP replied but the name did not, which pointed to DNS.
REAL LIFE: INTERVIEW / EXAM:
An interviewer may ask: What protocol does ping use?
REAL LIFE: DAILY LIFE:
It is like a sonar pulse.</t>
        </is>
      </c>
      <c r="C36" s="29" t="inlineStr">
        <is>
          <t>06_Troubleshooting_Beginner_NET-035</t>
        </is>
      </c>
    </row>
    <row r="37" ht="409" customHeight="1">
      <c r="A37" s="29" t="inlineStr">
        <is>
          <t>traceroute
Which command shows the path packets take and where they slow down or stop?
traceroute -n example.com
sudo traceroute -T -p 443 example.com</t>
        </is>
      </c>
      <c r="B37" s="29" t="inlineStr">
        <is>
          <t>MEANING (SHORT):
traceroute sends packets with increasing time-to-live values so each router on the path reveals itself, producing a list of hops with delays.
CODE:
traceroute -n example.com
sudo traceroute -T -p 443 example.com
OUTPUT:
Numbered lines list each router address with three timings, and stars appear where a hop does not answer.
EXPLANATION:
Each router lowers the time-to-live by one and replies with an error when it reaches zero, which shows its address. Stars may only mean that a router ignores these probes, not that it is broken. The path can differ between runs. -n skips name lookups, and -T uses TCP, which passes firewalls more often. On Windows use tracert.
SIMPLE EXPLANATION (HINGLISH):
Run traceroute to see each hop, and look for where delay grows or replies end.
REAL-LIFE ANALOGY:
Traceroute is a trail of breadcrumbs dropped at each junction.
SYNTAX PATTERN:
traceroute [-n] [-T -p port] host
ANATOMY:
-n = no name lookup | -T = TCP probes | -p = port | hop = one router
EXAMPLE 1:
traceroute -n 1.1.1.1
EXAMPLE 2:
traceroute -m 20 example.com
EXAMPLE 3:
tracert example.com
VARIATION:
mtr example.com   // a live combined ping and traceroute
USED WITH:
ping, mtr, firewalls
RELATED CONCEPTS:
ping, routers, latency, timeouts vs refused
ALTERNATIVES:
mtr | Online path tools
WHERE IT IS USED:
Path faults | Slow links | ISP reports
MINI CONVERSATION:
A: Where does the traffic stop? | B: Hop six goes silent, so check beyond it.
COMMON MISTAKE:
✗ A star in traceroute always marks the broken router → ✓ Many routers ignore probes while still forwarding traffic
COMMONLY CONFUSED WITH:
traceroute vs ping: traceroute lists the path, ping tests one destination.
AVOID / DON'T:
Do not blame a hop for stars if later hops respond.
WRONG CODE:
traceroute -T -p 443 example.com   # TCP mode needs root
RIGHT CODE:
sudo traceroute -T -p 443 example.com
MEMORY TRICK:
Stars alone prove nothing about a hop.
REAL LIFE: PROJECT / WORK:
Using traceroute to show a provider where latency jumped on the path.
REAL LIFE: INTERVIEW / EXAM:
An interviewer may ask: How does traceroute discover each hop?
REAL LIFE: DAILY LIFE:
It is like breadcrumbs at each junction.</t>
        </is>
      </c>
      <c r="C37" s="29" t="inlineStr">
        <is>
          <t>06_Troubleshooting_Intermediate_NET-036</t>
        </is>
      </c>
    </row>
    <row r="38" ht="409" customHeight="1">
      <c r="A38" s="29" t="inlineStr">
        <is>
          <t>dig
Which command queries DNS servers and shows the full answer for a name?
dig example.com A +short
dig @8.8.8.8 example.com MX
dig +trace example.com</t>
        </is>
      </c>
      <c r="B38" s="29" t="inlineStr">
        <is>
          <t>MEANING (SHORT):
dig sends a DNS query for a name and record type and prints the answer, the server that replied and the time it took.
CODE:
dig example.com A +short
dig @8.8.8.8 example.com MX
dig +trace example.com
OUTPUT:
The first command prints only the address, the second shows mail servers from Google's resolver, and the third shows the delegation from the root down.
EXPLANATION:
The ANSWER section contains the records with their TTL. The status NOERROR means success, and NXDOMAIN means the name does not exist. +short trims the output, and +trace follows the chain of authoritative servers. Asking different resolvers reveals caching differences. On Windows, nslookup gives a similar result.
SIMPLE EXPLANATION (HINGLISH):
Ask for the record you care about, from a chosen server, and read status and TTL.
REAL-LIFE ANALOGY:
Dig is a shovel that digs the full record out of DNS.
SYNTAX PATTERN:
dig [@server] name [type] [+short]
ANATOMY:
@server = resolver to ask | name = domain | type = A, MX, TXT | +short = brief
EXAMPLE 1:
dig example.com TXT
EXAMPLE 2:
dig -x 8.8.8.8
EXAMPLE 3:
dig +short NS example.com
VARIATION:
nslookup example.com   // simpler tool on Windows
USED WITH:
ping, curl, resolvers
RELATED CONCEPTS:
DNS and record types, DNS caching, ping, curl -v
ALTERNATIVES:
nslookup | host
WHERE IT IS USED:
DNS faults | Email setup | Migrations
MINI CONVERSATION:
A: Did the DNS change reach everyone? | B: Query a few resolvers with dig and compare TTL.
COMMON MISTAKE:
✗ NXDOMAIN means the DNS server is down → ✓ It means the name does not exist in DNS
COMMONLY CONFUSED WITH:
dig vs nslookup: dig shows detail, nslookup is simpler.
AVOID / DON'T:
Do not trust only your own resolver's cached answer.
WRONG CODE:
dig example.com@8.8.8.8
RIGHT CODE:
dig @8.8.8.8 example.com
MEMORY TRICK:
At sign comes before the name.
REAL LIFE: PROJECT / WORK:
Using dig against two resolvers to prove a DNS change was still cached.
REAL LIFE: INTERVIEW / EXAM:
An interviewer may ask: What does NXDOMAIN mean?
REAL LIFE: DAILY LIFE:
It is like digging the record out of a directory.</t>
        </is>
      </c>
      <c r="C38" s="29" t="inlineStr">
        <is>
          <t>06_Troubleshooting_Intermediate_NET-037</t>
        </is>
      </c>
    </row>
    <row r="39" ht="409" customHeight="1">
      <c r="A39" s="29" t="inlineStr">
        <is>
          <t>curl -v
Which command shows the full conversation of a web request, including TLS and headers?
curl -v https://example.com/health
curl -sS -o /dev/null -w "%{http_code} %{time_total}s\n" https://example.com
curl -I https://example.com</t>
        </is>
      </c>
      <c r="B39" s="29" t="inlineStr">
        <is>
          <t>MEANING (SHORT):
curl sends an HTTP request from the command line, and the -v option prints connection details, TLS information and both request and response headers.
CODE:
curl -v https://example.com/health
curl -sS -o /dev/null -w "%{http_code} %{time_total}s\n" https://example.com
curl -I https://example.com
OUTPUT:
The first shows the connection, certificate and headers, the second prints only the status code and total time, and the third shows just response headers.
EXPLANATION:
Lines beginning with an asterisk show connection and TLS steps, a greater-than sign marks request headers and a less-than sign marks response headers. Useful options are -H for headers, -X for the method, -d for a body, -k to skip certificate checks for testing only, and --resolve to test a name against a chosen address. Redirects are followed only with -L.
SIMPLE EXPLANATION (HINGLISH):
Use -v to watch every step, -I for headers, and -w for the status and timing.
REAL-LIFE ANALOGY:
curl -v is a glass-walled kitchen where you watch every step of the order.
SYNTAX PATTERN:
curl [-v] [-I] [-H header] [-d data] [-L] url
ANATOMY:
-v = verbose | -I = headers only | -H = header | -d = body | -L = follow redirects
EXAMPLE 1:
curl -H "Authorization: Bearer TOKEN" https://api.example.com/me
EXAMPLE 2:
curl -X POST -d '{"a":1}' -H "Content-Type: application/json" https://api.example.com/items
EXAMPLE 3:
curl --resolve example.com:443:203.0.113.10 https://example.com
VARIATION:
curl -k https://host   // skip certificate checks, for testing only
USED WITH:
dig, ping, openssl
RELATED CONCEPTS:
HTTP, HTTPS and TLS, certificates, proxy problems
ALTERNATIVES:
wget | HTTP client tools
WHERE IT IS USED:
API debugging | Certificate checks | Health checks
MINI CONVERSATION:
A: The API call fails with no useful message. | B: Run curl -v and read the headers.
COMMON MISTAKE:
✗ curl -k is a fine permanent fix for certificate errors → ✓ It only hides the problem and should never stay in scripts
COMMONLY CONFUSED WITH:
curl vs browser: curl shows raw details, a browser hides them.
AVOID / DON'T:
Do not leave -k in production scripts.
WRONG CODE:
curl https://example.com/old
RIGHT CODE:
curl -L https://example.com/old
MEMORY TRICK:
Verbose shows steps, dash I shows headers.
REAL LIFE: PROJECT / WORK:
Using curl --resolve to test a new server before changing DNS.
REAL LIFE: INTERVIEW / EXAM:
An interviewer may ask: How would you debug an API call from the command line?
REAL LIFE: DAILY LIFE:
It is like a glass-walled kitchen.</t>
        </is>
      </c>
      <c r="C39" s="29" t="inlineStr">
        <is>
          <t>06_Troubleshooting_Intermediate_NET-038</t>
        </is>
      </c>
    </row>
    <row r="40" ht="409" customHeight="1">
      <c r="A40" s="29" t="inlineStr">
        <is>
          <t>ss
Which command lists sockets, so you can see which ports are open and in use?
ss -ltnp
ss -tn state established
ss -s</t>
        </is>
      </c>
      <c r="B40" s="29" t="inlineStr">
        <is>
          <t>MEANING (SHORT):
ss shows sockets on a Linux machine, including listening ports, established connections and the processes that own them.
CODE:
ss -ltnp
ss -tn state established
ss -s
OUTPUT:
The first lists listening TCP ports with process names, the second lists active connections, and the third prints a summary of socket counts.
EXPLANATION:
The flags are l for listening, t for TCP, u for UDP, n for numbers and p for processes. A service listening on 127.0.0.1 is reachable only locally, while 0.0.0.0 or :: means all addresses. Process names need root rights. It replaces the older netstat. Many connections in TIME-WAIT are normal.
SIMPLE EXPLANATION (HINGLISH):
Use ss -ltnp to see what listens where, and check the bind address.
REAL-LIFE ANALOGY:
ss is a building directory showing which doors are open and who is behind each.
SYNTAX PATTERN:
ss [-l] [-t|-u] [-n] [-p] [state ...]
ANATOMY:
-l = listening | -t = TCP | -u = UDP | -n = numeric | -p = process
EXAMPLE 1:
ss -lun
EXAMPLE 2:
ss -tnp dst :443
EXAMPLE 3:
sudo ss -ltnp | grep 5432
VARIATION:
netstat -tulpn   // older equivalent
USED WITH:
lsof, firewalls, curl
RELATED CONCEPTS:
ports, client and server, firewalls, timeouts vs refused
ALTERNATIVES:
netstat | lsof -i
WHERE IT IS USED:
Port conflicts | Binding checks | Security reviews
MINI CONVERSATION:
A: The service is up but unreachable from outside. | B: Check whether it listens on 127.0.0.1 only.
COMMON MISTAKE:
✗ A service listening on 127.0.0.1 is reachable from other machines → ✓ It accepts only local connections
COMMONLY CONFUSED WITH:
ss vs netstat: ss is newer and faster, netstat is the older tool.
AVOID / DON'T:
Do not read process details without the right permissions.
WRONG CODE:
ss -ltn | grep postgres
RIGHT CODE:
sudo ss -ltnp | grep postgres
MEMORY TRICK:
L T N P shows listeners with names.
REAL LIFE: PROJECT / WORK:
Finding that an app bound to 127.0.0.1 so the load balancer could not reach it.
REAL LIFE: INTERVIEW / EXAM:
An interviewer may ask: How do you see which process uses port 8080?
REAL LIFE: DAILY LIFE:
It is like a building directory.</t>
        </is>
      </c>
      <c r="C40" s="29" t="inlineStr">
        <is>
          <t>06_Troubleshooting_Intermediate_NET-039</t>
        </is>
      </c>
    </row>
    <row r="41" ht="409" customHeight="1">
      <c r="A41" s="29" t="inlineStr">
        <is>
          <t>tcpdump
Which command captures packets so you can see what actually crosses the wire?
sudo tcpdump -i any -n port 443 and host 203.0.113.10
sudo tcpdump -i eth0 -w capture.pcap port 53</t>
        </is>
      </c>
      <c r="B41" s="29" t="inlineStr">
        <is>
          <t>MEANING (SHORT):
tcpdump captures and prints packets on an interface, and filters select traffic by host, port or protocol.
CODE:
sudo tcpdump -i any -n port 443 and host 203.0.113.10
sudo tcpdump -i eth0 -w capture.pcap port 53
OUTPUT:
The first prints matching packets live, and the second saves DNS packets to a file that can be opened in Wireshark.
EXPLANATION:
Flags such as S for SYN and S. for SYN-ACK show handshake steps. -n skips name lookups, -i picks the interface, and -w writes a file. Captures need root rights and may contain sensitive data, so handle them carefully. For encrypted traffic you see only metadata. Filters use a language called BPF.
SIMPLE EXPLANATION (HINGLISH):
Capture only the traffic you need, then read the flags to see if the handshake finished.
REAL-LIFE ANALOGY:
tcpdump is a microphone on the cable that records every word spoken.
SYNTAX PATTERN:
tcpdump -i interface [-n] [-w file] filter
ANATOMY:
-i = interface | -n = numeric | -w = write file | filter = host, port, protocol
EXAMPLE 1:
sudo tcpdump -n icmp
EXAMPLE 2:
sudo tcpdump -n -c 20 port 80
EXAMPLE 3:
sudo tcpdump -r capture.pcap -n
VARIATION:
tshark -i eth0 -f "port 53"   // command line Wireshark
USED WITH:
Wireshark, ss, curl
RELATED CONCEPTS:
Wireshark basics, TCP handshake, ports, timeouts vs refused
ALTERNATIVES:
tshark | Wireshark
WHERE IT IS USED:
Hard faults | Proof for providers | Security work
MINI CONVERSATION:
A: Does our request even leave the server? | B: Capture on the interface and look for the SYN.
COMMON MISTAKE:
✗ tcpdump can show the content of encrypted traffic → ✓ It shows only metadata for TLS traffic
COMMONLY CONFUSED WITH:
tcpdump vs ss: tcpdump shows packets, ss shows sockets.
AVOID / DON'T:
Do not share captures without removing sensitive data.
WRONG CODE:
tcpdump port 443
RIGHT CODE:
sudo tcpdump -n port 443
MEMORY TRICK:
Filter first, or drown in packets.
REAL LIFE: PROJECT / WORK:
Capturing traffic to prove the reply was dropped upstream of our server.
REAL LIFE: INTERVIEW / EXAM:
An interviewer may ask: How do you check whether a SYN is answered?
REAL LIFE: DAILY LIFE:
It is like a microphone on the cable.</t>
        </is>
      </c>
      <c r="C41" s="29" t="inlineStr">
        <is>
          <t>06_Troubleshooting_Advanced_NET-040</t>
        </is>
      </c>
    </row>
    <row r="42" ht="409" customHeight="1">
      <c r="A42" s="29" t="inlineStr">
        <is>
          <t>Wireshark basics
Which graphical tool lets you open and analyse packet captures?</t>
        </is>
      </c>
      <c r="B42" s="29" t="inlineStr">
        <is>
          <t>DEFINITION (SIMPLE):
Wireshark is a packet analyser that opens captures, decodes protocols layer by layer, and offers filters and tools to follow conversations.
HOW / WHY IT WORKS:
The main screen shows a list of packets, a tree of protocol layers and the raw bytes. Display filters such as ip.addr == 10.0.0.5 or http narrow the list. Follow TCP stream shows one conversation as text. Expert information flags retransmissions and resets. Capture filters limit what is recorded, while display filters limit what is shown.
SIMPLE EXPLANATION (HINGLISH):
Open a capture, filter it, follow a stream, and read the expert warnings.
REAL-LIFE ANALOGY:
Wireshark is a translator that turns raw packets into readable sentences.
FORMULA / RULE:
Capture filter limits recording. Display filter limits viewing.
EXAMPLE 1:
Filtering with dns to see only DNS traffic.
EXAMPLE 2:
Following a TCP stream to read an HTTP exchange.
EXAMPLE 3:
Spotting retransmissions in expert information.
RELATED CONCEPTS:
tcpdump, TCP handshake, HTTP, TLS
FAMILY / GROUP:
capture, display filter, stream, dissector, expert
WHERE IT IS USED:
Deep troubleshooting | Training | Security analysis
MINI CONVERSATION:
A: The transfer is slow. | B: Wireshark shows many retransmissions on that stream.
COMMON MISTAKE:
✗ Wireshark can decrypt any HTTPS traffic → ✓ It needs the session keys to decrypt, otherwise only metadata is visible
DON'T CONFUSE WITH:
Capture filter vs display filter: one limits recording, the other limits what you see.
AVOID / DON'T:
Do not capture on production without permission.
MEMORY TRICK:
Capture narrow first, then display narrower still.
REAL LIFE: PROJECT / WORK:
Opening a capture to show a customer firewall resetting connections.
REAL LIFE: INTERVIEW / EXAM:
An interviewer may ask: What is the difference between a capture and a display filter?
REAL LIFE: DAILY LIFE:
It is like a translator for raw packets.</t>
        </is>
      </c>
      <c r="C42" s="29" t="inlineStr">
        <is>
          <t>06_Troubleshooting_Advanced_NET-041</t>
        </is>
      </c>
    </row>
    <row r="43" ht="409" customHeight="1">
      <c r="A43" s="29" t="inlineStr">
        <is>
          <t>MTU and fragmentation
Which size limit can make small requests work and large ones hang?
ping -M do -s 1472 -c 2 example.com
ping -M do -s 1400 -c 2 example.com
ip link show eth0</t>
        </is>
      </c>
      <c r="B43" s="29" t="inlineStr">
        <is>
          <t>MEANING (SHORT):
The MTU is the largest packet a link can carry, and packets bigger than it must be fragmented or are dropped if marked do-not-fragment.
CODE:
ping -M do -s 1472 -c 2 example.com
ping -M do -s 1400 -c 2 example.com
ip link show eth0
OUTPUT:
If 1472 fails but 1400 works, the path MTU is below the standard 1500, and ip link shows the interface MTU.
EXPLANATION:
Ethernet commonly uses 1500 bytes. Tunnels such as VPNs and some cloud links add headers, so the usable size is smaller. TCP learns the limit through path MTU discovery, which needs ICMP messages, and blocked ICMP causes hangs. The usual fix is to lower the MTU or clamp the TCP segment size. The test size is the MTU minus 28 bytes of headers.
SIMPLE EXPLANATION (HINGLISH):
Test with do-not-fragment pings of different sizes, and lower the MTU on tunnels.
REAL-LIFE ANALOGY:
MTU is the door width, and a big sofa must be cut or stay outside.
SYNTAX PATTERN:
ping -M do -s size host
ANATOMY:
-M do = do not fragment | -s = payload size | 28 bytes = IP and ICMP headers
EXAMPLE 1:
ping -M do -s 1372 -c 2 10.8.0.1
EXAMPLE 2:
ip link set dev tun0 mtu 1400
EXAMPLE 3:
iptables clamp of MSS to path MTU
VARIATION:
tracepath example.com   // reports path MTU
USED WITH:
VPN, tcpdump, firewalls
RELATED CONCEPTS:
packets and frames, VPN, ICMP, timeouts vs refused
ALTERNATIVES:
tracepath | MSS clamping
WHERE IT IS USED:
VPNs | Tunnels | Cloud links
MINI CONVERSATION:
A: Small API calls work but uploads hang. | B: Test MTU, as a tunnel may cut the size.
COMMON MISTAKE:
✗ ICMP can always be blocked safely → ✓ Blocking it can break path MTU discovery and cause hangs
COMMONLY CONFUSED WITH:
MTU vs bandwidth: MTU is the maximum packet size, bandwidth is capacity.
AVOID / DON'T:
Do not block all ICMP messages.
WRONG CODE:
ping -s 1500 example.com
RIGHT CODE:
ping -M do -s 1472 example.com
MEMORY TRICK:
Small works, large hangs, think MTU.
REAL LIFE: PROJECT / WORK:
Lowering the tunnel MTU after large uploads hung over a VPN.
REAL LIFE: INTERVIEW / EXAM:
An interviewer may ask: Why would only large packets fail?
REAL LIFE: DAILY LIFE:
It is like a sofa that will not fit a door.</t>
        </is>
      </c>
      <c r="C43" s="29" t="inlineStr">
        <is>
          <t>06_Troubleshooting_Advanced_NET-042</t>
        </is>
      </c>
    </row>
    <row r="44" ht="409" customHeight="1">
      <c r="A44" s="29" t="inlineStr">
        <is>
          <t>Timeouts vs connection refused
Which two failures look similar but point to different causes?</t>
        </is>
      </c>
      <c r="B44" s="29" t="inlineStr">
        <is>
          <t>DEFINITION (SIMPLE):
Connection refused means the host replied with a reset because nothing listens on that port, while a timeout means no reply arrived at all.
HOW / WHY IT WORKS:
A refusal shows the host is reachable and the port is closed, or the service is not running or bound elsewhere. A timeout suggests a firewall dropping packets, a wrong address, a routing problem or a host that is down. Test from the same side as the client, since the path may differ. Tools such as nc, curl and tcpdump show which case you have.
SIMPLE EXPLANATION (HINGLISH):
Refused means the host answered no. Timeout means silence.
REAL-LIFE ANALOGY:
Refused is a door slammed in your face, and timeout is knocking on a silent house.
FORMULA / RULE:
Reset = refused. Silence = timeout.
EXAMPLE 1:
Connecting to a closed port and getting refused at once.
EXAMPLE 2:
Connecting through a firewall that drops packets and timing out.
EXAMPLE 3:
A service bound to localhost giving refused from outside.
RELATED CONCEPTS:
TCP handshake, firewalls, ss, tcpdump
FAMILY / GROUP:
refused, timeout, reset, drop, reachable
WHERE IT IS USED:
Daily debugging | Incident calls | Firewall work
MINI CONVERSATION:
A: It says connection refused. | B: The host is reachable, so check that the service listens.
COMMON MISTAKE:
✗ A timeout always means the server is down → ✓ It can also mean a firewall silently drops packets
DON'T CONFUSE WITH:
Refused vs timeout: refused is an answer, timeout is no answer.
AVOID / DON'T:
Do not open firewall rules for a refused error.
MEMORY TRICK:
Refused answered, timeout stayed silent.
REAL LIFE: PROJECT / WORK:
Telling a customer that a timeout meant their firewall dropped our traffic.
REAL LIFE: INTERVIEW / EXAM:
An interviewer may ask: What is the difference between refused and timeout?
REAL LIFE: DAILY LIFE:
It is like a slammed door versus a silent house.</t>
        </is>
      </c>
      <c r="C44" s="29" t="inlineStr">
        <is>
          <t>06_Troubleshooting_Intermediate_NET-043</t>
        </is>
      </c>
    </row>
    <row r="45" ht="409" customHeight="1">
      <c r="A45" s="29" t="inlineStr">
        <is>
          <t>DNS caching
Where are DNS answers stored, and why do old answers survive after a change?</t>
        </is>
      </c>
      <c r="B45" s="29" t="inlineStr">
        <is>
          <t>DEFINITION (SIMPLE):
DNS caching stores answers in browsers, operating systems and resolvers for the time set by the record's TTL, so changes spread only as old entries expire.
HOW / WHY IT WORKS:
A browser may keep an answer, then the operating system, then the router or provider's resolver. Each obeys the TTL, but some apps cache longer. Negative answers, such as NXDOMAIN, are cached too. Flush commands exist for the system cache, but you cannot flush a provider's resolver. Test with dig against different resolvers.
SIMPLE EXPLANATION (HINGLISH):
Old answers live until their TTL ends, so lower it before changes and test several resolvers.
REAL-LIFE ANALOGY:
DNS caches are sticky notes on every desk, each with an expiry date.
FORMULA / RULE:
Change takes effect after the longest TTL still cached.
EXAMPLE 1:
A browser still opening the old server after a change.
EXAMPLE 2:
A system cache flushed to pick up a new record.
EXAMPLE 3:
A negative answer cached for a few minutes.
RELATED CONCEPTS:
DNS and record types, dig, load balancers, migrations
FAMILY / GROUP:
cache, TTL, flush, negative caching, resolver
WHERE IT IS USED:
Migrations | Failover | Troubleshooting
MINI CONVERSATION:
A: I changed the record but my site is unchanged. | B: Caches still hold the old answer until the TTL expires.
COMMON MISTAKE:
✗ Flushing my own computer's DNS cache updates everyone → ✓ It affects only my machine, and other caches keep the old answer
DON'T CONFUSE WITH:
Positive vs negative caching: one stores found records, the other stores not found answers.
AVOID / DON'T:
Do not plan a cutover with a very long TTL.
MEMORY TRICK:
Lower the TTL a day before.
REAL LIFE: PROJECT / WORK:
Lowering the TTL to sixty seconds the day before a server move.
REAL LIFE: INTERVIEW / EXAM:
An interviewer may ask: Why does a DNS change take time?
REAL LIFE: DAILY LIFE:
It is like sticky notes with expiry dates.</t>
        </is>
      </c>
      <c r="C45" s="29" t="inlineStr">
        <is>
          <t>06_Troubleshooting_Intermediate_NET-044</t>
        </is>
      </c>
    </row>
    <row r="46" ht="409" customHeight="1">
      <c r="A46" s="29" t="inlineStr">
        <is>
          <t>Proxy problems
Which failures are caused by proxies, and how do you spot them?</t>
        </is>
      </c>
      <c r="B46" s="29" t="inlineStr">
        <is>
          <t>DEFINITION (SIMPLE):
Proxy problems are failures caused by an intermediary that blocks, rewrites, times out or inspects requests, often visible through proxy settings, headers and certificates.
HOW / WHY IT WORKS:
Command line tools read variables such as HTTP_PROXY, HTTPS_PROXY and NO_PROXY, and some ignore them. Internal addresses should be listed in NO_PROXY. Proxies can enforce time limits, size limits and allow-lists. They can add forwarded headers, change the host header or replace certificates. Compare a direct request with a proxied one to find the difference.
SIMPLE EXPLANATION (HINGLISH):
Find out whether a proxy is in the path, read its settings, and compare direct and proxied requests.
REAL-LIFE ANALOGY:
A proxy is a middleman, so every odd detail may be the middleman's doing.
FORMULA / RULE:
Direct request vs proxied request, compare the difference.
EXAMPLE 1:
A tool failing because HTTPS_PROXY is not set on the server.
EXAMPLE 2:
An internal service wrongly sent through a proxy because NO_PROXY is missing.
EXAMPLE 3:
A 502 error returned by the proxy instead of the app.
RELATED CONCEPTS:
proxies and reverse proxies, TLS inspection, curl -v, allow-lists
FAMILY / GROUP:
proxy, NO_PROXY, 502, timeout, header
WHERE IT IS USED:
Corporate networks | Cloud | CI runners
MINI CONVERSATION:
A: It works on my laptop but not on the server. | B: The server needs the proxy variables set.
COMMON MISTAKE:
✗ If the target is up, the proxy cannot be the problem → ✓ The proxy may block, slow or rewrite the request
DON'T CONFUSE WITH:
502 vs 504: 502 is a bad reply from upstream, 504 means upstream timed out.
AVOID / DON'T:
Do not hard-code proxy settings in code.
MEMORY TRICK:
Works at home, check the proxy variables.
REAL LIFE: PROJECT / WORK:
Adding NO_PROXY entries so internal calls stopped going through the company proxy.
REAL LIFE: INTERVIEW / EXAM:
An interviewer may ask: What does a 504 mean?
REAL LIFE: DAILY LIFE:
It is like a middleman that may be the cause.</t>
        </is>
      </c>
      <c r="C46" s="29" t="inlineStr">
        <is>
          <t>06_Troubleshooting_Advanced_NET-045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At which OSI layer does IP work?
A) Session layer B) Application layer C) Physical layer D) Network layer
FILL: Adding a header at each layer is called ____
APPLY: A web page fails but pings work. Which layers are likely fine?</t>
        </is>
      </c>
      <c r="B2" s="29" t="inlineStr">
        <is>
          <t>MCQ answer: D  IP handles addressing and routing at the network layer.
Fill answer: encapsulation
Apply: The lower layers</t>
        </is>
      </c>
      <c r="C2" s="29" t="inlineStr">
        <is>
          <t>01_Models_Beginner_NET-001_quiz</t>
        </is>
      </c>
    </row>
    <row r="3" ht="108" customHeight="1">
      <c r="A3" s="29" t="inlineStr">
        <is>
          <t>MCQ: Which address changes at each hop?
A) The source IP B) The MAC address in the frame C) The domain name D) The destination IP
FILL: The largest frame payload allowed is the ____
APPLY: A packet crosses three routers. What stays the same end to end?</t>
        </is>
      </c>
      <c r="B3" s="29" t="inlineStr">
        <is>
          <t>MCQ answer: B  Frames are rebuilt for every link.
Fill answer: MTU
Apply: The IP addresses</t>
        </is>
      </c>
      <c r="C3" s="29" t="inlineStr">
        <is>
          <t>01_Models_Beginner_NET-002_quiz</t>
        </is>
      </c>
    </row>
    <row r="4" ht="81" customHeight="1">
      <c r="A4" s="29" t="inlineStr">
        <is>
          <t>MCQ: Which side listens on a known port?
A) The router B) The client C) The server D) The switch
FILL: A program that waits for requests is said to ____ on a port
APPLY: An app calls a payment API. Which role is the app?</t>
        </is>
      </c>
      <c r="B4" s="29" t="inlineStr">
        <is>
          <t>MCQ answer: C  Servers wait for incoming connections.
Fill answer: listen
Apply: Client</t>
        </is>
      </c>
      <c r="C4" s="29" t="inlineStr">
        <is>
          <t>01_Models_Beginner_NET-003_quiz</t>
        </is>
      </c>
    </row>
    <row r="5" ht="94.5" customHeight="1">
      <c r="A5" s="29" t="inlineStr">
        <is>
          <t>MCQ: Which measure is in milliseconds?
A) Latency B) Bandwidth C) Storage D) Capacity
FILL: The real speed you achieve is called ____
APPLY: Many tiny API calls are slow across continents. What is the cause?</t>
        </is>
      </c>
      <c r="B5" s="29" t="inlineStr">
        <is>
          <t>MCQ answer: A  Latency is a time delay.
Fill answer: throughput
Apply: High latency</t>
        </is>
      </c>
      <c r="C5" s="29" t="inlineStr">
        <is>
          <t>01_Models_Beginner_NET-004_quiz</t>
        </is>
      </c>
    </row>
    <row r="6" ht="81" customHeight="1">
      <c r="A6" s="29" t="inlineStr">
        <is>
          <t>MCQ: What is the highest value in one IPv4 part?
A) 999 B) 256 C) 100 D) 255
FILL: The address 127.0.0.1 is the ____ address
APPLY: Which address always means this machine itself?</t>
        </is>
      </c>
      <c r="B6" s="29" t="inlineStr">
        <is>
          <t>MCQ answer: D  Each part is 8 bits, so it runs from 0 to 255.
Fill answer: loopback
Apply: 127.0.0.1</t>
        </is>
      </c>
      <c r="C6" s="29" t="inlineStr">
        <is>
          <t>02_Addressing_Beginner_NET-005_quiz</t>
        </is>
      </c>
    </row>
    <row r="7" ht="81" customHeight="1">
      <c r="A7" s="29" t="inlineStr">
        <is>
          <t>MCQ: How many bits does an IPv6 address have?
A) 128 B) 32 C) 256 D) 64
FILL: Running IPv4 and IPv6 together is called dual ____
APPLY: A firewall rule covers only IPv4. What risk exists?</t>
        </is>
      </c>
      <c r="B7" s="29" t="inlineStr">
        <is>
          <t>MCQ answer: A  IPv6 addresses are 128 bits long.
Fill answer: stack
Apply: IPv6 traffic may bypass it</t>
        </is>
      </c>
      <c r="C7" s="29" t="inlineStr">
        <is>
          <t>02_Addressing_Intermediate_NET-006_quiz</t>
        </is>
      </c>
    </row>
    <row r="8" ht="81" customHeight="1">
      <c r="A8" s="29" t="inlineStr">
        <is>
          <t>MCQ: How many addresses are in a /24?
A) 24 B) 1024 C) 256 D) 65536
FILL: The mask 255.255.255.0 is the same as slash ____
APPLY: You need about 1,000 addresses. Which prefix fits?</t>
        </is>
      </c>
      <c r="B8" s="29" t="inlineStr">
        <is>
          <t>MCQ answer: C  Eight host bits give two to the power of eight.
Fill answer: 24
Apply: /22</t>
        </is>
      </c>
      <c r="C8" s="29" t="inlineStr">
        <is>
          <t>02_Addressing_Intermediate_NET-007_quiz</t>
        </is>
      </c>
    </row>
    <row r="9" ht="81" customHeight="1">
      <c r="A9" s="29" t="inlineStr">
        <is>
          <t>MCQ: Which address is private?
A) 203.0.113.5 B) 192.168.1.10 C) 8.8.8.8 D) 1.1.1.1
FILL: Addresses starting with 169.254 are ____ addresses
APPLY: A device shows 169.254.x.x. What likely failed?</t>
        </is>
      </c>
      <c r="B9" s="29" t="inlineStr">
        <is>
          <t>MCQ answer: B  192.168.0.0/16 is a private range.
Fill answer: link-local
Apply: Automatic address assignment</t>
        </is>
      </c>
      <c r="C9" s="29" t="inlineStr">
        <is>
          <t>02_Addressing_Beginner_NET-008_quiz</t>
        </is>
      </c>
    </row>
    <row r="10" ht="94.5" customHeight="1">
      <c r="A10" s="29" t="inlineStr">
        <is>
          <t>MCQ: What is the standard port for HTTPS?
A) 22 B) 443 C) 53 D) 80
FILL: The number of ports on one address goes up to ____
APPLY: A service fails with address already in use. What is the cause?</t>
        </is>
      </c>
      <c r="B10" s="29" t="inlineStr">
        <is>
          <t>MCQ answer: B  HTTPS uses port 443 by default.
Fill answer: 65535
Apply: Another program listens on that port</t>
        </is>
      </c>
      <c r="C10" s="29" t="inlineStr">
        <is>
          <t>02_Addressing_Beginner_NET-009_quiz</t>
        </is>
      </c>
    </row>
    <row r="11" ht="94.5" customHeight="1">
      <c r="A11" s="29" t="inlineStr">
        <is>
          <t>MCQ: What does NAT keep in its table?
A) Web pages B) Passwords C) Address and port mappings D) Logs only
FILL: Sending an outside port to an inside host is a port ____
APPLY: Private servers need updates but no inbound access. What do you use?</t>
        </is>
      </c>
      <c r="B11" s="29" t="inlineStr">
        <is>
          <t>MCQ answer: C  It tracks which private connection each translated one belongs to.
Fill answer: forward
Apply: NAT</t>
        </is>
      </c>
      <c r="C11" s="29" t="inlineStr">
        <is>
          <t>02_Addressing_Intermediate_NET-010_quiz</t>
        </is>
      </c>
    </row>
    <row r="12" ht="94.5" customHeight="1">
      <c r="A12" s="29" t="inlineStr">
        <is>
          <t>MCQ: What does DHCP provide?
A) IP address, gateway and DNS settings B) Passwords C) Web pages D) Email
FILL: Time an address is held is called a ____
APPLY: A server must keep the same address. What do you set in DHCP?</t>
        </is>
      </c>
      <c r="B12" s="29" t="inlineStr">
        <is>
          <t>MCQ answer: A  It supplies the configuration a device needs to join.
Fill answer: lease
Apply: A reservation</t>
        </is>
      </c>
      <c r="C12" s="29" t="inlineStr">
        <is>
          <t>02_Addressing_Beginner_NET-011_quiz</t>
        </is>
      </c>
    </row>
    <row r="13" ht="94.5" customHeight="1">
      <c r="A13" s="29" t="inlineStr">
        <is>
          <t>MCQ: What does ARP map?
A) Ports to services B) Users to roles C) Names to IP addresses D) IP addresses to MAC addresses
FILL: A MAC address has ____ bits
APPLY: Two hosts on one subnet cannot talk. What table do you check?</t>
        </is>
      </c>
      <c r="B13" s="29" t="inlineStr">
        <is>
          <t>MCQ answer: D  ARP resolves a local IP to a hardware address.
Fill answer: 48
Apply: The ARP table</t>
        </is>
      </c>
      <c r="C13" s="29" t="inlineStr">
        <is>
          <t>02_Addressing_Intermediate_NET-012_quiz</t>
        </is>
      </c>
    </row>
    <row r="14" ht="94.5" customHeight="1">
      <c r="A14" s="29" t="inlineStr">
        <is>
          <t>MCQ: Which protocol retransmits lost data?
A) UDP B) TCP C) Both equally D) Neither
FILL: A protocol with no setup step is called ____
APPLY: A live game needs the lowest delay and tolerates loss. Which protocol?</t>
        </is>
      </c>
      <c r="B14" s="29" t="inlineStr">
        <is>
          <t>MCQ answer: B  TCP tracks and resends missing data.
Fill answer: connectionless
Apply: UDP</t>
        </is>
      </c>
      <c r="C14" s="29" t="inlineStr">
        <is>
          <t>03_Protocols_Beginner_NET-013_quiz</t>
        </is>
      </c>
    </row>
    <row r="15" ht="94.5" customHeight="1">
      <c r="A15" s="29" t="inlineStr">
        <is>
          <t>MCQ: Which segment starts a TCP connection?
A) FIN B) PSH C) RST D) SYN
FILL: The reply to a SYN is a ____
APPLY: A client times out with no reply at all. What likely happens to the SYN?</t>
        </is>
      </c>
      <c r="B15" s="29" t="inlineStr">
        <is>
          <t>MCQ answer: D  SYN opens the handshake.
Fill answer: SYN-ACK
Apply: It is dropped</t>
        </is>
      </c>
      <c r="C15" s="29" t="inlineStr">
        <is>
          <t>03_Protocols_Intermediate_NET-014_quiz</t>
        </is>
      </c>
    </row>
    <row r="16" ht="81" customHeight="1">
      <c r="A16" s="29" t="inlineStr">
        <is>
          <t>MCQ: Which record maps a name to an IPv4 address?
A) A B) TXT C) NS D) MX
FILL: DNS usually uses port ____
APPLY: Mail is not arriving at a domain. Which record do you check?</t>
        </is>
      </c>
      <c r="B16" s="29" t="inlineStr">
        <is>
          <t>MCQ answer: A  An A record holds an IPv4 address.
Fill answer: 53
Apply: MX</t>
        </is>
      </c>
      <c r="C16" s="29" t="inlineStr">
        <is>
          <t>03_Protocols_Beginner_NET-015_quiz</t>
        </is>
      </c>
    </row>
    <row r="17" ht="81" customHeight="1">
      <c r="A17" s="29" t="inlineStr">
        <is>
          <t>MCQ: Which status code range means a server error?
A) 4xx B) 3xx C) 5xx D) 2xx
FILL: HTTP is ____, so each request is independent
APPLY: An API returns 404. What does it mean?</t>
        </is>
      </c>
      <c r="B17" s="29" t="inlineStr">
        <is>
          <t>MCQ answer: C  Five hundred codes indicate server failures.
Fill answer: stateless
Apply: The path or resource was not found</t>
        </is>
      </c>
      <c r="C17" s="29" t="inlineStr">
        <is>
          <t>03_Protocols_Beginner_NET-016_quiz</t>
        </is>
      </c>
    </row>
    <row r="18" ht="94.5" customHeight="1">
      <c r="A18" s="29" t="inlineStr">
        <is>
          <t>MCQ: What does the certificate prove?
A) The user's password B) The IP range C) The page speed D) The server's identity
FILL: HTTPS uses TCP port ____ by default
APPLY: A client reports a certificate name mismatch. What is wrong?</t>
        </is>
      </c>
      <c r="B18" s="29" t="inlineStr">
        <is>
          <t>MCQ answer: D  A trusted authority signs it to vouch for the host name.
Fill answer: 443
Apply: The host name does not match the certificate</t>
        </is>
      </c>
      <c r="C18" s="29" t="inlineStr">
        <is>
          <t>03_Protocols_Intermediate_NET-017_quiz</t>
        </is>
      </c>
    </row>
    <row r="19" ht="121.5" customHeight="1">
      <c r="A19" s="29" t="inlineStr">
        <is>
          <t>MCQ: What makes clients trust a certificate?
A) A chain to a trusted authority B) A fast server C) A long name D) A big file
FILL: A certificate lists extra host names in the subject alternative ____
APPLY: Only some clients fail with a certificate error. What do you check?</t>
        </is>
      </c>
      <c r="B19" s="29" t="inlineStr">
        <is>
          <t>MCQ answer: A  Clients trust issuers already in their store.
Fill answer: name
Apply: That the server sends the intermediate</t>
        </is>
      </c>
      <c r="C19" s="29" t="inlineStr">
        <is>
          <t>03_Protocols_Intermediate_NET-018_quiz</t>
        </is>
      </c>
    </row>
    <row r="20" ht="94.5" customHeight="1">
      <c r="A20" s="29" t="inlineStr">
        <is>
          <t>MCQ: Which transport does HTTP/3 use?
A) FTP B) QUIC over UDP C) TCP only D) ICMP
FILL: Sending several requests on one connection is called ____
APPLY: HTTP/3 never connects on a restricted network. What is blocked?</t>
        </is>
      </c>
      <c r="B20" s="29" t="inlineStr">
        <is>
          <t>MCQ answer: B  QUIC runs over UDP.
Fill answer: multiplexing
Apply: UDP on port 443</t>
        </is>
      </c>
      <c r="C20" s="29" t="inlineStr">
        <is>
          <t>03_Protocols_Advanced_NET-019_quiz</t>
        </is>
      </c>
    </row>
    <row r="21" ht="108" customHeight="1">
      <c r="A21" s="29" t="inlineStr">
        <is>
          <t>MCQ: How does a WebSocket start?
A) A ping B) An ARP request C) An HTTP upgrade request D) A DNS query
FILL: The secure form of a WebSocket address begins with ____
APPLY: A live feed disconnects exactly after sixty seconds. What do you check?</t>
        </is>
      </c>
      <c r="B21" s="29" t="inlineStr">
        <is>
          <t>MCQ answer: C  It begins as HTTP and upgrades.
Fill answer: wss
Apply: Proxy idle timeouts</t>
        </is>
      </c>
      <c r="C21" s="29" t="inlineStr">
        <is>
          <t>03_Protocols_Intermediate_NET-020_quiz</t>
        </is>
      </c>
    </row>
    <row r="22" ht="81" customHeight="1">
      <c r="A22" s="29" t="inlineStr">
        <is>
          <t>MCQ: Which record says where to deliver mail for a domain?
A) A B) PTR C) NS D) MX
FILL: Port ____ is commonly used to submit mail with authentication
APPLY: Alerts land in spam. Which records do you check?</t>
        </is>
      </c>
      <c r="B22" s="29" t="inlineStr">
        <is>
          <t>MCQ answer: D  MX records name the mail servers.
Fill answer: 587
Apply: SPF, DKIM and DMARC</t>
        </is>
      </c>
      <c r="C22" s="29" t="inlineStr">
        <is>
          <t>03_Protocols_Intermediate_NET-021_quiz</t>
        </is>
      </c>
    </row>
    <row r="23" ht="81" customHeight="1">
      <c r="A23" s="29" t="inlineStr">
        <is>
          <t>MCQ: Which device forwards between different networks?
A) A hub B) A router C) A switch D) A cable
FILL: Traffic for other subnets is sent to the default ____
APPLY: Two subnets must communicate. Which device do you need?</t>
        </is>
      </c>
      <c r="B23" s="29" t="inlineStr">
        <is>
          <t>MCQ answer: B  Routers use IP routing between networks.
Fill answer: gateway
Apply: A router</t>
        </is>
      </c>
      <c r="C23" s="29" t="inlineStr">
        <is>
          <t>04_Devices_and_Paths_Beginner_NET-022_quiz</t>
        </is>
      </c>
    </row>
    <row r="24" ht="94.5" customHeight="1">
      <c r="A24" s="29" t="inlineStr">
        <is>
          <t>MCQ: What should the default firewall action be?
A) Deny B) Ignore C) Log only D) Allow
FILL: A firewall that tracks connections is called ____
APPLY: A service is open locally but unreachable from outside. What do you check?</t>
        </is>
      </c>
      <c r="B24" s="29" t="inlineStr">
        <is>
          <t>MCQ answer: A  Unmatched traffic should be blocked.
Fill answer: stateful
Apply: Firewalls along the path</t>
        </is>
      </c>
      <c r="C24" s="29" t="inlineStr">
        <is>
          <t>04_Devices_and_Paths_Intermediate_NET-023_quiz</t>
        </is>
      </c>
    </row>
    <row r="25" ht="108" customHeight="1">
      <c r="A25" s="29" t="inlineStr">
        <is>
          <t>MCQ: Which proxy sits in front of web servers?
A) A forward proxy B) A mail proxy C) A reverse proxy D) A DNS proxy
FILL: The header carrying the original client address is X-Forwarded-____
APPLY: Logs show only the proxy address. What do you read for the real client?</t>
        </is>
      </c>
      <c r="B25" s="29" t="inlineStr">
        <is>
          <t>MCQ answer: C  It receives requests for the servers behind it.
Fill answer: For
Apply: X-Forwarded-For</t>
        </is>
      </c>
      <c r="C25" s="29" t="inlineStr">
        <is>
          <t>04_Devices_and_Paths_Intermediate_NET-024_quiz</t>
        </is>
      </c>
    </row>
    <row r="26" ht="81" customHeight="1">
      <c r="A26" s="29" t="inlineStr">
        <is>
          <t>MCQ: Which balancer can route by URL path?
A) Layer 7 B) Layer 1 C) Layer 4 D) Layer 2
FILL: An algorithm that rotates through servers is ____ robin
APPLY: A non-HTTP TCP service needs balancing. Which layer?</t>
        </is>
      </c>
      <c r="B26" s="29" t="inlineStr">
        <is>
          <t>MCQ answer: A  Layer 7 understands HTTP.
Fill answer: round
Apply: Layer 4</t>
        </is>
      </c>
      <c r="C26" s="29" t="inlineStr">
        <is>
          <t>04_Devices_and_Paths_Intermediate_NET-025_quiz</t>
        </is>
      </c>
    </row>
    <row r="27" ht="94.5" customHeight="1">
      <c r="A27" s="29" t="inlineStr">
        <is>
          <t>MCQ: Which VPN type joins two networks?
A) Split tunnel B) Proxy C) Site-to-site D) Remote-access
FILL: Sending only some traffic through a VPN is split ____
APPLY: A tunnel is up but one subnet is unreachable. What do you check?</t>
        </is>
      </c>
      <c r="B27" s="29" t="inlineStr">
        <is>
          <t>MCQ answer: C  It links whole networks together.
Fill answer: tunnelling
Apply: Routes and firewall rules</t>
        </is>
      </c>
      <c r="C27" s="29" t="inlineStr">
        <is>
          <t>04_Devices_and_Paths_Intermediate_NET-026_quiz</t>
        </is>
      </c>
    </row>
    <row r="28" ht="81" customHeight="1">
      <c r="A28" s="29" t="inlineStr">
        <is>
          <t>MCQ: Which header controls how long content is cached?
A) Accept B) Host C) Cookie D) Cache-Control
FILL: The server that holds the source content is the ____
APPLY: Users abroad see slow static files. What do you add?</t>
        </is>
      </c>
      <c r="B28" s="29" t="inlineStr">
        <is>
          <t>MCQ answer: D  Cache-Control sets lifetime rules.
Fill answer: origin
Apply: A CDN</t>
        </is>
      </c>
      <c r="C28" s="29" t="inlineStr">
        <is>
          <t>04_Devices_and_Paths_Intermediate_NET-027_quiz</t>
        </is>
      </c>
    </row>
    <row r="29" ht="94.5" customHeight="1">
      <c r="A29" s="29" t="inlineStr">
        <is>
          <t>MCQ: Where does a device send traffic for another subnet?
A) The printer B) The default gateway C) The DNS server D) The switch
FILL: The route used when nothing else matches is the ____ route
APPLY: Local pings work, internet pings fail. What do you check?</t>
        </is>
      </c>
      <c r="B29" s="29" t="inlineStr">
        <is>
          <t>MCQ answer: B  The gateway forwards traffic outside the subnet.
Fill answer: default
Apply: The default gateway</t>
        </is>
      </c>
      <c r="C29" s="29" t="inlineStr">
        <is>
          <t>04_Devices_and_Paths_Beginner_NET-028_quiz</t>
        </is>
      </c>
    </row>
    <row r="30" ht="108" customHeight="1">
      <c r="A30" s="29" t="inlineStr">
        <is>
          <t>MCQ: What does zero trust assume?
A) Passwords are optional B) The inside is safe C) VPN is enough D) No request is trusted by location alone
FILL: Splitting a network into small zones is called ____
APPLY: A contractor needs one app only. What does zero trust suggest?</t>
        </is>
      </c>
      <c r="B30" s="29" t="inlineStr">
        <is>
          <t>MCQ answer: D  Each request must be verified.
Fill answer: segmentation
Apply: Grant access to that app only, per request</t>
        </is>
      </c>
      <c r="C30" s="29" t="inlineStr">
        <is>
          <t>05_Network_Security_Intermediate_NET-029_quiz</t>
        </is>
      </c>
    </row>
    <row r="31" ht="108" customHeight="1">
      <c r="A31" s="29" t="inlineStr">
        <is>
          <t>MCQ: What must clients trust for inspection to work cleanly?
A) The inspector's authority certificate B) A bigger server C) A new DNS D) A new browser
FILL: Fixing a certificate to one expected value is called ____
APPLY: A tool fails only on a customer network with an unknown authority error. What is likely?</t>
        </is>
      </c>
      <c r="B31" s="29" t="inlineStr">
        <is>
          <t>MCQ answer: A  The inspector signs certificates with its own authority.
Fill answer: pinning
Apply: TLS inspection</t>
        </is>
      </c>
      <c r="C31" s="29" t="inlineStr">
        <is>
          <t>05_Network_Security_Advanced_NET-030_quiz</t>
        </is>
      </c>
    </row>
    <row r="32" ht="108" customHeight="1">
      <c r="A32" s="29" t="inlineStr">
        <is>
          <t>MCQ: What happens to traffic not on an allow-list?
A) It is allowed B) It is encrypted C) It is blocked D) It is logged only
FILL: Rules limiting traffic leaving a network are called ____ rules
APPLY: A customer wants only our service to reach their API. What do they use?</t>
        </is>
      </c>
      <c r="B32" s="29" t="inlineStr">
        <is>
          <t>MCQ answer: C  Everything not listed is denied.
Fill answer: egress
Apply: An allow-list of our addresses</t>
        </is>
      </c>
      <c r="C32" s="29" t="inlineStr">
        <is>
          <t>05_Network_Security_Intermediate_NET-031_quiz</t>
        </is>
      </c>
    </row>
    <row r="33" ht="108" customHeight="1">
      <c r="A33" s="29" t="inlineStr">
        <is>
          <t>MCQ: Where does a bastion usually live?
A) Inside the database B) A public subnet C) A private subnet only D) On a laptop
FILL: SSH can hop through a bastion with the option Proxy____
APPLY: Admins need access to private servers with one exposed door. What do you build?</t>
        </is>
      </c>
      <c r="B33" s="29" t="inlineStr">
        <is>
          <t>MCQ answer: B  It must be reachable from outside.
Fill answer: Jump
Apply: A bastion host</t>
        </is>
      </c>
      <c r="C33" s="29" t="inlineStr">
        <is>
          <t>05_Network_Security_Advanced_NET-032_quiz</t>
        </is>
      </c>
    </row>
    <row r="34" ht="94.5" customHeight="1">
      <c r="A34" s="29" t="inlineStr">
        <is>
          <t>MCQ: Which option creates a local port forward?
A) -X B) -L C) -D D) -R
FILL: The option for a dynamic SOCKS proxy is -____
APPLY: You need to reach a private database briefly. What do you use?</t>
        </is>
      </c>
      <c r="B34" s="29" t="inlineStr">
        <is>
          <t>MCQ answer: B  -L maps a local port to a remote target.
Fill answer: D
Apply: An SSH local forward</t>
        </is>
      </c>
      <c r="C34" s="29" t="inlineStr">
        <is>
          <t>05_Network_Security_Intermediate_NET-033_quiz</t>
        </is>
      </c>
    </row>
    <row r="35" ht="94.5" customHeight="1">
      <c r="A35" s="29" t="inlineStr">
        <is>
          <t>MCQ: What is the first step in troubleshooting?
A) Change settings B) Reboot everything C) Define the exact problem D) Blame the user
FILL: A guess to be tested is called a ____
APPLY: A site fails for one user only. What do you compare first?</t>
        </is>
      </c>
      <c r="B35" s="29" t="inlineStr">
        <is>
          <t>MCQ answer: C  A clear definition guides every later test.
Fill answer: hypothesis
Apply: A working user and the failing one</t>
        </is>
      </c>
      <c r="C35" s="29" t="inlineStr">
        <is>
          <t>06_Troubleshooting_Intermediate_NET-034_quiz</t>
        </is>
      </c>
    </row>
    <row r="36" ht="108" customHeight="1">
      <c r="A36" s="29" t="inlineStr">
        <is>
          <t>MCQ: Which protocol does ping use?
A) ICMP B) HTTP C) TCP D) UDP
FILL: On Linux the option that limits the number of requests is ____
HINDI TO TASK: Send exactly three pings to a host.
PRACTICE QUESTION: Why can a working server not reply to ping?</t>
        </is>
      </c>
      <c r="B36" s="29" t="inlineStr">
        <is>
          <t>MCQ answer: A  Ping sends ICMP echo requests.
Fill answer: -c
Task answer:
ping -c 3 host
Practice answer:
A firewall may block ICMP.</t>
        </is>
      </c>
      <c r="C36" s="29" t="inlineStr">
        <is>
          <t>06_Troubleshooting_Beginner_NET-035_quiz</t>
        </is>
      </c>
    </row>
    <row r="37" ht="108" customHeight="1">
      <c r="A37" s="29" t="inlineStr">
        <is>
          <t>MCQ: What does traceroute vary to find each hop?
A) Size of the packet only B) Name C) Port D) Time to live
FILL: The Windows version of traceroute is called ____
HINDI TO TASK: Trace the path to example.com without name lookups.
PRACTICE QUESTION: Why can a hop show only stars?</t>
        </is>
      </c>
      <c r="B37" s="29" t="inlineStr">
        <is>
          <t>MCQ answer: D  Each router decrements TTL and reveals itself when it reaches zero.
Fill answer: tracert
Task answer:
traceroute -n example.com
Practice answer:
The router may ignore the probes while still forwarding traffic.</t>
        </is>
      </c>
      <c r="C37" s="29" t="inlineStr">
        <is>
          <t>06_Troubleshooting_Intermediate_NET-036_quiz</t>
        </is>
      </c>
    </row>
    <row r="38" ht="108" customHeight="1">
      <c r="A38" s="29" t="inlineStr">
        <is>
          <t>MCQ: Which dig modifier trims the output to the bare data?
A) +trace B) +short C) +long D) +raw
FILL: A status meaning the name does not exist is ____
HINDI TO TASK: Look up the mail servers of example.com.
PRACTICE QUESTION: What does +trace do?</t>
        </is>
      </c>
      <c r="B38" s="29" t="inlineStr">
        <is>
          <t>MCQ answer: B  +short prints just the data.
Fill answer: NXDOMAIN
Task answer:
dig example.com MX
Practice answer:
It follows the chain of authoritative servers from the root.</t>
        </is>
      </c>
      <c r="C38" s="29" t="inlineStr">
        <is>
          <t>06_Troubleshooting_Intermediate_NET-037_quiz</t>
        </is>
      </c>
    </row>
    <row r="39" ht="108" customHeight="1">
      <c r="A39" s="29" t="inlineStr">
        <is>
          <t>MCQ: Which option follows redirects?
A) -k B) -v C) -I D) -L
FILL: The option that prints only response headers is ____
HINDI TO TASK: Check the status code and time of a URL quietly.
PRACTICE QUESTION: What does --resolve do?</t>
        </is>
      </c>
      <c r="B39" s="29" t="inlineStr">
        <is>
          <t>MCQ answer: D  -L follows Location headers.
Fill answer: -I
Task answer:
curl -sS -o /dev/null -w "%{http_code} %{time_total}s\n" https://example.com
Practice answer:
It forces a name to use a chosen address for the request.</t>
        </is>
      </c>
      <c r="C39" s="29" t="inlineStr">
        <is>
          <t>06_Troubleshooting_Intermediate_NET-038_quiz</t>
        </is>
      </c>
    </row>
    <row r="40" ht="135" customHeight="1">
      <c r="A40" s="29" t="inlineStr">
        <is>
          <t>MCQ: What does 0.0.0.0 mean as a listen address?
A) All IPv4 addresses on the host B) Only local C) No address D) A broadcast
FILL: The flag that shows the owning program is ____
HINDI TO TASK: List all listening TCP ports with numbers.
PRACTICE QUESTION: Why can a service listen but be unreachable from outside?</t>
        </is>
      </c>
      <c r="B40" s="29" t="inlineStr">
        <is>
          <t>MCQ answer: A  The service accepts connections on every interface.
Fill answer: -p
Task answer:
ss -ltn
Practice answer:
It may be bound to 127.0.0.1 or blocked by a firewall.</t>
        </is>
      </c>
      <c r="C40" s="29" t="inlineStr">
        <is>
          <t>06_Troubleshooting_Intermediate_NET-039_quiz</t>
        </is>
      </c>
    </row>
    <row r="41" ht="108" customHeight="1">
      <c r="A41" s="29" t="inlineStr">
        <is>
          <t>MCQ: Which option writes packets to a file?
A) -n B) -c C) -w D) -r
FILL: The filter language used by tcpdump is called ____
HINDI TO TASK: Capture 20 packets on port 80 without name lookups.
PRACTICE QUESTION: Why does tcpdump need elevated rights?</t>
        </is>
      </c>
      <c r="B41" s="29" t="inlineStr">
        <is>
          <t>MCQ answer: C  -w saves a capture file.
Fill answer: BPF
Task answer:
sudo tcpdump -n -c 20 port 80
Practice answer:
Reading raw packets from an interface is a privileged operation.</t>
        </is>
      </c>
      <c r="C41" s="29" t="inlineStr">
        <is>
          <t>06_Troubleshooting_Advanced_NET-040_quiz</t>
        </is>
      </c>
    </row>
    <row r="42" ht="94.5" customHeight="1">
      <c r="A42" s="29" t="inlineStr">
        <is>
          <t>MCQ: Which feature shows one conversation as text?
A) Export B) Expert info C) Statistics D) Follow TCP stream
FILL: A filter applied after capture is a ____ filter
APPLY: A transfer is slow and you suspect packet loss. What do you look at?</t>
        </is>
      </c>
      <c r="B42" s="29" t="inlineStr">
        <is>
          <t>MCQ answer: D  It reassembles the stream for reading.
Fill answer: display
Apply: Retransmissions in expert information</t>
        </is>
      </c>
      <c r="C42" s="29" t="inlineStr">
        <is>
          <t>06_Troubleshooting_Advanced_NET-041_quiz</t>
        </is>
      </c>
    </row>
    <row r="43" ht="121.5" customHeight="1">
      <c r="A43" s="29" t="inlineStr">
        <is>
          <t>MCQ: Which symptom suggests an MTU problem?
A) Small requests work, large ones hang B) Nothing works C) Ping works for none D) DNS fails
FILL: The usual Ethernet MTU is ____ bytes
HINDI TO TASK: Send a do-not-fragment ping with payload 1400.
PRACTICE QUESTION: Why can blocking ICMP cause hangs?</t>
        </is>
      </c>
      <c r="B43" s="29" t="inlineStr">
        <is>
          <t>MCQ answer: A  Large packets exceed the path limit.
Fill answer: 1500
Task answer:
ping -M do -s 1400 -c 2 example.com
Practice answer:
It breaks path MTU discovery, so large packets are silently dropped.</t>
        </is>
      </c>
      <c r="C43" s="29" t="inlineStr">
        <is>
          <t>06_Troubleshooting_Advanced_NET-042_quiz</t>
        </is>
      </c>
    </row>
    <row r="44" ht="108" customHeight="1">
      <c r="A44" s="29" t="inlineStr">
        <is>
          <t>MCQ: What does connection refused indicate?
A) The host is down B) A cable is cut C) The host replied that nothing listens there D) DNS failed
FILL: A silent drop leads to a connection ____
APPLY: A client gets refused from outside but works locally. What is likely?</t>
        </is>
      </c>
      <c r="B44" s="29" t="inlineStr">
        <is>
          <t>MCQ answer: C  A reset is an active reply.
Fill answer: timeout
Apply: The service listens only on localhost</t>
        </is>
      </c>
      <c r="C44" s="29" t="inlineStr">
        <is>
          <t>06_Troubleshooting_Intermediate_NET-043_quiz</t>
        </is>
      </c>
    </row>
    <row r="45" ht="81" customHeight="1">
      <c r="A45" s="29" t="inlineStr">
        <is>
          <t>MCQ: What controls how long an answer is cached?
A) The gateway B) The TTL C) The port D) The MAC
FILL: Caching a not-found answer is called ____ caching
APPLY: A cutover is tomorrow. What do you lower today?</t>
        </is>
      </c>
      <c r="B45" s="29" t="inlineStr">
        <is>
          <t>MCQ answer: B  Each record carries a time to live.
Fill answer: negative
Apply: The TTL</t>
        </is>
      </c>
      <c r="C45" s="29" t="inlineStr">
        <is>
          <t>06_Troubleshooting_Intermediate_NET-044_quiz</t>
        </is>
      </c>
    </row>
    <row r="46" ht="94.5" customHeight="1">
      <c r="A46" s="29" t="inlineStr">
        <is>
          <t>MCQ: Which variable lists hosts that bypass the proxy?
A) HTTP_HOST B) NO_PROXY C) HOME D) PATH
FILL: A gateway timeout is the status code ____
APPLY: A tool works from your laptop but not from a server behind a proxy. What do you set?</t>
        </is>
      </c>
      <c r="B46" s="29" t="inlineStr">
        <is>
          <t>MCQ answer: B  NO_PROXY lists exceptions to the proxy.
Fill answer: 504
Apply: The proxy environment variables</t>
        </is>
      </c>
      <c r="C46" s="29" t="inlineStr">
        <is>
          <t>06_Troubleshooting_Advanced_NET-045_quiz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38</v>
      </c>
    </row>
    <row r="3">
      <c r="A3" t="inlineStr">
        <is>
          <t>Code concept (56-pt)</t>
        </is>
      </c>
      <c r="B3" t="n">
        <v>7</v>
      </c>
    </row>
    <row r="5">
      <c r="A5" s="21" t="inlineStr">
        <is>
          <t>Cards by topic</t>
        </is>
      </c>
    </row>
    <row r="6">
      <c r="A6" t="inlineStr">
        <is>
          <t>06 Troubleshooting</t>
        </is>
      </c>
      <c r="B6" t="n">
        <v>12</v>
      </c>
    </row>
    <row r="7">
      <c r="A7" t="inlineStr">
        <is>
          <t>03 Protocols</t>
        </is>
      </c>
      <c r="B7" t="n">
        <v>9</v>
      </c>
    </row>
    <row r="8">
      <c r="A8" t="inlineStr">
        <is>
          <t>02 Addressing</t>
        </is>
      </c>
      <c r="B8" t="n">
        <v>8</v>
      </c>
    </row>
    <row r="9">
      <c r="A9" t="inlineStr">
        <is>
          <t>04 Devices and Paths</t>
        </is>
      </c>
      <c r="B9" t="n">
        <v>7</v>
      </c>
    </row>
    <row r="10">
      <c r="A10" t="inlineStr">
        <is>
          <t>05 Network Security</t>
        </is>
      </c>
      <c r="B10" t="n">
        <v>5</v>
      </c>
    </row>
    <row r="11">
      <c r="A11" t="inlineStr">
        <is>
          <t>01 Models</t>
        </is>
      </c>
      <c r="B11" t="n">
        <v>4</v>
      </c>
    </row>
    <row r="13">
      <c r="A13" s="21" t="inlineStr">
        <is>
          <t>Cards by level</t>
        </is>
      </c>
    </row>
    <row r="14">
      <c r="A14" t="inlineStr">
        <is>
          <t>Intermediate</t>
        </is>
      </c>
      <c r="B14" t="n">
        <v>24</v>
      </c>
    </row>
    <row r="15">
      <c r="A15" t="inlineStr">
        <is>
          <t>Beginner</t>
        </is>
      </c>
      <c r="B15" t="n">
        <v>14</v>
      </c>
    </row>
    <row r="16">
      <c r="A16" t="inlineStr">
        <is>
          <t>Advanced</t>
        </is>
      </c>
      <c r="B16" t="n">
        <v>7</v>
      </c>
    </row>
    <row r="18">
      <c r="A18" s="21" t="inlineStr">
        <is>
          <t>Cards by source</t>
        </is>
      </c>
    </row>
    <row r="19">
      <c r="A19" t="inlineStr">
        <is>
          <t>Claude knowledge</t>
        </is>
      </c>
      <c r="B19" t="n">
        <v>45</v>
      </c>
    </row>
    <row r="21">
      <c r="A21" s="21" t="inlineStr">
        <is>
          <t>Error check</t>
        </is>
      </c>
    </row>
    <row r="22">
      <c r="A22"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2026-10-07T16:53:59Z</dcterms:created>
  <dcterms:modified xmlns:dcterms="http://purl.org/dc/terms/" xmlns:xsi="http://www.w3.org/2001/XMLSchema-instance" xsi:type="dcterms:W3CDTF">2026-10-07T16:54:00Z</dcterms:modified>
</cp:coreProperties>
</file>