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Code concept (56-pt) cards" sheetId="2" state="visible" r:id="rId2"/>
    <sheet xmlns:r="http://schemas.openxmlformats.org/officeDocument/2006/relationships" name="Code card view" sheetId="3" state="visible" r:id="rId3"/>
    <sheet xmlns:r="http://schemas.openxmlformats.org/officeDocument/2006/relationships" name="Topic (56-pt) cards" sheetId="4" state="visible" r:id="rId4"/>
    <sheet xmlns:r="http://schemas.openxmlformats.org/officeDocument/2006/relationships" name="Topic card view" sheetId="5" state="visible" r:id="rId5"/>
    <sheet xmlns:r="http://schemas.openxmlformats.org/officeDocument/2006/relationships" name="Anki Import" sheetId="6" state="visible" r:id="rId6"/>
    <sheet xmlns:r="http://schemas.openxmlformats.org/officeDocument/2006/relationships" name="Anki Quiz" sheetId="7" state="visible" r:id="rId7"/>
    <sheet xmlns:r="http://schemas.openxmlformats.org/officeDocument/2006/relationships" name="Summary" sheetId="8" state="visible" r:id="rId8"/>
  </sheets>
  <definedNames>
    <definedName name="_xlnm._FilterDatabase" localSheetId="1" hidden="1">'Code concept (56-pt) cards'!$A$2:$BN$5</definedName>
    <definedName name="_xlnm._FilterDatabase" localSheetId="3" hidden="1">'Topic (56-pt) cards'!$A$2:$BB$34</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sz val="14"/>
    </font>
    <font>
      <sz val="11"/>
    </font>
    <font>
      <b val="1"/>
      <sz val="11"/>
    </font>
    <font>
      <b val="1"/>
      <color rgb="00FFFFFF"/>
    </font>
    <font>
      <b val="1"/>
    </font>
    <font>
      <name val="Consolas"/>
      <sz val="10"/>
    </font>
    <font>
      <b val="1"/>
      <color rgb="001F3864"/>
      <sz val="16"/>
    </font>
    <font>
      <b val="1"/>
      <color rgb="00C00000"/>
      <sz val="12"/>
    </font>
    <font>
      <b val="1"/>
      <color rgb="00FFFFFF"/>
      <sz val="12"/>
    </font>
    <font>
      <b val="1"/>
      <color rgb="001F3864"/>
    </font>
  </fonts>
  <fills count="21">
    <fill>
      <patternFill/>
    </fill>
    <fill>
      <patternFill patternType="gray125"/>
    </fill>
    <fill>
      <patternFill patternType="solid">
        <fgColor rgb="00FFF4D6"/>
      </patternFill>
    </fill>
    <fill>
      <patternFill patternType="solid">
        <fgColor rgb="00374151"/>
      </patternFill>
    </fill>
    <fill>
      <patternFill patternType="solid">
        <fgColor rgb="001F3A68"/>
      </patternFill>
    </fill>
    <fill>
      <patternFill patternType="solid">
        <fgColor rgb="000F7F74"/>
      </patternFill>
    </fill>
    <fill>
      <patternFill patternType="solid">
        <fgColor rgb="00B35500"/>
      </patternFill>
    </fill>
    <fill>
      <patternFill patternType="solid">
        <fgColor rgb="00475569"/>
      </patternFill>
    </fill>
    <fill>
      <patternFill patternType="solid">
        <fgColor rgb="005B21B6"/>
      </patternFill>
    </fill>
    <fill>
      <patternFill patternType="solid">
        <fgColor rgb="00E5E7EB"/>
      </patternFill>
    </fill>
    <fill>
      <patternFill patternType="solid">
        <fgColor rgb="00DBE4F3"/>
      </patternFill>
    </fill>
    <fill>
      <patternFill patternType="solid">
        <fgColor rgb="00D5EFEC"/>
      </patternFill>
    </fill>
    <fill>
      <patternFill patternType="solid">
        <fgColor rgb="00F8E3CF"/>
      </patternFill>
    </fill>
    <fill>
      <patternFill patternType="solid">
        <fgColor rgb="00E2E8F0"/>
      </patternFill>
    </fill>
    <fill>
      <patternFill patternType="solid">
        <fgColor rgb="00E9DDFB"/>
      </patternFill>
    </fill>
    <fill>
      <patternFill patternType="solid">
        <fgColor rgb="00FFF2CC"/>
      </patternFill>
    </fill>
    <fill>
      <patternFill patternType="solid">
        <fgColor rgb="001F5FA8"/>
      </patternFill>
    </fill>
    <fill>
      <patternFill patternType="solid">
        <fgColor rgb="00F2F2F2"/>
      </patternFill>
    </fill>
    <fill>
      <patternFill patternType="solid">
        <fgColor rgb="002F7D4F"/>
      </patternFill>
    </fill>
    <fill>
      <patternFill patternType="solid">
        <fgColor rgb="00C2561A"/>
      </patternFill>
    </fill>
    <fill>
      <patternFill patternType="solid">
        <fgColor rgb="001F3864"/>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3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2" fillId="2" borderId="0" pivotButton="0" quotePrefix="0" xfId="0"/>
    <xf numFmtId="0" fontId="4" fillId="3" borderId="0" applyAlignment="1" pivotButton="0" quotePrefix="0" xfId="0">
      <alignment horizontal="center"/>
    </xf>
    <xf numFmtId="0" fontId="4" fillId="4" borderId="0" applyAlignment="1" pivotButton="0" quotePrefix="0" xfId="0">
      <alignment horizontal="center"/>
    </xf>
    <xf numFmtId="0" fontId="4" fillId="5" borderId="0" applyAlignment="1" pivotButton="0" quotePrefix="0" xfId="0">
      <alignment horizontal="center"/>
    </xf>
    <xf numFmtId="0" fontId="4" fillId="6" borderId="0" applyAlignment="1" pivotButton="0" quotePrefix="0" xfId="0">
      <alignment horizontal="center"/>
    </xf>
    <xf numFmtId="0" fontId="4" fillId="7" borderId="0" applyAlignment="1" pivotButton="0" quotePrefix="0" xfId="0">
      <alignment horizontal="center"/>
    </xf>
    <xf numFmtId="0" fontId="4" fillId="8" borderId="0" applyAlignment="1" pivotButton="0" quotePrefix="0" xfId="0">
      <alignment horizontal="center"/>
    </xf>
    <xf numFmtId="0" fontId="5" fillId="9" borderId="1" applyAlignment="1" pivotButton="0" quotePrefix="0" xfId="0">
      <alignment vertical="top" wrapText="1"/>
    </xf>
    <xf numFmtId="0" fontId="5" fillId="10" borderId="1" applyAlignment="1" pivotButton="0" quotePrefix="0" xfId="0">
      <alignment vertical="top" wrapText="1"/>
    </xf>
    <xf numFmtId="0" fontId="5" fillId="11" borderId="1" applyAlignment="1" pivotButton="0" quotePrefix="0" xfId="0">
      <alignment vertical="top" wrapText="1"/>
    </xf>
    <xf numFmtId="0" fontId="5" fillId="12" borderId="1" applyAlignment="1" pivotButton="0" quotePrefix="0" xfId="0">
      <alignment vertical="top" wrapText="1"/>
    </xf>
    <xf numFmtId="0" fontId="5" fillId="13" borderId="1" applyAlignment="1" pivotButton="0" quotePrefix="0" xfId="0">
      <alignment vertical="top" wrapText="1"/>
    </xf>
    <xf numFmtId="0" fontId="5" fillId="14" borderId="1" applyAlignment="1" pivotButton="0" quotePrefix="0" xfId="0">
      <alignment vertical="top" wrapText="1"/>
    </xf>
    <xf numFmtId="0" fontId="0" fillId="0" borderId="1" applyAlignment="1" pivotButton="0" quotePrefix="0" xfId="0">
      <alignment vertical="top" wrapText="1"/>
    </xf>
    <xf numFmtId="0" fontId="0" fillId="2" borderId="1" applyAlignment="1" pivotButton="0" quotePrefix="0" xfId="0">
      <alignment vertical="top" wrapText="1"/>
    </xf>
    <xf numFmtId="0" fontId="6" fillId="2" borderId="1" applyAlignment="1" pivotButton="0" quotePrefix="0" xfId="0">
      <alignment vertical="top" wrapText="1"/>
    </xf>
    <xf numFmtId="0" fontId="7" fillId="0" borderId="0" pivotButton="0" quotePrefix="0" xfId="0"/>
    <xf numFmtId="0" fontId="5" fillId="0" borderId="0" pivotButton="0" quotePrefix="0" xfId="0"/>
    <xf numFmtId="0" fontId="8" fillId="15" borderId="1" pivotButton="0" quotePrefix="0" xfId="0"/>
    <xf numFmtId="0" fontId="9" fillId="16" borderId="0" applyAlignment="1" pivotButton="0" quotePrefix="0" xfId="0">
      <alignment horizontal="center"/>
    </xf>
    <xf numFmtId="0" fontId="10" fillId="17" borderId="1" applyAlignment="1" pivotButton="0" quotePrefix="0" xfId="0">
      <alignment vertical="top" wrapText="1"/>
    </xf>
    <xf numFmtId="0" fontId="9" fillId="18" borderId="0" applyAlignment="1" pivotButton="0" quotePrefix="0" xfId="0">
      <alignment horizontal="center"/>
    </xf>
    <xf numFmtId="0" fontId="6" fillId="0" borderId="1" applyAlignment="1" pivotButton="0" quotePrefix="0" xfId="0">
      <alignment vertical="top" wrapText="1"/>
    </xf>
    <xf numFmtId="0" fontId="9" fillId="19" borderId="0" applyAlignment="1" pivotButton="0" quotePrefix="0" xfId="0">
      <alignment horizontal="center"/>
    </xf>
    <xf numFmtId="0" fontId="4" fillId="2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20" customWidth="1" min="1" max="1"/>
  </cols>
  <sheetData>
    <row r="1">
      <c r="A1" s="1" t="inlineStr">
        <is>
          <t>Logging and Monitoring – Beginner to Advanced Flashcards</t>
        </is>
      </c>
    </row>
    <row r="2">
      <c r="A2" s="2" t="inlineStr">
        <is>
          <t>Subject: Observability, logging, metrics and tracing   ·   Learner: Self learner, English   ·   Cards: 35</t>
        </is>
      </c>
    </row>
    <row r="3">
      <c r="A3" s="2" t="inlineStr">
        <is>
          <t>Source: Claude knowledge</t>
        </is>
      </c>
    </row>
    <row r="4">
      <c r="A4" s="2" t="inlineStr"/>
    </row>
    <row r="5">
      <c r="A5" s="3" t="inlineStr">
        <is>
          <t>How to study a card</t>
        </is>
      </c>
    </row>
    <row r="6">
      <c r="A6" s="2" t="inlineStr">
        <is>
          <t>1. Read Side 1 only. Try to say the meaning, answer or formula out loud before looking further.</t>
        </is>
      </c>
    </row>
    <row r="7">
      <c r="A7" s="2" t="inlineStr">
        <is>
          <t>2. Check yourself against Side 2. Read the examples and the common mistake.</t>
        </is>
      </c>
    </row>
    <row r="8">
      <c r="A8" s="2" t="inlineStr">
        <is>
          <t>3. Do the practice on Side 3 without looking back. Then mark Status: New → Learning → Known.</t>
        </is>
      </c>
    </row>
    <row r="9">
      <c r="A9" s="2" t="inlineStr">
        <is>
          <t>4. Review on days 1, 3, 7, 15, 30, 60 after first study: write the date or ✓ in that day's column.</t>
        </is>
      </c>
    </row>
    <row r="10">
      <c r="A10" s="2" t="inlineStr">
        <is>
          <t xml:space="preserve">   Got it wrong on a review? Start that card's days again from Day 1.</t>
        </is>
      </c>
    </row>
    <row r="11">
      <c r="A11" s="2" t="inlineStr">
        <is>
          <t>5. Follow 'Study order': prerequisites come first, then easy to hard.</t>
        </is>
      </c>
    </row>
    <row r="12">
      <c r="A12" s="2" t="inlineStr"/>
    </row>
    <row r="13">
      <c r="A13" s="3" t="inlineStr">
        <is>
          <t>Colours</t>
        </is>
      </c>
    </row>
    <row r="14">
      <c r="A14" s="4" t="inlineStr">
        <is>
          <t>Shaded cells were added by Claude, not taken from your own book or notes. Check them against a trusted source,</t>
        </is>
      </c>
    </row>
    <row r="15">
      <c r="A15" s="2" t="inlineStr">
        <is>
          <t>and mark the card 'Fix' in the OK / Fix column if anything is wrong. Unshaded cells came from your 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5"/>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42" customWidth="1" min="7" max="7"/>
    <col width="18" customWidth="1" min="8" max="8"/>
    <col width="18" customWidth="1" min="9" max="9"/>
    <col width="18" customWidth="1" min="10" max="10"/>
    <col width="18" customWidth="1" min="11" max="11"/>
    <col width="42" customWidth="1" min="12" max="12"/>
    <col width="42" customWidth="1" min="13" max="13"/>
    <col width="42" customWidth="1" min="14" max="14"/>
    <col width="42" customWidth="1" min="15" max="15"/>
    <col width="42" customWidth="1" min="16" max="16"/>
    <col width="42" customWidth="1" min="17" max="17"/>
    <col width="18" customWidth="1" min="18" max="18"/>
    <col width="18" customWidth="1" min="19" max="19"/>
    <col width="42" customWidth="1" min="20" max="20"/>
    <col width="42" customWidth="1" min="21" max="21"/>
    <col width="42" customWidth="1" min="22" max="22"/>
    <col width="42" customWidth="1" min="23" max="23"/>
    <col width="42" customWidth="1" min="24" max="24"/>
    <col width="18" customWidth="1" min="25" max="25"/>
    <col width="18" customWidth="1" min="26" max="26"/>
    <col width="42" customWidth="1" min="27" max="27"/>
    <col width="42" customWidth="1" min="28" max="28"/>
    <col width="42" customWidth="1" min="29" max="29"/>
    <col width="42" customWidth="1" min="30" max="30"/>
    <col width="18" customWidth="1" min="31" max="31"/>
    <col width="18" customWidth="1" min="32" max="32"/>
    <col width="18" customWidth="1" min="33" max="33"/>
    <col width="42" customWidth="1" min="34" max="34"/>
    <col width="42" customWidth="1" min="35" max="35"/>
    <col width="42" customWidth="1" min="36" max="36"/>
    <col width="42" customWidth="1" min="37" max="37"/>
    <col width="42" customWidth="1" min="38" max="38"/>
    <col width="42" customWidth="1" min="39" max="39"/>
    <col width="42" customWidth="1" min="40" max="40"/>
    <col width="42" customWidth="1" min="41" max="41"/>
    <col width="42" customWidth="1" min="42" max="42"/>
    <col width="42" customWidth="1" min="43" max="43"/>
    <col width="42" customWidth="1" min="44" max="44"/>
    <col width="42" customWidth="1" min="45" max="45"/>
    <col width="42" customWidth="1" min="46" max="46"/>
    <col width="42" customWidth="1" min="47" max="47"/>
    <col width="18" customWidth="1" min="48" max="48"/>
    <col width="18" customWidth="1" min="49" max="49"/>
    <col width="42" customWidth="1" min="50" max="50"/>
    <col width="42" customWidth="1" min="51" max="51"/>
    <col width="42" customWidth="1" min="52" max="52"/>
    <col width="42" customWidth="1" min="53" max="53"/>
    <col width="42" customWidth="1" min="54" max="54"/>
    <col width="42" customWidth="1" min="55" max="55"/>
    <col width="18" customWidth="1" min="56" max="56"/>
    <col width="42" customWidth="1" min="57" max="57"/>
    <col width="18" customWidth="1" min="58" max="58"/>
    <col width="9" customWidth="1" min="59" max="59"/>
    <col width="9" customWidth="1" min="60" max="60"/>
    <col width="9" customWidth="1" min="61" max="61"/>
    <col width="9" customWidth="1" min="62" max="62"/>
    <col width="9" customWidth="1" min="63" max="63"/>
    <col width="9" customWidth="1" min="64" max="64"/>
    <col width="18" customWidth="1" min="65" max="65"/>
    <col width="18" customWidth="1" min="66" max="66"/>
  </cols>
  <sheetData>
    <row r="1">
      <c r="A1" s="5" t="inlineStr">
        <is>
          <t>Card</t>
        </is>
      </c>
      <c r="F1" s="6" t="inlineStr">
        <is>
          <t>Side 1 · Recognition</t>
        </is>
      </c>
      <c r="R1" s="7" t="inlineStr">
        <is>
          <t>Side 2 · Understanding</t>
        </is>
      </c>
      <c r="AT1" s="8" t="inlineStr">
        <is>
          <t>Side 3 · Real life &amp; Practice</t>
        </is>
      </c>
      <c r="BD1" s="9" t="inlineStr">
        <is>
          <t>Auto</t>
        </is>
      </c>
      <c r="BF1" s="10" t="inlineStr">
        <is>
          <t>My review</t>
        </is>
      </c>
    </row>
    <row r="2">
      <c r="A2" s="11" t="inlineStr">
        <is>
          <t>ID</t>
        </is>
      </c>
      <c r="B2" s="11" t="inlineStr">
        <is>
          <t>Topic</t>
        </is>
      </c>
      <c r="C2" s="11" t="inlineStr">
        <is>
          <t>Level</t>
        </is>
      </c>
      <c r="D2" s="11" t="inlineStr">
        <is>
          <t>Study order</t>
        </is>
      </c>
      <c r="E2" s="11" t="inlineStr">
        <is>
          <t>Source</t>
        </is>
      </c>
      <c r="F2" s="12" t="inlineStr">
        <is>
          <t>Concept</t>
        </is>
      </c>
      <c r="G2" s="12" t="inlineStr">
        <is>
          <t>Recall cue</t>
        </is>
      </c>
      <c r="H2" s="12" t="inlineStr">
        <is>
          <t>Read aloud</t>
        </is>
      </c>
      <c r="I2" s="12" t="inlineStr">
        <is>
          <t>Type</t>
        </is>
      </c>
      <c r="J2" s="12" t="inlineStr">
        <is>
          <t>How often used</t>
        </is>
      </c>
      <c r="K2" s="12" t="inlineStr">
        <is>
          <t>Importance (1-5)</t>
        </is>
      </c>
      <c r="L2" s="12" t="inlineStr">
        <is>
          <t>Origin / why it exists</t>
        </is>
      </c>
      <c r="M2" s="12" t="inlineStr">
        <is>
          <t>Pro tip</t>
        </is>
      </c>
      <c r="N2" s="12" t="inlineStr">
        <is>
          <t>Typing hint</t>
        </is>
      </c>
      <c r="O2" s="12" t="inlineStr">
        <is>
          <t>Memory story</t>
        </is>
      </c>
      <c r="P2" s="12" t="inlineStr">
        <is>
          <t>Picture it</t>
        </is>
      </c>
      <c r="Q2" s="12" t="inlineStr">
        <is>
          <t>Emotion hook</t>
        </is>
      </c>
      <c r="R2" s="13" t="inlineStr">
        <is>
          <t>Meaning (short)</t>
        </is>
      </c>
      <c r="S2" s="13" t="inlineStr">
        <is>
          <t>Meaning in learner's language</t>
        </is>
      </c>
      <c r="T2" s="13" t="inlineStr">
        <is>
          <t>Code</t>
        </is>
      </c>
      <c r="U2" s="13" t="inlineStr">
        <is>
          <t>Output</t>
        </is>
      </c>
      <c r="V2" s="13" t="inlineStr">
        <is>
          <t>Explanation</t>
        </is>
      </c>
      <c r="W2" s="13" t="inlineStr">
        <is>
          <t>Simple explanation (Hinglish)</t>
        </is>
      </c>
      <c r="X2" s="13" t="inlineStr">
        <is>
          <t>Real-life analogy</t>
        </is>
      </c>
      <c r="Y2" s="13" t="inlineStr">
        <is>
          <t>Syntax pattern</t>
        </is>
      </c>
      <c r="Z2" s="13" t="inlineStr">
        <is>
          <t>Anatomy</t>
        </is>
      </c>
      <c r="AA2" s="13" t="inlineStr">
        <is>
          <t>Example 1</t>
        </is>
      </c>
      <c r="AB2" s="13" t="inlineStr">
        <is>
          <t>Example 2</t>
        </is>
      </c>
      <c r="AC2" s="13" t="inlineStr">
        <is>
          <t>Example 3</t>
        </is>
      </c>
      <c r="AD2" s="13" t="inlineStr">
        <is>
          <t>Variation</t>
        </is>
      </c>
      <c r="AE2" s="13" t="inlineStr">
        <is>
          <t>Used with</t>
        </is>
      </c>
      <c r="AF2" s="13" t="inlineStr">
        <is>
          <t>Related concepts</t>
        </is>
      </c>
      <c r="AG2" s="13" t="inlineStr">
        <is>
          <t>Alternatives</t>
        </is>
      </c>
      <c r="AH2" s="13" t="inlineStr">
        <is>
          <t>Family / group</t>
        </is>
      </c>
      <c r="AI2" s="13" t="inlineStr">
        <is>
          <t>Where it is used</t>
        </is>
      </c>
      <c r="AJ2" s="13" t="inlineStr">
        <is>
          <t>Mini conversation</t>
        </is>
      </c>
      <c r="AK2" s="13" t="inlineStr">
        <is>
          <t>Common mistake</t>
        </is>
      </c>
      <c r="AL2" s="13" t="inlineStr">
        <is>
          <t>Commonly confused with</t>
        </is>
      </c>
      <c r="AM2" s="13" t="inlineStr">
        <is>
          <t>Avoid / don't</t>
        </is>
      </c>
      <c r="AN2" s="13" t="inlineStr">
        <is>
          <t>Wrong code</t>
        </is>
      </c>
      <c r="AO2" s="13" t="inlineStr">
        <is>
          <t>Right code</t>
        </is>
      </c>
      <c r="AP2" s="13" t="inlineStr">
        <is>
          <t>Memory trick</t>
        </is>
      </c>
      <c r="AQ2" s="13" t="inlineStr">
        <is>
          <t>Real life: project / work</t>
        </is>
      </c>
      <c r="AR2" s="13" t="inlineStr">
        <is>
          <t>Real life: interview / exam</t>
        </is>
      </c>
      <c r="AS2" s="13" t="inlineStr">
        <is>
          <t>Real life: daily life</t>
        </is>
      </c>
      <c r="AT2" s="14" t="inlineStr">
        <is>
          <t>MCQ question</t>
        </is>
      </c>
      <c r="AU2" s="14" t="inlineStr">
        <is>
          <t>MCQ options</t>
        </is>
      </c>
      <c r="AV2" s="14" t="inlineStr">
        <is>
          <t>MCQ answer</t>
        </is>
      </c>
      <c r="AW2" s="14" t="inlineStr">
        <is>
          <t>Why that answer</t>
        </is>
      </c>
      <c r="AX2" s="14" t="inlineStr">
        <is>
          <t>Fill the blank</t>
        </is>
      </c>
      <c r="AY2" s="14" t="inlineStr">
        <is>
          <t>Try it yourself</t>
        </is>
      </c>
      <c r="AZ2" s="14" t="inlineStr">
        <is>
          <t>Task answer</t>
        </is>
      </c>
      <c r="BA2" s="14" t="inlineStr">
        <is>
          <t>Write your own</t>
        </is>
      </c>
      <c r="BB2" s="14" t="inlineStr">
        <is>
          <t>Practice question</t>
        </is>
      </c>
      <c r="BC2" s="14" t="inlineStr">
        <is>
          <t>Practice answer</t>
        </is>
      </c>
      <c r="BD2" s="15" t="inlineStr">
        <is>
          <t>Importance ★</t>
        </is>
      </c>
      <c r="BE2" s="15" t="inlineStr">
        <is>
          <t>Quick recall (reverse)</t>
        </is>
      </c>
      <c r="BF2" s="16" t="inlineStr">
        <is>
          <t>Status</t>
        </is>
      </c>
      <c r="BG2" s="16" t="inlineStr">
        <is>
          <t>Day 1</t>
        </is>
      </c>
      <c r="BH2" s="16" t="inlineStr">
        <is>
          <t>Day 3</t>
        </is>
      </c>
      <c r="BI2" s="16" t="inlineStr">
        <is>
          <t>Day 7</t>
        </is>
      </c>
      <c r="BJ2" s="16" t="inlineStr">
        <is>
          <t>Day 15</t>
        </is>
      </c>
      <c r="BK2" s="16" t="inlineStr">
        <is>
          <t>Day 30</t>
        </is>
      </c>
      <c r="BL2" s="16" t="inlineStr">
        <is>
          <t>Day 60</t>
        </is>
      </c>
      <c r="BM2" s="16" t="inlineStr">
        <is>
          <t>OK / Fix</t>
        </is>
      </c>
      <c r="BN2" s="16" t="inlineStr">
        <is>
          <t>My note</t>
        </is>
      </c>
    </row>
    <row r="3" ht="108" customHeight="1">
      <c r="A3" s="17" t="inlineStr">
        <is>
          <t>OBS-007</t>
        </is>
      </c>
      <c r="B3" s="17" t="inlineStr">
        <is>
          <t>02 Logging</t>
        </is>
      </c>
      <c r="C3" s="17" t="inlineStr">
        <is>
          <t>Intermediate</t>
        </is>
      </c>
      <c r="D3" s="17" t="n">
        <v>7</v>
      </c>
      <c r="E3" s="17" t="inlineStr">
        <is>
          <t>Claude knowledge</t>
        </is>
      </c>
      <c r="F3" s="18" t="inlineStr">
        <is>
          <t>Structured logs</t>
        </is>
      </c>
      <c r="G3" s="18" t="inlineStr">
        <is>
          <t>Which logging style writes events as key-value fields so they can be searched?</t>
        </is>
      </c>
      <c r="H3" s="17" t="n"/>
      <c r="I3" s="18" t="inlineStr">
        <is>
          <t>Logging practice</t>
        </is>
      </c>
      <c r="J3" s="18" t="inlineStr">
        <is>
          <t>Very high</t>
        </is>
      </c>
      <c r="K3" s="18" t="n">
        <v>5</v>
      </c>
      <c r="L3" s="18" t="inlineStr">
        <is>
          <t>Free-text lines are hard to search, so structured logs record each event as fields such as JSON.</t>
        </is>
      </c>
      <c r="M3" s="18" t="inlineStr">
        <is>
          <t>Use consistent field names across services.</t>
        </is>
      </c>
      <c r="N3" s="17" t="n"/>
      <c r="O3" s="18" t="inlineStr">
        <is>
          <t>A structured log is a form with labelled fields instead of a rambling note.</t>
        </is>
      </c>
      <c r="P3" s="18" t="inlineStr">
        <is>
          <t>A JSON line with fields for time, level, message and order id.</t>
        </is>
      </c>
      <c r="Q3" s="18" t="inlineStr">
        <is>
          <t>The pleasure of filtering logs by one field.</t>
        </is>
      </c>
      <c r="R3" s="18" t="inlineStr">
        <is>
          <t>Structured logging writes each event as machine-readable fields, usually JSON, with a timestamp, level, message and context such as ids.</t>
        </is>
      </c>
      <c r="S3" s="17" t="n"/>
      <c r="T3" s="19" t="inlineStr">
        <is>
          <t>import json, logging, sys
logging.basicConfig(stream=sys.stdout, level=logging.INFO, format="%(message)s")
log = logging.getLogger("orders")
log.info(json.dumps({"ts": "2026-10-07T10:15:02Z", "level": "info", "msg": "order created", "order_id": 1042, "customer_id": 77, "duration_ms": 184, "request_id": "r-9f2"}))</t>
        </is>
      </c>
      <c r="U3" s="19" t="inlineStr">
        <is>
          <t>One JSON line with fields that tools can filter, group and chart.</t>
        </is>
      </c>
      <c r="V3" s="18" t="inlineStr">
        <is>
          <t>With fields, you can search for all errors for one customer or chart durations. Use stable names and types, include a request id, and keep messages short and constant so they group well. Libraries add the fields automatically. Do not include secrets or whole payloads. Write to standard output and let the platform collect.</t>
        </is>
      </c>
      <c r="W3" s="18" t="inlineStr">
        <is>
          <t>Log JSON with consistent fields, and keep the message text constant.</t>
        </is>
      </c>
      <c r="X3" s="18" t="inlineStr">
        <is>
          <t>A structured log is a form with labelled fields instead of a rambling note.</t>
        </is>
      </c>
      <c r="Y3" s="19" t="inlineStr">
        <is>
          <t>log.info(json.dumps({field: value}))</t>
        </is>
      </c>
      <c r="Z3" s="18" t="inlineStr">
        <is>
          <t>ts = time | level = severity | msg = constant text | ids = context</t>
        </is>
      </c>
      <c r="AA3" s="19" t="inlineStr">
        <is>
          <t>{"level":"error","msg":"payment failed","order_id":1042}</t>
        </is>
      </c>
      <c r="AB3" s="19" t="inlineStr">
        <is>
          <t>{"msg":"login","user_id":7,"ip":"203.0.113.5"}</t>
        </is>
      </c>
      <c r="AC3" s="19" t="inlineStr">
        <is>
          <t>logger.bind(request_id=rid).info("done")</t>
        </is>
      </c>
      <c r="AD3" s="19" t="inlineStr">
        <is>
          <t>structlog or pino   // libraries that do this for you</t>
        </is>
      </c>
      <c r="AE3" s="18" t="inlineStr">
        <is>
          <t>central logging, correlation ids, searching logs</t>
        </is>
      </c>
      <c r="AF3" s="18" t="inlineStr">
        <is>
          <t>correlation ids, central logging, searching logs, sensitive data</t>
        </is>
      </c>
      <c r="AG3" s="18" t="inlineStr">
        <is>
          <t>Plain text logs with a fixed format</t>
        </is>
      </c>
      <c r="AH3" s="17" t="n"/>
      <c r="AI3" s="18" t="inlineStr">
        <is>
          <t>Services | Pipelines | Containers</t>
        </is>
      </c>
      <c r="AJ3" s="18" t="inlineStr">
        <is>
          <t>A: How do I find all errors for one customer? | B: Filter structured logs by customer_id.</t>
        </is>
      </c>
      <c r="AK3" s="18" t="inlineStr">
        <is>
          <t>✗ Structured logs are only for big companies → ✓ Any service benefits from searchable fields</t>
        </is>
      </c>
      <c r="AL3" s="18" t="inlineStr">
        <is>
          <t>Structured vs plain logs: fields versus free text.</t>
        </is>
      </c>
      <c r="AM3" s="18" t="inlineStr">
        <is>
          <t>Do not build messages with variable text in the main message field.</t>
        </is>
      </c>
      <c r="AN3" s="19" t="inlineStr">
        <is>
          <t>log.info(f"order {order_id} created for {customer_id}")</t>
        </is>
      </c>
      <c r="AO3" s="19" t="inlineStr">
        <is>
          <t>log.info(json.dumps({"msg": "order created", "order_id": order_id, "customer_id": customer_id}))</t>
        </is>
      </c>
      <c r="AP3" s="18" t="inlineStr">
        <is>
          <t>Keep the message constant, put variables in fields.</t>
        </is>
      </c>
      <c r="AQ3" s="18" t="inlineStr">
        <is>
          <t>Switching to JSON logs let support filter an incident by customer in seconds.</t>
        </is>
      </c>
      <c r="AR3" s="18" t="inlineStr">
        <is>
          <t>An interviewer may ask: Why use structured logging?</t>
        </is>
      </c>
      <c r="AS3" s="18" t="inlineStr">
        <is>
          <t>It is like a form with labelled fields.</t>
        </is>
      </c>
      <c r="AT3" s="18" t="inlineStr">
        <is>
          <t>Which format is most common for structured logs?</t>
        </is>
      </c>
      <c r="AU3" s="18" t="inlineStr">
        <is>
          <t>A) Free text B) Audio C) Images D) JSON</t>
        </is>
      </c>
      <c r="AV3" s="18" t="inlineStr">
        <is>
          <t>D</t>
        </is>
      </c>
      <c r="AW3" s="18" t="inlineStr">
        <is>
          <t>JSON is easy for tools to parse.</t>
        </is>
      </c>
      <c r="AX3" s="19" t="inlineStr">
        <is>
          <t>Keep the message constant and put variable data in ____ → fields</t>
        </is>
      </c>
      <c r="AY3" s="18" t="inlineStr">
        <is>
          <t>Log an order created event with its id as a field.</t>
        </is>
      </c>
      <c r="AZ3" s="19" t="inlineStr">
        <is>
          <t>log.info(json.dumps({"msg": "order created", "order_id": 1042}))</t>
        </is>
      </c>
      <c r="BA3" s="18" t="inlineStr">
        <is>
          <t>Design the standard fields for all logs in a team.</t>
        </is>
      </c>
      <c r="BB3" s="19" t="inlineStr">
        <is>
          <t>Why keep the message text constant?</t>
        </is>
      </c>
      <c r="BC3" s="19" t="inlineStr">
        <is>
          <t>So identical events group together.</t>
        </is>
      </c>
      <c r="BD3" s="17">
        <f>IF(K3="","",REPT("★",K3)&amp;REPT("☆",5-K3)&amp;" ("&amp;K3&amp;"/5)")</f>
        <v/>
      </c>
      <c r="BE3" s="17">
        <f>IF(S3="","","Meaning: "&amp;S3&amp;"  =  ______   (Answer: "&amp;F3&amp;")")</f>
        <v/>
      </c>
      <c r="BF3" s="17" t="inlineStr">
        <is>
          <t>New</t>
        </is>
      </c>
      <c r="BG3" s="17" t="n"/>
      <c r="BH3" s="17" t="n"/>
      <c r="BI3" s="17" t="n"/>
      <c r="BJ3" s="17" t="n"/>
      <c r="BK3" s="17" t="n"/>
      <c r="BL3" s="17" t="n"/>
      <c r="BM3" s="17" t="n"/>
      <c r="BN3" s="17" t="n"/>
    </row>
    <row r="4" ht="175.5" customHeight="1">
      <c r="A4" s="17" t="inlineStr">
        <is>
          <t>OBS-015</t>
        </is>
      </c>
      <c r="B4" s="17" t="inlineStr">
        <is>
          <t>03 Metrics</t>
        </is>
      </c>
      <c r="C4" s="17" t="inlineStr">
        <is>
          <t>Intermediate</t>
        </is>
      </c>
      <c r="D4" s="17" t="n">
        <v>15</v>
      </c>
      <c r="E4" s="17" t="inlineStr">
        <is>
          <t>Claude knowledge</t>
        </is>
      </c>
      <c r="F4" s="18" t="inlineStr">
        <is>
          <t>Prometheus basics</t>
        </is>
      </c>
      <c r="G4" s="18" t="inlineStr">
        <is>
          <t>Which system scrapes metrics from services and lets you query them?</t>
        </is>
      </c>
      <c r="H4" s="17" t="n"/>
      <c r="I4" s="18" t="inlineStr">
        <is>
          <t>Tool</t>
        </is>
      </c>
      <c r="J4" s="18" t="inlineStr">
        <is>
          <t>Very high</t>
        </is>
      </c>
      <c r="K4" s="18" t="n">
        <v>5</v>
      </c>
      <c r="L4" s="18" t="inlineStr">
        <is>
          <t>Teams needed an open way to collect time series metrics, so Prometheus pulls them from endpoints and stores them for querying.</t>
        </is>
      </c>
      <c r="M4" s="18" t="inlineStr">
        <is>
          <t>Expose metrics on a /metrics endpoint and label them sparingly.</t>
        </is>
      </c>
      <c r="N4" s="17" t="n"/>
      <c r="O4" s="18" t="inlineStr">
        <is>
          <t>Prometheus is a collector that visits each service on a schedule and copies its meter readings.</t>
        </is>
      </c>
      <c r="P4" s="18" t="inlineStr">
        <is>
          <t>A server fetching numbers from several targets into a time series store.</t>
        </is>
      </c>
      <c r="Q4" s="18" t="inlineStr">
        <is>
          <t>The satisfaction of a query returning exactly the rate you wanted.</t>
        </is>
      </c>
      <c r="R4" s="18" t="inlineStr">
        <is>
          <t>Prometheus scrapes metrics from HTTP endpoints at intervals, stores them as labelled time series, and offers the query language PromQL and alert rules.</t>
        </is>
      </c>
      <c r="S4" s="17" t="n"/>
      <c r="T4" s="19" t="inlineStr">
        <is>
          <t># prometheus.yml
scrape_configs:
  - job_name: web
    scrape_interval: 15s
    static_configs:
      - targets: ["web:8080"]
# PromQL
rate(http_requests_total{job="web", status=~"5.."}[5m])
sum by (route) (rate(http_requests_total[5m]))
histogram_quantile(0.95, sum by (le) (rate(http_request_duration_seconds_bucket[5m])))</t>
        </is>
      </c>
      <c r="U4" s="19" t="inlineStr">
        <is>
          <t>The queries give the per-second rate of server errors, the rate by route, and the 95th percentile latency over five minutes.</t>
        </is>
      </c>
      <c r="V4" s="18" t="inlineStr">
        <is>
          <t>Each metric has a name and labels, such as status and route. rate turns a counter into a per-second value over a window. sum by groups series. histogram_quantile estimates percentiles from buckets. Alertmanager handles routing of alerts. Prometheus pulls, so targets must be reachable, and short jobs use a push gateway.</t>
        </is>
      </c>
      <c r="W4" s="18" t="inlineStr">
        <is>
          <t>Expose /metrics, scrape it, and query rates with PromQL.</t>
        </is>
      </c>
      <c r="X4" s="18" t="inlineStr">
        <is>
          <t>Prometheus is a collector that visits each service on a schedule and copies its meter readings.</t>
        </is>
      </c>
      <c r="Y4" s="19" t="inlineStr">
        <is>
          <t>rate(metric{label="x"}[5m]) | sum by (label) (...)</t>
        </is>
      </c>
      <c r="Z4" s="18" t="inlineStr">
        <is>
          <t>scrape = pull | label = dimension | rate = per-second change | [5m] = window</t>
        </is>
      </c>
      <c r="AA4" s="19" t="inlineStr">
        <is>
          <t>up{job="web"}</t>
        </is>
      </c>
      <c r="AB4" s="19" t="inlineStr">
        <is>
          <t>avg_over_time(process_resident_memory_bytes[1h])</t>
        </is>
      </c>
      <c r="AC4" s="19" t="inlineStr">
        <is>
          <t>increase(http_requests_total[1h])</t>
        </is>
      </c>
      <c r="AD4" s="19" t="inlineStr">
        <is>
          <t>remote write to a long-term store   // keep metrics for months</t>
        </is>
      </c>
      <c r="AE4" s="18" t="inlineStr">
        <is>
          <t>Grafana, Alertmanager, exporters</t>
        </is>
      </c>
      <c r="AF4" s="18" t="inlineStr">
        <is>
          <t>counters gauges histograms, Grafana basics, percentiles, cardinality</t>
        </is>
      </c>
      <c r="AG4" s="18" t="inlineStr">
        <is>
          <t>Cloud monitoring services | OpenTelemetry metrics</t>
        </is>
      </c>
      <c r="AH4" s="17" t="n"/>
      <c r="AI4" s="18" t="inlineStr">
        <is>
          <t>Kubernetes | Services | Alerting</t>
        </is>
      </c>
      <c r="AJ4" s="18" t="inlineStr">
        <is>
          <t>A: How do I see the error rate? | B: Use rate on the counter filtered to 5xx.</t>
        </is>
      </c>
      <c r="AK4" s="18" t="inlineStr">
        <is>
          <t>✗ Prometheus stores logs → ✓ It stores numeric time series only</t>
        </is>
      </c>
      <c r="AL4" s="18" t="inlineStr">
        <is>
          <t>rate vs increase: rate is per second, increase is the total over the window.</t>
        </is>
      </c>
      <c r="AM4" s="18" t="inlineStr">
        <is>
          <t>Do not apply rate to a gauge.</t>
        </is>
      </c>
      <c r="AN4" s="19" t="inlineStr">
        <is>
          <t>rate(memory_in_use_bytes[5m])</t>
        </is>
      </c>
      <c r="AO4" s="19" t="inlineStr">
        <is>
          <t>rate(http_requests_total[5m])</t>
        </is>
      </c>
      <c r="AP4" s="18" t="inlineStr">
        <is>
          <t>Rate is for counters only.</t>
        </is>
      </c>
      <c r="AQ4" s="18" t="inlineStr">
        <is>
          <t>A rate query on the error counter drove a page when errors passed five percent.</t>
        </is>
      </c>
      <c r="AR4" s="18" t="inlineStr">
        <is>
          <t>An interviewer may ask: What does rate do in PromQL?</t>
        </is>
      </c>
      <c r="AS4" s="18" t="inlineStr">
        <is>
          <t>It is like a collector copying meter readings.</t>
        </is>
      </c>
      <c r="AT4" s="18" t="inlineStr">
        <is>
          <t>What does Prometheus do to collect metrics?</t>
        </is>
      </c>
      <c r="AU4" s="18" t="inlineStr">
        <is>
          <t>A) Waits for logs B) Prints reports C) Scrapes endpoints on a schedule D) Reads emails</t>
        </is>
      </c>
      <c r="AV4" s="18" t="inlineStr">
        <is>
          <t>C</t>
        </is>
      </c>
      <c r="AW4" s="18" t="inlineStr">
        <is>
          <t>It pulls from targets.</t>
        </is>
      </c>
      <c r="AX4" s="19" t="inlineStr">
        <is>
          <t>The query language of Prometheus is ____ → PromQL</t>
        </is>
      </c>
      <c r="AY4" s="18" t="inlineStr">
        <is>
          <t>Query the request rate over five minutes.</t>
        </is>
      </c>
      <c r="AZ4" s="19" t="inlineStr">
        <is>
          <t>rate(http_requests_total[5m])</t>
        </is>
      </c>
      <c r="BA4" s="18" t="inlineStr">
        <is>
          <t>Write a query for the error ratio of requests.</t>
        </is>
      </c>
      <c r="BB4" s="19" t="inlineStr">
        <is>
          <t>Which metric type is rate meant for?</t>
        </is>
      </c>
      <c r="BC4" s="19" t="inlineStr">
        <is>
          <t>Counters.</t>
        </is>
      </c>
      <c r="BD4" s="17">
        <f>IF(K4="","",REPT("★",K4)&amp;REPT("☆",5-K4)&amp;" ("&amp;K4&amp;"/5)")</f>
        <v/>
      </c>
      <c r="BE4" s="17">
        <f>IF(S4="","","Meaning: "&amp;S4&amp;"  =  ______   (Answer: "&amp;F4&amp;")")</f>
        <v/>
      </c>
      <c r="BF4" s="17" t="inlineStr">
        <is>
          <t>New</t>
        </is>
      </c>
      <c r="BG4" s="17" t="n"/>
      <c r="BH4" s="17" t="n"/>
      <c r="BI4" s="17" t="n"/>
      <c r="BJ4" s="17" t="n"/>
      <c r="BK4" s="17" t="n"/>
      <c r="BL4" s="17" t="n"/>
      <c r="BM4" s="17" t="n"/>
      <c r="BN4" s="17" t="n"/>
    </row>
    <row r="5" ht="175.5" customHeight="1">
      <c r="A5" s="17" t="inlineStr">
        <is>
          <t>OBS-022</t>
        </is>
      </c>
      <c r="B5" s="17" t="inlineStr">
        <is>
          <t>04 Tracing</t>
        </is>
      </c>
      <c r="C5" s="17" t="inlineStr">
        <is>
          <t>Intermediate</t>
        </is>
      </c>
      <c r="D5" s="17" t="n">
        <v>22</v>
      </c>
      <c r="E5" s="17" t="inlineStr">
        <is>
          <t>Claude knowledge</t>
        </is>
      </c>
      <c r="F5" s="18" t="inlineStr">
        <is>
          <t>OpenTelemetry</t>
        </is>
      </c>
      <c r="G5" s="18" t="inlineStr">
        <is>
          <t>Which open standard and toolkit collects traces, metrics and logs in a vendor-neutral way?</t>
        </is>
      </c>
      <c r="H5" s="17" t="n"/>
      <c r="I5" s="18" t="inlineStr">
        <is>
          <t>Tool</t>
        </is>
      </c>
      <c r="J5" s="18" t="inlineStr">
        <is>
          <t>High</t>
        </is>
      </c>
      <c r="K5" s="18" t="n">
        <v>5</v>
      </c>
      <c r="L5" s="18" t="inlineStr">
        <is>
          <t>Each vendor had its own agents, so OpenTelemetry created common APIs, formats and a collector.</t>
        </is>
      </c>
      <c r="M5" s="18" t="inlineStr">
        <is>
          <t>Instrument with OpenTelemetry once and choose the backend later.</t>
        </is>
      </c>
      <c r="N5" s="17" t="n"/>
      <c r="O5" s="18" t="inlineStr">
        <is>
          <t>OpenTelemetry is a universal plug that fits every monitoring socket.</t>
        </is>
      </c>
      <c r="P5" s="18" t="inlineStr">
        <is>
          <t>Apps sending telemetry through a collector to different backends.</t>
        </is>
      </c>
      <c r="Q5" s="18" t="inlineStr">
        <is>
          <t>The freedom of not being locked to one vendor.</t>
        </is>
      </c>
      <c r="R5" s="18" t="inlineStr">
        <is>
          <t>OpenTelemetry provides SDKs, a wire protocol called OTLP and a collector that receives, processes and exports telemetry to backends.</t>
        </is>
      </c>
      <c r="S5" s="17" t="n"/>
      <c r="T5" s="19" t="inlineStr">
        <is>
          <t>from opentelemetry import trace
tracer = trace.get_tracer("orders")
with tracer.start_as_current_span("create_order") as span:
    span.set_attribute("order.id", 1042)
    try:
        charge_card()
    except Exception as e:
        span.record_exception(e)
        raise
# environment: OTEL_EXPORTER_OTLP_ENDPOINT=http://collector:4317 OTEL_SERVICE_NAME=orders</t>
        </is>
      </c>
      <c r="U5" s="19" t="inlineStr">
        <is>
          <t>When run under opentelemetry-instrument (or with the SDK configured), a span named create_order is recorded with the order id and any exception, and sent to the collector. With the API alone and no SDK, nothing is exported.</t>
        </is>
      </c>
      <c r="V5" s="18" t="inlineStr">
        <is>
          <t>Auto-instrumentation libraries trace common frameworks without code changes. The collector can add attributes, drop data, sample and send to several backends. Settings come from environment variables such as the endpoint and service name. Semantic conventions standardise attribute names. Logs and metrics are also supported.</t>
        </is>
      </c>
      <c r="W5" s="18" t="inlineStr">
        <is>
          <t>Instrument with the SDK or auto-instrumentation, send OTLP to a collector, and pick any backend.</t>
        </is>
      </c>
      <c r="X5" s="18" t="inlineStr">
        <is>
          <t>OpenTelemetry is a universal plug that fits every monitoring socket.</t>
        </is>
      </c>
      <c r="Y5" s="19" t="inlineStr">
        <is>
          <t>tracer.start_as_current_span("name")</t>
        </is>
      </c>
      <c r="Z5" s="18" t="inlineStr">
        <is>
          <t>SDK = in the app | OTLP = the protocol | collector = pipeline | backend = storage and UI</t>
        </is>
      </c>
      <c r="AA5" s="19" t="inlineStr">
        <is>
          <t>opentelemetry-instrument python app.py</t>
        </is>
      </c>
      <c r="AB5" s="19" t="inlineStr">
        <is>
          <t>OTEL_SERVICE_NAME=checkout</t>
        </is>
      </c>
      <c r="AC5" s="19" t="inlineStr">
        <is>
          <t>span.set_attribute("http.route", "/orders")</t>
        </is>
      </c>
      <c r="AD5" s="19" t="inlineStr">
        <is>
          <t>collector processors for batching and sampling   // central control</t>
        </is>
      </c>
      <c r="AE5" s="18" t="inlineStr">
        <is>
          <t>Jaeger, Tempo, Prometheus</t>
        </is>
      </c>
      <c r="AF5" s="18" t="inlineStr">
        <is>
          <t>spans and traces, propagation, sampling, central logging</t>
        </is>
      </c>
      <c r="AG5" s="18" t="inlineStr">
        <is>
          <t>Vendor agents</t>
        </is>
      </c>
      <c r="AH5" s="17" t="n"/>
      <c r="AI5" s="18" t="inlineStr">
        <is>
          <t>Microservices | Cloud platforms | Vendor-neutral setups</t>
        </is>
      </c>
      <c r="AJ5" s="18" t="inlineStr">
        <is>
          <t>A: Can we switch monitoring vendors later? | B: Yes, with OpenTelemetry we only change the exporter.</t>
        </is>
      </c>
      <c r="AK5" s="18" t="inlineStr">
        <is>
          <t>✗ OpenTelemetry is a monitoring backend → ✓ It collects and exports telemetry, and you still need a backend</t>
        </is>
      </c>
      <c r="AL5" s="18" t="inlineStr">
        <is>
          <t>OpenTelemetry vs Prometheus: one is a telemetry standard, the other is a metrics store.</t>
        </is>
      </c>
      <c r="AM5" s="18" t="inlineStr">
        <is>
          <t>Do not hard-code vendor-specific agents everywhere.</t>
        </is>
      </c>
      <c r="AN5" s="19" t="inlineStr">
        <is>
          <t># a proprietary agent in every service</t>
        </is>
      </c>
      <c r="AO5" s="19" t="inlineStr">
        <is>
          <t>opentelemetry-instrument python app.py</t>
        </is>
      </c>
      <c r="AP5" s="18" t="inlineStr">
        <is>
          <t>Instrument once, then export to anywhere.</t>
        </is>
      </c>
      <c r="AQ5" s="18" t="inlineStr">
        <is>
          <t>Standardising on OpenTelemetry let a customer change tracing backends without code changes.</t>
        </is>
      </c>
      <c r="AR5" s="18" t="inlineStr">
        <is>
          <t>An interviewer may ask: What is OTLP?</t>
        </is>
      </c>
      <c r="AS5" s="18" t="inlineStr">
        <is>
          <t>It is like a universal plug.</t>
        </is>
      </c>
      <c r="AT5" s="18" t="inlineStr">
        <is>
          <t>What receives and forwards telemetry in OpenTelemetry?</t>
        </is>
      </c>
      <c r="AU5" s="18" t="inlineStr">
        <is>
          <t>A) The compiler B) The database C) The collector D) The browser</t>
        </is>
      </c>
      <c r="AV5" s="18" t="inlineStr">
        <is>
          <t>C</t>
        </is>
      </c>
      <c r="AW5" s="18" t="inlineStr">
        <is>
          <t>The collector is the pipeline.</t>
        </is>
      </c>
      <c r="AX5" s="19" t="inlineStr">
        <is>
          <t>The protocol used to send telemetry is ____ → OTLP</t>
        </is>
      </c>
      <c r="AY5" s="18" t="inlineStr">
        <is>
          <t>Name the service for telemetry using an environment variable.</t>
        </is>
      </c>
      <c r="AZ5" s="19" t="inlineStr">
        <is>
          <t>OTEL_SERVICE_NAME=checkout</t>
        </is>
      </c>
      <c r="BA5" s="18" t="inlineStr">
        <is>
          <t>Write the steps to add tracing to a small Python service.</t>
        </is>
      </c>
      <c r="BB5" s="19" t="inlineStr">
        <is>
          <t>Is OpenTelemetry a storage backend?</t>
        </is>
      </c>
      <c r="BC5" s="19" t="inlineStr">
        <is>
          <t>No, it collects and exports telemetry.</t>
        </is>
      </c>
      <c r="BD5" s="17">
        <f>IF(K5="","",REPT("★",K5)&amp;REPT("☆",5-K5)&amp;" ("&amp;K5&amp;"/5)")</f>
        <v/>
      </c>
      <c r="BE5" s="17">
        <f>IF(S5="","","Meaning: "&amp;S5&amp;"  =  ______   (Answer: "&amp;F5&amp;")")</f>
        <v/>
      </c>
      <c r="BF5" s="17" t="inlineStr">
        <is>
          <t>New</t>
        </is>
      </c>
      <c r="BG5" s="17" t="n"/>
      <c r="BH5" s="17" t="n"/>
      <c r="BI5" s="17" t="n"/>
      <c r="BJ5" s="17" t="n"/>
      <c r="BK5" s="17" t="n"/>
      <c r="BL5" s="17" t="n"/>
      <c r="BM5" s="17" t="n"/>
      <c r="BN5" s="17" t="n"/>
    </row>
  </sheetData>
  <autoFilter ref="A2:BN5"/>
  <mergeCells count="6">
    <mergeCell ref="AT1:BC1"/>
    <mergeCell ref="BD1:BE1"/>
    <mergeCell ref="F1:Q1"/>
    <mergeCell ref="A1:E1"/>
    <mergeCell ref="BF1:BN1"/>
    <mergeCell ref="R1:AS1"/>
  </mergeCells>
  <dataValidations count="2">
    <dataValidation sqref="BF3:BF5" showDropDown="0" showInputMessage="0" showErrorMessage="0" allowBlank="1" type="list">
      <formula1>"New,Learning,Known"</formula1>
    </dataValidation>
    <dataValidation sqref="BM3:BM5" showDropDown="0" showInputMessage="0" showErrorMessage="0" allowBlank="1" type="list">
      <formula1>"OK,Fix"</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1"/>
  <sheetViews>
    <sheetView showGridLines="0" workbookViewId="0">
      <pane ySplit="3" topLeftCell="A4" activePane="bottomLeft" state="frozen"/>
      <selection pane="bottomLeft" activeCell="A1" sqref="A1"/>
    </sheetView>
  </sheetViews>
  <sheetFormatPr baseColWidth="8" defaultRowHeight="15"/>
  <cols>
    <col width="28" customWidth="1" min="1" max="1"/>
    <col width="100" customWidth="1" min="2" max="2"/>
  </cols>
  <sheetData>
    <row r="1">
      <c r="A1" s="20" t="inlineStr">
        <is>
          <t>Code concept (56-pt) · card view</t>
        </is>
      </c>
    </row>
    <row r="2">
      <c r="A2" s="21" t="inlineStr">
        <is>
          <t>Card ID chuno ▸</t>
        </is>
      </c>
      <c r="B2" s="22" t="inlineStr">
        <is>
          <t>OBS-007</t>
        </is>
      </c>
    </row>
    <row r="4">
      <c r="A4" s="23" t="inlineStr">
        <is>
          <t>FRONT · Recognition (pehchano)</t>
        </is>
      </c>
    </row>
    <row r="5" ht="30" customHeight="1">
      <c r="A5" s="24" t="inlineStr">
        <is>
          <t>ID</t>
        </is>
      </c>
      <c r="B5" s="17">
        <f>INDEX('Code concept (56-pt) cards'!$A$3:$BN$5,MATCH($B$2,'Code concept (56-pt) cards'!$A$3:$A$5,0),MATCH("ID",'Code concept (56-pt) cards'!$A$2:$BN$2,0))&amp;""</f>
        <v/>
      </c>
    </row>
    <row r="6" ht="30" customHeight="1">
      <c r="A6" s="24" t="inlineStr">
        <is>
          <t>Topic</t>
        </is>
      </c>
      <c r="B6" s="17">
        <f>INDEX('Code concept (56-pt) cards'!$A$3:$BN$5,MATCH($B$2,'Code concept (56-pt) cards'!$A$3:$A$5,0),MATCH("Topic",'Code concept (56-pt) cards'!$A$2:$BN$2,0))&amp;""</f>
        <v/>
      </c>
    </row>
    <row r="7" ht="30" customHeight="1">
      <c r="A7" s="24" t="inlineStr">
        <is>
          <t>Level</t>
        </is>
      </c>
      <c r="B7" s="17">
        <f>INDEX('Code concept (56-pt) cards'!$A$3:$BN$5,MATCH($B$2,'Code concept (56-pt) cards'!$A$3:$A$5,0),MATCH("Level",'Code concept (56-pt) cards'!$A$2:$BN$2,0))&amp;""</f>
        <v/>
      </c>
    </row>
    <row r="8" ht="30" customHeight="1">
      <c r="A8" s="24" t="inlineStr">
        <is>
          <t>Concept</t>
        </is>
      </c>
      <c r="B8" s="17">
        <f>INDEX('Code concept (56-pt) cards'!$A$3:$BN$5,MATCH($B$2,'Code concept (56-pt) cards'!$A$3:$A$5,0),MATCH("Concept",'Code concept (56-pt) cards'!$A$2:$BN$2,0))&amp;""</f>
        <v/>
      </c>
    </row>
    <row r="9" ht="30" customHeight="1">
      <c r="A9" s="24" t="inlineStr">
        <is>
          <t>Recall cue</t>
        </is>
      </c>
      <c r="B9" s="17">
        <f>INDEX('Code concept (56-pt) cards'!$A$3:$BN$5,MATCH($B$2,'Code concept (56-pt) cards'!$A$3:$A$5,0),MATCH("Recall cue",'Code concept (56-pt) cards'!$A$2:$BN$2,0))&amp;""</f>
        <v/>
      </c>
    </row>
    <row r="10" ht="30" customHeight="1">
      <c r="A10" s="24" t="inlineStr">
        <is>
          <t>Read aloud</t>
        </is>
      </c>
      <c r="B10" s="17">
        <f>INDEX('Code concept (56-pt) cards'!$A$3:$BN$5,MATCH($B$2,'Code concept (56-pt) cards'!$A$3:$A$5,0),MATCH("Read aloud",'Code concept (56-pt) cards'!$A$2:$BN$2,0))&amp;""</f>
        <v/>
      </c>
    </row>
    <row r="11" ht="30" customHeight="1">
      <c r="A11" s="24" t="inlineStr">
        <is>
          <t>Type</t>
        </is>
      </c>
      <c r="B11" s="17">
        <f>INDEX('Code concept (56-pt) cards'!$A$3:$BN$5,MATCH($B$2,'Code concept (56-pt) cards'!$A$3:$A$5,0),MATCH("Type",'Code concept (56-pt) cards'!$A$2:$BN$2,0))&amp;""</f>
        <v/>
      </c>
    </row>
    <row r="12" ht="30" customHeight="1">
      <c r="A12" s="24" t="inlineStr">
        <is>
          <t>How often used</t>
        </is>
      </c>
      <c r="B12" s="17">
        <f>INDEX('Code concept (56-pt) cards'!$A$3:$BN$5,MATCH($B$2,'Code concept (56-pt) cards'!$A$3:$A$5,0),MATCH("How often used",'Code concept (56-pt) cards'!$A$2:$BN$2,0))&amp;""</f>
        <v/>
      </c>
    </row>
    <row r="13" ht="30" customHeight="1">
      <c r="A13" s="24" t="inlineStr">
        <is>
          <t>Importance (1-5)</t>
        </is>
      </c>
      <c r="B13" s="17">
        <f>INDEX('Code concept (56-pt) cards'!$A$3:$BN$5,MATCH($B$2,'Code concept (56-pt) cards'!$A$3:$A$5,0),MATCH("Importance (1-5)",'Code concept (56-pt) cards'!$A$2:$BN$2,0))&amp;""</f>
        <v/>
      </c>
    </row>
    <row r="14" ht="30" customHeight="1">
      <c r="A14" s="24" t="inlineStr">
        <is>
          <t>Origin / why it exists</t>
        </is>
      </c>
      <c r="B14" s="17">
        <f>INDEX('Code concept (56-pt) cards'!$A$3:$BN$5,MATCH($B$2,'Code concept (56-pt) cards'!$A$3:$A$5,0),MATCH("Origin / why it exists",'Code concept (56-pt) cards'!$A$2:$BN$2,0))&amp;""</f>
        <v/>
      </c>
    </row>
    <row r="15" ht="30" customHeight="1">
      <c r="A15" s="24" t="inlineStr">
        <is>
          <t>Pro tip</t>
        </is>
      </c>
      <c r="B15" s="17">
        <f>INDEX('Code concept (56-pt) cards'!$A$3:$BN$5,MATCH($B$2,'Code concept (56-pt) cards'!$A$3:$A$5,0),MATCH("Pro tip",'Code concept (56-pt) cards'!$A$2:$BN$2,0))&amp;""</f>
        <v/>
      </c>
    </row>
    <row r="16" ht="30" customHeight="1">
      <c r="A16" s="24" t="inlineStr">
        <is>
          <t>Typing hint</t>
        </is>
      </c>
      <c r="B16" s="17">
        <f>INDEX('Code concept (56-pt) cards'!$A$3:$BN$5,MATCH($B$2,'Code concept (56-pt) cards'!$A$3:$A$5,0),MATCH("Typing hint",'Code concept (56-pt) cards'!$A$2:$BN$2,0))&amp;""</f>
        <v/>
      </c>
    </row>
    <row r="17" ht="30" customHeight="1">
      <c r="A17" s="24" t="inlineStr">
        <is>
          <t>Memory story</t>
        </is>
      </c>
      <c r="B17" s="17">
        <f>INDEX('Code concept (56-pt) cards'!$A$3:$BN$5,MATCH($B$2,'Code concept (56-pt) cards'!$A$3:$A$5,0),MATCH("Memory story",'Code concept (56-pt) cards'!$A$2:$BN$2,0))&amp;""</f>
        <v/>
      </c>
    </row>
    <row r="18" ht="30" customHeight="1">
      <c r="A18" s="24" t="inlineStr">
        <is>
          <t>Picture it</t>
        </is>
      </c>
      <c r="B18" s="17">
        <f>INDEX('Code concept (56-pt) cards'!$A$3:$BN$5,MATCH($B$2,'Code concept (56-pt) cards'!$A$3:$A$5,0),MATCH("Picture it",'Code concept (56-pt) cards'!$A$2:$BN$2,0))&amp;""</f>
        <v/>
      </c>
    </row>
    <row r="19" ht="30" customHeight="1">
      <c r="A19" s="24" t="inlineStr">
        <is>
          <t>Emotion hook</t>
        </is>
      </c>
      <c r="B19" s="17">
        <f>INDEX('Code concept (56-pt) cards'!$A$3:$BN$5,MATCH($B$2,'Code concept (56-pt) cards'!$A$3:$A$5,0),MATCH("Emotion hook",'Code concept (56-pt) cards'!$A$2:$BN$2,0))&amp;""</f>
        <v/>
      </c>
    </row>
    <row r="20" ht="30" customHeight="1">
      <c r="A20" s="24" t="inlineStr">
        <is>
          <t>Importance ★</t>
        </is>
      </c>
      <c r="B20" s="17">
        <f>INDEX('Code concept (56-pt) cards'!$A$3:$BN$5,MATCH($B$2,'Code concept (56-pt) cards'!$A$3:$A$5,0),MATCH("Importance ★",'Code concept (56-pt) cards'!$A$2:$BN$2,0))&amp;""</f>
        <v/>
      </c>
    </row>
    <row r="21">
      <c r="A21" s="25" t="inlineStr">
        <is>
          <t>BACK · Understanding (samjho)</t>
        </is>
      </c>
    </row>
    <row r="22" ht="30" customHeight="1">
      <c r="A22" s="24" t="inlineStr">
        <is>
          <t>Meaning (short)</t>
        </is>
      </c>
      <c r="B22" s="17">
        <f>INDEX('Code concept (56-pt) cards'!$A$3:$BN$5,MATCH($B$2,'Code concept (56-pt) cards'!$A$3:$A$5,0),MATCH("Meaning (short)",'Code concept (56-pt) cards'!$A$2:$BN$2,0))&amp;""</f>
        <v/>
      </c>
    </row>
    <row r="23" ht="30" customHeight="1">
      <c r="A23" s="24" t="inlineStr">
        <is>
          <t>Meaning in learner's language</t>
        </is>
      </c>
      <c r="B23" s="17">
        <f>INDEX('Code concept (56-pt) cards'!$A$3:$BN$5,MATCH($B$2,'Code concept (56-pt) cards'!$A$3:$A$5,0),MATCH("Meaning in learner's language",'Code concept (56-pt) cards'!$A$2:$BN$2,0))&amp;""</f>
        <v/>
      </c>
    </row>
    <row r="24" ht="135" customHeight="1">
      <c r="A24" s="24" t="inlineStr">
        <is>
          <t>Code</t>
        </is>
      </c>
      <c r="B24" s="26">
        <f>INDEX('Code concept (56-pt) cards'!$A$3:$BN$5,MATCH($B$2,'Code concept (56-pt) cards'!$A$3:$A$5,0),MATCH("Code",'Code concept (56-pt) cards'!$A$2:$BN$2,0))&amp;""</f>
        <v/>
      </c>
    </row>
    <row r="25" ht="40.5" customHeight="1">
      <c r="A25" s="24" t="inlineStr">
        <is>
          <t>Output</t>
        </is>
      </c>
      <c r="B25" s="26">
        <f>INDEX('Code concept (56-pt) cards'!$A$3:$BN$5,MATCH($B$2,'Code concept (56-pt) cards'!$A$3:$A$5,0),MATCH("Output",'Code concept (56-pt) cards'!$A$2:$BN$2,0))&amp;""</f>
        <v/>
      </c>
    </row>
    <row r="26" ht="54" customHeight="1">
      <c r="A26" s="24" t="inlineStr">
        <is>
          <t>Explanation</t>
        </is>
      </c>
      <c r="B26" s="17">
        <f>INDEX('Code concept (56-pt) cards'!$A$3:$BN$5,MATCH($B$2,'Code concept (56-pt) cards'!$A$3:$A$5,0),MATCH("Explanation",'Code concept (56-pt) cards'!$A$2:$BN$2,0))&amp;""</f>
        <v/>
      </c>
    </row>
    <row r="27" ht="30" customHeight="1">
      <c r="A27" s="24" t="inlineStr">
        <is>
          <t>Simple explanation (Hinglish)</t>
        </is>
      </c>
      <c r="B27" s="17">
        <f>INDEX('Code concept (56-pt) cards'!$A$3:$BN$5,MATCH($B$2,'Code concept (56-pt) cards'!$A$3:$A$5,0),MATCH("Simple explanation (Hinglish)",'Code concept (56-pt) cards'!$A$2:$BN$2,0))&amp;""</f>
        <v/>
      </c>
    </row>
    <row r="28" ht="30" customHeight="1">
      <c r="A28" s="24" t="inlineStr">
        <is>
          <t>Real-life analogy</t>
        </is>
      </c>
      <c r="B28" s="17">
        <f>INDEX('Code concept (56-pt) cards'!$A$3:$BN$5,MATCH($B$2,'Code concept (56-pt) cards'!$A$3:$A$5,0),MATCH("Real-life analogy",'Code concept (56-pt) cards'!$A$2:$BN$2,0))&amp;""</f>
        <v/>
      </c>
    </row>
    <row r="29" ht="30" customHeight="1">
      <c r="A29" s="24" t="inlineStr">
        <is>
          <t>Syntax pattern</t>
        </is>
      </c>
      <c r="B29" s="26">
        <f>INDEX('Code concept (56-pt) cards'!$A$3:$BN$5,MATCH($B$2,'Code concept (56-pt) cards'!$A$3:$A$5,0),MATCH("Syntax pattern",'Code concept (56-pt) cards'!$A$2:$BN$2,0))&amp;""</f>
        <v/>
      </c>
    </row>
    <row r="30" ht="30" customHeight="1">
      <c r="A30" s="24" t="inlineStr">
        <is>
          <t>Anatomy</t>
        </is>
      </c>
      <c r="B30" s="17">
        <f>INDEX('Code concept (56-pt) cards'!$A$3:$BN$5,MATCH($B$2,'Code concept (56-pt) cards'!$A$3:$A$5,0),MATCH("Anatomy",'Code concept (56-pt) cards'!$A$2:$BN$2,0))&amp;""</f>
        <v/>
      </c>
    </row>
    <row r="31" ht="30" customHeight="1">
      <c r="A31" s="24" t="inlineStr">
        <is>
          <t>Example 1</t>
        </is>
      </c>
      <c r="B31" s="26">
        <f>INDEX('Code concept (56-pt) cards'!$A$3:$BN$5,MATCH($B$2,'Code concept (56-pt) cards'!$A$3:$A$5,0),MATCH("Example 1",'Code concept (56-pt) cards'!$A$2:$BN$2,0))&amp;""</f>
        <v/>
      </c>
    </row>
    <row r="32" ht="30" customHeight="1">
      <c r="A32" s="24" t="inlineStr">
        <is>
          <t>Example 2</t>
        </is>
      </c>
      <c r="B32" s="26">
        <f>INDEX('Code concept (56-pt) cards'!$A$3:$BN$5,MATCH($B$2,'Code concept (56-pt) cards'!$A$3:$A$5,0),MATCH("Example 2",'Code concept (56-pt) cards'!$A$2:$BN$2,0))&amp;""</f>
        <v/>
      </c>
    </row>
    <row r="33" ht="30" customHeight="1">
      <c r="A33" s="24" t="inlineStr">
        <is>
          <t>Example 3</t>
        </is>
      </c>
      <c r="B33" s="26">
        <f>INDEX('Code concept (56-pt) cards'!$A$3:$BN$5,MATCH($B$2,'Code concept (56-pt) cards'!$A$3:$A$5,0),MATCH("Example 3",'Code concept (56-pt) cards'!$A$2:$BN$2,0))&amp;""</f>
        <v/>
      </c>
    </row>
    <row r="34" ht="30" customHeight="1">
      <c r="A34" s="24" t="inlineStr">
        <is>
          <t>Variation</t>
        </is>
      </c>
      <c r="B34" s="26">
        <f>INDEX('Code concept (56-pt) cards'!$A$3:$BN$5,MATCH($B$2,'Code concept (56-pt) cards'!$A$3:$A$5,0),MATCH("Variation",'Code concept (56-pt) cards'!$A$2:$BN$2,0))&amp;""</f>
        <v/>
      </c>
    </row>
    <row r="35" ht="30" customHeight="1">
      <c r="A35" s="24" t="inlineStr">
        <is>
          <t>Used with</t>
        </is>
      </c>
      <c r="B35" s="17">
        <f>INDEX('Code concept (56-pt) cards'!$A$3:$BN$5,MATCH($B$2,'Code concept (56-pt) cards'!$A$3:$A$5,0),MATCH("Used with",'Code concept (56-pt) cards'!$A$2:$BN$2,0))&amp;""</f>
        <v/>
      </c>
    </row>
    <row r="36" ht="30" customHeight="1">
      <c r="A36" s="24" t="inlineStr">
        <is>
          <t>Related concepts</t>
        </is>
      </c>
      <c r="B36" s="17">
        <f>INDEX('Code concept (56-pt) cards'!$A$3:$BN$5,MATCH($B$2,'Code concept (56-pt) cards'!$A$3:$A$5,0),MATCH("Related concepts",'Code concept (56-pt) cards'!$A$2:$BN$2,0))&amp;""</f>
        <v/>
      </c>
    </row>
    <row r="37" ht="30" customHeight="1">
      <c r="A37" s="24" t="inlineStr">
        <is>
          <t>Alternatives</t>
        </is>
      </c>
      <c r="B37" s="17">
        <f>INDEX('Code concept (56-pt) cards'!$A$3:$BN$5,MATCH($B$2,'Code concept (56-pt) cards'!$A$3:$A$5,0),MATCH("Alternatives",'Code concept (56-pt) cards'!$A$2:$BN$2,0))&amp;""</f>
        <v/>
      </c>
    </row>
    <row r="38" ht="30" customHeight="1">
      <c r="A38" s="24" t="inlineStr">
        <is>
          <t>Family / group</t>
        </is>
      </c>
      <c r="B38" s="17">
        <f>INDEX('Code concept (56-pt) cards'!$A$3:$BN$5,MATCH($B$2,'Code concept (56-pt) cards'!$A$3:$A$5,0),MATCH("Family / group",'Code concept (56-pt) cards'!$A$2:$BN$2,0))&amp;""</f>
        <v/>
      </c>
    </row>
    <row r="39" ht="30" customHeight="1">
      <c r="A39" s="24" t="inlineStr">
        <is>
          <t>Where it is used</t>
        </is>
      </c>
      <c r="B39" s="17">
        <f>INDEX('Code concept (56-pt) cards'!$A$3:$BN$5,MATCH($B$2,'Code concept (56-pt) cards'!$A$3:$A$5,0),MATCH("Where it is used",'Code concept (56-pt) cards'!$A$2:$BN$2,0))&amp;""</f>
        <v/>
      </c>
    </row>
    <row r="40" ht="30" customHeight="1">
      <c r="A40" s="24" t="inlineStr">
        <is>
          <t>Mini conversation</t>
        </is>
      </c>
      <c r="B40" s="17">
        <f>INDEX('Code concept (56-pt) cards'!$A$3:$BN$5,MATCH($B$2,'Code concept (56-pt) cards'!$A$3:$A$5,0),MATCH("Mini conversation",'Code concept (56-pt) cards'!$A$2:$BN$2,0))&amp;""</f>
        <v/>
      </c>
    </row>
    <row r="41" ht="30" customHeight="1">
      <c r="A41" s="24" t="inlineStr">
        <is>
          <t>Common mistake</t>
        </is>
      </c>
      <c r="B41" s="17">
        <f>INDEX('Code concept (56-pt) cards'!$A$3:$BN$5,MATCH($B$2,'Code concept (56-pt) cards'!$A$3:$A$5,0),MATCH("Common mistake",'Code concept (56-pt) cards'!$A$2:$BN$2,0))&amp;""</f>
        <v/>
      </c>
    </row>
    <row r="42" ht="30" customHeight="1">
      <c r="A42" s="24" t="inlineStr">
        <is>
          <t>Commonly confused with</t>
        </is>
      </c>
      <c r="B42" s="17">
        <f>INDEX('Code concept (56-pt) cards'!$A$3:$BN$5,MATCH($B$2,'Code concept (56-pt) cards'!$A$3:$A$5,0),MATCH("Commonly confused with",'Code concept (56-pt) cards'!$A$2:$BN$2,0))&amp;""</f>
        <v/>
      </c>
    </row>
    <row r="43" ht="30" customHeight="1">
      <c r="A43" s="24" t="inlineStr">
        <is>
          <t>Avoid / don't</t>
        </is>
      </c>
      <c r="B43" s="17">
        <f>INDEX('Code concept (56-pt) cards'!$A$3:$BN$5,MATCH($B$2,'Code concept (56-pt) cards'!$A$3:$A$5,0),MATCH("Avoid / don't",'Code concept (56-pt) cards'!$A$2:$BN$2,0))&amp;""</f>
        <v/>
      </c>
    </row>
    <row r="44" ht="30" customHeight="1">
      <c r="A44" s="24" t="inlineStr">
        <is>
          <t>Wrong code</t>
        </is>
      </c>
      <c r="B44" s="26">
        <f>INDEX('Code concept (56-pt) cards'!$A$3:$BN$5,MATCH($B$2,'Code concept (56-pt) cards'!$A$3:$A$5,0),MATCH("Wrong code",'Code concept (56-pt) cards'!$A$2:$BN$2,0))&amp;""</f>
        <v/>
      </c>
    </row>
    <row r="45" ht="30" customHeight="1">
      <c r="A45" s="24" t="inlineStr">
        <is>
          <t>Right code</t>
        </is>
      </c>
      <c r="B45" s="26">
        <f>INDEX('Code concept (56-pt) cards'!$A$3:$BN$5,MATCH($B$2,'Code concept (56-pt) cards'!$A$3:$A$5,0),MATCH("Right code",'Code concept (56-pt) cards'!$A$2:$BN$2,0))&amp;""</f>
        <v/>
      </c>
    </row>
    <row r="46" ht="30" customHeight="1">
      <c r="A46" s="24" t="inlineStr">
        <is>
          <t>Memory trick</t>
        </is>
      </c>
      <c r="B46" s="17">
        <f>INDEX('Code concept (56-pt) cards'!$A$3:$BN$5,MATCH($B$2,'Code concept (56-pt) cards'!$A$3:$A$5,0),MATCH("Memory trick",'Code concept (56-pt) cards'!$A$2:$BN$2,0))&amp;""</f>
        <v/>
      </c>
    </row>
    <row r="47" ht="30" customHeight="1">
      <c r="A47" s="24" t="inlineStr">
        <is>
          <t>Real life: project / work</t>
        </is>
      </c>
      <c r="B47" s="17">
        <f>INDEX('Code concept (56-pt) cards'!$A$3:$BN$5,MATCH($B$2,'Code concept (56-pt) cards'!$A$3:$A$5,0),MATCH("Real life: project / work",'Code concept (56-pt) cards'!$A$2:$BN$2,0))&amp;""</f>
        <v/>
      </c>
    </row>
    <row r="48" ht="30" customHeight="1">
      <c r="A48" s="24" t="inlineStr">
        <is>
          <t>Real life: interview / exam</t>
        </is>
      </c>
      <c r="B48" s="17">
        <f>INDEX('Code concept (56-pt) cards'!$A$3:$BN$5,MATCH($B$2,'Code concept (56-pt) cards'!$A$3:$A$5,0),MATCH("Real life: interview / exam",'Code concept (56-pt) cards'!$A$2:$BN$2,0))&amp;""</f>
        <v/>
      </c>
    </row>
    <row r="49" ht="30" customHeight="1">
      <c r="A49" s="24" t="inlineStr">
        <is>
          <t>Real life: daily life</t>
        </is>
      </c>
      <c r="B49" s="17">
        <f>INDEX('Code concept (56-pt) cards'!$A$3:$BN$5,MATCH($B$2,'Code concept (56-pt) cards'!$A$3:$A$5,0),MATCH("Real life: daily life",'Code concept (56-pt) cards'!$A$2:$BN$2,0))&amp;""</f>
        <v/>
      </c>
    </row>
    <row r="50">
      <c r="A50" s="27" t="inlineStr">
        <is>
          <t>PRACTICE · Khud karo</t>
        </is>
      </c>
    </row>
    <row r="51" ht="30" customHeight="1">
      <c r="A51" s="24" t="inlineStr">
        <is>
          <t>MCQ question</t>
        </is>
      </c>
      <c r="B51" s="17">
        <f>INDEX('Code concept (56-pt) cards'!$A$3:$BN$5,MATCH($B$2,'Code concept (56-pt) cards'!$A$3:$A$5,0),MATCH("MCQ question",'Code concept (56-pt) cards'!$A$2:$BN$2,0))&amp;""</f>
        <v/>
      </c>
    </row>
    <row r="52" ht="30" customHeight="1">
      <c r="A52" s="24" t="inlineStr">
        <is>
          <t>MCQ options</t>
        </is>
      </c>
      <c r="B52" s="17">
        <f>INDEX('Code concept (56-pt) cards'!$A$3:$BN$5,MATCH($B$2,'Code concept (56-pt) cards'!$A$3:$A$5,0),MATCH("MCQ options",'Code concept (56-pt) cards'!$A$2:$BN$2,0))&amp;""</f>
        <v/>
      </c>
    </row>
    <row r="53" ht="30" customHeight="1">
      <c r="A53" s="24" t="inlineStr">
        <is>
          <t>MCQ answer</t>
        </is>
      </c>
      <c r="B53" s="17">
        <f>INDEX('Code concept (56-pt) cards'!$A$3:$BN$5,MATCH($B$2,'Code concept (56-pt) cards'!$A$3:$A$5,0),MATCH("MCQ answer",'Code concept (56-pt) cards'!$A$2:$BN$2,0))&amp;""</f>
        <v/>
      </c>
    </row>
    <row r="54" ht="30" customHeight="1">
      <c r="A54" s="24" t="inlineStr">
        <is>
          <t>Why that answer</t>
        </is>
      </c>
      <c r="B54" s="17">
        <f>INDEX('Code concept (56-pt) cards'!$A$3:$BN$5,MATCH($B$2,'Code concept (56-pt) cards'!$A$3:$A$5,0),MATCH("Why that answer",'Code concept (56-pt) cards'!$A$2:$BN$2,0))&amp;""</f>
        <v/>
      </c>
    </row>
    <row r="55" ht="30" customHeight="1">
      <c r="A55" s="24" t="inlineStr">
        <is>
          <t>Fill the blank</t>
        </is>
      </c>
      <c r="B55" s="26">
        <f>INDEX('Code concept (56-pt) cards'!$A$3:$BN$5,MATCH($B$2,'Code concept (56-pt) cards'!$A$3:$A$5,0),MATCH("Fill the blank",'Code concept (56-pt) cards'!$A$2:$BN$2,0))&amp;""</f>
        <v/>
      </c>
    </row>
    <row r="56" ht="30" customHeight="1">
      <c r="A56" s="24" t="inlineStr">
        <is>
          <t>Try it yourself</t>
        </is>
      </c>
      <c r="B56" s="17">
        <f>INDEX('Code concept (56-pt) cards'!$A$3:$BN$5,MATCH($B$2,'Code concept (56-pt) cards'!$A$3:$A$5,0),MATCH("Try it yourself",'Code concept (56-pt) cards'!$A$2:$BN$2,0))&amp;""</f>
        <v/>
      </c>
    </row>
    <row r="57" ht="30" customHeight="1">
      <c r="A57" s="24" t="inlineStr">
        <is>
          <t>Task answer</t>
        </is>
      </c>
      <c r="B57" s="26">
        <f>INDEX('Code concept (56-pt) cards'!$A$3:$BN$5,MATCH($B$2,'Code concept (56-pt) cards'!$A$3:$A$5,0),MATCH("Task answer",'Code concept (56-pt) cards'!$A$2:$BN$2,0))&amp;""</f>
        <v/>
      </c>
    </row>
    <row r="58" ht="30" customHeight="1">
      <c r="A58" s="24" t="inlineStr">
        <is>
          <t>Write your own</t>
        </is>
      </c>
      <c r="B58" s="17">
        <f>INDEX('Code concept (56-pt) cards'!$A$3:$BN$5,MATCH($B$2,'Code concept (56-pt) cards'!$A$3:$A$5,0),MATCH("Write your own",'Code concept (56-pt) cards'!$A$2:$BN$2,0))&amp;""</f>
        <v/>
      </c>
    </row>
    <row r="59" ht="30" customHeight="1">
      <c r="A59" s="24" t="inlineStr">
        <is>
          <t>Practice question</t>
        </is>
      </c>
      <c r="B59" s="26">
        <f>INDEX('Code concept (56-pt) cards'!$A$3:$BN$5,MATCH($B$2,'Code concept (56-pt) cards'!$A$3:$A$5,0),MATCH("Practice question",'Code concept (56-pt) cards'!$A$2:$BN$2,0))&amp;""</f>
        <v/>
      </c>
    </row>
    <row r="60" ht="30" customHeight="1">
      <c r="A60" s="24" t="inlineStr">
        <is>
          <t>Practice answer</t>
        </is>
      </c>
      <c r="B60" s="26">
        <f>INDEX('Code concept (56-pt) cards'!$A$3:$BN$5,MATCH($B$2,'Code concept (56-pt) cards'!$A$3:$A$5,0),MATCH("Practice answer",'Code concept (56-pt) cards'!$A$2:$BN$2,0))&amp;""</f>
        <v/>
      </c>
    </row>
    <row r="61" ht="30" customHeight="1">
      <c r="A61" s="24" t="inlineStr">
        <is>
          <t>Quick recall (reverse)</t>
        </is>
      </c>
      <c r="B61" s="17">
        <f>INDEX('Code concept (56-pt) cards'!$A$3:$BN$5,MATCH($B$2,'Code concept (56-pt) cards'!$A$3:$A$5,0),MATCH("Quick recall (reverse)",'Code concept (56-pt) cards'!$A$2:$BN$2,0))&amp;""</f>
        <v/>
      </c>
    </row>
  </sheetData>
  <mergeCells count="3">
    <mergeCell ref="A4:B4"/>
    <mergeCell ref="A21:B21"/>
    <mergeCell ref="A50:B50"/>
  </mergeCells>
  <dataValidations count="1">
    <dataValidation sqref="B2" showDropDown="0" showInputMessage="0" showErrorMessage="0" allowBlank="0" type="list">
      <formula1>='Code concept (56-pt) cards'!$A$3:$A$5</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B34"/>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42" customWidth="1" min="7" max="7"/>
    <col width="18" customWidth="1" min="8" max="8"/>
    <col width="18" customWidth="1" min="9" max="9"/>
    <col width="18" customWidth="1" min="10" max="10"/>
    <col width="42" customWidth="1" min="11" max="11"/>
    <col width="42" customWidth="1" min="12" max="12"/>
    <col width="42" customWidth="1" min="13" max="13"/>
    <col width="42" customWidth="1" min="14" max="14"/>
    <col width="42" customWidth="1" min="15" max="15"/>
    <col width="42" customWidth="1" min="16" max="16"/>
    <col width="18" customWidth="1" min="17" max="17"/>
    <col width="42" customWidth="1" min="18" max="18"/>
    <col width="42" customWidth="1" min="19" max="19"/>
    <col width="42" customWidth="1" min="20" max="20"/>
    <col width="18" customWidth="1" min="21" max="21"/>
    <col width="42" customWidth="1" min="22" max="22"/>
    <col width="42" customWidth="1" min="23" max="23"/>
    <col width="42" customWidth="1" min="24" max="24"/>
    <col width="18" customWidth="1" min="25" max="25"/>
    <col width="42" customWidth="1" min="26" max="26"/>
    <col width="42" customWidth="1" min="27" max="27"/>
    <col width="42" customWidth="1" min="28" max="28"/>
    <col width="42" customWidth="1" min="29" max="29"/>
    <col width="42" customWidth="1" min="30" max="30"/>
    <col width="42" customWidth="1" min="31" max="31"/>
    <col width="42" customWidth="1" min="32" max="32"/>
    <col width="42" customWidth="1" min="33" max="33"/>
    <col width="42" customWidth="1" min="34" max="34"/>
    <col width="42" customWidth="1" min="35" max="35"/>
    <col width="42" customWidth="1" min="36" max="36"/>
    <col width="42" customWidth="1" min="37" max="37"/>
    <col width="18" customWidth="1" min="38" max="38"/>
    <col width="18" customWidth="1" min="39" max="39"/>
    <col width="42" customWidth="1" min="40" max="40"/>
    <col width="42" customWidth="1" min="41" max="41"/>
    <col width="42" customWidth="1" min="42" max="42"/>
    <col width="42" customWidth="1" min="43" max="43"/>
    <col width="18" customWidth="1" min="44" max="44"/>
    <col width="42" customWidth="1" min="45" max="45"/>
    <col width="18" customWidth="1" min="46" max="46"/>
    <col width="9" customWidth="1" min="47" max="47"/>
    <col width="9" customWidth="1" min="48" max="48"/>
    <col width="9" customWidth="1" min="49" max="49"/>
    <col width="9" customWidth="1" min="50" max="50"/>
    <col width="9" customWidth="1" min="51" max="51"/>
    <col width="9" customWidth="1" min="52" max="52"/>
    <col width="18" customWidth="1" min="53" max="53"/>
    <col width="18" customWidth="1" min="54" max="54"/>
  </cols>
  <sheetData>
    <row r="1">
      <c r="A1" s="5" t="inlineStr">
        <is>
          <t>Card</t>
        </is>
      </c>
      <c r="F1" s="6" t="inlineStr">
        <is>
          <t>Side 1 · Recognition</t>
        </is>
      </c>
      <c r="P1" s="7" t="inlineStr">
        <is>
          <t>Side 2 · Understanding</t>
        </is>
      </c>
      <c r="AJ1" s="8" t="inlineStr">
        <is>
          <t>Side 3 · Real life &amp; Practice</t>
        </is>
      </c>
      <c r="AR1" s="9" t="inlineStr">
        <is>
          <t>Auto</t>
        </is>
      </c>
      <c r="AT1" s="10" t="inlineStr">
        <is>
          <t>My review</t>
        </is>
      </c>
    </row>
    <row r="2">
      <c r="A2" s="11" t="inlineStr">
        <is>
          <t>ID</t>
        </is>
      </c>
      <c r="B2" s="11" t="inlineStr">
        <is>
          <t>Topic</t>
        </is>
      </c>
      <c r="C2" s="11" t="inlineStr">
        <is>
          <t>Level</t>
        </is>
      </c>
      <c r="D2" s="11" t="inlineStr">
        <is>
          <t>Study order</t>
        </is>
      </c>
      <c r="E2" s="11" t="inlineStr">
        <is>
          <t>Source</t>
        </is>
      </c>
      <c r="F2" s="12" t="inlineStr">
        <is>
          <t>Term / topic</t>
        </is>
      </c>
      <c r="G2" s="12" t="inlineStr">
        <is>
          <t>Recall cue</t>
        </is>
      </c>
      <c r="H2" s="12" t="inlineStr">
        <is>
          <t>Category</t>
        </is>
      </c>
      <c r="I2" s="12" t="inlineStr">
        <is>
          <t>How often used</t>
        </is>
      </c>
      <c r="J2" s="12" t="inlineStr">
        <is>
          <t>Importance (1-5)</t>
        </is>
      </c>
      <c r="K2" s="12" t="inlineStr">
        <is>
          <t>Origin / why it exists</t>
        </is>
      </c>
      <c r="L2" s="12" t="inlineStr">
        <is>
          <t>Pro tip</t>
        </is>
      </c>
      <c r="M2" s="12" t="inlineStr">
        <is>
          <t>Memory story</t>
        </is>
      </c>
      <c r="N2" s="12" t="inlineStr">
        <is>
          <t>Picture it</t>
        </is>
      </c>
      <c r="O2" s="12" t="inlineStr">
        <is>
          <t>Emotion hook</t>
        </is>
      </c>
      <c r="P2" s="13" t="inlineStr">
        <is>
          <t>Definition (simple)</t>
        </is>
      </c>
      <c r="Q2" s="13" t="inlineStr">
        <is>
          <t>Meaning in learner's language</t>
        </is>
      </c>
      <c r="R2" s="13" t="inlineStr">
        <is>
          <t>How / why it works</t>
        </is>
      </c>
      <c r="S2" s="13" t="inlineStr">
        <is>
          <t>Simple explanation (Hinglish)</t>
        </is>
      </c>
      <c r="T2" s="13" t="inlineStr">
        <is>
          <t>Real-life analogy</t>
        </is>
      </c>
      <c r="U2" s="13" t="inlineStr">
        <is>
          <t>Formula / rule</t>
        </is>
      </c>
      <c r="V2" s="13" t="inlineStr">
        <is>
          <t>Example 1</t>
        </is>
      </c>
      <c r="W2" s="13" t="inlineStr">
        <is>
          <t>Example 2</t>
        </is>
      </c>
      <c r="X2" s="13" t="inlineStr">
        <is>
          <t>Example 3</t>
        </is>
      </c>
      <c r="Y2" s="13" t="inlineStr">
        <is>
          <t>Related concepts</t>
        </is>
      </c>
      <c r="Z2" s="13" t="inlineStr">
        <is>
          <t>Family / group</t>
        </is>
      </c>
      <c r="AA2" s="13" t="inlineStr">
        <is>
          <t>Where it is used</t>
        </is>
      </c>
      <c r="AB2" s="13" t="inlineStr">
        <is>
          <t>Mini conversation</t>
        </is>
      </c>
      <c r="AC2" s="13" t="inlineStr">
        <is>
          <t>Common mistake</t>
        </is>
      </c>
      <c r="AD2" s="13" t="inlineStr">
        <is>
          <t>Don't confuse with</t>
        </is>
      </c>
      <c r="AE2" s="13" t="inlineStr">
        <is>
          <t>Avoid / don't</t>
        </is>
      </c>
      <c r="AF2" s="13" t="inlineStr">
        <is>
          <t>Memory trick</t>
        </is>
      </c>
      <c r="AG2" s="13" t="inlineStr">
        <is>
          <t>Real life: project / work</t>
        </is>
      </c>
      <c r="AH2" s="13" t="inlineStr">
        <is>
          <t>Real life: interview / exam</t>
        </is>
      </c>
      <c r="AI2" s="13" t="inlineStr">
        <is>
          <t>Real life: daily life</t>
        </is>
      </c>
      <c r="AJ2" s="14" t="inlineStr">
        <is>
          <t>MCQ question</t>
        </is>
      </c>
      <c r="AK2" s="14" t="inlineStr">
        <is>
          <t>MCQ options</t>
        </is>
      </c>
      <c r="AL2" s="14" t="inlineStr">
        <is>
          <t>MCQ answer</t>
        </is>
      </c>
      <c r="AM2" s="14" t="inlineStr">
        <is>
          <t>Why that answer</t>
        </is>
      </c>
      <c r="AN2" s="14" t="inlineStr">
        <is>
          <t>Fill the blank</t>
        </is>
      </c>
      <c r="AO2" s="14" t="inlineStr">
        <is>
          <t>Apply it</t>
        </is>
      </c>
      <c r="AP2" s="14" t="inlineStr">
        <is>
          <t>Explain it yourself</t>
        </is>
      </c>
      <c r="AQ2" s="14" t="inlineStr">
        <is>
          <t>Write your own</t>
        </is>
      </c>
      <c r="AR2" s="15" t="inlineStr">
        <is>
          <t>Importance ★</t>
        </is>
      </c>
      <c r="AS2" s="15" t="inlineStr">
        <is>
          <t>Quick recall (reverse)</t>
        </is>
      </c>
      <c r="AT2" s="16" t="inlineStr">
        <is>
          <t>Status</t>
        </is>
      </c>
      <c r="AU2" s="16" t="inlineStr">
        <is>
          <t>Day 1</t>
        </is>
      </c>
      <c r="AV2" s="16" t="inlineStr">
        <is>
          <t>Day 3</t>
        </is>
      </c>
      <c r="AW2" s="16" t="inlineStr">
        <is>
          <t>Day 7</t>
        </is>
      </c>
      <c r="AX2" s="16" t="inlineStr">
        <is>
          <t>Day 15</t>
        </is>
      </c>
      <c r="AY2" s="16" t="inlineStr">
        <is>
          <t>Day 30</t>
        </is>
      </c>
      <c r="AZ2" s="16" t="inlineStr">
        <is>
          <t>Day 60</t>
        </is>
      </c>
      <c r="BA2" s="16" t="inlineStr">
        <is>
          <t>OK / Fix</t>
        </is>
      </c>
      <c r="BB2" s="16" t="inlineStr">
        <is>
          <t>My note</t>
        </is>
      </c>
    </row>
    <row r="3" ht="94.5" customHeight="1">
      <c r="A3" s="17" t="inlineStr">
        <is>
          <t>OBS-001</t>
        </is>
      </c>
      <c r="B3" s="17" t="inlineStr">
        <is>
          <t>01 Ideas</t>
        </is>
      </c>
      <c r="C3" s="17" t="inlineStr">
        <is>
          <t>Beginner</t>
        </is>
      </c>
      <c r="D3" s="17" t="n">
        <v>1</v>
      </c>
      <c r="E3" s="17" t="inlineStr">
        <is>
          <t>Claude knowledge</t>
        </is>
      </c>
      <c r="F3" s="18" t="inlineStr">
        <is>
          <t>Logs, metrics and traces</t>
        </is>
      </c>
      <c r="G3" s="18" t="inlineStr">
        <is>
          <t>Which three kinds of telemetry describe what a running system is doing?</t>
        </is>
      </c>
      <c r="H3" s="18" t="inlineStr">
        <is>
          <t>Core concept</t>
        </is>
      </c>
      <c r="I3" s="18" t="inlineStr">
        <is>
          <t>Very high</t>
        </is>
      </c>
      <c r="J3" s="18" t="n">
        <v>5</v>
      </c>
      <c r="K3" s="18" t="inlineStr">
        <is>
          <t>Running systems cannot be seen directly, so engineers collect three kinds of signals that each answer different questions.</t>
        </is>
      </c>
      <c r="L3" s="18" t="inlineStr">
        <is>
          <t>Start with metrics to notice a problem, use traces to find where, and use logs to learn why.</t>
        </is>
      </c>
      <c r="M3" s="18" t="inlineStr">
        <is>
          <t>Metrics are the speedometer, traces are the route map, and logs are the driver's diary.</t>
        </is>
      </c>
      <c r="N3" s="18" t="inlineStr">
        <is>
          <t>Three stacked panels showing a graph, a timeline of spans and lines of text.</t>
        </is>
      </c>
      <c r="O3" s="18" t="inlineStr">
        <is>
          <t>The clarity of knowing which signal answers which question.</t>
        </is>
      </c>
      <c r="P3" s="18" t="inlineStr">
        <is>
          <t>Metrics are numbers measured over time, logs are timestamped records of events, and traces follow one request across the services it touches.</t>
        </is>
      </c>
      <c r="Q3" s="17" t="n"/>
      <c r="R3" s="18" t="inlineStr">
        <is>
          <t>Metrics are cheap and good for trends and alerts, such as requests per second. Logs hold detail about single events, such as an error message with its context. Traces show the path and timing of one request through many services. Together they let you move from a symptom to its cause.</t>
        </is>
      </c>
      <c r="S3" s="18" t="inlineStr">
        <is>
          <t>Metrics tell you something is wrong, traces show where, and logs explain why.</t>
        </is>
      </c>
      <c r="T3" s="18" t="inlineStr">
        <is>
          <t>Metrics are the speedometer, traces are the route map, and logs are the driver's diary.</t>
        </is>
      </c>
      <c r="U3" s="18" t="inlineStr">
        <is>
          <t>Metrics = what and how much. Traces = where. Logs = why.</t>
        </is>
      </c>
      <c r="V3" s="18" t="inlineStr">
        <is>
          <t>A graph of error rate rising at ten past two.</t>
        </is>
      </c>
      <c r="W3" s="18" t="inlineStr">
        <is>
          <t>A trace showing the slow call was the payment service.</t>
        </is>
      </c>
      <c r="X3" s="18" t="inlineStr">
        <is>
          <t>A log line with the exact error and order id.</t>
        </is>
      </c>
      <c r="Y3" s="18" t="inlineStr">
        <is>
          <t>monitoring vs observability, structured logs, spans and traces, dashboards</t>
        </is>
      </c>
      <c r="Z3" s="18" t="inlineStr">
        <is>
          <t>telemetry, metric, log, trace, signal</t>
        </is>
      </c>
      <c r="AA3" s="18" t="inlineStr">
        <is>
          <t>Operations | Incident response | Platform design</t>
        </is>
      </c>
      <c r="AB3" s="18" t="inlineStr">
        <is>
          <t>A: Users report slow checkouts. | B: Check the latency metric, then the trace, then the logs of the slow service.</t>
        </is>
      </c>
      <c r="AC3" s="18" t="inlineStr">
        <is>
          <t>✗ Logs alone are enough to understand a system → ✓ Metrics and traces answer questions logs answer poorly</t>
        </is>
      </c>
      <c r="AD3" s="18" t="inlineStr">
        <is>
          <t>Metrics vs logs: metrics are cheap numbers over time, logs are detailed single events.</t>
        </is>
      </c>
      <c r="AE3" s="18" t="inlineStr">
        <is>
          <t>Do not rely on one signal type only.</t>
        </is>
      </c>
      <c r="AF3" s="18" t="inlineStr">
        <is>
          <t>Numbers notice, traces locate, logs explain.</t>
        </is>
      </c>
      <c r="AG3" s="18" t="inlineStr">
        <is>
          <t>Adding traces showed that a slow customer page waited on one third-party call.</t>
        </is>
      </c>
      <c r="AH3" s="18" t="inlineStr">
        <is>
          <t>An interviewer may ask: What is the difference between logs, metrics and traces?</t>
        </is>
      </c>
      <c r="AI3" s="18" t="inlineStr">
        <is>
          <t>It is like a speedometer, a route map and a diary.</t>
        </is>
      </c>
      <c r="AJ3" s="18" t="inlineStr">
        <is>
          <t>Which signal follows one request across services?</t>
        </is>
      </c>
      <c r="AK3" s="18" t="inlineStr">
        <is>
          <t>A) A metric B) A dashboard C) A ticket D) A trace</t>
        </is>
      </c>
      <c r="AL3" s="18" t="inlineStr">
        <is>
          <t>D</t>
        </is>
      </c>
      <c r="AM3" s="18" t="inlineStr">
        <is>
          <t>Traces connect the steps of a single request.</t>
        </is>
      </c>
      <c r="AN3" s="18" t="inlineStr">
        <is>
          <t>Numbers measured over time are called ____ → metrics</t>
        </is>
      </c>
      <c r="AO3" s="18" t="inlineStr">
        <is>
          <t>You need to find which service made a request slow. Which signal? → A trace</t>
        </is>
      </c>
      <c r="AP3" s="18" t="inlineStr">
        <is>
          <t>Explain the three signals in three lines.</t>
        </is>
      </c>
      <c r="AQ3" s="18" t="inlineStr">
        <is>
          <t>Give one question that each signal answers best.</t>
        </is>
      </c>
      <c r="AR3" s="17">
        <f>IF(J3="","",REPT("★",J3)&amp;REPT("☆",5-J3)&amp;" ("&amp;J3&amp;"/5)")</f>
        <v/>
      </c>
      <c r="AS3" s="17">
        <f>IF(Q3="","","Meaning: "&amp;Q3&amp;"  =  ______   (Answer: "&amp;F3&amp;")")</f>
        <v/>
      </c>
      <c r="AT3" s="17" t="inlineStr">
        <is>
          <t>New</t>
        </is>
      </c>
      <c r="AU3" s="17" t="n"/>
      <c r="AV3" s="17" t="n"/>
      <c r="AW3" s="17" t="n"/>
      <c r="AX3" s="17" t="n"/>
      <c r="AY3" s="17" t="n"/>
      <c r="AZ3" s="17" t="n"/>
      <c r="BA3" s="17" t="n"/>
      <c r="BB3" s="17" t="n"/>
    </row>
    <row r="4" ht="94.5" customHeight="1">
      <c r="A4" s="17" t="inlineStr">
        <is>
          <t>OBS-002</t>
        </is>
      </c>
      <c r="B4" s="17" t="inlineStr">
        <is>
          <t>01 Ideas</t>
        </is>
      </c>
      <c r="C4" s="17" t="inlineStr">
        <is>
          <t>Intermediate</t>
        </is>
      </c>
      <c r="D4" s="17" t="n">
        <v>2</v>
      </c>
      <c r="E4" s="17" t="inlineStr">
        <is>
          <t>Claude knowledge</t>
        </is>
      </c>
      <c r="F4" s="18" t="inlineStr">
        <is>
          <t>Monitoring vs observability</t>
        </is>
      </c>
      <c r="G4" s="18" t="inlineStr">
        <is>
          <t>Which two ideas differ in whether you check known problems or can investigate unknown ones?</t>
        </is>
      </c>
      <c r="H4" s="18" t="inlineStr">
        <is>
          <t>Core concept</t>
        </is>
      </c>
      <c r="I4" s="18" t="inlineStr">
        <is>
          <t>High</t>
        </is>
      </c>
      <c r="J4" s="18" t="n">
        <v>4</v>
      </c>
      <c r="K4" s="18" t="inlineStr">
        <is>
          <t>Simple checks catch known failures, but complex systems fail in new ways, so observability aims to let you ask new questions without new code.</t>
        </is>
      </c>
      <c r="L4" s="18" t="inlineStr">
        <is>
          <t>Build monitoring for known failure modes and observability for the surprises.</t>
        </is>
      </c>
      <c r="M4" s="18" t="inlineStr">
        <is>
          <t>Monitoring is a smoke alarm for known fires, and observability is a toolkit to investigate any smell.</t>
        </is>
      </c>
      <c r="N4" s="18" t="inlineStr">
        <is>
          <t>A fixed list of alarms beside a flexible search and drill-down tool.</t>
        </is>
      </c>
      <c r="O4" s="18" t="inlineStr">
        <is>
          <t>The confidence of being able to investigate anything.</t>
        </is>
      </c>
      <c r="P4" s="18" t="inlineStr">
        <is>
          <t>Monitoring watches predefined signals and alerts on known conditions, while observability is the ability to understand internal behaviour from rich telemetry, including problems nobody predicted.</t>
        </is>
      </c>
      <c r="Q4" s="17" t="n"/>
      <c r="R4" s="18" t="inlineStr">
        <is>
          <t>Monitoring answers known questions such as whether CPU is high. Observability needs detailed, high-context data that you can slice by many fields, such as user, version and region. It depends on good instrumentation and structured events. The two work together, since alerts tell you when to investigate.</t>
        </is>
      </c>
      <c r="S4" s="18" t="inlineStr">
        <is>
          <t>Monitoring checks the known, and observability lets you explore the unknown.</t>
        </is>
      </c>
      <c r="T4" s="18" t="inlineStr">
        <is>
          <t>Monitoring is a smoke alarm for known fires, and observability is a toolkit to investigate any smell.</t>
        </is>
      </c>
      <c r="U4" s="18" t="inlineStr">
        <is>
          <t>Monitoring = known questions. Observability = new questions.</t>
        </is>
      </c>
      <c r="V4" s="18" t="inlineStr">
        <is>
          <t>An alert when disk usage passes ninety percent.</t>
        </is>
      </c>
      <c r="W4" s="18" t="inlineStr">
        <is>
          <t>Filtering traces by app version to find a bad release.</t>
        </is>
      </c>
      <c r="X4" s="18" t="inlineStr">
        <is>
          <t>Grouping errors by customer to spot one affected account.</t>
        </is>
      </c>
      <c r="Y4" s="18" t="inlineStr">
        <is>
          <t>logs metrics and traces, alerts, structured logs, cardinality</t>
        </is>
      </c>
      <c r="Z4" s="18" t="inlineStr">
        <is>
          <t>monitoring, observability, instrumentation, high cardinality, drill-down</t>
        </is>
      </c>
      <c r="AA4" s="18" t="inlineStr">
        <is>
          <t>Platform engineering | Incidents | Tool choice</t>
        </is>
      </c>
      <c r="AB4" s="18" t="inlineStr">
        <is>
          <t>A: The alerts are quiet but customers complain. | B: We need better observability to see what the alerts miss.</t>
        </is>
      </c>
      <c r="AC4" s="18" t="inlineStr">
        <is>
          <t>✗ Observability is just a fancier word for monitoring → ✓ It is the ability to investigate new problems from rich data</t>
        </is>
      </c>
      <c r="AD4" s="18" t="inlineStr">
        <is>
          <t>Monitoring vs observability: known checks versus open investigation.</t>
        </is>
      </c>
      <c r="AE4" s="18" t="inlineStr">
        <is>
          <t>Do not buy tools instead of adding good instrumentation.</t>
        </is>
      </c>
      <c r="AF4" s="18" t="inlineStr">
        <is>
          <t>Alarm for the known, toolkit for the unknown.</t>
        </is>
      </c>
      <c r="AG4" s="18" t="inlineStr">
        <is>
          <t>Adding version and customer fields to events let the team find a bug affecting one customer.</t>
        </is>
      </c>
      <c r="AH4" s="18" t="inlineStr">
        <is>
          <t>An interviewer may ask: How is observability different from monitoring?</t>
        </is>
      </c>
      <c r="AI4" s="18" t="inlineStr">
        <is>
          <t>It is like an alarm plus a toolkit.</t>
        </is>
      </c>
      <c r="AJ4" s="18" t="inlineStr">
        <is>
          <t>What does observability emphasise?</t>
        </is>
      </c>
      <c r="AK4" s="18" t="inlineStr">
        <is>
          <t>A) Only dashboards B) Only fixed alerts C) Investigating unknown problems from rich data D) Only logs</t>
        </is>
      </c>
      <c r="AL4" s="18" t="inlineStr">
        <is>
          <t>C</t>
        </is>
      </c>
      <c r="AM4" s="18" t="inlineStr">
        <is>
          <t>It supports new questions without new code.</t>
        </is>
      </c>
      <c r="AN4" s="18" t="inlineStr">
        <is>
          <t>Adding telemetry code to an application is called ____ → instrumentation</t>
        </is>
      </c>
      <c r="AO4" s="18" t="inlineStr">
        <is>
          <t>Alerts are quiet but one customer has errors. What helps? → Rich events you can filter by customer</t>
        </is>
      </c>
      <c r="AP4" s="18" t="inlineStr">
        <is>
          <t>Explain monitoring versus observability in three lines.</t>
        </is>
      </c>
      <c r="AQ4" s="18" t="inlineStr">
        <is>
          <t>List three fields to add to events to make them searchable.</t>
        </is>
      </c>
      <c r="AR4" s="17">
        <f>IF(J4="","",REPT("★",J4)&amp;REPT("☆",5-J4)&amp;" ("&amp;J4&amp;"/5)")</f>
        <v/>
      </c>
      <c r="AS4" s="17">
        <f>IF(Q4="","","Meaning: "&amp;Q4&amp;"  =  ______   (Answer: "&amp;F4&amp;")")</f>
        <v/>
      </c>
      <c r="AT4" s="17" t="inlineStr">
        <is>
          <t>New</t>
        </is>
      </c>
      <c r="AU4" s="17" t="n"/>
      <c r="AV4" s="17" t="n"/>
      <c r="AW4" s="17" t="n"/>
      <c r="AX4" s="17" t="n"/>
      <c r="AY4" s="17" t="n"/>
      <c r="AZ4" s="17" t="n"/>
      <c r="BA4" s="17" t="n"/>
      <c r="BB4" s="17" t="n"/>
    </row>
    <row r="5" ht="121.5" customHeight="1">
      <c r="A5" s="17" t="inlineStr">
        <is>
          <t>OBS-003</t>
        </is>
      </c>
      <c r="B5" s="17" t="inlineStr">
        <is>
          <t>01 Ideas</t>
        </is>
      </c>
      <c r="C5" s="17" t="inlineStr">
        <is>
          <t>Beginner</t>
        </is>
      </c>
      <c r="D5" s="17" t="n">
        <v>3</v>
      </c>
      <c r="E5" s="17" t="inlineStr">
        <is>
          <t>Claude knowledge</t>
        </is>
      </c>
      <c r="F5" s="18" t="inlineStr">
        <is>
          <t>Health checks</t>
        </is>
      </c>
      <c r="G5" s="18" t="inlineStr">
        <is>
          <t>Which simple endpoints or probes tell you whether a service is alive and ready?</t>
        </is>
      </c>
      <c r="H5" s="18" t="inlineStr">
        <is>
          <t>Core concept</t>
        </is>
      </c>
      <c r="I5" s="18" t="inlineStr">
        <is>
          <t>Very high</t>
        </is>
      </c>
      <c r="J5" s="18" t="n">
        <v>5</v>
      </c>
      <c r="K5" s="18" t="inlineStr">
        <is>
          <t>Orchestrators and load balancers need a fast yes or no from each service, so services expose health endpoints.</t>
        </is>
      </c>
      <c r="L5" s="18" t="inlineStr">
        <is>
          <t>Keep liveness cheap and local, and make readiness check what the service needs to serve traffic.</t>
        </is>
      </c>
      <c r="M5" s="18" t="inlineStr">
        <is>
          <t>A health check is a pulse and a readiness check is asking if the shop is open.</t>
        </is>
      </c>
      <c r="N5" s="18" t="inlineStr">
        <is>
          <t>A load balancer asking a service for its health and getting a green tick.</t>
        </is>
      </c>
      <c r="O5" s="18" t="inlineStr">
        <is>
          <t>The comfort of automatic removal of sick instances.</t>
        </is>
      </c>
      <c r="P5" s="18" t="inlineStr">
        <is>
          <t>A health check is an endpoint or command that reports whether a service is alive and, separately, ready to handle requests.</t>
        </is>
      </c>
      <c r="Q5" s="17" t="n"/>
      <c r="R5" s="18" t="inlineStr">
        <is>
          <t>Liveness answers whether the process should be restarted. Readiness answers whether traffic should be sent to it, including the few dependencies it cannot work without. Load balancers, Kubernetes and monitors call these regularly. Checks must be fast and must not overload dependencies. A deep check that fails on any dependency can take the whole fleet down at once.</t>
        </is>
      </c>
      <c r="S5" s="18" t="inlineStr">
        <is>
          <t>Expose a cheap liveness check and a readiness check for dependencies, and let platforms use them.</t>
        </is>
      </c>
      <c r="T5" s="18" t="inlineStr">
        <is>
          <t>A health check is a pulse, and readiness is asking whether the shop is open.</t>
        </is>
      </c>
      <c r="U5" s="18" t="inlineStr">
        <is>
          <t>Liveness = restart me. Readiness = send me traffic.</t>
        </is>
      </c>
      <c r="V5" s="18" t="inlineStr">
        <is>
          <t>A /healthz endpoint returning 200 quickly.</t>
        </is>
      </c>
      <c r="W5" s="18" t="inlineStr">
        <is>
          <t>A /ready endpoint that checks the database connection.</t>
        </is>
      </c>
      <c r="X5" s="18" t="inlineStr">
        <is>
          <t>A load balancer removing a failing instance.</t>
        </is>
      </c>
      <c r="Y5" s="18" t="inlineStr">
        <is>
          <t>Kubernetes probes, Docker HEALTHCHECK, load balancers, alerts</t>
        </is>
      </c>
      <c r="Z5" s="18" t="inlineStr">
        <is>
          <t>liveness, readiness, endpoint, probe, heartbeat</t>
        </is>
      </c>
      <c r="AA5" s="18" t="inlineStr">
        <is>
          <t>Load balancers | Orchestrators | Uptime monitors</t>
        </is>
      </c>
      <c r="AB5" s="18" t="inlineStr">
        <is>
          <t>A: One database blip took every instance out of rotation. | B: The readiness check was too deep, so keep it narrower.</t>
        </is>
      </c>
      <c r="AC5" s="18" t="inlineStr">
        <is>
          <t>✗ A health check should test every dependency deeply → ✓ Deep checks can cause a whole fleet to fail together</t>
        </is>
      </c>
      <c r="AD5" s="18" t="inlineStr">
        <is>
          <t>Liveness vs readiness: restart decision versus traffic decision.</t>
        </is>
      </c>
      <c r="AE5" s="18" t="inlineStr">
        <is>
          <t>Do not make liveness depend on outside systems.</t>
        </is>
      </c>
      <c r="AF5" s="18" t="inlineStr">
        <is>
          <t>Alive means restart, ready means route.</t>
        </is>
      </c>
      <c r="AG5" s="18" t="inlineStr">
        <is>
          <t>Narrowing a readiness check stopped repeated mass restarts during database slowdowns.</t>
        </is>
      </c>
      <c r="AH5" s="18" t="inlineStr">
        <is>
          <t>An interviewer may ask: What is the difference between liveness and readiness?</t>
        </is>
      </c>
      <c r="AI5" s="18" t="inlineStr">
        <is>
          <t>It is like a pulse and an open sign.</t>
        </is>
      </c>
      <c r="AJ5" s="18" t="inlineStr">
        <is>
          <t>What does a readiness check decide?</t>
        </is>
      </c>
      <c r="AK5" s="18" t="inlineStr">
        <is>
          <t>A) Whether to send traffic B) Whether to delete the code C) Whether to rename the host D) Whether to buy storage</t>
        </is>
      </c>
      <c r="AL5" s="18" t="inlineStr">
        <is>
          <t>A</t>
        </is>
      </c>
      <c r="AM5" s="18" t="inlineStr">
        <is>
          <t>Not-ready instances are skipped by routers.</t>
        </is>
      </c>
      <c r="AN5" s="18" t="inlineStr">
        <is>
          <t>A check telling a platform to restart a process is a ____ check → liveness</t>
        </is>
      </c>
      <c r="AO5" s="18" t="inlineStr">
        <is>
          <t>An instance is slow to warm up. What stops traffic until it is ready? → A readiness check</t>
        </is>
      </c>
      <c r="AP5" s="18" t="inlineStr">
        <is>
          <t>Explain health checks in three lines.</t>
        </is>
      </c>
      <c r="AQ5" s="18" t="inlineStr">
        <is>
          <t>Design the liveness and readiness checks for an API with a database.</t>
        </is>
      </c>
      <c r="AR5" s="17">
        <f>IF(J5="","",REPT("★",J5)&amp;REPT("☆",5-J5)&amp;" ("&amp;J5&amp;"/5)")</f>
        <v/>
      </c>
      <c r="AS5" s="17">
        <f>IF(Q5="","","Meaning: "&amp;Q5&amp;"  =  ______   (Answer: "&amp;F5&amp;")")</f>
        <v/>
      </c>
      <c r="AT5" s="17" t="inlineStr">
        <is>
          <t>New</t>
        </is>
      </c>
      <c r="AU5" s="17" t="n"/>
      <c r="AV5" s="17" t="n"/>
      <c r="AW5" s="17" t="n"/>
      <c r="AX5" s="17" t="n"/>
      <c r="AY5" s="17" t="n"/>
      <c r="AZ5" s="17" t="n"/>
      <c r="BA5" s="17" t="n"/>
      <c r="BB5" s="17" t="n"/>
    </row>
    <row r="6" ht="108" customHeight="1">
      <c r="A6" s="17" t="inlineStr">
        <is>
          <t>OBS-004</t>
        </is>
      </c>
      <c r="B6" s="17" t="inlineStr">
        <is>
          <t>01 Ideas</t>
        </is>
      </c>
      <c r="C6" s="17" t="inlineStr">
        <is>
          <t>Beginner</t>
        </is>
      </c>
      <c r="D6" s="17" t="n">
        <v>4</v>
      </c>
      <c r="E6" s="17" t="inlineStr">
        <is>
          <t>Claude knowledge</t>
        </is>
      </c>
      <c r="F6" s="18" t="inlineStr">
        <is>
          <t>Dashboards</t>
        </is>
      </c>
      <c r="G6" s="18" t="inlineStr">
        <is>
          <t>Which screens show the key signals of a system at a glance?</t>
        </is>
      </c>
      <c r="H6" s="18" t="inlineStr">
        <is>
          <t>Core concept</t>
        </is>
      </c>
      <c r="I6" s="18" t="inlineStr">
        <is>
          <t>Very high</t>
        </is>
      </c>
      <c r="J6" s="18" t="n">
        <v>4</v>
      </c>
      <c r="K6" s="18" t="inlineStr">
        <is>
          <t>People cannot read raw numbers fast, so dashboards turn telemetry into graphs for quick understanding.</t>
        </is>
      </c>
      <c r="L6" s="18" t="inlineStr">
        <is>
          <t>Make one overview dashboard per service showing the golden signals first.</t>
        </is>
      </c>
      <c r="M6" s="18" t="inlineStr">
        <is>
          <t>A dashboard is the instrument panel of an aircraft.</t>
        </is>
      </c>
      <c r="N6" s="18" t="inlineStr">
        <is>
          <t>A grid of graphs for traffic, errors and latency.</t>
        </is>
      </c>
      <c r="O6" s="18" t="inlineStr">
        <is>
          <t>The calm of seeing the whole system on one screen.</t>
        </is>
      </c>
      <c r="P6" s="18" t="inlineStr">
        <is>
          <t>A dashboard is a visual display of selected metrics and logs, arranged so that health, trends and problems can be understood quickly.</t>
        </is>
      </c>
      <c r="Q6" s="17" t="n"/>
      <c r="R6" s="18" t="inlineStr">
        <is>
          <t>Good dashboards answer clear questions, such as whether users are happy right now. They start with high-level signals and let you drill into detail. Too many graphs hide the important ones. Use consistent time ranges and units, label axes, and mark deployments. Dashboards support investigation but do not replace alerts.</t>
        </is>
      </c>
      <c r="S6" s="18" t="inlineStr">
        <is>
          <t>Show the few signals that matter most, and make it easy to drill down.</t>
        </is>
      </c>
      <c r="T6" s="18" t="inlineStr">
        <is>
          <t>A dashboard is the instrument panel of an aircraft.</t>
        </is>
      </c>
      <c r="U6" s="18" t="inlineStr">
        <is>
          <t>Few signals, clear questions, easy drill-down.</t>
        </is>
      </c>
      <c r="V6" s="18" t="inlineStr">
        <is>
          <t>A panel with request rate, error rate and latency.</t>
        </is>
      </c>
      <c r="W6" s="18" t="inlineStr">
        <is>
          <t>A deployment marker on a latency graph.</t>
        </is>
      </c>
      <c r="X6" s="18" t="inlineStr">
        <is>
          <t>A dashboard per service with links to logs.</t>
        </is>
      </c>
      <c r="Y6" s="18" t="inlineStr">
        <is>
          <t>Grafana basics, RED and USE methods, alerts, percentiles</t>
        </is>
      </c>
      <c r="Z6" s="18" t="inlineStr">
        <is>
          <t>dashboard, panel, time range, drill-down, annotation</t>
        </is>
      </c>
      <c r="AA6" s="18" t="inlineStr">
        <is>
          <t>Operations rooms | Reviews | Incident response</t>
        </is>
      </c>
      <c r="AB6" s="18" t="inlineStr">
        <is>
          <t>A: Which graph should I look at first? | B: The overview dashboard with errors and latency.</t>
        </is>
      </c>
      <c r="AC6" s="18" t="inlineStr">
        <is>
          <t>✗ More graphs on a dashboard make it better → ✓ Too many graphs hide what matters</t>
        </is>
      </c>
      <c r="AD6" s="18" t="inlineStr">
        <is>
          <t>Dashboard vs alert: dashboards are looked at, alerts come to you.</t>
        </is>
      </c>
      <c r="AE6" s="18" t="inlineStr">
        <is>
          <t>Do not rely on someone watching a dashboard to catch problems.</t>
        </is>
      </c>
      <c r="AF6" s="18" t="inlineStr">
        <is>
          <t>A few graphs answering clear questions.</t>
        </is>
      </c>
      <c r="AG6" s="18" t="inlineStr">
        <is>
          <t>Replacing a wall of fifty graphs with one overview cut time to spot problems.</t>
        </is>
      </c>
      <c r="AH6" s="18" t="inlineStr">
        <is>
          <t>An interviewer may ask: What makes a good dashboard?</t>
        </is>
      </c>
      <c r="AI6" s="18" t="inlineStr">
        <is>
          <t>It is like an aircraft instrument panel.</t>
        </is>
      </c>
      <c r="AJ6" s="18" t="inlineStr">
        <is>
          <t>What should a good dashboard start with?</t>
        </is>
      </c>
      <c r="AK6" s="18" t="inlineStr">
        <is>
          <t>A) Raw logs only B) High-level signals C) Random graphs D) Every possible metric</t>
        </is>
      </c>
      <c r="AL6" s="18" t="inlineStr">
        <is>
          <t>B</t>
        </is>
      </c>
      <c r="AM6" s="18" t="inlineStr">
        <is>
          <t>Overview first, detail on demand.</t>
        </is>
      </c>
      <c r="AN6" s="18" t="inlineStr">
        <is>
          <t>A marker on a graph for a release is an ____ → annotation</t>
        </is>
      </c>
      <c r="AO6" s="18" t="inlineStr">
        <is>
          <t>Responders waste time on a crowded dashboard. What do you do? → Reduce it to a few key signals</t>
        </is>
      </c>
      <c r="AP6" s="18" t="inlineStr">
        <is>
          <t>Explain good dashboard design in three lines.</t>
        </is>
      </c>
      <c r="AQ6" s="18" t="inlineStr">
        <is>
          <t>Sketch a dashboard for a web API with five panels.</t>
        </is>
      </c>
      <c r="AR6" s="17">
        <f>IF(J6="","",REPT("★",J6)&amp;REPT("☆",5-J6)&amp;" ("&amp;J6&amp;"/5)")</f>
        <v/>
      </c>
      <c r="AS6" s="17">
        <f>IF(Q6="","","Meaning: "&amp;Q6&amp;"  =  ______   (Answer: "&amp;F6&amp;")")</f>
        <v/>
      </c>
      <c r="AT6" s="17" t="inlineStr">
        <is>
          <t>New</t>
        </is>
      </c>
      <c r="AU6" s="17" t="n"/>
      <c r="AV6" s="17" t="n"/>
      <c r="AW6" s="17" t="n"/>
      <c r="AX6" s="17" t="n"/>
      <c r="AY6" s="17" t="n"/>
      <c r="AZ6" s="17" t="n"/>
      <c r="BA6" s="17" t="n"/>
      <c r="BB6" s="17" t="n"/>
    </row>
    <row r="7" ht="108" customHeight="1">
      <c r="A7" s="17" t="inlineStr">
        <is>
          <t>OBS-005</t>
        </is>
      </c>
      <c r="B7" s="17" t="inlineStr">
        <is>
          <t>01 Ideas</t>
        </is>
      </c>
      <c r="C7" s="17" t="inlineStr">
        <is>
          <t>Beginner</t>
        </is>
      </c>
      <c r="D7" s="17" t="n">
        <v>5</v>
      </c>
      <c r="E7" s="17" t="inlineStr">
        <is>
          <t>Claude knowledge</t>
        </is>
      </c>
      <c r="F7" s="18" t="inlineStr">
        <is>
          <t>Alerts</t>
        </is>
      </c>
      <c r="G7" s="18" t="inlineStr">
        <is>
          <t>How do you get told about problems that need action, instead of watching screens?</t>
        </is>
      </c>
      <c r="H7" s="18" t="inlineStr">
        <is>
          <t>Core concept</t>
        </is>
      </c>
      <c r="I7" s="18" t="inlineStr">
        <is>
          <t>Very high</t>
        </is>
      </c>
      <c r="J7" s="18" t="n">
        <v>5</v>
      </c>
      <c r="K7" s="18" t="inlineStr">
        <is>
          <t>Nobody can watch dashboards all day, so alerts notify people when signals cross meaningful thresholds.</t>
        </is>
      </c>
      <c r="L7" s="18" t="inlineStr">
        <is>
          <t>Alert on symptoms users feel, and send each alert to a person who can act.</t>
        </is>
      </c>
      <c r="M7" s="18" t="inlineStr">
        <is>
          <t>An alert is a smoke alarm that rings in the right person's pocket.</t>
        </is>
      </c>
      <c r="N7" s="18" t="inlineStr">
        <is>
          <t>A graph crossing a threshold and a notification appearing on a phone.</t>
        </is>
      </c>
      <c r="O7" s="18" t="inlineStr">
        <is>
          <t>The comfort of being warned before customers complain.</t>
        </is>
      </c>
      <c r="P7" s="18" t="inlineStr">
        <is>
          <t>An alert is an automatic notification triggered when a signal meets a rule, such as an error rate above a threshold for several minutes.</t>
        </is>
      </c>
      <c r="Q7" s="17" t="n"/>
      <c r="R7" s="18" t="inlineStr">
        <is>
          <t>Good alerts are actionable, urgent and based on symptoms such as errors and latency. Rules use thresholds with durations to avoid noise. Alerts need an owner, a severity and a link to a runbook. Causes such as high CPU are better as warnings or dashboard items than pages. Test alerts to confirm they fire and reach the right people.</t>
        </is>
      </c>
      <c r="S7" s="18" t="inlineStr">
        <is>
          <t>Alert on user-facing symptoms, route to an owner, and include what to do next.</t>
        </is>
      </c>
      <c r="T7" s="18" t="inlineStr">
        <is>
          <t>An alert is a smoke alarm that rings in the right person's pocket.</t>
        </is>
      </c>
      <c r="U7" s="18" t="inlineStr">
        <is>
          <t>Symptom + threshold + duration + owner + runbook.</t>
        </is>
      </c>
      <c r="V7" s="18" t="inlineStr">
        <is>
          <t>Page when the error rate is above five percent for five minutes.</t>
        </is>
      </c>
      <c r="W7" s="18" t="inlineStr">
        <is>
          <t>A ticket for disk usage above eighty percent.</t>
        </is>
      </c>
      <c r="X7" s="18" t="inlineStr">
        <is>
          <t>A message with a link to the runbook.</t>
        </is>
      </c>
      <c r="Y7" s="18" t="inlineStr">
        <is>
          <t>alert fatigue, runbooks, SLOs, on-call</t>
        </is>
      </c>
      <c r="Z7" s="18" t="inlineStr">
        <is>
          <t>alert, threshold, severity, page, routing</t>
        </is>
      </c>
      <c r="AA7" s="18" t="inlineStr">
        <is>
          <t>On-call | Production systems | Customer operations</t>
        </is>
      </c>
      <c r="AB7" s="18" t="inlineStr">
        <is>
          <t>A: We get fifty alerts a night. | B: Remove the ones that need no action and alert on symptoms.</t>
        </is>
      </c>
      <c r="AC7" s="18" t="inlineStr">
        <is>
          <t>✗ Alert on every metric that moves → ✓ Alert only on conditions that need human action</t>
        </is>
      </c>
      <c r="AD7" s="18" t="inlineStr">
        <is>
          <t>Page vs ticket: a page needs action now, a ticket can wait.</t>
        </is>
      </c>
      <c r="AE7" s="18" t="inlineStr">
        <is>
          <t>Do not create alerts nobody can act on.</t>
        </is>
      </c>
      <c r="AF7" s="18" t="inlineStr">
        <is>
          <t>Each alert needs an owner and an action.</t>
        </is>
      </c>
      <c r="AG7" s="18" t="inlineStr">
        <is>
          <t>Cutting alerts to actionable symptoms gave on-call engineers quiet nights.</t>
        </is>
      </c>
      <c r="AH7" s="18" t="inlineStr">
        <is>
          <t>An interviewer may ask: What makes a good alert?</t>
        </is>
      </c>
      <c r="AI7" s="18" t="inlineStr">
        <is>
          <t>It is like a smoke alarm that reaches the right person.</t>
        </is>
      </c>
      <c r="AJ7" s="18" t="inlineStr">
        <is>
          <t>Which alert is usually best to page on?</t>
        </is>
      </c>
      <c r="AK7" s="18" t="inlineStr">
        <is>
          <t>A) Slightly high CPU B) A full moon C) High error rate seen by users D) A new log line</t>
        </is>
      </c>
      <c r="AL7" s="18" t="inlineStr">
        <is>
          <t>C</t>
        </is>
      </c>
      <c r="AM7" s="18" t="inlineStr">
        <is>
          <t>It reflects user pain and needs action.</t>
        </is>
      </c>
      <c r="AN7" s="18" t="inlineStr">
        <is>
          <t>A rule that waits several minutes before firing uses a ____ → duration</t>
        </is>
      </c>
      <c r="AO7" s="18" t="inlineStr">
        <is>
          <t>CPU is at seventy percent but users are fine. Should you page? → No, make it a warning</t>
        </is>
      </c>
      <c r="AP7" s="18" t="inlineStr">
        <is>
          <t>Explain good alerting in three lines.</t>
        </is>
      </c>
      <c r="AQ7" s="18" t="inlineStr">
        <is>
          <t>Write three alert rules and decide page or ticket for each.</t>
        </is>
      </c>
      <c r="AR7" s="17">
        <f>IF(J7="","",REPT("★",J7)&amp;REPT("☆",5-J7)&amp;" ("&amp;J7&amp;"/5)")</f>
        <v/>
      </c>
      <c r="AS7" s="17">
        <f>IF(Q7="","","Meaning: "&amp;Q7&amp;"  =  ______   (Answer: "&amp;F7&amp;")")</f>
        <v/>
      </c>
      <c r="AT7" s="17" t="inlineStr">
        <is>
          <t>New</t>
        </is>
      </c>
      <c r="AU7" s="17" t="n"/>
      <c r="AV7" s="17" t="n"/>
      <c r="AW7" s="17" t="n"/>
      <c r="AX7" s="17" t="n"/>
      <c r="AY7" s="17" t="n"/>
      <c r="AZ7" s="17" t="n"/>
      <c r="BA7" s="17" t="n"/>
      <c r="BB7" s="17" t="n"/>
    </row>
    <row r="8" ht="94.5" customHeight="1">
      <c r="A8" s="17" t="inlineStr">
        <is>
          <t>OBS-006</t>
        </is>
      </c>
      <c r="B8" s="17" t="inlineStr">
        <is>
          <t>02 Logging</t>
        </is>
      </c>
      <c r="C8" s="17" t="inlineStr">
        <is>
          <t>Beginner</t>
        </is>
      </c>
      <c r="D8" s="17" t="n">
        <v>6</v>
      </c>
      <c r="E8" s="17" t="inlineStr">
        <is>
          <t>Claude knowledge</t>
        </is>
      </c>
      <c r="F8" s="18" t="inlineStr">
        <is>
          <t>Log levels</t>
        </is>
      </c>
      <c r="G8" s="18" t="inlineStr">
        <is>
          <t>Which severity labels sort log messages from detailed to critical?</t>
        </is>
      </c>
      <c r="H8" s="18" t="inlineStr">
        <is>
          <t>Core concept</t>
        </is>
      </c>
      <c r="I8" s="18" t="inlineStr">
        <is>
          <t>Very high</t>
        </is>
      </c>
      <c r="J8" s="18" t="n">
        <v>5</v>
      </c>
      <c r="K8" s="18" t="inlineStr">
        <is>
          <t>Not every message is equally important, so levels let you keep detail when debugging and quiet when running.</t>
        </is>
      </c>
      <c r="L8" s="18" t="inlineStr">
        <is>
          <t>Run production at info, and turn debug on only for short investigations.</t>
        </is>
      </c>
      <c r="M8" s="18" t="inlineStr">
        <is>
          <t>Log levels are volume knobs from whisper to alarm.</t>
        </is>
      </c>
      <c r="N8" s="18" t="inlineStr">
        <is>
          <t>A ladder from debug at the bottom to critical at the top.</t>
        </is>
      </c>
      <c r="O8" s="18" t="inlineStr">
        <is>
          <t>The ease of choosing how loud the system is.</t>
        </is>
      </c>
      <c r="P8" s="18" t="inlineStr">
        <is>
          <t>Log levels are severity labels, typically debug, info, warning, error and critical, used to filter which messages are recorded or shown.</t>
        </is>
      </c>
      <c r="Q8" s="17" t="n"/>
      <c r="R8" s="18" t="inlineStr">
        <is>
          <t>Debug is for developers and is very verbose. Info records normal milestones. Warning flags something odd that is not yet a failure. Error means an operation failed. Critical means the service may not continue. Setting a minimum level controls volume and cost. Errors should include context and a next step.</t>
        </is>
      </c>
      <c r="S8" s="18" t="inlineStr">
        <is>
          <t>Use levels consistently, run at info, and raise detail only when needed.</t>
        </is>
      </c>
      <c r="T8" s="18" t="inlineStr">
        <is>
          <t>Log levels are volume knobs from whisper to alarm.</t>
        </is>
      </c>
      <c r="U8" s="18" t="inlineStr">
        <is>
          <t>debug &lt; info &lt; warning &lt; error &lt; critical.</t>
        </is>
      </c>
      <c r="V8" s="18" t="inlineStr">
        <is>
          <t>Info: order 1042 created.</t>
        </is>
      </c>
      <c r="W8" s="18" t="inlineStr">
        <is>
          <t>Warning: retrying payment call, attempt two.</t>
        </is>
      </c>
      <c r="X8" s="18" t="inlineStr">
        <is>
          <t>Error: payment failed for order 1042 with timeout.</t>
        </is>
      </c>
      <c r="Y8" s="18" t="inlineStr">
        <is>
          <t>structured logs, sampling, log volume, alerts</t>
        </is>
      </c>
      <c r="Z8" s="18" t="inlineStr">
        <is>
          <t>debug, info, warning, error, critical</t>
        </is>
      </c>
      <c r="AA8" s="18" t="inlineStr">
        <is>
          <t>Every application | Production tuning | Debugging</t>
        </is>
      </c>
      <c r="AB8" s="18" t="inlineStr">
        <is>
          <t>A: The logs are huge. | B: Production is at debug, so raise it to info.</t>
        </is>
      </c>
      <c r="AC8" s="18" t="inlineStr">
        <is>
          <t>✗ Logging everything at debug is the safest choice → ✓ It floods storage and hides important lines</t>
        </is>
      </c>
      <c r="AD8" s="18" t="inlineStr">
        <is>
          <t>Warning vs error: a warning is odd but working, an error is a failed operation.</t>
        </is>
      </c>
      <c r="AE8" s="18" t="inlineStr">
        <is>
          <t>Do not log expected conditions as errors.</t>
        </is>
      </c>
      <c r="AF8" s="18" t="inlineStr">
        <is>
          <t>Info for normal, error for failed.</t>
        </is>
      </c>
      <c r="AG8" s="18" t="inlineStr">
        <is>
          <t>Moving noisy messages to debug cut log costs sharply.</t>
        </is>
      </c>
      <c r="AH8" s="18" t="inlineStr">
        <is>
          <t>An interviewer may ask: What log level would you use for a retry?</t>
        </is>
      </c>
      <c r="AI8" s="18" t="inlineStr">
        <is>
          <t>It is like a volume knob.</t>
        </is>
      </c>
      <c r="AJ8" s="18" t="inlineStr">
        <is>
          <t>Which level suits a failed operation?</t>
        </is>
      </c>
      <c r="AK8" s="18" t="inlineStr">
        <is>
          <t>A) Info B) Error C) Trace D) Debug</t>
        </is>
      </c>
      <c r="AL8" s="18" t="inlineStr">
        <is>
          <t>B</t>
        </is>
      </c>
      <c r="AM8" s="18" t="inlineStr">
        <is>
          <t>Error marks failures.</t>
        </is>
      </c>
      <c r="AN8" s="18" t="inlineStr">
        <is>
          <t>In Python logging, the level below info that is used for detailed diagnostics is ____ → debug</t>
        </is>
      </c>
      <c r="AO8" s="18" t="inlineStr">
        <is>
          <t>Production logs are too noisy. What do you adjust? → The minimum level</t>
        </is>
      </c>
      <c r="AP8" s="18" t="inlineStr">
        <is>
          <t>Explain log levels in three lines.</t>
        </is>
      </c>
      <c r="AQ8" s="18" t="inlineStr">
        <is>
          <t>Pick a level for five different events.</t>
        </is>
      </c>
      <c r="AR8" s="17">
        <f>IF(J8="","",REPT("★",J8)&amp;REPT("☆",5-J8)&amp;" ("&amp;J8&amp;"/5)")</f>
        <v/>
      </c>
      <c r="AS8" s="17">
        <f>IF(Q8="","","Meaning: "&amp;Q8&amp;"  =  ______   (Answer: "&amp;F8&amp;")")</f>
        <v/>
      </c>
      <c r="AT8" s="17" t="inlineStr">
        <is>
          <t>New</t>
        </is>
      </c>
      <c r="AU8" s="17" t="n"/>
      <c r="AV8" s="17" t="n"/>
      <c r="AW8" s="17" t="n"/>
      <c r="AX8" s="17" t="n"/>
      <c r="AY8" s="17" t="n"/>
      <c r="AZ8" s="17" t="n"/>
      <c r="BA8" s="17" t="n"/>
      <c r="BB8" s="17" t="n"/>
    </row>
    <row r="9" ht="94.5" customHeight="1">
      <c r="A9" s="17" t="inlineStr">
        <is>
          <t>OBS-008</t>
        </is>
      </c>
      <c r="B9" s="17" t="inlineStr">
        <is>
          <t>02 Logging</t>
        </is>
      </c>
      <c r="C9" s="17" t="inlineStr">
        <is>
          <t>Intermediate</t>
        </is>
      </c>
      <c r="D9" s="17" t="n">
        <v>8</v>
      </c>
      <c r="E9" s="17" t="inlineStr">
        <is>
          <t>Claude knowledge</t>
        </is>
      </c>
      <c r="F9" s="18" t="inlineStr">
        <is>
          <t>Correlation ids</t>
        </is>
      </c>
      <c r="G9" s="18" t="inlineStr">
        <is>
          <t>Which identifiers tie together all log lines from one request across services?</t>
        </is>
      </c>
      <c r="H9" s="18" t="inlineStr">
        <is>
          <t>Core concept</t>
        </is>
      </c>
      <c r="I9" s="18" t="inlineStr">
        <is>
          <t>High</t>
        </is>
      </c>
      <c r="J9" s="18" t="n">
        <v>5</v>
      </c>
      <c r="K9" s="18" t="inlineStr">
        <is>
          <t>A single request touches many services, so a shared id is passed along and logged to join the pieces.</t>
        </is>
      </c>
      <c r="L9" s="18" t="inlineStr">
        <is>
          <t>Generate the id at the edge and pass it in a header to every downstream call.</t>
        </is>
      </c>
      <c r="M9" s="18" t="inlineStr">
        <is>
          <t>A correlation id is a luggage tag that follows one bag through every airport.</t>
        </is>
      </c>
      <c r="N9" s="18" t="inlineStr">
        <is>
          <t>One id appearing in logs of three different services.</t>
        </is>
      </c>
      <c r="O9" s="18" t="inlineStr">
        <is>
          <t>The relief of following one request end to end.</t>
        </is>
      </c>
      <c r="P9" s="18" t="inlineStr">
        <is>
          <t>A correlation or request id is a unique value created when a request enters the system and included in every log line and downstream call about that request.</t>
        </is>
      </c>
      <c r="Q9" s="17" t="n"/>
      <c r="R9" s="18" t="inlineStr">
        <is>
          <t>Use an incoming id when present and create one otherwise, then add it to a context so logging includes it automatically. Pass it in an HTTP header such as X-Request-ID. Show it in error responses so users can quote it to support. Distributed tracing generalises this with trace ids.</t>
        </is>
      </c>
      <c r="S9" s="18" t="inlineStr">
        <is>
          <t>Create an id at the edge, pass it everywhere, and log it in every line.</t>
        </is>
      </c>
      <c r="T9" s="18" t="inlineStr">
        <is>
          <t>A correlation id is a luggage tag that follows one bag through every airport.</t>
        </is>
      </c>
      <c r="U9" s="18" t="inlineStr">
        <is>
          <t>One request, one id, in every log and call.</t>
        </is>
      </c>
      <c r="V9" s="18" t="inlineStr">
        <is>
          <t>Header X-Request-ID set by the gateway.</t>
        </is>
      </c>
      <c r="W9" s="18" t="inlineStr">
        <is>
          <t>A support ticket quoting the id shown in an error page.</t>
        </is>
      </c>
      <c r="X9" s="18" t="inlineStr">
        <is>
          <t>A search for the id returning lines from three services.</t>
        </is>
      </c>
      <c r="Y9" s="18" t="inlineStr">
        <is>
          <t>structured logs, spans and traces, propagation, central logging</t>
        </is>
      </c>
      <c r="Z9" s="18" t="inlineStr">
        <is>
          <t>request id, trace id, header, context, edge</t>
        </is>
      </c>
      <c r="AA9" s="18" t="inlineStr">
        <is>
          <t>Microservices | Support | Debugging</t>
        </is>
      </c>
      <c r="AB9" s="18" t="inlineStr">
        <is>
          <t>A: Which log lines belong to this failed order? | B: Search by its request id.</t>
        </is>
      </c>
      <c r="AC9" s="18" t="inlineStr">
        <is>
          <t>✗ Timestamps are enough to match lines from different services → ✓ Clocks and concurrency make matching by time unreliable</t>
        </is>
      </c>
      <c r="AD9" s="18" t="inlineStr">
        <is>
          <t>Correlation id vs trace id: the first is a simple tag, the second is part of full tracing.</t>
        </is>
      </c>
      <c r="AE9" s="18" t="inlineStr">
        <is>
          <t>Do not forget to forward the id on every downstream call.</t>
        </is>
      </c>
      <c r="AF9" s="18" t="inlineStr">
        <is>
          <t>Create once, forward always, log everywhere.</t>
        </is>
      </c>
      <c r="AG9" s="18" t="inlineStr">
        <is>
          <t>Adding request ids to every service made incident investigations much faster.</t>
        </is>
      </c>
      <c r="AH9" s="18" t="inlineStr">
        <is>
          <t>An interviewer may ask: How do you follow one request across services?</t>
        </is>
      </c>
      <c r="AI9" s="18" t="inlineStr">
        <is>
          <t>It is like a luggage tag.</t>
        </is>
      </c>
      <c r="AJ9" s="18" t="inlineStr">
        <is>
          <t>Where should a correlation id be created?</t>
        </is>
      </c>
      <c r="AK9" s="18" t="inlineStr">
        <is>
          <t>A) At the edge when the request arrives B) In the logs after the fact C) By the user D) At the database</t>
        </is>
      </c>
      <c r="AL9" s="18" t="inlineStr">
        <is>
          <t>A</t>
        </is>
      </c>
      <c r="AM9" s="18" t="inlineStr">
        <is>
          <t>Creating it early lets every later step share it.</t>
        </is>
      </c>
      <c r="AN9" s="18" t="inlineStr">
        <is>
          <t>The id is usually passed in an HTTP ____ → header</t>
        </is>
      </c>
      <c r="AO9" s="18" t="inlineStr">
        <is>
          <t>A user reports an error. What helps support find the logs? → The request id shown on the error page</t>
        </is>
      </c>
      <c r="AP9" s="18" t="inlineStr">
        <is>
          <t>Explain correlation ids in three lines.</t>
        </is>
      </c>
      <c r="AQ9" s="18" t="inlineStr">
        <is>
          <t>Describe how the id travels through three services.</t>
        </is>
      </c>
      <c r="AR9" s="17">
        <f>IF(J9="","",REPT("★",J9)&amp;REPT("☆",5-J9)&amp;" ("&amp;J9&amp;"/5)")</f>
        <v/>
      </c>
      <c r="AS9" s="17">
        <f>IF(Q9="","","Meaning: "&amp;Q9&amp;"  =  ______   (Answer: "&amp;F9&amp;")")</f>
        <v/>
      </c>
      <c r="AT9" s="17" t="inlineStr">
        <is>
          <t>New</t>
        </is>
      </c>
      <c r="AU9" s="17" t="n"/>
      <c r="AV9" s="17" t="n"/>
      <c r="AW9" s="17" t="n"/>
      <c r="AX9" s="17" t="n"/>
      <c r="AY9" s="17" t="n"/>
      <c r="AZ9" s="17" t="n"/>
      <c r="BA9" s="17" t="n"/>
      <c r="BB9" s="17" t="n"/>
    </row>
    <row r="10" ht="108" customHeight="1">
      <c r="A10" s="17" t="inlineStr">
        <is>
          <t>OBS-009</t>
        </is>
      </c>
      <c r="B10" s="17" t="inlineStr">
        <is>
          <t>02 Logging</t>
        </is>
      </c>
      <c r="C10" s="17" t="inlineStr">
        <is>
          <t>Intermediate</t>
        </is>
      </c>
      <c r="D10" s="17" t="n">
        <v>9</v>
      </c>
      <c r="E10" s="17" t="inlineStr">
        <is>
          <t>Claude knowledge</t>
        </is>
      </c>
      <c r="F10" s="18" t="inlineStr">
        <is>
          <t>Central logging</t>
        </is>
      </c>
      <c r="G10" s="18" t="inlineStr">
        <is>
          <t>How do you collect logs from many machines into one searchable place?</t>
        </is>
      </c>
      <c r="H10" s="18" t="inlineStr">
        <is>
          <t>Core concept</t>
        </is>
      </c>
      <c r="I10" s="18" t="inlineStr">
        <is>
          <t>Very high</t>
        </is>
      </c>
      <c r="J10" s="18" t="n">
        <v>5</v>
      </c>
      <c r="K10" s="18" t="inlineStr">
        <is>
          <t>Logs on individual servers vanish with the server and are hard to search, so they are shipped to a central store.</t>
        </is>
      </c>
      <c r="L10" s="18" t="inlineStr">
        <is>
          <t>Write logs to standard output and let an agent ship them.</t>
        </is>
      </c>
      <c r="M10" s="18" t="inlineStr">
        <is>
          <t>Central logging is one library where every machine files its diary.</t>
        </is>
      </c>
      <c r="N10" s="18" t="inlineStr">
        <is>
          <t>Many sources sending lines to one search page.</t>
        </is>
      </c>
      <c r="O10" s="18" t="inlineStr">
        <is>
          <t>The comfort of searching everything at once.</t>
        </is>
      </c>
      <c r="P10" s="18" t="inlineStr">
        <is>
          <t>Central logging uses agents or the platform to ship logs from all services to a shared system such as Loki, Elasticsearch or a cloud log service, where they are indexed and searched.</t>
        </is>
      </c>
      <c r="Q10" s="17" t="n"/>
      <c r="R10" s="18" t="inlineStr">
        <is>
          <t>Containers write to standard output, and a collector such as Fluent Bit or the cloud agent forwards the lines with labels like service, host and environment. Central stores keep logs after servers disappear and support queries, dashboards and alerts. Plan retention, access control and cost. Buffering avoids losing logs during outages.</t>
        </is>
      </c>
      <c r="S10" s="18" t="inlineStr">
        <is>
          <t>Send every log to one place with labels, and search there.</t>
        </is>
      </c>
      <c r="T10" s="18" t="inlineStr">
        <is>
          <t>Central logging is one library where every machine files its diary.</t>
        </is>
      </c>
      <c r="U10" s="18" t="inlineStr">
        <is>
          <t>App → stdout → agent → central store → search.</t>
        </is>
      </c>
      <c r="V10" s="18" t="inlineStr">
        <is>
          <t>Fluent Bit shipping container logs.</t>
        </is>
      </c>
      <c r="W10" s="18" t="inlineStr">
        <is>
          <t>A query for errors in the checkout service.</t>
        </is>
      </c>
      <c r="X10" s="18" t="inlineStr">
        <is>
          <t>An alert on a log pattern.</t>
        </is>
      </c>
      <c r="Y10" s="18" t="inlineStr">
        <is>
          <t>retention, searching logs, log pipelines, cost of telemetry</t>
        </is>
      </c>
      <c r="Z10" s="18" t="inlineStr">
        <is>
          <t>agent, collector, index, label, store</t>
        </is>
      </c>
      <c r="AA10" s="18" t="inlineStr">
        <is>
          <t>Platforms | Kubernetes | Incident response</t>
        </is>
      </c>
      <c r="AB10" s="18" t="inlineStr">
        <is>
          <t>A: The pod was replaced and its logs are gone. | B: Ship logs centrally so they outlive pods.</t>
        </is>
      </c>
      <c r="AC10" s="18" t="inlineStr">
        <is>
          <t>✗ Logs on the server are safe enough → ✓ They disappear with the machine and cannot be searched across services</t>
        </is>
      </c>
      <c r="AD10" s="18" t="inlineStr">
        <is>
          <t>Local vs central logs: local ones are lost with the host, central ones persist.</t>
        </is>
      </c>
      <c r="AE10" s="18" t="inlineStr">
        <is>
          <t>Do not keep the only copy of logs on one host.</t>
        </is>
      </c>
      <c r="AF10" s="18" t="inlineStr">
        <is>
          <t>Print to stdout, ship to the centre.</t>
        </is>
      </c>
      <c r="AG10" s="18" t="inlineStr">
        <is>
          <t>Central logs let a team investigate a crash of a pod that no longer existed.</t>
        </is>
      </c>
      <c r="AH10" s="18" t="inlineStr">
        <is>
          <t>An interviewer may ask: How do you collect logs from containers?</t>
        </is>
      </c>
      <c r="AI10" s="18" t="inlineStr">
        <is>
          <t>It is like one library for many diaries.</t>
        </is>
      </c>
      <c r="AJ10" s="18" t="inlineStr">
        <is>
          <t>Where should containers write logs?</t>
        </is>
      </c>
      <c r="AK10" s="18" t="inlineStr">
        <is>
          <t>A) A local file only B) Email C) The database D) Standard output</t>
        </is>
      </c>
      <c r="AL10" s="18" t="inlineStr">
        <is>
          <t>D</t>
        </is>
      </c>
      <c r="AM10" s="18" t="inlineStr">
        <is>
          <t>Platforms collect standard output easily.</t>
        </is>
      </c>
      <c r="AN10" s="18" t="inlineStr">
        <is>
          <t>A program that forwards logs is a log ____ → agent</t>
        </is>
      </c>
      <c r="AO10" s="18" t="inlineStr">
        <is>
          <t>Pods are replaced and logs vanish. What do you add? → Central log shipping</t>
        </is>
      </c>
      <c r="AP10" s="18" t="inlineStr">
        <is>
          <t>Explain central logging in three lines.</t>
        </is>
      </c>
      <c r="AQ10" s="18" t="inlineStr">
        <is>
          <t>List the labels each log line should carry.</t>
        </is>
      </c>
      <c r="AR10" s="17">
        <f>IF(J10="","",REPT("★",J10)&amp;REPT("☆",5-J10)&amp;" ("&amp;J10&amp;"/5)")</f>
        <v/>
      </c>
      <c r="AS10" s="17">
        <f>IF(Q10="","","Meaning: "&amp;Q10&amp;"  =  ______   (Answer: "&amp;F10&amp;")")</f>
        <v/>
      </c>
      <c r="AT10" s="17" t="inlineStr">
        <is>
          <t>New</t>
        </is>
      </c>
      <c r="AU10" s="17" t="n"/>
      <c r="AV10" s="17" t="n"/>
      <c r="AW10" s="17" t="n"/>
      <c r="AX10" s="17" t="n"/>
      <c r="AY10" s="17" t="n"/>
      <c r="AZ10" s="17" t="n"/>
      <c r="BA10" s="17" t="n"/>
      <c r="BB10" s="17" t="n"/>
    </row>
    <row r="11" ht="94.5" customHeight="1">
      <c r="A11" s="17" t="inlineStr">
        <is>
          <t>OBS-010</t>
        </is>
      </c>
      <c r="B11" s="17" t="inlineStr">
        <is>
          <t>02 Logging</t>
        </is>
      </c>
      <c r="C11" s="17" t="inlineStr">
        <is>
          <t>Intermediate</t>
        </is>
      </c>
      <c r="D11" s="17" t="n">
        <v>10</v>
      </c>
      <c r="E11" s="17" t="inlineStr">
        <is>
          <t>Claude knowledge</t>
        </is>
      </c>
      <c r="F11" s="18" t="inlineStr">
        <is>
          <t>Retention</t>
        </is>
      </c>
      <c r="G11" s="18" t="inlineStr">
        <is>
          <t>How long should you keep logs and why does it matter?</t>
        </is>
      </c>
      <c r="H11" s="18" t="inlineStr">
        <is>
          <t>Core concept</t>
        </is>
      </c>
      <c r="I11" s="18" t="inlineStr">
        <is>
          <t>High</t>
        </is>
      </c>
      <c r="J11" s="18" t="n">
        <v>4</v>
      </c>
      <c r="K11" s="18" t="inlineStr">
        <is>
          <t>Logs cost storage and may hold personal data, so keeping them forever is wasteful and risky.</t>
        </is>
      </c>
      <c r="L11" s="18" t="inlineStr">
        <is>
          <t>Keep recent logs searchable and archive older ones cheaply for audits.</t>
        </is>
      </c>
      <c r="M11" s="18" t="inlineStr">
        <is>
          <t>Retention is a shelf life label on each batch of logs.</t>
        </is>
      </c>
      <c r="N11" s="18" t="inlineStr">
        <is>
          <t>Logs aging from hot storage to cold archive and then deletion.</t>
        </is>
      </c>
      <c r="O11" s="18" t="inlineStr">
        <is>
          <t>The tidiness of logs with a clear lifetime.</t>
        </is>
      </c>
      <c r="P11" s="18" t="inlineStr">
        <is>
          <t>Retention is the period for which logs are kept before they are archived or deleted, set by operational need, cost and legal rules.</t>
        </is>
      </c>
      <c r="Q11" s="17" t="n"/>
      <c r="R11" s="18" t="inlineStr">
        <is>
          <t>Recent logs are needed for debugging, perhaps seven to thirty days. Audit and security logs may need months or years. Tiered storage moves old logs to cheap archives. Personal data in logs must follow privacy rules and deletion requests. Retention should be written down per log type.</t>
        </is>
      </c>
      <c r="S11" s="18" t="inlineStr">
        <is>
          <t>Choose how long each log type is kept, archive old ones cheaply, and delete on schedule.</t>
        </is>
      </c>
      <c r="T11" s="18" t="inlineStr">
        <is>
          <t>Retention is a shelf life label on each batch of logs.</t>
        </is>
      </c>
      <c r="U11" s="18" t="inlineStr">
        <is>
          <t>Need + law + cost = retention period.</t>
        </is>
      </c>
      <c r="V11" s="18" t="inlineStr">
        <is>
          <t>Application logs kept for fourteen days.</t>
        </is>
      </c>
      <c r="W11" s="18" t="inlineStr">
        <is>
          <t>Audit logs kept for one year in archive.</t>
        </is>
      </c>
      <c r="X11" s="18" t="inlineStr">
        <is>
          <t>A lifecycle rule deleting old log files.</t>
        </is>
      </c>
      <c r="Y11" s="18" t="inlineStr">
        <is>
          <t>central logging, sensitive data in logs, cost of telemetry, compliance</t>
        </is>
      </c>
      <c r="Z11" s="18" t="inlineStr">
        <is>
          <t>retention, archive, tier, lifecycle, deletion</t>
        </is>
      </c>
      <c r="AA11" s="18" t="inlineStr">
        <is>
          <t>Compliance | Cost control | Security</t>
        </is>
      </c>
      <c r="AB11" s="18" t="inlineStr">
        <is>
          <t>A: How far back can we search? | B: Fourteen days hot, then archived for a year.</t>
        </is>
      </c>
      <c r="AC11" s="18" t="inlineStr">
        <is>
          <t>✗ Keeping logs forever is safest → ✓ It costs money and keeps personal data longer than needed</t>
        </is>
      </c>
      <c r="AD11" s="18" t="inlineStr">
        <is>
          <t>Hot vs archive: hot is quick to search, archive is cheap and slow.</t>
        </is>
      </c>
      <c r="AE11" s="18" t="inlineStr">
        <is>
          <t>Do not keep sensitive logs longer than allowed.</t>
        </is>
      </c>
      <c r="AF11" s="18" t="inlineStr">
        <is>
          <t>Every log type needs a shelf life.</t>
        </is>
      </c>
      <c r="AG11" s="18" t="inlineStr">
        <is>
          <t>Tiering old logs to archive cut the monthly logging bill.</t>
        </is>
      </c>
      <c r="AH11" s="18" t="inlineStr">
        <is>
          <t>An interviewer may ask: How do you decide log retention?</t>
        </is>
      </c>
      <c r="AI11" s="18" t="inlineStr">
        <is>
          <t>It is like a shelf life label.</t>
        </is>
      </c>
      <c r="AJ11" s="18" t="inlineStr">
        <is>
          <t>What drives retention choices?</t>
        </is>
      </c>
      <c r="AK11" s="18" t="inlineStr">
        <is>
          <t>A) Random choice B) Need, law and cost C) Colour D) Server name</t>
        </is>
      </c>
      <c r="AL11" s="18" t="inlineStr">
        <is>
          <t>B</t>
        </is>
      </c>
      <c r="AM11" s="18" t="inlineStr">
        <is>
          <t>All three limit how long logs are kept.</t>
        </is>
      </c>
      <c r="AN11" s="18" t="inlineStr">
        <is>
          <t>Cheap slow storage for old logs is an ____ → archive</t>
        </is>
      </c>
      <c r="AO11" s="18" t="inlineStr">
        <is>
          <t>Audit rules require one year of records. What do you set up? → Archive retention for one year</t>
        </is>
      </c>
      <c r="AP11" s="18" t="inlineStr">
        <is>
          <t>Explain log retention in three lines.</t>
        </is>
      </c>
      <c r="AQ11" s="18" t="inlineStr">
        <is>
          <t>Set retention for application, audit and debug logs.</t>
        </is>
      </c>
      <c r="AR11" s="17">
        <f>IF(J11="","",REPT("★",J11)&amp;REPT("☆",5-J11)&amp;" ("&amp;J11&amp;"/5)")</f>
        <v/>
      </c>
      <c r="AS11" s="17">
        <f>IF(Q11="","","Meaning: "&amp;Q11&amp;"  =  ______   (Answer: "&amp;F11&amp;")")</f>
        <v/>
      </c>
      <c r="AT11" s="17" t="inlineStr">
        <is>
          <t>New</t>
        </is>
      </c>
      <c r="AU11" s="17" t="n"/>
      <c r="AV11" s="17" t="n"/>
      <c r="AW11" s="17" t="n"/>
      <c r="AX11" s="17" t="n"/>
      <c r="AY11" s="17" t="n"/>
      <c r="AZ11" s="17" t="n"/>
      <c r="BA11" s="17" t="n"/>
      <c r="BB11" s="17" t="n"/>
    </row>
    <row r="12" ht="108" customHeight="1">
      <c r="A12" s="17" t="inlineStr">
        <is>
          <t>OBS-011</t>
        </is>
      </c>
      <c r="B12" s="17" t="inlineStr">
        <is>
          <t>02 Logging</t>
        </is>
      </c>
      <c r="C12" s="17" t="inlineStr">
        <is>
          <t>Intermediate</t>
        </is>
      </c>
      <c r="D12" s="17" t="n">
        <v>11</v>
      </c>
      <c r="E12" s="17" t="inlineStr">
        <is>
          <t>Claude knowledge</t>
        </is>
      </c>
      <c r="F12" s="18" t="inlineStr">
        <is>
          <t>Sensitive data in logs</t>
        </is>
      </c>
      <c r="G12" s="18" t="inlineStr">
        <is>
          <t>Which information must never be written to logs?</t>
        </is>
      </c>
      <c r="H12" s="18" t="inlineStr">
        <is>
          <t>Core concept</t>
        </is>
      </c>
      <c r="I12" s="18" t="inlineStr">
        <is>
          <t>Very high</t>
        </is>
      </c>
      <c r="J12" s="18" t="n">
        <v>5</v>
      </c>
      <c r="K12" s="18" t="inlineStr">
        <is>
          <t>Logs are widely accessible and kept long, so secrets and personal data in them become a common source of leaks.</t>
        </is>
      </c>
      <c r="L12" s="18" t="inlineStr">
        <is>
          <t>Redact at the source and review log output for secrets in code review.</t>
        </is>
      </c>
      <c r="M12" s="18" t="inlineStr">
        <is>
          <t>Logs are a diary many people can read, so never write passwords in it.</t>
        </is>
      </c>
      <c r="N12" s="18" t="inlineStr">
        <is>
          <t>A log line with a masked token.</t>
        </is>
      </c>
      <c r="O12" s="18" t="inlineStr">
        <is>
          <t>The responsibility of keeping private data private.</t>
        </is>
      </c>
      <c r="P12" s="18" t="inlineStr">
        <is>
          <t>Sensitive data in logs includes passwords, tokens, keys, payment details and personal information, which should be excluded, masked or hashed before logging.</t>
        </is>
      </c>
      <c r="Q12" s="17" t="n"/>
      <c r="R12" s="18" t="inlineStr">
        <is>
          <t>Common leaks are request bodies, headers with authorisation tokens, connection strings and error dumps. Use allow-lists of fields to log rather than dumping objects. Mask values, keeping only a few characters if needed. Scrub in the log pipeline as a second layer. Access to logs should be controlled, and leaks treated as incidents.</t>
        </is>
      </c>
      <c r="S12" s="18" t="inlineStr">
        <is>
          <t>Log only chosen safe fields, and mask or exclude anything private.</t>
        </is>
      </c>
      <c r="T12" s="18" t="inlineStr">
        <is>
          <t>Logs are a diary many people can read, so never write passwords in it.</t>
        </is>
      </c>
      <c r="U12" s="18" t="inlineStr">
        <is>
          <t>Allow-list the fields, mask the rest.</t>
        </is>
      </c>
      <c r="V12" s="18" t="inlineStr">
        <is>
          <t>Masking a token as abcd****.</t>
        </is>
      </c>
      <c r="W12" s="18" t="inlineStr">
        <is>
          <t>Not logging the Authorization header.</t>
        </is>
      </c>
      <c r="X12" s="18" t="inlineStr">
        <is>
          <t>A pipeline rule removing card numbers.</t>
        </is>
      </c>
      <c r="Y12" s="18" t="inlineStr">
        <is>
          <t>structured logs, retention, PII and masking, security</t>
        </is>
      </c>
      <c r="Z12" s="18" t="inlineStr">
        <is>
          <t>redact, mask, secret, PII, scrub</t>
        </is>
      </c>
      <c r="AA12" s="18" t="inlineStr">
        <is>
          <t>Every service | Compliance | Reviews</t>
        </is>
      </c>
      <c r="AB12" s="18" t="inlineStr">
        <is>
          <t>A: The log shows a customer's token. | B: Revoke it, then add masking at the source.</t>
        </is>
      </c>
      <c r="AC12" s="18" t="inlineStr">
        <is>
          <t>✗ Logs are internal, so secrets in them are fine → ✓ Many people and tools can read logs, so leaks spread</t>
        </is>
      </c>
      <c r="AD12" s="18" t="inlineStr">
        <is>
          <t>Masking vs removing: masking keeps a trace, removing drops the value.</t>
        </is>
      </c>
      <c r="AE12" s="18" t="inlineStr">
        <is>
          <t>Do not log whole request objects.</t>
        </is>
      </c>
      <c r="AF12" s="18" t="inlineStr">
        <is>
          <t>Never log what you would not shout.</t>
        </is>
      </c>
      <c r="AG12" s="18" t="inlineStr">
        <is>
          <t>Finding tokens in logs led to a masking rule and revoked credentials.</t>
        </is>
      </c>
      <c r="AH12" s="18" t="inlineStr">
        <is>
          <t>An interviewer may ask: What should not be logged?</t>
        </is>
      </c>
      <c r="AI12" s="18" t="inlineStr">
        <is>
          <t>It is like not writing passwords in a shared diary.</t>
        </is>
      </c>
      <c r="AJ12" s="18" t="inlineStr">
        <is>
          <t>Which should not be logged?</t>
        </is>
      </c>
      <c r="AK12" s="18" t="inlineStr">
        <is>
          <t>A) Passwords and tokens B) Log levels C) Order ids D) Durations</t>
        </is>
      </c>
      <c r="AL12" s="18" t="inlineStr">
        <is>
          <t>A</t>
        </is>
      </c>
      <c r="AM12" s="18" t="inlineStr">
        <is>
          <t>Secrets leak through logs.</t>
        </is>
      </c>
      <c r="AN12" s="18" t="inlineStr">
        <is>
          <t>Hiding part of a value is called ____ → masking</t>
        </is>
      </c>
      <c r="AO12" s="18" t="inlineStr">
        <is>
          <t>A log contains a live token. What is your first action? → Revoke the token</t>
        </is>
      </c>
      <c r="AP12" s="18" t="inlineStr">
        <is>
          <t>Explain what to keep out of logs in three lines.</t>
        </is>
      </c>
      <c r="AQ12" s="18" t="inlineStr">
        <is>
          <t>List five common fields that need masking before logging.</t>
        </is>
      </c>
      <c r="AR12" s="17">
        <f>IF(J12="","",REPT("★",J12)&amp;REPT("☆",5-J12)&amp;" ("&amp;J12&amp;"/5)")</f>
        <v/>
      </c>
      <c r="AS12" s="17">
        <f>IF(Q12="","","Meaning: "&amp;Q12&amp;"  =  ______   (Answer: "&amp;F12&amp;")")</f>
        <v/>
      </c>
      <c r="AT12" s="17" t="inlineStr">
        <is>
          <t>New</t>
        </is>
      </c>
      <c r="AU12" s="17" t="n"/>
      <c r="AV12" s="17" t="n"/>
      <c r="AW12" s="17" t="n"/>
      <c r="AX12" s="17" t="n"/>
      <c r="AY12" s="17" t="n"/>
      <c r="AZ12" s="17" t="n"/>
      <c r="BA12" s="17" t="n"/>
      <c r="BB12" s="17" t="n"/>
    </row>
    <row r="13" ht="94.5" customHeight="1">
      <c r="A13" s="17" t="inlineStr">
        <is>
          <t>OBS-012</t>
        </is>
      </c>
      <c r="B13" s="17" t="inlineStr">
        <is>
          <t>02 Logging</t>
        </is>
      </c>
      <c r="C13" s="17" t="inlineStr">
        <is>
          <t>Advanced</t>
        </is>
      </c>
      <c r="D13" s="17" t="n">
        <v>12</v>
      </c>
      <c r="E13" s="17" t="inlineStr">
        <is>
          <t>Claude knowledge</t>
        </is>
      </c>
      <c r="F13" s="18" t="inlineStr">
        <is>
          <t>Log sampling</t>
        </is>
      </c>
      <c r="G13" s="18" t="inlineStr">
        <is>
          <t>How can you keep useful logs while cutting volume of repetitive ones?</t>
        </is>
      </c>
      <c r="H13" s="18" t="inlineStr">
        <is>
          <t>Core concept</t>
        </is>
      </c>
      <c r="I13" s="18" t="inlineStr">
        <is>
          <t>Medium</t>
        </is>
      </c>
      <c r="J13" s="18" t="n">
        <v>3</v>
      </c>
      <c r="K13" s="18" t="inlineStr">
        <is>
          <t>High-traffic services produce huge volumes of similar lines, so sampling keeps a share of them to control cost.</t>
        </is>
      </c>
      <c r="L13" s="18" t="inlineStr">
        <is>
          <t>Always keep errors and slow requests, and sample the routine successes.</t>
        </is>
      </c>
      <c r="M13" s="18" t="inlineStr">
        <is>
          <t>Sampling is reading every tenth letter of a repetitive newsletter but all urgent ones.</t>
        </is>
      </c>
      <c r="N13" s="18" t="inlineStr">
        <is>
          <t>A funnel passing all errors and a fraction of normal lines.</t>
        </is>
      </c>
      <c r="O13" s="18" t="inlineStr">
        <is>
          <t>The relief of a lower bill without losing key evidence.</t>
        </is>
      </c>
      <c r="P13" s="18" t="inlineStr">
        <is>
          <t>Log sampling records only a fraction of routine events, while keeping all important ones such as errors, so volume and cost drop but problems stay visible.</t>
        </is>
      </c>
      <c r="Q13" s="17" t="n"/>
      <c r="R13" s="18" t="inlineStr">
        <is>
          <t>Head sampling decides at the start, while tail sampling decides after seeing the result, so errors are kept. Rate limiting stops one noisy message flooding. Sampling hurts exact counts, so use metrics for counts. Record the sampling rate in the event if you must estimate totals.</t>
        </is>
      </c>
      <c r="S13" s="18" t="inlineStr">
        <is>
          <t>Keep all errors and a fraction of the routine lines.</t>
        </is>
      </c>
      <c r="T13" s="18" t="inlineStr">
        <is>
          <t>Sampling is reading every tenth letter of a repetitive newsletter but all the urgent ones.</t>
        </is>
      </c>
      <c r="U13" s="18" t="inlineStr">
        <is>
          <t>Keep important always, sample routine.</t>
        </is>
      </c>
      <c r="V13" s="18" t="inlineStr">
        <is>
          <t>Logging one in a hundred successful health checks.</t>
        </is>
      </c>
      <c r="W13" s="18" t="inlineStr">
        <is>
          <t>Keeping every error with full detail.</t>
        </is>
      </c>
      <c r="X13" s="18" t="inlineStr">
        <is>
          <t>Rate limiting a repeated warning.</t>
        </is>
      </c>
      <c r="Y13" s="18" t="inlineStr">
        <is>
          <t>log levels, cost of telemetry, log pipelines, metrics</t>
        </is>
      </c>
      <c r="Z13" s="18" t="inlineStr">
        <is>
          <t>sampling, rate limit, head, tail, volume</t>
        </is>
      </c>
      <c r="AA13" s="18" t="inlineStr">
        <is>
          <t>High-traffic systems | Cost control | Tracing</t>
        </is>
      </c>
      <c r="AB13" s="18" t="inlineStr">
        <is>
          <t>A: Health check logs are half our volume. | B: Sample them heavily and keep the errors.</t>
        </is>
      </c>
      <c r="AC13" s="18" t="inlineStr">
        <is>
          <t>✗ Sampled logs give exact counts → ✓ Use metrics for counts, since sampling loses events</t>
        </is>
      </c>
      <c r="AD13" s="18" t="inlineStr">
        <is>
          <t>Head vs tail sampling: head decides early, tail decides after the outcome.</t>
        </is>
      </c>
      <c r="AE13" s="18" t="inlineStr">
        <is>
          <t>Never sample the error events you need.</t>
        </is>
      </c>
      <c r="AF13" s="18" t="inlineStr">
        <is>
          <t>Sample the boring, keep the broken.</t>
        </is>
      </c>
      <c r="AG13" s="18" t="inlineStr">
        <is>
          <t>Sampling health check logs cut log volume noticeably for the team.</t>
        </is>
      </c>
      <c r="AH13" s="18" t="inlineStr">
        <is>
          <t>An interviewer may ask: Why not sample errors?</t>
        </is>
      </c>
      <c r="AI13" s="18" t="inlineStr">
        <is>
          <t>It is like reading every tenth letter of a newsletter.</t>
        </is>
      </c>
      <c r="AJ13" s="18" t="inlineStr">
        <is>
          <t>Which events should always be kept?</t>
        </is>
      </c>
      <c r="AK13" s="18" t="inlineStr">
        <is>
          <t>A) Duplicate info lines B) Health check successes C) Errors D) Debug noise</t>
        </is>
      </c>
      <c r="AL13" s="18" t="inlineStr">
        <is>
          <t>C</t>
        </is>
      </c>
      <c r="AM13" s="18" t="inlineStr">
        <is>
          <t>Errors carry the evidence you need.</t>
        </is>
      </c>
      <c r="AN13" s="18" t="inlineStr">
        <is>
          <t>Counting exact events should use ____ not logs → metrics</t>
        </is>
      </c>
      <c r="AO13" s="18" t="inlineStr">
        <is>
          <t>Routine success lines flood storage. What do you do? → Sample them and keep errors</t>
        </is>
      </c>
      <c r="AP13" s="18" t="inlineStr">
        <is>
          <t>Explain log sampling in three lines.</t>
        </is>
      </c>
      <c r="AQ13" s="18" t="inlineStr">
        <is>
          <t>Define a sampling rule for an API.</t>
        </is>
      </c>
      <c r="AR13" s="17">
        <f>IF(J13="","",REPT("★",J13)&amp;REPT("☆",5-J13)&amp;" ("&amp;J13&amp;"/5)")</f>
        <v/>
      </c>
      <c r="AS13" s="17">
        <f>IF(Q13="","","Meaning: "&amp;Q13&amp;"  =  ______   (Answer: "&amp;F13&amp;")")</f>
        <v/>
      </c>
      <c r="AT13" s="17" t="inlineStr">
        <is>
          <t>New</t>
        </is>
      </c>
      <c r="AU13" s="17" t="n"/>
      <c r="AV13" s="17" t="n"/>
      <c r="AW13" s="17" t="n"/>
      <c r="AX13" s="17" t="n"/>
      <c r="AY13" s="17" t="n"/>
      <c r="AZ13" s="17" t="n"/>
      <c r="BA13" s="17" t="n"/>
      <c r="BB13" s="17" t="n"/>
    </row>
    <row r="14" ht="108" customHeight="1">
      <c r="A14" s="17" t="inlineStr">
        <is>
          <t>OBS-013</t>
        </is>
      </c>
      <c r="B14" s="17" t="inlineStr">
        <is>
          <t>02 Logging</t>
        </is>
      </c>
      <c r="C14" s="17" t="inlineStr">
        <is>
          <t>Beginner</t>
        </is>
      </c>
      <c r="D14" s="17" t="n">
        <v>13</v>
      </c>
      <c r="E14" s="17" t="inlineStr">
        <is>
          <t>Claude knowledge</t>
        </is>
      </c>
      <c r="F14" s="18" t="inlineStr">
        <is>
          <t>Searching logs</t>
        </is>
      </c>
      <c r="G14" s="18" t="inlineStr">
        <is>
          <t>How do you find the relevant lines among millions?</t>
        </is>
      </c>
      <c r="H14" s="18" t="inlineStr">
        <is>
          <t>Core concept</t>
        </is>
      </c>
      <c r="I14" s="18" t="inlineStr">
        <is>
          <t>Very high</t>
        </is>
      </c>
      <c r="J14" s="18" t="n">
        <v>5</v>
      </c>
      <c r="K14" s="18" t="inlineStr">
        <is>
          <t>Finding one failure in huge logs needs a method, so teams filter by time, service and fields before reading text.</t>
        </is>
      </c>
      <c r="L14" s="18" t="inlineStr">
        <is>
          <t>Narrow by time window and service first, then by id or error text.</t>
        </is>
      </c>
      <c r="M14" s="18" t="inlineStr">
        <is>
          <t>Searching logs is like using a library catalogue before reading the shelf.</t>
        </is>
      </c>
      <c r="N14" s="18" t="inlineStr">
        <is>
          <t>A search bar with filters for time, service and level.</t>
        </is>
      </c>
      <c r="O14" s="18" t="inlineStr">
        <is>
          <t>The satisfaction of finding the one line that explains it all.</t>
        </is>
      </c>
      <c r="P14" s="18" t="inlineStr">
        <is>
          <t>Searching logs means filtering by time range, service, level and fields, then following ids and reading nearby lines to understand the sequence of events.</t>
        </is>
      </c>
      <c r="Q14" s="17" t="n"/>
      <c r="R14" s="18" t="inlineStr">
        <is>
          <t>Start from the time of the symptom, such as the alert or a deployment. Filter to the affected service and level error, then group by message to see the main failure. Follow request ids to other services. Look before and after the first error, since the cause often comes earlier. Save useful queries for reuse.</t>
        </is>
      </c>
      <c r="S14" s="18" t="inlineStr">
        <is>
          <t>Filter by time and service, find the first error, and follow the ids.</t>
        </is>
      </c>
      <c r="T14" s="18" t="inlineStr">
        <is>
          <t>Searching logs is like using a library catalogue before reading the shelf.</t>
        </is>
      </c>
      <c r="U14" s="18" t="inlineStr">
        <is>
          <t>Time + service + level + id.</t>
        </is>
      </c>
      <c r="V14" s="18" t="inlineStr">
        <is>
          <t>Errors in checkout between 10:10 and 10:20.</t>
        </is>
      </c>
      <c r="W14" s="18" t="inlineStr">
        <is>
          <t>All lines for request id r-9f2.</t>
        </is>
      </c>
      <c r="X14" s="18" t="inlineStr">
        <is>
          <t>Counting errors grouped by message.</t>
        </is>
      </c>
      <c r="Y14" s="18" t="inlineStr">
        <is>
          <t>structured logs, correlation ids, central logging, debugging</t>
        </is>
      </c>
      <c r="Z14" s="18" t="inlineStr">
        <is>
          <t>query, filter, window, grep, group</t>
        </is>
      </c>
      <c r="AA14" s="18" t="inlineStr">
        <is>
          <t>Incident response | Debugging | Support</t>
        </is>
      </c>
      <c r="AB14" s="18" t="inlineStr">
        <is>
          <t>A: Where do I start in the logs? | B: Start at the alert time and find the first error.</t>
        </is>
      </c>
      <c r="AC14" s="18" t="inlineStr">
        <is>
          <t>✗ The last error line is always the cause → ✓ The first error often points to the real cause</t>
        </is>
      </c>
      <c r="AD14" s="18" t="inlineStr">
        <is>
          <t>First error vs last error: the first usually leads to the cause, the last is often a symptom.</t>
        </is>
      </c>
      <c r="AE14" s="18" t="inlineStr">
        <is>
          <t>Do not search without a time window.</t>
        </is>
      </c>
      <c r="AF14" s="18" t="inlineStr">
        <is>
          <t>Narrow by time, find the first error.</t>
        </is>
      </c>
      <c r="AG14" s="18" t="inlineStr">
        <is>
          <t>Searching from the first error found a bad config behind a flood of later failures.</t>
        </is>
      </c>
      <c r="AH14" s="18" t="inlineStr">
        <is>
          <t>An interviewer may ask: How do you investigate an error in logs?</t>
        </is>
      </c>
      <c r="AI14" s="18" t="inlineStr">
        <is>
          <t>It is like a library catalogue before the shelf.</t>
        </is>
      </c>
      <c r="AJ14" s="18" t="inlineStr">
        <is>
          <t>What should you narrow first when searching logs?</t>
        </is>
      </c>
      <c r="AK14" s="18" t="inlineStr">
        <is>
          <t>A) The file size B) The time window C) The font D) The colour</t>
        </is>
      </c>
      <c r="AL14" s="18" t="inlineStr">
        <is>
          <t>B</t>
        </is>
      </c>
      <c r="AM14" s="18" t="inlineStr">
        <is>
          <t>A time window cuts the data most.</t>
        </is>
      </c>
      <c r="AN14" s="18" t="inlineStr">
        <is>
          <t>The first error in a sequence often shows the ____ → cause</t>
        </is>
      </c>
      <c r="AO14" s="18" t="inlineStr">
        <is>
          <t>Hundreds of errors appear. Where do you look first? → At the earliest one</t>
        </is>
      </c>
      <c r="AP14" s="18" t="inlineStr">
        <is>
          <t>Explain how to search logs in three lines.</t>
        </is>
      </c>
      <c r="AQ14" s="18" t="inlineStr">
        <is>
          <t>Write a search plan for a spike in errors at 10:15.</t>
        </is>
      </c>
      <c r="AR14" s="17">
        <f>IF(J14="","",REPT("★",J14)&amp;REPT("☆",5-J14)&amp;" ("&amp;J14&amp;"/5)")</f>
        <v/>
      </c>
      <c r="AS14" s="17">
        <f>IF(Q14="","","Meaning: "&amp;Q14&amp;"  =  ______   (Answer: "&amp;F14&amp;")")</f>
        <v/>
      </c>
      <c r="AT14" s="17" t="inlineStr">
        <is>
          <t>New</t>
        </is>
      </c>
      <c r="AU14" s="17" t="n"/>
      <c r="AV14" s="17" t="n"/>
      <c r="AW14" s="17" t="n"/>
      <c r="AX14" s="17" t="n"/>
      <c r="AY14" s="17" t="n"/>
      <c r="AZ14" s="17" t="n"/>
      <c r="BA14" s="17" t="n"/>
      <c r="BB14" s="17" t="n"/>
    </row>
    <row r="15" ht="94.5" customHeight="1">
      <c r="A15" s="17" t="inlineStr">
        <is>
          <t>OBS-014</t>
        </is>
      </c>
      <c r="B15" s="17" t="inlineStr">
        <is>
          <t>03 Metrics</t>
        </is>
      </c>
      <c r="C15" s="17" t="inlineStr">
        <is>
          <t>Beginner</t>
        </is>
      </c>
      <c r="D15" s="17" t="n">
        <v>14</v>
      </c>
      <c r="E15" s="17" t="inlineStr">
        <is>
          <t>Claude knowledge</t>
        </is>
      </c>
      <c r="F15" s="18" t="inlineStr">
        <is>
          <t>Counters, gauges and histograms</t>
        </is>
      </c>
      <c r="G15" s="18" t="inlineStr">
        <is>
          <t>Which three metric types record totals, current values and distributions?</t>
        </is>
      </c>
      <c r="H15" s="18" t="inlineStr">
        <is>
          <t>Core concept</t>
        </is>
      </c>
      <c r="I15" s="18" t="inlineStr">
        <is>
          <t>Very high</t>
        </is>
      </c>
      <c r="J15" s="18" t="n">
        <v>5</v>
      </c>
      <c r="K15" s="18" t="inlineStr">
        <is>
          <t>Different quantities behave differently, so metric systems define types that fit them.</t>
        </is>
      </c>
      <c r="L15" s="18" t="inlineStr">
        <is>
          <t>Use counters for events, gauges for levels, and histograms for durations.</t>
        </is>
      </c>
      <c r="M15" s="18" t="inlineStr">
        <is>
          <t>A counter is an odometer, a gauge is a fuel level, and a histogram is a bar chart of trip lengths.</t>
        </is>
      </c>
      <c r="N15" s="18" t="inlineStr">
        <is>
          <t>Three small graphs: a rising line, a wobbling line and a set of bars.</t>
        </is>
      </c>
      <c r="O15" s="18" t="inlineStr">
        <is>
          <t>The clarity of choosing the right metric type.</t>
        </is>
      </c>
      <c r="P15" s="18" t="inlineStr">
        <is>
          <t>A counter only increases and counts events, a gauge goes up and down to show a current value, and a histogram counts observations in buckets to show a distribution.</t>
        </is>
      </c>
      <c r="Q15" s="17" t="n"/>
      <c r="R15" s="18" t="inlineStr">
        <is>
          <t>Counters are read as rates, such as requests per second. Gauges show things like memory in use or queue length. Histograms capture latency spread, allowing percentiles. Resets of counters on restart are handled by rate functions. Choosing the wrong type gives misleading graphs.</t>
        </is>
      </c>
      <c r="S15" s="18" t="inlineStr">
        <is>
          <t>Count events with counters, show levels with gauges, and measure spread with histograms.</t>
        </is>
      </c>
      <c r="T15" s="18" t="inlineStr">
        <is>
          <t>A counter is an odometer, a gauge is a fuel level, and a histogram is a bar chart of trip lengths.</t>
        </is>
      </c>
      <c r="U15" s="18" t="inlineStr">
        <is>
          <t>Counter = total, gauge = now, histogram = spread.</t>
        </is>
      </c>
      <c r="V15" s="18" t="inlineStr">
        <is>
          <t>http_requests_total as a counter.</t>
        </is>
      </c>
      <c r="W15" s="18" t="inlineStr">
        <is>
          <t>queue_length as a gauge.</t>
        </is>
      </c>
      <c r="X15" s="18" t="inlineStr">
        <is>
          <t>request_duration_seconds as a histogram.</t>
        </is>
      </c>
      <c r="Y15" s="18" t="inlineStr">
        <is>
          <t>Prometheus basics, percentiles, RED and USE methods, cardinality</t>
        </is>
      </c>
      <c r="Z15" s="18" t="inlineStr">
        <is>
          <t>counter, gauge, histogram, bucket, rate</t>
        </is>
      </c>
      <c r="AA15" s="18" t="inlineStr">
        <is>
          <t>Instrumentation | Dashboards | Alerts</t>
        </is>
      </c>
      <c r="AB15" s="18" t="inlineStr">
        <is>
          <t>A: Should request time be a gauge? | B: No, use a histogram so we can see percentiles.</t>
        </is>
      </c>
      <c r="AC15" s="18" t="inlineStr">
        <is>
          <t>✗ A gauge is fine for counting requests → ✓ A counter survives sampling gaps and works with rates</t>
        </is>
      </c>
      <c r="AD15" s="18" t="inlineStr">
        <is>
          <t>Counter vs gauge: a counter only rises, a gauge goes both ways.</t>
        </is>
      </c>
      <c r="AE15" s="18" t="inlineStr">
        <is>
          <t>Do not use gauges for event counts.</t>
        </is>
      </c>
      <c r="AF15" s="18" t="inlineStr">
        <is>
          <t>Count with counters, level with gauges.</t>
        </is>
      </c>
      <c r="AG15" s="18" t="inlineStr">
        <is>
          <t>Switching latency to a histogram revealed slow tail requests hidden by averages.</t>
        </is>
      </c>
      <c r="AH15" s="18" t="inlineStr">
        <is>
          <t>An interviewer may ask: When do you use a histogram?</t>
        </is>
      </c>
      <c r="AI15" s="18" t="inlineStr">
        <is>
          <t>It is like an odometer, a fuel gauge and a bar chart.</t>
        </is>
      </c>
      <c r="AJ15" s="18" t="inlineStr">
        <is>
          <t>Which type only goes up?</t>
        </is>
      </c>
      <c r="AK15" s="18" t="inlineStr">
        <is>
          <t>A) Counter B) Summary only C) Gauge D) Histogram</t>
        </is>
      </c>
      <c r="AL15" s="18" t="inlineStr">
        <is>
          <t>A</t>
        </is>
      </c>
      <c r="AM15" s="18" t="inlineStr">
        <is>
          <t>Counters accumulate events.</t>
        </is>
      </c>
      <c r="AN15" s="18" t="inlineStr">
        <is>
          <t>A metric that rises and falls is a ____ → gauge</t>
        </is>
      </c>
      <c r="AO15" s="18" t="inlineStr">
        <is>
          <t>You want to track memory in use. Which type? → A gauge</t>
        </is>
      </c>
      <c r="AP15" s="18" t="inlineStr">
        <is>
          <t>Explain the three metric types in three lines.</t>
        </is>
      </c>
      <c r="AQ15" s="18" t="inlineStr">
        <is>
          <t>Choose a type for five different measurements.</t>
        </is>
      </c>
      <c r="AR15" s="17">
        <f>IF(J15="","",REPT("★",J15)&amp;REPT("☆",5-J15)&amp;" ("&amp;J15&amp;"/5)")</f>
        <v/>
      </c>
      <c r="AS15" s="17">
        <f>IF(Q15="","","Meaning: "&amp;Q15&amp;"  =  ______   (Answer: "&amp;F15&amp;")")</f>
        <v/>
      </c>
      <c r="AT15" s="17" t="inlineStr">
        <is>
          <t>New</t>
        </is>
      </c>
      <c r="AU15" s="17" t="n"/>
      <c r="AV15" s="17" t="n"/>
      <c r="AW15" s="17" t="n"/>
      <c r="AX15" s="17" t="n"/>
      <c r="AY15" s="17" t="n"/>
      <c r="AZ15" s="17" t="n"/>
      <c r="BA15" s="17" t="n"/>
      <c r="BB15" s="17" t="n"/>
    </row>
    <row r="16" ht="94.5" customHeight="1">
      <c r="A16" s="17" t="inlineStr">
        <is>
          <t>OBS-016</t>
        </is>
      </c>
      <c r="B16" s="17" t="inlineStr">
        <is>
          <t>03 Metrics</t>
        </is>
      </c>
      <c r="C16" s="17" t="inlineStr">
        <is>
          <t>Beginner</t>
        </is>
      </c>
      <c r="D16" s="17" t="n">
        <v>16</v>
      </c>
      <c r="E16" s="17" t="inlineStr">
        <is>
          <t>Claude knowledge</t>
        </is>
      </c>
      <c r="F16" s="18" t="inlineStr">
        <is>
          <t>Grafana basics</t>
        </is>
      </c>
      <c r="G16" s="18" t="inlineStr">
        <is>
          <t>Which tool draws dashboards from many data sources?</t>
        </is>
      </c>
      <c r="H16" s="18" t="inlineStr">
        <is>
          <t>Tool</t>
        </is>
      </c>
      <c r="I16" s="18" t="inlineStr">
        <is>
          <t>Very high</t>
        </is>
      </c>
      <c r="J16" s="18" t="n">
        <v>4</v>
      </c>
      <c r="K16" s="18" t="inlineStr">
        <is>
          <t>Raw query results are hard to read, so Grafana turns them into shareable panels from sources such as Prometheus and Loki.</t>
        </is>
      </c>
      <c r="L16" s="18" t="inlineStr">
        <is>
          <t>Use variables so one dashboard works for every service.</t>
        </is>
      </c>
      <c r="M16" s="18" t="inlineStr">
        <is>
          <t>Grafana is the painter who turns numbers from many stores into pictures.</t>
        </is>
      </c>
      <c r="N16" s="18" t="inlineStr">
        <is>
          <t>A dashboard with panels connected to data sources.</t>
        </is>
      </c>
      <c r="O16" s="18" t="inlineStr">
        <is>
          <t>The pleasure of a clear, shareable picture.</t>
        </is>
      </c>
      <c r="P16" s="18" t="inlineStr">
        <is>
          <t>Grafana is a visualisation tool that connects to data sources, runs queries, and shows the results as panels on dashboards, with variables, alerting and sharing.</t>
        </is>
      </c>
      <c r="Q16" s="17" t="n"/>
      <c r="R16" s="18" t="inlineStr">
        <is>
          <t>You add a data source, create a dashboard with panels, and write a query in each. Variables create dropdowns, such as environment and service. Panels support graphs, tables, gauges and heat maps. Dashboards are stored as JSON and can be versioned. Alert rules can use the same queries as panels.</t>
        </is>
      </c>
      <c r="S16" s="18" t="inlineStr">
        <is>
          <t>Connect a source, write queries in panels, add variables, and share.</t>
        </is>
      </c>
      <c r="T16" s="18" t="inlineStr">
        <is>
          <t>Grafana is the painter who turns numbers from many stores into pictures.</t>
        </is>
      </c>
      <c r="U16" s="18" t="inlineStr">
        <is>
          <t>Data source + query + panel + variable.</t>
        </is>
      </c>
      <c r="V16" s="18" t="inlineStr">
        <is>
          <t>A latency panel from Prometheus.</t>
        </is>
      </c>
      <c r="W16" s="18" t="inlineStr">
        <is>
          <t>A logs panel from Loki.</t>
        </is>
      </c>
      <c r="X16" s="18" t="inlineStr">
        <is>
          <t>A service dropdown variable.</t>
        </is>
      </c>
      <c r="Y16" s="18" t="inlineStr">
        <is>
          <t>dashboards, Prometheus basics, RED and USE methods, alerts</t>
        </is>
      </c>
      <c r="Z16" s="18" t="inlineStr">
        <is>
          <t>panel, data source, variable, provisioning, JSON</t>
        </is>
      </c>
      <c r="AA16" s="18" t="inlineStr">
        <is>
          <t>Monitoring | Reviews | Incident rooms</t>
        </is>
      </c>
      <c r="AB16" s="18" t="inlineStr">
        <is>
          <t>A: Do we need a dashboard per service? | B: No, use a variable for the service name.</t>
        </is>
      </c>
      <c r="AC16" s="18" t="inlineStr">
        <is>
          <t>✗ Grafana stores the metrics → ✓ It only displays data from other sources</t>
        </is>
      </c>
      <c r="AD16" s="18" t="inlineStr">
        <is>
          <t>Grafana vs Prometheus: Grafana shows, Prometheus collects and stores.</t>
        </is>
      </c>
      <c r="AE16" s="18" t="inlineStr">
        <is>
          <t>Do not edit production dashboards only in the interface without version control.</t>
        </is>
      </c>
      <c r="AF16" s="18" t="inlineStr">
        <is>
          <t>Grafana only shows, Prometheus collects and stores.</t>
        </is>
      </c>
      <c r="AG16" s="18" t="inlineStr">
        <is>
          <t>Provisioning dashboards from files kept them identical in every environment.</t>
        </is>
      </c>
      <c r="AH16" s="18" t="inlineStr">
        <is>
          <t>An interviewer may ask: What is the relationship between Grafana and Prometheus?</t>
        </is>
      </c>
      <c r="AI16" s="18" t="inlineStr">
        <is>
          <t>It is like a painter for numbers.</t>
        </is>
      </c>
      <c r="AJ16" s="18" t="inlineStr">
        <is>
          <t>What does Grafana do?</t>
        </is>
      </c>
      <c r="AK16" s="18" t="inlineStr">
        <is>
          <t>A) Builds images B) Stores logs only C) Schedules jobs D) Visualises data from sources</t>
        </is>
      </c>
      <c r="AL16" s="18" t="inlineStr">
        <is>
          <t>D</t>
        </is>
      </c>
      <c r="AM16" s="18" t="inlineStr">
        <is>
          <t>It displays query results as panels.</t>
        </is>
      </c>
      <c r="AN16" s="18" t="inlineStr">
        <is>
          <t>A dropdown that changes a dashboard's queries is a ____ → variable</t>
        </is>
      </c>
      <c r="AO16" s="18" t="inlineStr">
        <is>
          <t>One dashboard must serve many services. What do you add? → A variable</t>
        </is>
      </c>
      <c r="AP16" s="18" t="inlineStr">
        <is>
          <t>Explain Grafana in three lines.</t>
        </is>
      </c>
      <c r="AQ16" s="18" t="inlineStr">
        <is>
          <t>Plan the panels of a service dashboard.</t>
        </is>
      </c>
      <c r="AR16" s="17">
        <f>IF(J16="","",REPT("★",J16)&amp;REPT("☆",5-J16)&amp;" ("&amp;J16&amp;"/5)")</f>
        <v/>
      </c>
      <c r="AS16" s="17">
        <f>IF(Q16="","","Meaning: "&amp;Q16&amp;"  =  ______   (Answer: "&amp;F16&amp;")")</f>
        <v/>
      </c>
      <c r="AT16" s="17" t="inlineStr">
        <is>
          <t>New</t>
        </is>
      </c>
      <c r="AU16" s="17" t="n"/>
      <c r="AV16" s="17" t="n"/>
      <c r="AW16" s="17" t="n"/>
      <c r="AX16" s="17" t="n"/>
      <c r="AY16" s="17" t="n"/>
      <c r="AZ16" s="17" t="n"/>
      <c r="BA16" s="17" t="n"/>
      <c r="BB16" s="17" t="n"/>
    </row>
    <row r="17" ht="94.5" customHeight="1">
      <c r="A17" s="17" t="inlineStr">
        <is>
          <t>OBS-017</t>
        </is>
      </c>
      <c r="B17" s="17" t="inlineStr">
        <is>
          <t>03 Metrics</t>
        </is>
      </c>
      <c r="C17" s="17" t="inlineStr">
        <is>
          <t>Intermediate</t>
        </is>
      </c>
      <c r="D17" s="17" t="n">
        <v>17</v>
      </c>
      <c r="E17" s="17" t="inlineStr">
        <is>
          <t>Claude knowledge</t>
        </is>
      </c>
      <c r="F17" s="18" t="inlineStr">
        <is>
          <t>RED and USE methods</t>
        </is>
      </c>
      <c r="G17" s="18" t="inlineStr">
        <is>
          <t>Which two checklists tell you which metrics to watch for services and resources?</t>
        </is>
      </c>
      <c r="H17" s="18" t="inlineStr">
        <is>
          <t>Core concept</t>
        </is>
      </c>
      <c r="I17" s="18" t="inlineStr">
        <is>
          <t>High</t>
        </is>
      </c>
      <c r="J17" s="18" t="n">
        <v>5</v>
      </c>
      <c r="K17" s="18" t="inlineStr">
        <is>
          <t>Teams needed a standard starting set of metrics, so two simple methods were named for services and for resources.</t>
        </is>
      </c>
      <c r="L17" s="18" t="inlineStr">
        <is>
          <t>Use RED for request-driven services and USE for machines and queues.</t>
        </is>
      </c>
      <c r="M17" s="18" t="inlineStr">
        <is>
          <t>RED watches the customers' experience, and USE watches the machinery.</t>
        </is>
      </c>
      <c r="N17" s="18" t="inlineStr">
        <is>
          <t>Two checklists side by side, one for requests and one for resources.</t>
        </is>
      </c>
      <c r="O17" s="18" t="inlineStr">
        <is>
          <t>The relief of knowing exactly what to measure first.</t>
        </is>
      </c>
      <c r="P17" s="18" t="inlineStr">
        <is>
          <t>The RED method tracks rate, errors and duration for services, and the USE method tracks utilisation, saturation and errors for resources.</t>
        </is>
      </c>
      <c r="Q17" s="17" t="n"/>
      <c r="R17" s="18" t="inlineStr">
        <is>
          <t>For an API, rate is requests per second, errors are failed requests, and duration is latency. For a disk, CPU or queue, utilisation is how busy it is, saturation is how much work is waiting, and errors are failures. RED shows user impact, and USE helps find the bottleneck. Together they cover most problems.</t>
        </is>
      </c>
      <c r="S17" s="18" t="inlineStr">
        <is>
          <t>Use RED for services and USE for machines and queues.</t>
        </is>
      </c>
      <c r="T17" s="18" t="inlineStr">
        <is>
          <t>RED watches the customers' experience, and USE watches the machinery.</t>
        </is>
      </c>
      <c r="U17" s="18" t="inlineStr">
        <is>
          <t>RED = rate, errors, duration. USE = utilisation, saturation, errors.</t>
        </is>
      </c>
      <c r="V17" s="18" t="inlineStr">
        <is>
          <t>Requests per second, error ratio and p95 latency of an API.</t>
        </is>
      </c>
      <c r="W17" s="18" t="inlineStr">
        <is>
          <t>CPU utilisation, run queue length and hardware errors.</t>
        </is>
      </c>
      <c r="X17" s="18" t="inlineStr">
        <is>
          <t>Queue depth as saturation.</t>
        </is>
      </c>
      <c r="Y17" s="18" t="inlineStr">
        <is>
          <t>dashboards, percentiles, saturation, alerts</t>
        </is>
      </c>
      <c r="Z17" s="18" t="inlineStr">
        <is>
          <t>RED, USE, golden signals, utilisation, saturation</t>
        </is>
      </c>
      <c r="AA17" s="18" t="inlineStr">
        <is>
          <t>Dashboards | Alerts | Troubleshooting</t>
        </is>
      </c>
      <c r="AB17" s="18" t="inlineStr">
        <is>
          <t>A: What should this new dashboard show? | B: Start with RED for the API and USE for the database host.</t>
        </is>
      </c>
      <c r="AC17" s="18" t="inlineStr">
        <is>
          <t>✗ CPU utilisation alone shows whether a service is healthy → ✓ Users feel errors and latency, so measure RED too</t>
        </is>
      </c>
      <c r="AD17" s="18" t="inlineStr">
        <is>
          <t>RED vs USE: RED is about requests, USE is about resources.</t>
        </is>
      </c>
      <c r="AE17" s="18" t="inlineStr">
        <is>
          <t>Do not alert on resource use without checking user impact.</t>
        </is>
      </c>
      <c r="AF17" s="18" t="inlineStr">
        <is>
          <t>RED for requests, USE for resources.</t>
        </is>
      </c>
      <c r="AG17" s="18" t="inlineStr">
        <is>
          <t>Building dashboards from RED and USE gave every team the same starting view.</t>
        </is>
      </c>
      <c r="AH17" s="18" t="inlineStr">
        <is>
          <t>An interviewer may ask: What are the RED and USE methods?</t>
        </is>
      </c>
      <c r="AI17" s="18" t="inlineStr">
        <is>
          <t>It is like watching customers and machinery.</t>
        </is>
      </c>
      <c r="AJ17" s="18" t="inlineStr">
        <is>
          <t>What does the D in RED stand for?</t>
        </is>
      </c>
      <c r="AK17" s="18" t="inlineStr">
        <is>
          <t>A) Depth B) Delay only C) Duration D) Disk</t>
        </is>
      </c>
      <c r="AL17" s="18" t="inlineStr">
        <is>
          <t>C</t>
        </is>
      </c>
      <c r="AM17" s="18" t="inlineStr">
        <is>
          <t>Duration means request latency.</t>
        </is>
      </c>
      <c r="AN17" s="18" t="inlineStr">
        <is>
          <t>Work waiting for a resource is called ____ → saturation</t>
        </is>
      </c>
      <c r="AO17" s="18" t="inlineStr">
        <is>
          <t>You monitor a database server's disk. Which method? → USE</t>
        </is>
      </c>
      <c r="AP17" s="18" t="inlineStr">
        <is>
          <t>Explain RED and USE in three lines.</t>
        </is>
      </c>
      <c r="AQ17" s="18" t="inlineStr">
        <is>
          <t>List the RED metrics for a checkout API.</t>
        </is>
      </c>
      <c r="AR17" s="17">
        <f>IF(J17="","",REPT("★",J17)&amp;REPT("☆",5-J17)&amp;" ("&amp;J17&amp;"/5)")</f>
        <v/>
      </c>
      <c r="AS17" s="17">
        <f>IF(Q17="","","Meaning: "&amp;Q17&amp;"  =  ______   (Answer: "&amp;F17&amp;")")</f>
        <v/>
      </c>
      <c r="AT17" s="17" t="inlineStr">
        <is>
          <t>New</t>
        </is>
      </c>
      <c r="AU17" s="17" t="n"/>
      <c r="AV17" s="17" t="n"/>
      <c r="AW17" s="17" t="n"/>
      <c r="AX17" s="17" t="n"/>
      <c r="AY17" s="17" t="n"/>
      <c r="AZ17" s="17" t="n"/>
      <c r="BA17" s="17" t="n"/>
      <c r="BB17" s="17" t="n"/>
    </row>
    <row r="18" ht="94.5" customHeight="1">
      <c r="A18" s="17" t="inlineStr">
        <is>
          <t>OBS-018</t>
        </is>
      </c>
      <c r="B18" s="17" t="inlineStr">
        <is>
          <t>03 Metrics</t>
        </is>
      </c>
      <c r="C18" s="17" t="inlineStr">
        <is>
          <t>Advanced</t>
        </is>
      </c>
      <c r="D18" s="17" t="n">
        <v>18</v>
      </c>
      <c r="E18" s="17" t="inlineStr">
        <is>
          <t>Claude knowledge</t>
        </is>
      </c>
      <c r="F18" s="18" t="inlineStr">
        <is>
          <t>Cardinality</t>
        </is>
      </c>
      <c r="G18" s="18" t="inlineStr">
        <is>
          <t>Which property of labels can make metrics systems slow and expensive?</t>
        </is>
      </c>
      <c r="H18" s="18" t="inlineStr">
        <is>
          <t>Core concept</t>
        </is>
      </c>
      <c r="I18" s="18" t="inlineStr">
        <is>
          <t>High</t>
        </is>
      </c>
      <c r="J18" s="18" t="n">
        <v>5</v>
      </c>
      <c r="K18" s="18" t="inlineStr">
        <is>
          <t>Each unique label combination creates a new time series, so labels with many values multiply storage and memory.</t>
        </is>
      </c>
      <c r="L18" s="18" t="inlineStr">
        <is>
          <t>Never use user ids, request ids or raw URLs as metric labels.</t>
        </is>
      </c>
      <c r="M18" s="18" t="inlineStr">
        <is>
          <t>Cardinality is the number of different name tags, and too many tags clog the cloakroom.</t>
        </is>
      </c>
      <c r="N18" s="18" t="inlineStr">
        <is>
          <t>A small number of series growing into a huge number.</t>
        </is>
      </c>
      <c r="O18" s="18" t="inlineStr">
        <is>
          <t>The caution of seeing how labels multiply.</t>
        </is>
      </c>
      <c r="P18" s="18" t="inlineStr">
        <is>
          <t>Cardinality is the number of distinct time series a metric produces, equal to the number of unique label value combinations, and high cardinality strains storage and queries.</t>
        </is>
      </c>
      <c r="Q18" s="17" t="n"/>
      <c r="R18" s="18" t="inlineStr">
        <is>
          <t>A metric with labels for route, status and method may have dozens of series. Adding a user id label creates one per user, which can reach millions. Use bounded labels such as route templates, not raw paths. Put high-detail data in logs or traces instead. Monitor series counts and set limits.</t>
        </is>
      </c>
      <c r="S18" s="18" t="inlineStr">
        <is>
          <t>Keep label values few and bounded, and put unique ids in logs and traces.</t>
        </is>
      </c>
      <c r="T18" s="18" t="inlineStr">
        <is>
          <t>Cardinality is the number of different name tags, and too many tags clog the cloakroom.</t>
        </is>
      </c>
      <c r="U18" s="18" t="inlineStr">
        <is>
          <t>Series = product of label value counts.</t>
        </is>
      </c>
      <c r="V18" s="18" t="inlineStr">
        <is>
          <t>Labels route, method and status giving a few hundred series.</t>
        </is>
      </c>
      <c r="W18" s="18" t="inlineStr">
        <is>
          <t>A user_id label creating millions of series.</t>
        </is>
      </c>
      <c r="X18" s="18" t="inlineStr">
        <is>
          <t>Using /users/:id instead of /users/42.</t>
        </is>
      </c>
      <c r="Y18" s="18" t="inlineStr">
        <is>
          <t>counters gauges histograms, Prometheus basics, cost of telemetry, structured logs</t>
        </is>
      </c>
      <c r="Z18" s="18" t="inlineStr">
        <is>
          <t>cardinality, label, series, bounded, explosion</t>
        </is>
      </c>
      <c r="AA18" s="18" t="inlineStr">
        <is>
          <t>Metrics design | Cost control | Troubleshooting</t>
        </is>
      </c>
      <c r="AB18" s="18" t="inlineStr">
        <is>
          <t>A: Prometheus is running out of memory. | B: A high-cardinality label is probably creating too many series.</t>
        </is>
      </c>
      <c r="AC18" s="18" t="inlineStr">
        <is>
          <t>✗ More labels always make metrics more useful → ✓ Unbounded labels can break the metrics system</t>
        </is>
      </c>
      <c r="AD18" s="18" t="inlineStr">
        <is>
          <t>High vs low cardinality: few label values versus many unique ones.</t>
        </is>
      </c>
      <c r="AE18" s="18" t="inlineStr">
        <is>
          <t>Do not label metrics with user ids.</t>
        </is>
      </c>
      <c r="AF18" s="18" t="inlineStr">
        <is>
          <t>Bounded labels only, ids go to logs.</t>
        </is>
      </c>
      <c r="AG18" s="18" t="inlineStr">
        <is>
          <t>Removing a user id label brought a metrics server back from constant crashes.</t>
        </is>
      </c>
      <c r="AH18" s="18" t="inlineStr">
        <is>
          <t>An interviewer may ask: Why is high cardinality a problem?</t>
        </is>
      </c>
      <c r="AI18" s="18" t="inlineStr">
        <is>
          <t>It is like too many name tags in a cloakroom.</t>
        </is>
      </c>
      <c r="AJ18" s="18" t="inlineStr">
        <is>
          <t>Which label is a bad idea for a metric?</t>
        </is>
      </c>
      <c r="AK18" s="18" t="inlineStr">
        <is>
          <t>A) HTTP method B) User id C) Status class D) Service name</t>
        </is>
      </c>
      <c r="AL18" s="18" t="inlineStr">
        <is>
          <t>B</t>
        </is>
      </c>
      <c r="AM18" s="18" t="inlineStr">
        <is>
          <t>It creates unbounded series.</t>
        </is>
      </c>
      <c r="AN18" s="18" t="inlineStr">
        <is>
          <t>Each unique label combination makes a new time ____ → series</t>
        </is>
      </c>
      <c r="AO18" s="18" t="inlineStr">
        <is>
          <t>Memory use explodes after adding a label. What do you check? → The label's cardinality</t>
        </is>
      </c>
      <c r="AP18" s="18" t="inlineStr">
        <is>
          <t>Explain cardinality in three lines.</t>
        </is>
      </c>
      <c r="AQ18" s="18" t="inlineStr">
        <is>
          <t>Rewrite a metric label list to avoid high cardinality.</t>
        </is>
      </c>
      <c r="AR18" s="17">
        <f>IF(J18="","",REPT("★",J18)&amp;REPT("☆",5-J18)&amp;" ("&amp;J18&amp;"/5)")</f>
        <v/>
      </c>
      <c r="AS18" s="17">
        <f>IF(Q18="","","Meaning: "&amp;Q18&amp;"  =  ______   (Answer: "&amp;F18&amp;")")</f>
        <v/>
      </c>
      <c r="AT18" s="17" t="inlineStr">
        <is>
          <t>New</t>
        </is>
      </c>
      <c r="AU18" s="17" t="n"/>
      <c r="AV18" s="17" t="n"/>
      <c r="AW18" s="17" t="n"/>
      <c r="AX18" s="17" t="n"/>
      <c r="AY18" s="17" t="n"/>
      <c r="AZ18" s="17" t="n"/>
      <c r="BA18" s="17" t="n"/>
      <c r="BB18" s="17" t="n"/>
    </row>
    <row r="19" ht="94.5" customHeight="1">
      <c r="A19" s="17" t="inlineStr">
        <is>
          <t>OBS-019</t>
        </is>
      </c>
      <c r="B19" s="17" t="inlineStr">
        <is>
          <t>03 Metrics</t>
        </is>
      </c>
      <c r="C19" s="17" t="inlineStr">
        <is>
          <t>Intermediate</t>
        </is>
      </c>
      <c r="D19" s="17" t="n">
        <v>19</v>
      </c>
      <c r="E19" s="17" t="inlineStr">
        <is>
          <t>Claude knowledge</t>
        </is>
      </c>
      <c r="F19" s="18" t="inlineStr">
        <is>
          <t>Percentiles</t>
        </is>
      </c>
      <c r="G19" s="18" t="inlineStr">
        <is>
          <t>Why do p95 and p99 describe latency better than the average?</t>
        </is>
      </c>
      <c r="H19" s="18" t="inlineStr">
        <is>
          <t>Core concept</t>
        </is>
      </c>
      <c r="I19" s="18" t="inlineStr">
        <is>
          <t>Very high</t>
        </is>
      </c>
      <c r="J19" s="18" t="n">
        <v>5</v>
      </c>
      <c r="K19" s="18" t="inlineStr">
        <is>
          <t>Averages hide slow outliers that real users suffer, so percentiles describe how bad the slower requests are.</t>
        </is>
      </c>
      <c r="L19" s="18" t="inlineStr">
        <is>
          <t>Watch p95 and p99 together with the median.</t>
        </is>
      </c>
      <c r="M19" s="18" t="inlineStr">
        <is>
          <t>The average is the typical meal time, and p99 is how long the unluckiest diner waits.</t>
        </is>
      </c>
      <c r="N19" s="18" t="inlineStr">
        <is>
          <t>A latency distribution with markers at the median, p95 and p99.</t>
        </is>
      </c>
      <c r="O19" s="18" t="inlineStr">
        <is>
          <t>The realisation that averages can hide pain.</t>
        </is>
      </c>
      <c r="P19" s="18" t="inlineStr">
        <is>
          <t>A percentile is the value below which a given percent of observations fall, so the p95 latency means ninety-five percent of requests were faster than that value.</t>
        </is>
      </c>
      <c r="Q19" s="17" t="n"/>
      <c r="R19" s="18" t="inlineStr">
        <is>
          <t>The median, p50, shows typical latency. p95 and p99 show the slow tail that affects many users, especially when a page makes many calls. Percentiles cannot be averaged across servers, and must be computed from histograms or raw data. Service goals are often written as percentiles.</t>
        </is>
      </c>
      <c r="S19" s="18" t="inlineStr">
        <is>
          <t>Use p50, p95 and p99 instead of the mean to see slow requests.</t>
        </is>
      </c>
      <c r="T19" s="18" t="inlineStr">
        <is>
          <t>The average is the typical meal time, and p99 is how long the unluckiest diner waits.</t>
        </is>
      </c>
      <c r="U19" s="18" t="inlineStr">
        <is>
          <t>p95 = value that ninety-five percent of requests beat.</t>
        </is>
      </c>
      <c r="V19" s="18" t="inlineStr">
        <is>
          <t>Average 200 ms but p99 of 4 seconds.</t>
        </is>
      </c>
      <c r="W19" s="18" t="inlineStr">
        <is>
          <t>A goal that p95 stays under 300 ms.</t>
        </is>
      </c>
      <c r="X19" s="18" t="inlineStr">
        <is>
          <t>A histogram used to compute p99.</t>
        </is>
      </c>
      <c r="Y19" s="18" t="inlineStr">
        <is>
          <t>histograms, RED and USE methods, SLIs and SLOs, tracing</t>
        </is>
      </c>
      <c r="Z19" s="18" t="inlineStr">
        <is>
          <t>percentile, p95, p99, tail latency, median</t>
        </is>
      </c>
      <c r="AA19" s="18" t="inlineStr">
        <is>
          <t>Performance work | SLOs | Alerts</t>
        </is>
      </c>
      <c r="AB19" s="18" t="inlineStr">
        <is>
          <t>A: The average is fine but users complain. | B: Check p99 for the slow tail.</t>
        </is>
      </c>
      <c r="AC19" s="18" t="inlineStr">
        <is>
          <t>✗ The average latency shows what users experience → ✓ The slow tail can hurt many users while the average looks fine</t>
        </is>
      </c>
      <c r="AD19" s="18" t="inlineStr">
        <is>
          <t>Mean vs p99: the mean hides outliers, p99 shows them.</t>
        </is>
      </c>
      <c r="AE19" s="18" t="inlineStr">
        <is>
          <t>Do not average percentiles across instances.</t>
        </is>
      </c>
      <c r="AF19" s="18" t="inlineStr">
        <is>
          <t>Averages hide, tails tell the truth.</t>
        </is>
      </c>
      <c r="AG19" s="18" t="inlineStr">
        <is>
          <t>Spotting a bad p99 led to a slow query that the average had hidden.</t>
        </is>
      </c>
      <c r="AH19" s="18" t="inlineStr">
        <is>
          <t>An interviewer may ask: Why use percentiles rather than averages?</t>
        </is>
      </c>
      <c r="AI19" s="18" t="inlineStr">
        <is>
          <t>It is like asking how long the unluckiest diner waits.</t>
        </is>
      </c>
      <c r="AJ19" s="18" t="inlineStr">
        <is>
          <t>What does p95 mean?</t>
        </is>
      </c>
      <c r="AK19" s="18" t="inlineStr">
        <is>
          <t>A) The average B) Ninety-five requests C) Five percent failed D) Ninety-five percent of requests were faster</t>
        </is>
      </c>
      <c r="AL19" s="18" t="inlineStr">
        <is>
          <t>D</t>
        </is>
      </c>
      <c r="AM19" s="18" t="inlineStr">
        <is>
          <t>It marks the boundary of the slowest five percent.</t>
        </is>
      </c>
      <c r="AN19" s="18" t="inlineStr">
        <is>
          <t>The p50 is also called the ____ → median</t>
        </is>
      </c>
      <c r="AO19" s="18" t="inlineStr">
        <is>
          <t>The average is low but some users see delays. Which number do you check? → p99</t>
        </is>
      </c>
      <c r="AP19" s="18" t="inlineStr">
        <is>
          <t>Explain percentiles in three lines.</t>
        </is>
      </c>
      <c r="AQ19" s="18" t="inlineStr">
        <is>
          <t>Explain why p99 matters for a page that calls ten services.</t>
        </is>
      </c>
      <c r="AR19" s="17">
        <f>IF(J19="","",REPT("★",J19)&amp;REPT("☆",5-J19)&amp;" ("&amp;J19&amp;"/5)")</f>
        <v/>
      </c>
      <c r="AS19" s="17">
        <f>IF(Q19="","","Meaning: "&amp;Q19&amp;"  =  ______   (Answer: "&amp;F19&amp;")")</f>
        <v/>
      </c>
      <c r="AT19" s="17" t="inlineStr">
        <is>
          <t>New</t>
        </is>
      </c>
      <c r="AU19" s="17" t="n"/>
      <c r="AV19" s="17" t="n"/>
      <c r="AW19" s="17" t="n"/>
      <c r="AX19" s="17" t="n"/>
      <c r="AY19" s="17" t="n"/>
      <c r="AZ19" s="17" t="n"/>
      <c r="BA19" s="17" t="n"/>
      <c r="BB19" s="17" t="n"/>
    </row>
    <row r="20" ht="94.5" customHeight="1">
      <c r="A20" s="17" t="inlineStr">
        <is>
          <t>OBS-020</t>
        </is>
      </c>
      <c r="B20" s="17" t="inlineStr">
        <is>
          <t>03 Metrics</t>
        </is>
      </c>
      <c r="C20" s="17" t="inlineStr">
        <is>
          <t>Intermediate</t>
        </is>
      </c>
      <c r="D20" s="17" t="n">
        <v>20</v>
      </c>
      <c r="E20" s="17" t="inlineStr">
        <is>
          <t>Claude knowledge</t>
        </is>
      </c>
      <c r="F20" s="18" t="inlineStr">
        <is>
          <t>Saturation</t>
        </is>
      </c>
      <c r="G20" s="18" t="inlineStr">
        <is>
          <t>Which signal shows how full a resource is and how much work is waiting?</t>
        </is>
      </c>
      <c r="H20" s="18" t="inlineStr">
        <is>
          <t>Core concept</t>
        </is>
      </c>
      <c r="I20" s="18" t="inlineStr">
        <is>
          <t>High</t>
        </is>
      </c>
      <c r="J20" s="18" t="n">
        <v>4</v>
      </c>
      <c r="K20" s="18" t="inlineStr">
        <is>
          <t>Systems slow sharply as they fill, so measuring queues and waiting shows trouble before failure.</t>
        </is>
      </c>
      <c r="L20" s="18" t="inlineStr">
        <is>
          <t>Watch queue length and wait time, not only utilisation.</t>
        </is>
      </c>
      <c r="M20" s="18" t="inlineStr">
        <is>
          <t>Saturation is the line at the door of a restaurant that is already full.</t>
        </is>
      </c>
      <c r="N20" s="18" t="inlineStr">
        <is>
          <t>A resource at full use with a growing queue.</t>
        </is>
      </c>
      <c r="O20" s="18" t="inlineStr">
        <is>
          <t>The value of an early warning.</t>
        </is>
      </c>
      <c r="P20" s="18" t="inlineStr">
        <is>
          <t>Saturation is the degree to which a resource has more work than it can handle, shown by queues, wait times or throttling.</t>
        </is>
      </c>
      <c r="Q20" s="17" t="n"/>
      <c r="R20" s="18" t="inlineStr">
        <is>
          <t>Utilisation near one hundred percent with a growing queue means saturation. Examples are CPU run queue, thread pool queue, connection pool waits and disk queue depth. Latency grows quickly once saturation starts. Alerting on saturation gives time to scale. Autoscaling often keys on it.</t>
        </is>
      </c>
      <c r="S20" s="18" t="inlineStr">
        <is>
          <t>Watch queues and waits to see overload before users do.</t>
        </is>
      </c>
      <c r="T20" s="18" t="inlineStr">
        <is>
          <t>Saturation is the line at the door of a restaurant that is already full.</t>
        </is>
      </c>
      <c r="U20" s="18" t="inlineStr">
        <is>
          <t>Busy and waiting = saturated.</t>
        </is>
      </c>
      <c r="V20" s="18" t="inlineStr">
        <is>
          <t>A growing thread pool queue.</t>
        </is>
      </c>
      <c r="W20" s="18" t="inlineStr">
        <is>
          <t>Connection pool wait time rising.</t>
        </is>
      </c>
      <c r="X20" s="18" t="inlineStr">
        <is>
          <t>Disk queue depth above the safe level.</t>
        </is>
      </c>
      <c r="Y20" s="18" t="inlineStr">
        <is>
          <t>RED and USE methods, autoscaling, percentiles, alerts</t>
        </is>
      </c>
      <c r="Z20" s="18" t="inlineStr">
        <is>
          <t>saturation, queue, wait, throttling, headroom</t>
        </is>
      </c>
      <c r="AA20" s="18" t="inlineStr">
        <is>
          <t>Capacity planning | Alerts | Autoscaling</t>
        </is>
      </c>
      <c r="AB20" s="18" t="inlineStr">
        <is>
          <t>A: CPU is at eighty percent, is it fine? | B: Check the run queue to see whether work is waiting.</t>
        </is>
      </c>
      <c r="AC20" s="18" t="inlineStr">
        <is>
          <t>✗ Low utilisation always means no overload → ✓ A small pool can be saturated even when machine CPU is low</t>
        </is>
      </c>
      <c r="AD20" s="18" t="inlineStr">
        <is>
          <t>Utilisation vs saturation: utilisation is how busy, saturation is how much waits.</t>
        </is>
      </c>
      <c r="AE20" s="18" t="inlineStr">
        <is>
          <t>Do not watch utilisation only.</t>
        </is>
      </c>
      <c r="AF20" s="18" t="inlineStr">
        <is>
          <t>Busy is use, waiting is saturation.</t>
        </is>
      </c>
      <c r="AG20" s="18" t="inlineStr">
        <is>
          <t>Alerting on a connection pool queue gave early warning before timeouts began.</t>
        </is>
      </c>
      <c r="AH20" s="18" t="inlineStr">
        <is>
          <t>An interviewer may ask: How do you detect saturation?</t>
        </is>
      </c>
      <c r="AI20" s="18" t="inlineStr">
        <is>
          <t>It is like a line outside a full restaurant.</t>
        </is>
      </c>
      <c r="AJ20" s="18" t="inlineStr">
        <is>
          <t>Which shows saturation?</t>
        </is>
      </c>
      <c r="AK20" s="18" t="inlineStr">
        <is>
          <t>A) A growing queue B) A low CPU C) A short log D) A green dashboard</t>
        </is>
      </c>
      <c r="AL20" s="18" t="inlineStr">
        <is>
          <t>A</t>
        </is>
      </c>
      <c r="AM20" s="18" t="inlineStr">
        <is>
          <t>Waiting work signals overload.</t>
        </is>
      </c>
      <c r="AN20" s="18" t="inlineStr">
        <is>
          <t>Spare capacity is called ____ → headroom</t>
        </is>
      </c>
      <c r="AO20" s="18" t="inlineStr">
        <is>
          <t>Latency rises while CPU is moderate. What do you check? → Queues and pool waits</t>
        </is>
      </c>
      <c r="AP20" s="18" t="inlineStr">
        <is>
          <t>Explain saturation in three lines.</t>
        </is>
      </c>
      <c r="AQ20" s="18" t="inlineStr">
        <is>
          <t>List three queues to monitor in a web service.</t>
        </is>
      </c>
      <c r="AR20" s="17">
        <f>IF(J20="","",REPT("★",J20)&amp;REPT("☆",5-J20)&amp;" ("&amp;J20&amp;"/5)")</f>
        <v/>
      </c>
      <c r="AS20" s="17">
        <f>IF(Q20="","","Meaning: "&amp;Q20&amp;"  =  ______   (Answer: "&amp;F20&amp;")")</f>
        <v/>
      </c>
      <c r="AT20" s="17" t="inlineStr">
        <is>
          <t>New</t>
        </is>
      </c>
      <c r="AU20" s="17" t="n"/>
      <c r="AV20" s="17" t="n"/>
      <c r="AW20" s="17" t="n"/>
      <c r="AX20" s="17" t="n"/>
      <c r="AY20" s="17" t="n"/>
      <c r="AZ20" s="17" t="n"/>
      <c r="BA20" s="17" t="n"/>
      <c r="BB20" s="17" t="n"/>
    </row>
    <row r="21" ht="94.5" customHeight="1">
      <c r="A21" s="17" t="inlineStr">
        <is>
          <t>OBS-021</t>
        </is>
      </c>
      <c r="B21" s="17" t="inlineStr">
        <is>
          <t>04 Tracing</t>
        </is>
      </c>
      <c r="C21" s="17" t="inlineStr">
        <is>
          <t>Intermediate</t>
        </is>
      </c>
      <c r="D21" s="17" t="n">
        <v>21</v>
      </c>
      <c r="E21" s="17" t="inlineStr">
        <is>
          <t>Claude knowledge</t>
        </is>
      </c>
      <c r="F21" s="18" t="inlineStr">
        <is>
          <t>Spans and traces</t>
        </is>
      </c>
      <c r="G21" s="18" t="inlineStr">
        <is>
          <t>Which two terms describe one timed operation and the full path of a request?</t>
        </is>
      </c>
      <c r="H21" s="18" t="inlineStr">
        <is>
          <t>Core concept</t>
        </is>
      </c>
      <c r="I21" s="18" t="inlineStr">
        <is>
          <t>High</t>
        </is>
      </c>
      <c r="J21" s="18" t="n">
        <v>5</v>
      </c>
      <c r="K21" s="18" t="inlineStr">
        <is>
          <t>A request crosses many services, so timed steps are linked together to show the whole journey.</t>
        </is>
      </c>
      <c r="L21" s="18" t="inlineStr">
        <is>
          <t>Name spans by operation, and attach attributes such as route and status.</t>
        </is>
      </c>
      <c r="M21" s="18" t="inlineStr">
        <is>
          <t>A trace is a journey and spans are the timed legs of it.</t>
        </is>
      </c>
      <c r="N21" s="18" t="inlineStr">
        <is>
          <t>A waterfall chart made of nested horizontal bars.</t>
        </is>
      </c>
      <c r="O21" s="18" t="inlineStr">
        <is>
          <t>The thrill of seeing where time went.</t>
        </is>
      </c>
      <c r="P21" s="18" t="inlineStr">
        <is>
          <t>A span is a timed operation with a name, start, duration and attributes, and a trace is the tree of spans that belong to one request.</t>
        </is>
      </c>
      <c r="Q21" s="17" t="n"/>
      <c r="R21" s="18" t="inlineStr">
        <is>
          <t>The root span is the entry point, with child spans for calls to other services and databases. Each span has an id and its parent id, and all share a trace id. A waterfall view shows which step was slow. Attributes and events add context. Errors can be recorded on spans.</t>
        </is>
      </c>
      <c r="S21" s="18" t="inlineStr">
        <is>
          <t>Spans are the timed steps, and the trace is the whole request.</t>
        </is>
      </c>
      <c r="T21" s="18" t="inlineStr">
        <is>
          <t>A trace is a journey and spans are the timed legs of it.</t>
        </is>
      </c>
      <c r="U21" s="18" t="inlineStr">
        <is>
          <t>Trace = tree of spans sharing one trace id.</t>
        </is>
      </c>
      <c r="V21" s="18" t="inlineStr">
        <is>
          <t>A root span for POST /checkout.</t>
        </is>
      </c>
      <c r="W21" s="18" t="inlineStr">
        <is>
          <t>A child span for the payment API call.</t>
        </is>
      </c>
      <c r="X21" s="18" t="inlineStr">
        <is>
          <t>A database query span with its duration.</t>
        </is>
      </c>
      <c r="Y21" s="18" t="inlineStr">
        <is>
          <t>OpenTelemetry, propagation, correlation ids, sampling</t>
        </is>
      </c>
      <c r="Z21" s="18" t="inlineStr">
        <is>
          <t>span, trace, parent, attribute, waterfall</t>
        </is>
      </c>
      <c r="AA21" s="18" t="inlineStr">
        <is>
          <t>Microservices | Performance work | Debugging</t>
        </is>
      </c>
      <c r="AB21" s="18" t="inlineStr">
        <is>
          <t>A: Which step made checkout slow? | B: The waterfall shows the payment span took two seconds.</t>
        </is>
      </c>
      <c r="AC21" s="18" t="inlineStr">
        <is>
          <t>✗ A trace is just a collection of logs → ✓ It is a structured tree of timed spans</t>
        </is>
      </c>
      <c r="AD21" s="18" t="inlineStr">
        <is>
          <t>Span vs trace: a span is one step, a trace is all steps of a request.</t>
        </is>
      </c>
      <c r="AE21" s="18" t="inlineStr">
        <is>
          <t>Do not create spans for every tiny function.</t>
        </is>
      </c>
      <c r="AF21" s="18" t="inlineStr">
        <is>
          <t>Spans are legs, the trace is the trip.</t>
        </is>
      </c>
      <c r="AG21" s="18" t="inlineStr">
        <is>
          <t>A trace waterfall found one sequential call that could run in parallel.</t>
        </is>
      </c>
      <c r="AH21" s="18" t="inlineStr">
        <is>
          <t>An interviewer may ask: What is a span?</t>
        </is>
      </c>
      <c r="AI21" s="18" t="inlineStr">
        <is>
          <t>It is like the legs of a journey.</t>
        </is>
      </c>
      <c r="AJ21" s="18" t="inlineStr">
        <is>
          <t>What do spans of one request share?</t>
        </is>
      </c>
      <c r="AK21" s="18" t="inlineStr">
        <is>
          <t>A) A trace id B) A password C) A server D) A colour</t>
        </is>
      </c>
      <c r="AL21" s="18" t="inlineStr">
        <is>
          <t>A</t>
        </is>
      </c>
      <c r="AM21" s="18" t="inlineStr">
        <is>
          <t>The trace id links them.</t>
        </is>
      </c>
      <c r="AN21" s="18" t="inlineStr">
        <is>
          <t>The step that starts a trace is the ____ span → root</t>
        </is>
      </c>
      <c r="AO21" s="18" t="inlineStr">
        <is>
          <t>You want to see which call is slow inside a request. What do you use? → A trace waterfall</t>
        </is>
      </c>
      <c r="AP21" s="18" t="inlineStr">
        <is>
          <t>Explain spans and traces in three lines.</t>
        </is>
      </c>
      <c r="AQ21" s="18" t="inlineStr">
        <is>
          <t>Draw the spans for a checkout with three downstream calls.</t>
        </is>
      </c>
      <c r="AR21" s="17">
        <f>IF(J21="","",REPT("★",J21)&amp;REPT("☆",5-J21)&amp;" ("&amp;J21&amp;"/5)")</f>
        <v/>
      </c>
      <c r="AS21" s="17">
        <f>IF(Q21="","","Meaning: "&amp;Q21&amp;"  =  ______   (Answer: "&amp;F21&amp;")")</f>
        <v/>
      </c>
      <c r="AT21" s="17" t="inlineStr">
        <is>
          <t>New</t>
        </is>
      </c>
      <c r="AU21" s="17" t="n"/>
      <c r="AV21" s="17" t="n"/>
      <c r="AW21" s="17" t="n"/>
      <c r="AX21" s="17" t="n"/>
      <c r="AY21" s="17" t="n"/>
      <c r="AZ21" s="17" t="n"/>
      <c r="BA21" s="17" t="n"/>
      <c r="BB21" s="17" t="n"/>
    </row>
    <row r="22" ht="108" customHeight="1">
      <c r="A22" s="17" t="inlineStr">
        <is>
          <t>OBS-023</t>
        </is>
      </c>
      <c r="B22" s="17" t="inlineStr">
        <is>
          <t>04 Tracing</t>
        </is>
      </c>
      <c r="C22" s="17" t="inlineStr">
        <is>
          <t>Advanced</t>
        </is>
      </c>
      <c r="D22" s="17" t="n">
        <v>23</v>
      </c>
      <c r="E22" s="17" t="inlineStr">
        <is>
          <t>Claude knowledge</t>
        </is>
      </c>
      <c r="F22" s="18" t="inlineStr">
        <is>
          <t>Context propagation</t>
        </is>
      </c>
      <c r="G22" s="18" t="inlineStr">
        <is>
          <t>How does a trace id travel from one service to the next?</t>
        </is>
      </c>
      <c r="H22" s="18" t="inlineStr">
        <is>
          <t>Core concept</t>
        </is>
      </c>
      <c r="I22" s="18" t="inlineStr">
        <is>
          <t>Medium</t>
        </is>
      </c>
      <c r="J22" s="18" t="n">
        <v>4</v>
      </c>
      <c r="K22" s="18" t="inlineStr">
        <is>
          <t>Separate services only join one trace if the context is passed along each call.</t>
        </is>
      </c>
      <c r="L22" s="18" t="inlineStr">
        <is>
          <t>Use the standard W3C traceparent header and instrument clients and servers.</t>
        </is>
      </c>
      <c r="M22" s="18" t="inlineStr">
        <is>
          <t>Propagation is passing a baton so every runner knows which race they are in.</t>
        </is>
      </c>
      <c r="N22" s="18" t="inlineStr">
        <is>
          <t>An HTTP header carrying trace and span ids between services.</t>
        </is>
      </c>
      <c r="O22" s="18" t="inlineStr">
        <is>
          <t>The satisfaction of an unbroken trace.</t>
        </is>
      </c>
      <c r="P22" s="18" t="inlineStr">
        <is>
          <t>Context propagation passes the trace id and parent span id between processes, usually in the HTTP traceparent header or message headers, so new spans attach to the same trace.</t>
        </is>
      </c>
      <c r="Q22" s="17" t="n"/>
      <c r="R22" s="18" t="inlineStr">
        <is>
          <t>The caller injects the context into outgoing headers, and the callee extracts it and starts a child span. Queues and background jobs need the context in message metadata. A missing hop breaks the trace into separate pieces. Libraries do this automatically when instrumented. Baggage can carry extra key-values but should be used carefully.</t>
        </is>
      </c>
      <c r="S22" s="18" t="inlineStr">
        <is>
          <t>Inject the context in calls and extract it on the other side.</t>
        </is>
      </c>
      <c r="T22" s="18" t="inlineStr">
        <is>
          <t>Propagation is passing a baton so every runner knows which race they are in.</t>
        </is>
      </c>
      <c r="U22" s="18" t="inlineStr">
        <is>
          <t>Inject on send, extract on receive.</t>
        </is>
      </c>
      <c r="V22" s="18" t="inlineStr">
        <is>
          <t>traceparent: 00-&lt;trace id&gt;-&lt;span id&gt;-01</t>
        </is>
      </c>
      <c r="W22" s="18" t="inlineStr">
        <is>
          <t>A message queue carrying the context in its headers.</t>
        </is>
      </c>
      <c r="X22" s="18" t="inlineStr">
        <is>
          <t>A gateway starting the trace.</t>
        </is>
      </c>
      <c r="Y22" s="18" t="inlineStr">
        <is>
          <t>spans and traces, correlation ids, OpenTelemetry, sampling</t>
        </is>
      </c>
      <c r="Z22" s="18" t="inlineStr">
        <is>
          <t>propagation, traceparent, inject, extract, baton</t>
        </is>
      </c>
      <c r="AA22" s="18" t="inlineStr">
        <is>
          <t>Microservices | Queues | Gateways</t>
        </is>
      </c>
      <c r="AB22" s="18" t="inlineStr">
        <is>
          <t>A: The trace stops at the queue. | B: The message did not carry the trace context.</t>
        </is>
      </c>
      <c r="AC22" s="18" t="inlineStr">
        <is>
          <t>✗ Tracing works automatically across any boundary → ✓ Each boundary needs context passed through it</t>
        </is>
      </c>
      <c r="AD22" s="18" t="inlineStr">
        <is>
          <t>Propagation vs sampling: one links spans, the other decides what to keep.</t>
        </is>
      </c>
      <c r="AE22" s="18" t="inlineStr">
        <is>
          <t>Do not drop headers in gateways or proxies.</t>
        </is>
      </c>
      <c r="AF22" s="18" t="inlineStr">
        <is>
          <t>Inject going out, extract coming in.</t>
        </is>
      </c>
      <c r="AG22" s="18" t="inlineStr">
        <is>
          <t>Adding context to queue messages joined broken traces into whole journeys.</t>
        </is>
      </c>
      <c r="AH22" s="18" t="inlineStr">
        <is>
          <t>An interviewer may ask: Why would a trace break between services?</t>
        </is>
      </c>
      <c r="AI22" s="18" t="inlineStr">
        <is>
          <t>It is like passing a baton.</t>
        </is>
      </c>
      <c r="AJ22" s="18" t="inlineStr">
        <is>
          <t>Which header carries the W3C trace context?</t>
        </is>
      </c>
      <c r="AK22" s="18" t="inlineStr">
        <is>
          <t>A) accept B) host C) cookie D) traceparent</t>
        </is>
      </c>
      <c r="AL22" s="18" t="inlineStr">
        <is>
          <t>D</t>
        </is>
      </c>
      <c r="AM22" s="18" t="inlineStr">
        <is>
          <t>It is the standard header name.</t>
        </is>
      </c>
      <c r="AN22" s="18" t="inlineStr">
        <is>
          <t>Putting context into outgoing calls is called ____ → injecting</t>
        </is>
      </c>
      <c r="AO22" s="18" t="inlineStr">
        <is>
          <t>Traces break at a message queue. What do you add? → Context in the message metadata</t>
        </is>
      </c>
      <c r="AP22" s="18" t="inlineStr">
        <is>
          <t>Explain context propagation in three lines.</t>
        </is>
      </c>
      <c r="AQ22" s="18" t="inlineStr">
        <is>
          <t>List the boundaries where context must be passed.</t>
        </is>
      </c>
      <c r="AR22" s="17">
        <f>IF(J22="","",REPT("★",J22)&amp;REPT("☆",5-J22)&amp;" ("&amp;J22&amp;"/5)")</f>
        <v/>
      </c>
      <c r="AS22" s="17">
        <f>IF(Q22="","","Meaning: "&amp;Q22&amp;"  =  ______   (Answer: "&amp;F22&amp;")")</f>
        <v/>
      </c>
      <c r="AT22" s="17" t="inlineStr">
        <is>
          <t>New</t>
        </is>
      </c>
      <c r="AU22" s="17" t="n"/>
      <c r="AV22" s="17" t="n"/>
      <c r="AW22" s="17" t="n"/>
      <c r="AX22" s="17" t="n"/>
      <c r="AY22" s="17" t="n"/>
      <c r="AZ22" s="17" t="n"/>
      <c r="BA22" s="17" t="n"/>
      <c r="BB22" s="17" t="n"/>
    </row>
    <row r="23" ht="94.5" customHeight="1">
      <c r="A23" s="17" t="inlineStr">
        <is>
          <t>OBS-024</t>
        </is>
      </c>
      <c r="B23" s="17" t="inlineStr">
        <is>
          <t>04 Tracing</t>
        </is>
      </c>
      <c r="C23" s="17" t="inlineStr">
        <is>
          <t>Advanced</t>
        </is>
      </c>
      <c r="D23" s="17" t="n">
        <v>24</v>
      </c>
      <c r="E23" s="17" t="inlineStr">
        <is>
          <t>Claude knowledge</t>
        </is>
      </c>
      <c r="F23" s="18" t="inlineStr">
        <is>
          <t>Trace sampling</t>
        </is>
      </c>
      <c r="G23" s="18" t="inlineStr">
        <is>
          <t>How do you decide which traces to keep when volume is huge?</t>
        </is>
      </c>
      <c r="H23" s="18" t="inlineStr">
        <is>
          <t>Core concept</t>
        </is>
      </c>
      <c r="I23" s="18" t="inlineStr">
        <is>
          <t>Medium</t>
        </is>
      </c>
      <c r="J23" s="18" t="n">
        <v>4</v>
      </c>
      <c r="K23" s="18" t="inlineStr">
        <is>
          <t>Storing every trace is costly, so systems keep a share and try to keep the interesting ones.</t>
        </is>
      </c>
      <c r="L23" s="18" t="inlineStr">
        <is>
          <t>Prefer tail sampling to keep all errors and slow traces.</t>
        </is>
      </c>
      <c r="M23" s="18" t="inlineStr">
        <is>
          <t>Sampling traces is keeping photos of every accident and a few of normal traffic.</t>
        </is>
      </c>
      <c r="N23" s="18" t="inlineStr">
        <is>
          <t>A funnel keeping errors and slow traces.</t>
        </is>
      </c>
      <c r="O23" s="18" t="inlineStr">
        <is>
          <t>The comfort of a bill under control.</t>
        </is>
      </c>
      <c r="P23" s="18" t="inlineStr">
        <is>
          <t>Trace sampling keeps only some traces, using head sampling decided at the start or tail sampling decided after the trace completes, so errors and slow requests can be favoured.</t>
        </is>
      </c>
      <c r="Q23" s="17" t="n"/>
      <c r="R23" s="18" t="inlineStr">
        <is>
          <t>Head sampling is simple and cheap but cannot know the outcome. Tail sampling in a collector buffers spans and keeps traces with errors or high latency. The sampling decision must be consistent across services so traces are whole. Counts derived from sampled traces need adjusting, so use metrics for totals.</t>
        </is>
      </c>
      <c r="S23" s="18" t="inlineStr">
        <is>
          <t>Keep all errors and slow traces and a small share of normal ones.</t>
        </is>
      </c>
      <c r="T23" s="18" t="inlineStr">
        <is>
          <t>Sampling traces is keeping photos of every accident and a few of normal traffic.</t>
        </is>
      </c>
      <c r="U23" s="18" t="inlineStr">
        <is>
          <t>Head = decide early. Tail = decide with the outcome.</t>
        </is>
      </c>
      <c r="V23" s="18" t="inlineStr">
        <is>
          <t>Keeping one percent of normal traces.</t>
        </is>
      </c>
      <c r="W23" s="18" t="inlineStr">
        <is>
          <t>Keeping every trace with an error.</t>
        </is>
      </c>
      <c r="X23" s="18" t="inlineStr">
        <is>
          <t>A collector buffering spans for tail sampling.</t>
        </is>
      </c>
      <c r="Y23" s="18" t="inlineStr">
        <is>
          <t>log sampling, OpenTelemetry, cost of telemetry, percentiles</t>
        </is>
      </c>
      <c r="Z23" s="18" t="inlineStr">
        <is>
          <t>head sampling, tail sampling, rate, buffer, consistent</t>
        </is>
      </c>
      <c r="AA23" s="18" t="inlineStr">
        <is>
          <t>High-traffic services | Cost control | Platforms</t>
        </is>
      </c>
      <c r="AB23" s="18" t="inlineStr">
        <is>
          <t>A: Tracing costs too much. | B: Use tail sampling to keep errors and slow traces only.</t>
        </is>
      </c>
      <c r="AC23" s="18" t="inlineStr">
        <is>
          <t>✗ Sampling traces randomly is always enough → ✓ Random sampling may drop exactly the rare errors you need</t>
        </is>
      </c>
      <c r="AD23" s="18" t="inlineStr">
        <is>
          <t>Head vs tail sampling: head cannot see outcomes, tail can.</t>
        </is>
      </c>
      <c r="AE23" s="18" t="inlineStr">
        <is>
          <t>Do not sample away every error.</t>
        </is>
      </c>
      <c r="AF23" s="18" t="inlineStr">
        <is>
          <t>Tail sampling keeps the interesting traces.</t>
        </is>
      </c>
      <c r="AG23" s="18" t="inlineStr">
        <is>
          <t>Tail sampling cut tracing cost while keeping every failed request.</t>
        </is>
      </c>
      <c r="AH23" s="18" t="inlineStr">
        <is>
          <t>An interviewer may ask: What is the difference between head and tail sampling?</t>
        </is>
      </c>
      <c r="AI23" s="18" t="inlineStr">
        <is>
          <t>It is like keeping photos of every accident.</t>
        </is>
      </c>
      <c r="AJ23" s="18" t="inlineStr">
        <is>
          <t>Which sampling can keep every error trace?</t>
        </is>
      </c>
      <c r="AK23" s="18" t="inlineStr">
        <is>
          <t>A) No sampling B) Tail sampling C) Random head sampling only D) Log sampling</t>
        </is>
      </c>
      <c r="AL23" s="18" t="inlineStr">
        <is>
          <t>B</t>
        </is>
      </c>
      <c r="AM23" s="18" t="inlineStr">
        <is>
          <t>It decides after seeing the outcome.</t>
        </is>
      </c>
      <c r="AN23" s="18" t="inlineStr">
        <is>
          <t>Counting totals should use ____ rather than sampled traces → metrics</t>
        </is>
      </c>
      <c r="AO23" s="18" t="inlineStr">
        <is>
          <t>Tracing is expensive but errors matter most. What do you use? → Tail sampling</t>
        </is>
      </c>
      <c r="AP23" s="18" t="inlineStr">
        <is>
          <t>Explain trace sampling in three lines.</t>
        </is>
      </c>
      <c r="AQ23" s="18" t="inlineStr">
        <is>
          <t>Write a sampling policy for an API.</t>
        </is>
      </c>
      <c r="AR23" s="17">
        <f>IF(J23="","",REPT("★",J23)&amp;REPT("☆",5-J23)&amp;" ("&amp;J23&amp;"/5)")</f>
        <v/>
      </c>
      <c r="AS23" s="17">
        <f>IF(Q23="","","Meaning: "&amp;Q23&amp;"  =  ______   (Answer: "&amp;F23&amp;")")</f>
        <v/>
      </c>
      <c r="AT23" s="17" t="inlineStr">
        <is>
          <t>New</t>
        </is>
      </c>
      <c r="AU23" s="17" t="n"/>
      <c r="AV23" s="17" t="n"/>
      <c r="AW23" s="17" t="n"/>
      <c r="AX23" s="17" t="n"/>
      <c r="AY23" s="17" t="n"/>
      <c r="AZ23" s="17" t="n"/>
      <c r="BA23" s="17" t="n"/>
      <c r="BB23" s="17" t="n"/>
    </row>
    <row r="24" ht="94.5" customHeight="1">
      <c r="A24" s="17" t="inlineStr">
        <is>
          <t>OBS-025</t>
        </is>
      </c>
      <c r="B24" s="17" t="inlineStr">
        <is>
          <t>05 Reliability Practice</t>
        </is>
      </c>
      <c r="C24" s="17" t="inlineStr">
        <is>
          <t>Intermediate</t>
        </is>
      </c>
      <c r="D24" s="17" t="n">
        <v>25</v>
      </c>
      <c r="E24" s="17" t="inlineStr">
        <is>
          <t>Claude knowledge</t>
        </is>
      </c>
      <c r="F24" s="18" t="inlineStr">
        <is>
          <t>SLI, SLO and SLA</t>
        </is>
      </c>
      <c r="G24" s="18" t="inlineStr">
        <is>
          <t>Which three terms measure, target and promise service quality?</t>
        </is>
      </c>
      <c r="H24" s="18" t="inlineStr">
        <is>
          <t>Core concept</t>
        </is>
      </c>
      <c r="I24" s="18" t="inlineStr">
        <is>
          <t>Very high</t>
        </is>
      </c>
      <c r="J24" s="18" t="n">
        <v>5</v>
      </c>
      <c r="K24" s="18" t="inlineStr">
        <is>
          <t>Teams needed an agreed way to say how reliable a service must be, so measurements, targets and contracts were separated.</t>
        </is>
      </c>
      <c r="L24" s="18" t="inlineStr">
        <is>
          <t>Pick SLIs that reflect what users feel, and set SLOs a little tighter than any SLA.</t>
        </is>
      </c>
      <c r="M24" s="18" t="inlineStr">
        <is>
          <t>The SLI is the thermometer, the SLO is the target temperature, and the SLA is the signed promise with penalties.</t>
        </is>
      </c>
      <c r="N24" s="18" t="inlineStr">
        <is>
          <t>A graph of a measured value against a target line and a contract line.</t>
        </is>
      </c>
      <c r="O24" s="18" t="inlineStr">
        <is>
          <t>The clarity of an agreed definition of good.</t>
        </is>
      </c>
      <c r="P24" s="18" t="inlineStr">
        <is>
          <t>An SLI is a measured indicator such as the share of successful requests, an SLO is the target for that indicator over a period, and an SLA is a contract with consequences if the service falls below an agreed level.</t>
        </is>
      </c>
      <c r="Q24" s="17" t="n"/>
      <c r="R24" s="18" t="inlineStr">
        <is>
          <t>A typical SLI is requests that succeed within 300 ms. An SLO might say 99.9 percent over thirty days. The SLA, if any, is looser and has penalties such as credits. SLOs guide engineering decisions and alerts. Targets of one hundred percent are impossible and too costly.</t>
        </is>
      </c>
      <c r="S24" s="18" t="inlineStr">
        <is>
          <t>Measure it, set a target, and promise less than you target.</t>
        </is>
      </c>
      <c r="T24" s="18" t="inlineStr">
        <is>
          <t>The SLI is the thermometer, the SLO is the target temperature, and the SLA is the signed promise.</t>
        </is>
      </c>
      <c r="U24" s="18" t="inlineStr">
        <is>
          <t>SLI = measurement. SLO = target. SLA = contract.</t>
        </is>
      </c>
      <c r="V24" s="18" t="inlineStr">
        <is>
          <t>SLI: percent of requests answered under 300 ms.</t>
        </is>
      </c>
      <c r="W24" s="18" t="inlineStr">
        <is>
          <t>SLO: 99.9 percent over thirty days.</t>
        </is>
      </c>
      <c r="X24" s="18" t="inlineStr">
        <is>
          <t>SLA: service credits if availability drops below 99.5 percent.</t>
        </is>
      </c>
      <c r="Y24" s="18" t="inlineStr">
        <is>
          <t>error budgets, alerts, percentiles, incident response</t>
        </is>
      </c>
      <c r="Z24" s="18" t="inlineStr">
        <is>
          <t>SLI, SLO, SLA, availability, target</t>
        </is>
      </c>
      <c r="AA24" s="18" t="inlineStr">
        <is>
          <t>Reliability work | Customer contracts | Reviews</t>
        </is>
      </c>
      <c r="AB24" s="18" t="inlineStr">
        <is>
          <t>A: What does reliable mean for this API? | B: Ninety-nine point nine percent of requests succeed under 300 ms.</t>
        </is>
      </c>
      <c r="AC24" s="18" t="inlineStr">
        <is>
          <t>✗ An SLO and an SLA are the same → ✓ An SLO is an internal target, an SLA is a contract with penalties</t>
        </is>
      </c>
      <c r="AD24" s="18" t="inlineStr">
        <is>
          <t>SLO vs SLA: internal goal versus external promise.</t>
        </is>
      </c>
      <c r="AE24" s="18" t="inlineStr">
        <is>
          <t>Do not promise one hundred percent.</t>
        </is>
      </c>
      <c r="AF24" s="18" t="inlineStr">
        <is>
          <t>Measure, target, promise, in that order.</t>
        </is>
      </c>
      <c r="AG24" s="18" t="inlineStr">
        <is>
          <t>Defining SLOs gave a customer team an objective way to decide when to pause releases.</t>
        </is>
      </c>
      <c r="AH24" s="18" t="inlineStr">
        <is>
          <t>An interviewer may ask: What is the difference between SLI, SLO and SLA?</t>
        </is>
      </c>
      <c r="AI24" s="18" t="inlineStr">
        <is>
          <t>It is like a thermometer, a target and a promise.</t>
        </is>
      </c>
      <c r="AJ24" s="18" t="inlineStr">
        <is>
          <t>Which one is a contract?</t>
        </is>
      </c>
      <c r="AK24" s="18" t="inlineStr">
        <is>
          <t>A) SLO B) Dashboard C) SLI D) SLA</t>
        </is>
      </c>
      <c r="AL24" s="18" t="inlineStr">
        <is>
          <t>D</t>
        </is>
      </c>
      <c r="AM24" s="18" t="inlineStr">
        <is>
          <t>The agreement carries consequences.</t>
        </is>
      </c>
      <c r="AN24" s="18" t="inlineStr">
        <is>
          <t>The measured indicator is the ____ → SLI</t>
        </is>
      </c>
      <c r="AO24" s="18" t="inlineStr">
        <is>
          <t>A customer wants a measurable goal for availability. What do you define? → An SLO</t>
        </is>
      </c>
      <c r="AP24" s="18" t="inlineStr">
        <is>
          <t>Explain SLI, SLO and SLA in three lines.</t>
        </is>
      </c>
      <c r="AQ24" s="18" t="inlineStr">
        <is>
          <t>Write an SLI and an SLO for a login API.</t>
        </is>
      </c>
      <c r="AR24" s="17">
        <f>IF(J24="","",REPT("★",J24)&amp;REPT("☆",5-J24)&amp;" ("&amp;J24&amp;"/5)")</f>
        <v/>
      </c>
      <c r="AS24" s="17">
        <f>IF(Q24="","","Meaning: "&amp;Q24&amp;"  =  ______   (Answer: "&amp;F24&amp;")")</f>
        <v/>
      </c>
      <c r="AT24" s="17" t="inlineStr">
        <is>
          <t>New</t>
        </is>
      </c>
      <c r="AU24" s="17" t="n"/>
      <c r="AV24" s="17" t="n"/>
      <c r="AW24" s="17" t="n"/>
      <c r="AX24" s="17" t="n"/>
      <c r="AY24" s="17" t="n"/>
      <c r="AZ24" s="17" t="n"/>
      <c r="BA24" s="17" t="n"/>
      <c r="BB24" s="17" t="n"/>
    </row>
    <row r="25" ht="94.5" customHeight="1">
      <c r="A25" s="17" t="inlineStr">
        <is>
          <t>OBS-026</t>
        </is>
      </c>
      <c r="B25" s="17" t="inlineStr">
        <is>
          <t>05 Reliability Practice</t>
        </is>
      </c>
      <c r="C25" s="17" t="inlineStr">
        <is>
          <t>Advanced</t>
        </is>
      </c>
      <c r="D25" s="17" t="n">
        <v>26</v>
      </c>
      <c r="E25" s="17" t="inlineStr">
        <is>
          <t>Claude knowledge</t>
        </is>
      </c>
      <c r="F25" s="18" t="inlineStr">
        <is>
          <t>Error budgets</t>
        </is>
      </c>
      <c r="G25" s="18" t="inlineStr">
        <is>
          <t>How much unreliability may you spend before you must slow down releases?</t>
        </is>
      </c>
      <c r="H25" s="18" t="inlineStr">
        <is>
          <t>Core concept</t>
        </is>
      </c>
      <c r="I25" s="18" t="inlineStr">
        <is>
          <t>High</t>
        </is>
      </c>
      <c r="J25" s="18" t="n">
        <v>4</v>
      </c>
      <c r="K25" s="18" t="inlineStr">
        <is>
          <t>Perfect reliability blocks progress, so the gap between the target and one hundred percent becomes a budget to spend on change.</t>
        </is>
      </c>
      <c r="L25" s="18" t="inlineStr">
        <is>
          <t>Use burn rate alerts to see how fast the budget is being used.</t>
        </is>
      </c>
      <c r="M25" s="18" t="inlineStr">
        <is>
          <t>An error budget is a monthly allowance you can spend on risk and must stop spending when it runs out.</t>
        </is>
      </c>
      <c r="N25" s="18" t="inlineStr">
        <is>
          <t>A bar of budget shrinking over a month.</t>
        </is>
      </c>
      <c r="O25" s="18" t="inlineStr">
        <is>
          <t>The fairness of a shared rule about risk.</t>
        </is>
      </c>
      <c r="P25" s="18" t="inlineStr">
        <is>
          <t>An error budget is the allowed amount of failure implied by an SLO, such as 0.1 percent over thirty days, used to balance feature work against reliability work.</t>
        </is>
      </c>
      <c r="Q25" s="17" t="n"/>
      <c r="R25" s="18" t="inlineStr">
        <is>
          <t>A 99.9 percent SLO over thirty days allows about 43 minutes of downtime. When the budget is healthy, teams can ship faster. When it is spent, effort shifts to stability. Burn rate alerts fire when the budget is consumed too quickly. It turns reliability debates into shared numbers.</t>
        </is>
      </c>
      <c r="S25" s="18" t="inlineStr">
        <is>
          <t>The budget is the allowed failure, and you slow down when it is gone.</t>
        </is>
      </c>
      <c r="T25" s="18" t="inlineStr">
        <is>
          <t>An error budget is a monthly allowance you can spend on risk and must stop spending when it runs out.</t>
        </is>
      </c>
      <c r="U25" s="18" t="inlineStr">
        <is>
          <t>Budget = 100 percent minus the SLO.</t>
        </is>
      </c>
      <c r="V25" s="18" t="inlineStr">
        <is>
          <t>99.9 percent allows about 43 minutes a month.</t>
        </is>
      </c>
      <c r="W25" s="18" t="inlineStr">
        <is>
          <t>Pausing releases when the budget is spent.</t>
        </is>
      </c>
      <c r="X25" s="18" t="inlineStr">
        <is>
          <t>An alert at fast burn rate.</t>
        </is>
      </c>
      <c r="Y25" s="18" t="inlineStr">
        <is>
          <t>SLI SLO SLA, alerts, incident response, postmortems</t>
        </is>
      </c>
      <c r="Z25" s="18" t="inlineStr">
        <is>
          <t>budget, burn rate, allowance, SLO, downtime</t>
        </is>
      </c>
      <c r="AA25" s="18" t="inlineStr">
        <is>
          <t>Reliability engineering | Release planning | Reviews</t>
        </is>
      </c>
      <c r="AB25" s="18" t="inlineStr">
        <is>
          <t>A: Can we ship this risky change? | B: The budget is healthy, so yes, but watch the burn rate.</t>
        </is>
      </c>
      <c r="AC25" s="18" t="inlineStr">
        <is>
          <t>✗ Any downtime breaks the rules → ✓ Some failure is budgeted and acceptable</t>
        </is>
      </c>
      <c r="AD25" s="18" t="inlineStr">
        <is>
          <t>Budget vs target: the target is the goal, the budget is the allowed gap.</t>
        </is>
      </c>
      <c r="AE25" s="18" t="inlineStr">
        <is>
          <t>Do not ignore a spent budget.</t>
        </is>
      </c>
      <c r="AF25" s="18" t="inlineStr">
        <is>
          <t>When the budget is gone, fix before you ship.</t>
        </is>
      </c>
      <c r="AG25" s="18" t="inlineStr">
        <is>
          <t>An error budget policy gave product and engineering one shared rule for release pauses.</t>
        </is>
      </c>
      <c r="AH25" s="18" t="inlineStr">
        <is>
          <t>An interviewer may ask: What happens when an error budget is exhausted?</t>
        </is>
      </c>
      <c r="AI25" s="18" t="inlineStr">
        <is>
          <t>It is like a monthly allowance for risk.</t>
        </is>
      </c>
      <c r="AJ25" s="18" t="inlineStr">
        <is>
          <t>What does a 99.9 percent SLO leave as budget?</t>
        </is>
      </c>
      <c r="AK25" s="18" t="inlineStr">
        <is>
          <t>A) Nothing B) 10 percent C) 0.1 percent D) 99.9 percent</t>
        </is>
      </c>
      <c r="AL25" s="18" t="inlineStr">
        <is>
          <t>C</t>
        </is>
      </c>
      <c r="AM25" s="18" t="inlineStr">
        <is>
          <t>The remaining share is the budget.</t>
        </is>
      </c>
      <c r="AN25" s="18" t="inlineStr">
        <is>
          <t>How quickly the budget is used is the ____ rate → burn</t>
        </is>
      </c>
      <c r="AO25" s="18" t="inlineStr">
        <is>
          <t>The monthly budget is spent in week one. What should the team do? → Focus on reliability before more releases</t>
        </is>
      </c>
      <c r="AP25" s="18" t="inlineStr">
        <is>
          <t>Explain error budgets in three lines.</t>
        </is>
      </c>
      <c r="AQ25" s="18" t="inlineStr">
        <is>
          <t>Calculate the monthly downtime allowed by 99.95 percent.</t>
        </is>
      </c>
      <c r="AR25" s="17">
        <f>IF(J25="","",REPT("★",J25)&amp;REPT("☆",5-J25)&amp;" ("&amp;J25&amp;"/5)")</f>
        <v/>
      </c>
      <c r="AS25" s="17">
        <f>IF(Q25="","","Meaning: "&amp;Q25&amp;"  =  ______   (Answer: "&amp;F25&amp;")")</f>
        <v/>
      </c>
      <c r="AT25" s="17" t="inlineStr">
        <is>
          <t>New</t>
        </is>
      </c>
      <c r="AU25" s="17" t="n"/>
      <c r="AV25" s="17" t="n"/>
      <c r="AW25" s="17" t="n"/>
      <c r="AX25" s="17" t="n"/>
      <c r="AY25" s="17" t="n"/>
      <c r="AZ25" s="17" t="n"/>
      <c r="BA25" s="17" t="n"/>
      <c r="BB25" s="17" t="n"/>
    </row>
    <row r="26" ht="94.5" customHeight="1">
      <c r="A26" s="17" t="inlineStr">
        <is>
          <t>OBS-027</t>
        </is>
      </c>
      <c r="B26" s="17" t="inlineStr">
        <is>
          <t>05 Reliability Practice</t>
        </is>
      </c>
      <c r="C26" s="17" t="inlineStr">
        <is>
          <t>Intermediate</t>
        </is>
      </c>
      <c r="D26" s="17" t="n">
        <v>27</v>
      </c>
      <c r="E26" s="17" t="inlineStr">
        <is>
          <t>Claude knowledge</t>
        </is>
      </c>
      <c r="F26" s="18" t="inlineStr">
        <is>
          <t>Alert fatigue</t>
        </is>
      </c>
      <c r="G26" s="18" t="inlineStr">
        <is>
          <t>What happens when people get too many alerts and how do you prevent it?</t>
        </is>
      </c>
      <c r="H26" s="18" t="inlineStr">
        <is>
          <t>Core concept</t>
        </is>
      </c>
      <c r="I26" s="18" t="inlineStr">
        <is>
          <t>Very high</t>
        </is>
      </c>
      <c r="J26" s="18" t="n">
        <v>5</v>
      </c>
      <c r="K26" s="18" t="inlineStr">
        <is>
          <t>Noisy alerts train people to ignore them, so real incidents get missed.</t>
        </is>
      </c>
      <c r="L26" s="18" t="inlineStr">
        <is>
          <t>Review alerts after each on-call week, and delete or fix the noisy ones.</t>
        </is>
      </c>
      <c r="M26" s="18" t="inlineStr">
        <is>
          <t>Alert fatigue is the boy who cried wolf, repeated until nobody comes.</t>
        </is>
      </c>
      <c r="N26" s="18" t="inlineStr">
        <is>
          <t>A phone screen buried under a long pile of notifications.</t>
        </is>
      </c>
      <c r="O26" s="18" t="inlineStr">
        <is>
          <t>The weariness of being woken for nothing.</t>
        </is>
      </c>
      <c r="P26" s="18" t="inlineStr">
        <is>
          <t>Alert fatigue is the desensitisation of responders caused by frequent, low-value or duplicated alerts, which leads to slow or missed responses.</t>
        </is>
      </c>
      <c r="Q26" s="17" t="n"/>
      <c r="R26" s="18" t="inlineStr">
        <is>
          <t>Causes include thresholds that are too sensitive, alerts on causes instead of symptoms and duplicate alerts for one problem. Fixes are to alert on user-facing symptoms, add durations, group related alerts, remove unactionable ones and route low urgency to tickets. Track pages per shift as a health measure.</t>
        </is>
      </c>
      <c r="S26" s="18" t="inlineStr">
        <is>
          <t>Send fewer and better alerts so people stay responsive.</t>
        </is>
      </c>
      <c r="T26" s="18" t="inlineStr">
        <is>
          <t>Alert fatigue is the boy who cried wolf, repeated until nobody comes.</t>
        </is>
      </c>
      <c r="U26" s="18" t="inlineStr">
        <is>
          <t>Every page must be urgent, actionable and real.</t>
        </is>
      </c>
      <c r="V26" s="18" t="inlineStr">
        <is>
          <t>Removing an alert that fired daily with no action.</t>
        </is>
      </c>
      <c r="W26" s="18" t="inlineStr">
        <is>
          <t>Grouping fifty alerts into one incident.</t>
        </is>
      </c>
      <c r="X26" s="18" t="inlineStr">
        <is>
          <t>Moving a warning to a daily ticket.</t>
        </is>
      </c>
      <c r="Y26" s="18" t="inlineStr">
        <is>
          <t>alerts, on-call, runbooks, SLOs</t>
        </is>
      </c>
      <c r="Z26" s="18" t="inlineStr">
        <is>
          <t>fatigue, noise, grouping, actionable, flapping</t>
        </is>
      </c>
      <c r="AA26" s="18" t="inlineStr">
        <is>
          <t>On-call | Operations | Team health</t>
        </is>
      </c>
      <c r="AB26" s="18" t="inlineStr">
        <is>
          <t>A: I ignore the pager now, it is always noise. | B: That is alert fatigue, so let us fix the rules.</t>
        </is>
      </c>
      <c r="AC26" s="18" t="inlineStr">
        <is>
          <t>✗ More alerts make the system safer → ✓ Noise hides real problems</t>
        </is>
      </c>
      <c r="AD26" s="18" t="inlineStr">
        <is>
          <t>Actionable vs noisy: actionable alerts need a person, noisy ones do not.</t>
        </is>
      </c>
      <c r="AE26" s="18" t="inlineStr">
        <is>
          <t>Do not keep alerts nobody acts on.</t>
        </is>
      </c>
      <c r="AF26" s="18" t="inlineStr">
        <is>
          <t>Every page needs a person and an action.</t>
        </is>
      </c>
      <c r="AG26" s="18" t="inlineStr">
        <is>
          <t>Deleting noisy alerts improved response to real incidents.</t>
        </is>
      </c>
      <c r="AH26" s="18" t="inlineStr">
        <is>
          <t>An interviewer may ask: How do you reduce alert fatigue?</t>
        </is>
      </c>
      <c r="AI26" s="18" t="inlineStr">
        <is>
          <t>It is like the boy who cried wolf.</t>
        </is>
      </c>
      <c r="AJ26" s="18" t="inlineStr">
        <is>
          <t>Which helps reduce alert fatigue?</t>
        </is>
      </c>
      <c r="AK26" s="18" t="inlineStr">
        <is>
          <t>A) Add more pages B) Alert on actionable symptoms C) Ignore reviews D) Alert on every metric</t>
        </is>
      </c>
      <c r="AL26" s="18" t="inlineStr">
        <is>
          <t>B</t>
        </is>
      </c>
      <c r="AM26" s="18" t="inlineStr">
        <is>
          <t>Fewer actionable alerts keep trust.</t>
        </is>
      </c>
      <c r="AN26" s="18" t="inlineStr">
        <is>
          <t>An alert that rapidly turns on and off is ____ → flapping</t>
        </is>
      </c>
      <c r="AO26" s="18" t="inlineStr">
        <is>
          <t>An alert fires daily and nobody acts. What do you do? → Remove or fix it</t>
        </is>
      </c>
      <c r="AP26" s="18" t="inlineStr">
        <is>
          <t>Explain alert fatigue in three lines.</t>
        </is>
      </c>
      <c r="AQ26" s="18" t="inlineStr">
        <is>
          <t>Review five alerts and decide which to keep.</t>
        </is>
      </c>
      <c r="AR26" s="17">
        <f>IF(J26="","",REPT("★",J26)&amp;REPT("☆",5-J26)&amp;" ("&amp;J26&amp;"/5)")</f>
        <v/>
      </c>
      <c r="AS26" s="17">
        <f>IF(Q26="","","Meaning: "&amp;Q26&amp;"  =  ______   (Answer: "&amp;F26&amp;")")</f>
        <v/>
      </c>
      <c r="AT26" s="17" t="inlineStr">
        <is>
          <t>New</t>
        </is>
      </c>
      <c r="AU26" s="17" t="n"/>
      <c r="AV26" s="17" t="n"/>
      <c r="AW26" s="17" t="n"/>
      <c r="AX26" s="17" t="n"/>
      <c r="AY26" s="17" t="n"/>
      <c r="AZ26" s="17" t="n"/>
      <c r="BA26" s="17" t="n"/>
      <c r="BB26" s="17" t="n"/>
    </row>
    <row r="27" ht="94.5" customHeight="1">
      <c r="A27" s="17" t="inlineStr">
        <is>
          <t>OBS-028</t>
        </is>
      </c>
      <c r="B27" s="17" t="inlineStr">
        <is>
          <t>05 Reliability Practice</t>
        </is>
      </c>
      <c r="C27" s="17" t="inlineStr">
        <is>
          <t>Intermediate</t>
        </is>
      </c>
      <c r="D27" s="17" t="n">
        <v>28</v>
      </c>
      <c r="E27" s="17" t="inlineStr">
        <is>
          <t>Claude knowledge</t>
        </is>
      </c>
      <c r="F27" s="18" t="inlineStr">
        <is>
          <t>On-call</t>
        </is>
      </c>
      <c r="G27" s="18" t="inlineStr">
        <is>
          <t>How do teams share responsibility for responding to problems at any hour?</t>
        </is>
      </c>
      <c r="H27" s="18" t="inlineStr">
        <is>
          <t>Core concept</t>
        </is>
      </c>
      <c r="I27" s="18" t="inlineStr">
        <is>
          <t>High</t>
        </is>
      </c>
      <c r="J27" s="18" t="n">
        <v>4</v>
      </c>
      <c r="K27" s="18" t="inlineStr">
        <is>
          <t>Services run all day, so engineers take turns being reachable to respond to incidents.</t>
        </is>
      </c>
      <c r="L27" s="18" t="inlineStr">
        <is>
          <t>Keep rotations fair, with handover notes and time off after hard shifts.</t>
        </is>
      </c>
      <c r="M27" s="18" t="inlineStr">
        <is>
          <t>On-call is a fire station crew taking turns on the night shift.</t>
        </is>
      </c>
      <c r="N27" s="18" t="inlineStr">
        <is>
          <t>A weekly rota with names and an escalation path.</t>
        </is>
      </c>
      <c r="O27" s="18" t="inlineStr">
        <is>
          <t>The calm of knowing someone is always responsible.</t>
        </is>
      </c>
      <c r="P27" s="18" t="inlineStr">
        <is>
          <t>On-call is a rotation in which engineers are available to respond to pages outside normal hours, with clear escalation, tools and support.</t>
        </is>
      </c>
      <c r="Q27" s="17" t="n"/>
      <c r="R27" s="18" t="inlineStr">
        <is>
          <t>A good rotation has enough people, a primary and a backup, and an escalation path. Responders need access, runbooks and authority to act. Pages should be rare and meaningful, and the load measured. Handover notes pass context. Compensation and rest are part of a healthy practice.</t>
        </is>
      </c>
      <c r="S27" s="18" t="inlineStr">
        <is>
          <t>Take turns, have a backup, and give responders what they need.</t>
        </is>
      </c>
      <c r="T27" s="18" t="inlineStr">
        <is>
          <t>On-call is a fire station crew taking turns on the night shift.</t>
        </is>
      </c>
      <c r="U27" s="18" t="inlineStr">
        <is>
          <t>Rota + escalation + runbooks + rest.</t>
        </is>
      </c>
      <c r="V27" s="18" t="inlineStr">
        <is>
          <t>A weekly primary and secondary rota.</t>
        </is>
      </c>
      <c r="W27" s="18" t="inlineStr">
        <is>
          <t>Escalating to a manager after fifteen minutes.</t>
        </is>
      </c>
      <c r="X27" s="18" t="inlineStr">
        <is>
          <t>A handover note listing open issues.</t>
        </is>
      </c>
      <c r="Y27" s="18" t="inlineStr">
        <is>
          <t>alerts, runbooks, incident response, alert fatigue</t>
        </is>
      </c>
      <c r="Z27" s="18" t="inlineStr">
        <is>
          <t>rota, escalation, primary, handover, pager</t>
        </is>
      </c>
      <c r="AA27" s="18" t="inlineStr">
        <is>
          <t>Operations | Platform teams | Customer support</t>
        </is>
      </c>
      <c r="AB27" s="18" t="inlineStr">
        <is>
          <t>A: Who gets the page tonight? | B: The primary, and the backup if there is no answer in ten minutes.</t>
        </is>
      </c>
      <c r="AC27" s="18" t="inlineStr">
        <is>
          <t>✗ On-call means one hero always available → ✓ A shared, fair rotation is sustainable</t>
        </is>
      </c>
      <c r="AD27" s="18" t="inlineStr">
        <is>
          <t>Primary vs secondary: the primary responds first, the secondary backs up.</t>
        </is>
      </c>
      <c r="AE27" s="18" t="inlineStr">
        <is>
          <t>Do not leave one person on call forever.</t>
        </is>
      </c>
      <c r="AF27" s="18" t="inlineStr">
        <is>
          <t>Share the load, back up the first.</t>
        </is>
      </c>
      <c r="AG27" s="18" t="inlineStr">
        <is>
          <t>Adding a secondary and runbooks made night pages easier to handle.</t>
        </is>
      </c>
      <c r="AH27" s="18" t="inlineStr">
        <is>
          <t>An interviewer may ask: How would you set up an on-call rotation?</t>
        </is>
      </c>
      <c r="AI27" s="18" t="inlineStr">
        <is>
          <t>It is like a fire station crew.</t>
        </is>
      </c>
      <c r="AJ27" s="18" t="inlineStr">
        <is>
          <t>What does escalation do?</t>
        </is>
      </c>
      <c r="AK27" s="18" t="inlineStr">
        <is>
          <t>A) Moves an unanswered page to the next person B) Lowers the severity C) Stops the rota D) Deletes the alert</t>
        </is>
      </c>
      <c r="AL27" s="18" t="inlineStr">
        <is>
          <t>A</t>
        </is>
      </c>
      <c r="AM27" s="18" t="inlineStr">
        <is>
          <t>It ensures someone responds.</t>
        </is>
      </c>
      <c r="AN27" s="18" t="inlineStr">
        <is>
          <t>Notes passed between shifts are a ____ → handover</t>
        </is>
      </c>
      <c r="AO27" s="18" t="inlineStr">
        <is>
          <t>A page is unanswered for ten minutes. What happens? → It escalates to the secondary</t>
        </is>
      </c>
      <c r="AP27" s="18" t="inlineStr">
        <is>
          <t>Explain on-call in three lines.</t>
        </is>
      </c>
      <c r="AQ27" s="18" t="inlineStr">
        <is>
          <t>Design a fair weekly rota for four engineers.</t>
        </is>
      </c>
      <c r="AR27" s="17">
        <f>IF(J27="","",REPT("★",J27)&amp;REPT("☆",5-J27)&amp;" ("&amp;J27&amp;"/5)")</f>
        <v/>
      </c>
      <c r="AS27" s="17">
        <f>IF(Q27="","","Meaning: "&amp;Q27&amp;"  =  ______   (Answer: "&amp;F27&amp;")")</f>
        <v/>
      </c>
      <c r="AT27" s="17" t="inlineStr">
        <is>
          <t>New</t>
        </is>
      </c>
      <c r="AU27" s="17" t="n"/>
      <c r="AV27" s="17" t="n"/>
      <c r="AW27" s="17" t="n"/>
      <c r="AX27" s="17" t="n"/>
      <c r="AY27" s="17" t="n"/>
      <c r="AZ27" s="17" t="n"/>
      <c r="BA27" s="17" t="n"/>
      <c r="BB27" s="17" t="n"/>
    </row>
    <row r="28" ht="81" customHeight="1">
      <c r="A28" s="17" t="inlineStr">
        <is>
          <t>OBS-029</t>
        </is>
      </c>
      <c r="B28" s="17" t="inlineStr">
        <is>
          <t>05 Reliability Practice</t>
        </is>
      </c>
      <c r="C28" s="17" t="inlineStr">
        <is>
          <t>Intermediate</t>
        </is>
      </c>
      <c r="D28" s="17" t="n">
        <v>29</v>
      </c>
      <c r="E28" s="17" t="inlineStr">
        <is>
          <t>Claude knowledge</t>
        </is>
      </c>
      <c r="F28" s="18" t="inlineStr">
        <is>
          <t>Runbooks</t>
        </is>
      </c>
      <c r="G28" s="18" t="inlineStr">
        <is>
          <t>Which documents tell a responder what to check and do for a known alert?</t>
        </is>
      </c>
      <c r="H28" s="18" t="inlineStr">
        <is>
          <t>Core concept</t>
        </is>
      </c>
      <c r="I28" s="18" t="inlineStr">
        <is>
          <t>Very high</t>
        </is>
      </c>
      <c r="J28" s="18" t="n">
        <v>5</v>
      </c>
      <c r="K28" s="18" t="inlineStr">
        <is>
          <t>At three in the morning nobody remembers details, so steps are written down in advance.</t>
        </is>
      </c>
      <c r="L28" s="18" t="inlineStr">
        <is>
          <t>Link each alert to a runbook and update it after each incident.</t>
        </is>
      </c>
      <c r="M28" s="18" t="inlineStr">
        <is>
          <t>A runbook is a recipe card for a fire, kept next to the alarm.</t>
        </is>
      </c>
      <c r="N28" s="18" t="inlineStr">
        <is>
          <t>An alert with a link to a checklist page.</t>
        </is>
      </c>
      <c r="O28" s="18" t="inlineStr">
        <is>
          <t>The comfort of clear steps under pressure.</t>
        </is>
      </c>
      <c r="P28" s="18" t="inlineStr">
        <is>
          <t>A runbook is a concise, tested document that explains what an alert means, how to check impact, what to try first and whom to escalate to.</t>
        </is>
      </c>
      <c r="Q28" s="17" t="n"/>
      <c r="R28" s="18" t="inlineStr">
        <is>
          <t>Good runbooks start with the symptom, show quick diagnostic commands, list safe fixes and risks, and say when to escalate. They are short and kept near the code. After incidents, gaps are fixed. Steps can later be automated. Outdated runbooks are worse than none.</t>
        </is>
      </c>
      <c r="S28" s="18" t="inlineStr">
        <is>
          <t>Write the steps for each alert, keep them short, and fix them after every incident.</t>
        </is>
      </c>
      <c r="T28" s="18" t="inlineStr">
        <is>
          <t>A runbook is a recipe card for a fire, kept next to the alarm.</t>
        </is>
      </c>
      <c r="U28" s="18" t="inlineStr">
        <is>
          <t>Symptom, check, fix, escalate.</t>
        </is>
      </c>
      <c r="V28" s="18" t="inlineStr">
        <is>
          <t>A runbook for high error rate listing the first three checks.</t>
        </is>
      </c>
      <c r="W28" s="18" t="inlineStr">
        <is>
          <t>A command to restart a stuck worker safely.</t>
        </is>
      </c>
      <c r="X28" s="18" t="inlineStr">
        <is>
          <t>Contact details for the database owner.</t>
        </is>
      </c>
      <c r="Y28" s="18" t="inlineStr">
        <is>
          <t>alerts, on-call, incident response, postmortems</t>
        </is>
      </c>
      <c r="Z28" s="18" t="inlineStr">
        <is>
          <t>runbook, playbook, checklist, escalation, automation</t>
        </is>
      </c>
      <c r="AA28" s="18" t="inlineStr">
        <is>
          <t>On-call | Operations | Support</t>
        </is>
      </c>
      <c r="AB28" s="18" t="inlineStr">
        <is>
          <t>A: What do I do about this alert? | B: Open its runbook and follow the first checks.</t>
        </is>
      </c>
      <c r="AC28" s="18" t="inlineStr">
        <is>
          <t>✗ Runbooks can be written once and forgotten → ✓ They must be updated after each incident</t>
        </is>
      </c>
      <c r="AD28" s="18" t="inlineStr">
        <is>
          <t>Runbook vs postmortem: a runbook prepares for the next one, a postmortem reviews the last.</t>
        </is>
      </c>
      <c r="AE28" s="18" t="inlineStr">
        <is>
          <t>Do not leave alerts without runbooks.</t>
        </is>
      </c>
      <c r="AF28" s="18" t="inlineStr">
        <is>
          <t>Each alert links to a recipe card.</t>
        </is>
      </c>
      <c r="AG28" s="18" t="inlineStr">
        <is>
          <t>Adding runbooks cut the time new engineers needed to handle common alerts.</t>
        </is>
      </c>
      <c r="AH28" s="18" t="inlineStr">
        <is>
          <t>An interviewer may ask: What belongs in a runbook?</t>
        </is>
      </c>
      <c r="AI28" s="18" t="inlineStr">
        <is>
          <t>It is like a recipe card kept next to the alarm.</t>
        </is>
      </c>
      <c r="AJ28" s="18" t="inlineStr">
        <is>
          <t>What should every alert link to?</t>
        </is>
      </c>
      <c r="AK28" s="18" t="inlineStr">
        <is>
          <t>A) A login page B) A price list C) A runbook D) A poem</t>
        </is>
      </c>
      <c r="AL28" s="18" t="inlineStr">
        <is>
          <t>C</t>
        </is>
      </c>
      <c r="AM28" s="18" t="inlineStr">
        <is>
          <t>Responders need steps.</t>
        </is>
      </c>
      <c r="AN28" s="18" t="inlineStr">
        <is>
          <t>Another common name for a runbook is a ____ → playbook</t>
        </is>
      </c>
      <c r="AO28" s="18" t="inlineStr">
        <is>
          <t>A new alert has no steps. What do you write? → A runbook</t>
        </is>
      </c>
      <c r="AP28" s="18" t="inlineStr">
        <is>
          <t>Explain runbooks in three lines.</t>
        </is>
      </c>
      <c r="AQ28" s="18" t="inlineStr">
        <is>
          <t>Write a runbook for a high error rate alert.</t>
        </is>
      </c>
      <c r="AR28" s="17">
        <f>IF(J28="","",REPT("★",J28)&amp;REPT("☆",5-J28)&amp;" ("&amp;J28&amp;"/5)")</f>
        <v/>
      </c>
      <c r="AS28" s="17">
        <f>IF(Q28="","","Meaning: "&amp;Q28&amp;"  =  ______   (Answer: "&amp;F28&amp;")")</f>
        <v/>
      </c>
      <c r="AT28" s="17" t="inlineStr">
        <is>
          <t>New</t>
        </is>
      </c>
      <c r="AU28" s="17" t="n"/>
      <c r="AV28" s="17" t="n"/>
      <c r="AW28" s="17" t="n"/>
      <c r="AX28" s="17" t="n"/>
      <c r="AY28" s="17" t="n"/>
      <c r="AZ28" s="17" t="n"/>
      <c r="BA28" s="17" t="n"/>
      <c r="BB28" s="17" t="n"/>
    </row>
    <row r="29" ht="94.5" customHeight="1">
      <c r="A29" s="17" t="inlineStr">
        <is>
          <t>OBS-030</t>
        </is>
      </c>
      <c r="B29" s="17" t="inlineStr">
        <is>
          <t>05 Reliability Practice</t>
        </is>
      </c>
      <c r="C29" s="17" t="inlineStr">
        <is>
          <t>Intermediate</t>
        </is>
      </c>
      <c r="D29" s="17" t="n">
        <v>30</v>
      </c>
      <c r="E29" s="17" t="inlineStr">
        <is>
          <t>Claude knowledge</t>
        </is>
      </c>
      <c r="F29" s="18" t="inlineStr">
        <is>
          <t>Incident response</t>
        </is>
      </c>
      <c r="G29" s="18" t="inlineStr">
        <is>
          <t>How do teams organise during a live outage?</t>
        </is>
      </c>
      <c r="H29" s="18" t="inlineStr">
        <is>
          <t>Core concept</t>
        </is>
      </c>
      <c r="I29" s="18" t="inlineStr">
        <is>
          <t>Very high</t>
        </is>
      </c>
      <c r="J29" s="18" t="n">
        <v>5</v>
      </c>
      <c r="K29" s="18" t="inlineStr">
        <is>
          <t>Chaos during outages slows recovery, so roles and steps are agreed in advance.</t>
        </is>
      </c>
      <c r="L29" s="18" t="inlineStr">
        <is>
          <t>Fix impact first, then find the root cause later.</t>
        </is>
      </c>
      <c r="M29" s="18" t="inlineStr">
        <is>
          <t>Incident response is a fire drill with clear roles and one commander.</t>
        </is>
      </c>
      <c r="N29" s="18" t="inlineStr">
        <is>
          <t>A war room with roles for commander, scribe and communicator.</t>
        </is>
      </c>
      <c r="O29" s="18" t="inlineStr">
        <is>
          <t>The calm of an organised response.</t>
        </is>
      </c>
      <c r="P29" s="18" t="inlineStr">
        <is>
          <t>Incident response is the process of detecting, triaging, mitigating, communicating and resolving a service disruption, usually with defined roles such as incident commander, operations lead and communicator.</t>
        </is>
      </c>
      <c r="Q29" s="17" t="n"/>
      <c r="R29" s="18" t="inlineStr">
        <is>
          <t>Steps are declare the incident, assign roles, assess impact, mitigate by rollback or failover, communicate status and then resolve. The commander coordinates and does not debug. A scribe records a timeline. Mitigation comes before root cause. Severity levels guide urgency and who is told.</t>
        </is>
      </c>
      <c r="S29" s="18" t="inlineStr">
        <is>
          <t>Declare, assign roles, restore service first, communicate, and learn after.</t>
        </is>
      </c>
      <c r="T29" s="18" t="inlineStr">
        <is>
          <t>Incident response is a fire drill with clear roles and one commander.</t>
        </is>
      </c>
      <c r="U29" s="18" t="inlineStr">
        <is>
          <t>Detect, assign, mitigate, communicate, resolve, review.</t>
        </is>
      </c>
      <c r="V29" s="18" t="inlineStr">
        <is>
          <t>Rolling back a release to restore service.</t>
        </is>
      </c>
      <c r="W29" s="18" t="inlineStr">
        <is>
          <t>A status update every thirty minutes.</t>
        </is>
      </c>
      <c r="X29" s="18" t="inlineStr">
        <is>
          <t>A scribe noting each action with time.</t>
        </is>
      </c>
      <c r="Y29" s="18" t="inlineStr">
        <is>
          <t>runbooks, postmortems, status pages, on-call</t>
        </is>
      </c>
      <c r="Z29" s="18" t="inlineStr">
        <is>
          <t>incident, commander, severity, mitigation, timeline</t>
        </is>
      </c>
      <c r="AA29" s="18" t="inlineStr">
        <is>
          <t>Outages | Operations | Customer support</t>
        </is>
      </c>
      <c r="AB29" s="18" t="inlineStr">
        <is>
          <t>A: Should we find the root cause now? | B: First restore service, then investigate.</t>
        </is>
      </c>
      <c r="AC29" s="18" t="inlineStr">
        <is>
          <t>✗ The best engineer should lead and debug at once → ✓ The commander coordinates, others debug</t>
        </is>
      </c>
      <c r="AD29" s="18" t="inlineStr">
        <is>
          <t>Mitigation vs root cause fix: mitigation restores service, the fix prevents recurrence.</t>
        </is>
      </c>
      <c r="AE29" s="18" t="inlineStr">
        <is>
          <t>Do not debug without a clear coordinator.</t>
        </is>
      </c>
      <c r="AF29" s="18" t="inlineStr">
        <is>
          <t>Restore service first, understand the cause later.</t>
        </is>
      </c>
      <c r="AG29" s="18" t="inlineStr">
        <is>
          <t>Assigning a commander shortened a multi-team outage that had been chaotic.</t>
        </is>
      </c>
      <c r="AH29" s="18" t="inlineStr">
        <is>
          <t>An interviewer may ask: What do you do first in an incident?</t>
        </is>
      </c>
      <c r="AI29" s="18" t="inlineStr">
        <is>
          <t>It is like a fire drill.</t>
        </is>
      </c>
      <c r="AJ29" s="18" t="inlineStr">
        <is>
          <t>What comes before root cause analysis?</t>
        </is>
      </c>
      <c r="AK29" s="18" t="inlineStr">
        <is>
          <t>A) A rewrite B) A holiday C) A new feature D) Mitigation</t>
        </is>
      </c>
      <c r="AL29" s="18" t="inlineStr">
        <is>
          <t>D</t>
        </is>
      </c>
      <c r="AM29" s="18" t="inlineStr">
        <is>
          <t>Users need service restored first.</t>
        </is>
      </c>
      <c r="AN29" s="18" t="inlineStr">
        <is>
          <t>The person who coordinates an incident is the incident ____ → commander</t>
        </is>
      </c>
      <c r="AO29" s="18" t="inlineStr">
        <is>
          <t>An outage started after a release. What is the fastest mitigation? → Roll back</t>
        </is>
      </c>
      <c r="AP29" s="18" t="inlineStr">
        <is>
          <t>Explain incident response in three lines.</t>
        </is>
      </c>
      <c r="AQ29" s="18" t="inlineStr">
        <is>
          <t>List the roles and their jobs in a major incident.</t>
        </is>
      </c>
      <c r="AR29" s="17">
        <f>IF(J29="","",REPT("★",J29)&amp;REPT("☆",5-J29)&amp;" ("&amp;J29&amp;"/5)")</f>
        <v/>
      </c>
      <c r="AS29" s="17">
        <f>IF(Q29="","","Meaning: "&amp;Q29&amp;"  =  ______   (Answer: "&amp;F29&amp;")")</f>
        <v/>
      </c>
      <c r="AT29" s="17" t="inlineStr">
        <is>
          <t>New</t>
        </is>
      </c>
      <c r="AU29" s="17" t="n"/>
      <c r="AV29" s="17" t="n"/>
      <c r="AW29" s="17" t="n"/>
      <c r="AX29" s="17" t="n"/>
      <c r="AY29" s="17" t="n"/>
      <c r="AZ29" s="17" t="n"/>
      <c r="BA29" s="17" t="n"/>
      <c r="BB29" s="17" t="n"/>
    </row>
    <row r="30" ht="108" customHeight="1">
      <c r="A30" s="17" t="inlineStr">
        <is>
          <t>OBS-031</t>
        </is>
      </c>
      <c r="B30" s="17" t="inlineStr">
        <is>
          <t>05 Reliability Practice</t>
        </is>
      </c>
      <c r="C30" s="17" t="inlineStr">
        <is>
          <t>Intermediate</t>
        </is>
      </c>
      <c r="D30" s="17" t="n">
        <v>31</v>
      </c>
      <c r="E30" s="17" t="inlineStr">
        <is>
          <t>Claude knowledge</t>
        </is>
      </c>
      <c r="F30" s="18" t="inlineStr">
        <is>
          <t>Postmortems</t>
        </is>
      </c>
      <c r="G30" s="18" t="inlineStr">
        <is>
          <t>How do teams learn from incidents without blaming people?</t>
        </is>
      </c>
      <c r="H30" s="18" t="inlineStr">
        <is>
          <t>Core concept</t>
        </is>
      </c>
      <c r="I30" s="18" t="inlineStr">
        <is>
          <t>High</t>
        </is>
      </c>
      <c r="J30" s="18" t="n">
        <v>5</v>
      </c>
      <c r="K30" s="18" t="inlineStr">
        <is>
          <t>Repeating failures wastes effort, so teams review what happened and fix the system, not the person.</t>
        </is>
      </c>
      <c r="L30" s="18" t="inlineStr">
        <is>
          <t>Focus on causes and contributing factors, and track follow-up actions to completion.</t>
        </is>
      </c>
      <c r="M30" s="18" t="inlineStr">
        <is>
          <t>A postmortem is a flight recorder review that aims to improve the plane, not punish the pilot.</t>
        </is>
      </c>
      <c r="N30" s="18" t="inlineStr">
        <is>
          <t>A timeline of events with action items.</t>
        </is>
      </c>
      <c r="O30" s="18" t="inlineStr">
        <is>
          <t>The relief of learning without blame.</t>
        </is>
      </c>
      <c r="P30" s="18" t="inlineStr">
        <is>
          <t>A postmortem is a written, blameless review of an incident covering impact, timeline, causes, what went well and badly, and concrete follow-up actions.</t>
        </is>
      </c>
      <c r="Q30" s="17" t="n"/>
      <c r="R30" s="18" t="inlineStr">
        <is>
          <t>Blameless means treating mistakes as signs of system weaknesses. The document includes a timeline, root and contributing causes, detection and response analysis, and actions with owners and dates. It is shared widely. Fixes may include tests, alerts, automation and documentation. Actions that are never completed make the review pointless.</t>
        </is>
      </c>
      <c r="S30" s="18" t="inlineStr">
        <is>
          <t>Write what happened and why, without blame, and follow up on actions.</t>
        </is>
      </c>
      <c r="T30" s="18" t="inlineStr">
        <is>
          <t>A postmortem is a flight recorder review to improve the plane, not punish the pilot.</t>
        </is>
      </c>
      <c r="U30" s="18" t="inlineStr">
        <is>
          <t>Impact, timeline, causes, actions with owners.</t>
        </is>
      </c>
      <c r="V30" s="18" t="inlineStr">
        <is>
          <t>A review noting a missing alert as a contributing cause.</t>
        </is>
      </c>
      <c r="W30" s="18" t="inlineStr">
        <is>
          <t>An action to add a test, owned by one person.</t>
        </is>
      </c>
      <c r="X30" s="18" t="inlineStr">
        <is>
          <t>Sharing the document with the whole company.</t>
        </is>
      </c>
      <c r="Y30" s="18" t="inlineStr">
        <is>
          <t>incident response, runbooks, alerts, error budgets</t>
        </is>
      </c>
      <c r="Z30" s="18" t="inlineStr">
        <is>
          <t>postmortem, blameless, root cause, action item, timeline</t>
        </is>
      </c>
      <c r="AA30" s="18" t="inlineStr">
        <is>
          <t>After incidents | Reliability programs | Team learning</t>
        </is>
      </c>
      <c r="AB30" s="18" t="inlineStr">
        <is>
          <t>A: Who made the mistake? | B: Let us ask how the system allowed it, not who.</t>
        </is>
      </c>
      <c r="AC30" s="18" t="inlineStr">
        <is>
          <t>✗ A postmortem finds someone to blame → ✓ It finds system weaknesses and fixes</t>
        </is>
      </c>
      <c r="AD30" s="18" t="inlineStr">
        <is>
          <t>Blame vs blameless: blame hides facts, blameless invites them.</t>
        </is>
      </c>
      <c r="AE30" s="18" t="inlineStr">
        <is>
          <t>Do not leave action items without owners.</t>
        </is>
      </c>
      <c r="AF30" s="18" t="inlineStr">
        <is>
          <t>Ask how it happened, not who did it.</t>
        </is>
      </c>
      <c r="AG30" s="18" t="inlineStr">
        <is>
          <t>Blameless reviews led to a new alert that caught the next similar failure early.</t>
        </is>
      </c>
      <c r="AH30" s="18" t="inlineStr">
        <is>
          <t>An interviewer may ask: What is in a blameless postmortem?</t>
        </is>
      </c>
      <c r="AI30" s="18" t="inlineStr">
        <is>
          <t>It is like reviewing a flight recorder.</t>
        </is>
      </c>
      <c r="AJ30" s="18" t="inlineStr">
        <is>
          <t>What does blameless mean?</t>
        </is>
      </c>
      <c r="AK30" s="18" t="inlineStr">
        <is>
          <t>A) Blame the tool B) Focus on systems, not individuals C) No review D) Hide the facts</t>
        </is>
      </c>
      <c r="AL30" s="18" t="inlineStr">
        <is>
          <t>B</t>
        </is>
      </c>
      <c r="AM30" s="18" t="inlineStr">
        <is>
          <t>People share facts more freely.</t>
        </is>
      </c>
      <c r="AN30" s="18" t="inlineStr">
        <is>
          <t>Tasks created to prevent recurrence are ____ items → action</t>
        </is>
      </c>
      <c r="AO30" s="18" t="inlineStr">
        <is>
          <t>An incident exposed a missing alert. What goes in the review? → An action item with an owner to add it</t>
        </is>
      </c>
      <c r="AP30" s="18" t="inlineStr">
        <is>
          <t>Explain postmortems in three lines.</t>
        </is>
      </c>
      <c r="AQ30" s="18" t="inlineStr">
        <is>
          <t>Outline a postmortem for a one-hour outage.</t>
        </is>
      </c>
      <c r="AR30" s="17">
        <f>IF(J30="","",REPT("★",J30)&amp;REPT("☆",5-J30)&amp;" ("&amp;J30&amp;"/5)")</f>
        <v/>
      </c>
      <c r="AS30" s="17">
        <f>IF(Q30="","","Meaning: "&amp;Q30&amp;"  =  ______   (Answer: "&amp;F30&amp;")")</f>
        <v/>
      </c>
      <c r="AT30" s="17" t="inlineStr">
        <is>
          <t>New</t>
        </is>
      </c>
      <c r="AU30" s="17" t="n"/>
      <c r="AV30" s="17" t="n"/>
      <c r="AW30" s="17" t="n"/>
      <c r="AX30" s="17" t="n"/>
      <c r="AY30" s="17" t="n"/>
      <c r="AZ30" s="17" t="n"/>
      <c r="BA30" s="17" t="n"/>
      <c r="BB30" s="17" t="n"/>
    </row>
    <row r="31" ht="108" customHeight="1">
      <c r="A31" s="17" t="inlineStr">
        <is>
          <t>OBS-032</t>
        </is>
      </c>
      <c r="B31" s="17" t="inlineStr">
        <is>
          <t>05 Reliability Practice</t>
        </is>
      </c>
      <c r="C31" s="17" t="inlineStr">
        <is>
          <t>Beginner</t>
        </is>
      </c>
      <c r="D31" s="17" t="n">
        <v>32</v>
      </c>
      <c r="E31" s="17" t="inlineStr">
        <is>
          <t>Claude knowledge</t>
        </is>
      </c>
      <c r="F31" s="18" t="inlineStr">
        <is>
          <t>Status pages</t>
        </is>
      </c>
      <c r="G31" s="18" t="inlineStr">
        <is>
          <t>How do you tell customers about problems and progress during an outage?</t>
        </is>
      </c>
      <c r="H31" s="18" t="inlineStr">
        <is>
          <t>Core concept</t>
        </is>
      </c>
      <c r="I31" s="18" t="inlineStr">
        <is>
          <t>Medium</t>
        </is>
      </c>
      <c r="J31" s="18" t="n">
        <v>4</v>
      </c>
      <c r="K31" s="18" t="inlineStr">
        <is>
          <t>Customers who hear nothing assume the worst, so a public page gives honest updates.</t>
        </is>
      </c>
      <c r="L31" s="18" t="inlineStr">
        <is>
          <t>Post early, update on a schedule, and avoid blame or jargon.</t>
        </is>
      </c>
      <c r="M31" s="18" t="inlineStr">
        <is>
          <t>A status page is a notice board outside the shop during a power cut.</t>
        </is>
      </c>
      <c r="N31" s="18" t="inlineStr">
        <is>
          <t>A page with components and coloured status.</t>
        </is>
      </c>
      <c r="O31" s="18" t="inlineStr">
        <is>
          <t>The trust built by honest updates.</t>
        </is>
      </c>
      <c r="P31" s="18" t="inlineStr">
        <is>
          <t>A status page is a public or private page that shows current service health, active incidents and updates, hosted separately from the main system.</t>
        </is>
      </c>
      <c r="Q31" s="17" t="n"/>
      <c r="R31" s="18" t="inlineStr">
        <is>
          <t>It lists components with states such as operational, degraded and outage. During incidents, updates follow a pattern of investigating, identified, monitoring and resolved. The page must be hosted independently so it works during an outage. Subscriptions by email or chat reach users. Honest, plain wording builds trust, and history shows reliability.</t>
        </is>
      </c>
      <c r="S31" s="18" t="inlineStr">
        <is>
          <t>Tell customers early and often, in plain words, from a separate place.</t>
        </is>
      </c>
      <c r="T31" s="18" t="inlineStr">
        <is>
          <t>A status page is a notice board outside the shop during a power cut.</t>
        </is>
      </c>
      <c r="U31" s="18" t="inlineStr">
        <is>
          <t>Early, regular, honest, independent.</t>
        </is>
      </c>
      <c r="V31" s="18" t="inlineStr">
        <is>
          <t>An update saying investigating elevated errors.</t>
        </is>
      </c>
      <c r="W31" s="18" t="inlineStr">
        <is>
          <t>A component marked degraded.</t>
        </is>
      </c>
      <c r="X31" s="18" t="inlineStr">
        <is>
          <t>A resolved note with a short summary.</t>
        </is>
      </c>
      <c r="Y31" s="18" t="inlineStr">
        <is>
          <t>incident response, postmortems, SLAs, communication</t>
        </is>
      </c>
      <c r="Z31" s="18" t="inlineStr">
        <is>
          <t>status, component, update, subscribe, degraded</t>
        </is>
      </c>
      <c r="AA31" s="18" t="inlineStr">
        <is>
          <t>Customer communication | Incidents | SaaS</t>
        </is>
      </c>
      <c r="AB31" s="18" t="inlineStr">
        <is>
          <t>A: Customers are asking if we are down. | B: Post on the status page now and update every thirty minutes.</t>
        </is>
      </c>
      <c r="AC31" s="18" t="inlineStr">
        <is>
          <t>✗ Silence is better until we know the cause → ✓ Early honest updates reduce support load and build trust</t>
        </is>
      </c>
      <c r="AD31" s="18" t="inlineStr">
        <is>
          <t>Status page vs postmortem: one is live communication, the other is later analysis.</t>
        </is>
      </c>
      <c r="AE31" s="18" t="inlineStr">
        <is>
          <t>Do not host the status page on the same failing system.</t>
        </is>
      </c>
      <c r="AF31" s="18" t="inlineStr">
        <is>
          <t>Update early, update often, stay honest.</t>
        </is>
      </c>
      <c r="AG31" s="18" t="inlineStr">
        <is>
          <t>A status page cut support tickets during a partial outage.</t>
        </is>
      </c>
      <c r="AH31" s="18" t="inlineStr">
        <is>
          <t>An interviewer may ask: What should an incident update say?</t>
        </is>
      </c>
      <c r="AI31" s="18" t="inlineStr">
        <is>
          <t>It is like a notice board during a power cut.</t>
        </is>
      </c>
      <c r="AJ31" s="18" t="inlineStr">
        <is>
          <t>Why host a status page separately?</t>
        </is>
      </c>
      <c r="AK31" s="18" t="inlineStr">
        <is>
          <t>A) It must work during an outage B) It is cheaper C) It looks nicer D) It is faster</t>
        </is>
      </c>
      <c r="AL31" s="18" t="inlineStr">
        <is>
          <t>A</t>
        </is>
      </c>
      <c r="AM31" s="18" t="inlineStr">
        <is>
          <t>A shared outage would hide it.</t>
        </is>
      </c>
      <c r="AN31" s="18" t="inlineStr">
        <is>
          <t>A component working but slowly is marked ____ → degraded</t>
        </is>
      </c>
      <c r="AO31" s="18" t="inlineStr">
        <is>
          <t>An outage starts. What do you do for customers? → Post an early status update</t>
        </is>
      </c>
      <c r="AP31" s="18" t="inlineStr">
        <is>
          <t>Explain status pages in three lines.</t>
        </is>
      </c>
      <c r="AQ31" s="18" t="inlineStr">
        <is>
          <t>Write the first update for a partial outage.</t>
        </is>
      </c>
      <c r="AR31" s="17">
        <f>IF(J31="","",REPT("★",J31)&amp;REPT("☆",5-J31)&amp;" ("&amp;J31&amp;"/5)")</f>
        <v/>
      </c>
      <c r="AS31" s="17">
        <f>IF(Q31="","","Meaning: "&amp;Q31&amp;"  =  ______   (Answer: "&amp;F31&amp;")")</f>
        <v/>
      </c>
      <c r="AT31" s="17" t="inlineStr">
        <is>
          <t>New</t>
        </is>
      </c>
      <c r="AU31" s="17" t="n"/>
      <c r="AV31" s="17" t="n"/>
      <c r="AW31" s="17" t="n"/>
      <c r="AX31" s="17" t="n"/>
      <c r="AY31" s="17" t="n"/>
      <c r="AZ31" s="17" t="n"/>
      <c r="BA31" s="17" t="n"/>
      <c r="BB31" s="17" t="n"/>
    </row>
    <row r="32" ht="108" customHeight="1">
      <c r="A32" s="17" t="inlineStr">
        <is>
          <t>OBS-033</t>
        </is>
      </c>
      <c r="B32" s="17" t="inlineStr">
        <is>
          <t>06 Cost and Quality</t>
        </is>
      </c>
      <c r="C32" s="17" t="inlineStr">
        <is>
          <t>Intermediate</t>
        </is>
      </c>
      <c r="D32" s="17" t="n">
        <v>33</v>
      </c>
      <c r="E32" s="17" t="inlineStr">
        <is>
          <t>Claude knowledge</t>
        </is>
      </c>
      <c r="F32" s="18" t="inlineStr">
        <is>
          <t>Cost of telemetry</t>
        </is>
      </c>
      <c r="G32" s="18" t="inlineStr">
        <is>
          <t>Why can logs, metrics and traces become one of the biggest bills, and how do you control it?</t>
        </is>
      </c>
      <c r="H32" s="18" t="inlineStr">
        <is>
          <t>Core concept</t>
        </is>
      </c>
      <c r="I32" s="18" t="inlineStr">
        <is>
          <t>High</t>
        </is>
      </c>
      <c r="J32" s="18" t="n">
        <v>4</v>
      </c>
      <c r="K32" s="18" t="inlineStr">
        <is>
          <t>Telemetry volume grows with traffic and detail, and vendors charge by volume, so costs can surprise teams.</t>
        </is>
      </c>
      <c r="L32" s="18" t="inlineStr">
        <is>
          <t>Measure cost per service and set budgets and alerts for ingestion.</t>
        </is>
      </c>
      <c r="M32" s="18" t="inlineStr">
        <is>
          <t>Telemetry is like water use, and every leaky tap shows up on the bill.</t>
        </is>
      </c>
      <c r="N32" s="18" t="inlineStr">
        <is>
          <t>A bar chart of ingestion volume by service.</t>
        </is>
      </c>
      <c r="O32" s="18" t="inlineStr">
        <is>
          <t>The relief of finding the biggest source of cost.</t>
        </is>
      </c>
      <c r="P32" s="18" t="inlineStr">
        <is>
          <t>Telemetry cost is the spend on collecting, storing and querying logs, metrics and traces, driven by volume, retention, cardinality and query load.</t>
        </is>
      </c>
      <c r="Q32" s="17" t="n"/>
      <c r="R32" s="18" t="inlineStr">
        <is>
          <t>Reduce cost by lowering log levels, sampling, shortening retention, dropping unused metrics and labels, and aggregating before storage. Review top sources of volume regularly. Keep high-value data longer and cheap archives for the rest. Set ingestion alerts so spikes are noticed. Cost should not remove the data needed for incidents.</t>
        </is>
      </c>
      <c r="S32" s="18" t="inlineStr">
        <is>
          <t>Find the top sources, trim what nobody uses, and set limits.</t>
        </is>
      </c>
      <c r="T32" s="18" t="inlineStr">
        <is>
          <t>Telemetry is like water use, and every leaky tap shows up on the bill.</t>
        </is>
      </c>
      <c r="U32" s="18" t="inlineStr">
        <is>
          <t>Volume × retention × cardinality drives cost.</t>
        </is>
      </c>
      <c r="V32" s="18" t="inlineStr">
        <is>
          <t>Cutting a noisy debug log in production.</t>
        </is>
      </c>
      <c r="W32" s="18" t="inlineStr">
        <is>
          <t>Dropping a high-cardinality metric label.</t>
        </is>
      </c>
      <c r="X32" s="18" t="inlineStr">
        <is>
          <t>An ingestion alert for a sudden spike.</t>
        </is>
      </c>
      <c r="Y32" s="18" t="inlineStr">
        <is>
          <t>log sampling, retention, cardinality, trace sampling</t>
        </is>
      </c>
      <c r="Z32" s="18" t="inlineStr">
        <is>
          <t>ingestion, volume, budget, retention, aggregation</t>
        </is>
      </c>
      <c r="AA32" s="18" t="inlineStr">
        <is>
          <t>Platform teams | Finance reviews | Tool choice</t>
        </is>
      </c>
      <c r="AB32" s="18" t="inlineStr">
        <is>
          <t>A: The monitoring bill doubled. | B: Check which service increased its log volume.</t>
        </is>
      </c>
      <c r="AC32" s="18" t="inlineStr">
        <is>
          <t>✗ Cutting all telemetry is the safe way to save money → ✓ Cut waste, but keep the signals needed for incidents</t>
        </is>
      </c>
      <c r="AD32" s="18" t="inlineStr">
        <is>
          <t>Waste vs value: unused data is waste, incident data is value.</t>
        </is>
      </c>
      <c r="AE32" s="18" t="inlineStr">
        <is>
          <t>Do not remove the signals needed to debug failures.</t>
        </is>
      </c>
      <c r="AF32" s="18" t="inlineStr">
        <is>
          <t>Trim the waste, keep the evidence.</t>
        </is>
      </c>
      <c r="AG32" s="18" t="inlineStr">
        <is>
          <t>Reviewing top log sources cut the monitoring bill.</t>
        </is>
      </c>
      <c r="AH32" s="18" t="inlineStr">
        <is>
          <t>An interviewer may ask: How would you reduce observability cost?</t>
        </is>
      </c>
      <c r="AI32" s="18" t="inlineStr">
        <is>
          <t>It is like fixing leaky taps.</t>
        </is>
      </c>
      <c r="AJ32" s="18" t="inlineStr">
        <is>
          <t>Which reduces telemetry cost?</t>
        </is>
      </c>
      <c r="AK32" s="18" t="inlineStr">
        <is>
          <t>A) Logging everything forever B) Higher cardinality C) Sampling and shorter retention D) More labels</t>
        </is>
      </c>
      <c r="AL32" s="18" t="inlineStr">
        <is>
          <t>C</t>
        </is>
      </c>
      <c r="AM32" s="18" t="inlineStr">
        <is>
          <t>Both reduce stored volume.</t>
        </is>
      </c>
      <c r="AN32" s="18" t="inlineStr">
        <is>
          <t>Data sent into a monitoring system is called ____ → ingestion</t>
        </is>
      </c>
      <c r="AO32" s="18" t="inlineStr">
        <is>
          <t>The bill spiked. What do you check first? → The sources with the highest volume</t>
        </is>
      </c>
      <c r="AP32" s="18" t="inlineStr">
        <is>
          <t>Explain telemetry cost control in three lines.</t>
        </is>
      </c>
      <c r="AQ32" s="18" t="inlineStr">
        <is>
          <t>List four changes that cut telemetry cost.</t>
        </is>
      </c>
      <c r="AR32" s="17">
        <f>IF(J32="","",REPT("★",J32)&amp;REPT("☆",5-J32)&amp;" ("&amp;J32&amp;"/5)")</f>
        <v/>
      </c>
      <c r="AS32" s="17">
        <f>IF(Q32="","","Meaning: "&amp;Q32&amp;"  =  ______   (Answer: "&amp;F32&amp;")")</f>
        <v/>
      </c>
      <c r="AT32" s="17" t="inlineStr">
        <is>
          <t>New</t>
        </is>
      </c>
      <c r="AU32" s="17" t="n"/>
      <c r="AV32" s="17" t="n"/>
      <c r="AW32" s="17" t="n"/>
      <c r="AX32" s="17" t="n"/>
      <c r="AY32" s="17" t="n"/>
      <c r="AZ32" s="17" t="n"/>
      <c r="BA32" s="17" t="n"/>
      <c r="BB32" s="17" t="n"/>
    </row>
    <row r="33" ht="108" customHeight="1">
      <c r="A33" s="17" t="inlineStr">
        <is>
          <t>OBS-034</t>
        </is>
      </c>
      <c r="B33" s="17" t="inlineStr">
        <is>
          <t>06 Cost and Quality</t>
        </is>
      </c>
      <c r="C33" s="17" t="inlineStr">
        <is>
          <t>Advanced</t>
        </is>
      </c>
      <c r="D33" s="17" t="n">
        <v>34</v>
      </c>
      <c r="E33" s="17" t="inlineStr">
        <is>
          <t>Claude knowledge</t>
        </is>
      </c>
      <c r="F33" s="18" t="inlineStr">
        <is>
          <t>Log pipelines</t>
        </is>
      </c>
      <c r="G33" s="18" t="inlineStr">
        <is>
          <t>Which processing steps clean and route logs between sources and stores?</t>
        </is>
      </c>
      <c r="H33" s="18" t="inlineStr">
        <is>
          <t>Core concept</t>
        </is>
      </c>
      <c r="I33" s="18" t="inlineStr">
        <is>
          <t>Medium</t>
        </is>
      </c>
      <c r="J33" s="18" t="n">
        <v>4</v>
      </c>
      <c r="K33" s="18" t="inlineStr">
        <is>
          <t>Raw logs vary in format and value, so pipelines parse, enrich, filter and route them before storage.</t>
        </is>
      </c>
      <c r="L33" s="18" t="inlineStr">
        <is>
          <t>Do light parsing and masking in the pipeline, and keep the raw stream briefly for replay.</t>
        </is>
      </c>
      <c r="M33" s="18" t="inlineStr">
        <is>
          <t>A log pipeline is a sorting line that cleans, labels and sends each parcel to the right bin.</t>
        </is>
      </c>
      <c r="N33" s="18" t="inlineStr">
        <is>
          <t>Stages for collect, parse, enrich, filter and route.</t>
        </is>
      </c>
      <c r="O33" s="18" t="inlineStr">
        <is>
          <t>The tidiness of consistent logs everywhere.</t>
        </is>
      </c>
      <c r="P33" s="18" t="inlineStr">
        <is>
          <t>A log pipeline collects logs from sources, parses them into fields, enriches them with metadata, filters or masks data, and routes them to stores or archives.</t>
        </is>
      </c>
      <c r="Q33" s="17" t="n"/>
      <c r="R33" s="18" t="inlineStr">
        <is>
          <t>Tools such as Fluent Bit, Vector or Logstash run these stages. Parsing turns text into fields. Enrichment adds labels like environment and version. Filters drop noise and mask secrets. Routing sends security logs to one place and application logs to another. Buffers handle bursts, and monitoring the pipeline prevents silent loss.</t>
        </is>
      </c>
      <c r="S33" s="18" t="inlineStr">
        <is>
          <t>Collect, parse, enrich, filter and route, and monitor the pipeline itself.</t>
        </is>
      </c>
      <c r="T33" s="18" t="inlineStr">
        <is>
          <t>A log pipeline is a sorting line that cleans, labels and sends each parcel to the right bin.</t>
        </is>
      </c>
      <c r="U33" s="18" t="inlineStr">
        <is>
          <t>Collect → parse → enrich → filter → route.</t>
        </is>
      </c>
      <c r="V33" s="18" t="inlineStr">
        <is>
          <t>Parsing a nginx line into fields.</t>
        </is>
      </c>
      <c r="W33" s="18" t="inlineStr">
        <is>
          <t>Adding the Kubernetes pod name.</t>
        </is>
      </c>
      <c r="X33" s="18" t="inlineStr">
        <is>
          <t>Sending audit logs to an archive.</t>
        </is>
      </c>
      <c r="Y33" s="18" t="inlineStr">
        <is>
          <t>central logging, sensitive data in logs, cost of telemetry, structured logs</t>
        </is>
      </c>
      <c r="Z33" s="18" t="inlineStr">
        <is>
          <t>Fluent Bit, Vector, parser, enrichment, routing</t>
        </is>
      </c>
      <c r="AA33" s="18" t="inlineStr">
        <is>
          <t>Platforms | Security | Cost control</t>
        </is>
      </c>
      <c r="AB33" s="18" t="inlineStr">
        <is>
          <t>A: Logs arrive in five formats. | B: Parse them in the pipeline into one schema.</t>
        </is>
      </c>
      <c r="AC33" s="18" t="inlineStr">
        <is>
          <t>✗ The pipeline needs no monitoring → ✓ A broken pipeline silently loses logs</t>
        </is>
      </c>
      <c r="AD33" s="18" t="inlineStr">
        <is>
          <t>Collector vs pipeline: the collector gathers, the pipeline also transforms and routes.</t>
        </is>
      </c>
      <c r="AE33" s="18" t="inlineStr">
        <is>
          <t>Do not leave the pipeline unmonitored.</t>
        </is>
      </c>
      <c r="AF33" s="18" t="inlineStr">
        <is>
          <t>Watch the pipe that carries your evidence.</t>
        </is>
      </c>
      <c r="AG33" s="18" t="inlineStr">
        <is>
          <t>Masking secrets in the pipeline gave a second layer of protection against leaks.</t>
        </is>
      </c>
      <c r="AH33" s="18" t="inlineStr">
        <is>
          <t>An interviewer may ask: What does a log pipeline do?</t>
        </is>
      </c>
      <c r="AI33" s="18" t="inlineStr">
        <is>
          <t>It is like a sorting line for parcels.</t>
        </is>
      </c>
      <c r="AJ33" s="18" t="inlineStr">
        <is>
          <t>Which step adds metadata such as environment?</t>
        </is>
      </c>
      <c r="AK33" s="18" t="inlineStr">
        <is>
          <t>A) Enrichment B) Sampling only C) Deletion D) Printing</t>
        </is>
      </c>
      <c r="AL33" s="18" t="inlineStr">
        <is>
          <t>A</t>
        </is>
      </c>
      <c r="AM33" s="18" t="inlineStr">
        <is>
          <t>Enrichment attaches context fields.</t>
        </is>
      </c>
      <c r="AN33" s="18" t="inlineStr">
        <is>
          <t>Sending logs to different stores by type is ____ → routing</t>
        </is>
      </c>
      <c r="AO33" s="18" t="inlineStr">
        <is>
          <t>Logs use different formats. What stage fixes this? → Parsing in the pipeline</t>
        </is>
      </c>
      <c r="AP33" s="18" t="inlineStr">
        <is>
          <t>Explain log pipelines in three lines.</t>
        </is>
      </c>
      <c r="AQ33" s="18" t="inlineStr">
        <is>
          <t>Design a pipeline for application and audit logs.</t>
        </is>
      </c>
      <c r="AR33" s="17">
        <f>IF(J33="","",REPT("★",J33)&amp;REPT("☆",5-J33)&amp;" ("&amp;J33&amp;"/5)")</f>
        <v/>
      </c>
      <c r="AS33" s="17">
        <f>IF(Q33="","","Meaning: "&amp;Q33&amp;"  =  ______   (Answer: "&amp;F33&amp;")")</f>
        <v/>
      </c>
      <c r="AT33" s="17" t="inlineStr">
        <is>
          <t>New</t>
        </is>
      </c>
      <c r="AU33" s="17" t="n"/>
      <c r="AV33" s="17" t="n"/>
      <c r="AW33" s="17" t="n"/>
      <c r="AX33" s="17" t="n"/>
      <c r="AY33" s="17" t="n"/>
      <c r="AZ33" s="17" t="n"/>
      <c r="BA33" s="17" t="n"/>
      <c r="BB33" s="17" t="n"/>
    </row>
    <row r="34" ht="108" customHeight="1">
      <c r="A34" s="17" t="inlineStr">
        <is>
          <t>OBS-035</t>
        </is>
      </c>
      <c r="B34" s="17" t="inlineStr">
        <is>
          <t>06 Cost and Quality</t>
        </is>
      </c>
      <c r="C34" s="17" t="inlineStr">
        <is>
          <t>Intermediate</t>
        </is>
      </c>
      <c r="D34" s="17" t="n">
        <v>35</v>
      </c>
      <c r="E34" s="17" t="inlineStr">
        <is>
          <t>Claude knowledge</t>
        </is>
      </c>
      <c r="F34" s="18" t="inlineStr">
        <is>
          <t>Testing alerts</t>
        </is>
      </c>
      <c r="G34" s="18" t="inlineStr">
        <is>
          <t>How do you make sure alerts really fire and reach the right people?</t>
        </is>
      </c>
      <c r="H34" s="18" t="inlineStr">
        <is>
          <t>Core concept</t>
        </is>
      </c>
      <c r="I34" s="18" t="inlineStr">
        <is>
          <t>Medium</t>
        </is>
      </c>
      <c r="J34" s="18" t="n">
        <v>4</v>
      </c>
      <c r="K34" s="18" t="inlineStr">
        <is>
          <t>An untested alert may never fire when needed, so teams verify rules and notification paths on purpose.</t>
        </is>
      </c>
      <c r="L34" s="18" t="inlineStr">
        <is>
          <t>Test alerts after changes, and run regular game days.</t>
        </is>
      </c>
      <c r="M34" s="18" t="inlineStr">
        <is>
          <t>Testing alerts is pressing the smoke alarm test button.</t>
        </is>
      </c>
      <c r="N34" s="18" t="inlineStr">
        <is>
          <t>A synthetic failure triggering a notification on a phone.</t>
        </is>
      </c>
      <c r="O34" s="18" t="inlineStr">
        <is>
          <t>The confidence that the alarm really works.</t>
        </is>
      </c>
      <c r="P34" s="18" t="inlineStr">
        <is>
          <t>Testing alerts means checking that rules fire for the intended conditions, do not fire for normal behaviour, and route notifications to the correct owner through working channels.</t>
        </is>
      </c>
      <c r="Q34" s="17" t="n"/>
      <c r="R34" s="18" t="inlineStr">
        <is>
          <t>Methods include unit tests of alert rules on recorded data, injecting a synthetic failure in staging, and sending a test notification. Check silences and routing after changes. Game days practise the whole response. Alerts on missing data catch dead exporters. Review alerts that never fired, since they may be broken.</t>
        </is>
      </c>
      <c r="S34" s="18" t="inlineStr">
        <is>
          <t>Verify the rule, the routing and the notification, and rehearse with game days.</t>
        </is>
      </c>
      <c r="T34" s="18" t="inlineStr">
        <is>
          <t>Testing alerts is pressing the smoke alarm test button.</t>
        </is>
      </c>
      <c r="U34" s="18" t="inlineStr">
        <is>
          <t>Rule works + routing works + people respond.</t>
        </is>
      </c>
      <c r="V34" s="18" t="inlineStr">
        <is>
          <t>A unit test of a rule against sample data.</t>
        </is>
      </c>
      <c r="W34" s="18" t="inlineStr">
        <is>
          <t>Stopping a test service to see the alert.</t>
        </is>
      </c>
      <c r="X34" s="18" t="inlineStr">
        <is>
          <t>A game day with a simulated outage.</t>
        </is>
      </c>
      <c r="Y34" s="18" t="inlineStr">
        <is>
          <t>alerts, runbooks, on-call, health checks</t>
        </is>
      </c>
      <c r="Z34" s="18" t="inlineStr">
        <is>
          <t>test, game day, synthetic, silence, routing</t>
        </is>
      </c>
      <c r="AA34" s="18" t="inlineStr">
        <is>
          <t>Reliability work | Releases | Training</t>
        </is>
      </c>
      <c r="AB34" s="18" t="inlineStr">
        <is>
          <t>A: How do we know the alert still works? | B: Run a synthetic failure in staging each month.</t>
        </is>
      </c>
      <c r="AC34" s="18" t="inlineStr">
        <is>
          <t>✗ If an alert never fires, the system is healthy → ✓ It may be broken or misrouted</t>
        </is>
      </c>
      <c r="AD34" s="18" t="inlineStr">
        <is>
          <t>Unit test vs game day: one tests rules, the other tests the people and process.</t>
        </is>
      </c>
      <c r="AE34" s="18" t="inlineStr">
        <is>
          <t>Do not assume alert routing survives every change.</t>
        </is>
      </c>
      <c r="AF34" s="18" t="inlineStr">
        <is>
          <t>Test the alarm before the fire.</t>
        </is>
      </c>
      <c r="AG34" s="18" t="inlineStr">
        <is>
          <t>A monthly synthetic test found a dead notification channel before a real outage.</t>
        </is>
      </c>
      <c r="AH34" s="18" t="inlineStr">
        <is>
          <t>An interviewer may ask: How do you verify alerting works?</t>
        </is>
      </c>
      <c r="AI34" s="18" t="inlineStr">
        <is>
          <t>It is like pressing the smoke alarm test button.</t>
        </is>
      </c>
      <c r="AJ34" s="18" t="inlineStr">
        <is>
          <t>What does a game day practise?</t>
        </is>
      </c>
      <c r="AK34" s="18" t="inlineStr">
        <is>
          <t>A) Naming servers B) The whole response to a simulated incident C) Writing code D) Buying tools</t>
        </is>
      </c>
      <c r="AL34" s="18" t="inlineStr">
        <is>
          <t>B</t>
        </is>
      </c>
      <c r="AM34" s="18" t="inlineStr">
        <is>
          <t>It tests people, alerts and process together.</t>
        </is>
      </c>
      <c r="AN34" s="18" t="inlineStr">
        <is>
          <t>A fake failure used for testing is ____ → synthetic</t>
        </is>
      </c>
      <c r="AO34" s="18" t="inlineStr">
        <is>
          <t>An alert has never fired in a year. What do you do? → Test whether it still works</t>
        </is>
      </c>
      <c r="AP34" s="18" t="inlineStr">
        <is>
          <t>Explain how to test alerts in three lines.</t>
        </is>
      </c>
      <c r="AQ34" s="18" t="inlineStr">
        <is>
          <t>Plan a game day for a database outage.</t>
        </is>
      </c>
      <c r="AR34" s="17">
        <f>IF(J34="","",REPT("★",J34)&amp;REPT("☆",5-J34)&amp;" ("&amp;J34&amp;"/5)")</f>
        <v/>
      </c>
      <c r="AS34" s="17">
        <f>IF(Q34="","","Meaning: "&amp;Q34&amp;"  =  ______   (Answer: "&amp;F34&amp;")")</f>
        <v/>
      </c>
      <c r="AT34" s="17" t="inlineStr">
        <is>
          <t>New</t>
        </is>
      </c>
      <c r="AU34" s="17" t="n"/>
      <c r="AV34" s="17" t="n"/>
      <c r="AW34" s="17" t="n"/>
      <c r="AX34" s="17" t="n"/>
      <c r="AY34" s="17" t="n"/>
      <c r="AZ34" s="17" t="n"/>
      <c r="BA34" s="17" t="n"/>
      <c r="BB34" s="17" t="n"/>
    </row>
  </sheetData>
  <autoFilter ref="A2:BB34"/>
  <mergeCells count="6">
    <mergeCell ref="F1:O1"/>
    <mergeCell ref="AT1:BB1"/>
    <mergeCell ref="AR1:AS1"/>
    <mergeCell ref="A1:E1"/>
    <mergeCell ref="AJ1:AQ1"/>
    <mergeCell ref="P1:AI1"/>
  </mergeCells>
  <dataValidations count="2">
    <dataValidation sqref="AT3:AT34" showDropDown="0" showInputMessage="0" showErrorMessage="0" allowBlank="1" type="list">
      <formula1>"New,Learning,Known"</formula1>
    </dataValidation>
    <dataValidation sqref="BA3:BA34" showDropDown="0" showInputMessage="0" showErrorMessage="0" allowBlank="1" type="list">
      <formula1>"OK,Fix"</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9"/>
  <sheetViews>
    <sheetView showGridLines="0" workbookViewId="0">
      <pane ySplit="3" topLeftCell="A4" activePane="bottomLeft" state="frozen"/>
      <selection pane="bottomLeft" activeCell="A1" sqref="A1"/>
    </sheetView>
  </sheetViews>
  <sheetFormatPr baseColWidth="8" defaultRowHeight="15"/>
  <cols>
    <col width="28" customWidth="1" min="1" max="1"/>
    <col width="100" customWidth="1" min="2" max="2"/>
  </cols>
  <sheetData>
    <row r="1">
      <c r="A1" s="20" t="inlineStr">
        <is>
          <t>Topic (56-pt) · card view</t>
        </is>
      </c>
    </row>
    <row r="2">
      <c r="A2" s="21" t="inlineStr">
        <is>
          <t>Card ID chuno ▸</t>
        </is>
      </c>
      <c r="B2" s="22" t="inlineStr">
        <is>
          <t>OBS-001</t>
        </is>
      </c>
    </row>
    <row r="4">
      <c r="A4" s="23" t="inlineStr">
        <is>
          <t>FRONT · Recognition (pehchano)</t>
        </is>
      </c>
    </row>
    <row r="5" ht="30" customHeight="1">
      <c r="A5" s="24" t="inlineStr">
        <is>
          <t>ID</t>
        </is>
      </c>
      <c r="B5" s="17">
        <f>INDEX('Topic (56-pt) cards'!$A$3:$BB$34,MATCH($B$2,'Topic (56-pt) cards'!$A$3:$A$34,0),MATCH("ID",'Topic (56-pt) cards'!$A$2:$BB$2,0))&amp;""</f>
        <v/>
      </c>
    </row>
    <row r="6" ht="30" customHeight="1">
      <c r="A6" s="24" t="inlineStr">
        <is>
          <t>Topic</t>
        </is>
      </c>
      <c r="B6" s="17">
        <f>INDEX('Topic (56-pt) cards'!$A$3:$BB$34,MATCH($B$2,'Topic (56-pt) cards'!$A$3:$A$34,0),MATCH("Topic",'Topic (56-pt) cards'!$A$2:$BB$2,0))&amp;""</f>
        <v/>
      </c>
    </row>
    <row r="7" ht="30" customHeight="1">
      <c r="A7" s="24" t="inlineStr">
        <is>
          <t>Level</t>
        </is>
      </c>
      <c r="B7" s="17">
        <f>INDEX('Topic (56-pt) cards'!$A$3:$BB$34,MATCH($B$2,'Topic (56-pt) cards'!$A$3:$A$34,0),MATCH("Level",'Topic (56-pt) cards'!$A$2:$BB$2,0))&amp;""</f>
        <v/>
      </c>
    </row>
    <row r="8" ht="30" customHeight="1">
      <c r="A8" s="24" t="inlineStr">
        <is>
          <t>Term / topic</t>
        </is>
      </c>
      <c r="B8" s="17">
        <f>INDEX('Topic (56-pt) cards'!$A$3:$BB$34,MATCH($B$2,'Topic (56-pt) cards'!$A$3:$A$34,0),MATCH("Term / topic",'Topic (56-pt) cards'!$A$2:$BB$2,0))&amp;""</f>
        <v/>
      </c>
    </row>
    <row r="9" ht="30" customHeight="1">
      <c r="A9" s="24" t="inlineStr">
        <is>
          <t>Recall cue</t>
        </is>
      </c>
      <c r="B9" s="17">
        <f>INDEX('Topic (56-pt) cards'!$A$3:$BB$34,MATCH($B$2,'Topic (56-pt) cards'!$A$3:$A$34,0),MATCH("Recall cue",'Topic (56-pt) cards'!$A$2:$BB$2,0))&amp;""</f>
        <v/>
      </c>
    </row>
    <row r="10" ht="30" customHeight="1">
      <c r="A10" s="24" t="inlineStr">
        <is>
          <t>Category</t>
        </is>
      </c>
      <c r="B10" s="17">
        <f>INDEX('Topic (56-pt) cards'!$A$3:$BB$34,MATCH($B$2,'Topic (56-pt) cards'!$A$3:$A$34,0),MATCH("Category",'Topic (56-pt) cards'!$A$2:$BB$2,0))&amp;""</f>
        <v/>
      </c>
    </row>
    <row r="11" ht="30" customHeight="1">
      <c r="A11" s="24" t="inlineStr">
        <is>
          <t>How often used</t>
        </is>
      </c>
      <c r="B11" s="17">
        <f>INDEX('Topic (56-pt) cards'!$A$3:$BB$34,MATCH($B$2,'Topic (56-pt) cards'!$A$3:$A$34,0),MATCH("How often used",'Topic (56-pt) cards'!$A$2:$BB$2,0))&amp;""</f>
        <v/>
      </c>
    </row>
    <row r="12" ht="30" customHeight="1">
      <c r="A12" s="24" t="inlineStr">
        <is>
          <t>Importance (1-5)</t>
        </is>
      </c>
      <c r="B12" s="17">
        <f>INDEX('Topic (56-pt) cards'!$A$3:$BB$34,MATCH($B$2,'Topic (56-pt) cards'!$A$3:$A$34,0),MATCH("Importance (1-5)",'Topic (56-pt) cards'!$A$2:$BB$2,0))&amp;""</f>
        <v/>
      </c>
    </row>
    <row r="13" ht="30" customHeight="1">
      <c r="A13" s="24" t="inlineStr">
        <is>
          <t>Origin / why it exists</t>
        </is>
      </c>
      <c r="B13" s="17">
        <f>INDEX('Topic (56-pt) cards'!$A$3:$BB$34,MATCH($B$2,'Topic (56-pt) cards'!$A$3:$A$34,0),MATCH("Origin / why it exists",'Topic (56-pt) cards'!$A$2:$BB$2,0))&amp;""</f>
        <v/>
      </c>
    </row>
    <row r="14" ht="30" customHeight="1">
      <c r="A14" s="24" t="inlineStr">
        <is>
          <t>Pro tip</t>
        </is>
      </c>
      <c r="B14" s="17">
        <f>INDEX('Topic (56-pt) cards'!$A$3:$BB$34,MATCH($B$2,'Topic (56-pt) cards'!$A$3:$A$34,0),MATCH("Pro tip",'Topic (56-pt) cards'!$A$2:$BB$2,0))&amp;""</f>
        <v/>
      </c>
    </row>
    <row r="15" ht="30" customHeight="1">
      <c r="A15" s="24" t="inlineStr">
        <is>
          <t>Memory story</t>
        </is>
      </c>
      <c r="B15" s="17">
        <f>INDEX('Topic (56-pt) cards'!$A$3:$BB$34,MATCH($B$2,'Topic (56-pt) cards'!$A$3:$A$34,0),MATCH("Memory story",'Topic (56-pt) cards'!$A$2:$BB$2,0))&amp;""</f>
        <v/>
      </c>
    </row>
    <row r="16" ht="30" customHeight="1">
      <c r="A16" s="24" t="inlineStr">
        <is>
          <t>Picture it</t>
        </is>
      </c>
      <c r="B16" s="17">
        <f>INDEX('Topic (56-pt) cards'!$A$3:$BB$34,MATCH($B$2,'Topic (56-pt) cards'!$A$3:$A$34,0),MATCH("Picture it",'Topic (56-pt) cards'!$A$2:$BB$2,0))&amp;""</f>
        <v/>
      </c>
    </row>
    <row r="17" ht="30" customHeight="1">
      <c r="A17" s="24" t="inlineStr">
        <is>
          <t>Emotion hook</t>
        </is>
      </c>
      <c r="B17" s="17">
        <f>INDEX('Topic (56-pt) cards'!$A$3:$BB$34,MATCH($B$2,'Topic (56-pt) cards'!$A$3:$A$34,0),MATCH("Emotion hook",'Topic (56-pt) cards'!$A$2:$BB$2,0))&amp;""</f>
        <v/>
      </c>
    </row>
    <row r="18" ht="30" customHeight="1">
      <c r="A18" s="24" t="inlineStr">
        <is>
          <t>Importance ★</t>
        </is>
      </c>
      <c r="B18" s="17">
        <f>INDEX('Topic (56-pt) cards'!$A$3:$BB$34,MATCH($B$2,'Topic (56-pt) cards'!$A$3:$A$34,0),MATCH("Importance ★",'Topic (56-pt) cards'!$A$2:$BB$2,0))&amp;""</f>
        <v/>
      </c>
    </row>
    <row r="19">
      <c r="A19" s="25" t="inlineStr">
        <is>
          <t>BACK · Understanding (samjho)</t>
        </is>
      </c>
    </row>
    <row r="20" ht="40.5" customHeight="1">
      <c r="A20" s="24" t="inlineStr">
        <is>
          <t>Definition (simple)</t>
        </is>
      </c>
      <c r="B20" s="17">
        <f>INDEX('Topic (56-pt) cards'!$A$3:$BB$34,MATCH($B$2,'Topic (56-pt) cards'!$A$3:$A$34,0),MATCH("Definition (simple)",'Topic (56-pt) cards'!$A$2:$BB$2,0))&amp;""</f>
        <v/>
      </c>
    </row>
    <row r="21" ht="30" customHeight="1">
      <c r="A21" s="24" t="inlineStr">
        <is>
          <t>Meaning in learner's language</t>
        </is>
      </c>
      <c r="B21" s="17">
        <f>INDEX('Topic (56-pt) cards'!$A$3:$BB$34,MATCH($B$2,'Topic (56-pt) cards'!$A$3:$A$34,0),MATCH("Meaning in learner's language",'Topic (56-pt) cards'!$A$2:$BB$2,0))&amp;""</f>
        <v/>
      </c>
    </row>
    <row r="22" ht="54" customHeight="1">
      <c r="A22" s="24" t="inlineStr">
        <is>
          <t>How / why it works</t>
        </is>
      </c>
      <c r="B22" s="17">
        <f>INDEX('Topic (56-pt) cards'!$A$3:$BB$34,MATCH($B$2,'Topic (56-pt) cards'!$A$3:$A$34,0),MATCH("How / why it works",'Topic (56-pt) cards'!$A$2:$BB$2,0))&amp;""</f>
        <v/>
      </c>
    </row>
    <row r="23" ht="30" customHeight="1">
      <c r="A23" s="24" t="inlineStr">
        <is>
          <t>Simple explanation (Hinglish)</t>
        </is>
      </c>
      <c r="B23" s="17">
        <f>INDEX('Topic (56-pt) cards'!$A$3:$BB$34,MATCH($B$2,'Topic (56-pt) cards'!$A$3:$A$34,0),MATCH("Simple explanation (Hinglish)",'Topic (56-pt) cards'!$A$2:$BB$2,0))&amp;""</f>
        <v/>
      </c>
    </row>
    <row r="24" ht="30" customHeight="1">
      <c r="A24" s="24" t="inlineStr">
        <is>
          <t>Real-life analogy</t>
        </is>
      </c>
      <c r="B24" s="17">
        <f>INDEX('Topic (56-pt) cards'!$A$3:$BB$34,MATCH($B$2,'Topic (56-pt) cards'!$A$3:$A$34,0),MATCH("Real-life analogy",'Topic (56-pt) cards'!$A$2:$BB$2,0))&amp;""</f>
        <v/>
      </c>
    </row>
    <row r="25" ht="30" customHeight="1">
      <c r="A25" s="24" t="inlineStr">
        <is>
          <t>Formula / rule</t>
        </is>
      </c>
      <c r="B25" s="17">
        <f>INDEX('Topic (56-pt) cards'!$A$3:$BB$34,MATCH($B$2,'Topic (56-pt) cards'!$A$3:$A$34,0),MATCH("Formula / rule",'Topic (56-pt) cards'!$A$2:$BB$2,0))&amp;""</f>
        <v/>
      </c>
    </row>
    <row r="26" ht="30" customHeight="1">
      <c r="A26" s="24" t="inlineStr">
        <is>
          <t>Example 1</t>
        </is>
      </c>
      <c r="B26" s="17">
        <f>INDEX('Topic (56-pt) cards'!$A$3:$BB$34,MATCH($B$2,'Topic (56-pt) cards'!$A$3:$A$34,0),MATCH("Example 1",'Topic (56-pt) cards'!$A$2:$BB$2,0))&amp;""</f>
        <v/>
      </c>
    </row>
    <row r="27" ht="30" customHeight="1">
      <c r="A27" s="24" t="inlineStr">
        <is>
          <t>Example 2</t>
        </is>
      </c>
      <c r="B27" s="17">
        <f>INDEX('Topic (56-pt) cards'!$A$3:$BB$34,MATCH($B$2,'Topic (56-pt) cards'!$A$3:$A$34,0),MATCH("Example 2",'Topic (56-pt) cards'!$A$2:$BB$2,0))&amp;""</f>
        <v/>
      </c>
    </row>
    <row r="28" ht="30" customHeight="1">
      <c r="A28" s="24" t="inlineStr">
        <is>
          <t>Example 3</t>
        </is>
      </c>
      <c r="B28" s="17">
        <f>INDEX('Topic (56-pt) cards'!$A$3:$BB$34,MATCH($B$2,'Topic (56-pt) cards'!$A$3:$A$34,0),MATCH("Example 3",'Topic (56-pt) cards'!$A$2:$BB$2,0))&amp;""</f>
        <v/>
      </c>
    </row>
    <row r="29" ht="30" customHeight="1">
      <c r="A29" s="24" t="inlineStr">
        <is>
          <t>Related concepts</t>
        </is>
      </c>
      <c r="B29" s="17">
        <f>INDEX('Topic (56-pt) cards'!$A$3:$BB$34,MATCH($B$2,'Topic (56-pt) cards'!$A$3:$A$34,0),MATCH("Related concepts",'Topic (56-pt) cards'!$A$2:$BB$2,0))&amp;""</f>
        <v/>
      </c>
    </row>
    <row r="30" ht="30" customHeight="1">
      <c r="A30" s="24" t="inlineStr">
        <is>
          <t>Family / group</t>
        </is>
      </c>
      <c r="B30" s="17">
        <f>INDEX('Topic (56-pt) cards'!$A$3:$BB$34,MATCH($B$2,'Topic (56-pt) cards'!$A$3:$A$34,0),MATCH("Family / group",'Topic (56-pt) cards'!$A$2:$BB$2,0))&amp;""</f>
        <v/>
      </c>
    </row>
    <row r="31" ht="30" customHeight="1">
      <c r="A31" s="24" t="inlineStr">
        <is>
          <t>Where it is used</t>
        </is>
      </c>
      <c r="B31" s="17">
        <f>INDEX('Topic (56-pt) cards'!$A$3:$BB$34,MATCH($B$2,'Topic (56-pt) cards'!$A$3:$A$34,0),MATCH("Where it is used",'Topic (56-pt) cards'!$A$2:$BB$2,0))&amp;""</f>
        <v/>
      </c>
    </row>
    <row r="32" ht="30" customHeight="1">
      <c r="A32" s="24" t="inlineStr">
        <is>
          <t>Mini conversation</t>
        </is>
      </c>
      <c r="B32" s="17">
        <f>INDEX('Topic (56-pt) cards'!$A$3:$BB$34,MATCH($B$2,'Topic (56-pt) cards'!$A$3:$A$34,0),MATCH("Mini conversation",'Topic (56-pt) cards'!$A$2:$BB$2,0))&amp;""</f>
        <v/>
      </c>
    </row>
    <row r="33" ht="30" customHeight="1">
      <c r="A33" s="24" t="inlineStr">
        <is>
          <t>Common mistake</t>
        </is>
      </c>
      <c r="B33" s="17">
        <f>INDEX('Topic (56-pt) cards'!$A$3:$BB$34,MATCH($B$2,'Topic (56-pt) cards'!$A$3:$A$34,0),MATCH("Common mistake",'Topic (56-pt) cards'!$A$2:$BB$2,0))&amp;""</f>
        <v/>
      </c>
    </row>
    <row r="34" ht="30" customHeight="1">
      <c r="A34" s="24" t="inlineStr">
        <is>
          <t>Don't confuse with</t>
        </is>
      </c>
      <c r="B34" s="17">
        <f>INDEX('Topic (56-pt) cards'!$A$3:$BB$34,MATCH($B$2,'Topic (56-pt) cards'!$A$3:$A$34,0),MATCH("Don't confuse with",'Topic (56-pt) cards'!$A$2:$BB$2,0))&amp;""</f>
        <v/>
      </c>
    </row>
    <row r="35" ht="30" customHeight="1">
      <c r="A35" s="24" t="inlineStr">
        <is>
          <t>Avoid / don't</t>
        </is>
      </c>
      <c r="B35" s="17">
        <f>INDEX('Topic (56-pt) cards'!$A$3:$BB$34,MATCH($B$2,'Topic (56-pt) cards'!$A$3:$A$34,0),MATCH("Avoid / don't",'Topic (56-pt) cards'!$A$2:$BB$2,0))&amp;""</f>
        <v/>
      </c>
    </row>
    <row r="36" ht="30" customHeight="1">
      <c r="A36" s="24" t="inlineStr">
        <is>
          <t>Memory trick</t>
        </is>
      </c>
      <c r="B36" s="17">
        <f>INDEX('Topic (56-pt) cards'!$A$3:$BB$34,MATCH($B$2,'Topic (56-pt) cards'!$A$3:$A$34,0),MATCH("Memory trick",'Topic (56-pt) cards'!$A$2:$BB$2,0))&amp;""</f>
        <v/>
      </c>
    </row>
    <row r="37" ht="30" customHeight="1">
      <c r="A37" s="24" t="inlineStr">
        <is>
          <t>Real life: project / work</t>
        </is>
      </c>
      <c r="B37" s="17">
        <f>INDEX('Topic (56-pt) cards'!$A$3:$BB$34,MATCH($B$2,'Topic (56-pt) cards'!$A$3:$A$34,0),MATCH("Real life: project / work",'Topic (56-pt) cards'!$A$2:$BB$2,0))&amp;""</f>
        <v/>
      </c>
    </row>
    <row r="38" ht="30" customHeight="1">
      <c r="A38" s="24" t="inlineStr">
        <is>
          <t>Real life: interview / exam</t>
        </is>
      </c>
      <c r="B38" s="17">
        <f>INDEX('Topic (56-pt) cards'!$A$3:$BB$34,MATCH($B$2,'Topic (56-pt) cards'!$A$3:$A$34,0),MATCH("Real life: interview / exam",'Topic (56-pt) cards'!$A$2:$BB$2,0))&amp;""</f>
        <v/>
      </c>
    </row>
    <row r="39" ht="30" customHeight="1">
      <c r="A39" s="24" t="inlineStr">
        <is>
          <t>Real life: daily life</t>
        </is>
      </c>
      <c r="B39" s="17">
        <f>INDEX('Topic (56-pt) cards'!$A$3:$BB$34,MATCH($B$2,'Topic (56-pt) cards'!$A$3:$A$34,0),MATCH("Real life: daily life",'Topic (56-pt) cards'!$A$2:$BB$2,0))&amp;""</f>
        <v/>
      </c>
    </row>
    <row r="40">
      <c r="A40" s="27" t="inlineStr">
        <is>
          <t>PRACTICE · Khud karo</t>
        </is>
      </c>
    </row>
    <row r="41" ht="30" customHeight="1">
      <c r="A41" s="24" t="inlineStr">
        <is>
          <t>MCQ question</t>
        </is>
      </c>
      <c r="B41" s="17">
        <f>INDEX('Topic (56-pt) cards'!$A$3:$BB$34,MATCH($B$2,'Topic (56-pt) cards'!$A$3:$A$34,0),MATCH("MCQ question",'Topic (56-pt) cards'!$A$2:$BB$2,0))&amp;""</f>
        <v/>
      </c>
    </row>
    <row r="42" ht="30" customHeight="1">
      <c r="A42" s="24" t="inlineStr">
        <is>
          <t>MCQ options</t>
        </is>
      </c>
      <c r="B42" s="17">
        <f>INDEX('Topic (56-pt) cards'!$A$3:$BB$34,MATCH($B$2,'Topic (56-pt) cards'!$A$3:$A$34,0),MATCH("MCQ options",'Topic (56-pt) cards'!$A$2:$BB$2,0))&amp;""</f>
        <v/>
      </c>
    </row>
    <row r="43" ht="30" customHeight="1">
      <c r="A43" s="24" t="inlineStr">
        <is>
          <t>MCQ answer</t>
        </is>
      </c>
      <c r="B43" s="17">
        <f>INDEX('Topic (56-pt) cards'!$A$3:$BB$34,MATCH($B$2,'Topic (56-pt) cards'!$A$3:$A$34,0),MATCH("MCQ answer",'Topic (56-pt) cards'!$A$2:$BB$2,0))&amp;""</f>
        <v/>
      </c>
    </row>
    <row r="44" ht="30" customHeight="1">
      <c r="A44" s="24" t="inlineStr">
        <is>
          <t>Why that answer</t>
        </is>
      </c>
      <c r="B44" s="17">
        <f>INDEX('Topic (56-pt) cards'!$A$3:$BB$34,MATCH($B$2,'Topic (56-pt) cards'!$A$3:$A$34,0),MATCH("Why that answer",'Topic (56-pt) cards'!$A$2:$BB$2,0))&amp;""</f>
        <v/>
      </c>
    </row>
    <row r="45" ht="30" customHeight="1">
      <c r="A45" s="24" t="inlineStr">
        <is>
          <t>Fill the blank</t>
        </is>
      </c>
      <c r="B45" s="17">
        <f>INDEX('Topic (56-pt) cards'!$A$3:$BB$34,MATCH($B$2,'Topic (56-pt) cards'!$A$3:$A$34,0),MATCH("Fill the blank",'Topic (56-pt) cards'!$A$2:$BB$2,0))&amp;""</f>
        <v/>
      </c>
    </row>
    <row r="46" ht="30" customHeight="1">
      <c r="A46" s="24" t="inlineStr">
        <is>
          <t>Apply it</t>
        </is>
      </c>
      <c r="B46" s="17">
        <f>INDEX('Topic (56-pt) cards'!$A$3:$BB$34,MATCH($B$2,'Topic (56-pt) cards'!$A$3:$A$34,0),MATCH("Apply it",'Topic (56-pt) cards'!$A$2:$BB$2,0))&amp;""</f>
        <v/>
      </c>
    </row>
    <row r="47" ht="30" customHeight="1">
      <c r="A47" s="24" t="inlineStr">
        <is>
          <t>Explain it yourself</t>
        </is>
      </c>
      <c r="B47" s="17">
        <f>INDEX('Topic (56-pt) cards'!$A$3:$BB$34,MATCH($B$2,'Topic (56-pt) cards'!$A$3:$A$34,0),MATCH("Explain it yourself",'Topic (56-pt) cards'!$A$2:$BB$2,0))&amp;""</f>
        <v/>
      </c>
    </row>
    <row r="48" ht="30" customHeight="1">
      <c r="A48" s="24" t="inlineStr">
        <is>
          <t>Write your own</t>
        </is>
      </c>
      <c r="B48" s="17">
        <f>INDEX('Topic (56-pt) cards'!$A$3:$BB$34,MATCH($B$2,'Topic (56-pt) cards'!$A$3:$A$34,0),MATCH("Write your own",'Topic (56-pt) cards'!$A$2:$BB$2,0))&amp;""</f>
        <v/>
      </c>
    </row>
    <row r="49" ht="30" customHeight="1">
      <c r="A49" s="24" t="inlineStr">
        <is>
          <t>Quick recall (reverse)</t>
        </is>
      </c>
      <c r="B49" s="17">
        <f>INDEX('Topic (56-pt) cards'!$A$3:$BB$34,MATCH($B$2,'Topic (56-pt) cards'!$A$3:$A$34,0),MATCH("Quick recall (reverse)",'Topic (56-pt) cards'!$A$2:$BB$2,0))&amp;""</f>
        <v/>
      </c>
    </row>
  </sheetData>
  <mergeCells count="3">
    <mergeCell ref="A4:B4"/>
    <mergeCell ref="A19:B19"/>
    <mergeCell ref="A40:B40"/>
  </mergeCells>
  <dataValidations count="1">
    <dataValidation sqref="B2" showDropDown="0" showInputMessage="0" showErrorMessage="0" allowBlank="0" type="list">
      <formula1>='Topic (56-pt) cards'!$A$3:$A$34</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6"/>
  <sheetViews>
    <sheetView workbookViewId="0">
      <pane ySplit="1" topLeftCell="A2" activePane="bottomLeft" state="frozen"/>
      <selection pane="bottomLeft" activeCell="A1" sqref="A1"/>
    </sheetView>
  </sheetViews>
  <sheetFormatPr baseColWidth="8" defaultRowHeight="15"/>
  <cols>
    <col width="55" customWidth="1" min="1" max="1"/>
    <col width="90" customWidth="1" min="2" max="2"/>
    <col width="30" customWidth="1" min="3" max="3"/>
  </cols>
  <sheetData>
    <row r="1">
      <c r="A1" s="28" t="inlineStr">
        <is>
          <t>Front</t>
        </is>
      </c>
      <c r="B1" s="28" t="inlineStr">
        <is>
          <t>Back</t>
        </is>
      </c>
      <c r="C1" s="28" t="inlineStr">
        <is>
          <t>Tags</t>
        </is>
      </c>
    </row>
    <row r="2" ht="409" customHeight="1">
      <c r="A2" s="29" t="inlineStr">
        <is>
          <t>Logs, metrics and traces
Which three kinds of telemetry describe what a running system is doing?</t>
        </is>
      </c>
      <c r="B2" s="29" t="inlineStr">
        <is>
          <t>DEFINITION (SIMPLE):
Metrics are numbers measured over time, logs are timestamped records of events, and traces follow one request across the services it touches.
HOW / WHY IT WORKS:
Metrics are cheap and good for trends and alerts, such as requests per second. Logs hold detail about single events, such as an error message with its context. Traces show the path and timing of one request through many services. Together they let you move from a symptom to its cause.
SIMPLE EXPLANATION (HINGLISH):
Metrics tell you something is wrong, traces show where, and logs explain why.
REAL-LIFE ANALOGY:
Metrics are the speedometer, traces are the route map, and logs are the driver's diary.
FORMULA / RULE:
Metrics = what and how much. Traces = where. Logs = why.
EXAMPLE 1:
A graph of error rate rising at ten past two.
EXAMPLE 2:
A trace showing the slow call was the payment service.
EXAMPLE 3:
A log line with the exact error and order id.
RELATED CONCEPTS:
monitoring vs observability, structured logs, spans and traces, dashboards
FAMILY / GROUP:
telemetry, metric, log, trace, signal
WHERE IT IS USED:
Operations | Incident response | Platform design
MINI CONVERSATION:
A: Users report slow checkouts. | B: Check the latency metric, then the trace, then the logs of the slow service.
COMMON MISTAKE:
✗ Logs alone are enough to understand a system → ✓ Metrics and traces answer questions logs answer poorly
DON'T CONFUSE WITH:
Metrics vs logs: metrics are cheap numbers over time, logs are detailed single events.
AVOID / DON'T:
Do not rely on one signal type only.
MEMORY TRICK:
Numbers notice, traces locate, logs explain.
REAL LIFE: PROJECT / WORK:
Adding traces showed that a slow customer page waited on one third-party call.
REAL LIFE: INTERVIEW / EXAM:
An interviewer may ask: What is the difference between logs, metrics and traces?
REAL LIFE: DAILY LIFE:
It is like a speedometer, a route map and a diary.</t>
        </is>
      </c>
      <c r="C2" s="29" t="inlineStr">
        <is>
          <t>01_Ideas_Beginner_OBS-001</t>
        </is>
      </c>
    </row>
    <row r="3" ht="409" customHeight="1">
      <c r="A3" s="29" t="inlineStr">
        <is>
          <t>Monitoring vs observability
Which two ideas differ in whether you check known problems or can investigate unknown ones?</t>
        </is>
      </c>
      <c r="B3" s="29" t="inlineStr">
        <is>
          <t>DEFINITION (SIMPLE):
Monitoring watches predefined signals and alerts on known conditions, while observability is the ability to understand internal behaviour from rich telemetry, including problems nobody predicted.
HOW / WHY IT WORKS:
Monitoring answers known questions such as whether CPU is high. Observability needs detailed, high-context data that you can slice by many fields, such as user, version and region. It depends on good instrumentation and structured events. The two work together, since alerts tell you when to investigate.
SIMPLE EXPLANATION (HINGLISH):
Monitoring checks the known, and observability lets you explore the unknown.
REAL-LIFE ANALOGY:
Monitoring is a smoke alarm for known fires, and observability is a toolkit to investigate any smell.
FORMULA / RULE:
Monitoring = known questions. Observability = new questions.
EXAMPLE 1:
An alert when disk usage passes ninety percent.
EXAMPLE 2:
Filtering traces by app version to find a bad release.
EXAMPLE 3:
Grouping errors by customer to spot one affected account.
RELATED CONCEPTS:
logs metrics and traces, alerts, structured logs, cardinality
FAMILY / GROUP:
monitoring, observability, instrumentation, high cardinality, drill-down
WHERE IT IS USED:
Platform engineering | Incidents | Tool choice
MINI CONVERSATION:
A: The alerts are quiet but customers complain. | B: We need better observability to see what the alerts miss.
COMMON MISTAKE:
✗ Observability is just a fancier word for monitoring → ✓ It is the ability to investigate new problems from rich data
DON'T CONFUSE WITH:
Monitoring vs observability: known checks versus open investigation.
AVOID / DON'T:
Do not buy tools instead of adding good instrumentation.
MEMORY TRICK:
Alarm for the known, toolkit for the unknown.
REAL LIFE: PROJECT / WORK:
Adding version and customer fields to events let the team find a bug affecting one customer.
REAL LIFE: INTERVIEW / EXAM:
An interviewer may ask: How is observability different from monitoring?
REAL LIFE: DAILY LIFE:
It is like an alarm plus a toolkit.</t>
        </is>
      </c>
      <c r="C3" s="29" t="inlineStr">
        <is>
          <t>01_Ideas_Intermediate_OBS-002</t>
        </is>
      </c>
    </row>
    <row r="4" ht="409" customHeight="1">
      <c r="A4" s="29" t="inlineStr">
        <is>
          <t>Health checks
Which simple endpoints or probes tell you whether a service is alive and ready?</t>
        </is>
      </c>
      <c r="B4" s="29" t="inlineStr">
        <is>
          <t>DEFINITION (SIMPLE):
A health check is an endpoint or command that reports whether a service is alive and, separately, ready to handle requests.
HOW / WHY IT WORKS:
Liveness answers whether the process should be restarted. Readiness answers whether traffic should be sent to it, including the few dependencies it cannot work without. Load balancers, Kubernetes and monitors call these regularly. Checks must be fast and must not overload dependencies. A deep check that fails on any dependency can take the whole fleet down at once.
SIMPLE EXPLANATION (HINGLISH):
Expose a cheap liveness check and a readiness check for dependencies, and let platforms use them.
REAL-LIFE ANALOGY:
A health check is a pulse, and readiness is asking whether the shop is open.
FORMULA / RULE:
Liveness = restart me. Readiness = send me traffic.
EXAMPLE 1:
A /healthz endpoint returning 200 quickly.
EXAMPLE 2:
A /ready endpoint that checks the database connection.
EXAMPLE 3:
A load balancer removing a failing instance.
RELATED CONCEPTS:
Kubernetes probes, Docker HEALTHCHECK, load balancers, alerts
FAMILY / GROUP:
liveness, readiness, endpoint, probe, heartbeat
WHERE IT IS USED:
Load balancers | Orchestrators | Uptime monitors
MINI CONVERSATION:
A: One database blip took every instance out of rotation. | B: The readiness check was too deep, so keep it narrower.
COMMON MISTAKE:
✗ A health check should test every dependency deeply → ✓ Deep checks can cause a whole fleet to fail together
DON'T CONFUSE WITH:
Liveness vs readiness: restart decision versus traffic decision.
AVOID / DON'T:
Do not make liveness depend on outside systems.
MEMORY TRICK:
Alive means restart, ready means route.
REAL LIFE: PROJECT / WORK:
Narrowing a readiness check stopped repeated mass restarts during database slowdowns.
REAL LIFE: INTERVIEW / EXAM:
An interviewer may ask: What is the difference between liveness and readiness?
REAL LIFE: DAILY LIFE:
It is like a pulse and an open sign.</t>
        </is>
      </c>
      <c r="C4" s="29" t="inlineStr">
        <is>
          <t>01_Ideas_Beginner_OBS-003</t>
        </is>
      </c>
    </row>
    <row r="5" ht="409" customHeight="1">
      <c r="A5" s="29" t="inlineStr">
        <is>
          <t>Dashboards
Which screens show the key signals of a system at a glance?</t>
        </is>
      </c>
      <c r="B5" s="29" t="inlineStr">
        <is>
          <t>DEFINITION (SIMPLE):
A dashboard is a visual display of selected metrics and logs, arranged so that health, trends and problems can be understood quickly.
HOW / WHY IT WORKS:
Good dashboards answer clear questions, such as whether users are happy right now. They start with high-level signals and let you drill into detail. Too many graphs hide the important ones. Use consistent time ranges and units, label axes, and mark deployments. Dashboards support investigation but do not replace alerts.
SIMPLE EXPLANATION (HINGLISH):
Show the few signals that matter most, and make it easy to drill down.
REAL-LIFE ANALOGY:
A dashboard is the instrument panel of an aircraft.
FORMULA / RULE:
Few signals, clear questions, easy drill-down.
EXAMPLE 1:
A panel with request rate, error rate and latency.
EXAMPLE 2:
A deployment marker on a latency graph.
EXAMPLE 3:
A dashboard per service with links to logs.
RELATED CONCEPTS:
Grafana basics, RED and USE methods, alerts, percentiles
FAMILY / GROUP:
dashboard, panel, time range, drill-down, annotation
WHERE IT IS USED:
Operations rooms | Reviews | Incident response
MINI CONVERSATION:
A: Which graph should I look at first? | B: The overview dashboard with errors and latency.
COMMON MISTAKE:
✗ More graphs on a dashboard make it better → ✓ Too many graphs hide what matters
DON'T CONFUSE WITH:
Dashboard vs alert: dashboards are looked at, alerts come to you.
AVOID / DON'T:
Do not rely on someone watching a dashboard to catch problems.
MEMORY TRICK:
A few graphs answering clear questions.
REAL LIFE: PROJECT / WORK:
Replacing a wall of fifty graphs with one overview cut time to spot problems.
REAL LIFE: INTERVIEW / EXAM:
An interviewer may ask: What makes a good dashboard?
REAL LIFE: DAILY LIFE:
It is like an aircraft instrument panel.</t>
        </is>
      </c>
      <c r="C5" s="29" t="inlineStr">
        <is>
          <t>01_Ideas_Beginner_OBS-004</t>
        </is>
      </c>
    </row>
    <row r="6" ht="409" customHeight="1">
      <c r="A6" s="29" t="inlineStr">
        <is>
          <t>Alerts
How do you get told about problems that need action, instead of watching screens?</t>
        </is>
      </c>
      <c r="B6" s="29" t="inlineStr">
        <is>
          <t>DEFINITION (SIMPLE):
An alert is an automatic notification triggered when a signal meets a rule, such as an error rate above a threshold for several minutes.
HOW / WHY IT WORKS:
Good alerts are actionable, urgent and based on symptoms such as errors and latency. Rules use thresholds with durations to avoid noise. Alerts need an owner, a severity and a link to a runbook. Causes such as high CPU are better as warnings or dashboard items than pages. Test alerts to confirm they fire and reach the right people.
SIMPLE EXPLANATION (HINGLISH):
Alert on user-facing symptoms, route to an owner, and include what to do next.
REAL-LIFE ANALOGY:
An alert is a smoke alarm that rings in the right person's pocket.
FORMULA / RULE:
Symptom + threshold + duration + owner + runbook.
EXAMPLE 1:
Page when the error rate is above five percent for five minutes.
EXAMPLE 2:
A ticket for disk usage above eighty percent.
EXAMPLE 3:
A message with a link to the runbook.
RELATED CONCEPTS:
alert fatigue, runbooks, SLOs, on-call
FAMILY / GROUP:
alert, threshold, severity, page, routing
WHERE IT IS USED:
On-call | Production systems | Customer operations
MINI CONVERSATION:
A: We get fifty alerts a night. | B: Remove the ones that need no action and alert on symptoms.
COMMON MISTAKE:
✗ Alert on every metric that moves → ✓ Alert only on conditions that need human action
DON'T CONFUSE WITH:
Page vs ticket: a page needs action now, a ticket can wait.
AVOID / DON'T:
Do not create alerts nobody can act on.
MEMORY TRICK:
Each alert needs an owner and an action.
REAL LIFE: PROJECT / WORK:
Cutting alerts to actionable symptoms gave on-call engineers quiet nights.
REAL LIFE: INTERVIEW / EXAM:
An interviewer may ask: What makes a good alert?
REAL LIFE: DAILY LIFE:
It is like a smoke alarm that reaches the right person.</t>
        </is>
      </c>
      <c r="C6" s="29" t="inlineStr">
        <is>
          <t>01_Ideas_Beginner_OBS-005</t>
        </is>
      </c>
    </row>
    <row r="7" ht="409" customHeight="1">
      <c r="A7" s="29" t="inlineStr">
        <is>
          <t>Log levels
Which severity labels sort log messages from detailed to critical?</t>
        </is>
      </c>
      <c r="B7" s="29" t="inlineStr">
        <is>
          <t>DEFINITION (SIMPLE):
Log levels are severity labels, typically debug, info, warning, error and critical, used to filter which messages are recorded or shown.
HOW / WHY IT WORKS:
Debug is for developers and is very verbose. Info records normal milestones. Warning flags something odd that is not yet a failure. Error means an operation failed. Critical means the service may not continue. Setting a minimum level controls volume and cost. Errors should include context and a next step.
SIMPLE EXPLANATION (HINGLISH):
Use levels consistently, run at info, and raise detail only when needed.
REAL-LIFE ANALOGY:
Log levels are volume knobs from whisper to alarm.
FORMULA / RULE:
debug &lt; info &lt; warning &lt; error &lt; critical.
EXAMPLE 1:
Info: order 1042 created.
EXAMPLE 2:
Warning: retrying payment call, attempt two.
EXAMPLE 3:
Error: payment failed for order 1042 with timeout.
RELATED CONCEPTS:
structured logs, sampling, log volume, alerts
FAMILY / GROUP:
debug, info, warning, error, critical
WHERE IT IS USED:
Every application | Production tuning | Debugging
MINI CONVERSATION:
A: The logs are huge. | B: Production is at debug, so raise it to info.
COMMON MISTAKE:
✗ Logging everything at debug is the safest choice → ✓ It floods storage and hides important lines
DON'T CONFUSE WITH:
Warning vs error: a warning is odd but working, an error is a failed operation.
AVOID / DON'T:
Do not log expected conditions as errors.
MEMORY TRICK:
Info for normal, error for failed.
REAL LIFE: PROJECT / WORK:
Moving noisy messages to debug cut log costs sharply.
REAL LIFE: INTERVIEW / EXAM:
An interviewer may ask: What log level would you use for a retry?
REAL LIFE: DAILY LIFE:
It is like a volume knob.</t>
        </is>
      </c>
      <c r="C7" s="29" t="inlineStr">
        <is>
          <t>02_Logging_Beginner_OBS-006</t>
        </is>
      </c>
    </row>
    <row r="8" ht="409" customHeight="1">
      <c r="A8" s="29" t="inlineStr">
        <is>
          <t>Structured logs
Which logging style writes events as key-value fields so they can be searched?
import json, logging, sys
logging.basicConfig(stream=sys.stdout, level=logging.INFO, format="%(message)s")
log = logging.getLogger("orders")
log.info(json.dumps({"ts": "2026-10-07T10:15:02Z", "level": "info", "msg": "order created", "order_id": 1042, "customer_id": 77, "duration_ms": 184, "request_id": "r-9f2"}))</t>
        </is>
      </c>
      <c r="B8" s="29" t="inlineStr">
        <is>
          <t>MEANING (SHORT):
Structured logging writes each event as machine-readable fields, usually JSON, with a timestamp, level, message and context such as ids.
CODE:
import json, logging, sys
logging.basicConfig(stream=sys.stdout, level=logging.INFO, format="%(message)s")
log = logging.getLogger("orders")
log.info(json.dumps({"ts": "2026-10-07T10:15:02Z", "level": "info", "msg": "order created", "order_id": 1042, "customer_id": 77, "duration_ms": 184, "request_id": "r-9f2"}))
OUTPUT:
One JSON line with fields that tools can filter, group and chart.
EXPLANATION:
With fields, you can search for all errors for one customer or chart durations. Use stable names and types, include a request id, and keep messages short and constant so they group well. Libraries add the fields automatically. Do not include secrets or whole payloads. Write to standard output and let the platform collect.
SIMPLE EXPLANATION (HINGLISH):
Log JSON with consistent fields, and keep the message text constant.
REAL-LIFE ANALOGY:
A structured log is a form with labelled fields instead of a rambling note.
SYNTAX PATTERN:
log.info(json.dumps({field: value}))
ANATOMY:
ts = time | level = severity | msg = constant text | ids = context
EXAMPLE 1:
{"level":"error","msg":"payment failed","order_id":1042}
EXAMPLE 2:
{"msg":"login","user_id":7,"ip":"203.0.113.5"}
EXAMPLE 3:
logger.bind(request_id=rid).info("done")
VARIATION:
structlog or pino   // libraries that do this for you
USED WITH:
central logging, correlation ids, searching logs
RELATED CONCEPTS:
correlation ids, central logging, searching logs, sensitive data
ALTERNATIVES:
Plain text logs with a fixed format
WHERE IT IS USED:
Services | Pipelines | Containers
MINI CONVERSATION:
A: How do I find all errors for one customer? | B: Filter structured logs by customer_id.
COMMON MISTAKE:
✗ Structured logs are only for big companies → ✓ Any service benefits from searchable fields
COMMONLY CONFUSED WITH:
Structured vs plain logs: fields versus free text.
AVOID / DON'T:
Do not build messages with variable text in the main message field.
WRONG CODE:
log.info(f"order {order_id} created for {customer_id}")
RIGHT CODE:
log.info(json.dumps({"msg": "order created", "order_id": order_id, "customer_id": customer_id}))
MEMORY TRICK:
Keep the message constant, put variables in fields.
REAL LIFE: PROJECT / WORK:
Switching to JSON logs let support filter an incident by customer in seconds.
REAL LIFE: INTERVIEW / EXAM:
An interviewer may ask: Why use structured logging?
REAL LIFE: DAILY LIFE:
It is like a form with labelled fields.</t>
        </is>
      </c>
      <c r="C8" s="29" t="inlineStr">
        <is>
          <t>02_Logging_Intermediate_OBS-007</t>
        </is>
      </c>
    </row>
    <row r="9" ht="409" customHeight="1">
      <c r="A9" s="29" t="inlineStr">
        <is>
          <t>Correlation ids
Which identifiers tie together all log lines from one request across services?</t>
        </is>
      </c>
      <c r="B9" s="29" t="inlineStr">
        <is>
          <t>DEFINITION (SIMPLE):
A correlation or request id is a unique value created when a request enters the system and included in every log line and downstream call about that request.
HOW / WHY IT WORKS:
Use an incoming id when present and create one otherwise, then add it to a context so logging includes it automatically. Pass it in an HTTP header such as X-Request-ID. Show it in error responses so users can quote it to support. Distributed tracing generalises this with trace ids.
SIMPLE EXPLANATION (HINGLISH):
Create an id at the edge, pass it everywhere, and log it in every line.
REAL-LIFE ANALOGY:
A correlation id is a luggage tag that follows one bag through every airport.
FORMULA / RULE:
One request, one id, in every log and call.
EXAMPLE 1:
Header X-Request-ID set by the gateway.
EXAMPLE 2:
A support ticket quoting the id shown in an error page.
EXAMPLE 3:
A search for the id returning lines from three services.
RELATED CONCEPTS:
structured logs, spans and traces, propagation, central logging
FAMILY / GROUP:
request id, trace id, header, context, edge
WHERE IT IS USED:
Microservices | Support | Debugging
MINI CONVERSATION:
A: Which log lines belong to this failed order? | B: Search by its request id.
COMMON MISTAKE:
✗ Timestamps are enough to match lines from different services → ✓ Clocks and concurrency make matching by time unreliable
DON'T CONFUSE WITH:
Correlation id vs trace id: the first is a simple tag, the second is part of full tracing.
AVOID / DON'T:
Do not forget to forward the id on every downstream call.
MEMORY TRICK:
Create once, forward always, log everywhere.
REAL LIFE: PROJECT / WORK:
Adding request ids to every service made incident investigations much faster.
REAL LIFE: INTERVIEW / EXAM:
An interviewer may ask: How do you follow one request across services?
REAL LIFE: DAILY LIFE:
It is like a luggage tag.</t>
        </is>
      </c>
      <c r="C9" s="29" t="inlineStr">
        <is>
          <t>02_Logging_Intermediate_OBS-008</t>
        </is>
      </c>
    </row>
    <row r="10" ht="409" customHeight="1">
      <c r="A10" s="29" t="inlineStr">
        <is>
          <t>Central logging
How do you collect logs from many machines into one searchable place?</t>
        </is>
      </c>
      <c r="B10" s="29" t="inlineStr">
        <is>
          <t>DEFINITION (SIMPLE):
Central logging uses agents or the platform to ship logs from all services to a shared system such as Loki, Elasticsearch or a cloud log service, where they are indexed and searched.
HOW / WHY IT WORKS:
Containers write to standard output, and a collector such as Fluent Bit or the cloud agent forwards the lines with labels like service, host and environment. Central stores keep logs after servers disappear and support queries, dashboards and alerts. Plan retention, access control and cost. Buffering avoids losing logs during outages.
SIMPLE EXPLANATION (HINGLISH):
Send every log to one place with labels, and search there.
REAL-LIFE ANALOGY:
Central logging is one library where every machine files its diary.
FORMULA / RULE:
App → stdout → agent → central store → search.
EXAMPLE 1:
Fluent Bit shipping container logs.
EXAMPLE 2:
A query for errors in the checkout service.
EXAMPLE 3:
An alert on a log pattern.
RELATED CONCEPTS:
retention, searching logs, log pipelines, cost of telemetry
FAMILY / GROUP:
agent, collector, index, label, store
WHERE IT IS USED:
Platforms | Kubernetes | Incident response
MINI CONVERSATION:
A: The pod was replaced and its logs are gone. | B: Ship logs centrally so they outlive pods.
COMMON MISTAKE:
✗ Logs on the server are safe enough → ✓ They disappear with the machine and cannot be searched across services
DON'T CONFUSE WITH:
Local vs central logs: local ones are lost with the host, central ones persist.
AVOID / DON'T:
Do not keep the only copy of logs on one host.
MEMORY TRICK:
Print to stdout, ship to the centre.
REAL LIFE: PROJECT / WORK:
Central logs let a team investigate a crash of a pod that no longer existed.
REAL LIFE: INTERVIEW / EXAM:
An interviewer may ask: How do you collect logs from containers?
REAL LIFE: DAILY LIFE:
It is like one library for many diaries.</t>
        </is>
      </c>
      <c r="C10" s="29" t="inlineStr">
        <is>
          <t>02_Logging_Intermediate_OBS-009</t>
        </is>
      </c>
    </row>
    <row r="11" ht="409" customHeight="1">
      <c r="A11" s="29" t="inlineStr">
        <is>
          <t>Retention
How long should you keep logs and why does it matter?</t>
        </is>
      </c>
      <c r="B11" s="29" t="inlineStr">
        <is>
          <t>DEFINITION (SIMPLE):
Retention is the period for which logs are kept before they are archived or deleted, set by operational need, cost and legal rules.
HOW / WHY IT WORKS:
Recent logs are needed for debugging, perhaps seven to thirty days. Audit and security logs may need months or years. Tiered storage moves old logs to cheap archives. Personal data in logs must follow privacy rules and deletion requests. Retention should be written down per log type.
SIMPLE EXPLANATION (HINGLISH):
Choose how long each log type is kept, archive old ones cheaply, and delete on schedule.
REAL-LIFE ANALOGY:
Retention is a shelf life label on each batch of logs.
FORMULA / RULE:
Need + law + cost = retention period.
EXAMPLE 1:
Application logs kept for fourteen days.
EXAMPLE 2:
Audit logs kept for one year in archive.
EXAMPLE 3:
A lifecycle rule deleting old log files.
RELATED CONCEPTS:
central logging, sensitive data in logs, cost of telemetry, compliance
FAMILY / GROUP:
retention, archive, tier, lifecycle, deletion
WHERE IT IS USED:
Compliance | Cost control | Security
MINI CONVERSATION:
A: How far back can we search? | B: Fourteen days hot, then archived for a year.
COMMON MISTAKE:
✗ Keeping logs forever is safest → ✓ It costs money and keeps personal data longer than needed
DON'T CONFUSE WITH:
Hot vs archive: hot is quick to search, archive is cheap and slow.
AVOID / DON'T:
Do not keep sensitive logs longer than allowed.
MEMORY TRICK:
Every log type needs a shelf life.
REAL LIFE: PROJECT / WORK:
Tiering old logs to archive cut the monthly logging bill.
REAL LIFE: INTERVIEW / EXAM:
An interviewer may ask: How do you decide log retention?
REAL LIFE: DAILY LIFE:
It is like a shelf life label.</t>
        </is>
      </c>
      <c r="C11" s="29" t="inlineStr">
        <is>
          <t>02_Logging_Intermediate_OBS-010</t>
        </is>
      </c>
    </row>
    <row r="12" ht="409" customHeight="1">
      <c r="A12" s="29" t="inlineStr">
        <is>
          <t>Sensitive data in logs
Which information must never be written to logs?</t>
        </is>
      </c>
      <c r="B12" s="29" t="inlineStr">
        <is>
          <t>DEFINITION (SIMPLE):
Sensitive data in logs includes passwords, tokens, keys, payment details and personal information, which should be excluded, masked or hashed before logging.
HOW / WHY IT WORKS:
Common leaks are request bodies, headers with authorisation tokens, connection strings and error dumps. Use allow-lists of fields to log rather than dumping objects. Mask values, keeping only a few characters if needed. Scrub in the log pipeline as a second layer. Access to logs should be controlled, and leaks treated as incidents.
SIMPLE EXPLANATION (HINGLISH):
Log only chosen safe fields, and mask or exclude anything private.
REAL-LIFE ANALOGY:
Logs are a diary many people can read, so never write passwords in it.
FORMULA / RULE:
Allow-list the fields, mask the rest.
EXAMPLE 1:
Masking a token as abcd****.
EXAMPLE 2:
Not logging the Authorization header.
EXAMPLE 3:
A pipeline rule removing card numbers.
RELATED CONCEPTS:
structured logs, retention, PII and masking, security
FAMILY / GROUP:
redact, mask, secret, PII, scrub
WHERE IT IS USED:
Every service | Compliance | Reviews
MINI CONVERSATION:
A: The log shows a customer's token. | B: Revoke it, then add masking at the source.
COMMON MISTAKE:
✗ Logs are internal, so secrets in them are fine → ✓ Many people and tools can read logs, so leaks spread
DON'T CONFUSE WITH:
Masking vs removing: masking keeps a trace, removing drops the value.
AVOID / DON'T:
Do not log whole request objects.
MEMORY TRICK:
Never log what you would not shout.
REAL LIFE: PROJECT / WORK:
Finding tokens in logs led to a masking rule and revoked credentials.
REAL LIFE: INTERVIEW / EXAM:
An interviewer may ask: What should not be logged?
REAL LIFE: DAILY LIFE:
It is like not writing passwords in a shared diary.</t>
        </is>
      </c>
      <c r="C12" s="29" t="inlineStr">
        <is>
          <t>02_Logging_Intermediate_OBS-011</t>
        </is>
      </c>
    </row>
    <row r="13" ht="409" customHeight="1">
      <c r="A13" s="29" t="inlineStr">
        <is>
          <t>Log sampling
How can you keep useful logs while cutting volume of repetitive ones?</t>
        </is>
      </c>
      <c r="B13" s="29" t="inlineStr">
        <is>
          <t>DEFINITION (SIMPLE):
Log sampling records only a fraction of routine events, while keeping all important ones such as errors, so volume and cost drop but problems stay visible.
HOW / WHY IT WORKS:
Head sampling decides at the start, while tail sampling decides after seeing the result, so errors are kept. Rate limiting stops one noisy message flooding. Sampling hurts exact counts, so use metrics for counts. Record the sampling rate in the event if you must estimate totals.
SIMPLE EXPLANATION (HINGLISH):
Keep all errors and a fraction of the routine lines.
REAL-LIFE ANALOGY:
Sampling is reading every tenth letter of a repetitive newsletter but all the urgent ones.
FORMULA / RULE:
Keep important always, sample routine.
EXAMPLE 1:
Logging one in a hundred successful health checks.
EXAMPLE 2:
Keeping every error with full detail.
EXAMPLE 3:
Rate limiting a repeated warning.
RELATED CONCEPTS:
log levels, cost of telemetry, log pipelines, metrics
FAMILY / GROUP:
sampling, rate limit, head, tail, volume
WHERE IT IS USED:
High-traffic systems | Cost control | Tracing
MINI CONVERSATION:
A: Health check logs are half our volume. | B: Sample them heavily and keep the errors.
COMMON MISTAKE:
✗ Sampled logs give exact counts → ✓ Use metrics for counts, since sampling loses events
DON'T CONFUSE WITH:
Head vs tail sampling: head decides early, tail decides after the outcome.
AVOID / DON'T:
Never sample the error events you need.
MEMORY TRICK:
Sample the boring, keep the broken.
REAL LIFE: PROJECT / WORK:
Sampling health check logs cut log volume noticeably for the team.
REAL LIFE: INTERVIEW / EXAM:
An interviewer may ask: Why not sample errors?
REAL LIFE: DAILY LIFE:
It is like reading every tenth letter of a newsletter.</t>
        </is>
      </c>
      <c r="C13" s="29" t="inlineStr">
        <is>
          <t>02_Logging_Advanced_OBS-012</t>
        </is>
      </c>
    </row>
    <row r="14" ht="409" customHeight="1">
      <c r="A14" s="29" t="inlineStr">
        <is>
          <t>Searching logs
How do you find the relevant lines among millions?</t>
        </is>
      </c>
      <c r="B14" s="29" t="inlineStr">
        <is>
          <t>DEFINITION (SIMPLE):
Searching logs means filtering by time range, service, level and fields, then following ids and reading nearby lines to understand the sequence of events.
HOW / WHY IT WORKS:
Start from the time of the symptom, such as the alert or a deployment. Filter to the affected service and level error, then group by message to see the main failure. Follow request ids to other services. Look before and after the first error, since the cause often comes earlier. Save useful queries for reuse.
SIMPLE EXPLANATION (HINGLISH):
Filter by time and service, find the first error, and follow the ids.
REAL-LIFE ANALOGY:
Searching logs is like using a library catalogue before reading the shelf.
FORMULA / RULE:
Time + service + level + id.
EXAMPLE 1:
Errors in checkout between 10:10 and 10:20.
EXAMPLE 2:
All lines for request id r-9f2.
EXAMPLE 3:
Counting errors grouped by message.
RELATED CONCEPTS:
structured logs, correlation ids, central logging, debugging
FAMILY / GROUP:
query, filter, window, grep, group
WHERE IT IS USED:
Incident response | Debugging | Support
MINI CONVERSATION:
A: Where do I start in the logs? | B: Start at the alert time and find the first error.
COMMON MISTAKE:
✗ The last error line is always the cause → ✓ The first error often points to the real cause
DON'T CONFUSE WITH:
First error vs last error: the first usually leads to the cause, the last is often a symptom.
AVOID / DON'T:
Do not search without a time window.
MEMORY TRICK:
Narrow by time, find the first error.
REAL LIFE: PROJECT / WORK:
Searching from the first error found a bad config behind a flood of later failures.
REAL LIFE: INTERVIEW / EXAM:
An interviewer may ask: How do you investigate an error in logs?
REAL LIFE: DAILY LIFE:
It is like a library catalogue before the shelf.</t>
        </is>
      </c>
      <c r="C14" s="29" t="inlineStr">
        <is>
          <t>02_Logging_Beginner_OBS-013</t>
        </is>
      </c>
    </row>
    <row r="15" ht="409" customHeight="1">
      <c r="A15" s="29" t="inlineStr">
        <is>
          <t>Counters, gauges and histograms
Which three metric types record totals, current values and distributions?</t>
        </is>
      </c>
      <c r="B15" s="29" t="inlineStr">
        <is>
          <t>DEFINITION (SIMPLE):
A counter only increases and counts events, a gauge goes up and down to show a current value, and a histogram counts observations in buckets to show a distribution.
HOW / WHY IT WORKS:
Counters are read as rates, such as requests per second. Gauges show things like memory in use or queue length. Histograms capture latency spread, allowing percentiles. Resets of counters on restart are handled by rate functions. Choosing the wrong type gives misleading graphs.
SIMPLE EXPLANATION (HINGLISH):
Count events with counters, show levels with gauges, and measure spread with histograms.
REAL-LIFE ANALOGY:
A counter is an odometer, a gauge is a fuel level, and a histogram is a bar chart of trip lengths.
FORMULA / RULE:
Counter = total, gauge = now, histogram = spread.
EXAMPLE 1:
http_requests_total as a counter.
EXAMPLE 2:
queue_length as a gauge.
EXAMPLE 3:
request_duration_seconds as a histogram.
RELATED CONCEPTS:
Prometheus basics, percentiles, RED and USE methods, cardinality
FAMILY / GROUP:
counter, gauge, histogram, bucket, rate
WHERE IT IS USED:
Instrumentation | Dashboards | Alerts
MINI CONVERSATION:
A: Should request time be a gauge? | B: No, use a histogram so we can see percentiles.
COMMON MISTAKE:
✗ A gauge is fine for counting requests → ✓ A counter survives sampling gaps and works with rates
DON'T CONFUSE WITH:
Counter vs gauge: a counter only rises, a gauge goes both ways.
AVOID / DON'T:
Do not use gauges for event counts.
MEMORY TRICK:
Count with counters, level with gauges.
REAL LIFE: PROJECT / WORK:
Switching latency to a histogram revealed slow tail requests hidden by averages.
REAL LIFE: INTERVIEW / EXAM:
An interviewer may ask: When do you use a histogram?
REAL LIFE: DAILY LIFE:
It is like an odometer, a fuel gauge and a bar chart.</t>
        </is>
      </c>
      <c r="C15" s="29" t="inlineStr">
        <is>
          <t>03_Metrics_Beginner_OBS-014</t>
        </is>
      </c>
    </row>
    <row r="16" ht="409" customHeight="1">
      <c r="A16" s="29" t="inlineStr">
        <is>
          <t>Prometheus basics
Which system scrapes metrics from services and lets you query them?
# prometheus.yml
scrape_configs:
  - job_name: web
    scrape_interval: 15s
    static_configs:
      - targets: ["web:8080"]
# PromQL
rate(http_requests_total{job="web", status=~"5.."}[5m])
sum by (route) (rate(http_requests_total[5m]))
histogram_quantile(0.95, sum by (le) (rate(http_request_duration_seconds_bucket[5m])))</t>
        </is>
      </c>
      <c r="B16" s="29" t="inlineStr">
        <is>
          <t>MEANING (SHORT):
Prometheus scrapes metrics from HTTP endpoints at intervals, stores them as labelled time series, and offers the query language PromQL and alert rules.
CODE:
# prometheus.yml
scrape_configs:
  - job_name: web
    scrape_interval: 15s
    static_configs:
      - targets: ["web:8080"]
# PromQL
rate(http_requests_total{job="web", status=~"5.."}[5m])
sum by (route) (rate(http_requests_total[5m]))
histogram_quantile(0.95, sum by (le) (rate(http_request_duration_seconds_bucket[5m])))
OUTPUT:
The queries give the per-second rate of server errors, the rate by route, and the 95th percentile latency over five minutes.
EXPLANATION:
Each metric has a name and labels, such as status and route. rate turns a counter into a per-second value over a window. sum by groups series. histogram_quantile estimates percentiles from buckets. Alertmanager handles routing of alerts. Prometheus pulls, so targets must be reachable, and short jobs use a push gateway.
SIMPLE EXPLANATION (HINGLISH):
Expose /metrics, scrape it, and query rates with PromQL.
REAL-LIFE ANALOGY:
Prometheus is a collector that visits each service on a schedule and copies its meter readings.
SYNTAX PATTERN:
rate(metric{label="x"}[5m]) | sum by (label) (...)
ANATOMY:
scrape = pull | label = dimension | rate = per-second change | [5m] = window
EXAMPLE 1:
up{job="web"}
EXAMPLE 2:
avg_over_time(process_resident_memory_bytes[1h])
EXAMPLE 3:
increase(http_requests_total[1h])
VARIATION:
remote write to a long-term store   // keep metrics for months
USED WITH:
Grafana, Alertmanager, exporters
RELATED CONCEPTS:
counters gauges histograms, Grafana basics, percentiles, cardinality
ALTERNATIVES:
Cloud monitoring services | OpenTelemetry metrics
WHERE IT IS USED:
Kubernetes | Services | Alerting
MINI CONVERSATION:
A: How do I see the error rate? | B: Use rate on the counter filtered to 5xx.
COMMON MISTAKE:
✗ Prometheus stores logs → ✓ It stores numeric time series only
COMMONLY CONFUSED WITH:
rate vs increase: rate is per second, increase is the total over the window.
AVOID / DON'T:
Do not apply rate to a gauge.
WRONG CODE:
rate(memory_in_use_bytes[5m])
RIGHT CODE:
rate(http_requests_total[5m])
MEMORY TRICK:
Rate is for counters only.
REAL LIFE: PROJECT / WORK:
A rate query on the error counter drove a page when errors passed five percent.
REAL LIFE: INTERVIEW / EXAM:
An interviewer may ask: What does rate do in PromQL?
REAL LIFE: DAILY LIFE:
It is like a collector copying meter readings.</t>
        </is>
      </c>
      <c r="C16" s="29" t="inlineStr">
        <is>
          <t>03_Metrics_Intermediate_OBS-015</t>
        </is>
      </c>
    </row>
    <row r="17" ht="409" customHeight="1">
      <c r="A17" s="29" t="inlineStr">
        <is>
          <t>Grafana basics
Which tool draws dashboards from many data sources?</t>
        </is>
      </c>
      <c r="B17" s="29" t="inlineStr">
        <is>
          <t>DEFINITION (SIMPLE):
Grafana is a visualisation tool that connects to data sources, runs queries, and shows the results as panels on dashboards, with variables, alerting and sharing.
HOW / WHY IT WORKS:
You add a data source, create a dashboard with panels, and write a query in each. Variables create dropdowns, such as environment and service. Panels support graphs, tables, gauges and heat maps. Dashboards are stored as JSON and can be versioned. Alert rules can use the same queries as panels.
SIMPLE EXPLANATION (HINGLISH):
Connect a source, write queries in panels, add variables, and share.
REAL-LIFE ANALOGY:
Grafana is the painter who turns numbers from many stores into pictures.
FORMULA / RULE:
Data source + query + panel + variable.
EXAMPLE 1:
A latency panel from Prometheus.
EXAMPLE 2:
A logs panel from Loki.
EXAMPLE 3:
A service dropdown variable.
RELATED CONCEPTS:
dashboards, Prometheus basics, RED and USE methods, alerts
FAMILY / GROUP:
panel, data source, variable, provisioning, JSON
WHERE IT IS USED:
Monitoring | Reviews | Incident rooms
MINI CONVERSATION:
A: Do we need a dashboard per service? | B: No, use a variable for the service name.
COMMON MISTAKE:
✗ Grafana stores the metrics → ✓ It only displays data from other sources
DON'T CONFUSE WITH:
Grafana vs Prometheus: Grafana shows, Prometheus collects and stores.
AVOID / DON'T:
Do not edit production dashboards only in the interface without version control.
MEMORY TRICK:
Grafana only shows, Prometheus collects and stores.
REAL LIFE: PROJECT / WORK:
Provisioning dashboards from files kept them identical in every environment.
REAL LIFE: INTERVIEW / EXAM:
An interviewer may ask: What is the relationship between Grafana and Prometheus?
REAL LIFE: DAILY LIFE:
It is like a painter for numbers.</t>
        </is>
      </c>
      <c r="C17" s="29" t="inlineStr">
        <is>
          <t>03_Metrics_Beginner_OBS-016</t>
        </is>
      </c>
    </row>
    <row r="18" ht="409" customHeight="1">
      <c r="A18" s="29" t="inlineStr">
        <is>
          <t>RED and USE methods
Which two checklists tell you which metrics to watch for services and resources?</t>
        </is>
      </c>
      <c r="B18" s="29" t="inlineStr">
        <is>
          <t>DEFINITION (SIMPLE):
The RED method tracks rate, errors and duration for services, and the USE method tracks utilisation, saturation and errors for resources.
HOW / WHY IT WORKS:
For an API, rate is requests per second, errors are failed requests, and duration is latency. For a disk, CPU or queue, utilisation is how busy it is, saturation is how much work is waiting, and errors are failures. RED shows user impact, and USE helps find the bottleneck. Together they cover most problems.
SIMPLE EXPLANATION (HINGLISH):
Use RED for services and USE for machines and queues.
REAL-LIFE ANALOGY:
RED watches the customers' experience, and USE watches the machinery.
FORMULA / RULE:
RED = rate, errors, duration. USE = utilisation, saturation, errors.
EXAMPLE 1:
Requests per second, error ratio and p95 latency of an API.
EXAMPLE 2:
CPU utilisation, run queue length and hardware errors.
EXAMPLE 3:
Queue depth as saturation.
RELATED CONCEPTS:
dashboards, percentiles, saturation, alerts
FAMILY / GROUP:
RED, USE, golden signals, utilisation, saturation
WHERE IT IS USED:
Dashboards | Alerts | Troubleshooting
MINI CONVERSATION:
A: What should this new dashboard show? | B: Start with RED for the API and USE for the database host.
COMMON MISTAKE:
✗ CPU utilisation alone shows whether a service is healthy → ✓ Users feel errors and latency, so measure RED too
DON'T CONFUSE WITH:
RED vs USE: RED is about requests, USE is about resources.
AVOID / DON'T:
Do not alert on resource use without checking user impact.
MEMORY TRICK:
RED for requests, USE for resources.
REAL LIFE: PROJECT / WORK:
Building dashboards from RED and USE gave every team the same starting view.
REAL LIFE: INTERVIEW / EXAM:
An interviewer may ask: What are the RED and USE methods?
REAL LIFE: DAILY LIFE:
It is like watching customers and machinery.</t>
        </is>
      </c>
      <c r="C18" s="29" t="inlineStr">
        <is>
          <t>03_Metrics_Intermediate_OBS-017</t>
        </is>
      </c>
    </row>
    <row r="19" ht="409" customHeight="1">
      <c r="A19" s="29" t="inlineStr">
        <is>
          <t>Cardinality
Which property of labels can make metrics systems slow and expensive?</t>
        </is>
      </c>
      <c r="B19" s="29" t="inlineStr">
        <is>
          <t>DEFINITION (SIMPLE):
Cardinality is the number of distinct time series a metric produces, equal to the number of unique label value combinations, and high cardinality strains storage and queries.
HOW / WHY IT WORKS:
A metric with labels for route, status and method may have dozens of series. Adding a user id label creates one per user, which can reach millions. Use bounded labels such as route templates, not raw paths. Put high-detail data in logs or traces instead. Monitor series counts and set limits.
SIMPLE EXPLANATION (HINGLISH):
Keep label values few and bounded, and put unique ids in logs and traces.
REAL-LIFE ANALOGY:
Cardinality is the number of different name tags, and too many tags clog the cloakroom.
FORMULA / RULE:
Series = product of label value counts.
EXAMPLE 1:
Labels route, method and status giving a few hundred series.
EXAMPLE 2:
A user_id label creating millions of series.
EXAMPLE 3:
Using /users/:id instead of /users/42.
RELATED CONCEPTS:
counters gauges histograms, Prometheus basics, cost of telemetry, structured logs
FAMILY / GROUP:
cardinality, label, series, bounded, explosion
WHERE IT IS USED:
Metrics design | Cost control | Troubleshooting
MINI CONVERSATION:
A: Prometheus is running out of memory. | B: A high-cardinality label is probably creating too many series.
COMMON MISTAKE:
✗ More labels always make metrics more useful → ✓ Unbounded labels can break the metrics system
DON'T CONFUSE WITH:
High vs low cardinality: few label values versus many unique ones.
AVOID / DON'T:
Do not label metrics with user ids.
MEMORY TRICK:
Bounded labels only, ids go to logs.
REAL LIFE: PROJECT / WORK:
Removing a user id label brought a metrics server back from constant crashes.
REAL LIFE: INTERVIEW / EXAM:
An interviewer may ask: Why is high cardinality a problem?
REAL LIFE: DAILY LIFE:
It is like too many name tags in a cloakroom.</t>
        </is>
      </c>
      <c r="C19" s="29" t="inlineStr">
        <is>
          <t>03_Metrics_Advanced_OBS-018</t>
        </is>
      </c>
    </row>
    <row r="20" ht="409" customHeight="1">
      <c r="A20" s="29" t="inlineStr">
        <is>
          <t>Percentiles
Why do p95 and p99 describe latency better than the average?</t>
        </is>
      </c>
      <c r="B20" s="29" t="inlineStr">
        <is>
          <t>DEFINITION (SIMPLE):
A percentile is the value below which a given percent of observations fall, so the p95 latency means ninety-five percent of requests were faster than that value.
HOW / WHY IT WORKS:
The median, p50, shows typical latency. p95 and p99 show the slow tail that affects many users, especially when a page makes many calls. Percentiles cannot be averaged across servers, and must be computed from histograms or raw data. Service goals are often written as percentiles.
SIMPLE EXPLANATION (HINGLISH):
Use p50, p95 and p99 instead of the mean to see slow requests.
REAL-LIFE ANALOGY:
The average is the typical meal time, and p99 is how long the unluckiest diner waits.
FORMULA / RULE:
p95 = value that ninety-five percent of requests beat.
EXAMPLE 1:
Average 200 ms but p99 of 4 seconds.
EXAMPLE 2:
A goal that p95 stays under 300 ms.
EXAMPLE 3:
A histogram used to compute p99.
RELATED CONCEPTS:
histograms, RED and USE methods, SLIs and SLOs, tracing
FAMILY / GROUP:
percentile, p95, p99, tail latency, median
WHERE IT IS USED:
Performance work | SLOs | Alerts
MINI CONVERSATION:
A: The average is fine but users complain. | B: Check p99 for the slow tail.
COMMON MISTAKE:
✗ The average latency shows what users experience → ✓ The slow tail can hurt many users while the average looks fine
DON'T CONFUSE WITH:
Mean vs p99: the mean hides outliers, p99 shows them.
AVOID / DON'T:
Do not average percentiles across instances.
MEMORY TRICK:
Averages hide, tails tell the truth.
REAL LIFE: PROJECT / WORK:
Spotting a bad p99 led to a slow query that the average had hidden.
REAL LIFE: INTERVIEW / EXAM:
An interviewer may ask: Why use percentiles rather than averages?
REAL LIFE: DAILY LIFE:
It is like asking how long the unluckiest diner waits.</t>
        </is>
      </c>
      <c r="C20" s="29" t="inlineStr">
        <is>
          <t>03_Metrics_Intermediate_OBS-019</t>
        </is>
      </c>
    </row>
    <row r="21" ht="409" customHeight="1">
      <c r="A21" s="29" t="inlineStr">
        <is>
          <t>Saturation
Which signal shows how full a resource is and how much work is waiting?</t>
        </is>
      </c>
      <c r="B21" s="29" t="inlineStr">
        <is>
          <t>DEFINITION (SIMPLE):
Saturation is the degree to which a resource has more work than it can handle, shown by queues, wait times or throttling.
HOW / WHY IT WORKS:
Utilisation near one hundred percent with a growing queue means saturation. Examples are CPU run queue, thread pool queue, connection pool waits and disk queue depth. Latency grows quickly once saturation starts. Alerting on saturation gives time to scale. Autoscaling often keys on it.
SIMPLE EXPLANATION (HINGLISH):
Watch queues and waits to see overload before users do.
REAL-LIFE ANALOGY:
Saturation is the line at the door of a restaurant that is already full.
FORMULA / RULE:
Busy and waiting = saturated.
EXAMPLE 1:
A growing thread pool queue.
EXAMPLE 2:
Connection pool wait time rising.
EXAMPLE 3:
Disk queue depth above the safe level.
RELATED CONCEPTS:
RED and USE methods, autoscaling, percentiles, alerts
FAMILY / GROUP:
saturation, queue, wait, throttling, headroom
WHERE IT IS USED:
Capacity planning | Alerts | Autoscaling
MINI CONVERSATION:
A: CPU is at eighty percent, is it fine? | B: Check the run queue to see whether work is waiting.
COMMON MISTAKE:
✗ Low utilisation always means no overload → ✓ A small pool can be saturated even when machine CPU is low
DON'T CONFUSE WITH:
Utilisation vs saturation: utilisation is how busy, saturation is how much waits.
AVOID / DON'T:
Do not watch utilisation only.
MEMORY TRICK:
Busy is use, waiting is saturation.
REAL LIFE: PROJECT / WORK:
Alerting on a connection pool queue gave early warning before timeouts began.
REAL LIFE: INTERVIEW / EXAM:
An interviewer may ask: How do you detect saturation?
REAL LIFE: DAILY LIFE:
It is like a line outside a full restaurant.</t>
        </is>
      </c>
      <c r="C21" s="29" t="inlineStr">
        <is>
          <t>03_Metrics_Intermediate_OBS-020</t>
        </is>
      </c>
    </row>
    <row r="22" ht="409" customHeight="1">
      <c r="A22" s="29" t="inlineStr">
        <is>
          <t>Spans and traces
Which two terms describe one timed operation and the full path of a request?</t>
        </is>
      </c>
      <c r="B22" s="29" t="inlineStr">
        <is>
          <t>DEFINITION (SIMPLE):
A span is a timed operation with a name, start, duration and attributes, and a trace is the tree of spans that belong to one request.
HOW / WHY IT WORKS:
The root span is the entry point, with child spans for calls to other services and databases. Each span has an id and its parent id, and all share a trace id. A waterfall view shows which step was slow. Attributes and events add context. Errors can be recorded on spans.
SIMPLE EXPLANATION (HINGLISH):
Spans are the timed steps, and the trace is the whole request.
REAL-LIFE ANALOGY:
A trace is a journey and spans are the timed legs of it.
FORMULA / RULE:
Trace = tree of spans sharing one trace id.
EXAMPLE 1:
A root span for POST /checkout.
EXAMPLE 2:
A child span for the payment API call.
EXAMPLE 3:
A database query span with its duration.
RELATED CONCEPTS:
OpenTelemetry, propagation, correlation ids, sampling
FAMILY / GROUP:
span, trace, parent, attribute, waterfall
WHERE IT IS USED:
Microservices | Performance work | Debugging
MINI CONVERSATION:
A: Which step made checkout slow? | B: The waterfall shows the payment span took two seconds.
COMMON MISTAKE:
✗ A trace is just a collection of logs → ✓ It is a structured tree of timed spans
DON'T CONFUSE WITH:
Span vs trace: a span is one step, a trace is all steps of a request.
AVOID / DON'T:
Do not create spans for every tiny function.
MEMORY TRICK:
Spans are legs, the trace is the trip.
REAL LIFE: PROJECT / WORK:
A trace waterfall found one sequential call that could run in parallel.
REAL LIFE: INTERVIEW / EXAM:
An interviewer may ask: What is a span?
REAL LIFE: DAILY LIFE:
It is like the legs of a journey.</t>
        </is>
      </c>
      <c r="C22" s="29" t="inlineStr">
        <is>
          <t>04_Tracing_Intermediate_OBS-021</t>
        </is>
      </c>
    </row>
    <row r="23" ht="409" customHeight="1">
      <c r="A23" s="29" t="inlineStr">
        <is>
          <t>OpenTelemetry
Which open standard and toolkit collects traces, metrics and logs in a vendor-neutral way?
from opentelemetry import trace
tracer = trace.get_tracer("orders")
with tracer.start_as_current_span("create_order") as span:
    span.set_attribute("order.id", 1042)
    try:
        charge_card()
    except Exception as e:
        span.record_exception(e)
        raise
# environment: OTEL_EXPORTER_OTLP_ENDPOINT=http://collector:4317 OTEL_SERVICE_NAME=orders</t>
        </is>
      </c>
      <c r="B23" s="29" t="inlineStr">
        <is>
          <t>MEANING (SHORT):
OpenTelemetry provides SDKs, a wire protocol called OTLP and a collector that receives, processes and exports telemetry to backends.
CODE:
from opentelemetry import trace
tracer = trace.get_tracer("orders")
with tracer.start_as_current_span("create_order") as span:
    span.set_attribute("order.id", 1042)
    try:
        charge_card()
    except Exception as e:
        span.record_exception(e)
        raise
# environment: OTEL_EXPORTER_OTLP_ENDPOINT=http://collector:4317 OTEL_SERVICE_NAME=orders
OUTPUT:
When run under opentelemetry-instrument (or with the SDK configured), a span named create_order is recorded with the order id and any exception, and sent to the collector. With the API alone and no SDK, nothing is exported.
EXPLANATION:
Auto-instrumentation libraries trace common frameworks without code changes. The collector can add attributes, drop data, sample and send to several backends. Settings come from environment variables such as the endpoint and service name. Semantic conventions standardise attribute names. Logs and metrics are also supported.
SIMPLE EXPLANATION (HINGLISH):
Instrument with the SDK or auto-instrumentation, send OTLP to a collector, and pick any backend.
REAL-LIFE ANALOGY:
OpenTelemetry is a universal plug that fits every monitoring socket.
SYNTAX PATTERN:
tracer.start_as_current_span("name")
ANATOMY:
SDK = in the app | OTLP = the protocol | collector = pipeline | backend = storage and UI
EXAMPLE 1:
opentelemetry-instrument python app.py
EXAMPLE 2:
OTEL_SERVICE_NAME=checkout
EXAMPLE 3:
span.set_attribute("http.route", "/orders")
VARIATION:
collector processors for batching and sampling   // central control
USED WITH:
Jaeger, Tempo, Prometheus
RELATED CONCEPTS:
spans and traces, propagation, sampling, central logging
ALTERNATIVES:
Vendor agents
WHERE IT IS USED:
Microservices | Cloud platforms | Vendor-neutral setups
MINI CONVERSATION:
A: Can we switch monitoring vendors later? | B: Yes, with OpenTelemetry we only change the exporter.
COMMON MISTAKE:
✗ OpenTelemetry is a monitoring backend → ✓ It collects and exports telemetry, and you still need a backend
COMMONLY CONFUSED WITH:
OpenTelemetry vs Prometheus: one is a telemetry standard, the other is a metrics store.
AVOID / DON'T:
Do not hard-code vendor-specific agents everywhere.
WRONG CODE:
# a proprietary agent in every service
RIGHT CODE:
opentelemetry-instrument python app.py
MEMORY TRICK:
Instrument once, then export to anywhere.
REAL LIFE: PROJECT / WORK:
Standardising on OpenTelemetry let a customer change tracing backends without code changes.
REAL LIFE: INTERVIEW / EXAM:
An interviewer may ask: What is OTLP?
REAL LIFE: DAILY LIFE:
It is like a universal plug.</t>
        </is>
      </c>
      <c r="C23" s="29" t="inlineStr">
        <is>
          <t>04_Tracing_Intermediate_OBS-022</t>
        </is>
      </c>
    </row>
    <row r="24" ht="409" customHeight="1">
      <c r="A24" s="29" t="inlineStr">
        <is>
          <t>Context propagation
How does a trace id travel from one service to the next?</t>
        </is>
      </c>
      <c r="B24" s="29" t="inlineStr">
        <is>
          <t>DEFINITION (SIMPLE):
Context propagation passes the trace id and parent span id between processes, usually in the HTTP traceparent header or message headers, so new spans attach to the same trace.
HOW / WHY IT WORKS:
The caller injects the context into outgoing headers, and the callee extracts it and starts a child span. Queues and background jobs need the context in message metadata. A missing hop breaks the trace into separate pieces. Libraries do this automatically when instrumented. Baggage can carry extra key-values but should be used carefully.
SIMPLE EXPLANATION (HINGLISH):
Inject the context in calls and extract it on the other side.
REAL-LIFE ANALOGY:
Propagation is passing a baton so every runner knows which race they are in.
FORMULA / RULE:
Inject on send, extract on receive.
EXAMPLE 1:
traceparent: 00-&lt;trace id&gt;-&lt;span id&gt;-01
EXAMPLE 2:
A message queue carrying the context in its headers.
EXAMPLE 3:
A gateway starting the trace.
RELATED CONCEPTS:
spans and traces, correlation ids, OpenTelemetry, sampling
FAMILY / GROUP:
propagation, traceparent, inject, extract, baton
WHERE IT IS USED:
Microservices | Queues | Gateways
MINI CONVERSATION:
A: The trace stops at the queue. | B: The message did not carry the trace context.
COMMON MISTAKE:
✗ Tracing works automatically across any boundary → ✓ Each boundary needs context passed through it
DON'T CONFUSE WITH:
Propagation vs sampling: one links spans, the other decides what to keep.
AVOID / DON'T:
Do not drop headers in gateways or proxies.
MEMORY TRICK:
Inject going out, extract coming in.
REAL LIFE: PROJECT / WORK:
Adding context to queue messages joined broken traces into whole journeys.
REAL LIFE: INTERVIEW / EXAM:
An interviewer may ask: Why would a trace break between services?
REAL LIFE: DAILY LIFE:
It is like passing a baton.</t>
        </is>
      </c>
      <c r="C24" s="29" t="inlineStr">
        <is>
          <t>04_Tracing_Advanced_OBS-023</t>
        </is>
      </c>
    </row>
    <row r="25" ht="409" customHeight="1">
      <c r="A25" s="29" t="inlineStr">
        <is>
          <t>Trace sampling
How do you decide which traces to keep when volume is huge?</t>
        </is>
      </c>
      <c r="B25" s="29" t="inlineStr">
        <is>
          <t>DEFINITION (SIMPLE):
Trace sampling keeps only some traces, using head sampling decided at the start or tail sampling decided after the trace completes, so errors and slow requests can be favoured.
HOW / WHY IT WORKS:
Head sampling is simple and cheap but cannot know the outcome. Tail sampling in a collector buffers spans and keeps traces with errors or high latency. The sampling decision must be consistent across services so traces are whole. Counts derived from sampled traces need adjusting, so use metrics for totals.
SIMPLE EXPLANATION (HINGLISH):
Keep all errors and slow traces and a small share of normal ones.
REAL-LIFE ANALOGY:
Sampling traces is keeping photos of every accident and a few of normal traffic.
FORMULA / RULE:
Head = decide early. Tail = decide with the outcome.
EXAMPLE 1:
Keeping one percent of normal traces.
EXAMPLE 2:
Keeping every trace with an error.
EXAMPLE 3:
A collector buffering spans for tail sampling.
RELATED CONCEPTS:
log sampling, OpenTelemetry, cost of telemetry, percentiles
FAMILY / GROUP:
head sampling, tail sampling, rate, buffer, consistent
WHERE IT IS USED:
High-traffic services | Cost control | Platforms
MINI CONVERSATION:
A: Tracing costs too much. | B: Use tail sampling to keep errors and slow traces only.
COMMON MISTAKE:
✗ Sampling traces randomly is always enough → ✓ Random sampling may drop exactly the rare errors you need
DON'T CONFUSE WITH:
Head vs tail sampling: head cannot see outcomes, tail can.
AVOID / DON'T:
Do not sample away every error.
MEMORY TRICK:
Tail sampling keeps the interesting traces.
REAL LIFE: PROJECT / WORK:
Tail sampling cut tracing cost while keeping every failed request.
REAL LIFE: INTERVIEW / EXAM:
An interviewer may ask: What is the difference between head and tail sampling?
REAL LIFE: DAILY LIFE:
It is like keeping photos of every accident.</t>
        </is>
      </c>
      <c r="C25" s="29" t="inlineStr">
        <is>
          <t>04_Tracing_Advanced_OBS-024</t>
        </is>
      </c>
    </row>
    <row r="26" ht="409" customHeight="1">
      <c r="A26" s="29" t="inlineStr">
        <is>
          <t>SLI, SLO and SLA
Which three terms measure, target and promise service quality?</t>
        </is>
      </c>
      <c r="B26" s="29" t="inlineStr">
        <is>
          <t>DEFINITION (SIMPLE):
An SLI is a measured indicator such as the share of successful requests, an SLO is the target for that indicator over a period, and an SLA is a contract with consequences if the service falls below an agreed level.
HOW / WHY IT WORKS:
A typical SLI is requests that succeed within 300 ms. An SLO might say 99.9 percent over thirty days. The SLA, if any, is looser and has penalties such as credits. SLOs guide engineering decisions and alerts. Targets of one hundred percent are impossible and too costly.
SIMPLE EXPLANATION (HINGLISH):
Measure it, set a target, and promise less than you target.
REAL-LIFE ANALOGY:
The SLI is the thermometer, the SLO is the target temperature, and the SLA is the signed promise.
FORMULA / RULE:
SLI = measurement. SLO = target. SLA = contract.
EXAMPLE 1:
SLI: percent of requests answered under 300 ms.
EXAMPLE 2:
SLO: 99.9 percent over thirty days.
EXAMPLE 3:
SLA: service credits if availability drops below 99.5 percent.
RELATED CONCEPTS:
error budgets, alerts, percentiles, incident response
FAMILY / GROUP:
SLI, SLO, SLA, availability, target
WHERE IT IS USED:
Reliability work | Customer contracts | Reviews
MINI CONVERSATION:
A: What does reliable mean for this API? | B: Ninety-nine point nine percent of requests succeed under 300 ms.
COMMON MISTAKE:
✗ An SLO and an SLA are the same → ✓ An SLO is an internal target, an SLA is a contract with penalties
DON'T CONFUSE WITH:
SLO vs SLA: internal goal versus external promise.
AVOID / DON'T:
Do not promise one hundred percent.
MEMORY TRICK:
Measure, target, promise, in that order.
REAL LIFE: PROJECT / WORK:
Defining SLOs gave a customer team an objective way to decide when to pause releases.
REAL LIFE: INTERVIEW / EXAM:
An interviewer may ask: What is the difference between SLI, SLO and SLA?
REAL LIFE: DAILY LIFE:
It is like a thermometer, a target and a promise.</t>
        </is>
      </c>
      <c r="C26" s="29" t="inlineStr">
        <is>
          <t>05_Reliability_Practice_Intermediate_OBS-025</t>
        </is>
      </c>
    </row>
    <row r="27" ht="409" customHeight="1">
      <c r="A27" s="29" t="inlineStr">
        <is>
          <t>Error budgets
How much unreliability may you spend before you must slow down releases?</t>
        </is>
      </c>
      <c r="B27" s="29" t="inlineStr">
        <is>
          <t>DEFINITION (SIMPLE):
An error budget is the allowed amount of failure implied by an SLO, such as 0.1 percent over thirty days, used to balance feature work against reliability work.
HOW / WHY IT WORKS:
A 99.9 percent SLO over thirty days allows about 43 minutes of downtime. When the budget is healthy, teams can ship faster. When it is spent, effort shifts to stability. Burn rate alerts fire when the budget is consumed too quickly. It turns reliability debates into shared numbers.
SIMPLE EXPLANATION (HINGLISH):
The budget is the allowed failure, and you slow down when it is gone.
REAL-LIFE ANALOGY:
An error budget is a monthly allowance you can spend on risk and must stop spending when it runs out.
FORMULA / RULE:
Budget = 100 percent minus the SLO.
EXAMPLE 1:
99.9 percent allows about 43 minutes a month.
EXAMPLE 2:
Pausing releases when the budget is spent.
EXAMPLE 3:
An alert at fast burn rate.
RELATED CONCEPTS:
SLI SLO SLA, alerts, incident response, postmortems
FAMILY / GROUP:
budget, burn rate, allowance, SLO, downtime
WHERE IT IS USED:
Reliability engineering | Release planning | Reviews
MINI CONVERSATION:
A: Can we ship this risky change? | B: The budget is healthy, so yes, but watch the burn rate.
COMMON MISTAKE:
✗ Any downtime breaks the rules → ✓ Some failure is budgeted and acceptable
DON'T CONFUSE WITH:
Budget vs target: the target is the goal, the budget is the allowed gap.
AVOID / DON'T:
Do not ignore a spent budget.
MEMORY TRICK:
When the budget is gone, fix before you ship.
REAL LIFE: PROJECT / WORK:
An error budget policy gave product and engineering one shared rule for release pauses.
REAL LIFE: INTERVIEW / EXAM:
An interviewer may ask: What happens when an error budget is exhausted?
REAL LIFE: DAILY LIFE:
It is like a monthly allowance for risk.</t>
        </is>
      </c>
      <c r="C27" s="29" t="inlineStr">
        <is>
          <t>05_Reliability_Practice_Advanced_OBS-026</t>
        </is>
      </c>
    </row>
    <row r="28" ht="409" customHeight="1">
      <c r="A28" s="29" t="inlineStr">
        <is>
          <t>Alert fatigue
What happens when people get too many alerts and how do you prevent it?</t>
        </is>
      </c>
      <c r="B28" s="29" t="inlineStr">
        <is>
          <t>DEFINITION (SIMPLE):
Alert fatigue is the desensitisation of responders caused by frequent, low-value or duplicated alerts, which leads to slow or missed responses.
HOW / WHY IT WORKS:
Causes include thresholds that are too sensitive, alerts on causes instead of symptoms and duplicate alerts for one problem. Fixes are to alert on user-facing symptoms, add durations, group related alerts, remove unactionable ones and route low urgency to tickets. Track pages per shift as a health measure.
SIMPLE EXPLANATION (HINGLISH):
Send fewer and better alerts so people stay responsive.
REAL-LIFE ANALOGY:
Alert fatigue is the boy who cried wolf, repeated until nobody comes.
FORMULA / RULE:
Every page must be urgent, actionable and real.
EXAMPLE 1:
Removing an alert that fired daily with no action.
EXAMPLE 2:
Grouping fifty alerts into one incident.
EXAMPLE 3:
Moving a warning to a daily ticket.
RELATED CONCEPTS:
alerts, on-call, runbooks, SLOs
FAMILY / GROUP:
fatigue, noise, grouping, actionable, flapping
WHERE IT IS USED:
On-call | Operations | Team health
MINI CONVERSATION:
A: I ignore the pager now, it is always noise. | B: That is alert fatigue, so let us fix the rules.
COMMON MISTAKE:
✗ More alerts make the system safer → ✓ Noise hides real problems
DON'T CONFUSE WITH:
Actionable vs noisy: actionable alerts need a person, noisy ones do not.
AVOID / DON'T:
Do not keep alerts nobody acts on.
MEMORY TRICK:
Every page needs a person and an action.
REAL LIFE: PROJECT / WORK:
Deleting noisy alerts improved response to real incidents.
REAL LIFE: INTERVIEW / EXAM:
An interviewer may ask: How do you reduce alert fatigue?
REAL LIFE: DAILY LIFE:
It is like the boy who cried wolf.</t>
        </is>
      </c>
      <c r="C28" s="29" t="inlineStr">
        <is>
          <t>05_Reliability_Practice_Intermediate_OBS-027</t>
        </is>
      </c>
    </row>
    <row r="29" ht="409" customHeight="1">
      <c r="A29" s="29" t="inlineStr">
        <is>
          <t>On-call
How do teams share responsibility for responding to problems at any hour?</t>
        </is>
      </c>
      <c r="B29" s="29" t="inlineStr">
        <is>
          <t>DEFINITION (SIMPLE):
On-call is a rotation in which engineers are available to respond to pages outside normal hours, with clear escalation, tools and support.
HOW / WHY IT WORKS:
A good rotation has enough people, a primary and a backup, and an escalation path. Responders need access, runbooks and authority to act. Pages should be rare and meaningful, and the load measured. Handover notes pass context. Compensation and rest are part of a healthy practice.
SIMPLE EXPLANATION (HINGLISH):
Take turns, have a backup, and give responders what they need.
REAL-LIFE ANALOGY:
On-call is a fire station crew taking turns on the night shift.
FORMULA / RULE:
Rota + escalation + runbooks + rest.
EXAMPLE 1:
A weekly primary and secondary rota.
EXAMPLE 2:
Escalating to a manager after fifteen minutes.
EXAMPLE 3:
A handover note listing open issues.
RELATED CONCEPTS:
alerts, runbooks, incident response, alert fatigue
FAMILY / GROUP:
rota, escalation, primary, handover, pager
WHERE IT IS USED:
Operations | Platform teams | Customer support
MINI CONVERSATION:
A: Who gets the page tonight? | B: The primary, and the backup if there is no answer in ten minutes.
COMMON MISTAKE:
✗ On-call means one hero always available → ✓ A shared, fair rotation is sustainable
DON'T CONFUSE WITH:
Primary vs secondary: the primary responds first, the secondary backs up.
AVOID / DON'T:
Do not leave one person on call forever.
MEMORY TRICK:
Share the load, back up the first.
REAL LIFE: PROJECT / WORK:
Adding a secondary and runbooks made night pages easier to handle.
REAL LIFE: INTERVIEW / EXAM:
An interviewer may ask: How would you set up an on-call rotation?
REAL LIFE: DAILY LIFE:
It is like a fire station crew.</t>
        </is>
      </c>
      <c r="C29" s="29" t="inlineStr">
        <is>
          <t>05_Reliability_Practice_Intermediate_OBS-028</t>
        </is>
      </c>
    </row>
    <row r="30" ht="409" customHeight="1">
      <c r="A30" s="29" t="inlineStr">
        <is>
          <t>Runbooks
Which documents tell a responder what to check and do for a known alert?</t>
        </is>
      </c>
      <c r="B30" s="29" t="inlineStr">
        <is>
          <t>DEFINITION (SIMPLE):
A runbook is a concise, tested document that explains what an alert means, how to check impact, what to try first and whom to escalate to.
HOW / WHY IT WORKS:
Good runbooks start with the symptom, show quick diagnostic commands, list safe fixes and risks, and say when to escalate. They are short and kept near the code. After incidents, gaps are fixed. Steps can later be automated. Outdated runbooks are worse than none.
SIMPLE EXPLANATION (HINGLISH):
Write the steps for each alert, keep them short, and fix them after every incident.
REAL-LIFE ANALOGY:
A runbook is a recipe card for a fire, kept next to the alarm.
FORMULA / RULE:
Symptom, check, fix, escalate.
EXAMPLE 1:
A runbook for high error rate listing the first three checks.
EXAMPLE 2:
A command to restart a stuck worker safely.
EXAMPLE 3:
Contact details for the database owner.
RELATED CONCEPTS:
alerts, on-call, incident response, postmortems
FAMILY / GROUP:
runbook, playbook, checklist, escalation, automation
WHERE IT IS USED:
On-call | Operations | Support
MINI CONVERSATION:
A: What do I do about this alert? | B: Open its runbook and follow the first checks.
COMMON MISTAKE:
✗ Runbooks can be written once and forgotten → ✓ They must be updated after each incident
DON'T CONFUSE WITH:
Runbook vs postmortem: a runbook prepares for the next one, a postmortem reviews the last.
AVOID / DON'T:
Do not leave alerts without runbooks.
MEMORY TRICK:
Each alert links to a recipe card.
REAL LIFE: PROJECT / WORK:
Adding runbooks cut the time new engineers needed to handle common alerts.
REAL LIFE: INTERVIEW / EXAM:
An interviewer may ask: What belongs in a runbook?
REAL LIFE: DAILY LIFE:
It is like a recipe card kept next to the alarm.</t>
        </is>
      </c>
      <c r="C30" s="29" t="inlineStr">
        <is>
          <t>05_Reliability_Practice_Intermediate_OBS-029</t>
        </is>
      </c>
    </row>
    <row r="31" ht="409" customHeight="1">
      <c r="A31" s="29" t="inlineStr">
        <is>
          <t>Incident response
How do teams organise during a live outage?</t>
        </is>
      </c>
      <c r="B31" s="29" t="inlineStr">
        <is>
          <t>DEFINITION (SIMPLE):
Incident response is the process of detecting, triaging, mitigating, communicating and resolving a service disruption, usually with defined roles such as incident commander, operations lead and communicator.
HOW / WHY IT WORKS:
Steps are declare the incident, assign roles, assess impact, mitigate by rollback or failover, communicate status and then resolve. The commander coordinates and does not debug. A scribe records a timeline. Mitigation comes before root cause. Severity levels guide urgency and who is told.
SIMPLE EXPLANATION (HINGLISH):
Declare, assign roles, restore service first, communicate, and learn after.
REAL-LIFE ANALOGY:
Incident response is a fire drill with clear roles and one commander.
FORMULA / RULE:
Detect, assign, mitigate, communicate, resolve, review.
EXAMPLE 1:
Rolling back a release to restore service.
EXAMPLE 2:
A status update every thirty minutes.
EXAMPLE 3:
A scribe noting each action with time.
RELATED CONCEPTS:
runbooks, postmortems, status pages, on-call
FAMILY / GROUP:
incident, commander, severity, mitigation, timeline
WHERE IT IS USED:
Outages | Operations | Customer support
MINI CONVERSATION:
A: Should we find the root cause now? | B: First restore service, then investigate.
COMMON MISTAKE:
✗ The best engineer should lead and debug at once → ✓ The commander coordinates, others debug
DON'T CONFUSE WITH:
Mitigation vs root cause fix: mitigation restores service, the fix prevents recurrence.
AVOID / DON'T:
Do not debug without a clear coordinator.
MEMORY TRICK:
Restore service first, understand the cause later.
REAL LIFE: PROJECT / WORK:
Assigning a commander shortened a multi-team outage that had been chaotic.
REAL LIFE: INTERVIEW / EXAM:
An interviewer may ask: What do you do first in an incident?
REAL LIFE: DAILY LIFE:
It is like a fire drill.</t>
        </is>
      </c>
      <c r="C31" s="29" t="inlineStr">
        <is>
          <t>05_Reliability_Practice_Intermediate_OBS-030</t>
        </is>
      </c>
    </row>
    <row r="32" ht="409" customHeight="1">
      <c r="A32" s="29" t="inlineStr">
        <is>
          <t>Postmortems
How do teams learn from incidents without blaming people?</t>
        </is>
      </c>
      <c r="B32" s="29" t="inlineStr">
        <is>
          <t>DEFINITION (SIMPLE):
A postmortem is a written, blameless review of an incident covering impact, timeline, causes, what went well and badly, and concrete follow-up actions.
HOW / WHY IT WORKS:
Blameless means treating mistakes as signs of system weaknesses. The document includes a timeline, root and contributing causes, detection and response analysis, and actions with owners and dates. It is shared widely. Fixes may include tests, alerts, automation and documentation. Actions that are never completed make the review pointless.
SIMPLE EXPLANATION (HINGLISH):
Write what happened and why, without blame, and follow up on actions.
REAL-LIFE ANALOGY:
A postmortem is a flight recorder review to improve the plane, not punish the pilot.
FORMULA / RULE:
Impact, timeline, causes, actions with owners.
EXAMPLE 1:
A review noting a missing alert as a contributing cause.
EXAMPLE 2:
An action to add a test, owned by one person.
EXAMPLE 3:
Sharing the document with the whole company.
RELATED CONCEPTS:
incident response, runbooks, alerts, error budgets
FAMILY / GROUP:
postmortem, blameless, root cause, action item, timeline
WHERE IT IS USED:
After incidents | Reliability programs | Team learning
MINI CONVERSATION:
A: Who made the mistake? | B: Let us ask how the system allowed it, not who.
COMMON MISTAKE:
✗ A postmortem finds someone to blame → ✓ It finds system weaknesses and fixes
DON'T CONFUSE WITH:
Blame vs blameless: blame hides facts, blameless invites them.
AVOID / DON'T:
Do not leave action items without owners.
MEMORY TRICK:
Ask how it happened, not who did it.
REAL LIFE: PROJECT / WORK:
Blameless reviews led to a new alert that caught the next similar failure early.
REAL LIFE: INTERVIEW / EXAM:
An interviewer may ask: What is in a blameless postmortem?
REAL LIFE: DAILY LIFE:
It is like reviewing a flight recorder.</t>
        </is>
      </c>
      <c r="C32" s="29" t="inlineStr">
        <is>
          <t>05_Reliability_Practice_Intermediate_OBS-031</t>
        </is>
      </c>
    </row>
    <row r="33" ht="409" customHeight="1">
      <c r="A33" s="29" t="inlineStr">
        <is>
          <t>Status pages
How do you tell customers about problems and progress during an outage?</t>
        </is>
      </c>
      <c r="B33" s="29" t="inlineStr">
        <is>
          <t>DEFINITION (SIMPLE):
A status page is a public or private page that shows current service health, active incidents and updates, hosted separately from the main system.
HOW / WHY IT WORKS:
It lists components with states such as operational, degraded and outage. During incidents, updates follow a pattern of investigating, identified, monitoring and resolved. The page must be hosted independently so it works during an outage. Subscriptions by email or chat reach users. Honest, plain wording builds trust, and history shows reliability.
SIMPLE EXPLANATION (HINGLISH):
Tell customers early and often, in plain words, from a separate place.
REAL-LIFE ANALOGY:
A status page is a notice board outside the shop during a power cut.
FORMULA / RULE:
Early, regular, honest, independent.
EXAMPLE 1:
An update saying investigating elevated errors.
EXAMPLE 2:
A component marked degraded.
EXAMPLE 3:
A resolved note with a short summary.
RELATED CONCEPTS:
incident response, postmortems, SLAs, communication
FAMILY / GROUP:
status, component, update, subscribe, degraded
WHERE IT IS USED:
Customer communication | Incidents | SaaS
MINI CONVERSATION:
A: Customers are asking if we are down. | B: Post on the status page now and update every thirty minutes.
COMMON MISTAKE:
✗ Silence is better until we know the cause → ✓ Early honest updates reduce support load and build trust
DON'T CONFUSE WITH:
Status page vs postmortem: one is live communication, the other is later analysis.
AVOID / DON'T:
Do not host the status page on the same failing system.
MEMORY TRICK:
Update early, update often, stay honest.
REAL LIFE: PROJECT / WORK:
A status page cut support tickets during a partial outage.
REAL LIFE: INTERVIEW / EXAM:
An interviewer may ask: What should an incident update say?
REAL LIFE: DAILY LIFE:
It is like a notice board during a power cut.</t>
        </is>
      </c>
      <c r="C33" s="29" t="inlineStr">
        <is>
          <t>05_Reliability_Practice_Beginner_OBS-032</t>
        </is>
      </c>
    </row>
    <row r="34" ht="409" customHeight="1">
      <c r="A34" s="29" t="inlineStr">
        <is>
          <t>Cost of telemetry
Why can logs, metrics and traces become one of the biggest bills, and how do you control it?</t>
        </is>
      </c>
      <c r="B34" s="29" t="inlineStr">
        <is>
          <t>DEFINITION (SIMPLE):
Telemetry cost is the spend on collecting, storing and querying logs, metrics and traces, driven by volume, retention, cardinality and query load.
HOW / WHY IT WORKS:
Reduce cost by lowering log levels, sampling, shortening retention, dropping unused metrics and labels, and aggregating before storage. Review top sources of volume regularly. Keep high-value data longer and cheap archives for the rest. Set ingestion alerts so spikes are noticed. Cost should not remove the data needed for incidents.
SIMPLE EXPLANATION (HINGLISH):
Find the top sources, trim what nobody uses, and set limits.
REAL-LIFE ANALOGY:
Telemetry is like water use, and every leaky tap shows up on the bill.
FORMULA / RULE:
Volume × retention × cardinality drives cost.
EXAMPLE 1:
Cutting a noisy debug log in production.
EXAMPLE 2:
Dropping a high-cardinality metric label.
EXAMPLE 3:
An ingestion alert for a sudden spike.
RELATED CONCEPTS:
log sampling, retention, cardinality, trace sampling
FAMILY / GROUP:
ingestion, volume, budget, retention, aggregation
WHERE IT IS USED:
Platform teams | Finance reviews | Tool choice
MINI CONVERSATION:
A: The monitoring bill doubled. | B: Check which service increased its log volume.
COMMON MISTAKE:
✗ Cutting all telemetry is the safe way to save money → ✓ Cut waste, but keep the signals needed for incidents
DON'T CONFUSE WITH:
Waste vs value: unused data is waste, incident data is value.
AVOID / DON'T:
Do not remove the signals needed to debug failures.
MEMORY TRICK:
Trim the waste, keep the evidence.
REAL LIFE: PROJECT / WORK:
Reviewing top log sources cut the monitoring bill.
REAL LIFE: INTERVIEW / EXAM:
An interviewer may ask: How would you reduce observability cost?
REAL LIFE: DAILY LIFE:
It is like fixing leaky taps.</t>
        </is>
      </c>
      <c r="C34" s="29" t="inlineStr">
        <is>
          <t>06_Cost_and_Quality_Intermediate_OBS-033</t>
        </is>
      </c>
    </row>
    <row r="35" ht="409" customHeight="1">
      <c r="A35" s="29" t="inlineStr">
        <is>
          <t>Log pipelines
Which processing steps clean and route logs between sources and stores?</t>
        </is>
      </c>
      <c r="B35" s="29" t="inlineStr">
        <is>
          <t>DEFINITION (SIMPLE):
A log pipeline collects logs from sources, parses them into fields, enriches them with metadata, filters or masks data, and routes them to stores or archives.
HOW / WHY IT WORKS:
Tools such as Fluent Bit, Vector or Logstash run these stages. Parsing turns text into fields. Enrichment adds labels like environment and version. Filters drop noise and mask secrets. Routing sends security logs to one place and application logs to another. Buffers handle bursts, and monitoring the pipeline prevents silent loss.
SIMPLE EXPLANATION (HINGLISH):
Collect, parse, enrich, filter and route, and monitor the pipeline itself.
REAL-LIFE ANALOGY:
A log pipeline is a sorting line that cleans, labels and sends each parcel to the right bin.
FORMULA / RULE:
Collect → parse → enrich → filter → route.
EXAMPLE 1:
Parsing a nginx line into fields.
EXAMPLE 2:
Adding the Kubernetes pod name.
EXAMPLE 3:
Sending audit logs to an archive.
RELATED CONCEPTS:
central logging, sensitive data in logs, cost of telemetry, structured logs
FAMILY / GROUP:
Fluent Bit, Vector, parser, enrichment, routing
WHERE IT IS USED:
Platforms | Security | Cost control
MINI CONVERSATION:
A: Logs arrive in five formats. | B: Parse them in the pipeline into one schema.
COMMON MISTAKE:
✗ The pipeline needs no monitoring → ✓ A broken pipeline silently loses logs
DON'T CONFUSE WITH:
Collector vs pipeline: the collector gathers, the pipeline also transforms and routes.
AVOID / DON'T:
Do not leave the pipeline unmonitored.
MEMORY TRICK:
Watch the pipe that carries your evidence.
REAL LIFE: PROJECT / WORK:
Masking secrets in the pipeline gave a second layer of protection against leaks.
REAL LIFE: INTERVIEW / EXAM:
An interviewer may ask: What does a log pipeline do?
REAL LIFE: DAILY LIFE:
It is like a sorting line for parcels.</t>
        </is>
      </c>
      <c r="C35" s="29" t="inlineStr">
        <is>
          <t>06_Cost_and_Quality_Advanced_OBS-034</t>
        </is>
      </c>
    </row>
    <row r="36" ht="409" customHeight="1">
      <c r="A36" s="29" t="inlineStr">
        <is>
          <t>Testing alerts
How do you make sure alerts really fire and reach the right people?</t>
        </is>
      </c>
      <c r="B36" s="29" t="inlineStr">
        <is>
          <t>DEFINITION (SIMPLE):
Testing alerts means checking that rules fire for the intended conditions, do not fire for normal behaviour, and route notifications to the correct owner through working channels.
HOW / WHY IT WORKS:
Methods include unit tests of alert rules on recorded data, injecting a synthetic failure in staging, and sending a test notification. Check silences and routing after changes. Game days practise the whole response. Alerts on missing data catch dead exporters. Review alerts that never fired, since they may be broken.
SIMPLE EXPLANATION (HINGLISH):
Verify the rule, the routing and the notification, and rehearse with game days.
REAL-LIFE ANALOGY:
Testing alerts is pressing the smoke alarm test button.
FORMULA / RULE:
Rule works + routing works + people respond.
EXAMPLE 1:
A unit test of a rule against sample data.
EXAMPLE 2:
Stopping a test service to see the alert.
EXAMPLE 3:
A game day with a simulated outage.
RELATED CONCEPTS:
alerts, runbooks, on-call, health checks
FAMILY / GROUP:
test, game day, synthetic, silence, routing
WHERE IT IS USED:
Reliability work | Releases | Training
MINI CONVERSATION:
A: How do we know the alert still works? | B: Run a synthetic failure in staging each month.
COMMON MISTAKE:
✗ If an alert never fires, the system is healthy → ✓ It may be broken or misrouted
DON'T CONFUSE WITH:
Unit test vs game day: one tests rules, the other tests the people and process.
AVOID / DON'T:
Do not assume alert routing survives every change.
MEMORY TRICK:
Test the alarm before the fire.
REAL LIFE: PROJECT / WORK:
A monthly synthetic test found a dead notification channel before a real outage.
REAL LIFE: INTERVIEW / EXAM:
An interviewer may ask: How do you verify alerting works?
REAL LIFE: DAILY LIFE:
It is like pressing the smoke alarm test button.</t>
        </is>
      </c>
      <c r="C36" s="29" t="inlineStr">
        <is>
          <t>06_Cost_and_Quality_Intermediate_OBS-035</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36"/>
  <sheetViews>
    <sheetView workbookViewId="0">
      <pane ySplit="1" topLeftCell="A2" activePane="bottomLeft" state="frozen"/>
      <selection pane="bottomLeft" activeCell="A1" sqref="A1"/>
    </sheetView>
  </sheetViews>
  <sheetFormatPr baseColWidth="8" defaultRowHeight="15"/>
  <cols>
    <col width="65" customWidth="1" min="1" max="1"/>
    <col width="70" customWidth="1" min="2" max="2"/>
    <col width="30" customWidth="1" min="3" max="3"/>
  </cols>
  <sheetData>
    <row r="1">
      <c r="A1" s="28" t="inlineStr">
        <is>
          <t>Front</t>
        </is>
      </c>
      <c r="B1" s="28" t="inlineStr">
        <is>
          <t>Back</t>
        </is>
      </c>
      <c r="C1" s="28" t="inlineStr">
        <is>
          <t>Tags</t>
        </is>
      </c>
    </row>
    <row r="2" ht="94.5" customHeight="1">
      <c r="A2" s="29" t="inlineStr">
        <is>
          <t>MCQ: Which signal follows one request across services?
A) A metric B) A dashboard C) A ticket D) A trace
FILL: Numbers measured over time are called ____
APPLY: You need to find which service made a request slow. Which signal?</t>
        </is>
      </c>
      <c r="B2" s="29" t="inlineStr">
        <is>
          <t>MCQ answer: D  Traces connect the steps of a single request.
Fill answer: metrics
Apply: A trace</t>
        </is>
      </c>
      <c r="C2" s="29" t="inlineStr">
        <is>
          <t>01_Ideas_Beginner_OBS-001_quiz</t>
        </is>
      </c>
    </row>
    <row r="3" ht="94.5" customHeight="1">
      <c r="A3" s="29" t="inlineStr">
        <is>
          <t>MCQ: What does observability emphasise?
A) Only dashboards B) Only fixed alerts C) Investigating unknown problems from rich data D) Only logs
FILL: Adding telemetry code to an application is called ____
APPLY: Alerts are quiet but one customer has errors. What helps?</t>
        </is>
      </c>
      <c r="B3" s="29" t="inlineStr">
        <is>
          <t>MCQ answer: C  It supports new questions without new code.
Fill answer: instrumentation
Apply: Rich events you can filter by customer</t>
        </is>
      </c>
      <c r="C3" s="29" t="inlineStr">
        <is>
          <t>01_Ideas_Intermediate_OBS-002_quiz</t>
        </is>
      </c>
    </row>
    <row r="4" ht="121.5" customHeight="1">
      <c r="A4" s="29" t="inlineStr">
        <is>
          <t>MCQ: What does a readiness check decide?
A) Whether to send traffic B) Whether to delete the code C) Whether to rename the host D) Whether to buy storage
FILL: A check telling a platform to restart a process is a ____ check
APPLY: An instance is slow to warm up. What stops traffic until it is ready?</t>
        </is>
      </c>
      <c r="B4" s="29" t="inlineStr">
        <is>
          <t>MCQ answer: A  Not-ready instances are skipped by routers.
Fill answer: liveness
Apply: A readiness check</t>
        </is>
      </c>
      <c r="C4" s="29" t="inlineStr">
        <is>
          <t>01_Ideas_Beginner_OBS-003_quiz</t>
        </is>
      </c>
    </row>
    <row r="5" ht="94.5" customHeight="1">
      <c r="A5" s="29" t="inlineStr">
        <is>
          <t>MCQ: What should a good dashboard start with?
A) Raw logs only B) High-level signals C) Random graphs D) Every possible metric
FILL: A marker on a graph for a release is an ____
APPLY: Responders waste time on a crowded dashboard. What do you do?</t>
        </is>
      </c>
      <c r="B5" s="29" t="inlineStr">
        <is>
          <t>MCQ answer: B  Overview first, detail on demand.
Fill answer: annotation
Apply: Reduce it to a few key signals</t>
        </is>
      </c>
      <c r="C5" s="29" t="inlineStr">
        <is>
          <t>01_Ideas_Beginner_OBS-004_quiz</t>
        </is>
      </c>
    </row>
    <row r="6" ht="108" customHeight="1">
      <c r="A6" s="29" t="inlineStr">
        <is>
          <t>MCQ: Which alert is usually best to page on?
A) Slightly high CPU B) A full moon C) High error rate seen by users D) A new log line
FILL: A rule that waits several minutes before firing uses a ____
APPLY: CPU is at seventy percent but users are fine. Should you page?</t>
        </is>
      </c>
      <c r="B6" s="29" t="inlineStr">
        <is>
          <t>MCQ answer: C  It reflects user pain and needs action.
Fill answer: duration
Apply: No, make it a warning</t>
        </is>
      </c>
      <c r="C6" s="29" t="inlineStr">
        <is>
          <t>01_Ideas_Beginner_OBS-005_quiz</t>
        </is>
      </c>
    </row>
    <row r="7" ht="94.5" customHeight="1">
      <c r="A7" s="29" t="inlineStr">
        <is>
          <t>MCQ: Which level suits a failed operation?
A) Info B) Error C) Trace D) Debug
FILL: In Python logging, the level below info that is used for detailed diagnostics is ____
APPLY: Production logs are too noisy. What do you adjust?</t>
        </is>
      </c>
      <c r="B7" s="29" t="inlineStr">
        <is>
          <t>MCQ answer: B  Error marks failures.
Fill answer: debug
Apply: The minimum level</t>
        </is>
      </c>
      <c r="C7" s="29" t="inlineStr">
        <is>
          <t>02_Logging_Beginner_OBS-006_quiz</t>
        </is>
      </c>
    </row>
    <row r="8" ht="108" customHeight="1">
      <c r="A8" s="29" t="inlineStr">
        <is>
          <t>MCQ: Which format is most common for structured logs?
A) Free text B) Audio C) Images D) JSON
FILL: Keep the message constant and put variable data in ____
HINDI TO TASK: Log an order created event with its id as a field.
PRACTICE QUESTION: Why keep the message text constant?</t>
        </is>
      </c>
      <c r="B8" s="29" t="inlineStr">
        <is>
          <t>MCQ answer: D  JSON is easy for tools to parse.
Fill answer: fields
Task answer:
log.info(json.dumps({"msg": "order created", "order_id": 1042}))
Practice answer:
So identical events group together.</t>
        </is>
      </c>
      <c r="C8" s="29" t="inlineStr">
        <is>
          <t>02_Logging_Intermediate_OBS-007_quiz</t>
        </is>
      </c>
    </row>
    <row r="9" ht="94.5" customHeight="1">
      <c r="A9" s="29" t="inlineStr">
        <is>
          <t>MCQ: Where should a correlation id be created?
A) At the edge when the request arrives B) In the logs after the fact C) By the user D) At the database
FILL: The id is usually passed in an HTTP ____
APPLY: A user reports an error. What helps support find the logs?</t>
        </is>
      </c>
      <c r="B9" s="29" t="inlineStr">
        <is>
          <t>MCQ answer: A  Creating it early lets every later step share it.
Fill answer: header
Apply: The request id shown on the error page</t>
        </is>
      </c>
      <c r="C9" s="29" t="inlineStr">
        <is>
          <t>02_Logging_Intermediate_OBS-008_quiz</t>
        </is>
      </c>
    </row>
    <row r="10" ht="81" customHeight="1">
      <c r="A10" s="29" t="inlineStr">
        <is>
          <t>MCQ: Where should containers write logs?
A) A local file only B) Email C) The database D) Standard output
FILL: A program that forwards logs is a log ____
APPLY: Pods are replaced and logs vanish. What do you add?</t>
        </is>
      </c>
      <c r="B10" s="29" t="inlineStr">
        <is>
          <t>MCQ answer: D  Platforms collect standard output easily.
Fill answer: agent
Apply: Central log shipping</t>
        </is>
      </c>
      <c r="C10" s="29" t="inlineStr">
        <is>
          <t>02_Logging_Intermediate_OBS-009_quiz</t>
        </is>
      </c>
    </row>
    <row r="11" ht="81" customHeight="1">
      <c r="A11" s="29" t="inlineStr">
        <is>
          <t>MCQ: What drives retention choices?
A) Random choice B) Need, law and cost C) Colour D) Server name
FILL: Cheap slow storage for old logs is an ____
APPLY: Audit rules require one year of records. What do you set up?</t>
        </is>
      </c>
      <c r="B11" s="29" t="inlineStr">
        <is>
          <t>MCQ answer: B  All three limit how long logs are kept.
Fill answer: archive
Apply: Archive retention for one year</t>
        </is>
      </c>
      <c r="C11" s="29" t="inlineStr">
        <is>
          <t>02_Logging_Intermediate_OBS-010_quiz</t>
        </is>
      </c>
    </row>
    <row r="12" ht="81" customHeight="1">
      <c r="A12" s="29" t="inlineStr">
        <is>
          <t>MCQ: Which should not be logged?
A) Passwords and tokens B) Log levels C) Order ids D) Durations
FILL: Hiding part of a value is called ____
APPLY: A log contains a live token. What is your first action?</t>
        </is>
      </c>
      <c r="B12" s="29" t="inlineStr">
        <is>
          <t>MCQ answer: A  Secrets leak through logs.
Fill answer: masking
Apply: Revoke the token</t>
        </is>
      </c>
      <c r="C12" s="29" t="inlineStr">
        <is>
          <t>02_Logging_Intermediate_OBS-011_quiz</t>
        </is>
      </c>
    </row>
    <row r="13" ht="94.5" customHeight="1">
      <c r="A13" s="29" t="inlineStr">
        <is>
          <t>MCQ: Which events should always be kept?
A) Duplicate info lines B) Health check successes C) Errors D) Debug noise
FILL: Counting exact events should use ____ not logs
APPLY: Routine success lines flood storage. What do you do?</t>
        </is>
      </c>
      <c r="B13" s="29" t="inlineStr">
        <is>
          <t>MCQ answer: C  Errors carry the evidence you need.
Fill answer: metrics
Apply: Sample them and keep errors</t>
        </is>
      </c>
      <c r="C13" s="29" t="inlineStr">
        <is>
          <t>02_Logging_Advanced_OBS-012_quiz</t>
        </is>
      </c>
    </row>
    <row r="14" ht="81" customHeight="1">
      <c r="A14" s="29" t="inlineStr">
        <is>
          <t>MCQ: What should you narrow first when searching logs?
A) The file size B) The time window C) The font D) The colour
FILL: The first error in a sequence often shows the ____
APPLY: Hundreds of errors appear. Where do you look first?</t>
        </is>
      </c>
      <c r="B14" s="29" t="inlineStr">
        <is>
          <t>MCQ answer: B  A time window cuts the data most.
Fill answer: cause
Apply: At the earliest one</t>
        </is>
      </c>
      <c r="C14" s="29" t="inlineStr">
        <is>
          <t>02_Logging_Beginner_OBS-013_quiz</t>
        </is>
      </c>
    </row>
    <row r="15" ht="81" customHeight="1">
      <c r="A15" s="29" t="inlineStr">
        <is>
          <t>MCQ: Which type only goes up?
A) Counter B) Summary only C) Gauge D) Histogram
FILL: A metric that rises and falls is a ____
APPLY: You want to track memory in use. Which type?</t>
        </is>
      </c>
      <c r="B15" s="29" t="inlineStr">
        <is>
          <t>MCQ answer: A  Counters accumulate events.
Fill answer: gauge
Apply: A gauge</t>
        </is>
      </c>
      <c r="C15" s="29" t="inlineStr">
        <is>
          <t>03_Metrics_Beginner_OBS-014_quiz</t>
        </is>
      </c>
    </row>
    <row r="16" ht="121.5" customHeight="1">
      <c r="A16" s="29" t="inlineStr">
        <is>
          <t>MCQ: What does Prometheus do to collect metrics?
A) Waits for logs B) Prints reports C) Scrapes endpoints on a schedule D) Reads emails
FILL: The query language of Prometheus is ____
HINDI TO TASK: Query the request rate over five minutes.
PRACTICE QUESTION: Which metric type is rate meant for?</t>
        </is>
      </c>
      <c r="B16" s="29" t="inlineStr">
        <is>
          <t>MCQ answer: C  It pulls from targets.
Fill answer: PromQL
Task answer:
rate(http_requests_total[5m])
Practice answer:
Counters.</t>
        </is>
      </c>
      <c r="C16" s="29" t="inlineStr">
        <is>
          <t>03_Metrics_Intermediate_OBS-015_quiz</t>
        </is>
      </c>
    </row>
    <row r="17" ht="94.5" customHeight="1">
      <c r="A17" s="29" t="inlineStr">
        <is>
          <t>MCQ: What does Grafana do?
A) Builds images B) Stores logs only C) Schedules jobs D) Visualises data from sources
FILL: A dropdown that changes a dashboard's queries is a ____
APPLY: One dashboard must serve many services. What do you add?</t>
        </is>
      </c>
      <c r="B17" s="29" t="inlineStr">
        <is>
          <t>MCQ answer: D  It displays query results as panels.
Fill answer: variable
Apply: A variable</t>
        </is>
      </c>
      <c r="C17" s="29" t="inlineStr">
        <is>
          <t>03_Metrics_Beginner_OBS-016_quiz</t>
        </is>
      </c>
    </row>
    <row r="18" ht="81" customHeight="1">
      <c r="A18" s="29" t="inlineStr">
        <is>
          <t>MCQ: What does the D in RED stand for?
A) Depth B) Delay only C) Duration D) Disk
FILL: Work waiting for a resource is called ____
APPLY: You monitor a database server's disk. Which method?</t>
        </is>
      </c>
      <c r="B18" s="29" t="inlineStr">
        <is>
          <t>MCQ answer: C  Duration means request latency.
Fill answer: saturation
Apply: USE</t>
        </is>
      </c>
      <c r="C18" s="29" t="inlineStr">
        <is>
          <t>03_Metrics_Intermediate_OBS-017_quiz</t>
        </is>
      </c>
    </row>
    <row r="19" ht="81" customHeight="1">
      <c r="A19" s="29" t="inlineStr">
        <is>
          <t>MCQ: Which label is a bad idea for a metric?
A) HTTP method B) User id C) Status class D) Service name
FILL: Each unique label combination makes a new time ____
APPLY: Memory use explodes after adding a label. What do you check?</t>
        </is>
      </c>
      <c r="B19" s="29" t="inlineStr">
        <is>
          <t>MCQ answer: B  It creates unbounded series.
Fill answer: series
Apply: The label's cardinality</t>
        </is>
      </c>
      <c r="C19" s="29" t="inlineStr">
        <is>
          <t>03_Metrics_Advanced_OBS-018_quiz</t>
        </is>
      </c>
    </row>
    <row r="20" ht="108" customHeight="1">
      <c r="A20" s="29" t="inlineStr">
        <is>
          <t>MCQ: What does p95 mean?
A) The average B) Ninety-five requests C) Five percent failed D) Ninety-five percent of requests were faster
FILL: The p50 is also called the ____
APPLY: The average is low but some users see delays. Which number do you check?</t>
        </is>
      </c>
      <c r="B20" s="29" t="inlineStr">
        <is>
          <t>MCQ answer: D  It marks the boundary of the slowest five percent.
Fill answer: median
Apply: p99</t>
        </is>
      </c>
      <c r="C20" s="29" t="inlineStr">
        <is>
          <t>03_Metrics_Intermediate_OBS-019_quiz</t>
        </is>
      </c>
    </row>
    <row r="21" ht="81" customHeight="1">
      <c r="A21" s="29" t="inlineStr">
        <is>
          <t>MCQ: Which shows saturation?
A) A growing queue B) A low CPU C) A short log D) A green dashboard
FILL: Spare capacity is called ____
APPLY: Latency rises while CPU is moderate. What do you check?</t>
        </is>
      </c>
      <c r="B21" s="29" t="inlineStr">
        <is>
          <t>MCQ answer: A  Waiting work signals overload.
Fill answer: headroom
Apply: Queues and pool waits</t>
        </is>
      </c>
      <c r="C21" s="29" t="inlineStr">
        <is>
          <t>03_Metrics_Intermediate_OBS-020_quiz</t>
        </is>
      </c>
    </row>
    <row r="22" ht="94.5" customHeight="1">
      <c r="A22" s="29" t="inlineStr">
        <is>
          <t>MCQ: What do spans of one request share?
A) A trace id B) A password C) A server D) A colour
FILL: The step that starts a trace is the ____ span
APPLY: You want to see which call is slow inside a request. What do you use?</t>
        </is>
      </c>
      <c r="B22" s="29" t="inlineStr">
        <is>
          <t>MCQ answer: A  The trace id links them.
Fill answer: root
Apply: A trace waterfall</t>
        </is>
      </c>
      <c r="C22" s="29" t="inlineStr">
        <is>
          <t>04_Tracing_Intermediate_OBS-021_quiz</t>
        </is>
      </c>
    </row>
    <row r="23" ht="121.5" customHeight="1">
      <c r="A23" s="29" t="inlineStr">
        <is>
          <t>MCQ: What receives and forwards telemetry in OpenTelemetry?
A) The compiler B) The database C) The collector D) The browser
FILL: The protocol used to send telemetry is ____
HINDI TO TASK: Name the service for telemetry using an environment variable.
PRACTICE QUESTION: Is OpenTelemetry a storage backend?</t>
        </is>
      </c>
      <c r="B23" s="29" t="inlineStr">
        <is>
          <t>MCQ answer: C  The collector is the pipeline.
Fill answer: OTLP
Task answer:
OTEL_SERVICE_NAME=checkout
Practice answer:
No, it collects and exports telemetry.</t>
        </is>
      </c>
      <c r="C23" s="29" t="inlineStr">
        <is>
          <t>04_Tracing_Intermediate_OBS-022_quiz</t>
        </is>
      </c>
    </row>
    <row r="24" ht="81" customHeight="1">
      <c r="A24" s="29" t="inlineStr">
        <is>
          <t>MCQ: Which header carries the W3C trace context?
A) accept B) host C) cookie D) traceparent
FILL: Putting context into outgoing calls is called ____
APPLY: Traces break at a message queue. What do you add?</t>
        </is>
      </c>
      <c r="B24" s="29" t="inlineStr">
        <is>
          <t>MCQ answer: D  It is the standard header name.
Fill answer: injecting
Apply: Context in the message metadata</t>
        </is>
      </c>
      <c r="C24" s="29" t="inlineStr">
        <is>
          <t>04_Tracing_Advanced_OBS-023_quiz</t>
        </is>
      </c>
    </row>
    <row r="25" ht="94.5" customHeight="1">
      <c r="A25" s="29" t="inlineStr">
        <is>
          <t>MCQ: Which sampling can keep every error trace?
A) No sampling B) Tail sampling C) Random head sampling only D) Log sampling
FILL: Counting totals should use ____ rather than sampled traces
APPLY: Tracing is expensive but errors matter most. What do you use?</t>
        </is>
      </c>
      <c r="B25" s="29" t="inlineStr">
        <is>
          <t>MCQ answer: B  It decides after seeing the outcome.
Fill answer: metrics
Apply: Tail sampling</t>
        </is>
      </c>
      <c r="C25" s="29" t="inlineStr">
        <is>
          <t>04_Tracing_Advanced_OBS-024_quiz</t>
        </is>
      </c>
    </row>
    <row r="26" ht="94.5" customHeight="1">
      <c r="A26" s="29" t="inlineStr">
        <is>
          <t>MCQ: Which one is a contract?
A) SLO B) Dashboard C) SLI D) SLA
FILL: The measured indicator is the ____
APPLY: A customer wants a measurable goal for availability. What do you define?</t>
        </is>
      </c>
      <c r="B26" s="29" t="inlineStr">
        <is>
          <t>MCQ answer: D  The agreement carries consequences.
Fill answer: SLI
Apply: An SLO</t>
        </is>
      </c>
      <c r="C26" s="29" t="inlineStr">
        <is>
          <t>05_Reliability_Practice_Intermediate_OBS-025_quiz</t>
        </is>
      </c>
    </row>
    <row r="27" ht="94.5" customHeight="1">
      <c r="A27" s="29" t="inlineStr">
        <is>
          <t>MCQ: What does a 99.9 percent SLO leave as budget?
A) Nothing B) 10 percent C) 0.1 percent D) 99.9 percent
FILL: How quickly the budget is used is the ____ rate
APPLY: The monthly budget is spent in week one. What should the team do?</t>
        </is>
      </c>
      <c r="B27" s="29" t="inlineStr">
        <is>
          <t>MCQ answer: C  The remaining share is the budget.
Fill answer: burn
Apply: Focus on reliability before more releases</t>
        </is>
      </c>
      <c r="C27" s="29" t="inlineStr">
        <is>
          <t>05_Reliability_Practice_Advanced_OBS-026_quiz</t>
        </is>
      </c>
    </row>
    <row r="28" ht="94.5" customHeight="1">
      <c r="A28" s="29" t="inlineStr">
        <is>
          <t>MCQ: Which helps reduce alert fatigue?
A) Add more pages B) Alert on actionable symptoms C) Ignore reviews D) Alert on every metric
FILL: An alert that rapidly turns on and off is ____
APPLY: An alert fires daily and nobody acts. What do you do?</t>
        </is>
      </c>
      <c r="B28" s="29" t="inlineStr">
        <is>
          <t>MCQ answer: B  Fewer actionable alerts keep trust.
Fill answer: flapping
Apply: Remove or fix it</t>
        </is>
      </c>
      <c r="C28" s="29" t="inlineStr">
        <is>
          <t>05_Reliability_Practice_Intermediate_OBS-027_quiz</t>
        </is>
      </c>
    </row>
    <row r="29" ht="94.5" customHeight="1">
      <c r="A29" s="29" t="inlineStr">
        <is>
          <t>MCQ: What does escalation do?
A) Moves an unanswered page to the next person B) Lowers the severity C) Stops the rota D) Deletes the alert
FILL: Notes passed between shifts are a ____
APPLY: A page is unanswered for ten minutes. What happens?</t>
        </is>
      </c>
      <c r="B29" s="29" t="inlineStr">
        <is>
          <t>MCQ answer: A  It ensures someone responds.
Fill answer: handover
Apply: It escalates to the secondary</t>
        </is>
      </c>
      <c r="C29" s="29" t="inlineStr">
        <is>
          <t>05_Reliability_Practice_Intermediate_OBS-028_quiz</t>
        </is>
      </c>
    </row>
    <row r="30" ht="81" customHeight="1">
      <c r="A30" s="29" t="inlineStr">
        <is>
          <t>MCQ: What should every alert link to?
A) A login page B) A price list C) A runbook D) A poem
FILL: Another common name for a runbook is a ____
APPLY: A new alert has no steps. What do you write?</t>
        </is>
      </c>
      <c r="B30" s="29" t="inlineStr">
        <is>
          <t>MCQ answer: C  Responders need steps.
Fill answer: playbook
Apply: A runbook</t>
        </is>
      </c>
      <c r="C30" s="29" t="inlineStr">
        <is>
          <t>05_Reliability_Practice_Intermediate_OBS-029_quiz</t>
        </is>
      </c>
    </row>
    <row r="31" ht="94.5" customHeight="1">
      <c r="A31" s="29" t="inlineStr">
        <is>
          <t>MCQ: What comes before root cause analysis?
A) A rewrite B) A holiday C) A new feature D) Mitigation
FILL: The person who coordinates an incident is the incident ____
APPLY: An outage started after a release. What is the fastest mitigation?</t>
        </is>
      </c>
      <c r="B31" s="29" t="inlineStr">
        <is>
          <t>MCQ answer: D  Users need service restored first.
Fill answer: commander
Apply: Roll back</t>
        </is>
      </c>
      <c r="C31" s="29" t="inlineStr">
        <is>
          <t>05_Reliability_Practice_Intermediate_OBS-030_quiz</t>
        </is>
      </c>
    </row>
    <row r="32" ht="94.5" customHeight="1">
      <c r="A32" s="29" t="inlineStr">
        <is>
          <t>MCQ: What does blameless mean?
A) Blame the tool B) Focus on systems, not individuals C) No review D) Hide the facts
FILL: Tasks created to prevent recurrence are ____ items
APPLY: An incident exposed a missing alert. What goes in the review?</t>
        </is>
      </c>
      <c r="B32" s="29" t="inlineStr">
        <is>
          <t>MCQ answer: B  People share facts more freely.
Fill answer: action
Apply: An action item with an owner to add it</t>
        </is>
      </c>
      <c r="C32" s="29" t="inlineStr">
        <is>
          <t>05_Reliability_Practice_Intermediate_OBS-031_quiz</t>
        </is>
      </c>
    </row>
    <row r="33" ht="94.5" customHeight="1">
      <c r="A33" s="29" t="inlineStr">
        <is>
          <t>MCQ: Why host a status page separately?
A) It must work during an outage B) It is cheaper C) It looks nicer D) It is faster
FILL: A component working but slowly is marked ____
APPLY: An outage starts. What do you do for customers?</t>
        </is>
      </c>
      <c r="B33" s="29" t="inlineStr">
        <is>
          <t>MCQ answer: A  A shared outage would hide it.
Fill answer: degraded
Apply: Post an early status update</t>
        </is>
      </c>
      <c r="C33" s="29" t="inlineStr">
        <is>
          <t>05_Reliability_Practice_Beginner_OBS-032_quiz</t>
        </is>
      </c>
    </row>
    <row r="34" ht="94.5" customHeight="1">
      <c r="A34" s="29" t="inlineStr">
        <is>
          <t>MCQ: Which reduces telemetry cost?
A) Logging everything forever B) Higher cardinality C) Sampling and shorter retention D) More labels
FILL: Data sent into a monitoring system is called ____
APPLY: The bill spiked. What do you check first?</t>
        </is>
      </c>
      <c r="B34" s="29" t="inlineStr">
        <is>
          <t>MCQ answer: C  Both reduce stored volume.
Fill answer: ingestion
Apply: The sources with the highest volume</t>
        </is>
      </c>
      <c r="C34" s="29" t="inlineStr">
        <is>
          <t>06_Cost_and_Quality_Intermediate_OBS-033_quiz</t>
        </is>
      </c>
    </row>
    <row r="35" ht="81" customHeight="1">
      <c r="A35" s="29" t="inlineStr">
        <is>
          <t>MCQ: Which step adds metadata such as environment?
A) Enrichment B) Sampling only C) Deletion D) Printing
FILL: Sending logs to different stores by type is ____
APPLY: Logs use different formats. What stage fixes this?</t>
        </is>
      </c>
      <c r="B35" s="29" t="inlineStr">
        <is>
          <t>MCQ answer: A  Enrichment attaches context fields.
Fill answer: routing
Apply: Parsing in the pipeline</t>
        </is>
      </c>
      <c r="C35" s="29" t="inlineStr">
        <is>
          <t>06_Cost_and_Quality_Advanced_OBS-034_quiz</t>
        </is>
      </c>
    </row>
    <row r="36" ht="94.5" customHeight="1">
      <c r="A36" s="29" t="inlineStr">
        <is>
          <t>MCQ: What does a game day practise?
A) Naming servers B) The whole response to a simulated incident C) Writing code D) Buying tools
FILL: A fake failure used for testing is ____
APPLY: An alert has never fired in a year. What do you do?</t>
        </is>
      </c>
      <c r="B36" s="29" t="inlineStr">
        <is>
          <t>MCQ answer: B  It tests people, alerts and process together.
Fill answer: synthetic
Apply: Test whether it still works</t>
        </is>
      </c>
      <c r="C36" s="29" t="inlineStr">
        <is>
          <t>06_Cost_and_Quality_Intermediate_OBS-035_quiz</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90" customWidth="1" min="1" max="1"/>
    <col width="10" customWidth="1" min="2" max="2"/>
  </cols>
  <sheetData>
    <row r="1">
      <c r="A1" s="21" t="inlineStr">
        <is>
          <t>Cards by type</t>
        </is>
      </c>
    </row>
    <row r="2">
      <c r="A2" t="inlineStr">
        <is>
          <t>Topic (56-pt)</t>
        </is>
      </c>
      <c r="B2" t="n">
        <v>32</v>
      </c>
    </row>
    <row r="3">
      <c r="A3" t="inlineStr">
        <is>
          <t>Code concept (56-pt)</t>
        </is>
      </c>
      <c r="B3" t="n">
        <v>3</v>
      </c>
    </row>
    <row r="5">
      <c r="A5" s="21" t="inlineStr">
        <is>
          <t>Cards by topic</t>
        </is>
      </c>
    </row>
    <row r="6">
      <c r="A6" t="inlineStr">
        <is>
          <t>02 Logging</t>
        </is>
      </c>
      <c r="B6" t="n">
        <v>8</v>
      </c>
    </row>
    <row r="7">
      <c r="A7" t="inlineStr">
        <is>
          <t>05 Reliability Practice</t>
        </is>
      </c>
      <c r="B7" t="n">
        <v>8</v>
      </c>
    </row>
    <row r="8">
      <c r="A8" t="inlineStr">
        <is>
          <t>03 Metrics</t>
        </is>
      </c>
      <c r="B8" t="n">
        <v>7</v>
      </c>
    </row>
    <row r="9">
      <c r="A9" t="inlineStr">
        <is>
          <t>01 Ideas</t>
        </is>
      </c>
      <c r="B9" t="n">
        <v>5</v>
      </c>
    </row>
    <row r="10">
      <c r="A10" t="inlineStr">
        <is>
          <t>04 Tracing</t>
        </is>
      </c>
      <c r="B10" t="n">
        <v>4</v>
      </c>
    </row>
    <row r="11">
      <c r="A11" t="inlineStr">
        <is>
          <t>06 Cost and Quality</t>
        </is>
      </c>
      <c r="B11" t="n">
        <v>3</v>
      </c>
    </row>
    <row r="13">
      <c r="A13" s="21" t="inlineStr">
        <is>
          <t>Cards by level</t>
        </is>
      </c>
    </row>
    <row r="14">
      <c r="A14" t="inlineStr">
        <is>
          <t>Intermediate</t>
        </is>
      </c>
      <c r="B14" t="n">
        <v>20</v>
      </c>
    </row>
    <row r="15">
      <c r="A15" t="inlineStr">
        <is>
          <t>Beginner</t>
        </is>
      </c>
      <c r="B15" t="n">
        <v>9</v>
      </c>
    </row>
    <row r="16">
      <c r="A16" t="inlineStr">
        <is>
          <t>Advanced</t>
        </is>
      </c>
      <c r="B16" t="n">
        <v>6</v>
      </c>
    </row>
    <row r="18">
      <c r="A18" s="21" t="inlineStr">
        <is>
          <t>Cards by source</t>
        </is>
      </c>
    </row>
    <row r="19">
      <c r="A19" t="inlineStr">
        <is>
          <t>Claude knowledge</t>
        </is>
      </c>
      <c r="B19" t="n">
        <v>35</v>
      </c>
    </row>
    <row r="21">
      <c r="A21" s="21" t="inlineStr">
        <is>
          <t>Error check</t>
        </is>
      </c>
    </row>
    <row r="22">
      <c r="A22" t="inlineStr">
        <is>
          <t>0 errors, 0 warnings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2026-10-07T16:54:38Z</dcterms:created>
  <dcterms:modified xmlns:dcterms="http://purl.org/dc/terms/" xmlns:xsi="http://www.w3.org/2001/XMLSchema-instance" xsi:type="dcterms:W3CDTF">2026-10-07T16:54:38Z</dcterms:modified>
</cp:coreProperties>
</file>