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cards'!$A$2:$BN$23</definedName>
    <definedName name="_xlnm._FilterDatabase" localSheetId="3" hidden="1">'Topic (56-pt) cards'!$A$2:$BB$39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Power BI – Beginner to Advanced Flashcards</t>
        </is>
      </c>
    </row>
    <row r="2">
      <c r="A2" s="2" t="inlineStr">
        <is>
          <t>Subject: Power BI   ·   Learner: Self learner, English   ·   Cards: 58</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08" customHeight="1">
      <c r="A3" s="17" t="inlineStr">
        <is>
          <t>PBI-013</t>
        </is>
      </c>
      <c r="B3" s="17" t="inlineStr">
        <is>
          <t>02 Power Query</t>
        </is>
      </c>
      <c r="C3" s="17" t="inlineStr">
        <is>
          <t>Beginner</t>
        </is>
      </c>
      <c r="D3" s="17" t="n">
        <v>13</v>
      </c>
      <c r="E3" s="17" t="inlineStr">
        <is>
          <t>Claude knowledge</t>
        </is>
      </c>
      <c r="F3" s="18" t="inlineStr">
        <is>
          <t>Remove duplicates and errors (Table.Distinct)</t>
        </is>
      </c>
      <c r="G3" s="18" t="inlineStr">
        <is>
          <t>How do you keep only one row for each key value, and drop rows that contain errors, in Power Query?</t>
        </is>
      </c>
      <c r="H3" s="17" t="n"/>
      <c r="I3" s="18" t="inlineStr">
        <is>
          <t>Power Query M function</t>
        </is>
      </c>
      <c r="J3" s="18" t="inlineStr">
        <is>
          <t>High</t>
        </is>
      </c>
      <c r="K3" s="18" t="n">
        <v>4</v>
      </c>
      <c r="L3" s="18" t="inlineStr">
        <is>
          <t>Exports often repeat rows or contain broken values, so Power Query has built-in steps that remove them and record the step.</t>
        </is>
      </c>
      <c r="M3" s="18" t="inlineStr">
        <is>
          <t>Choose the key columns before removing duplicates, because Power Query only compares the columns you select.</t>
        </is>
      </c>
      <c r="N3" s="17" t="n"/>
      <c r="O3" s="18" t="inlineStr">
        <is>
          <t>It is a sieve that lets one copy of each item through and catches the broken ones.</t>
        </is>
      </c>
      <c r="P3" s="18" t="inlineStr">
        <is>
          <t>A table where a repeated row is crossed out and a row with an error mark is removed.</t>
        </is>
      </c>
      <c r="Q3" s="18" t="inlineStr">
        <is>
          <t>The calm of knowing each order appears only once.</t>
        </is>
      </c>
      <c r="R3" s="18" t="inlineStr">
        <is>
          <t>Table.Distinct keeps one row for each unique combination of the chosen columns, and Table.RemoveRowsWithErrors drops rows that hold errors.</t>
        </is>
      </c>
      <c r="S3" s="17" t="n"/>
      <c r="T3" s="19" t="inlineStr">
        <is>
          <t>let
    Source = Sales,
    NoDuplicates = Table.Distinct(Source, {"OrderID"}),
    NoErrors = Table.RemoveRowsWithErrors(NoDuplicates, {"Amount"})
in
    NoErrors</t>
        </is>
      </c>
      <c r="U3" s="19" t="inlineStr">
        <is>
          <t>A table with each OrderID once and without rows where Amount had an error.</t>
        </is>
      </c>
      <c r="V3" s="18" t="inlineStr">
        <is>
          <t>Table.Distinct compares only the columns you list. If you give no column list it compares whole rows. Remove Errors checks the columns you select for error values and removes those rows. Both are recorded as Applied Steps.</t>
        </is>
      </c>
      <c r="W3" s="18" t="inlineStr">
        <is>
          <t>Select the key column and choose Remove Duplicates, and Power Query keeps the first row for each value. Use Remove Errors to drop rows with broken values.</t>
        </is>
      </c>
      <c r="X3" s="18" t="inlineStr">
        <is>
          <t>It is like a sieve that lets one copy of each item through and catches the broken ones.</t>
        </is>
      </c>
      <c r="Y3" s="19" t="inlineStr">
        <is>
          <t>Table.Distinct(table, {"Column"})</t>
        </is>
      </c>
      <c r="Z3" s="18" t="inlineStr">
        <is>
          <t>Table.Distinct = function | table = the data | {"Column"} = columns that must be unique</t>
        </is>
      </c>
      <c r="AA3" s="19" t="inlineStr">
        <is>
          <t>Table.Distinct(Sales, {"OrderID"})</t>
        </is>
      </c>
      <c r="AB3" s="19" t="inlineStr">
        <is>
          <t>Table.Distinct(Customers, {"Email"})</t>
        </is>
      </c>
      <c r="AC3" s="19" t="inlineStr">
        <is>
          <t>Table.RemoveRowsWithErrors(Sales, {"Amount"})</t>
        </is>
      </c>
      <c r="AD3" s="19" t="inlineStr">
        <is>
          <t>Table.Distinct(Sales)   // whole rows must match
Table.RemoveRowsWithErrors(Sales)   // check every column</t>
        </is>
      </c>
      <c r="AE3" s="18" t="inlineStr">
        <is>
          <t>Table.RemoveRowsWithErrors, Table.SelectRows, Applied Steps</t>
        </is>
      </c>
      <c r="AF3" s="18" t="inlineStr">
        <is>
          <t>Merge queries, Keep Rows, Group By</t>
        </is>
      </c>
      <c r="AG3" s="18" t="inlineStr">
        <is>
          <t>Group By to count or keep one row per key</t>
        </is>
      </c>
      <c r="AH3" s="17" t="n"/>
      <c r="AI3" s="18" t="inlineStr">
        <is>
          <t>Cleaning exports | Preparing dimension tables | Fixing repeated records</t>
        </is>
      </c>
      <c r="AJ3" s="18" t="inlineStr">
        <is>
          <t>A: Each customer appears three times in my list. | B: Select the CustomerID column and use Remove Duplicates to keep one row each.</t>
        </is>
      </c>
      <c r="AK3" s="18" t="inlineStr">
        <is>
          <t>✗ Remove Duplicates compares every column of the row → ✓ It compares only the columns you selected, so choose the key column first</t>
        </is>
      </c>
      <c r="AL3" s="18" t="inlineStr">
        <is>
          <t>Remove Duplicates vs Remove Errors: the first drops repeated keys, the second drops rows with error values.</t>
        </is>
      </c>
      <c r="AM3" s="18" t="inlineStr">
        <is>
          <t>Do not remove duplicates on only part of a key and lose different valid rows.</t>
        </is>
      </c>
      <c r="AN3" s="19" t="inlineStr">
        <is>
          <t>Table.Distinct(Sales, OrderID)</t>
        </is>
      </c>
      <c r="AO3" s="19" t="inlineStr">
        <is>
          <t>Table.Distinct(Sales, {"OrderID"})</t>
        </is>
      </c>
      <c r="AP3" s="18" t="inlineStr">
        <is>
          <t>Distinct keeps one of each.</t>
        </is>
      </c>
      <c r="AQ3" s="18" t="inlineStr">
        <is>
          <t>Removing duplicate customer rows before using the table as a dimension.</t>
        </is>
      </c>
      <c r="AR3" s="18" t="inlineStr">
        <is>
          <t>An interviewer may ask: How does Remove Duplicates decide which rows are duplicates?</t>
        </is>
      </c>
      <c r="AS3" s="18" t="inlineStr">
        <is>
          <t>It is like keeping only one copy of each key in a contact list.</t>
        </is>
      </c>
      <c r="AT3" s="18" t="inlineStr">
        <is>
          <t>When you select only the CustomerID column and choose Remove Duplicates, what is compared?</t>
        </is>
      </c>
      <c r="AU3" s="18" t="inlineStr">
        <is>
          <t>A) Nothing B) The whole row C) Only the first column D) Only the CustomerID values</t>
        </is>
      </c>
      <c r="AV3" s="18" t="inlineStr">
        <is>
          <t>D</t>
        </is>
      </c>
      <c r="AW3" s="18" t="inlineStr">
        <is>
          <t>Remove Duplicates compares the selected columns.</t>
        </is>
      </c>
      <c r="AX3" s="19" t="inlineStr">
        <is>
          <t>Table.____(Sales, {"OrderID"}) → Distinct</t>
        </is>
      </c>
      <c r="AY3" s="18" t="inlineStr">
        <is>
          <t>Keep one row per CustomerID in the Customers table.</t>
        </is>
      </c>
      <c r="AZ3" s="19" t="inlineStr">
        <is>
          <t>Table.Distinct(Customers, {"CustomerID"})</t>
        </is>
      </c>
      <c r="BA3" s="18" t="inlineStr">
        <is>
          <t>Take a small table with repeated rows and remove the duplicates on a key column.</t>
        </is>
      </c>
      <c r="BB3" s="19" t="inlineStr">
        <is>
          <t>What does Table.Distinct(Sales) do when you give no column list?</t>
        </is>
      </c>
      <c r="BC3" s="19" t="inlineStr">
        <is>
          <t>It removes rows that are identical across all columns.</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08" customHeight="1">
      <c r="A4" s="17" t="inlineStr">
        <is>
          <t>PBI-014</t>
        </is>
      </c>
      <c r="B4" s="17" t="inlineStr">
        <is>
          <t>02 Power Query</t>
        </is>
      </c>
      <c r="C4" s="17" t="inlineStr">
        <is>
          <t>Intermediate</t>
        </is>
      </c>
      <c r="D4" s="17" t="n">
        <v>14</v>
      </c>
      <c r="E4" s="17" t="inlineStr">
        <is>
          <t>Claude knowledge</t>
        </is>
      </c>
      <c r="F4" s="18" t="inlineStr">
        <is>
          <t>Merge queries (joins)</t>
        </is>
      </c>
      <c r="G4" s="18" t="inlineStr">
        <is>
          <t>How do you combine two tables side by side using a matching column, like a SQL join?</t>
        </is>
      </c>
      <c r="H4" s="17" t="n"/>
      <c r="I4" s="18" t="inlineStr">
        <is>
          <t>Power Query M function</t>
        </is>
      </c>
      <c r="J4" s="18" t="inlineStr">
        <is>
          <t>Very high</t>
        </is>
      </c>
      <c r="K4" s="18" t="n">
        <v>5</v>
      </c>
      <c r="L4" s="18" t="inlineStr">
        <is>
          <t>Related data sits in separate tables such as orders and customers, so Power Query lets you join them on a shared key, just as a database join does.</t>
        </is>
      </c>
      <c r="M4" s="18" t="inlineStr">
        <is>
          <t>Check the join kind first, because Left Outer is the one you usually want for adding columns to a main table.</t>
        </is>
      </c>
      <c r="N4" s="17" t="n"/>
      <c r="O4" s="18" t="inlineStr">
        <is>
          <t>A merge is two sheets taped side by side, matched row by row on one shared ID.</t>
        </is>
      </c>
      <c r="P4" s="18" t="inlineStr">
        <is>
          <t>Two tables joined by a line between their ID columns, with new columns appearing on the left table.</t>
        </is>
      </c>
      <c r="Q4" s="18" t="inlineStr">
        <is>
          <t>The thrill of seeing customer names appear next to each order.</t>
        </is>
      </c>
      <c r="R4" s="18" t="inlineStr">
        <is>
          <t>A merge joins two queries into one by matching key columns, using a chosen join kind.</t>
        </is>
      </c>
      <c r="S4" s="17" t="n"/>
      <c r="T4" s="19" t="inlineStr">
        <is>
          <t>let
    Merged = Table.NestedJoin(Orders, {"CustomerID"}, Customers, {"CustomerID"}, "Customer", JoinKind.LeftOuter),
    Expanded = Table.ExpandTableColumn(Merged, "Customer", {"Name"}, {"Customer Name"})
in
    Expanded</t>
        </is>
      </c>
      <c r="U4" s="19" t="inlineStr">
        <is>
          <t>Each order row now has a Customer Name column taken from the Customers table.</t>
        </is>
      </c>
      <c r="V4" s="18" t="inlineStr">
        <is>
          <t>The merge adds a column that holds the matching rows of the second table, which you then expand to pick the columns you want. Join kinds are Left Outer, Right Outer, Full Outer, Inner, Left Anti and Right Anti, and they decide which rows are kept.</t>
        </is>
      </c>
      <c r="W4" s="18" t="inlineStr">
        <is>
          <t>Merge Queries lets you pick two tables and the column they share. Choose a join kind, and then expand the new column to bring in the fields you need.</t>
        </is>
      </c>
      <c r="X4" s="18" t="inlineStr">
        <is>
          <t>It is like taping two sheets side by side and matching rows by an ID.</t>
        </is>
      </c>
      <c r="Y4" s="19" t="inlineStr">
        <is>
          <t>Table.NestedJoin(left, {key}, right, {key}, "NewColumn", JoinKind.LeftOuter)</t>
        </is>
      </c>
      <c r="Z4" s="18" t="inlineStr">
        <is>
          <t>left and right = the two tables | {key} = matching columns | JoinKind = which rows to keep</t>
        </is>
      </c>
      <c r="AA4" s="19" t="inlineStr">
        <is>
          <t>Table.NestedJoin(Orders, {"CustomerID"}, Customers, {"CustomerID"}, "Customer", JoinKind.LeftOuter)</t>
        </is>
      </c>
      <c r="AB4" s="19" t="inlineStr">
        <is>
          <t>Table.NestedJoin(Orders, {"ProductID"}, Products, {"ProductID"}, "Product", JoinKind.Inner)</t>
        </is>
      </c>
      <c r="AC4" s="19" t="inlineStr">
        <is>
          <t>Table.NestedJoin(Orders, {"CustomerID"}, Customers, {"CustomerID"}, "Match", JoinKind.LeftAnti)</t>
        </is>
      </c>
      <c r="AD4" s="19" t="inlineStr">
        <is>
          <t>JoinKind.LeftOuter   // all left rows, matches from right
JoinKind.Inner   // only matching rows
JoinKind.LeftAnti   // left rows with no match</t>
        </is>
      </c>
      <c r="AE4" s="18" t="inlineStr">
        <is>
          <t>Table.ExpandTableColumn, JoinKind, Append queries</t>
        </is>
      </c>
      <c r="AF4" s="18" t="inlineStr">
        <is>
          <t>Append queries, relationships, star schema</t>
        </is>
      </c>
      <c r="AG4" s="18" t="inlineStr">
        <is>
          <t>Create a relationship in the model instead of merging</t>
        </is>
      </c>
      <c r="AH4" s="17" t="n"/>
      <c r="AI4" s="18" t="inlineStr">
        <is>
          <t>Adding lookup columns | Finding unmatched records | Building dimension tables</t>
        </is>
      </c>
      <c r="AJ4" s="18" t="inlineStr">
        <is>
          <t>A: I need the customer name next to each order. | B: Merge Orders with Customers on CustomerID using a Left Outer join and expand the Name column.</t>
        </is>
      </c>
      <c r="AK4" s="18" t="inlineStr">
        <is>
          <t>✗ A merge stacks two tables on top of each other → ✓ A merge joins tables side by side by matching a key, while Append is what stacks rows</t>
        </is>
      </c>
      <c r="AL4" s="18" t="inlineStr">
        <is>
          <t>Merge vs Append: merge adds columns by matching a key, append adds rows by stacking tables.</t>
        </is>
      </c>
      <c r="AM4" s="18" t="inlineStr">
        <is>
          <t>Do not merge when a model relationship would do, it makes the table heavier.</t>
        </is>
      </c>
      <c r="AN4" s="19" t="inlineStr">
        <is>
          <t>Table.NestedJoin(Orders, {"CustomerID"}, Customers, "Customer", JoinKind.LeftOuter)</t>
        </is>
      </c>
      <c r="AO4" s="19" t="inlineStr">
        <is>
          <t>Table.NestedJoin(Orders, {"CustomerID"}, Customers, {"CustomerID"}, "Customer", JoinKind.LeftOuter)</t>
        </is>
      </c>
      <c r="AP4" s="18" t="inlineStr">
        <is>
          <t>Merge matches by key, side by side.</t>
        </is>
      </c>
      <c r="AQ4" s="18" t="inlineStr">
        <is>
          <t>Merging an Orders query with a Customers query to add region information.</t>
        </is>
      </c>
      <c r="AR4" s="18" t="inlineStr">
        <is>
          <t>An interviewer may ask: What join kinds does Power Query offer, and what does each return?</t>
        </is>
      </c>
      <c r="AS4" s="18" t="inlineStr">
        <is>
          <t>It is like matching two lists of names by an ID number.</t>
        </is>
      </c>
      <c r="AT4" s="18" t="inlineStr">
        <is>
          <t>Which join kind keeps all rows from the first table and only the matching rows from the second?</t>
        </is>
      </c>
      <c r="AU4" s="18" t="inlineStr">
        <is>
          <t>A) Full Outer B) Right Anti C) Left Outer D) Inner</t>
        </is>
      </c>
      <c r="AV4" s="18" t="inlineStr">
        <is>
          <t>C</t>
        </is>
      </c>
      <c r="AW4" s="18" t="inlineStr">
        <is>
          <t>Left Outer keeps every left row and adds matches from the right.</t>
        </is>
      </c>
      <c r="AX4" s="19" t="inlineStr">
        <is>
          <t>After a merge you ____ the new column to bring in the fields you need → expand</t>
        </is>
      </c>
      <c r="AY4" s="18" t="inlineStr">
        <is>
          <t>Find the orders whose customer is not found in the Customers table.</t>
        </is>
      </c>
      <c r="AZ4" s="19" t="inlineStr">
        <is>
          <t>Table.NestedJoin(Orders, {"CustomerID"}, Customers, {"CustomerID"}, "Match", JoinKind.LeftAnti)</t>
        </is>
      </c>
      <c r="BA4" s="18" t="inlineStr">
        <is>
          <t>Merge two small tables on an ID column and expand one column from the second.</t>
        </is>
      </c>
      <c r="BB4" s="19" t="inlineStr">
        <is>
          <t>Which join kind returns only the rows that match in both tables?</t>
        </is>
      </c>
      <c r="BC4" s="19" t="inlineStr">
        <is>
          <t>Inner join (JoinKind.Inner).</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67.5" customHeight="1">
      <c r="A5" s="17" t="inlineStr">
        <is>
          <t>PBI-015</t>
        </is>
      </c>
      <c r="B5" s="17" t="inlineStr">
        <is>
          <t>02 Power Query</t>
        </is>
      </c>
      <c r="C5" s="17" t="inlineStr">
        <is>
          <t>Beginner</t>
        </is>
      </c>
      <c r="D5" s="17" t="n">
        <v>15</v>
      </c>
      <c r="E5" s="17" t="inlineStr">
        <is>
          <t>Claude knowledge</t>
        </is>
      </c>
      <c r="F5" s="18" t="inlineStr">
        <is>
          <t>Append queries (Table.Combine)</t>
        </is>
      </c>
      <c r="G5" s="18" t="inlineStr">
        <is>
          <t>How do you stack the rows of several tables with the same columns into one long table?</t>
        </is>
      </c>
      <c r="H5" s="17" t="n"/>
      <c r="I5" s="18" t="inlineStr">
        <is>
          <t>Power Query M function</t>
        </is>
      </c>
      <c r="J5" s="18" t="inlineStr">
        <is>
          <t>High</t>
        </is>
      </c>
      <c r="K5" s="18" t="n">
        <v>4</v>
      </c>
      <c r="L5" s="18" t="inlineStr">
        <is>
          <t>Data often arrives in separate monthly or regional files with identical layouts, so Power Query can stack them into one table instead of copying and pasting.</t>
        </is>
      </c>
      <c r="M5" s="18" t="inlineStr">
        <is>
          <t>Make sure the column names match exactly, otherwise Power Query creates extra columns filled with nulls.</t>
        </is>
      </c>
      <c r="N5" s="17" t="n"/>
      <c r="O5" s="18" t="inlineStr">
        <is>
          <t>Appending is stacking sheets of paper on top of each other to make one tall pile.</t>
        </is>
      </c>
      <c r="P5" s="18" t="inlineStr">
        <is>
          <t>Two tables with the same headers placed one above the other and merged into one.</t>
        </is>
      </c>
      <c r="Q5" s="18" t="inlineStr">
        <is>
          <t>The relief of combining twelve monthly files into one table with a single step.</t>
        </is>
      </c>
      <c r="R5" s="18" t="inlineStr">
        <is>
          <t>Append queries stacks the rows of two or more tables into a single table.</t>
        </is>
      </c>
      <c r="S5" s="17" t="n"/>
      <c r="T5" s="19" t="inlineStr">
        <is>
          <t>let
    Combined = Table.Combine({Sales2024, Sales2025})
in
    Combined</t>
        </is>
      </c>
      <c r="U5" s="19" t="inlineStr">
        <is>
          <t>One table that contains all rows of Sales2024 followed by all rows of Sales2025.</t>
        </is>
      </c>
      <c r="V5" s="18" t="inlineStr">
        <is>
          <t>Table.Combine takes a list of tables and lines up columns by name. Columns that do not exist in some tables are added and filled with null. You can append a whole folder of files too.</t>
        </is>
      </c>
      <c r="W5" s="18" t="inlineStr">
        <is>
          <t>Append puts one table underneath another. It matches columns by their names, so keep the names identical.</t>
        </is>
      </c>
      <c r="X5" s="18" t="inlineStr">
        <is>
          <t>It is like stacking sheets of paper to make one long pile.</t>
        </is>
      </c>
      <c r="Y5" s="19" t="inlineStr">
        <is>
          <t>Table.Combine({Table1, Table2})</t>
        </is>
      </c>
      <c r="Z5" s="18" t="inlineStr">
        <is>
          <t>Table.Combine = function | {Table1, Table2} = list of tables to stack</t>
        </is>
      </c>
      <c r="AA5" s="19" t="inlineStr">
        <is>
          <t>Table.Combine({Sales2024, Sales2025})</t>
        </is>
      </c>
      <c r="AB5" s="19" t="inlineStr">
        <is>
          <t>Table.Combine({NorthSales, SouthSales, EastSales})</t>
        </is>
      </c>
      <c r="AC5" s="19" t="inlineStr">
        <is>
          <t>Table.Combine({Sales2024, Sales2025, Sales2026})</t>
        </is>
      </c>
      <c r="AD5" s="19" t="inlineStr">
        <is>
          <t>Table.Combine({A, B, C})   // any number of tables
Append as New   // create a new query instead of changing one</t>
        </is>
      </c>
      <c r="AE5" s="18" t="inlineStr">
        <is>
          <t>Merge queries, Folder connector, Table.PromoteHeaders</t>
        </is>
      </c>
      <c r="AF5" s="18" t="inlineStr">
        <is>
          <t>Merge queries, Folder, Combine Files</t>
        </is>
      </c>
      <c r="AG5" s="18" t="inlineStr">
        <is>
          <t>Combine Files from a folder</t>
        </is>
      </c>
      <c r="AH5" s="17" t="n"/>
      <c r="AI5" s="18" t="inlineStr">
        <is>
          <t>Monthly files | Regional data | Yearly archives</t>
        </is>
      </c>
      <c r="AJ5" s="18" t="inlineStr">
        <is>
          <t>A: I have twelve monthly sales files. | B: Append them into one table so you can report on the whole year.</t>
        </is>
      </c>
      <c r="AK5" s="18" t="inlineStr">
        <is>
          <t>✗ Append adds new columns from the second table → ✓ Append adds rows, and it matches columns by name</t>
        </is>
      </c>
      <c r="AL5" s="18" t="inlineStr">
        <is>
          <t>Append vs Merge: append stacks rows, merge joins columns by a key.</t>
        </is>
      </c>
      <c r="AM5" s="18" t="inlineStr">
        <is>
          <t>Do not append tables whose column names differ by spelling or spacing.</t>
        </is>
      </c>
      <c r="AN5" s="19" t="inlineStr">
        <is>
          <t>Table.Combine(Sales2024, Sales2025)</t>
        </is>
      </c>
      <c r="AO5" s="19" t="inlineStr">
        <is>
          <t>Table.Combine({Sales2024, Sales2025})</t>
        </is>
      </c>
      <c r="AP5" s="18" t="inlineStr">
        <is>
          <t>Append means adding rows underneath the first table.</t>
        </is>
      </c>
      <c r="AQ5" s="18" t="inlineStr">
        <is>
          <t>Appending regional sales tables into one company-wide sales table.</t>
        </is>
      </c>
      <c r="AR5" s="18" t="inlineStr">
        <is>
          <t>An interviewer may ask: What is the difference between Append and Merge?</t>
        </is>
      </c>
      <c r="AS5" s="18" t="inlineStr">
        <is>
          <t>It is like stacking sheets of paper into one tall pile.</t>
        </is>
      </c>
      <c r="AT5" s="18" t="inlineStr">
        <is>
          <t>You have the same table for January and February. Which operation puts them into one table?</t>
        </is>
      </c>
      <c r="AU5" s="18" t="inlineStr">
        <is>
          <t>A) Append B) Merge C) Pivot D) Split</t>
        </is>
      </c>
      <c r="AV5" s="18" t="inlineStr">
        <is>
          <t>A</t>
        </is>
      </c>
      <c r="AW5" s="18" t="inlineStr">
        <is>
          <t>Append stacks rows of tables with the same columns.</t>
        </is>
      </c>
      <c r="AX5" s="19" t="inlineStr">
        <is>
          <t>Table.____({Jan, Feb}) → Combine</t>
        </is>
      </c>
      <c r="AY5" s="18" t="inlineStr">
        <is>
          <t>Stack the tables North and South into one table.</t>
        </is>
      </c>
      <c r="AZ5" s="19" t="inlineStr">
        <is>
          <t>Table.Combine({North, South})</t>
        </is>
      </c>
      <c r="BA5" s="18" t="inlineStr">
        <is>
          <t>Append two small tables and check the row count equals the sum of both.</t>
        </is>
      </c>
      <c r="BB5" s="19" t="inlineStr">
        <is>
          <t>What happens to a column that exists in only one of the appended tables?</t>
        </is>
      </c>
      <c r="BC5" s="19" t="inlineStr">
        <is>
          <t>It is added to the result and filled with null for rows from the other table.</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94.5" customHeight="1">
      <c r="A6" s="17" t="inlineStr">
        <is>
          <t>PBI-016</t>
        </is>
      </c>
      <c r="B6" s="17" t="inlineStr">
        <is>
          <t>02 Power Query</t>
        </is>
      </c>
      <c r="C6" s="17" t="inlineStr">
        <is>
          <t>Intermediate</t>
        </is>
      </c>
      <c r="D6" s="17" t="n">
        <v>16</v>
      </c>
      <c r="E6" s="17" t="inlineStr">
        <is>
          <t>Claude knowledge</t>
        </is>
      </c>
      <c r="F6" s="18" t="inlineStr">
        <is>
          <t>Pivot and Unpivot</t>
        </is>
      </c>
      <c r="G6" s="18" t="inlineStr">
        <is>
          <t>Which transformation turns many month columns into rows so the table becomes tall and easy to analyse?</t>
        </is>
      </c>
      <c r="H6" s="17" t="n"/>
      <c r="I6" s="18" t="inlineStr">
        <is>
          <t>Power Query M function</t>
        </is>
      </c>
      <c r="J6" s="18" t="inlineStr">
        <is>
          <t>High</t>
        </is>
      </c>
      <c r="K6" s="18" t="n">
        <v>4</v>
      </c>
      <c r="L6" s="18" t="inlineStr">
        <is>
          <t>Spreadsheets often spread values across many columns such as months, but reporting works best when each value sits in its own row, so unpivoting reshapes the data.</t>
        </is>
      </c>
      <c r="M6" s="18" t="inlineStr">
        <is>
          <t>Use Unpivot Other Columns so new month columns added later are picked up automatically.</t>
        </is>
      </c>
      <c r="N6" s="17" t="n"/>
      <c r="O6" s="18" t="inlineStr">
        <is>
          <t>Unpivot is tipping a wide table onto its side so it stands tall like a list.</t>
        </is>
      </c>
      <c r="P6" s="18" t="inlineStr">
        <is>
          <t>A wide table with columns Jan, Feb, Mar turns into a tall table with Month and Sales columns.</t>
        </is>
      </c>
      <c r="Q6" s="18" t="inlineStr">
        <is>
          <t>The satisfaction of turning a messy spreadsheet layout into clean rows.</t>
        </is>
      </c>
      <c r="R6" s="18" t="inlineStr">
        <is>
          <t>Unpivot turns columns into rows, and Pivot turns row values into columns.</t>
        </is>
      </c>
      <c r="S6" s="17" t="n"/>
      <c r="T6" s="19" t="inlineStr">
        <is>
          <t>let
    Unpivoted = Table.UnpivotOtherColumns(Source, {"Product"}, "Month", "Sales")
in
    Unpivoted</t>
        </is>
      </c>
      <c r="U6" s="19" t="inlineStr">
        <is>
          <t>A table with the columns Product, Month and Sales, with one row for each product and month.</t>
        </is>
      </c>
      <c r="V6" s="18" t="inlineStr">
        <is>
          <t>A wide table with a column per month is hard to chart. Unpivot Other Columns keeps the columns you name and turns the rest into two columns, an attribute column and a value column. Pivot does the opposite, spreading unique values into new columns.</t>
        </is>
      </c>
      <c r="W6" s="18" t="inlineStr">
        <is>
          <t>Unpivot makes a wide table tall. Pick the columns to keep, and all the others become Month and Sales rows. Pivot goes the other way.</t>
        </is>
      </c>
      <c r="X6" s="18" t="inlineStr">
        <is>
          <t>It is like tipping a wide table on its side so it becomes a tall list.</t>
        </is>
      </c>
      <c r="Y6" s="19" t="inlineStr">
        <is>
          <t>Table.UnpivotOtherColumns(table, {keepColumns}, "AttributeName", "ValueName")</t>
        </is>
      </c>
      <c r="Z6" s="18" t="inlineStr">
        <is>
          <t>keepColumns = columns that stay | "AttributeName" = new column for old headers | "ValueName" = new column for values</t>
        </is>
      </c>
      <c r="AA6" s="19" t="inlineStr">
        <is>
          <t>Table.UnpivotOtherColumns(Source, {"Product"}, "Month", "Sales")</t>
        </is>
      </c>
      <c r="AB6" s="19" t="inlineStr">
        <is>
          <t>Table.UnpivotOtherColumns(Budget, {"Department", "Year"}, "Quarter", "Amount")</t>
        </is>
      </c>
      <c r="AC6" s="19" t="inlineStr">
        <is>
          <t>Table.UnpivotColumns(Source, {"Jan", "Feb", "Mar"}, "Month", "Sales")</t>
        </is>
      </c>
      <c r="AD6" s="19" t="inlineStr">
        <is>
          <t>Table.UnpivotColumns(Source, {"Jan", "Feb"}, "Month", "Sales")   // only named columns
Table.Pivot(...)   // rows back to columns</t>
        </is>
      </c>
      <c r="AE6" s="18" t="inlineStr">
        <is>
          <t>Table.PromoteHeaders, Changed Type, Group By</t>
        </is>
      </c>
      <c r="AF6" s="18" t="inlineStr">
        <is>
          <t>Transpose, Group By, star schema</t>
        </is>
      </c>
      <c r="AG6" s="18" t="inlineStr">
        <is>
          <t>Transpose for a simple flip</t>
        </is>
      </c>
      <c r="AH6" s="17" t="n"/>
      <c r="AI6" s="18" t="inlineStr">
        <is>
          <t>Spreadsheet-style exports | Budget tables | Preparing data for charts</t>
        </is>
      </c>
      <c r="AJ6" s="18" t="inlineStr">
        <is>
          <t>A: My file has one column for every month. | B: Unpivot the month columns so you get a Month column and a Sales column.</t>
        </is>
      </c>
      <c r="AK6" s="18" t="inlineStr">
        <is>
          <t>✗ Unpivot and Transpose do the same thing → ✓ Unpivot turns chosen columns into attribute and value rows, while Transpose flips the whole table</t>
        </is>
      </c>
      <c r="AL6" s="18" t="inlineStr">
        <is>
          <t>Unpivot vs Transpose: unpivot makes a tidy tall table, transpose swaps rows and columns.</t>
        </is>
      </c>
      <c r="AM6" s="18" t="inlineStr">
        <is>
          <t>Do not unpivot specific month names if new months will be added, use Unpivot Other Columns.</t>
        </is>
      </c>
      <c r="AN6" s="19" t="inlineStr">
        <is>
          <t>Table.UnpivotOtherColumns(Source, "Product", "Month", "Sales")</t>
        </is>
      </c>
      <c r="AO6" s="19" t="inlineStr">
        <is>
          <t>Table.UnpivotOtherColumns(Source, {"Product"}, "Month", "Sales")</t>
        </is>
      </c>
      <c r="AP6" s="18" t="inlineStr">
        <is>
          <t>Unpivot makes the table tall.</t>
        </is>
      </c>
      <c r="AQ6" s="18" t="inlineStr">
        <is>
          <t>Unpivoting a budget spreadsheet with one column per month so it can be charted by month.</t>
        </is>
      </c>
      <c r="AR6" s="18" t="inlineStr">
        <is>
          <t>An interviewer may ask: Why would you unpivot a table in Power Query?</t>
        </is>
      </c>
      <c r="AS6" s="18" t="inlineStr">
        <is>
          <t>It is like tipping a wide table onto its side to make a list.</t>
        </is>
      </c>
      <c r="AT6" s="18" t="inlineStr">
        <is>
          <t>Which option best keeps working when new month columns are added later?</t>
        </is>
      </c>
      <c r="AU6" s="18" t="inlineStr">
        <is>
          <t>A) Unpivot Columns B) Unpivot Other Columns C) Pivot D) Transpose</t>
        </is>
      </c>
      <c r="AV6" s="18" t="inlineStr">
        <is>
          <t>B</t>
        </is>
      </c>
      <c r="AW6" s="18" t="inlineStr">
        <is>
          <t>Unpivot Other Columns turns every column except the ones you keep.</t>
        </is>
      </c>
      <c r="AX6" s="19" t="inlineStr">
        <is>
          <t>Table.Unpivot____Columns keeps the named columns and unpivots the rest → Other</t>
        </is>
      </c>
      <c r="AY6" s="18" t="inlineStr">
        <is>
          <t>Keep the Region column and unpivot every other column into Quarter and Revenue.</t>
        </is>
      </c>
      <c r="AZ6" s="19" t="inlineStr">
        <is>
          <t>Table.UnpivotOtherColumns(Source, {"Region"}, "Quarter", "Revenue")</t>
        </is>
      </c>
      <c r="BA6" s="18" t="inlineStr">
        <is>
          <t>Take a table with month columns and unpivot it into Month and Sales.</t>
        </is>
      </c>
      <c r="BB6" s="19" t="inlineStr">
        <is>
          <t>What are the two new columns that unpivot creates by default?</t>
        </is>
      </c>
      <c r="BC6" s="19" t="inlineStr">
        <is>
          <t>An Attribute column holding the old headers and a Value column holding the values.</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94.5" customHeight="1">
      <c r="A7" s="17" t="inlineStr">
        <is>
          <t>PBI-017</t>
        </is>
      </c>
      <c r="B7" s="17" t="inlineStr">
        <is>
          <t>02 Power Query</t>
        </is>
      </c>
      <c r="C7" s="17" t="inlineStr">
        <is>
          <t>Intermediate</t>
        </is>
      </c>
      <c r="D7" s="17" t="n">
        <v>17</v>
      </c>
      <c r="E7" s="17" t="inlineStr">
        <is>
          <t>Claude knowledge</t>
        </is>
      </c>
      <c r="F7" s="18" t="inlineStr">
        <is>
          <t>M language (let … in)</t>
        </is>
      </c>
      <c r="G7" s="18" t="inlineStr">
        <is>
          <t>Which language sits behind every Power Query step, and how does its let … in structure work?</t>
        </is>
      </c>
      <c r="H7" s="17" t="n"/>
      <c r="I7" s="18" t="inlineStr">
        <is>
          <t>Query language</t>
        </is>
      </c>
      <c r="J7" s="18" t="inlineStr">
        <is>
          <t>High</t>
        </is>
      </c>
      <c r="K7" s="18" t="n">
        <v>4</v>
      </c>
      <c r="L7" s="18" t="inlineStr">
        <is>
          <t>Power Query needed a formula language that could describe each data step in order, so Microsoft created M, a functional language built around let and in.</t>
        </is>
      </c>
      <c r="M7" s="18" t="inlineStr">
        <is>
          <t>Open the Advanced Editor to read how the steps you clicked are written in M.</t>
        </is>
      </c>
      <c r="N7" s="17" t="n"/>
      <c r="O7" s="18" t="inlineStr">
        <is>
          <t>A let block is a list of named steps, and in names the one you want returned.</t>
        </is>
      </c>
      <c r="P7" s="18" t="inlineStr">
        <is>
          <t>A block of code where each line has a name on the left and a formula on the right.</t>
        </is>
      </c>
      <c r="Q7" s="18" t="inlineStr">
        <is>
          <t>The confidence of understanding what the clicks really produce.</t>
        </is>
      </c>
      <c r="R7" s="18" t="inlineStr">
        <is>
          <t>M is Power Query's formula language, where let defines named steps and in returns the final one.</t>
        </is>
      </c>
      <c r="S7" s="17" t="n"/>
      <c r="T7" s="19" t="inlineStr">
        <is>
          <t>let
    Source = {1, 2, 3},
    Doubled = List.Transform(Source, each _ * 2)
in
    Doubled</t>
        </is>
      </c>
      <c r="U7" s="19" t="inlineStr">
        <is>
          <t>{2, 4, 6}</t>
        </is>
      </c>
      <c r="V7" s="18" t="inlineStr">
        <is>
          <t>Each name in the let section is a step that can use earlier steps. The in section says which step is the query result. M is case-sensitive, so Table.Distinct is not the same as table.distinct. The each keyword makes a small function and the underscore stands for the current item.</t>
        </is>
      </c>
      <c r="W7" s="18" t="inlineStr">
        <is>
          <t>M code is a list of named steps inside let. The line after in tells Power Query which step to return. Every click you make writes a step like this for you.</t>
        </is>
      </c>
      <c r="X7" s="18" t="inlineStr">
        <is>
          <t>It is like a recipe where each step has a name and the last line says which dish to serve.</t>
        </is>
      </c>
      <c r="Y7" s="19" t="inlineStr">
        <is>
          <t>let Step1 = ..., Step2 = ... in Step2</t>
        </is>
      </c>
      <c r="Z7" s="18" t="inlineStr">
        <is>
          <t>let = start the steps | Step1 = Expression = a named step | in = the step to return</t>
        </is>
      </c>
      <c r="AA7" s="19" t="inlineStr">
        <is>
          <t>let Source = {1, 2, 3} in Source</t>
        </is>
      </c>
      <c r="AB7" s="19" t="inlineStr">
        <is>
          <t>let Total = List.Sum({10, 20, 30}) in Total</t>
        </is>
      </c>
      <c r="AC7" s="19" t="inlineStr">
        <is>
          <t>let Name = Text.Upper("sales") in Name</t>
        </is>
      </c>
      <c r="AD7" s="19" t="inlineStr">
        <is>
          <t>each _ * 2   // a short function over each item
#"Changed Type"   // a step name with spaces needs #""</t>
        </is>
      </c>
      <c r="AE7" s="18" t="inlineStr">
        <is>
          <t>Advanced Editor, each, List functions, Table functions</t>
        </is>
      </c>
      <c r="AF7" s="18" t="inlineStr">
        <is>
          <t>Applied Steps, DAX, query folding</t>
        </is>
      </c>
      <c r="AG7" s="18" t="inlineStr">
        <is>
          <t>Use the buttons and let Power Query write the M code</t>
        </is>
      </c>
      <c r="AH7" s="17" t="n"/>
      <c r="AI7" s="18" t="inlineStr">
        <is>
          <t>Custom columns | Advanced Editor | Reusable functions</t>
        </is>
      </c>
      <c r="AJ7" s="18" t="inlineStr">
        <is>
          <t>A: Where can I see the code behind my steps? | B: Open the Advanced Editor and you will see the M code.</t>
        </is>
      </c>
      <c r="AK7" s="18" t="inlineStr">
        <is>
          <t>✗ M and DAX are the same language → ✓ M shapes data in Power Query before loading, while DAX calculates on the loaded model</t>
        </is>
      </c>
      <c r="AL7" s="18" t="inlineStr">
        <is>
          <t>M vs DAX: M prepares data, DAX analyses it.</t>
        </is>
      </c>
      <c r="AM7" s="18" t="inlineStr">
        <is>
          <t>Do not forget that M is case-sensitive.</t>
        </is>
      </c>
      <c r="AN7" s="19" t="inlineStr">
        <is>
          <t>Let Source = {1, 2, 3} In Source</t>
        </is>
      </c>
      <c r="AO7" s="19" t="inlineStr">
        <is>
          <t>let Source = {1, 2, 3} in Source</t>
        </is>
      </c>
      <c r="AP7" s="18" t="inlineStr">
        <is>
          <t>let names the steps, in picks the result.</t>
        </is>
      </c>
      <c r="AQ7" s="18" t="inlineStr">
        <is>
          <t>Editing M code in the Advanced Editor to add a custom step the buttons could not do.</t>
        </is>
      </c>
      <c r="AR7" s="18" t="inlineStr">
        <is>
          <t>An interviewer may ask: What is the difference between M and DAX?</t>
        </is>
      </c>
      <c r="AS7" s="18" t="inlineStr">
        <is>
          <t>It is like a recipe whose last line names the dish to serve.</t>
        </is>
      </c>
      <c r="AT7" s="18" t="inlineStr">
        <is>
          <t>In an M query, which keyword says which step is returned as the result?</t>
        </is>
      </c>
      <c r="AU7" s="18" t="inlineStr">
        <is>
          <t>A) each B) step C) in D) let</t>
        </is>
      </c>
      <c r="AV7" s="18" t="inlineStr">
        <is>
          <t>C</t>
        </is>
      </c>
      <c r="AW7" s="18" t="inlineStr">
        <is>
          <t>The in keyword names the expression that the query returns.</t>
        </is>
      </c>
      <c r="AX7" s="19" t="inlineStr">
        <is>
          <t>M code is written between the ____ and in keywords → let</t>
        </is>
      </c>
      <c r="AY7" s="18" t="inlineStr">
        <is>
          <t>Write an M query that returns the sum of 10, 20 and 30.</t>
        </is>
      </c>
      <c r="AZ7" s="19" t="inlineStr">
        <is>
          <t>let Total = List.Sum({10, 20, 30}) in Total</t>
        </is>
      </c>
      <c r="BA7" s="18" t="inlineStr">
        <is>
          <t>Open the Advanced Editor on one of your queries and identify the let, the steps and the in line.</t>
        </is>
      </c>
      <c r="BB7" s="19" t="inlineStr">
        <is>
          <t>What does the underscore mean in each _ * 2?</t>
        </is>
      </c>
      <c r="BC7" s="19" t="inlineStr">
        <is>
          <t>It stands for the current item being processed.</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81" customHeight="1">
      <c r="A8" s="17" t="inlineStr">
        <is>
          <t>PBI-025</t>
        </is>
      </c>
      <c r="B8" s="17" t="inlineStr">
        <is>
          <t>03 Data modelling</t>
        </is>
      </c>
      <c r="C8" s="17" t="inlineStr">
        <is>
          <t>Intermediate</t>
        </is>
      </c>
      <c r="D8" s="17" t="n">
        <v>25</v>
      </c>
      <c r="E8" s="17" t="inlineStr">
        <is>
          <t>Claude knowledge</t>
        </is>
      </c>
      <c r="F8" s="18" t="inlineStr">
        <is>
          <t>Date table (CALENDAR)</t>
        </is>
      </c>
      <c r="G8" s="18" t="inlineStr">
        <is>
          <t>Which kind of table, with one row for every day, is needed so that DAX time intelligence works correctly?</t>
        </is>
      </c>
      <c r="H8" s="17" t="n"/>
      <c r="I8" s="18" t="inlineStr">
        <is>
          <t>DAX table function</t>
        </is>
      </c>
      <c r="J8" s="18" t="inlineStr">
        <is>
          <t>Very high</t>
        </is>
      </c>
      <c r="K8" s="18" t="n">
        <v>5</v>
      </c>
      <c r="L8" s="18" t="inlineStr">
        <is>
          <t>Time functions such as year to date need an unbroken list of dates, so models include a dedicated date table rather than relying on the dates inside the fact table.</t>
        </is>
      </c>
      <c r="M8" s="18" t="inlineStr">
        <is>
          <t>Mark your table as a date table so Power BI knows to use it for time intelligence.</t>
        </is>
      </c>
      <c r="N8" s="17" t="n"/>
      <c r="O8" s="18" t="inlineStr">
        <is>
          <t>A date table is a wall calendar with every day printed, even the days with no sales.</t>
        </is>
      </c>
      <c r="P8" s="18" t="inlineStr">
        <is>
          <t>A list of consecutive days from January 1st to December 31st with year, month and quarter columns.</t>
        </is>
      </c>
      <c r="Q8" s="18" t="inlineStr">
        <is>
          <t>The relief of year-to-date numbers that finally add up.</t>
        </is>
      </c>
      <c r="R8" s="18" t="inlineStr">
        <is>
          <t>A date table is a table with one row for every day in a continuous range, built for time intelligence.</t>
        </is>
      </c>
      <c r="S8" s="17" t="n"/>
      <c r="T8" s="19" t="inlineStr">
        <is>
          <t>Dates = CALENDAR(DATE(2023, 1, 1), DATE(2025, 12, 31))</t>
        </is>
      </c>
      <c r="U8" s="19" t="inlineStr">
        <is>
          <t>A table named Dates with one row for every day from 1 Jan 2023 to 31 Dec 2025.</t>
        </is>
      </c>
      <c r="V8" s="18" t="inlineStr">
        <is>
          <t>CALENDAR creates a column of continuous dates between two dates. You then add columns such as Year, Month and Quarter, create a relationship to the date column of your fact table, and use Mark as date table. The date column must have unique values with no gaps.</t>
        </is>
      </c>
      <c r="W8" s="18" t="inlineStr">
        <is>
          <t>Create a table with every date in a range and link it to your sales dates. Then time functions like year to date know which days are missing from the sales data.</t>
        </is>
      </c>
      <c r="X8" s="18" t="inlineStr">
        <is>
          <t>It is like a wall calendar that shows every day, even the days when nothing happened.</t>
        </is>
      </c>
      <c r="Y8" s="19" t="inlineStr">
        <is>
          <t>CALENDAR(start_date, end_date)</t>
        </is>
      </c>
      <c r="Z8" s="18" t="inlineStr">
        <is>
          <t>CALENDAR = function | start_date = first day | end_date = last day</t>
        </is>
      </c>
      <c r="AA8" s="19" t="inlineStr">
        <is>
          <t>Dates = CALENDAR(DATE(2023, 1, 1), DATE(2025, 12, 31))</t>
        </is>
      </c>
      <c r="AB8" s="19" t="inlineStr">
        <is>
          <t>Dates = CALENDARAUTO()</t>
        </is>
      </c>
      <c r="AC8" s="19" t="inlineStr">
        <is>
          <t>Year = YEAR(Dates[Date])</t>
        </is>
      </c>
      <c r="AD8" s="19" t="inlineStr">
        <is>
          <t>CALENDARAUTO()   // range from the dates found in the model
Month Name = FORMAT(Dates[Date], "MMMM")   // a helper column</t>
        </is>
      </c>
      <c r="AE8" s="18" t="inlineStr">
        <is>
          <t>Mark as date table, relationships, time intelligence, YEAR, MONTH</t>
        </is>
      </c>
      <c r="AF8" s="18" t="inlineStr">
        <is>
          <t>time intelligence, relationships, TOTALYTD, calculated column</t>
        </is>
      </c>
      <c r="AG8" s="18" t="inlineStr">
        <is>
          <t>Build the date table in Power Query</t>
        </is>
      </c>
      <c r="AH8" s="17" t="n"/>
      <c r="AI8" s="18" t="inlineStr">
        <is>
          <t>Any model with dates | Year to date and previous year | Calendar slicers</t>
        </is>
      </c>
      <c r="AJ8" s="18" t="inlineStr">
        <is>
          <t>A: My year-to-date total skips days without sales. | B: Create a proper date table with every day and link it to the sales dates.</t>
        </is>
      </c>
      <c r="AK8" s="18" t="inlineStr">
        <is>
          <t>✗ The date column in the fact table is enough for time intelligence → ✓ Time intelligence needs a separate continuous date table with no missing days</t>
        </is>
      </c>
      <c r="AL8" s="18" t="inlineStr">
        <is>
          <t>CALENDAR vs CALENDARAUTO: CALENDAR needs the start and end dates, CALENDARAUTO finds the range from the data.</t>
        </is>
      </c>
      <c r="AM8" s="18" t="inlineStr">
        <is>
          <t>Do not build time intelligence on a date column that has gaps.</t>
        </is>
      </c>
      <c r="AN8" s="19" t="inlineStr">
        <is>
          <t>Dates = CALENDAR(2023, 2025)</t>
        </is>
      </c>
      <c r="AO8" s="19" t="inlineStr">
        <is>
          <t>Dates = CALENDAR(DATE(2023, 1, 1), DATE(2025, 12, 31))</t>
        </is>
      </c>
      <c r="AP8" s="18" t="inlineStr">
        <is>
          <t>A date table is a calendar with no missing days.</t>
        </is>
      </c>
      <c r="AQ8" s="18" t="inlineStr">
        <is>
          <t>Creating a date table with Year, Quarter and Month columns and marking it as the date table.</t>
        </is>
      </c>
      <c r="AR8" s="18" t="inlineStr">
        <is>
          <t>An interviewer may ask: Why do you need a separate date table in Power BI?</t>
        </is>
      </c>
      <c r="AS8" s="18" t="inlineStr">
        <is>
          <t>It is like a wall calendar showing every day of the year.</t>
        </is>
      </c>
      <c r="AT8" s="18" t="inlineStr">
        <is>
          <t>What must be true of the date column in a date table?</t>
        </is>
      </c>
      <c r="AU8" s="18" t="inlineStr">
        <is>
          <t>A) It has duplicates B) It has unique, continuous dates C) It has blanks D) It is text</t>
        </is>
      </c>
      <c r="AV8" s="18" t="inlineStr">
        <is>
          <t>B</t>
        </is>
      </c>
      <c r="AW8" s="18" t="inlineStr">
        <is>
          <t>Time intelligence needs unique dates with no gaps.</t>
        </is>
      </c>
      <c r="AX8" s="19" t="inlineStr">
        <is>
          <t>Dates = ____(DATE(2023, 1, 1), DATE(2025, 12, 31)) → CALENDAR</t>
        </is>
      </c>
      <c r="AY8" s="18" t="inlineStr">
        <is>
          <t>Create a date table covering the whole of 2024.</t>
        </is>
      </c>
      <c r="AZ8" s="19" t="inlineStr">
        <is>
          <t>Dates = CALENDAR(DATE(2024, 1, 1), DATE(2024, 12, 31))</t>
        </is>
      </c>
      <c r="BA8" s="18" t="inlineStr">
        <is>
          <t>Build a date table and add Year and Month Name columns.</t>
        </is>
      </c>
      <c r="BB8" s="19" t="inlineStr">
        <is>
          <t>What does the Mark as date table option do?</t>
        </is>
      </c>
      <c r="BC8" s="19" t="inlineStr">
        <is>
          <t>It tells Power BI which table and column to use for time intelligence.</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108" customHeight="1">
      <c r="A9" s="17" t="inlineStr">
        <is>
          <t>PBI-026</t>
        </is>
      </c>
      <c r="B9" s="17" t="inlineStr">
        <is>
          <t>03 Data modelling</t>
        </is>
      </c>
      <c r="C9" s="17" t="inlineStr">
        <is>
          <t>Beginner</t>
        </is>
      </c>
      <c r="D9" s="17" t="n">
        <v>26</v>
      </c>
      <c r="E9" s="17" t="inlineStr">
        <is>
          <t>Claude knowledge</t>
        </is>
      </c>
      <c r="F9" s="18" t="inlineStr">
        <is>
          <t>Calculated column vs measure</t>
        </is>
      </c>
      <c r="G9" s="18" t="inlineStr">
        <is>
          <t>Which is calculated row by row and stored in the table, and which is calculated on demand from the report's filters?</t>
        </is>
      </c>
      <c r="H9" s="17" t="n"/>
      <c r="I9" s="18" t="inlineStr">
        <is>
          <t>DAX concept</t>
        </is>
      </c>
      <c r="J9" s="18" t="inlineStr">
        <is>
          <t>Very high</t>
        </is>
      </c>
      <c r="K9" s="18" t="n">
        <v>5</v>
      </c>
      <c r="L9" s="18" t="inlineStr">
        <is>
          <t>Some results belong to each row while others must change with the report's filters, so DAX provides both stored columns and flexible measures.</t>
        </is>
      </c>
      <c r="M9" s="18" t="inlineStr">
        <is>
          <t>Use a measure for totals and ratios, and a calculated column only when you need the value on each row or in a slicer.</t>
        </is>
      </c>
      <c r="N9" s="17" t="n"/>
      <c r="O9" s="18" t="inlineStr">
        <is>
          <t>A column is ink printed on each row, while a measure is a calculation done fresh each time you look.</t>
        </is>
      </c>
      <c r="P9" s="18" t="inlineStr">
        <is>
          <t>A new column filled with values in a table beside a measure card that changes when you click a slicer.</t>
        </is>
      </c>
      <c r="Q9" s="18" t="inlineStr">
        <is>
          <t>The clarity of knowing which tool fits which job.</t>
        </is>
      </c>
      <c r="R9" s="18" t="inlineStr">
        <is>
          <t>A calculated column is computed per row and stored when the model refreshes, while a measure is computed at query time from the current filters.</t>
        </is>
      </c>
      <c r="S9" s="17" t="n"/>
      <c r="T9" s="19" t="inlineStr">
        <is>
          <t>Line Total = Sales[Quantity] * Sales[Price]
Total Sales = SUM(Sales[Line Total])</t>
        </is>
      </c>
      <c r="U9" s="19" t="inlineStr">
        <is>
          <t>The first line adds a Line Total column to Sales, and the second creates a Total Sales measure that responds to filters.</t>
        </is>
      </c>
      <c r="V9" s="18" t="inlineStr">
        <is>
          <t>A calculated column uses row context and takes space in the model, since its values are stored. A measure uses filter context and is evaluated each time a visual needs it, so it takes no storage. Totals, ratios and percentages should almost always be measures.</t>
        </is>
      </c>
      <c r="W9" s="18" t="inlineStr">
        <is>
          <t>A column gives each row its own value and stays in the table. A measure gives one answer for whatever the report currently shows, and it changes as filters change.</t>
        </is>
      </c>
      <c r="X9" s="18" t="inlineStr">
        <is>
          <t>A column is ink on every row, and a measure is a calculation done fresh each time you look.</t>
        </is>
      </c>
      <c r="Y9" s="19" t="inlineStr">
        <is>
          <t>ColumnName = expression (in a table)  |  MeasureName = expression (measure)</t>
        </is>
      </c>
      <c r="Z9" s="18" t="inlineStr">
        <is>
          <t>Calculated column = per row, stored | Measure = per filter context, calculated on demand</t>
        </is>
      </c>
      <c r="AA9" s="19" t="inlineStr">
        <is>
          <t>Line Total = Sales[Quantity] * Sales[Price]</t>
        </is>
      </c>
      <c r="AB9" s="19" t="inlineStr">
        <is>
          <t>Total Sales = SUM(Sales[Line Total])</t>
        </is>
      </c>
      <c r="AC9" s="19" t="inlineStr">
        <is>
          <t>Profit Margin = DIVIDE([Total Profit], [Total Sales])</t>
        </is>
      </c>
      <c r="AD9" s="19" t="inlineStr">
        <is>
          <t>Full Name = Customer[First] &amp; " " &amp; Customer[Last]   // good as a column
Average Price = AVERAGE(Sales[Price])   // good as a measure</t>
        </is>
      </c>
      <c r="AE9" s="18" t="inlineStr">
        <is>
          <t>SUM, row context, filter context, CALCULATE</t>
        </is>
      </c>
      <c r="AF9" s="18" t="inlineStr">
        <is>
          <t>row context, filter context, SUMX, CALCULATE</t>
        </is>
      </c>
      <c r="AG9" s="18" t="inlineStr">
        <is>
          <t>Compute the column in Power Query before loading</t>
        </is>
      </c>
      <c r="AH9" s="17" t="n"/>
      <c r="AI9" s="18" t="inlineStr">
        <is>
          <t>Every DAX model | Totals and ratios | Row-level helper values</t>
        </is>
      </c>
      <c r="AJ9" s="18" t="inlineStr">
        <is>
          <t>A: Should I make profit margin a column? | B: No, make it a measure, because a ratio must be recalculated for whatever is filtered.</t>
        </is>
      </c>
      <c r="AK9" s="18" t="inlineStr">
        <is>
          <t>✗ A measure is stored in the table like a column → ✓ A measure is calculated when a visual needs it and takes no stored space, while a column is stored</t>
        </is>
      </c>
      <c r="AL9" s="18" t="inlineStr">
        <is>
          <t>Calculated column vs measure: a column is per row and stored, a measure is per context and calculated on demand.</t>
        </is>
      </c>
      <c r="AM9" s="18" t="inlineStr">
        <is>
          <t>Do not use a calculated column for a ratio, averaging row values gives the wrong result.</t>
        </is>
      </c>
      <c r="AN9" s="19" t="inlineStr">
        <is>
          <t>Total Sales = Sales[Quantity] * Sales[Price]</t>
        </is>
      </c>
      <c r="AO9" s="19" t="inlineStr">
        <is>
          <t>Total Sales = SUMX(Sales, Sales[Quantity] * Sales[Price])</t>
        </is>
      </c>
      <c r="AP9" s="18" t="inlineStr">
        <is>
          <t>Column is stored per row, measure is worked out on demand.</t>
        </is>
      </c>
      <c r="AQ9" s="18" t="inlineStr">
        <is>
          <t>Writing totals and ratios as measures and keeping only helper values as columns.</t>
        </is>
      </c>
      <c r="AR9" s="18" t="inlineStr">
        <is>
          <t>An interviewer may ask: When would you use a calculated column instead of a measure?</t>
        </is>
      </c>
      <c r="AS9" s="18" t="inlineStr">
        <is>
          <t>It is like ink written on every row versus a calculation done each time you look.</t>
        </is>
      </c>
      <c r="AT9" s="18" t="inlineStr">
        <is>
          <t>Which should a profit margin percentage normally be?</t>
        </is>
      </c>
      <c r="AU9" s="18" t="inlineStr">
        <is>
          <t>A) A parameter B) A slicer C) A measure D) A calculated column</t>
        </is>
      </c>
      <c r="AV9" s="18" t="inlineStr">
        <is>
          <t>C</t>
        </is>
      </c>
      <c r="AW9" s="18" t="inlineStr">
        <is>
          <t>A ratio must be recalculated from the filtered totals, which a measure does.</t>
        </is>
      </c>
      <c r="AX9" s="19" t="inlineStr">
        <is>
          <t>A value stored for each row of a table is called a calculated ____ → column</t>
        </is>
      </c>
      <c r="AY9" s="18" t="inlineStr">
        <is>
          <t>Write a measure for the total of the Amount column in the Sales table.</t>
        </is>
      </c>
      <c r="AZ9" s="19" t="inlineStr">
        <is>
          <t>Total Amount = SUM(Sales[Amount])</t>
        </is>
      </c>
      <c r="BA9" s="18" t="inlineStr">
        <is>
          <t>Write one column and one measure for a small sales table and explain why each is right.</t>
        </is>
      </c>
      <c r="BB9" s="19" t="inlineStr">
        <is>
          <t>Which one is computed when a visual is drawn, a column or a measure?</t>
        </is>
      </c>
      <c r="BC9" s="19" t="inlineStr">
        <is>
          <t>A measure.</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94.5" customHeight="1">
      <c r="A10" s="17" t="inlineStr">
        <is>
          <t>PBI-028</t>
        </is>
      </c>
      <c r="B10" s="17" t="inlineStr">
        <is>
          <t>04 DAX</t>
        </is>
      </c>
      <c r="C10" s="17" t="inlineStr">
        <is>
          <t>Beginner</t>
        </is>
      </c>
      <c r="D10" s="17" t="n">
        <v>28</v>
      </c>
      <c r="E10" s="17" t="inlineStr">
        <is>
          <t>Claude knowledge</t>
        </is>
      </c>
      <c r="F10" s="18" t="inlineStr">
        <is>
          <t>SUM and SUMX</t>
        </is>
      </c>
      <c r="G10" s="18" t="inlineStr">
        <is>
          <t>Which DAX functions add up a column, and which one calculates a value for every row before adding?</t>
        </is>
      </c>
      <c r="H10" s="17" t="n"/>
      <c r="I10" s="18" t="inlineStr">
        <is>
          <t>DAX function</t>
        </is>
      </c>
      <c r="J10" s="18" t="inlineStr">
        <is>
          <t>Very high</t>
        </is>
      </c>
      <c r="K10" s="18" t="n">
        <v>5</v>
      </c>
      <c r="L10" s="18" t="inlineStr">
        <is>
          <t>Reports constantly need totals, and DAX offers a simple column total plus an iterator version for totals that depend on a row calculation.</t>
        </is>
      </c>
      <c r="M10" s="18" t="inlineStr">
        <is>
          <t>Use SUM when you only add one column, and SUMX when the amount has to be worked out per row first.</t>
        </is>
      </c>
      <c r="N10" s="17" t="n"/>
      <c r="O10" s="18" t="inlineStr">
        <is>
          <t>SUM adds a column like a calculator tape, while SUMX walks down the rows and does a small sum on each.</t>
        </is>
      </c>
      <c r="P10" s="18" t="inlineStr">
        <is>
          <t>A column of numbers with a total beneath it, next to a table where each row is multiplied before adding.</t>
        </is>
      </c>
      <c r="Q10" s="18" t="inlineStr">
        <is>
          <t>The comfort of seeing a correct total card appear on your page.</t>
        </is>
      </c>
      <c r="R10" s="18" t="inlineStr">
        <is>
          <t>SUM adds all values in one column, and SUMX evaluates an expression for each row of a table and adds the results.</t>
        </is>
      </c>
      <c r="S10" s="17" t="n"/>
      <c r="T10" s="19" t="inlineStr">
        <is>
          <t>Total Sales = SUM(Sales[Amount])
Sales Value = SUMX(Sales, Sales[Quantity] * Sales[Price])</t>
        </is>
      </c>
      <c r="U10" s="19" t="inlineStr">
        <is>
          <t>Total Sales returns the sum of the Amount column, and Sales Value returns the sum of Quantity times Price for every row.</t>
        </is>
      </c>
      <c r="V10" s="18" t="inlineStr">
        <is>
          <t>SUM takes a single column and adds it in the current filter context. SUMX is an iterator: it goes row by row through the table you give it, calculates the expression for each row, and then adds the results. The X at the end marks iterator functions such as AVERAGEX and MAXX.</t>
        </is>
      </c>
      <c r="W10" s="18" t="inlineStr">
        <is>
          <t>Use SUM to total one column. Use SUMX when you must first multiply or combine columns on each row, like Quantity times Price, and then add up the results.</t>
        </is>
      </c>
      <c r="X10" s="18" t="inlineStr">
        <is>
          <t>SUM is a calculator tape of one column, and SUMX is checking each bill line before adding.</t>
        </is>
      </c>
      <c r="Y10" s="19" t="inlineStr">
        <is>
          <t>SUM(Table[Column])  |  SUMX(Table, expression)</t>
        </is>
      </c>
      <c r="Z10" s="18" t="inlineStr">
        <is>
          <t>SUM = add one column | SUMX = add an expression evaluated row by row | Table = rows to walk through</t>
        </is>
      </c>
      <c r="AA10" s="19" t="inlineStr">
        <is>
          <t>Total Sales = SUM(Sales[Amount])</t>
        </is>
      </c>
      <c r="AB10" s="19" t="inlineStr">
        <is>
          <t>Revenue = SUMX(Sales, Sales[Quantity] * Sales[Price])</t>
        </is>
      </c>
      <c r="AC10" s="19" t="inlineStr">
        <is>
          <t>Discounted = SUMX(Sales, Sales[Amount] * (1 - Sales[Discount]))</t>
        </is>
      </c>
      <c r="AD10" s="19" t="inlineStr">
        <is>
          <t>AVERAGEX(Sales, Sales[Quantity] * Sales[Price])   // average of a row expression
MAXX(Sales, Sales[Amount])   // maximum of a row expression</t>
        </is>
      </c>
      <c r="AE10" s="18" t="inlineStr">
        <is>
          <t>CALCULATE, FILTER, row context, measures</t>
        </is>
      </c>
      <c r="AF10" s="18" t="inlineStr">
        <is>
          <t>AVERAGEX, CALCULATE, row context</t>
        </is>
      </c>
      <c r="AG10" s="18" t="inlineStr">
        <is>
          <t>Add a calculated column and use SUM on it</t>
        </is>
      </c>
      <c r="AH10" s="17" t="n"/>
      <c r="AI10" s="18" t="inlineStr">
        <is>
          <t>Totals on cards | Revenue calculations | Weighted values</t>
        </is>
      </c>
      <c r="AJ10" s="18" t="inlineStr">
        <is>
          <t>A: I need total revenue but I only have quantity and price columns. | B: Use SUMX over the table with Quantity times Price for each row.</t>
        </is>
      </c>
      <c r="AK10" s="18" t="inlineStr">
        <is>
          <t>✗ SUM(Sales[Quantity] * Sales[Price]) works as a revenue total → ✓ SUM takes only a single column, so use SUMX to multiply per row and then add</t>
        </is>
      </c>
      <c r="AL10" s="18" t="inlineStr">
        <is>
          <t>SUM vs SUMX: SUM adds a column directly, SUMX calculates an expression per row and then adds.</t>
        </is>
      </c>
      <c r="AM10" s="18" t="inlineStr">
        <is>
          <t>Do not put an expression inside SUM, it accepts only a column.</t>
        </is>
      </c>
      <c r="AN10" s="19" t="inlineStr">
        <is>
          <t>Revenue = SUM(Sales[Quantity] * Sales[Price])</t>
        </is>
      </c>
      <c r="AO10" s="19" t="inlineStr">
        <is>
          <t>Revenue = SUMX(Sales, Sales[Quantity] * Sales[Price])</t>
        </is>
      </c>
      <c r="AP10" s="18" t="inlineStr">
        <is>
          <t>The X means go row by row.</t>
        </is>
      </c>
      <c r="AQ10" s="18" t="inlineStr">
        <is>
          <t>Calculating revenue as quantity times price per row using SUMX instead of storing a new column.</t>
        </is>
      </c>
      <c r="AR10" s="18" t="inlineStr">
        <is>
          <t>An interviewer may ask: What is the difference between SUM and SUMX?</t>
        </is>
      </c>
      <c r="AS10" s="18" t="inlineStr">
        <is>
          <t>It is like adding a bill's total versus checking each line item first.</t>
        </is>
      </c>
      <c r="AT10" s="18" t="inlineStr">
        <is>
          <t>Which function calculates Quantity times Price for each row and then adds the results?</t>
        </is>
      </c>
      <c r="AU10" s="18" t="inlineStr">
        <is>
          <t>A) COUNT B) MAX C) SUM D) SUMX</t>
        </is>
      </c>
      <c r="AV10" s="18" t="inlineStr">
        <is>
          <t>D</t>
        </is>
      </c>
      <c r="AW10" s="18" t="inlineStr">
        <is>
          <t>SUMX is an iterator that evaluates the expression on every row before adding.</t>
        </is>
      </c>
      <c r="AX10" s="19" t="inlineStr">
        <is>
          <t>Revenue = ____(Sales, Sales[Quantity] * Sales[Price]) → SUMX</t>
        </is>
      </c>
      <c r="AY10" s="18" t="inlineStr">
        <is>
          <t>Write a measure that adds the Amount column of the Sales table.</t>
        </is>
      </c>
      <c r="AZ10" s="19" t="inlineStr">
        <is>
          <t>Total Sales = SUM(Sales[Amount])</t>
        </is>
      </c>
      <c r="BA10" s="18" t="inlineStr">
        <is>
          <t>Write a measure of total cost from Quantity and UnitCost columns.</t>
        </is>
      </c>
      <c r="BB10" s="19" t="inlineStr">
        <is>
          <t>What does the X at the end of SUMX stand for?</t>
        </is>
      </c>
      <c r="BC10" s="19" t="inlineStr">
        <is>
          <t>That it is an iterator that evaluates an expression for each row.</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94.5" customHeight="1">
      <c r="A11" s="17" t="inlineStr">
        <is>
          <t>PBI-029</t>
        </is>
      </c>
      <c r="B11" s="17" t="inlineStr">
        <is>
          <t>04 DAX</t>
        </is>
      </c>
      <c r="C11" s="17" t="inlineStr">
        <is>
          <t>Intermediate</t>
        </is>
      </c>
      <c r="D11" s="17" t="n">
        <v>29</v>
      </c>
      <c r="E11" s="17" t="inlineStr">
        <is>
          <t>Claude knowledge</t>
        </is>
      </c>
      <c r="F11" s="18" t="inlineStr">
        <is>
          <t>CALCULATE</t>
        </is>
      </c>
      <c r="G11" s="18" t="inlineStr">
        <is>
          <t>Which DAX function changes the filters used to evaluate an expression, and is often called the most important function?</t>
        </is>
      </c>
      <c r="H11" s="17" t="n"/>
      <c r="I11" s="18" t="inlineStr">
        <is>
          <t>DAX function</t>
        </is>
      </c>
      <c r="J11" s="18" t="inlineStr">
        <is>
          <t>Very high</t>
        </is>
      </c>
      <c r="K11" s="18" t="n">
        <v>5</v>
      </c>
      <c r="L11" s="18" t="inlineStr">
        <is>
          <t>A total that only reflects the report's current filters is not enough, so DAX needed a function that can add, replace or remove filters for one calculation.</t>
        </is>
      </c>
      <c r="M11" s="18" t="inlineStr">
        <is>
          <t>Start by learning CALCULATE with one simple filter, then add more as you get comfortable.</t>
        </is>
      </c>
      <c r="N11" s="17" t="n"/>
      <c r="O11" s="18" t="inlineStr">
        <is>
          <t>CALCULATE is a remote control that changes the channel (filters) before the value is shown.</t>
        </is>
      </c>
      <c r="P11" s="18" t="inlineStr">
        <is>
          <t>A total card whose value changes after a filter condition is attached to it.</t>
        </is>
      </c>
      <c r="Q11" s="18" t="inlineStr">
        <is>
          <t>The feeling of unlocking real power over your numbers.</t>
        </is>
      </c>
      <c r="R11" s="18" t="inlineStr">
        <is>
          <t>CALCULATE evaluates an expression after modifying the filter context with the filters you give it.</t>
        </is>
      </c>
      <c r="S11" s="17" t="n"/>
      <c r="T11" s="19" t="inlineStr">
        <is>
          <t>Sales 2025 = CALCULATE([Total Sales], Dates[Year] = 2025)
Red Sales = CALCULATE([Total Sales], Product[Color] = "Red")</t>
        </is>
      </c>
      <c r="U11" s="19" t="inlineStr">
        <is>
          <t>Sales 2025 returns total sales for 2025 only, and Red Sales returns total sales of red products only. Other report filters, such as region, still apply.</t>
        </is>
      </c>
      <c r="V11" s="18" t="inlineStr">
        <is>
          <t>CALCULATE takes an expression first and then one or more filters. A simple condition on a column replaces any existing filter on that column. It can also take functions such as ALL to remove filters, or FILTER to apply complex conditions. It also turns a row context into a filter context.</t>
        </is>
      </c>
      <c r="W11" s="18" t="inlineStr">
        <is>
          <t>CALCULATE says: work out this value, but first change the filters like this. It is how you make a measure for a particular year, product or region.</t>
        </is>
      </c>
      <c r="X11" s="18" t="inlineStr">
        <is>
          <t>It is like a remote control that changes the channel before the picture is shown.</t>
        </is>
      </c>
      <c r="Y11" s="19" t="inlineStr">
        <is>
          <t>CALCULATE(expression, filter1, filter2, ...)</t>
        </is>
      </c>
      <c r="Z11" s="18" t="inlineStr">
        <is>
          <t>CALCULATE = function | expression = what to calculate | filters = changes to the filter context</t>
        </is>
      </c>
      <c r="AA11" s="19" t="inlineStr">
        <is>
          <t>Sales 2025 = CALCULATE([Total Sales], Dates[Year] = 2025)</t>
        </is>
      </c>
      <c r="AB11" s="19" t="inlineStr">
        <is>
          <t>Online Sales = CALCULATE([Total Sales], Sales[Channel] = "Online")</t>
        </is>
      </c>
      <c r="AC11" s="19" t="inlineStr">
        <is>
          <t>Large Orders = CALCULATE([Total Sales], Sales[Amount] &gt; 1000)</t>
        </is>
      </c>
      <c r="AD11" s="19" t="inlineStr">
        <is>
          <t>CALCULATE([Total Sales], ALL(Product))   // remove product filters
CALCULATE([Total Sales], Product[Color] = "Red", Dates[Year] = 2025)   // two filters</t>
        </is>
      </c>
      <c r="AE11" s="18" t="inlineStr">
        <is>
          <t>FILTER, ALL, KEEPFILTERS, USERELATIONSHIP</t>
        </is>
      </c>
      <c r="AF11" s="18" t="inlineStr">
        <is>
          <t>filter context, ALL, FILTER, time intelligence</t>
        </is>
      </c>
      <c r="AG11" s="18" t="inlineStr">
        <is>
          <t>Use a visual-level filter, but only for a single visual</t>
        </is>
      </c>
      <c r="AH11" s="17" t="n"/>
      <c r="AI11" s="18" t="inlineStr">
        <is>
          <t>Year or region specific measures | Percent of total | Time comparisons</t>
        </is>
      </c>
      <c r="AJ11" s="18" t="inlineStr">
        <is>
          <t>A: I want a measure that always shows 2025 sales. | B: Wrap Total Sales in CALCULATE with a filter on Year equal to 2025.</t>
        </is>
      </c>
      <c r="AK11" s="18" t="inlineStr">
        <is>
          <t>✗ CALCULATE only adds more filters on top of the report's filters → ✓ A filter on a column in CALCULATE replaces the existing filter on that column, and ALL can remove filters completely</t>
        </is>
      </c>
      <c r="AL11" s="18" t="inlineStr">
        <is>
          <t>CALCULATE vs FILTER: CALCULATE changes filter context and returns a value, FILTER returns a table of rows.</t>
        </is>
      </c>
      <c r="AM11" s="18" t="inlineStr">
        <is>
          <t>Do not place the filter before the expression, the expression always comes first.</t>
        </is>
      </c>
      <c r="AN11" s="19" t="inlineStr">
        <is>
          <t>Sales 2025 = CALCULATE(Dates[Year] = 2025, [Total Sales])</t>
        </is>
      </c>
      <c r="AO11" s="19" t="inlineStr">
        <is>
          <t>Sales 2025 = CALCULATE([Total Sales], Dates[Year] = 2025)</t>
        </is>
      </c>
      <c r="AP11" s="18" t="inlineStr">
        <is>
          <t>CALCULATE changes the context first.</t>
        </is>
      </c>
      <c r="AQ11" s="18" t="inlineStr">
        <is>
          <t>Building measures for current year, last year and a specific region using CALCULATE.</t>
        </is>
      </c>
      <c r="AR11" s="18" t="inlineStr">
        <is>
          <t>An interviewer may ask: What does CALCULATE do and why is it important?</t>
        </is>
      </c>
      <c r="AS11" s="18" t="inlineStr">
        <is>
          <t>It is like changing the TV channel before watching.</t>
        </is>
      </c>
      <c r="AT11" s="18" t="inlineStr">
        <is>
          <t>In CALCULATE, which argument comes first?</t>
        </is>
      </c>
      <c r="AU11" s="18" t="inlineStr">
        <is>
          <t>A) The expression to evaluate B) The filter C) The relationship D) The table</t>
        </is>
      </c>
      <c r="AV11" s="18" t="inlineStr">
        <is>
          <t>A</t>
        </is>
      </c>
      <c r="AW11" s="18" t="inlineStr">
        <is>
          <t>The expression comes first and the filters follow.</t>
        </is>
      </c>
      <c r="AX11" s="19" t="inlineStr">
        <is>
          <t>Red Sales = ____([Total Sales], Product[Color] = "Red") → CALCULATE</t>
        </is>
      </c>
      <c r="AY11" s="18" t="inlineStr">
        <is>
          <t>Write a measure of total sales for the Online channel.</t>
        </is>
      </c>
      <c r="AZ11" s="19" t="inlineStr">
        <is>
          <t>Online Sales = CALCULATE([Total Sales], Sales[Channel] = "Online")</t>
        </is>
      </c>
      <c r="BA11" s="18" t="inlineStr">
        <is>
          <t>Create two CALCULATE measures for two different regions of a small sales table.</t>
        </is>
      </c>
      <c r="BB11" s="19" t="inlineStr">
        <is>
          <t>What happens when CALCULATE filters a column that the report already filters?</t>
        </is>
      </c>
      <c r="BC11" s="19" t="inlineStr">
        <is>
          <t>The new filter replaces the existing filter on that column.</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94.5" customHeight="1">
      <c r="A12" s="17" t="inlineStr">
        <is>
          <t>PBI-030</t>
        </is>
      </c>
      <c r="B12" s="17" t="inlineStr">
        <is>
          <t>04 DAX</t>
        </is>
      </c>
      <c r="C12" s="17" t="inlineStr">
        <is>
          <t>Intermediate</t>
        </is>
      </c>
      <c r="D12" s="17" t="n">
        <v>30</v>
      </c>
      <c r="E12" s="17" t="inlineStr">
        <is>
          <t>Claude knowledge</t>
        </is>
      </c>
      <c r="F12" s="18" t="inlineStr">
        <is>
          <t>FILTER</t>
        </is>
      </c>
      <c r="G12" s="18" t="inlineStr">
        <is>
          <t>Which DAX function returns only the rows of a table that meet a condition, and is often used inside CALCULATE?</t>
        </is>
      </c>
      <c r="H12" s="17" t="n"/>
      <c r="I12" s="18" t="inlineStr">
        <is>
          <t>DAX function</t>
        </is>
      </c>
      <c r="J12" s="18" t="inlineStr">
        <is>
          <t>High</t>
        </is>
      </c>
      <c r="K12" s="18" t="n">
        <v>4</v>
      </c>
      <c r="L12" s="18" t="inlineStr">
        <is>
          <t>Simple column conditions are not enough for complex rules, so DAX has a function that tests every row against any condition and returns the matching rows as a table.</t>
        </is>
      </c>
      <c r="M12" s="18" t="inlineStr">
        <is>
          <t>Filter a single column inside CALCULATE when you can, because it is faster than iterating a whole table.</t>
        </is>
      </c>
      <c r="N12" s="17" t="n"/>
      <c r="O12" s="18" t="inlineStr">
        <is>
          <t>FILTER is a security guard checking each row at the door and letting only the matching ones through.</t>
        </is>
      </c>
      <c r="P12" s="18" t="inlineStr">
        <is>
          <t>A table where rows that fail a test are greyed out and the rest stay.</t>
        </is>
      </c>
      <c r="Q12" s="18" t="inlineStr">
        <is>
          <t>The power of expressing any rule, however odd, as a condition.</t>
        </is>
      </c>
      <c r="R12" s="18" t="inlineStr">
        <is>
          <t>FILTER returns a table that holds only the rows for which a condition is true.</t>
        </is>
      </c>
      <c r="S12" s="17" t="n"/>
      <c r="T12" s="19" t="inlineStr">
        <is>
          <t>Big Orders = CALCULATE([Total Sales], FILTER(Sales, Sales[Amount] &gt; 1000))</t>
        </is>
      </c>
      <c r="U12" s="19" t="inlineStr">
        <is>
          <t>Total sales counting only the sales rows whose Amount is greater than 1000.</t>
        </is>
      </c>
      <c r="V12" s="18" t="inlineStr">
        <is>
          <t>FILTER is an iterator: it goes through each row of the table you give it and keeps rows where the condition is true. It returns a table, not a value, so it normally sits inside CALCULATE or another function that takes a table. It is more flexible than a simple condition but can be slower on big tables.</t>
        </is>
      </c>
      <c r="W12" s="18" t="inlineStr">
        <is>
          <t>FILTER keeps the rows that pass your test. Put it inside CALCULATE to calculate a value only over those rows.</t>
        </is>
      </c>
      <c r="X12" s="18" t="inlineStr">
        <is>
          <t>It is like a guard at the door who lets in only the people who meet a rule.</t>
        </is>
      </c>
      <c r="Y12" s="19" t="inlineStr">
        <is>
          <t>FILTER(table, condition)</t>
        </is>
      </c>
      <c r="Z12" s="18" t="inlineStr">
        <is>
          <t>FILTER = function | table = rows to test | condition = test for each row</t>
        </is>
      </c>
      <c r="AA12" s="19" t="inlineStr">
        <is>
          <t>CALCULATE([Total Sales], FILTER(Sales, Sales[Amount] &gt; 1000))</t>
        </is>
      </c>
      <c r="AB12" s="19" t="inlineStr">
        <is>
          <t>CALCULATE(COUNTROWS(Customer), FILTER(Customer, Customer[Age] &gt;= 18))</t>
        </is>
      </c>
      <c r="AC12" s="19" t="inlineStr">
        <is>
          <t>FILTER(Product, Product[Category] = "Bikes")</t>
        </is>
      </c>
      <c r="AD12" s="19" t="inlineStr">
        <is>
          <t>FILTER(ALL(Product), [Total Sales] &gt; 5000)   // filter by a measure over all products</t>
        </is>
      </c>
      <c r="AE12" s="18" t="inlineStr">
        <is>
          <t>CALCULATE, ALL, COUNTROWS, SUMX</t>
        </is>
      </c>
      <c r="AF12" s="18" t="inlineStr">
        <is>
          <t>CALCULATE, ALL, iterator</t>
        </is>
      </c>
      <c r="AG12" s="18" t="inlineStr">
        <is>
          <t>A simple column condition inside CALCULATE</t>
        </is>
      </c>
      <c r="AH12" s="17" t="n"/>
      <c r="AI12" s="18" t="inlineStr">
        <is>
          <t>Complex conditions | Comparing two columns | Filtering by a measure</t>
        </is>
      </c>
      <c r="AJ12" s="18" t="inlineStr">
        <is>
          <t>A: I need sales only for orders above 1000. | B: Use CALCULATE with FILTER on the Sales table and the Amount greater than 1000.</t>
        </is>
      </c>
      <c r="AK12" s="18" t="inlineStr">
        <is>
          <t>✗ FILTER returns a number → ✓ FILTER returns a table of rows, so it is used inside another function such as CALCULATE</t>
        </is>
      </c>
      <c r="AL12" s="18" t="inlineStr">
        <is>
          <t>FILTER vs CALCULATE: FILTER returns a table, CALCULATE returns a value.</t>
        </is>
      </c>
      <c r="AM12" s="18" t="inlineStr">
        <is>
          <t>Do not use FILTER on a large table when a simple column filter would do.</t>
        </is>
      </c>
      <c r="AN12" s="19" t="inlineStr">
        <is>
          <t>Big Orders = FILTER(Sales, Sales[Amount] &gt; 1000)</t>
        </is>
      </c>
      <c r="AO12" s="19" t="inlineStr">
        <is>
          <t>Big Orders = CALCULATE([Total Sales], FILTER(Sales, Sales[Amount] &gt; 1000))</t>
        </is>
      </c>
      <c r="AP12" s="18" t="inlineStr">
        <is>
          <t>FILTER keeps the rows that pass.</t>
        </is>
      </c>
      <c r="AQ12" s="18" t="inlineStr">
        <is>
          <t>Counting customers older than 18 with FILTER inside CALCULATE.</t>
        </is>
      </c>
      <c r="AR12" s="18" t="inlineStr">
        <is>
          <t>An interviewer may ask: What does FILTER return?</t>
        </is>
      </c>
      <c r="AS12" s="18" t="inlineStr">
        <is>
          <t>It is like a guard letting in only people who meet a rule.</t>
        </is>
      </c>
      <c r="AT12" s="18" t="inlineStr">
        <is>
          <t>What does FILTER return?</t>
        </is>
      </c>
      <c r="AU12" s="18" t="inlineStr">
        <is>
          <t>A) A single number B) A column name C) A table D) A relationship</t>
        </is>
      </c>
      <c r="AV12" s="18" t="inlineStr">
        <is>
          <t>C</t>
        </is>
      </c>
      <c r="AW12" s="18" t="inlineStr">
        <is>
          <t>FILTER returns the rows that satisfy the condition, as a table.</t>
        </is>
      </c>
      <c r="AX12" s="19" t="inlineStr">
        <is>
          <t>CALCULATE([Total Sales], ____(Sales, Sales[Amount] &gt; 1000)) → FILTER</t>
        </is>
      </c>
      <c r="AY12" s="18" t="inlineStr">
        <is>
          <t>Count the rows of Sales where Amount is above 500.</t>
        </is>
      </c>
      <c r="AZ12" s="19" t="inlineStr">
        <is>
          <t>Big Count = CALCULATE(COUNTROWS(Sales), FILTER(Sales, Sales[Amount] &gt; 500))</t>
        </is>
      </c>
      <c r="BA12" s="18" t="inlineStr">
        <is>
          <t>Write a measure that totals sales only for products that cost more than 100.</t>
        </is>
      </c>
      <c r="BB12" s="19" t="inlineStr">
        <is>
          <t>Why is FILTER often slower than a simple condition?</t>
        </is>
      </c>
      <c r="BC12" s="19" t="inlineStr">
        <is>
          <t>Because it iterates over every row of the table it is given.</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94.5" customHeight="1">
      <c r="A13" s="17" t="inlineStr">
        <is>
          <t>PBI-031</t>
        </is>
      </c>
      <c r="B13" s="17" t="inlineStr">
        <is>
          <t>04 DAX</t>
        </is>
      </c>
      <c r="C13" s="17" t="inlineStr">
        <is>
          <t>Intermediate</t>
        </is>
      </c>
      <c r="D13" s="17" t="n">
        <v>31</v>
      </c>
      <c r="E13" s="17" t="inlineStr">
        <is>
          <t>Claude knowledge</t>
        </is>
      </c>
      <c r="F13" s="18" t="inlineStr">
        <is>
          <t>ALL and ALLEXCEPT</t>
        </is>
      </c>
      <c r="G13" s="18" t="inlineStr">
        <is>
          <t>Which DAX functions remove filters, such as when you need a grand total to find a percent of total?</t>
        </is>
      </c>
      <c r="H13" s="17" t="n"/>
      <c r="I13" s="18" t="inlineStr">
        <is>
          <t>DAX function</t>
        </is>
      </c>
      <c r="J13" s="18" t="inlineStr">
        <is>
          <t>High</t>
        </is>
      </c>
      <c r="K13" s="18" t="n">
        <v>5</v>
      </c>
      <c r="L13" s="18" t="inlineStr">
        <is>
          <t>To show a share of the total you need a total that ignores the current slicing, so DAX can strip filters from a table or column.</t>
        </is>
      </c>
      <c r="M13" s="18" t="inlineStr">
        <is>
          <t>Wrap ALL in CALCULATE to get the grand total, and divide the filtered value by it.</t>
        </is>
      </c>
      <c r="N13" s="17" t="n"/>
      <c r="O13" s="18" t="inlineStr">
        <is>
          <t>ALL tears down every wall that filters have built, and ALLEXCEPT keeps only the walls you name.</t>
        </is>
      </c>
      <c r="P13" s="18" t="inlineStr">
        <is>
          <t>A chart where each bar shows its own value and a faint grand total behind them all.</t>
        </is>
      </c>
      <c r="Q13" s="18" t="inlineStr">
        <is>
          <t>The satisfaction of a percent-of-total that finally adds up to 100.</t>
        </is>
      </c>
      <c r="R13" s="18" t="inlineStr">
        <is>
          <t>ALL removes filters from a table or columns, and ALLEXCEPT removes all filters except those on the columns you name.</t>
        </is>
      </c>
      <c r="S13" s="17" t="n"/>
      <c r="T13" s="19" t="inlineStr">
        <is>
          <t>All Sales = CALCULATE([Total Sales], ALL(Product))
% of Total = DIVIDE([Total Sales], CALCULATE([Total Sales], ALL(Product)))</t>
        </is>
      </c>
      <c r="U13" s="19" t="inlineStr">
        <is>
          <t>All Sales returns total sales ignoring any product filter, and % of Total shows each product's share of that grand total.</t>
        </is>
      </c>
      <c r="V13" s="18" t="inlineStr">
        <is>
          <t>ALL used inside CALCULATE clears the filters on the table or column you name, so the value no longer changes with product slicers. ALLEXCEPT clears every filter on a table except those on the columns you list, which is useful for keeping one grouping such as Year.</t>
        </is>
      </c>
      <c r="W13" s="18" t="inlineStr">
        <is>
          <t>ALL means ignore the filters on this. Use it to get the grand total, then divide to get a percentage. ALLEXCEPT ignores all filters except the ones you keep.</t>
        </is>
      </c>
      <c r="X13" s="18" t="inlineStr">
        <is>
          <t>It is like removing every fence in a field so you see the whole field.</t>
        </is>
      </c>
      <c r="Y13" s="19" t="inlineStr">
        <is>
          <t>ALL(Table)  |  ALLEXCEPT(Table, Column1, Column2)</t>
        </is>
      </c>
      <c r="Z13" s="18" t="inlineStr">
        <is>
          <t>ALL = remove all filters | ALLEXCEPT = remove all except named columns | Table = what to clear</t>
        </is>
      </c>
      <c r="AA13" s="19" t="inlineStr">
        <is>
          <t>CALCULATE([Total Sales], ALL(Product))</t>
        </is>
      </c>
      <c r="AB13" s="19" t="inlineStr">
        <is>
          <t>CALCULATE([Total Sales], ALL(Product[Category]))</t>
        </is>
      </c>
      <c r="AC13" s="19" t="inlineStr">
        <is>
          <t>CALCULATE([Total Sales], ALLEXCEPT(Sales, Sales[Year]))</t>
        </is>
      </c>
      <c r="AD13" s="19" t="inlineStr">
        <is>
          <t>ALLSELECTED(Product)   // keeps filters from slicers but ignores visual-level grouping
REMOVEFILTERS(Product)   // clearer name for removing filters</t>
        </is>
      </c>
      <c r="AE13" s="18" t="inlineStr">
        <is>
          <t>CALCULATE, DIVIDE, ALLSELECTED, REMOVEFILTERS</t>
        </is>
      </c>
      <c r="AF13" s="18" t="inlineStr">
        <is>
          <t>CALCULATE, filter context, percent of total</t>
        </is>
      </c>
      <c r="AG13" s="18" t="inlineStr">
        <is>
          <t>REMOVEFILTERS, which only removes filters and cannot return a table</t>
        </is>
      </c>
      <c r="AH13" s="17" t="n"/>
      <c r="AI13" s="18" t="inlineStr">
        <is>
          <t>Percent of total | Grand totals | Ranking over all items</t>
        </is>
      </c>
      <c r="AJ13" s="18" t="inlineStr">
        <is>
          <t>A: How do I show each product as a share of all sales? | B: Divide the product's sales by CALCULATE of sales with ALL on the Product table.</t>
        </is>
      </c>
      <c r="AK13" s="18" t="inlineStr">
        <is>
          <t>✗ ALL deletes data from the table → ✓ ALL only removes filters for that calculation, and the data stays untouched</t>
        </is>
      </c>
      <c r="AL13" s="18" t="inlineStr">
        <is>
          <t>ALL vs ALLEXCEPT: ALL clears every filter on the table, ALLEXCEPT keeps the filters on the columns you list.</t>
        </is>
      </c>
      <c r="AM13" s="18" t="inlineStr">
        <is>
          <t>Do not use ALL on the whole fact table when only one dimension should be cleared.</t>
        </is>
      </c>
      <c r="AN13" s="19" t="inlineStr">
        <is>
          <t>% of Total = DIVIDE([Total Sales], ALL(Product))</t>
        </is>
      </c>
      <c r="AO13" s="19" t="inlineStr">
        <is>
          <t>% of Total = DIVIDE([Total Sales], CALCULATE([Total Sales], ALL(Product)))</t>
        </is>
      </c>
      <c r="AP13" s="18" t="inlineStr">
        <is>
          <t>ALL clears every filter in sight.</t>
        </is>
      </c>
      <c r="AQ13" s="18" t="inlineStr">
        <is>
          <t>Showing each region's share of total sales with ALL inside CALCULATE.</t>
        </is>
      </c>
      <c r="AR13" s="18" t="inlineStr">
        <is>
          <t>An interviewer may ask: How do you calculate percent of total in DAX?</t>
        </is>
      </c>
      <c r="AS13" s="18" t="inlineStr">
        <is>
          <t>It is like removing every fence in a field to see the whole field.</t>
        </is>
      </c>
      <c r="AT13" s="18" t="inlineStr">
        <is>
          <t>What does ALL(Product) inside CALCULATE do?</t>
        </is>
      </c>
      <c r="AU13" s="18" t="inlineStr">
        <is>
          <t>A) Adds a filter B) Removes filters on the product table C) Renames the table D) Deletes the product table</t>
        </is>
      </c>
      <c r="AV13" s="18" t="inlineStr">
        <is>
          <t>B</t>
        </is>
      </c>
      <c r="AW13" s="18" t="inlineStr">
        <is>
          <t>ALL clears the filters so the measure ignores product slicing.</t>
        </is>
      </c>
      <c r="AX13" s="19" t="inlineStr">
        <is>
          <t>CALCULATE([Total Sales], ____(Product)) → ALL</t>
        </is>
      </c>
      <c r="AY13" s="18" t="inlineStr">
        <is>
          <t>Write a measure that ignores all filters on the Region table.</t>
        </is>
      </c>
      <c r="AZ13" s="19" t="inlineStr">
        <is>
          <t>Sales All Regions = CALCULATE([Total Sales], ALL(Region))</t>
        </is>
      </c>
      <c r="BA13" s="18" t="inlineStr">
        <is>
          <t>Create a percent-of-total measure for product categories.</t>
        </is>
      </c>
      <c r="BB13" s="19" t="inlineStr">
        <is>
          <t>What does ALLEXCEPT(Sales, Sales[Year]) keep?</t>
        </is>
      </c>
      <c r="BC13" s="19" t="inlineStr">
        <is>
          <t>Only the filter on Year, while all other filters on Sales are removed.</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94.5" customHeight="1">
      <c r="A14" s="17" t="inlineStr">
        <is>
          <t>PBI-032</t>
        </is>
      </c>
      <c r="B14" s="17" t="inlineStr">
        <is>
          <t>04 DAX</t>
        </is>
      </c>
      <c r="C14" s="17" t="inlineStr">
        <is>
          <t>Beginner</t>
        </is>
      </c>
      <c r="D14" s="17" t="n">
        <v>32</v>
      </c>
      <c r="E14" s="17" t="inlineStr">
        <is>
          <t>Claude knowledge</t>
        </is>
      </c>
      <c r="F14" s="18" t="inlineStr">
        <is>
          <t>DIVIDE</t>
        </is>
      </c>
      <c r="G14" s="18" t="inlineStr">
        <is>
          <t>Which DAX function divides two values safely and avoids the error when the denominator is zero?</t>
        </is>
      </c>
      <c r="H14" s="17" t="n"/>
      <c r="I14" s="18" t="inlineStr">
        <is>
          <t>DAX function</t>
        </is>
      </c>
      <c r="J14" s="18" t="inlineStr">
        <is>
          <t>Very high</t>
        </is>
      </c>
      <c r="K14" s="18" t="n">
        <v>5</v>
      </c>
      <c r="L14" s="18" t="inlineStr">
        <is>
          <t>Plain division by zero gives an error that spoils a visual, so DAX added a function that handles it and lets you pick the result.</t>
        </is>
      </c>
      <c r="M14" s="18" t="inlineStr">
        <is>
          <t>Always use DIVIDE for ratios in measures instead of the slash operator.</t>
        </is>
      </c>
      <c r="N14" s="17" t="n"/>
      <c r="O14" s="18" t="inlineStr">
        <is>
          <t>DIVIDE is division with a safety net under it.</t>
        </is>
      </c>
      <c r="P14" s="18" t="inlineStr">
        <is>
          <t>A card showing a clean percentage where an error symbol would have been.</t>
        </is>
      </c>
      <c r="Q14" s="18" t="inlineStr">
        <is>
          <t>The relief of a report with no ugly error values.</t>
        </is>
      </c>
      <c r="R14" s="18" t="inlineStr">
        <is>
          <t>DIVIDE divides a numerator by a denominator and returns an alternate result, or blank, when the denominator is zero or blank.</t>
        </is>
      </c>
      <c r="S14" s="17" t="n"/>
      <c r="T14" s="19" t="inlineStr">
        <is>
          <t>Margin % = DIVIDE([Total Profit], [Total Sales], 0)</t>
        </is>
      </c>
      <c r="U14" s="19" t="inlineStr">
        <is>
          <t>The profit margin, or 0 for any context where Total Sales is zero or blank.</t>
        </is>
      </c>
      <c r="V14" s="18" t="inlineStr">
        <is>
          <t>DIVIDE takes the numerator, the denominator and an optional third argument for the result when the division would fail. Without the third argument it returns BLANK. It is also more efficient than writing an IF to test for zero.</t>
        </is>
      </c>
      <c r="W14" s="18" t="inlineStr">
        <is>
          <t>Use DIVIDE instead of the slash. If the bottom number is zero, you do not get an error, you get the value you chose, or blank.</t>
        </is>
      </c>
      <c r="X14" s="18" t="inlineStr">
        <is>
          <t>It is like a calculator that shows 0 instead of crashing when you divide by zero.</t>
        </is>
      </c>
      <c r="Y14" s="19" t="inlineStr">
        <is>
          <t>DIVIDE(numerator, denominator, [alternate_result])</t>
        </is>
      </c>
      <c r="Z14" s="18" t="inlineStr">
        <is>
          <t>numerator = top | denominator = bottom | alternate_result = what to return when it cannot divide</t>
        </is>
      </c>
      <c r="AA14" s="19" t="inlineStr">
        <is>
          <t>Margin % = DIVIDE([Total Profit], [Total Sales], 0)</t>
        </is>
      </c>
      <c r="AB14" s="19" t="inlineStr">
        <is>
          <t>Average Price = DIVIDE([Total Sales], [Units Sold])</t>
        </is>
      </c>
      <c r="AC14" s="19" t="inlineStr">
        <is>
          <t>Growth % = DIVIDE([Sales] - [Sales LY], [Sales LY])</t>
        </is>
      </c>
      <c r="AD14" s="19" t="inlineStr">
        <is>
          <t>DIVIDE(a, b)   // returns BLANK on zero
DIVIDE(a, b, 0)   // returns 0 on zero</t>
        </is>
      </c>
      <c r="AE14" s="18" t="inlineStr">
        <is>
          <t>measures, IF, percentages</t>
        </is>
      </c>
      <c r="AF14" s="18" t="inlineStr">
        <is>
          <t>IF, BLANK, ratio</t>
        </is>
      </c>
      <c r="AG14" s="18" t="inlineStr">
        <is>
          <t>IF(denominator = 0, 0, numerator / denominator)</t>
        </is>
      </c>
      <c r="AH14" s="17" t="n"/>
      <c r="AI14" s="18" t="inlineStr">
        <is>
          <t>Percentages | Margins | Growth rates</t>
        </is>
      </c>
      <c r="AJ14" s="18" t="inlineStr">
        <is>
          <t>A: My percentage shows an error for some regions. | B: Use DIVIDE so a zero denominator returns blank or zero instead.</t>
        </is>
      </c>
      <c r="AK14" s="18" t="inlineStr">
        <is>
          <t>✗ The slash operator is as safe as DIVIDE → ✓ The slash returns Infinity or NaN when dividing by zero, while DIVIDE returns BLANK or your alternate result, while DIVIDE handles it gracefully</t>
        </is>
      </c>
      <c r="AL14" s="18" t="inlineStr">
        <is>
          <t>DIVIDE vs the slash operator: DIVIDE handles zero and blank, the slash does not.</t>
        </is>
      </c>
      <c r="AM14" s="18" t="inlineStr">
        <is>
          <t>Do not use / for ratios in measures where the denominator can be zero.</t>
        </is>
      </c>
      <c r="AN14" s="19" t="inlineStr">
        <is>
          <t>Margin % = [Total Profit] / [Total Sales]</t>
        </is>
      </c>
      <c r="AO14" s="19" t="inlineStr">
        <is>
          <t>Margin % = DIVIDE([Total Profit], [Total Sales])</t>
        </is>
      </c>
      <c r="AP14" s="18" t="inlineStr">
        <is>
          <t>DIVIDE is divide with a safety net.</t>
        </is>
      </c>
      <c r="AQ14" s="18" t="inlineStr">
        <is>
          <t>Replacing slash divisions with DIVIDE so a report showed blanks instead of errors.</t>
        </is>
      </c>
      <c r="AR14" s="18" t="inlineStr">
        <is>
          <t>An interviewer may ask: Why use DIVIDE instead of the slash?</t>
        </is>
      </c>
      <c r="AS14" s="18" t="inlineStr">
        <is>
          <t>It is like a calculator that shows 0 instead of crashing.</t>
        </is>
      </c>
      <c r="AT14" s="18" t="inlineStr">
        <is>
          <t>What does DIVIDE return by default when the denominator is zero?</t>
        </is>
      </c>
      <c r="AU14" s="18" t="inlineStr">
        <is>
          <t>A) 1 B) An error C) The numerator D) Blank</t>
        </is>
      </c>
      <c r="AV14" s="18" t="inlineStr">
        <is>
          <t>D</t>
        </is>
      </c>
      <c r="AW14" s="18" t="inlineStr">
        <is>
          <t>Without an alternate result, DIVIDE returns BLANK.</t>
        </is>
      </c>
      <c r="AX14" s="19" t="inlineStr">
        <is>
          <t>Margin % = ____([Total Profit], [Total Sales], 0) → DIVIDE</t>
        </is>
      </c>
      <c r="AY14" s="18" t="inlineStr">
        <is>
          <t>Write a safe average price measure from Total Sales and Units Sold.</t>
        </is>
      </c>
      <c r="AZ14" s="19" t="inlineStr">
        <is>
          <t>Average Price = DIVIDE([Total Sales], [Units Sold])</t>
        </is>
      </c>
      <c r="BA14" s="18" t="inlineStr">
        <is>
          <t>Write a growth percentage measure using DIVIDE.</t>
        </is>
      </c>
      <c r="BB14" s="19" t="inlineStr">
        <is>
          <t>What is the third argument of DIVIDE for?</t>
        </is>
      </c>
      <c r="BC14" s="19" t="inlineStr">
        <is>
          <t>The value to return when the denominator is zero or blank.</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94.5" customHeight="1">
      <c r="A15" s="17" t="inlineStr">
        <is>
          <t>PBI-033</t>
        </is>
      </c>
      <c r="B15" s="17" t="inlineStr">
        <is>
          <t>04 DAX</t>
        </is>
      </c>
      <c r="C15" s="17" t="inlineStr">
        <is>
          <t>Beginner</t>
        </is>
      </c>
      <c r="D15" s="17" t="n">
        <v>33</v>
      </c>
      <c r="E15" s="17" t="inlineStr">
        <is>
          <t>Claude knowledge</t>
        </is>
      </c>
      <c r="F15" s="18" t="inlineStr">
        <is>
          <t>IF and SWITCH</t>
        </is>
      </c>
      <c r="G15" s="18" t="inlineStr">
        <is>
          <t>Which DAX functions let you return different results depending on conditions, and which one suits many conditions better?</t>
        </is>
      </c>
      <c r="H15" s="17" t="n"/>
      <c r="I15" s="18" t="inlineStr">
        <is>
          <t>DAX function</t>
        </is>
      </c>
      <c r="J15" s="18" t="inlineStr">
        <is>
          <t>Very high</t>
        </is>
      </c>
      <c r="K15" s="18" t="n">
        <v>4</v>
      </c>
      <c r="L15" s="18" t="inlineStr">
        <is>
          <t>Calculations often depend on rules such as high or low, so DAX provides IF for one test and SWITCH for neat handling of many tests.</t>
        </is>
      </c>
      <c r="M15" s="18" t="inlineStr">
        <is>
          <t>Use SWITCH(TRUE(), ...) when you have several conditions instead of nesting many IFs.</t>
        </is>
      </c>
      <c r="N15" s="17" t="n"/>
      <c r="O15" s="18" t="inlineStr">
        <is>
          <t>IF is a fork in the road, and SWITCH is a signpost with many arrows.</t>
        </is>
      </c>
      <c r="P15" s="18" t="inlineStr">
        <is>
          <t>A single road splitting in two, and another signpost pointing to many roads.</t>
        </is>
      </c>
      <c r="Q15" s="18" t="inlineStr">
        <is>
          <t>The tidiness of replacing a tangle of nested IFs with one clear list.</t>
        </is>
      </c>
      <c r="R15" s="18" t="inlineStr">
        <is>
          <t>IF returns one result when a condition is true and another when false, and SWITCH checks a list of conditions in order.</t>
        </is>
      </c>
      <c r="S15" s="17" t="n"/>
      <c r="T15" s="19" t="inlineStr">
        <is>
          <t>Size = IF([Total Sales] &gt; 10000, "High", "Low")
Band = SWITCH(TRUE(), [Total Sales] &gt;= 10000, "High", [Total Sales] &gt;= 5000, "Medium", "Low")</t>
        </is>
      </c>
      <c r="U15" s="19" t="inlineStr">
        <is>
          <t>Size returns High or Low, and Band returns High, Medium or Low depending on the sales value.</t>
        </is>
      </c>
      <c r="V15" s="18" t="inlineStr">
        <is>
          <t>IF takes a test, a result if true and an optional result if false. SWITCH(TRUE(), ...) evaluates conditions top to bottom and returns the result for the first one that is true, with a final default value. This is easier to read than several nested IFs.</t>
        </is>
      </c>
      <c r="W15" s="18" t="inlineStr">
        <is>
          <t>Use IF for a yes or no choice. For three or more choices use SWITCH with TRUE(), list the conditions in order, and end with a default.</t>
        </is>
      </c>
      <c r="X15" s="18" t="inlineStr">
        <is>
          <t>IF is one fork in a road, and SWITCH is a signpost with many arrows.</t>
        </is>
      </c>
      <c r="Y15" s="19" t="inlineStr">
        <is>
          <t>IF(test, result_if_true, [result_if_false])  |  SWITCH(TRUE(), cond1, result1, cond2, result2, default)</t>
        </is>
      </c>
      <c r="Z15" s="18" t="inlineStr">
        <is>
          <t>IF = one test | SWITCH(TRUE(), ...) = many tests in order | last value = default result</t>
        </is>
      </c>
      <c r="AA15" s="19" t="inlineStr">
        <is>
          <t>IF([Total Sales] &gt; 10000, "High", "Low")</t>
        </is>
      </c>
      <c r="AB15" s="19" t="inlineStr">
        <is>
          <t>SWITCH(TRUE(), [Margin %] &gt;= 0.3, "Great", [Margin %] &gt;= 0.1, "OK", "Poor")</t>
        </is>
      </c>
      <c r="AC15" s="19" t="inlineStr">
        <is>
          <t>SWITCH(Sales[Region], "N", "North", "S", "South", "Other")</t>
        </is>
      </c>
      <c r="AD15" s="19" t="inlineStr">
        <is>
          <t>IF([Sales] &gt; 0, [Sales])   // blank when false
SWITCH(Region[Code], "N", "North", "S", "South")   // match exact values</t>
        </is>
      </c>
      <c r="AE15" s="18" t="inlineStr">
        <is>
          <t>DIVIDE, measures, calculated columns</t>
        </is>
      </c>
      <c r="AF15" s="18" t="inlineStr">
        <is>
          <t>CALCULATE, DIVIDE, conditional formatting</t>
        </is>
      </c>
      <c r="AG15" s="18" t="inlineStr">
        <is>
          <t>Conditional columns in Power Query</t>
        </is>
      </c>
      <c r="AH15" s="17" t="n"/>
      <c r="AI15" s="18" t="inlineStr">
        <is>
          <t>Banding values | Labels | Conditional logic in measures</t>
        </is>
      </c>
      <c r="AJ15" s="18" t="inlineStr">
        <is>
          <t>A: I need High, Medium and Low labels. | B: Use SWITCH with TRUE and list the conditions from highest to lowest.</t>
        </is>
      </c>
      <c r="AK15" s="18" t="inlineStr">
        <is>
          <t>✗ SWITCH can only test one column for exact equality → ✓ SWITCH(TRUE(), ...) can test any conditions, in order, including ranges</t>
        </is>
      </c>
      <c r="AL15" s="18" t="inlineStr">
        <is>
          <t>IF vs SWITCH: IF handles one test, SWITCH is neater for many tests.</t>
        </is>
      </c>
      <c r="AM15" s="18" t="inlineStr">
        <is>
          <t>Do not write conditions in the wrong order, the first true one wins.</t>
        </is>
      </c>
      <c r="AN15" s="19" t="inlineStr">
        <is>
          <t>Band = SWITCH(TRUE(), [Total Sales] &gt;= 5000, "Medium", [Total Sales] &gt;= 10000, "High", "Low")</t>
        </is>
      </c>
      <c r="AO15" s="19" t="inlineStr">
        <is>
          <t>Band = SWITCH(TRUE(), [Total Sales] &gt;= 10000, "High", [Total Sales] &gt;= 5000, "Medium", "Low")</t>
        </is>
      </c>
      <c r="AP15" s="18" t="inlineStr">
        <is>
          <t>SWITCH checks top to bottom.</t>
        </is>
      </c>
      <c r="AQ15" s="18" t="inlineStr">
        <is>
          <t>Labelling customers High, Medium or Low value using SWITCH.</t>
        </is>
      </c>
      <c r="AR15" s="18" t="inlineStr">
        <is>
          <t>An interviewer may ask: When would you use SWITCH instead of nested IF?</t>
        </is>
      </c>
      <c r="AS15" s="18" t="inlineStr">
        <is>
          <t>It is like a signpost with many arrows instead of one fork.</t>
        </is>
      </c>
      <c r="AT15" s="18" t="inlineStr">
        <is>
          <t>In SWITCH(TRUE(), ...), which result is returned?</t>
        </is>
      </c>
      <c r="AU15" s="18" t="inlineStr">
        <is>
          <t>A) The last one B) A random one C) All of them D) The first one whose condition is true</t>
        </is>
      </c>
      <c r="AV15" s="18" t="inlineStr">
        <is>
          <t>D</t>
        </is>
      </c>
      <c r="AW15" s="18" t="inlineStr">
        <is>
          <t>SWITCH checks the conditions in order and stops at the first that is true.</t>
        </is>
      </c>
      <c r="AX15" s="19" t="inlineStr">
        <is>
          <t>For many ordered conditions you can use ____(TRUE(), ...) → SWITCH</t>
        </is>
      </c>
      <c r="AY15" s="18" t="inlineStr">
        <is>
          <t>Write a measure that returns High if sales exceed 10000, otherwise Low.</t>
        </is>
      </c>
      <c r="AZ15" s="19" t="inlineStr">
        <is>
          <t>Size = IF([Total Sales] &gt; 10000, "High", "Low")</t>
        </is>
      </c>
      <c r="BA15" s="18" t="inlineStr">
        <is>
          <t>Write a SWITCH measure that labels margin as Great, OK or Poor.</t>
        </is>
      </c>
      <c r="BB15" s="19" t="inlineStr">
        <is>
          <t>Why does the order of conditions matter in SWITCH(TRUE(), ...)?</t>
        </is>
      </c>
      <c r="BC15" s="19" t="inlineStr">
        <is>
          <t>Because the first condition that is true decides the result.</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94.5" customHeight="1">
      <c r="A16" s="17" t="inlineStr">
        <is>
          <t>PBI-034</t>
        </is>
      </c>
      <c r="B16" s="17" t="inlineStr">
        <is>
          <t>04 DAX</t>
        </is>
      </c>
      <c r="C16" s="17" t="inlineStr">
        <is>
          <t>Intermediate</t>
        </is>
      </c>
      <c r="D16" s="17" t="n">
        <v>34</v>
      </c>
      <c r="E16" s="17" t="inlineStr">
        <is>
          <t>Claude knowledge</t>
        </is>
      </c>
      <c r="F16" s="18" t="inlineStr">
        <is>
          <t>RELATED</t>
        </is>
      </c>
      <c r="G16" s="18" t="inlineStr">
        <is>
          <t>Which DAX function lets a row in the many-side table fetch a value from its matching row in the one-side table?</t>
        </is>
      </c>
      <c r="H16" s="17" t="n"/>
      <c r="I16" s="18" t="inlineStr">
        <is>
          <t>DAX function</t>
        </is>
      </c>
      <c r="J16" s="18" t="inlineStr">
        <is>
          <t>High</t>
        </is>
      </c>
      <c r="K16" s="18" t="n">
        <v>4</v>
      </c>
      <c r="L16" s="18" t="inlineStr">
        <is>
          <t>Descriptions such as category sit in dimension tables, so DAX needs a way for a fact row to look up its matching dimension value through a relationship.</t>
        </is>
      </c>
      <c r="M16" s="18" t="inlineStr">
        <is>
          <t>RELATED needs an existing relationship and works in row context, such as in calculated columns.</t>
        </is>
      </c>
      <c r="N16" s="17" t="n"/>
      <c r="O16" s="18" t="inlineStr">
        <is>
          <t>RELATED follows the relationship bridge to fetch the matching word from the other table.</t>
        </is>
      </c>
      <c r="P16" s="18" t="inlineStr">
        <is>
          <t>An arrow runs from a Sales row to the matching row in Product and brings back a Category.</t>
        </is>
      </c>
      <c r="Q16" s="18" t="inlineStr">
        <is>
          <t>The convenience of pulling a name into a table without any merging.</t>
        </is>
      </c>
      <c r="R16" s="18" t="inlineStr">
        <is>
          <t>RELATED returns a value from a related table on the one side of a relationship, for the current row.</t>
        </is>
      </c>
      <c r="S16" s="17" t="n"/>
      <c r="T16" s="19" t="inlineStr">
        <is>
          <t>Category = RELATED(Product[Category])</t>
        </is>
      </c>
      <c r="U16" s="19" t="inlineStr">
        <is>
          <t>Each Sales row gets the Category of its matching product.</t>
        </is>
      </c>
      <c r="V16" s="18" t="inlineStr">
        <is>
          <t>RELATED follows a many-to-one relationship from the current row to the matching row in the other table and returns the column you name. It works only in row context, such as in a calculated column or inside an iterator. RELATEDTABLE does the reverse and returns the many-side rows.</t>
        </is>
      </c>
      <c r="W16" s="18" t="inlineStr">
        <is>
          <t>In a Sales table, RELATED(Product[Category]) fetches each sale's product category through the relationship. It is the DAX version of a lookup.</t>
        </is>
      </c>
      <c r="X16" s="18" t="inlineStr">
        <is>
          <t>It is like looking up a word in a dictionary using the page number on your card.</t>
        </is>
      </c>
      <c r="Y16" s="19" t="inlineStr">
        <is>
          <t>RELATED(Table[Column])</t>
        </is>
      </c>
      <c r="Z16" s="18" t="inlineStr">
        <is>
          <t>RELATED = lookup function | Table[Column] = column on the related one side</t>
        </is>
      </c>
      <c r="AA16" s="19" t="inlineStr">
        <is>
          <t>Category = RELATED(Product[Category])</t>
        </is>
      </c>
      <c r="AB16" s="19" t="inlineStr">
        <is>
          <t>Region = RELATED(Customer[Region])</t>
        </is>
      </c>
      <c r="AC16" s="19" t="inlineStr">
        <is>
          <t>Revenue = SUMX(Sales, Sales[Quantity] * RELATED(Product[Price]))</t>
        </is>
      </c>
      <c r="AD16" s="19" t="inlineStr">
        <is>
          <t>RELATEDTABLE(Sales)   // the many-side rows for the current row
COUNTROWS(RELATEDTABLE(Sales))   // count sales for each customer</t>
        </is>
      </c>
      <c r="AE16" s="18" t="inlineStr">
        <is>
          <t>relationships, SUMX, calculated columns, row context</t>
        </is>
      </c>
      <c r="AF16" s="18" t="inlineStr">
        <is>
          <t>relationships, row context, RELATEDTABLE</t>
        </is>
      </c>
      <c r="AG16" s="18" t="inlineStr">
        <is>
          <t>A merge in Power Query</t>
        </is>
      </c>
      <c r="AH16" s="17" t="n"/>
      <c r="AI16" s="18" t="inlineStr">
        <is>
          <t>Calculated columns | Iterators over the fact table | Pulling dimension attributes</t>
        </is>
      </c>
      <c r="AJ16" s="18" t="inlineStr">
        <is>
          <t>A: I want the product category on each sales row. | B: Use RELATED with the Product category column in a calculated column.</t>
        </is>
      </c>
      <c r="AK16" s="18" t="inlineStr">
        <is>
          <t>✗ RELATED works without any relationship between the tables → ✓ RELATED needs an existing relationship, and it follows it from the many side to the one side</t>
        </is>
      </c>
      <c r="AL16" s="18" t="inlineStr">
        <is>
          <t>RELATED vs RELATEDTABLE: RELATED fetches a single value from the one side, RELATEDTABLE returns the matching rows from the many side.</t>
        </is>
      </c>
      <c r="AM16" s="18" t="inlineStr">
        <is>
          <t>Do not use RELATED in a measure without a row context.</t>
        </is>
      </c>
      <c r="AN16" s="19" t="inlineStr">
        <is>
          <t>Category = RELATED(Sales[Category])</t>
        </is>
      </c>
      <c r="AO16" s="19" t="inlineStr">
        <is>
          <t>Category = RELATED(Product[Category])</t>
        </is>
      </c>
      <c r="AP16" s="18" t="inlineStr">
        <is>
          <t>RELATED fetches through the relationship.</t>
        </is>
      </c>
      <c r="AQ16" s="18" t="inlineStr">
        <is>
          <t>Pulling the product price into a sales iterator with RELATED to calculate revenue.</t>
        </is>
      </c>
      <c r="AR16" s="18" t="inlineStr">
        <is>
          <t>An interviewer may ask: What does RELATED do and what does it need?</t>
        </is>
      </c>
      <c r="AS16" s="18" t="inlineStr">
        <is>
          <t>It is like looking up a word using a page reference.</t>
        </is>
      </c>
      <c r="AT16" s="18" t="inlineStr">
        <is>
          <t>What does RELATED need in order to work?</t>
        </is>
      </c>
      <c r="AU16" s="18" t="inlineStr">
        <is>
          <t>A) A relationship between the tables B) A bookmark C) A parameter D) A slicer</t>
        </is>
      </c>
      <c r="AV16" s="18" t="inlineStr">
        <is>
          <t>A</t>
        </is>
      </c>
      <c r="AW16" s="18" t="inlineStr">
        <is>
          <t>RELATED follows an existing relationship to the other table.</t>
        </is>
      </c>
      <c r="AX16" s="19" t="inlineStr">
        <is>
          <t>Category = ____(Product[Category]) → RELATED</t>
        </is>
      </c>
      <c r="AY16" s="18" t="inlineStr">
        <is>
          <t>Add a column to Sales that brings the Region from the Customer table.</t>
        </is>
      </c>
      <c r="AZ16" s="19" t="inlineStr">
        <is>
          <t>Region = RELATED(Customer[Region])</t>
        </is>
      </c>
      <c r="BA16" s="18" t="inlineStr">
        <is>
          <t>Create a calculated column that fetches the product colour onto each sales row.</t>
        </is>
      </c>
      <c r="BB16" s="19" t="inlineStr">
        <is>
          <t>Which function returns the matching many-side rows instead of one value?</t>
        </is>
      </c>
      <c r="BC16" s="19" t="inlineStr">
        <is>
          <t>RELATEDTABLE</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94.5" customHeight="1">
      <c r="A17" s="17" t="inlineStr">
        <is>
          <t>PBI-035</t>
        </is>
      </c>
      <c r="B17" s="17" t="inlineStr">
        <is>
          <t>04 DAX</t>
        </is>
      </c>
      <c r="C17" s="17" t="inlineStr">
        <is>
          <t>Intermediate</t>
        </is>
      </c>
      <c r="D17" s="17" t="n">
        <v>35</v>
      </c>
      <c r="E17" s="17" t="inlineStr">
        <is>
          <t>Claude knowledge</t>
        </is>
      </c>
      <c r="F17" s="18" t="inlineStr">
        <is>
          <t>VAR and RETURN</t>
        </is>
      </c>
      <c r="G17" s="18" t="inlineStr">
        <is>
          <t>How do you store an intermediate result in a DAX formula under a name so you can reuse it?</t>
        </is>
      </c>
      <c r="H17" s="17" t="n"/>
      <c r="I17" s="18" t="inlineStr">
        <is>
          <t>DAX syntax</t>
        </is>
      </c>
      <c r="J17" s="18" t="inlineStr">
        <is>
          <t>High</t>
        </is>
      </c>
      <c r="K17" s="18" t="n">
        <v>4</v>
      </c>
      <c r="L17" s="18" t="inlineStr">
        <is>
          <t>Long formulas repeat the same sub-calculation, so DAX allows variables that hold a value once and can be reused, which makes formulas shorter and faster.</t>
        </is>
      </c>
      <c r="M17" s="18" t="inlineStr">
        <is>
          <t>Name variables clearly, like Revenue and Cost, so the formula reads like a sentence.</t>
        </is>
      </c>
      <c r="N17" s="17" t="n"/>
      <c r="O17" s="18" t="inlineStr">
        <is>
          <t>A variable is a labelled jar in which you keep a result so you do not cook it again.</t>
        </is>
      </c>
      <c r="P17" s="18" t="inlineStr">
        <is>
          <t>Labelled boxes holding values that flow into the final line.</t>
        </is>
      </c>
      <c r="Q17" s="18" t="inlineStr">
        <is>
          <t>The clarity of a formula you can finally read.</t>
        </is>
      </c>
      <c r="R17" s="18" t="inlineStr">
        <is>
          <t>VAR defines a named value inside a measure, and RETURN gives the final result that may use those names.</t>
        </is>
      </c>
      <c r="S17" s="17" t="n"/>
      <c r="T17" s="19" t="inlineStr">
        <is>
          <t>Profit Margin =
VAR Revenue = [Total Sales]
VAR Cost = [Total Cost]
RETURN DIVIDE(Revenue - Cost, Revenue)</t>
        </is>
      </c>
      <c r="U17" s="19" t="inlineStr">
        <is>
          <t>The profit margin, calculated from Revenue and Cost, each of which is evaluated only once.</t>
        </is>
      </c>
      <c r="V17" s="18" t="inlineStr">
        <is>
          <t>Each VAR is calculated once and can be reused later in the formula, which helps performance and readability. A variable is evaluated in the filter context where it is defined, even if it is used inside CALCULATE later. A formula can contain many VAR lines but only one RETURN.</t>
        </is>
      </c>
      <c r="W17" s="18" t="inlineStr">
        <is>
          <t>Use VAR to name a piece of the calculation and RETURN to give the answer. It makes the formula easier to read, and DAX evaluates each variable only once.</t>
        </is>
      </c>
      <c r="X17" s="18" t="inlineStr">
        <is>
          <t>It is like a labelled jar in which you keep a result so you do not cook it twice.</t>
        </is>
      </c>
      <c r="Y17" s="19" t="inlineStr">
        <is>
          <t>VAR name = expression  RETURN expression</t>
        </is>
      </c>
      <c r="Z17" s="18" t="inlineStr">
        <is>
          <t>VAR = declare a named value | name = what you call it | RETURN = the final result</t>
        </is>
      </c>
      <c r="AA17" s="19" t="inlineStr">
        <is>
          <t>VAR Revenue = [Total Sales]</t>
        </is>
      </c>
      <c r="AB17" s="19" t="inlineStr">
        <is>
          <t>VAR Cost = [Total Cost] RETURN Revenue - Cost</t>
        </is>
      </c>
      <c r="AC17" s="19" t="inlineStr">
        <is>
          <t>VAR LastYear = CALCULATE([Total Sales], SAMEPERIODLASTYEAR(Dates[Date])) RETURN DIVIDE([Total Sales] - LastYear, LastYear)</t>
        </is>
      </c>
      <c r="AD17" s="19" t="inlineStr">
        <is>
          <t>VAR a = 1 VAR b = a + 1 RETURN b   // a variable can use earlier ones</t>
        </is>
      </c>
      <c r="AE17" s="18" t="inlineStr">
        <is>
          <t>CALCULATE, DIVIDE, measures</t>
        </is>
      </c>
      <c r="AF17" s="18" t="inlineStr">
        <is>
          <t>CALCULATE, measures, performance</t>
        </is>
      </c>
      <c r="AG17" s="18" t="inlineStr">
        <is>
          <t>Create separate helper measures</t>
        </is>
      </c>
      <c r="AH17" s="17" t="n"/>
      <c r="AI17" s="18" t="inlineStr">
        <is>
          <t>Long formulas | Repeated sub-calculations | Debugging</t>
        </is>
      </c>
      <c r="AJ17" s="18" t="inlineStr">
        <is>
          <t>A: My measure repeats the same calculation three times. | B: Store it in a VAR and reuse the name.</t>
        </is>
      </c>
      <c r="AK17" s="18" t="inlineStr">
        <is>
          <t>✗ A variable is recalculated every time it is used → ✓ A variable is evaluated once, where it is defined, and the same value is reused</t>
        </is>
      </c>
      <c r="AL17" s="18" t="inlineStr">
        <is>
          <t>VAR vs measure: a variable lives only inside one formula, a measure is reusable across the model.</t>
        </is>
      </c>
      <c r="AM17" s="18" t="inlineStr">
        <is>
          <t>Do not forget the RETURN line, a formula with VAR must end with RETURN.</t>
        </is>
      </c>
      <c r="AN17" s="19" t="inlineStr">
        <is>
          <t>Profit Margin = VAR Revenue = [Total Sales] DIVIDE(Revenue - [Total Cost], Revenue)</t>
        </is>
      </c>
      <c r="AO17" s="19" t="inlineStr">
        <is>
          <t>Profit Margin = VAR Revenue = [Total Sales] RETURN DIVIDE(Revenue - [Total Cost], Revenue)</t>
        </is>
      </c>
      <c r="AP17" s="18" t="inlineStr">
        <is>
          <t>VAR names it, RETURN gives it back.</t>
        </is>
      </c>
      <c r="AQ17" s="18" t="inlineStr">
        <is>
          <t>Rewriting a long growth formula with variables to make it readable and faster.</t>
        </is>
      </c>
      <c r="AR17" s="18" t="inlineStr">
        <is>
          <t>An interviewer may ask: What are the benefits of using variables in DAX?</t>
        </is>
      </c>
      <c r="AS17" s="18" t="inlineStr">
        <is>
          <t>It is like keeping a result in a labelled jar so you do not cook it twice.</t>
        </is>
      </c>
      <c r="AT17" s="18" t="inlineStr">
        <is>
          <t>What keyword must end a DAX formula that uses VAR?</t>
        </is>
      </c>
      <c r="AU17" s="18" t="inlineStr">
        <is>
          <t>A) RESULT B) RETURN C) END D) STOP</t>
        </is>
      </c>
      <c r="AV17" s="18" t="inlineStr">
        <is>
          <t>B</t>
        </is>
      </c>
      <c r="AW17" s="18" t="inlineStr">
        <is>
          <t>A formula with VAR must provide a RETURN expression.</t>
        </is>
      </c>
      <c r="AX17" s="19" t="inlineStr">
        <is>
          <t>VAR Revenue = [Total Sales] ____ Revenue * 2 → RETURN</t>
        </is>
      </c>
      <c r="AY17" s="18" t="inlineStr">
        <is>
          <t>Write a measure that stores Total Sales in a variable and returns it times two.</t>
        </is>
      </c>
      <c r="AZ17" s="19" t="inlineStr">
        <is>
          <t>Double Sales = VAR S = [Total Sales] RETURN S * 2</t>
        </is>
      </c>
      <c r="BA17" s="18" t="inlineStr">
        <is>
          <t>Rewrite a formula that repeats the same calculation to use a variable.</t>
        </is>
      </c>
      <c r="BB17" s="19" t="inlineStr">
        <is>
          <t>How many times is a variable evaluated within a formula?</t>
        </is>
      </c>
      <c r="BC17" s="19" t="inlineStr">
        <is>
          <t>Once, where it is defined.</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81" customHeight="1">
      <c r="A18" s="17" t="inlineStr">
        <is>
          <t>PBI-036</t>
        </is>
      </c>
      <c r="B18" s="17" t="inlineStr">
        <is>
          <t>04 DAX</t>
        </is>
      </c>
      <c r="C18" s="17" t="inlineStr">
        <is>
          <t>Beginner</t>
        </is>
      </c>
      <c r="D18" s="17" t="n">
        <v>36</v>
      </c>
      <c r="E18" s="17" t="inlineStr">
        <is>
          <t>Claude knowledge</t>
        </is>
      </c>
      <c r="F18" s="18" t="inlineStr">
        <is>
          <t>COUNTROWS and DISTINCTCOUNT</t>
        </is>
      </c>
      <c r="G18" s="18" t="inlineStr">
        <is>
          <t>Which DAX functions count the rows of a table and the number of unique values in a column?</t>
        </is>
      </c>
      <c r="H18" s="17" t="n"/>
      <c r="I18" s="18" t="inlineStr">
        <is>
          <t>DAX function</t>
        </is>
      </c>
      <c r="J18" s="18" t="inlineStr">
        <is>
          <t>Very high</t>
        </is>
      </c>
      <c r="K18" s="18" t="n">
        <v>5</v>
      </c>
      <c r="L18" s="18" t="inlineStr">
        <is>
          <t>Counting orders and counting unique customers are different questions, so DAX has one function to count rows and another to count distinct values.</t>
        </is>
      </c>
      <c r="M18" s="18" t="inlineStr">
        <is>
          <t>Use COUNTROWS(Table) to count records, and DISTINCTCOUNT(Column) to count unique items.</t>
        </is>
      </c>
      <c r="N18" s="17" t="n"/>
      <c r="O18" s="18" t="inlineStr">
        <is>
          <t>COUNTROWS counts every line in the register, and DISTINCTCOUNT counts each customer only once.</t>
        </is>
      </c>
      <c r="P18" s="18" t="inlineStr">
        <is>
          <t>A list with repeated names where the total number of lines and the number of different names are both shown.</t>
        </is>
      </c>
      <c r="Q18" s="18" t="inlineStr">
        <is>
          <t>The pleasure of answering how many orders and how many customers with two measures.</t>
        </is>
      </c>
      <c r="R18" s="18" t="inlineStr">
        <is>
          <t>COUNTROWS counts the rows of a table, and DISTINCTCOUNT counts the different values in a column.</t>
        </is>
      </c>
      <c r="S18" s="17" t="n"/>
      <c r="T18" s="19" t="inlineStr">
        <is>
          <t>Order Count = COUNTROWS(Sales)
Customers = DISTINCTCOUNT(Sales[CustomerID])</t>
        </is>
      </c>
      <c r="U18" s="19" t="inlineStr">
        <is>
          <t>Order Count returns the number of sales rows, and Customers returns the number of different customers who bought.</t>
        </is>
      </c>
      <c r="V18" s="18" t="inlineStr">
        <is>
          <t>COUNTROWS counts all rows of the table in the current filter context. DISTINCTCOUNT counts unique values in a column and counts a blank as one value if present. COUNT counts only non-blank values in a column and is less used than COUNTROWS.</t>
        </is>
      </c>
      <c r="W18" s="18" t="inlineStr">
        <is>
          <t>COUNTROWS answers how many rows. DISTINCTCOUNT answers how many different values, so a customer who bought five times counts once.</t>
        </is>
      </c>
      <c r="X18" s="18" t="inlineStr">
        <is>
          <t>It is like counting every line in a register versus counting each customer name only once.</t>
        </is>
      </c>
      <c r="Y18" s="19" t="inlineStr">
        <is>
          <t>COUNTROWS(Table)  |  DISTINCTCOUNT(Table[Column])</t>
        </is>
      </c>
      <c r="Z18" s="18" t="inlineStr">
        <is>
          <t>COUNTROWS = rows in a table | DISTINCTCOUNT = unique values in a column</t>
        </is>
      </c>
      <c r="AA18" s="19" t="inlineStr">
        <is>
          <t>Order Count = COUNTROWS(Sales)</t>
        </is>
      </c>
      <c r="AB18" s="19" t="inlineStr">
        <is>
          <t>Customers = DISTINCTCOUNT(Sales[CustomerID])</t>
        </is>
      </c>
      <c r="AC18" s="19" t="inlineStr">
        <is>
          <t>Products Sold = DISTINCTCOUNT(Sales[ProductID])</t>
        </is>
      </c>
      <c r="AD18" s="19" t="inlineStr">
        <is>
          <t>COUNT(Sales[Amount])   // non-blank numeric or date values; use COUNTA for text columns
COUNTROWS(FILTER(Sales, Sales[Amount] &gt; 100))   // rows that meet a condition</t>
        </is>
      </c>
      <c r="AE18" s="18" t="inlineStr">
        <is>
          <t>FILTER, CALCULATE, measures</t>
        </is>
      </c>
      <c r="AF18" s="18" t="inlineStr">
        <is>
          <t>SUM, FILTER, CALCULATE</t>
        </is>
      </c>
      <c r="AG18" s="18" t="inlineStr">
        <is>
          <t>COUNT or COUNTA on a column</t>
        </is>
      </c>
      <c r="AH18" s="17" t="n"/>
      <c r="AI18" s="18" t="inlineStr">
        <is>
          <t>Order counts | Customer counts | Activity metrics</t>
        </is>
      </c>
      <c r="AJ18" s="18" t="inlineStr">
        <is>
          <t>A: How many customers bought something? | B: Use DISTINCTCOUNT on the CustomerID column in the Sales table.</t>
        </is>
      </c>
      <c r="AK18" s="18" t="inlineStr">
        <is>
          <t>✗ COUNTROWS and DISTINCTCOUNT give the same number → ✓ COUNTROWS counts every row, while DISTINCTCOUNT counts each unique value once</t>
        </is>
      </c>
      <c r="AL18" s="18" t="inlineStr">
        <is>
          <t>COUNTROWS vs DISTINCTCOUNT: rows versus unique values.</t>
        </is>
      </c>
      <c r="AM18" s="18" t="inlineStr">
        <is>
          <t>Do not use DISTINCTCOUNT when you really want the number of orders.</t>
        </is>
      </c>
      <c r="AN18" s="19" t="inlineStr">
        <is>
          <t>Customers = COUNTROWS(Sales[CustomerID])</t>
        </is>
      </c>
      <c r="AO18" s="19" t="inlineStr">
        <is>
          <t>Customers = DISTINCTCOUNT(Sales[CustomerID])</t>
        </is>
      </c>
      <c r="AP18" s="18" t="inlineStr">
        <is>
          <t>Rows counts lines, Distinct counts different ones.</t>
        </is>
      </c>
      <c r="AQ18" s="18" t="inlineStr">
        <is>
          <t>Showing orders and unique customers side by side to calculate orders per customer.</t>
        </is>
      </c>
      <c r="AR18" s="18" t="inlineStr">
        <is>
          <t>An interviewer may ask: What is the difference between COUNT, COUNTROWS and DISTINCTCOUNT?</t>
        </is>
      </c>
      <c r="AS18" s="18" t="inlineStr">
        <is>
          <t>It is like counting each line in a register versus each different customer name.</t>
        </is>
      </c>
      <c r="AT18" s="18" t="inlineStr">
        <is>
          <t>A customer bought five times. How many times does DISTINCTCOUNT of CustomerID count that customer?</t>
        </is>
      </c>
      <c r="AU18" s="18" t="inlineStr">
        <is>
          <t>A) Zero B) Twice C) Once D) Five times</t>
        </is>
      </c>
      <c r="AV18" s="18" t="inlineStr">
        <is>
          <t>C</t>
        </is>
      </c>
      <c r="AW18" s="18" t="inlineStr">
        <is>
          <t>DISTINCTCOUNT counts each unique value once.</t>
        </is>
      </c>
      <c r="AX18" s="19" t="inlineStr">
        <is>
          <t>Order Count = ____(Sales) → COUNTROWS</t>
        </is>
      </c>
      <c r="AY18" s="18" t="inlineStr">
        <is>
          <t>Write a measure for the number of unique products sold.</t>
        </is>
      </c>
      <c r="AZ18" s="19" t="inlineStr">
        <is>
          <t>Products Sold = DISTINCTCOUNT(Sales[ProductID])</t>
        </is>
      </c>
      <c r="BA18" s="18" t="inlineStr">
        <is>
          <t>Write measures for the number of orders and the number of customers in a sales table.</t>
        </is>
      </c>
      <c r="BB18" s="19" t="inlineStr">
        <is>
          <t>What does COUNTROWS take as its argument?</t>
        </is>
      </c>
      <c r="BC18" s="19" t="inlineStr">
        <is>
          <t>A table, not a column.</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94.5" customHeight="1">
      <c r="A19" s="17" t="inlineStr">
        <is>
          <t>PBI-037</t>
        </is>
      </c>
      <c r="B19" s="17" t="inlineStr">
        <is>
          <t>04 DAX</t>
        </is>
      </c>
      <c r="C19" s="17" t="inlineStr">
        <is>
          <t>Intermediate</t>
        </is>
      </c>
      <c r="D19" s="17" t="n">
        <v>37</v>
      </c>
      <c r="E19" s="17" t="inlineStr">
        <is>
          <t>Claude knowledge</t>
        </is>
      </c>
      <c r="F19" s="18" t="inlineStr">
        <is>
          <t>TOTALYTD (year to date)</t>
        </is>
      </c>
      <c r="G19" s="18" t="inlineStr">
        <is>
          <t>Which time-intelligence function builds a running total from the start of the year up to the current date?</t>
        </is>
      </c>
      <c r="H19" s="17" t="n"/>
      <c r="I19" s="18" t="inlineStr">
        <is>
          <t>DAX function</t>
        </is>
      </c>
      <c r="J19" s="18" t="inlineStr">
        <is>
          <t>High</t>
        </is>
      </c>
      <c r="K19" s="18" t="n">
        <v>4</v>
      </c>
      <c r="L19" s="18" t="inlineStr">
        <is>
          <t>Business users often ask for the year so far, so DAX provides a function that accumulates a value from the first day of the year to the date in context.</t>
        </is>
      </c>
      <c r="M19" s="18" t="inlineStr">
        <is>
          <t>Use it with a proper marked date table, and use the date column from that table.</t>
        </is>
      </c>
      <c r="N19" s="17" t="n"/>
      <c r="O19" s="18" t="inlineStr">
        <is>
          <t>TOTALYTD is a bucket that keeps filling from January 1st and shows how much is in it today.</t>
        </is>
      </c>
      <c r="P19" s="18" t="inlineStr">
        <is>
          <t>A line that climbs steadily from January and resets each new year.</t>
        </is>
      </c>
      <c r="Q19" s="18" t="inlineStr">
        <is>
          <t>The satisfaction of a smooth rising line that matches the finance team's numbers.</t>
        </is>
      </c>
      <c r="R19" s="18" t="inlineStr">
        <is>
          <t>TOTALYTD returns the cumulative value of an expression from the start of the year to the last date in the current context.</t>
        </is>
      </c>
      <c r="S19" s="17" t="n"/>
      <c r="T19" s="19" t="inlineStr">
        <is>
          <t>Sales YTD = TOTALYTD([Total Sales], Dates[Date])</t>
        </is>
      </c>
      <c r="U19" s="19" t="inlineStr">
        <is>
          <t>For each date or month, the total of sales from 1 January of that year up to that date.</t>
        </is>
      </c>
      <c r="V19" s="18" t="inlineStr">
        <is>
          <t>TOTALYTD takes an expression and a date column, and an optional year-end date for fiscal years. It resets at the start of each year. It needs a date table with continuous dates, related to the fact table. Similar functions are TOTALQTD and TOTALMTD.</t>
        </is>
      </c>
      <c r="W19" s="18" t="inlineStr">
        <is>
          <t>TOTALYTD gives the running total for the year so far. Put months on the axis and it grows each month, then restarts the next January.</t>
        </is>
      </c>
      <c r="X19" s="18" t="inlineStr">
        <is>
          <t>It is like a bucket that fills from January 1st and shows how much is inside today.</t>
        </is>
      </c>
      <c r="Y19" s="19" t="inlineStr">
        <is>
          <t>TOTALYTD(expression, dates, [filter], [year_end_date])</t>
        </is>
      </c>
      <c r="Z19" s="18" t="inlineStr">
        <is>
          <t>expression = what to add up | dates = the date column | year_end_date = optional fiscal year end</t>
        </is>
      </c>
      <c r="AA19" s="19" t="inlineStr">
        <is>
          <t>Sales YTD = TOTALYTD([Total Sales], Dates[Date])</t>
        </is>
      </c>
      <c r="AB19" s="19" t="inlineStr">
        <is>
          <t>Sales FY YTD = TOTALYTD([Total Sales], Dates[Date], "3/31")</t>
        </is>
      </c>
      <c r="AC19" s="19" t="inlineStr">
        <is>
          <t>Sales QTD = TOTALQTD([Total Sales], Dates[Date])</t>
        </is>
      </c>
      <c r="AD19" s="19" t="inlineStr">
        <is>
          <t>TOTALMTD([Total Sales], Dates[Date])   // month to date
CALCULATE([Total Sales], DATESYTD(Dates[Date]))   // same result with CALCULATE</t>
        </is>
      </c>
      <c r="AE19" s="18" t="inlineStr">
        <is>
          <t>date table, CALCULATE, DATESYTD, relationships</t>
        </is>
      </c>
      <c r="AF19" s="18" t="inlineStr">
        <is>
          <t>SAMEPERIODLASTYEAR, DATEADD, date table</t>
        </is>
      </c>
      <c r="AG19" s="18" t="inlineStr">
        <is>
          <t>CALCULATE with DATESYTD</t>
        </is>
      </c>
      <c r="AH19" s="17" t="n"/>
      <c r="AI19" s="18" t="inlineStr">
        <is>
          <t>Financial reports | Year-to-date dashboards | Running totals</t>
        </is>
      </c>
      <c r="AJ19" s="18" t="inlineStr">
        <is>
          <t>A: Finance wants the year-to-date sales. | B: Use TOTALYTD on Total Sales with the date column from the Date table.</t>
        </is>
      </c>
      <c r="AK19" s="18" t="inlineStr">
        <is>
          <t>✗ TOTALYTD works with any date column, even one with gaps → ✓ It needs a continuous date table, so build and mark one first</t>
        </is>
      </c>
      <c r="AL19" s="18" t="inlineStr">
        <is>
          <t>TOTALYTD vs a simple SUM: a plain SUM shows the value for each period, TOTALYTD accumulates from the year start.</t>
        </is>
      </c>
      <c r="AM19" s="18" t="inlineStr">
        <is>
          <t>Do not use the date column of the fact table, use the date table.</t>
        </is>
      </c>
      <c r="AN19" s="19" t="inlineStr">
        <is>
          <t>Sales YTD = TOTALYTD([Total Sales], Sales[OrderDate])</t>
        </is>
      </c>
      <c r="AO19" s="19" t="inlineStr">
        <is>
          <t>Sales YTD = TOTALYTD([Total Sales], Dates[Date])</t>
        </is>
      </c>
      <c r="AP19" s="18" t="inlineStr">
        <is>
          <t>YTD means year to date, and it accumulates.</t>
        </is>
      </c>
      <c r="AQ19" s="18" t="inlineStr">
        <is>
          <t>Showing a year-to-date sales line that resets every January.</t>
        </is>
      </c>
      <c r="AR19" s="18" t="inlineStr">
        <is>
          <t>An interviewer may ask: What is required for time intelligence to work correctly?</t>
        </is>
      </c>
      <c r="AS19" s="18" t="inlineStr">
        <is>
          <t>It is like a bucket that fills from January 1st.</t>
        </is>
      </c>
      <c r="AT19" s="18" t="inlineStr">
        <is>
          <t>What does TOTALYTD reset to at the start of each year?</t>
        </is>
      </c>
      <c r="AU19" s="18" t="inlineStr">
        <is>
          <t>A) It deletes data B) It becomes text C) It keeps adding D) It starts again from zero</t>
        </is>
      </c>
      <c r="AV19" s="18" t="inlineStr">
        <is>
          <t>D</t>
        </is>
      </c>
      <c r="AW19" s="18" t="inlineStr">
        <is>
          <t>Year to date starts over at the beginning of each year.</t>
        </is>
      </c>
      <c r="AX19" s="19" t="inlineStr">
        <is>
          <t>Sales YTD = ____([Total Sales], Dates[Date]) → TOTALYTD</t>
        </is>
      </c>
      <c r="AY19" s="18" t="inlineStr">
        <is>
          <t>Write a measure for quarter-to-date sales.</t>
        </is>
      </c>
      <c r="AZ19" s="19" t="inlineStr">
        <is>
          <t>Sales QTD = TOTALQTD([Total Sales], Dates[Date])</t>
        </is>
      </c>
      <c r="BA19" s="18" t="inlineStr">
        <is>
          <t>Create a year-to-date measure and show it on a line chart by month.</t>
        </is>
      </c>
      <c r="BB19" s="19" t="inlineStr">
        <is>
          <t>How do you set a fiscal year ending 31 March in TOTALYTD?</t>
        </is>
      </c>
      <c r="BC19" s="19" t="inlineStr">
        <is>
          <t>Pass "3/31" (month and day) as the year-end argument.</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81" customHeight="1">
      <c r="A20" s="17" t="inlineStr">
        <is>
          <t>PBI-038</t>
        </is>
      </c>
      <c r="B20" s="17" t="inlineStr">
        <is>
          <t>04 DAX</t>
        </is>
      </c>
      <c r="C20" s="17" t="inlineStr">
        <is>
          <t>Intermediate</t>
        </is>
      </c>
      <c r="D20" s="17" t="n">
        <v>38</v>
      </c>
      <c r="E20" s="17" t="inlineStr">
        <is>
          <t>Claude knowledge</t>
        </is>
      </c>
      <c r="F20" s="18" t="inlineStr">
        <is>
          <t>SAMEPERIODLASTYEAR</t>
        </is>
      </c>
      <c r="G20" s="18" t="inlineStr">
        <is>
          <t>Which time-intelligence function shifts the current dates back exactly one year so you can compare with last year?</t>
        </is>
      </c>
      <c r="H20" s="17" t="n"/>
      <c r="I20" s="18" t="inlineStr">
        <is>
          <t>DAX function</t>
        </is>
      </c>
      <c r="J20" s="18" t="inlineStr">
        <is>
          <t>High</t>
        </is>
      </c>
      <c r="K20" s="18" t="n">
        <v>4</v>
      </c>
      <c r="L20" s="18" t="inlineStr">
        <is>
          <t>Comparing with the same period last year is the most common business comparison, so DAX gives a function that moves the visible dates back by a year.</t>
        </is>
      </c>
      <c r="M20" s="18" t="inlineStr">
        <is>
          <t>Wrap it inside CALCULATE and use the date column from the date table.</t>
        </is>
      </c>
      <c r="N20" s="17" t="n"/>
      <c r="O20" s="18" t="inlineStr">
        <is>
          <t>It is a time machine that takes the same days exactly one year back.</t>
        </is>
      </c>
      <c r="P20" s="18" t="inlineStr">
        <is>
          <t>Two lines on a chart, one for this year and one for last year, placed over the same months.</t>
        </is>
      </c>
      <c r="Q20" s="18" t="inlineStr">
        <is>
          <t>The pride of showing growth versus last year.</t>
        </is>
      </c>
      <c r="R20" s="18" t="inlineStr">
        <is>
          <t>SAMEPERIODLASTYEAR returns the dates of the current period shifted back by one year.</t>
        </is>
      </c>
      <c r="S20" s="17" t="n"/>
      <c r="T20" s="19" t="inlineStr">
        <is>
          <t>Sales LY = CALCULATE([Total Sales], SAMEPERIODLASTYEAR(Dates[Date]))</t>
        </is>
      </c>
      <c r="U20" s="19" t="inlineStr">
        <is>
          <t>For each month or date, the total sales for the same period in the previous year.</t>
        </is>
      </c>
      <c r="V20" s="18" t="inlineStr">
        <is>
          <t>The function takes the set of dates visible in the current filter context and moves them back one year. CALCULATE then uses those dates to evaluate the measure. Combined with the current value, you can compute year-over-year growth.</t>
        </is>
      </c>
      <c r="W20" s="18" t="inlineStr">
        <is>
          <t>Put it inside CALCULATE and the measure returns last year's value for the same dates. Then subtract or divide to compare with this year.</t>
        </is>
      </c>
      <c r="X20" s="18" t="inlineStr">
        <is>
          <t>It is like a time machine that takes the same days one year back.</t>
        </is>
      </c>
      <c r="Y20" s="19" t="inlineStr">
        <is>
          <t>SAMEPERIODLASTYEAR(dates)</t>
        </is>
      </c>
      <c r="Z20" s="18" t="inlineStr">
        <is>
          <t>SAMEPERIODLASTYEAR = function | dates = the date column of the date table</t>
        </is>
      </c>
      <c r="AA20" s="19" t="inlineStr">
        <is>
          <t>Sales LY = CALCULATE([Total Sales], SAMEPERIODLASTYEAR(Dates[Date]))</t>
        </is>
      </c>
      <c r="AB20" s="19" t="inlineStr">
        <is>
          <t>Growth % = DIVIDE([Total Sales] - [Sales LY], [Sales LY])</t>
        </is>
      </c>
      <c r="AC20" s="19" t="inlineStr">
        <is>
          <t>Orders LY = CALCULATE(COUNTROWS(Sales), SAMEPERIODLASTYEAR(Dates[Date]))</t>
        </is>
      </c>
      <c r="AD20" s="19" t="inlineStr">
        <is>
          <t>DATEADD(Dates[Date], -1, YEAR)   // more flexible shift
PARALLELPERIOD(Dates[Date], -12, MONTH)   // shift by whole periods</t>
        </is>
      </c>
      <c r="AE20" s="18" t="inlineStr">
        <is>
          <t>CALCULATE, date table, DIVIDE, TOTALYTD</t>
        </is>
      </c>
      <c r="AF20" s="18" t="inlineStr">
        <is>
          <t>DATEADD, TOTALYTD, date table</t>
        </is>
      </c>
      <c r="AG20" s="18" t="inlineStr">
        <is>
          <t>DATEADD with -1 YEAR</t>
        </is>
      </c>
      <c r="AH20" s="17" t="n"/>
      <c r="AI20" s="18" t="inlineStr">
        <is>
          <t>Year-over-year comparisons | Growth rates | Seasonal analysis</t>
        </is>
      </c>
      <c r="AJ20" s="18" t="inlineStr">
        <is>
          <t>A: How do I compare this month with the same month last year? | B: Wrap total sales in CALCULATE with SAMEPERIODLASTYEAR.</t>
        </is>
      </c>
      <c r="AK20" s="18" t="inlineStr">
        <is>
          <t>✗ SAMEPERIODLASTYEAR returns a number → ✓ It returns a table of dates, so it must be used as a filter inside CALCULATE</t>
        </is>
      </c>
      <c r="AL20" s="18" t="inlineStr">
        <is>
          <t>SAMEPERIODLASTYEAR vs DATEADD: the first always shifts one year, DATEADD can shift by any number of days, months, quarters or years.</t>
        </is>
      </c>
      <c r="AM20" s="18" t="inlineStr">
        <is>
          <t>Do not use it without a proper date table.</t>
        </is>
      </c>
      <c r="AN20" s="19" t="inlineStr">
        <is>
          <t>Sales LY = SAMEPERIODLASTYEAR([Total Sales])</t>
        </is>
      </c>
      <c r="AO20" s="19" t="inlineStr">
        <is>
          <t>Sales LY = CALCULATE([Total Sales], SAMEPERIODLASTYEAR(Dates[Date]))</t>
        </is>
      </c>
      <c r="AP20" s="18" t="inlineStr">
        <is>
          <t>Same period, one year back.</t>
        </is>
      </c>
      <c r="AQ20" s="18" t="inlineStr">
        <is>
          <t>Building a this year versus last year chart with growth percentage.</t>
        </is>
      </c>
      <c r="AR20" s="18" t="inlineStr">
        <is>
          <t>An interviewer may ask: How do you calculate year-over-year growth in DAX?</t>
        </is>
      </c>
      <c r="AS20" s="18" t="inlineStr">
        <is>
          <t>It is like a time machine that moves the same days back a year.</t>
        </is>
      </c>
      <c r="AT20" s="18" t="inlineStr">
        <is>
          <t>What does SAMEPERIODLASTYEAR return?</t>
        </is>
      </c>
      <c r="AU20" s="18" t="inlineStr">
        <is>
          <t>A) A number B) A relationship C) A table of dates D) A text label</t>
        </is>
      </c>
      <c r="AV20" s="18" t="inlineStr">
        <is>
          <t>C</t>
        </is>
      </c>
      <c r="AW20" s="18" t="inlineStr">
        <is>
          <t>It returns the shifted dates, which CALCULATE then uses as a filter.</t>
        </is>
      </c>
      <c r="AX20" s="19" t="inlineStr">
        <is>
          <t>Sales LY = CALCULATE([Total Sales], ____(Dates[Date])) → SAMEPERIODLASTYEAR</t>
        </is>
      </c>
      <c r="AY20" s="18" t="inlineStr">
        <is>
          <t>Write a year-over-year growth measure using Sales LY.</t>
        </is>
      </c>
      <c r="AZ20" s="19" t="inlineStr">
        <is>
          <t>Growth % = DIVIDE([Total Sales] - [Sales LY], [Sales LY])</t>
        </is>
      </c>
      <c r="BA20" s="18" t="inlineStr">
        <is>
          <t>Create a this year versus last year line chart from two measures.</t>
        </is>
      </c>
      <c r="BB20" s="19" t="inlineStr">
        <is>
          <t>What must be used together with SAMEPERIODLASTYEAR to return a value?</t>
        </is>
      </c>
      <c r="BC20" s="19" t="inlineStr">
        <is>
          <t>CALCULATE</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81" customHeight="1">
      <c r="A21" s="17" t="inlineStr">
        <is>
          <t>PBI-039</t>
        </is>
      </c>
      <c r="B21" s="17" t="inlineStr">
        <is>
          <t>04 DAX</t>
        </is>
      </c>
      <c r="C21" s="17" t="inlineStr">
        <is>
          <t>Intermediate</t>
        </is>
      </c>
      <c r="D21" s="17" t="n">
        <v>39</v>
      </c>
      <c r="E21" s="17" t="inlineStr">
        <is>
          <t>Claude knowledge</t>
        </is>
      </c>
      <c r="F21" s="18" t="inlineStr">
        <is>
          <t>DATEADD</t>
        </is>
      </c>
      <c r="G21" s="18" t="inlineStr">
        <is>
          <t>Which function shifts a set of dates by a chosen number of days, months, quarters or years?</t>
        </is>
      </c>
      <c r="H21" s="17" t="n"/>
      <c r="I21" s="18" t="inlineStr">
        <is>
          <t>DAX function</t>
        </is>
      </c>
      <c r="J21" s="18" t="inlineStr">
        <is>
          <t>Medium</t>
        </is>
      </c>
      <c r="K21" s="18" t="n">
        <v>3</v>
      </c>
      <c r="L21" s="18" t="inlineStr">
        <is>
          <t>Besides last year, analysts compare with last month or last quarter, so DAX has a flexible function that moves dates by any interval.</t>
        </is>
      </c>
      <c r="M21" s="18" t="inlineStr">
        <is>
          <t>Use a negative number to look back and a positive one to look ahead.</t>
        </is>
      </c>
      <c r="N21" s="17" t="n"/>
      <c r="O21" s="18" t="inlineStr">
        <is>
          <t>DATEADD is a slider you can move back or forward through the calendar.</t>
        </is>
      </c>
      <c r="P21" s="18" t="inlineStr">
        <is>
          <t>A calendar strip shifted one month to the left.</t>
        </is>
      </c>
      <c r="Q21" s="18" t="inlineStr">
        <is>
          <t>The flexibility of comparing against any past period.</t>
        </is>
      </c>
      <c r="R21" s="18" t="inlineStr">
        <is>
          <t>DATEADD moves the dates in the current context forward or backward by a given number of intervals.</t>
        </is>
      </c>
      <c r="S21" s="17" t="n"/>
      <c r="T21" s="19" t="inlineStr">
        <is>
          <t>Sales Last Month = CALCULATE([Total Sales], DATEADD(Dates[Date], -1, MONTH))</t>
        </is>
      </c>
      <c r="U21" s="19" t="inlineStr">
        <is>
          <t>For each month, the total sales for the previous month.</t>
        </is>
      </c>
      <c r="V21" s="18" t="inlineStr">
        <is>
          <t>DATEADD takes a date column, a number of intervals and an interval type: DAY, MONTH, QUARTER or YEAR. It needs a continuous date table. It returns a table of shifted dates that CALCULATE uses as a filter.</t>
        </is>
      </c>
      <c r="W21" s="18" t="inlineStr">
        <is>
          <t>DATEADD shifts the visible dates. Use minus one month to get last month's value, or minus one year to get last year's value.</t>
        </is>
      </c>
      <c r="X21" s="18" t="inlineStr">
        <is>
          <t>It is like sliding a calendar strip back by a month.</t>
        </is>
      </c>
      <c r="Y21" s="19" t="inlineStr">
        <is>
          <t>DATEADD(dates, number_of_intervals, interval)</t>
        </is>
      </c>
      <c r="Z21" s="18" t="inlineStr">
        <is>
          <t>dates = the date column | number_of_intervals = how many | interval = DAY, MONTH, QUARTER or YEAR</t>
        </is>
      </c>
      <c r="AA21" s="19" t="inlineStr">
        <is>
          <t>CALCULATE([Total Sales], DATEADD(Dates[Date], -1, MONTH))</t>
        </is>
      </c>
      <c r="AB21" s="19" t="inlineStr">
        <is>
          <t>CALCULATE([Total Sales], DATEADD(Dates[Date], -1, QUARTER))</t>
        </is>
      </c>
      <c r="AC21" s="19" t="inlineStr">
        <is>
          <t>CALCULATE([Total Sales], DATEADD(Dates[Date], -7, DAY))</t>
        </is>
      </c>
      <c r="AD21" s="19" t="inlineStr">
        <is>
          <t>DATEADD(Dates[Date], 1, YEAR)   // look ahead one year
DATEADD(Dates[Date], -12, MONTH)   // same as one year back</t>
        </is>
      </c>
      <c r="AE21" s="18" t="inlineStr">
        <is>
          <t>CALCULATE, date table, SAMEPERIODLASTYEAR</t>
        </is>
      </c>
      <c r="AF21" s="18" t="inlineStr">
        <is>
          <t>SAMEPERIODLASTYEAR, TOTALYTD, date table</t>
        </is>
      </c>
      <c r="AG21" s="18" t="inlineStr">
        <is>
          <t>SAMEPERIODLASTYEAR for one year back</t>
        </is>
      </c>
      <c r="AH21" s="17" t="n"/>
      <c r="AI21" s="18" t="inlineStr">
        <is>
          <t>Month-over-month | Quarter-over-quarter | Week comparisons</t>
        </is>
      </c>
      <c r="AJ21" s="18" t="inlineStr">
        <is>
          <t>A: I need a month-over-month comparison. | B: Use DATEADD with minus one month inside CALCULATE.</t>
        </is>
      </c>
      <c r="AK21" s="18" t="inlineStr">
        <is>
          <t>✗ DATEADD works fine with a date column that has missing days → ✓ DATEADD needs a continuous date column, so use a full date table</t>
        </is>
      </c>
      <c r="AL21" s="18" t="inlineStr">
        <is>
          <t>DATEADD vs SAMEPERIODLASTYEAR: DATEADD can shift by any interval, SAMEPERIODLASTYEAR only by one year.</t>
        </is>
      </c>
      <c r="AM21" s="18" t="inlineStr">
        <is>
          <t>Do not apply it to a date column that has gaps.</t>
        </is>
      </c>
      <c r="AN21" s="19" t="inlineStr">
        <is>
          <t>Sales Last Month = CALCULATE([Total Sales], DATEADD(Dates[Date], -1, "month"))</t>
        </is>
      </c>
      <c r="AO21" s="19" t="inlineStr">
        <is>
          <t>Sales Last Month = CALCULATE([Total Sales], DATEADD(Dates[Date], -1, MONTH))</t>
        </is>
      </c>
      <c r="AP21" s="18" t="inlineStr">
        <is>
          <t>DATEADD slides the calendar back or forward.</t>
        </is>
      </c>
      <c r="AQ21" s="18" t="inlineStr">
        <is>
          <t>Showing month-over-month change on a monthly sales chart.</t>
        </is>
      </c>
      <c r="AR21" s="18" t="inlineStr">
        <is>
          <t>An interviewer may ask: How do you compare a value to the previous month in DAX?</t>
        </is>
      </c>
      <c r="AS21" s="18" t="inlineStr">
        <is>
          <t>It is like sliding a calendar strip back by one month.</t>
        </is>
      </c>
      <c r="AT21" s="18" t="inlineStr">
        <is>
          <t>Which number do you use in DATEADD to go back one month?</t>
        </is>
      </c>
      <c r="AU21" s="18" t="inlineStr">
        <is>
          <t>A) Plus one B) Minus one C) Twelve D) Zero</t>
        </is>
      </c>
      <c r="AV21" s="18" t="inlineStr">
        <is>
          <t>B</t>
        </is>
      </c>
      <c r="AW21" s="18" t="inlineStr">
        <is>
          <t>A negative number moves the dates backward.</t>
        </is>
      </c>
      <c r="AX21" s="19" t="inlineStr">
        <is>
          <t>DATEADD(Dates[Date], ____, MONTH) goes back one month → -1</t>
        </is>
      </c>
      <c r="AY21" s="18" t="inlineStr">
        <is>
          <t>Write a measure for sales of the previous quarter.</t>
        </is>
      </c>
      <c r="AZ21" s="19" t="inlineStr">
        <is>
          <t>Sales Last Quarter = CALCULATE([Total Sales], DATEADD(Dates[Date], -1, QUARTER))</t>
        </is>
      </c>
      <c r="BA21" s="18" t="inlineStr">
        <is>
          <t>Create a month-over-month change measure using DATEADD.</t>
        </is>
      </c>
      <c r="BB21" s="19" t="inlineStr">
        <is>
          <t>Which intervals can DATEADD use?</t>
        </is>
      </c>
      <c r="BC21" s="19" t="inlineStr">
        <is>
          <t>DAY, MONTH, QUARTER and YEAR.</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94.5" customHeight="1">
      <c r="A22" s="17" t="inlineStr">
        <is>
          <t>PBI-040</t>
        </is>
      </c>
      <c r="B22" s="17" t="inlineStr">
        <is>
          <t>04 DAX</t>
        </is>
      </c>
      <c r="C22" s="17" t="inlineStr">
        <is>
          <t>Advanced</t>
        </is>
      </c>
      <c r="D22" s="17" t="n">
        <v>40</v>
      </c>
      <c r="E22" s="17" t="inlineStr">
        <is>
          <t>Claude knowledge</t>
        </is>
      </c>
      <c r="F22" s="18" t="inlineStr">
        <is>
          <t>RANKX and TOPN</t>
        </is>
      </c>
      <c r="G22" s="18" t="inlineStr">
        <is>
          <t>Which DAX functions rank items by a value and pick only the top N items?</t>
        </is>
      </c>
      <c r="H22" s="17" t="n"/>
      <c r="I22" s="18" t="inlineStr">
        <is>
          <t>DAX function</t>
        </is>
      </c>
      <c r="J22" s="18" t="inlineStr">
        <is>
          <t>Medium</t>
        </is>
      </c>
      <c r="K22" s="18" t="n">
        <v>4</v>
      </c>
      <c r="L22" s="18" t="inlineStr">
        <is>
          <t>Leaderboards and top-ten lists are common requests, so DAX provides a function to rank each item and another to return the top few rows by a value.</t>
        </is>
      </c>
      <c r="M22" s="18" t="inlineStr">
        <is>
          <t>Use ALL on the item column inside RANKX so the rank is calculated across all items, not just the filtered one.</t>
        </is>
      </c>
      <c r="N22" s="17" t="n"/>
      <c r="O22" s="18" t="inlineStr">
        <is>
          <t>RANKX gives each runner a position number, and TOPN picks the runners on the podium.</t>
        </is>
      </c>
      <c r="P22" s="18" t="inlineStr">
        <is>
          <t>A list of products with rank numbers beside them and a highlighted top three.</t>
        </is>
      </c>
      <c r="Q22" s="18" t="inlineStr">
        <is>
          <t>The fun of building a leaderboard that updates itself.</t>
        </is>
      </c>
      <c r="R22" s="18" t="inlineStr">
        <is>
          <t>RANKX returns the rank of the current item compared with all items by a value, and TOPN returns the top N rows by a value.</t>
        </is>
      </c>
      <c r="S22" s="17" t="n"/>
      <c r="T22" s="19" t="inlineStr">
        <is>
          <t>Sales Rank = RANKX(ALL(Product[Name]), [Total Sales])
Top 3 Sales = CALCULATE([Total Sales], TOPN(3, ALL(Product[Name]), [Total Sales]))</t>
        </is>
      </c>
      <c r="U22" s="19" t="inlineStr">
        <is>
          <t>Sales Rank gives each product a rank by sales, and Top 3 Sales gives the combined sales of the three best-selling products.</t>
        </is>
      </c>
      <c r="V22" s="18" t="inlineStr">
        <is>
          <t>RANKX evaluates the expression for every item in the table you give it, and ranks the current item among them; the default order is descending, so the largest value is rank 1. TOPN returns the top N rows of a table by an expression, and is often used as a filter inside CALCULATE.</t>
        </is>
      </c>
      <c r="W22" s="18" t="inlineStr">
        <is>
          <t>RANKX tells you which place an item is in. TOPN keeps only the best few. Use ALL so the ranking covers all items.</t>
        </is>
      </c>
      <c r="X22" s="18" t="inlineStr">
        <is>
          <t>RANKX is the position number on a runner's bib, and TOPN picks the runners on the podium.</t>
        </is>
      </c>
      <c r="Y22" s="19" t="inlineStr">
        <is>
          <t>RANKX(table, expression, [value], [order], [ties])  |  TOPN(n, table, expression, [order])</t>
        </is>
      </c>
      <c r="Z22" s="18" t="inlineStr">
        <is>
          <t>RANKX = rank each item | TOPN = keep the top n rows | order = ASC or DESC</t>
        </is>
      </c>
      <c r="AA22" s="19" t="inlineStr">
        <is>
          <t>RANKX(ALL(Product[Name]), [Total Sales])</t>
        </is>
      </c>
      <c r="AB22" s="19" t="inlineStr">
        <is>
          <t>TOPN(5, ALL(Customer[Name]), [Total Sales])</t>
        </is>
      </c>
      <c r="AC22" s="19" t="inlineStr">
        <is>
          <t>CALCULATE([Total Sales], TOPN(3, ALL(Product[Name]), [Total Sales]))</t>
        </is>
      </c>
      <c r="AD22" s="19" t="inlineStr">
        <is>
          <t>RANKX(ALL(Product[Name]), [Total Sales], , ASC)   // lowest value is rank 1
RANKX(ALL(Product[Name]), [Total Sales], , DESC, DENSE)   // dense ranking</t>
        </is>
      </c>
      <c r="AE22" s="18" t="inlineStr">
        <is>
          <t>ALL, CALCULATE, measures</t>
        </is>
      </c>
      <c r="AF22" s="18" t="inlineStr">
        <is>
          <t>ALL, CALCULATE, FILTER</t>
        </is>
      </c>
      <c r="AG22" s="18" t="inlineStr">
        <is>
          <t>The Top N visual filter</t>
        </is>
      </c>
      <c r="AH22" s="17" t="n"/>
      <c r="AI22" s="18" t="inlineStr">
        <is>
          <t>Leaderboards | Top 10 lists | Ranking products or customers</t>
        </is>
      </c>
      <c r="AJ22" s="18" t="inlineStr">
        <is>
          <t>A: How do I show each product's rank by sales? | B: Use RANKX over all products with Total Sales as the expression.</t>
        </is>
      </c>
      <c r="AK22" s="18" t="inlineStr">
        <is>
          <t>✗ RANKX ranks only the items currently shown in the visual → ✓ It ranks across the table you give it, so use ALL on the item column to rank across every item</t>
        </is>
      </c>
      <c r="AL22" s="18" t="inlineStr">
        <is>
          <t>RANKX vs TOPN: RANKX returns a rank number, TOPN returns the rows of the best items.</t>
        </is>
      </c>
      <c r="AM22" s="18" t="inlineStr">
        <is>
          <t>Do not forget ALL in RANKX, or every item may rank 1.</t>
        </is>
      </c>
      <c r="AN22" s="19" t="inlineStr">
        <is>
          <t>Sales Rank = RANKX(VALUES(Product[Name]), [Total Sales])</t>
        </is>
      </c>
      <c r="AO22" s="19" t="inlineStr">
        <is>
          <t>Sales Rank = RANKX(ALL(Product[Name]), [Total Sales])</t>
        </is>
      </c>
      <c r="AP22" s="18" t="inlineStr">
        <is>
          <t>RANKX ranks every item, TOPN picks the best.</t>
        </is>
      </c>
      <c r="AQ22" s="18" t="inlineStr">
        <is>
          <t>Showing the top five customers and each customer's rank on a leaderboard.</t>
        </is>
      </c>
      <c r="AR22" s="18" t="inlineStr">
        <is>
          <t>An interviewer may ask: How would you rank products by sales in DAX?</t>
        </is>
      </c>
      <c r="AS22" s="18" t="inlineStr">
        <is>
          <t>It is like the number on a runner's bib and the podium for the best three.</t>
        </is>
      </c>
      <c r="AT22" s="18" t="inlineStr">
        <is>
          <t>What is the default sort order in RANKX?</t>
        </is>
      </c>
      <c r="AU22" s="18" t="inlineStr">
        <is>
          <t>A) Descending, largest is rank 1 B) Ascending, smallest is rank 1 C) Alphabetical D) Random</t>
        </is>
      </c>
      <c r="AV22" s="18" t="inlineStr">
        <is>
          <t>A</t>
        </is>
      </c>
      <c r="AW22" s="18" t="inlineStr">
        <is>
          <t>By default the largest value gets rank 1.</t>
        </is>
      </c>
      <c r="AX22" s="19" t="inlineStr">
        <is>
          <t>Top 3 Sales = CALCULATE([Total Sales], ____(3, ALL(Product[Name]), [Total Sales])) → TOPN</t>
        </is>
      </c>
      <c r="AY22" s="18" t="inlineStr">
        <is>
          <t>Write a measure that ranks customers by total sales across all customers.</t>
        </is>
      </c>
      <c r="AZ22" s="19" t="inlineStr">
        <is>
          <t>Customer Rank = RANKX(ALL(Customer[Name]), [Total Sales])</t>
        </is>
      </c>
      <c r="BA22" s="18" t="inlineStr">
        <is>
          <t>Create a rank measure and a top-five filter for products.</t>
        </is>
      </c>
      <c r="BB22" s="19" t="inlineStr">
        <is>
          <t>Why is ALL used inside RANKX?</t>
        </is>
      </c>
      <c r="BC22" s="19" t="inlineStr">
        <is>
          <t>So that the rank is calculated across all items, not only the filtered ones.</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94.5" customHeight="1">
      <c r="A23" s="17" t="inlineStr">
        <is>
          <t>PBI-041</t>
        </is>
      </c>
      <c r="B23" s="17" t="inlineStr">
        <is>
          <t>04 DAX</t>
        </is>
      </c>
      <c r="C23" s="17" t="inlineStr">
        <is>
          <t>Advanced</t>
        </is>
      </c>
      <c r="D23" s="17" t="n">
        <v>41</v>
      </c>
      <c r="E23" s="17" t="inlineStr">
        <is>
          <t>Claude knowledge</t>
        </is>
      </c>
      <c r="F23" s="18" t="inlineStr">
        <is>
          <t>USERELATIONSHIP</t>
        </is>
      </c>
      <c r="G23" s="18" t="inlineStr">
        <is>
          <t>Which function activates an inactive relationship for the duration of one calculation?</t>
        </is>
      </c>
      <c r="H23" s="17" t="n"/>
      <c r="I23" s="18" t="inlineStr">
        <is>
          <t>DAX function</t>
        </is>
      </c>
      <c r="J23" s="18" t="inlineStr">
        <is>
          <t>Medium</t>
        </is>
      </c>
      <c r="K23" s="18" t="n">
        <v>4</v>
      </c>
      <c r="L23" s="18" t="inlineStr">
        <is>
          <t>A fact table may have several date columns, such as order date and ship date, but only one relationship between two tables can be active, so DAX can switch to another for a single measure.</t>
        </is>
      </c>
      <c r="M23" s="18" t="inlineStr">
        <is>
          <t>Create the extra relationships as inactive, and call them with USERELATIONSHIP only where needed.</t>
        </is>
      </c>
      <c r="N23" s="17" t="n"/>
      <c r="O23" s="18" t="inlineStr">
        <is>
          <t>USERELATIONSHIP flips a switch to turn on a spare bridge for one calculation.</t>
        </is>
      </c>
      <c r="P23" s="18" t="inlineStr">
        <is>
          <t>Two lines between Sales and Dates, one solid and one dashed, and the dashed one is used for one measure.</t>
        </is>
      </c>
      <c r="Q23" s="18" t="inlineStr">
        <is>
          <t>The satisfaction of analysing sales by both order date and ship date.</t>
        </is>
      </c>
      <c r="R23" s="18" t="inlineStr">
        <is>
          <t>USERELATIONSHIP makes an existing inactive relationship active inside CALCULATE for that calculation only.</t>
        </is>
      </c>
      <c r="S23" s="17" t="n"/>
      <c r="T23" s="19" t="inlineStr">
        <is>
          <t>Sales by Ship Date = CALCULATE([Total Sales], USERELATIONSHIP(Sales[ShipDate], Dates[Date]))</t>
        </is>
      </c>
      <c r="U23" s="19" t="inlineStr">
        <is>
          <t>Total sales grouped by the date on which each order was shipped, instead of when it was ordered.</t>
        </is>
      </c>
      <c r="V23" s="18" t="inlineStr">
        <is>
          <t>Only one relationship between two tables can be active. The others are shown as dashed lines. USERELATIONSHIP is used as a filter argument inside CALCULATE, naming the two columns of the inactive relationship, and it turns that relationship on for that calculation.</t>
        </is>
      </c>
      <c r="W23" s="18" t="inlineStr">
        <is>
          <t>When Sales has Order Date and Ship Date, one link to Dates is active and the other is dashed. USERELATIONSHIP switches to the dashed one for a single measure.</t>
        </is>
      </c>
      <c r="X23" s="18" t="inlineStr">
        <is>
          <t>It is like switching on a spare bridge for one trip.</t>
        </is>
      </c>
      <c r="Y23" s="19" t="inlineStr">
        <is>
          <t>CALCULATE(expression, USERELATIONSHIP(column1, column2))</t>
        </is>
      </c>
      <c r="Z23" s="18" t="inlineStr">
        <is>
          <t>USERELATIONSHIP = turn on an inactive link | column1 and column2 = the two related columns</t>
        </is>
      </c>
      <c r="AA23" s="19" t="inlineStr">
        <is>
          <t>CALCULATE([Total Sales], USERELATIONSHIP(Sales[ShipDate], Dates[Date]))</t>
        </is>
      </c>
      <c r="AB23" s="19" t="inlineStr">
        <is>
          <t>CALCULATE([Total Sales], USERELATIONSHIP(Sales[DueDate], Dates[Date]))</t>
        </is>
      </c>
      <c r="AC23" s="19" t="inlineStr">
        <is>
          <t>CALCULATE(COUNTROWS(Sales), USERELATIONSHIP(Sales[ShipDate], Dates[Date]))</t>
        </is>
      </c>
      <c r="AD23" s="19" t="inlineStr">
        <is>
          <t>Role-playing dates: a Date table used for order date, ship date and due date</t>
        </is>
      </c>
      <c r="AE23" s="18" t="inlineStr">
        <is>
          <t>CALCULATE, date table, relationships</t>
        </is>
      </c>
      <c r="AF23" s="18" t="inlineStr">
        <is>
          <t>relationships, date table, CALCULATE</t>
        </is>
      </c>
      <c r="AG23" s="18" t="inlineStr">
        <is>
          <t>Duplicate the date table for each date role</t>
        </is>
      </c>
      <c r="AH23" s="17" t="n"/>
      <c r="AI23" s="18" t="inlineStr">
        <is>
          <t>Multiple date columns | Role-playing dimensions | Alternative relationships</t>
        </is>
      </c>
      <c r="AJ23" s="18" t="inlineStr">
        <is>
          <t>A: I want sales by ship date but the report uses order date. | B: Use USERELATIONSHIP inside CALCULATE to switch to the ship date relationship.</t>
        </is>
      </c>
      <c r="AK23" s="18" t="inlineStr">
        <is>
          <t>✗ USERELATIONSHIP creates a new relationship → ✓ It only activates an existing inactive relationship for one calculation</t>
        </is>
      </c>
      <c r="AL23" s="18" t="inlineStr">
        <is>
          <t>USERELATIONSHIP vs a new relationship: the function switches an existing link on temporarily, a relationship has to be created in the model.</t>
        </is>
      </c>
      <c r="AM23" s="18" t="inlineStr">
        <is>
          <t>Do not use it unless the inactive relationship already exists.</t>
        </is>
      </c>
      <c r="AN23" s="19" t="inlineStr">
        <is>
          <t>Sales by Ship Date = USERELATIONSHIP([Total Sales], Sales[ShipDate])</t>
        </is>
      </c>
      <c r="AO23" s="19" t="inlineStr">
        <is>
          <t>Sales by Ship Date = CALCULATE([Total Sales], USERELATIONSHIP(Sales[ShipDate], Dates[Date]))</t>
        </is>
      </c>
      <c r="AP23" s="18" t="inlineStr">
        <is>
          <t>Use the Relationship I mean.</t>
        </is>
      </c>
      <c r="AQ23" s="18" t="inlineStr">
        <is>
          <t>Building order date and ship date measures from one shared date table.</t>
        </is>
      </c>
      <c r="AR23" s="18" t="inlineStr">
        <is>
          <t>An interviewer may ask: How do you handle multiple date columns in a fact table?</t>
        </is>
      </c>
      <c r="AS23" s="18" t="inlineStr">
        <is>
          <t>It is like switching on a spare bridge for one trip.</t>
        </is>
      </c>
      <c r="AT23" s="18" t="inlineStr">
        <is>
          <t>Where is USERELATIONSHIP normally used?</t>
        </is>
      </c>
      <c r="AU23" s="18" t="inlineStr">
        <is>
          <t>A) In a bookmark B) In a slicer C) In Power Query D) Inside CALCULATE</t>
        </is>
      </c>
      <c r="AV23" s="18" t="inlineStr">
        <is>
          <t>D</t>
        </is>
      </c>
      <c r="AW23" s="18" t="inlineStr">
        <is>
          <t>It is a filter argument of CALCULATE.</t>
        </is>
      </c>
      <c r="AX23" s="19" t="inlineStr">
        <is>
          <t>CALCULATE([Total Sales], ____(Sales[ShipDate], Dates[Date])) → USERELATIONSHIP</t>
        </is>
      </c>
      <c r="AY23" s="18" t="inlineStr">
        <is>
          <t>Write a measure of sales by due date using an inactive relationship.</t>
        </is>
      </c>
      <c r="AZ23" s="19" t="inlineStr">
        <is>
          <t>Sales by Due Date = CALCULATE([Total Sales], USERELATIONSHIP(Sales[DueDate], Dates[Date]))</t>
        </is>
      </c>
      <c r="BA23" s="18" t="inlineStr">
        <is>
          <t>Create two inactive date relationships and one measure for each.</t>
        </is>
      </c>
      <c r="BB23" s="19" t="inlineStr">
        <is>
          <t>How many relationships between two tables can be active at once?</t>
        </is>
      </c>
      <c r="BC23" s="19" t="inlineStr">
        <is>
          <t>Only one.</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sheetData>
  <autoFilter ref="A2:BN23"/>
  <mergeCells count="6">
    <mergeCell ref="AT1:BC1"/>
    <mergeCell ref="BD1:BE1"/>
    <mergeCell ref="F1:Q1"/>
    <mergeCell ref="A1:E1"/>
    <mergeCell ref="BF1:BN1"/>
    <mergeCell ref="R1:AS1"/>
  </mergeCells>
  <dataValidations count="2">
    <dataValidation sqref="BF3:BF23" showDropDown="0" showInputMessage="0" showErrorMessage="0" allowBlank="1" type="list">
      <formula1>"New,Learning,Known"</formula1>
    </dataValidation>
    <dataValidation sqref="BM3:BM23"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PBI-013</t>
        </is>
      </c>
    </row>
    <row r="4">
      <c r="A4" s="23" t="inlineStr">
        <is>
          <t>FRONT · Recognition (pehchano)</t>
        </is>
      </c>
    </row>
    <row r="5" ht="30" customHeight="1">
      <c r="A5" s="24" t="inlineStr">
        <is>
          <t>ID</t>
        </is>
      </c>
      <c r="B5" s="17">
        <f>INDEX('Code concept (56-pt) cards'!$A$3:$BN$23,MATCH($B$2,'Code concept (56-pt) cards'!$A$3:$A$23,0),MATCH("ID",'Code concept (56-pt) cards'!$A$2:$BN$2,0))&amp;""</f>
        <v/>
      </c>
    </row>
    <row r="6" ht="30" customHeight="1">
      <c r="A6" s="24" t="inlineStr">
        <is>
          <t>Topic</t>
        </is>
      </c>
      <c r="B6" s="17">
        <f>INDEX('Code concept (56-pt) cards'!$A$3:$BN$23,MATCH($B$2,'Code concept (56-pt) cards'!$A$3:$A$23,0),MATCH("Topic",'Code concept (56-pt) cards'!$A$2:$BN$2,0))&amp;""</f>
        <v/>
      </c>
    </row>
    <row r="7" ht="30" customHeight="1">
      <c r="A7" s="24" t="inlineStr">
        <is>
          <t>Level</t>
        </is>
      </c>
      <c r="B7" s="17">
        <f>INDEX('Code concept (56-pt) cards'!$A$3:$BN$23,MATCH($B$2,'Code concept (56-pt) cards'!$A$3:$A$23,0),MATCH("Level",'Code concept (56-pt) cards'!$A$2:$BN$2,0))&amp;""</f>
        <v/>
      </c>
    </row>
    <row r="8" ht="30" customHeight="1">
      <c r="A8" s="24" t="inlineStr">
        <is>
          <t>Concept</t>
        </is>
      </c>
      <c r="B8" s="17">
        <f>INDEX('Code concept (56-pt) cards'!$A$3:$BN$23,MATCH($B$2,'Code concept (56-pt) cards'!$A$3:$A$23,0),MATCH("Concept",'Code concept (56-pt) cards'!$A$2:$BN$2,0))&amp;""</f>
        <v/>
      </c>
    </row>
    <row r="9" ht="30" customHeight="1">
      <c r="A9" s="24" t="inlineStr">
        <is>
          <t>Recall cue</t>
        </is>
      </c>
      <c r="B9" s="17">
        <f>INDEX('Code concept (56-pt) cards'!$A$3:$BN$23,MATCH($B$2,'Code concept (56-pt) cards'!$A$3:$A$23,0),MATCH("Recall cue",'Code concept (56-pt) cards'!$A$2:$BN$2,0))&amp;""</f>
        <v/>
      </c>
    </row>
    <row r="10" ht="30" customHeight="1">
      <c r="A10" s="24" t="inlineStr">
        <is>
          <t>Read aloud</t>
        </is>
      </c>
      <c r="B10" s="17">
        <f>INDEX('Code concept (56-pt) cards'!$A$3:$BN$23,MATCH($B$2,'Code concept (56-pt) cards'!$A$3:$A$23,0),MATCH("Read aloud",'Code concept (56-pt) cards'!$A$2:$BN$2,0))&amp;""</f>
        <v/>
      </c>
    </row>
    <row r="11" ht="30" customHeight="1">
      <c r="A11" s="24" t="inlineStr">
        <is>
          <t>Type</t>
        </is>
      </c>
      <c r="B11" s="17">
        <f>INDEX('Code concept (56-pt) cards'!$A$3:$BN$23,MATCH($B$2,'Code concept (56-pt) cards'!$A$3:$A$23,0),MATCH("Type",'Code concept (56-pt) cards'!$A$2:$BN$2,0))&amp;""</f>
        <v/>
      </c>
    </row>
    <row r="12" ht="30" customHeight="1">
      <c r="A12" s="24" t="inlineStr">
        <is>
          <t>How often used</t>
        </is>
      </c>
      <c r="B12" s="17">
        <f>INDEX('Code concept (56-pt) cards'!$A$3:$BN$23,MATCH($B$2,'Code concept (56-pt) cards'!$A$3:$A$23,0),MATCH("How often used",'Code concept (56-pt) cards'!$A$2:$BN$2,0))&amp;""</f>
        <v/>
      </c>
    </row>
    <row r="13" ht="30" customHeight="1">
      <c r="A13" s="24" t="inlineStr">
        <is>
          <t>Importance (1-5)</t>
        </is>
      </c>
      <c r="B13" s="17">
        <f>INDEX('Code concept (56-pt) cards'!$A$3:$BN$23,MATCH($B$2,'Code concept (56-pt) cards'!$A$3:$A$23,0),MATCH("Importance (1-5)",'Code concept (56-pt) cards'!$A$2:$BN$2,0))&amp;""</f>
        <v/>
      </c>
    </row>
    <row r="14" ht="30" customHeight="1">
      <c r="A14" s="24" t="inlineStr">
        <is>
          <t>Origin / why it exists</t>
        </is>
      </c>
      <c r="B14" s="17">
        <f>INDEX('Code concept (56-pt) cards'!$A$3:$BN$23,MATCH($B$2,'Code concept (56-pt) cards'!$A$3:$A$23,0),MATCH("Origin / why it exists",'Code concept (56-pt) cards'!$A$2:$BN$2,0))&amp;""</f>
        <v/>
      </c>
    </row>
    <row r="15" ht="30" customHeight="1">
      <c r="A15" s="24" t="inlineStr">
        <is>
          <t>Pro tip</t>
        </is>
      </c>
      <c r="B15" s="17">
        <f>INDEX('Code concept (56-pt) cards'!$A$3:$BN$23,MATCH($B$2,'Code concept (56-pt) cards'!$A$3:$A$23,0),MATCH("Pro tip",'Code concept (56-pt) cards'!$A$2:$BN$2,0))&amp;""</f>
        <v/>
      </c>
    </row>
    <row r="16" ht="30" customHeight="1">
      <c r="A16" s="24" t="inlineStr">
        <is>
          <t>Typing hint</t>
        </is>
      </c>
      <c r="B16" s="17">
        <f>INDEX('Code concept (56-pt) cards'!$A$3:$BN$23,MATCH($B$2,'Code concept (56-pt) cards'!$A$3:$A$23,0),MATCH("Typing hint",'Code concept (56-pt) cards'!$A$2:$BN$2,0))&amp;""</f>
        <v/>
      </c>
    </row>
    <row r="17" ht="30" customHeight="1">
      <c r="A17" s="24" t="inlineStr">
        <is>
          <t>Memory story</t>
        </is>
      </c>
      <c r="B17" s="17">
        <f>INDEX('Code concept (56-pt) cards'!$A$3:$BN$23,MATCH($B$2,'Code concept (56-pt) cards'!$A$3:$A$23,0),MATCH("Memory story",'Code concept (56-pt) cards'!$A$2:$BN$2,0))&amp;""</f>
        <v/>
      </c>
    </row>
    <row r="18" ht="30" customHeight="1">
      <c r="A18" s="24" t="inlineStr">
        <is>
          <t>Picture it</t>
        </is>
      </c>
      <c r="B18" s="17">
        <f>INDEX('Code concept (56-pt) cards'!$A$3:$BN$23,MATCH($B$2,'Code concept (56-pt) cards'!$A$3:$A$23,0),MATCH("Picture it",'Code concept (56-pt) cards'!$A$2:$BN$2,0))&amp;""</f>
        <v/>
      </c>
    </row>
    <row r="19" ht="30" customHeight="1">
      <c r="A19" s="24" t="inlineStr">
        <is>
          <t>Emotion hook</t>
        </is>
      </c>
      <c r="B19" s="17">
        <f>INDEX('Code concept (56-pt) cards'!$A$3:$BN$23,MATCH($B$2,'Code concept (56-pt) cards'!$A$3:$A$23,0),MATCH("Emotion hook",'Code concept (56-pt) cards'!$A$2:$BN$2,0))&amp;""</f>
        <v/>
      </c>
    </row>
    <row r="20" ht="30" customHeight="1">
      <c r="A20" s="24" t="inlineStr">
        <is>
          <t>Importance ★</t>
        </is>
      </c>
      <c r="B20" s="17">
        <f>INDEX('Code concept (56-pt) cards'!$A$3:$BN$23,MATCH($B$2,'Code concept (56-pt) cards'!$A$3:$A$23,0),MATCH("Importance ★",'Code concept (56-pt) cards'!$A$2:$BN$2,0))&amp;""</f>
        <v/>
      </c>
    </row>
    <row r="21">
      <c r="A21" s="25" t="inlineStr">
        <is>
          <t>BACK · Understanding (samjho)</t>
        </is>
      </c>
    </row>
    <row r="22" ht="30" customHeight="1">
      <c r="A22" s="24" t="inlineStr">
        <is>
          <t>Meaning (short)</t>
        </is>
      </c>
      <c r="B22" s="17">
        <f>INDEX('Code concept (56-pt) cards'!$A$3:$BN$23,MATCH($B$2,'Code concept (56-pt) cards'!$A$3:$A$23,0),MATCH("Meaning (short)",'Code concept (56-pt) cards'!$A$2:$BN$2,0))&amp;""</f>
        <v/>
      </c>
    </row>
    <row r="23" ht="30" customHeight="1">
      <c r="A23" s="24" t="inlineStr">
        <is>
          <t>Meaning in learner's language</t>
        </is>
      </c>
      <c r="B23" s="17">
        <f>INDEX('Code concept (56-pt) cards'!$A$3:$BN$23,MATCH($B$2,'Code concept (56-pt) cards'!$A$3:$A$23,0),MATCH("Meaning in learner's language",'Code concept (56-pt) cards'!$A$2:$BN$2,0))&amp;""</f>
        <v/>
      </c>
    </row>
    <row r="24" ht="81" customHeight="1">
      <c r="A24" s="24" t="inlineStr">
        <is>
          <t>Code</t>
        </is>
      </c>
      <c r="B24" s="26">
        <f>INDEX('Code concept (56-pt) cards'!$A$3:$BN$23,MATCH($B$2,'Code concept (56-pt) cards'!$A$3:$A$23,0),MATCH("Code",'Code concept (56-pt) cards'!$A$2:$BN$2,0))&amp;""</f>
        <v/>
      </c>
    </row>
    <row r="25" ht="30" customHeight="1">
      <c r="A25" s="24" t="inlineStr">
        <is>
          <t>Output</t>
        </is>
      </c>
      <c r="B25" s="26">
        <f>INDEX('Code concept (56-pt) cards'!$A$3:$BN$23,MATCH($B$2,'Code concept (56-pt) cards'!$A$3:$A$23,0),MATCH("Output",'Code concept (56-pt) cards'!$A$2:$BN$2,0))&amp;""</f>
        <v/>
      </c>
    </row>
    <row r="26" ht="40.5" customHeight="1">
      <c r="A26" s="24" t="inlineStr">
        <is>
          <t>Explanation</t>
        </is>
      </c>
      <c r="B26" s="17">
        <f>INDEX('Code concept (56-pt) cards'!$A$3:$BN$23,MATCH($B$2,'Code concept (56-pt) cards'!$A$3:$A$23,0),MATCH("Explanation",'Code concept (56-pt) cards'!$A$2:$BN$2,0))&amp;""</f>
        <v/>
      </c>
    </row>
    <row r="27" ht="30" customHeight="1">
      <c r="A27" s="24" t="inlineStr">
        <is>
          <t>Simple explanation (Hinglish)</t>
        </is>
      </c>
      <c r="B27" s="17">
        <f>INDEX('Code concept (56-pt) cards'!$A$3:$BN$23,MATCH($B$2,'Code concept (56-pt) cards'!$A$3:$A$23,0),MATCH("Simple explanation (Hinglish)",'Code concept (56-pt) cards'!$A$2:$BN$2,0))&amp;""</f>
        <v/>
      </c>
    </row>
    <row r="28" ht="30" customHeight="1">
      <c r="A28" s="24" t="inlineStr">
        <is>
          <t>Real-life analogy</t>
        </is>
      </c>
      <c r="B28" s="17">
        <f>INDEX('Code concept (56-pt) cards'!$A$3:$BN$23,MATCH($B$2,'Code concept (56-pt) cards'!$A$3:$A$23,0),MATCH("Real-life analogy",'Code concept (56-pt) cards'!$A$2:$BN$2,0))&amp;""</f>
        <v/>
      </c>
    </row>
    <row r="29" ht="30" customHeight="1">
      <c r="A29" s="24" t="inlineStr">
        <is>
          <t>Syntax pattern</t>
        </is>
      </c>
      <c r="B29" s="26">
        <f>INDEX('Code concept (56-pt) cards'!$A$3:$BN$23,MATCH($B$2,'Code concept (56-pt) cards'!$A$3:$A$23,0),MATCH("Syntax pattern",'Code concept (56-pt) cards'!$A$2:$BN$2,0))&amp;""</f>
        <v/>
      </c>
    </row>
    <row r="30" ht="30" customHeight="1">
      <c r="A30" s="24" t="inlineStr">
        <is>
          <t>Anatomy</t>
        </is>
      </c>
      <c r="B30" s="17">
        <f>INDEX('Code concept (56-pt) cards'!$A$3:$BN$23,MATCH($B$2,'Code concept (56-pt) cards'!$A$3:$A$23,0),MATCH("Anatomy",'Code concept (56-pt) cards'!$A$2:$BN$2,0))&amp;""</f>
        <v/>
      </c>
    </row>
    <row r="31" ht="30" customHeight="1">
      <c r="A31" s="24" t="inlineStr">
        <is>
          <t>Example 1</t>
        </is>
      </c>
      <c r="B31" s="26">
        <f>INDEX('Code concept (56-pt) cards'!$A$3:$BN$23,MATCH($B$2,'Code concept (56-pt) cards'!$A$3:$A$23,0),MATCH("Example 1",'Code concept (56-pt) cards'!$A$2:$BN$2,0))&amp;""</f>
        <v/>
      </c>
    </row>
    <row r="32" ht="30" customHeight="1">
      <c r="A32" s="24" t="inlineStr">
        <is>
          <t>Example 2</t>
        </is>
      </c>
      <c r="B32" s="26">
        <f>INDEX('Code concept (56-pt) cards'!$A$3:$BN$23,MATCH($B$2,'Code concept (56-pt) cards'!$A$3:$A$23,0),MATCH("Example 2",'Code concept (56-pt) cards'!$A$2:$BN$2,0))&amp;""</f>
        <v/>
      </c>
    </row>
    <row r="33" ht="30" customHeight="1">
      <c r="A33" s="24" t="inlineStr">
        <is>
          <t>Example 3</t>
        </is>
      </c>
      <c r="B33" s="26">
        <f>INDEX('Code concept (56-pt) cards'!$A$3:$BN$23,MATCH($B$2,'Code concept (56-pt) cards'!$A$3:$A$23,0),MATCH("Example 3",'Code concept (56-pt) cards'!$A$2:$BN$2,0))&amp;""</f>
        <v/>
      </c>
    </row>
    <row r="34" ht="30" customHeight="1">
      <c r="A34" s="24" t="inlineStr">
        <is>
          <t>Variation</t>
        </is>
      </c>
      <c r="B34" s="26">
        <f>INDEX('Code concept (56-pt) cards'!$A$3:$BN$23,MATCH($B$2,'Code concept (56-pt) cards'!$A$3:$A$23,0),MATCH("Variation",'Code concept (56-pt) cards'!$A$2:$BN$2,0))&amp;""</f>
        <v/>
      </c>
    </row>
    <row r="35" ht="30" customHeight="1">
      <c r="A35" s="24" t="inlineStr">
        <is>
          <t>Used with</t>
        </is>
      </c>
      <c r="B35" s="17">
        <f>INDEX('Code concept (56-pt) cards'!$A$3:$BN$23,MATCH($B$2,'Code concept (56-pt) cards'!$A$3:$A$23,0),MATCH("Used with",'Code concept (56-pt) cards'!$A$2:$BN$2,0))&amp;""</f>
        <v/>
      </c>
    </row>
    <row r="36" ht="30" customHeight="1">
      <c r="A36" s="24" t="inlineStr">
        <is>
          <t>Related concepts</t>
        </is>
      </c>
      <c r="B36" s="17">
        <f>INDEX('Code concept (56-pt) cards'!$A$3:$BN$23,MATCH($B$2,'Code concept (56-pt) cards'!$A$3:$A$23,0),MATCH("Related concepts",'Code concept (56-pt) cards'!$A$2:$BN$2,0))&amp;""</f>
        <v/>
      </c>
    </row>
    <row r="37" ht="30" customHeight="1">
      <c r="A37" s="24" t="inlineStr">
        <is>
          <t>Alternatives</t>
        </is>
      </c>
      <c r="B37" s="17">
        <f>INDEX('Code concept (56-pt) cards'!$A$3:$BN$23,MATCH($B$2,'Code concept (56-pt) cards'!$A$3:$A$23,0),MATCH("Alternatives",'Code concept (56-pt) cards'!$A$2:$BN$2,0))&amp;""</f>
        <v/>
      </c>
    </row>
    <row r="38" ht="30" customHeight="1">
      <c r="A38" s="24" t="inlineStr">
        <is>
          <t>Family / group</t>
        </is>
      </c>
      <c r="B38" s="17">
        <f>INDEX('Code concept (56-pt) cards'!$A$3:$BN$23,MATCH($B$2,'Code concept (56-pt) cards'!$A$3:$A$23,0),MATCH("Family / group",'Code concept (56-pt) cards'!$A$2:$BN$2,0))&amp;""</f>
        <v/>
      </c>
    </row>
    <row r="39" ht="30" customHeight="1">
      <c r="A39" s="24" t="inlineStr">
        <is>
          <t>Where it is used</t>
        </is>
      </c>
      <c r="B39" s="17">
        <f>INDEX('Code concept (56-pt) cards'!$A$3:$BN$23,MATCH($B$2,'Code concept (56-pt) cards'!$A$3:$A$23,0),MATCH("Where it is used",'Code concept (56-pt) cards'!$A$2:$BN$2,0))&amp;""</f>
        <v/>
      </c>
    </row>
    <row r="40" ht="30" customHeight="1">
      <c r="A40" s="24" t="inlineStr">
        <is>
          <t>Mini conversation</t>
        </is>
      </c>
      <c r="B40" s="17">
        <f>INDEX('Code concept (56-pt) cards'!$A$3:$BN$23,MATCH($B$2,'Code concept (56-pt) cards'!$A$3:$A$23,0),MATCH("Mini conversation",'Code concept (56-pt) cards'!$A$2:$BN$2,0))&amp;""</f>
        <v/>
      </c>
    </row>
    <row r="41" ht="30" customHeight="1">
      <c r="A41" s="24" t="inlineStr">
        <is>
          <t>Common mistake</t>
        </is>
      </c>
      <c r="B41" s="17">
        <f>INDEX('Code concept (56-pt) cards'!$A$3:$BN$23,MATCH($B$2,'Code concept (56-pt) cards'!$A$3:$A$23,0),MATCH("Common mistake",'Code concept (56-pt) cards'!$A$2:$BN$2,0))&amp;""</f>
        <v/>
      </c>
    </row>
    <row r="42" ht="30" customHeight="1">
      <c r="A42" s="24" t="inlineStr">
        <is>
          <t>Commonly confused with</t>
        </is>
      </c>
      <c r="B42" s="17">
        <f>INDEX('Code concept (56-pt) cards'!$A$3:$BN$23,MATCH($B$2,'Code concept (56-pt) cards'!$A$3:$A$23,0),MATCH("Commonly confused with",'Code concept (56-pt) cards'!$A$2:$BN$2,0))&amp;""</f>
        <v/>
      </c>
    </row>
    <row r="43" ht="30" customHeight="1">
      <c r="A43" s="24" t="inlineStr">
        <is>
          <t>Avoid / don't</t>
        </is>
      </c>
      <c r="B43" s="17">
        <f>INDEX('Code concept (56-pt) cards'!$A$3:$BN$23,MATCH($B$2,'Code concept (56-pt) cards'!$A$3:$A$23,0),MATCH("Avoid / don't",'Code concept (56-pt) cards'!$A$2:$BN$2,0))&amp;""</f>
        <v/>
      </c>
    </row>
    <row r="44" ht="30" customHeight="1">
      <c r="A44" s="24" t="inlineStr">
        <is>
          <t>Wrong code</t>
        </is>
      </c>
      <c r="B44" s="26">
        <f>INDEX('Code concept (56-pt) cards'!$A$3:$BN$23,MATCH($B$2,'Code concept (56-pt) cards'!$A$3:$A$23,0),MATCH("Wrong code",'Code concept (56-pt) cards'!$A$2:$BN$2,0))&amp;""</f>
        <v/>
      </c>
    </row>
    <row r="45" ht="30" customHeight="1">
      <c r="A45" s="24" t="inlineStr">
        <is>
          <t>Right code</t>
        </is>
      </c>
      <c r="B45" s="26">
        <f>INDEX('Code concept (56-pt) cards'!$A$3:$BN$23,MATCH($B$2,'Code concept (56-pt) cards'!$A$3:$A$23,0),MATCH("Right code",'Code concept (56-pt) cards'!$A$2:$BN$2,0))&amp;""</f>
        <v/>
      </c>
    </row>
    <row r="46" ht="30" customHeight="1">
      <c r="A46" s="24" t="inlineStr">
        <is>
          <t>Memory trick</t>
        </is>
      </c>
      <c r="B46" s="17">
        <f>INDEX('Code concept (56-pt) cards'!$A$3:$BN$23,MATCH($B$2,'Code concept (56-pt) cards'!$A$3:$A$23,0),MATCH("Memory trick",'Code concept (56-pt) cards'!$A$2:$BN$2,0))&amp;""</f>
        <v/>
      </c>
    </row>
    <row r="47" ht="30" customHeight="1">
      <c r="A47" s="24" t="inlineStr">
        <is>
          <t>Real life: project / work</t>
        </is>
      </c>
      <c r="B47" s="17">
        <f>INDEX('Code concept (56-pt) cards'!$A$3:$BN$23,MATCH($B$2,'Code concept (56-pt) cards'!$A$3:$A$23,0),MATCH("Real life: project / work",'Code concept (56-pt) cards'!$A$2:$BN$2,0))&amp;""</f>
        <v/>
      </c>
    </row>
    <row r="48" ht="30" customHeight="1">
      <c r="A48" s="24" t="inlineStr">
        <is>
          <t>Real life: interview / exam</t>
        </is>
      </c>
      <c r="B48" s="17">
        <f>INDEX('Code concept (56-pt) cards'!$A$3:$BN$23,MATCH($B$2,'Code concept (56-pt) cards'!$A$3:$A$23,0),MATCH("Real life: interview / exam",'Code concept (56-pt) cards'!$A$2:$BN$2,0))&amp;""</f>
        <v/>
      </c>
    </row>
    <row r="49" ht="30" customHeight="1">
      <c r="A49" s="24" t="inlineStr">
        <is>
          <t>Real life: daily life</t>
        </is>
      </c>
      <c r="B49" s="17">
        <f>INDEX('Code concept (56-pt) cards'!$A$3:$BN$23,MATCH($B$2,'Code concept (56-pt) cards'!$A$3:$A$23,0),MATCH("Real life: daily life",'Code concept (56-pt) cards'!$A$2:$BN$2,0))&amp;""</f>
        <v/>
      </c>
    </row>
    <row r="50">
      <c r="A50" s="27" t="inlineStr">
        <is>
          <t>PRACTICE · Khud karo</t>
        </is>
      </c>
    </row>
    <row r="51" ht="30" customHeight="1">
      <c r="A51" s="24" t="inlineStr">
        <is>
          <t>MCQ question</t>
        </is>
      </c>
      <c r="B51" s="17">
        <f>INDEX('Code concept (56-pt) cards'!$A$3:$BN$23,MATCH($B$2,'Code concept (56-pt) cards'!$A$3:$A$23,0),MATCH("MCQ question",'Code concept (56-pt) cards'!$A$2:$BN$2,0))&amp;""</f>
        <v/>
      </c>
    </row>
    <row r="52" ht="30" customHeight="1">
      <c r="A52" s="24" t="inlineStr">
        <is>
          <t>MCQ options</t>
        </is>
      </c>
      <c r="B52" s="17">
        <f>INDEX('Code concept (56-pt) cards'!$A$3:$BN$23,MATCH($B$2,'Code concept (56-pt) cards'!$A$3:$A$23,0),MATCH("MCQ options",'Code concept (56-pt) cards'!$A$2:$BN$2,0))&amp;""</f>
        <v/>
      </c>
    </row>
    <row r="53" ht="30" customHeight="1">
      <c r="A53" s="24" t="inlineStr">
        <is>
          <t>MCQ answer</t>
        </is>
      </c>
      <c r="B53" s="17">
        <f>INDEX('Code concept (56-pt) cards'!$A$3:$BN$23,MATCH($B$2,'Code concept (56-pt) cards'!$A$3:$A$23,0),MATCH("MCQ answer",'Code concept (56-pt) cards'!$A$2:$BN$2,0))&amp;""</f>
        <v/>
      </c>
    </row>
    <row r="54" ht="30" customHeight="1">
      <c r="A54" s="24" t="inlineStr">
        <is>
          <t>Why that answer</t>
        </is>
      </c>
      <c r="B54" s="17">
        <f>INDEX('Code concept (56-pt) cards'!$A$3:$BN$23,MATCH($B$2,'Code concept (56-pt) cards'!$A$3:$A$23,0),MATCH("Why that answer",'Code concept (56-pt) cards'!$A$2:$BN$2,0))&amp;""</f>
        <v/>
      </c>
    </row>
    <row r="55" ht="30" customHeight="1">
      <c r="A55" s="24" t="inlineStr">
        <is>
          <t>Fill the blank</t>
        </is>
      </c>
      <c r="B55" s="26">
        <f>INDEX('Code concept (56-pt) cards'!$A$3:$BN$23,MATCH($B$2,'Code concept (56-pt) cards'!$A$3:$A$23,0),MATCH("Fill the blank",'Code concept (56-pt) cards'!$A$2:$BN$2,0))&amp;""</f>
        <v/>
      </c>
    </row>
    <row r="56" ht="30" customHeight="1">
      <c r="A56" s="24" t="inlineStr">
        <is>
          <t>Try it yourself</t>
        </is>
      </c>
      <c r="B56" s="17">
        <f>INDEX('Code concept (56-pt) cards'!$A$3:$BN$23,MATCH($B$2,'Code concept (56-pt) cards'!$A$3:$A$23,0),MATCH("Try it yourself",'Code concept (56-pt) cards'!$A$2:$BN$2,0))&amp;""</f>
        <v/>
      </c>
    </row>
    <row r="57" ht="30" customHeight="1">
      <c r="A57" s="24" t="inlineStr">
        <is>
          <t>Task answer</t>
        </is>
      </c>
      <c r="B57" s="26">
        <f>INDEX('Code concept (56-pt) cards'!$A$3:$BN$23,MATCH($B$2,'Code concept (56-pt) cards'!$A$3:$A$23,0),MATCH("Task answer",'Code concept (56-pt) cards'!$A$2:$BN$2,0))&amp;""</f>
        <v/>
      </c>
    </row>
    <row r="58" ht="30" customHeight="1">
      <c r="A58" s="24" t="inlineStr">
        <is>
          <t>Write your own</t>
        </is>
      </c>
      <c r="B58" s="17">
        <f>INDEX('Code concept (56-pt) cards'!$A$3:$BN$23,MATCH($B$2,'Code concept (56-pt) cards'!$A$3:$A$23,0),MATCH("Write your own",'Code concept (56-pt) cards'!$A$2:$BN$2,0))&amp;""</f>
        <v/>
      </c>
    </row>
    <row r="59" ht="30" customHeight="1">
      <c r="A59" s="24" t="inlineStr">
        <is>
          <t>Practice question</t>
        </is>
      </c>
      <c r="B59" s="26">
        <f>INDEX('Code concept (56-pt) cards'!$A$3:$BN$23,MATCH($B$2,'Code concept (56-pt) cards'!$A$3:$A$23,0),MATCH("Practice question",'Code concept (56-pt) cards'!$A$2:$BN$2,0))&amp;""</f>
        <v/>
      </c>
    </row>
    <row r="60" ht="30" customHeight="1">
      <c r="A60" s="24" t="inlineStr">
        <is>
          <t>Practice answer</t>
        </is>
      </c>
      <c r="B60" s="26">
        <f>INDEX('Code concept (56-pt) cards'!$A$3:$BN$23,MATCH($B$2,'Code concept (56-pt) cards'!$A$3:$A$23,0),MATCH("Practice answer",'Code concept (56-pt) cards'!$A$2:$BN$2,0))&amp;""</f>
        <v/>
      </c>
    </row>
    <row r="61" ht="30" customHeight="1">
      <c r="A61" s="24" t="inlineStr">
        <is>
          <t>Quick recall (reverse)</t>
        </is>
      </c>
      <c r="B61" s="17">
        <f>INDEX('Code concept (56-pt) cards'!$A$3:$BN$23,MATCH($B$2,'Code concept (56-pt) cards'!$A$3:$A$23,0),MATCH("Quick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3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94.5" customHeight="1">
      <c r="A3" s="17" t="inlineStr">
        <is>
          <t>PBI-001</t>
        </is>
      </c>
      <c r="B3" s="17" t="inlineStr">
        <is>
          <t>01 Basics</t>
        </is>
      </c>
      <c r="C3" s="17" t="inlineStr">
        <is>
          <t>Beginner</t>
        </is>
      </c>
      <c r="D3" s="17" t="n">
        <v>1</v>
      </c>
      <c r="E3" s="17" t="inlineStr">
        <is>
          <t>Claude knowledge</t>
        </is>
      </c>
      <c r="F3" s="18" t="inlineStr">
        <is>
          <t>Power BI (Desktop, Service, Mobile)</t>
        </is>
      </c>
      <c r="G3" s="18" t="inlineStr">
        <is>
          <t>Microsoft's business analytics product comes in three parts. What are they, and what does each part do?</t>
        </is>
      </c>
      <c r="H3" s="18" t="inlineStr">
        <is>
          <t>Product overview</t>
        </is>
      </c>
      <c r="I3" s="18" t="inlineStr">
        <is>
          <t>Very high</t>
        </is>
      </c>
      <c r="J3" s="18" t="n">
        <v>5</v>
      </c>
      <c r="K3" s="18" t="inlineStr">
        <is>
          <t>Microsoft built Power BI to let ordinary business users turn raw data into interactive reports without writing a full application.</t>
        </is>
      </c>
      <c r="L3" s="18" t="inlineStr">
        <is>
          <t>Build the report in Desktop, publish it to the Service, and use Mobile just to read it on the go.</t>
        </is>
      </c>
      <c r="M3" s="18" t="inlineStr">
        <is>
          <t>Desktop is the kitchen where you cook, the Service is the restaurant where you serve, and Mobile is the takeaway box.</t>
        </is>
      </c>
      <c r="N3" s="18" t="inlineStr">
        <is>
          <t>A laptop, a cloud and a phone are joined by arrows showing a report travelling between them.</t>
        </is>
      </c>
      <c r="O3" s="18" t="inlineStr">
        <is>
          <t>The excitement of seeing messy numbers turn into a clean, clickable dashboard.</t>
        </is>
      </c>
      <c r="P3" s="18" t="inlineStr">
        <is>
          <t>Power BI is a set of tools: Desktop to build reports, the Service in the cloud to share them, and Mobile apps to view them.</t>
        </is>
      </c>
      <c r="Q3" s="17" t="n"/>
      <c r="R3" s="18" t="inlineStr">
        <is>
          <t>Power BI Desktop is a free Windows application for connecting to data, cleaning it, modelling it and designing reports. The Power BI Service (the website) is where you publish, schedule refreshes and share. The mobile apps let people read reports on phones and tablets.</t>
        </is>
      </c>
      <c r="S3" s="18" t="inlineStr">
        <is>
          <t>You create the report on your computer with Desktop. You upload it to the Service so others can see it in a browser. People then open it on their phones with the Mobile app.</t>
        </is>
      </c>
      <c r="T3" s="18" t="inlineStr">
        <is>
          <t>It works like writing a document in a word processor, saving it to a shared drive, and reading it on your phone.</t>
        </is>
      </c>
      <c r="U3" s="18" t="inlineStr">
        <is>
          <t>Build (Desktop) → Publish and share (Service) → Read anywhere (Mobile)</t>
        </is>
      </c>
      <c r="V3" s="18" t="inlineStr">
        <is>
          <t>An analyst builds a sales report in Power BI Desktop on a laptop.</t>
        </is>
      </c>
      <c r="W3" s="18" t="inlineStr">
        <is>
          <t>The analyst publishes the report to a workspace in the Power BI Service so the sales team can open it in a browser.</t>
        </is>
      </c>
      <c r="X3" s="18" t="inlineStr">
        <is>
          <t>A regional manager checks the same report on a phone while travelling.</t>
        </is>
      </c>
      <c r="Y3" s="18" t="inlineStr">
        <is>
          <t>Power BI Desktop, Power BI Service, semantic model, workspace</t>
        </is>
      </c>
      <c r="Z3" s="18" t="inlineStr">
        <is>
          <t>Desktop, Service, Mobile, report, dashboard</t>
        </is>
      </c>
      <c r="AA3" s="18" t="inlineStr">
        <is>
          <t>Business reporting | Data analysis jobs | Management dashboards</t>
        </is>
      </c>
      <c r="AB3" s="18" t="inlineStr">
        <is>
          <t>A: Where do I create my report? | B: Build it in Power BI Desktop, then publish it to the Service to share it.</t>
        </is>
      </c>
      <c r="AC3" s="18" t="inlineStr">
        <is>
          <t>✗ Power BI is just one program you install on your computer → ✓ Power BI has three parts: Desktop is installed, the Service runs in the cloud, and Mobile is an app</t>
        </is>
      </c>
      <c r="AD3" s="18" t="inlineStr">
        <is>
          <t>Desktop vs Service: Desktop is where you build and model, the Service is where you share and manage.</t>
        </is>
      </c>
      <c r="AE3" s="18" t="inlineStr">
        <is>
          <t>Do not edit a report only in the Service when it should be maintained in the original Desktop file.</t>
        </is>
      </c>
      <c r="AF3" s="18" t="inlineStr">
        <is>
          <t>Desktop builds, Service shares, Mobile carries.</t>
        </is>
      </c>
      <c r="AG3" s="18" t="inlineStr">
        <is>
          <t>Building a monthly sales report in Desktop and publishing it so managers see fresh numbers each morning.</t>
        </is>
      </c>
      <c r="AH3" s="18" t="inlineStr">
        <is>
          <t>An interviewer may ask: What is the difference between Power BI Desktop and the Power BI Service?</t>
        </is>
      </c>
      <c r="AI3" s="18" t="inlineStr">
        <is>
          <t>It is like cooking at home, serving guests at a restaurant, and packing leftovers to take away.</t>
        </is>
      </c>
      <c r="AJ3" s="18" t="inlineStr">
        <is>
          <t>Which part of Power BI is mainly used to build and model reports on your own computer?</t>
        </is>
      </c>
      <c r="AK3" s="18" t="inlineStr">
        <is>
          <t>A) Power BI Mobile B) Power BI Service C) Power BI Gateway D) Power BI Desktop</t>
        </is>
      </c>
      <c r="AL3" s="18" t="inlineStr">
        <is>
          <t>D</t>
        </is>
      </c>
      <c r="AM3" s="18" t="inlineStr">
        <is>
          <t>Desktop is the authoring tool, while the Service is for sharing and the Mobile app is for viewing.</t>
        </is>
      </c>
      <c r="AN3" s="18" t="inlineStr">
        <is>
          <t>You publish a finished report from Desktop to the Power BI ____ so others can open it → Service</t>
        </is>
      </c>
      <c r="AO3" s="18" t="inlineStr">
        <is>
          <t>Which part would you use to read a report on a phone while travelling? → The Power BI Mobile app</t>
        </is>
      </c>
      <c r="AP3" s="18" t="inlineStr">
        <is>
          <t>Explain the three parts of Power BI to a friend in three lines.</t>
        </is>
      </c>
      <c r="AQ3" s="18" t="inlineStr">
        <is>
          <t>Write which part of Power BI you would use for each step of making and sharing a report.</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PBI-002</t>
        </is>
      </c>
      <c r="B4" s="17" t="inlineStr">
        <is>
          <t>01 Basics</t>
        </is>
      </c>
      <c r="C4" s="17" t="inlineStr">
        <is>
          <t>Beginner</t>
        </is>
      </c>
      <c r="D4" s="17" t="n">
        <v>2</v>
      </c>
      <c r="E4" s="17" t="inlineStr">
        <is>
          <t>Claude knowledge</t>
        </is>
      </c>
      <c r="F4" s="18" t="inlineStr">
        <is>
          <t>Power BI Desktop interface (Report, Table, Model views)</t>
        </is>
      </c>
      <c r="G4" s="18" t="inlineStr">
        <is>
          <t>Which three views on the left side of Power BI Desktop let you design pages, inspect data and draw relationships?</t>
        </is>
      </c>
      <c r="H4" s="18" t="inlineStr">
        <is>
          <t>Tool interface</t>
        </is>
      </c>
      <c r="I4" s="18" t="inlineStr">
        <is>
          <t>Very high</t>
        </is>
      </c>
      <c r="J4" s="18" t="n">
        <v>4</v>
      </c>
      <c r="K4" s="18" t="inlineStr">
        <is>
          <t>Authoring a report involves three different jobs, so Desktop separates them into their own views instead of one crowded screen.</t>
        </is>
      </c>
      <c r="L4" s="18" t="inlineStr">
        <is>
          <t>Use Table view to check your data before you build any visual on it.</t>
        </is>
      </c>
      <c r="M4" s="18" t="inlineStr">
        <is>
          <t>Think of a theatre with a stage, a backstage list and a floor plan, where each room has one job.</t>
        </is>
      </c>
      <c r="N4" s="18" t="inlineStr">
        <is>
          <t>Three icons stacked on the left edge of the screen, each opening a different workspace.</t>
        </is>
      </c>
      <c r="O4" s="18" t="inlineStr">
        <is>
          <t>The calm of knowing exactly which screen to go to for each job.</t>
        </is>
      </c>
      <c r="P4" s="18" t="inlineStr">
        <is>
          <t>Power BI Desktop has a Report view for building visuals, a Table view for browsing data, and a Model view for managing relationships.</t>
        </is>
      </c>
      <c r="Q4" s="17" t="n"/>
      <c r="R4" s="18" t="inlineStr">
        <is>
          <t>Report view is the canvas where you place visuals and filters. Table view shows the loaded data in rows and columns so you can check values and create columns. Model view shows tables as boxes and relationships as lines. There is also a DAX query view in newer versions.</t>
        </is>
      </c>
      <c r="S4" s="18" t="inlineStr">
        <is>
          <t>Report view is for drawing charts. Table view is for looking at the raw rows. Model view is for connecting tables to each other.</t>
        </is>
      </c>
      <c r="T4" s="18" t="inlineStr">
        <is>
          <t>It is like a stage for the show, a backstage list of props, and a floor plan of how everything connects.</t>
        </is>
      </c>
      <c r="U4" s="18" t="inlineStr">
        <is>
          <t>Report = design, Table = inspect data, Model = connect tables</t>
        </is>
      </c>
      <c r="V4" s="18" t="inlineStr">
        <is>
          <t>Dragging a bar chart onto a page happens in Report view.</t>
        </is>
      </c>
      <c r="W4" s="18" t="inlineStr">
        <is>
          <t>Checking whether a Date column was imported as text happens in Table view.</t>
        </is>
      </c>
      <c r="X4" s="18" t="inlineStr">
        <is>
          <t>Drawing a line between Sales and Products happens in Model view.</t>
        </is>
      </c>
      <c r="Y4" s="18" t="inlineStr">
        <is>
          <t>relationships, visuals, data model, fields pane</t>
        </is>
      </c>
      <c r="Z4" s="18" t="inlineStr">
        <is>
          <t>view, canvas, pane, field, visual</t>
        </is>
      </c>
      <c r="AA4" s="18" t="inlineStr">
        <is>
          <t>Every Power BI Desktop project | Data checking | Model design</t>
        </is>
      </c>
      <c r="AB4" s="18" t="inlineStr">
        <is>
          <t>A: The charts show the wrong totals. | B: Open Model view and check whether the relationships between your tables are correct.</t>
        </is>
      </c>
      <c r="AC4" s="18" t="inlineStr">
        <is>
          <t>✗ All the work in Power BI Desktop is done on the report canvas → ✓ Data checking happens in Table view and relationships are managed in Model view</t>
        </is>
      </c>
      <c r="AD4" s="18" t="inlineStr">
        <is>
          <t>Table view vs Model view: Table view shows the rows of data, Model view shows how the tables relate.</t>
        </is>
      </c>
      <c r="AE4" s="18" t="inlineStr">
        <is>
          <t>Do not build visuals before checking the data types in Table view.</t>
        </is>
      </c>
      <c r="AF4" s="18" t="inlineStr">
        <is>
          <t>Report draws, Table tells, Model maps.</t>
        </is>
      </c>
      <c r="AG4" s="18" t="inlineStr">
        <is>
          <t>Opening Model view to fix a missing relationship that caused wrong totals in a report.</t>
        </is>
      </c>
      <c r="AH4" s="18" t="inlineStr">
        <is>
          <t>An interviewer may ask: What are the three main views in Power BI Desktop?</t>
        </is>
      </c>
      <c r="AI4" s="18" t="inlineStr">
        <is>
          <t>It is like a theatre with a stage, a backstage list and a floor plan.</t>
        </is>
      </c>
      <c r="AJ4" s="18" t="inlineStr">
        <is>
          <t>In which view do you draw lines to connect one table to another?</t>
        </is>
      </c>
      <c r="AK4" s="18" t="inlineStr">
        <is>
          <t>A) Model view B) Report view C) Data view D) Table view</t>
        </is>
      </c>
      <c r="AL4" s="18" t="inlineStr">
        <is>
          <t>A</t>
        </is>
      </c>
      <c r="AM4" s="18" t="inlineStr">
        <is>
          <t>Model view shows tables and their relationships.</t>
        </is>
      </c>
      <c r="AN4" s="18" t="inlineStr">
        <is>
          <t>You inspect the loaded rows of your data in the ____ view → Table</t>
        </is>
      </c>
      <c r="AO4" s="18" t="inlineStr">
        <is>
          <t>Where would you check whether a Date column was loaded as text? → In Table view</t>
        </is>
      </c>
      <c r="AP4" s="18" t="inlineStr">
        <is>
          <t>Explain what each of the three views is used for in three lines.</t>
        </is>
      </c>
      <c r="AQ4" s="18" t="inlineStr">
        <is>
          <t>Open any Power BI file and write one task you did in each of the three views.</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94.5" customHeight="1">
      <c r="A5" s="17" t="inlineStr">
        <is>
          <t>PBI-003</t>
        </is>
      </c>
      <c r="B5" s="17" t="inlineStr">
        <is>
          <t>01 Basics</t>
        </is>
      </c>
      <c r="C5" s="17" t="inlineStr">
        <is>
          <t>Beginner</t>
        </is>
      </c>
      <c r="D5" s="17" t="n">
        <v>3</v>
      </c>
      <c r="E5" s="17" t="inlineStr">
        <is>
          <t>Claude knowledge</t>
        </is>
      </c>
      <c r="F5" s="18" t="inlineStr">
        <is>
          <t>Semantic model (dataset)</t>
        </is>
      </c>
      <c r="G5" s="18" t="inlineStr">
        <is>
          <t>What is the name for the loaded, modelled data that sits behind one or more Power BI reports?</t>
        </is>
      </c>
      <c r="H5" s="18" t="inlineStr">
        <is>
          <t>Core concept</t>
        </is>
      </c>
      <c r="I5" s="18" t="inlineStr">
        <is>
          <t>Very high</t>
        </is>
      </c>
      <c r="J5" s="18" t="n">
        <v>5</v>
      </c>
      <c r="K5" s="18" t="inlineStr">
        <is>
          <t>Reports need a shared, well-defined source of data, so Power BI separates the data and logic from the visuals, and this layer was long called a dataset.</t>
        </is>
      </c>
      <c r="L5" s="18" t="inlineStr">
        <is>
          <t>Build one good model and let many reports connect to it instead of copying data into every report.</t>
        </is>
      </c>
      <c r="M5" s="18" t="inlineStr">
        <is>
          <t>The model is the engine room of a ship, and the reports are only the dashboard the captain looks at.</t>
        </is>
      </c>
      <c r="N5" s="18" t="inlineStr">
        <is>
          <t>One large block of connected tables with several different reports pointing at it.</t>
        </is>
      </c>
      <c r="O5" s="18" t="inlineStr">
        <is>
          <t>The satisfaction of fixing a number once and seeing every report update.</t>
        </is>
      </c>
      <c r="P5" s="18" t="inlineStr">
        <is>
          <t>A semantic model holds the tables, relationships, measures and security that reports use, and it was formerly called a dataset.</t>
        </is>
      </c>
      <c r="Q5" s="17" t="n"/>
      <c r="R5" s="18" t="inlineStr">
        <is>
          <t>When you import data and build relationships and DAX measures, you create a semantic model. When you publish from Desktop, the model and report go to the Service, where the model can be refreshed and reused by other reports. Microsoft renamed datasets to semantic models.</t>
        </is>
      </c>
      <c r="S5" s="18" t="inlineStr">
        <is>
          <t>The semantic model is the data brain behind your report. It stores your tables, links and calculations, and the report just shows the results.</t>
        </is>
      </c>
      <c r="T5" s="18" t="inlineStr">
        <is>
          <t>It is like a restaurant kitchen that cooks the food, while the menu cards are just what the customers see.</t>
        </is>
      </c>
      <c r="U5" s="18" t="inlineStr">
        <is>
          <t>Semantic model = tables + relationships + measures + security</t>
        </is>
      </c>
      <c r="V5" s="18" t="inlineStr">
        <is>
          <t>A sales model holds Sales, Product and Date tables linked together.</t>
        </is>
      </c>
      <c r="W5" s="18" t="inlineStr">
        <is>
          <t>Three different reports reuse the same published sales model.</t>
        </is>
      </c>
      <c r="X5" s="18" t="inlineStr">
        <is>
          <t>An administrator refreshes the model once a night so all reports show new data.</t>
        </is>
      </c>
      <c r="Y5" s="18" t="inlineStr">
        <is>
          <t>report, relationships, measures, refresh</t>
        </is>
      </c>
      <c r="Z5" s="18" t="inlineStr">
        <is>
          <t>dataset, model, tables, measures, relationships</t>
        </is>
      </c>
      <c r="AA5" s="18" t="inlineStr">
        <is>
          <t>Every published report | Shared enterprise models | Self-service analysis</t>
        </is>
      </c>
      <c r="AB5" s="18" t="inlineStr">
        <is>
          <t>A: Why do two of our reports show different totals? | B: They use separate copies of the data, so build one shared semantic model.</t>
        </is>
      </c>
      <c r="AC5" s="18" t="inlineStr">
        <is>
          <t>✗ A semantic model and a report are the same thing → ✓ The model holds the data and logic, and a report is only the visuals built on top of it</t>
        </is>
      </c>
      <c r="AD5" s="18" t="inlineStr">
        <is>
          <t>Semantic model vs report: the model stores and calculates, the report displays.</t>
        </is>
      </c>
      <c r="AE5" s="18" t="inlineStr">
        <is>
          <t>Do not create a new copy of the same data in every report.</t>
        </is>
      </c>
      <c r="AF5" s="18" t="inlineStr">
        <is>
          <t>Model is the machine, report is the screen.</t>
        </is>
      </c>
      <c r="AG5" s="18" t="inlineStr">
        <is>
          <t>Publishing one certified sales semantic model that many team reports connect to.</t>
        </is>
      </c>
      <c r="AH5" s="18" t="inlineStr">
        <is>
          <t>An interviewer may ask: What is a semantic model, and what was it called before?</t>
        </is>
      </c>
      <c r="AI5" s="18" t="inlineStr">
        <is>
          <t>It is like a kitchen that cooks the food while the menu is only what customers see.</t>
        </is>
      </c>
      <c r="AJ5" s="18" t="inlineStr">
        <is>
          <t>What is Power BI's semantic model formerly known as?</t>
        </is>
      </c>
      <c r="AK5" s="18" t="inlineStr">
        <is>
          <t>A) Gateway B) Workspace C) Dataset D) Dashboard</t>
        </is>
      </c>
      <c r="AL5" s="18" t="inlineStr">
        <is>
          <t>C</t>
        </is>
      </c>
      <c r="AM5" s="18" t="inlineStr">
        <is>
          <t>Microsoft renamed datasets to semantic models.</t>
        </is>
      </c>
      <c r="AN5" s="18" t="inlineStr">
        <is>
          <t>Reports are built on top of the tables and measures held in a semantic ____ → model</t>
        </is>
      </c>
      <c r="AO5" s="18" t="inlineStr">
        <is>
          <t>How do you avoid different totals across several reports? → Build one shared semantic model and connect all reports to it</t>
        </is>
      </c>
      <c r="AP5" s="18" t="inlineStr">
        <is>
          <t>Explain the difference between a semantic model and a report in three lines.</t>
        </is>
      </c>
      <c r="AQ5" s="18" t="inlineStr">
        <is>
          <t>List the tables and measures that would sit in a semantic model for a small shop.</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81" customHeight="1">
      <c r="A6" s="17" t="inlineStr">
        <is>
          <t>PBI-004</t>
        </is>
      </c>
      <c r="B6" s="17" t="inlineStr">
        <is>
          <t>01 Basics</t>
        </is>
      </c>
      <c r="C6" s="17" t="inlineStr">
        <is>
          <t>Beginner</t>
        </is>
      </c>
      <c r="D6" s="17" t="n">
        <v>4</v>
      </c>
      <c r="E6" s="17" t="inlineStr">
        <is>
          <t>Claude knowledge</t>
        </is>
      </c>
      <c r="F6" s="18" t="inlineStr">
        <is>
          <t>Report vs dashboard</t>
        </is>
      </c>
      <c r="G6" s="18" t="inlineStr">
        <is>
          <t>Power BI has a multi-page interactive canvas and a one-page canvas of pinned tiles. What are they called?</t>
        </is>
      </c>
      <c r="H6" s="18" t="inlineStr">
        <is>
          <t>Core concept</t>
        </is>
      </c>
      <c r="I6" s="18" t="inlineStr">
        <is>
          <t>Very high</t>
        </is>
      </c>
      <c r="J6" s="18" t="n">
        <v>5</v>
      </c>
      <c r="K6" s="18" t="inlineStr">
        <is>
          <t>People need both detailed, explorable pages and one quick overview screen, so Power BI offers reports for depth and dashboards for the big picture.</t>
        </is>
      </c>
      <c r="L6" s="18" t="inlineStr">
        <is>
          <t>Pin only the most important visuals to a dashboard so it can be read in a few seconds.</t>
        </is>
      </c>
      <c r="M6" s="18" t="inlineStr">
        <is>
          <t>A report is a book you read and explore, while a dashboard is the poster on the wall.</t>
        </is>
      </c>
      <c r="N6" s="18" t="inlineStr">
        <is>
          <t>A thick book of pages beside a single poster of small tiles.</t>
        </is>
      </c>
      <c r="O6" s="18" t="inlineStr">
        <is>
          <t>The comfort of seeing the key numbers at one glance.</t>
        </is>
      </c>
      <c r="P6" s="18" t="inlineStr">
        <is>
          <t>A report is a multi-page, interactive set of visuals built on one model, while a dashboard is a single page of tiles pinned from one or more reports.</t>
        </is>
      </c>
      <c r="Q6" s="17" t="n"/>
      <c r="R6" s="18" t="inlineStr">
        <is>
          <t>Reports are created in Desktop or the Service and have filters, slicers and many pages. A dashboard exists only in the Service and is made by pinning visuals, so its tiles can come from different reports. Clicking a tile opens the report it came from.</t>
        </is>
      </c>
      <c r="S6" s="18" t="inlineStr">
        <is>
          <t>A report is for exploring details across pages. A dashboard is a single overview page made of pinned tiles. Click a tile and you jump to its report.</t>
        </is>
      </c>
      <c r="T6" s="18" t="inlineStr">
        <is>
          <t>A report is a full book and a dashboard is a poster summarising the key points.</t>
        </is>
      </c>
      <c r="U6" s="18" t="inlineStr">
        <is>
          <t>Report = many pages, one model. Dashboard = one page, many sources.</t>
        </is>
      </c>
      <c r="V6" s="18" t="inlineStr">
        <is>
          <t>A sales report with pages for regions, products and trends.</t>
        </is>
      </c>
      <c r="W6" s="18" t="inlineStr">
        <is>
          <t>A dashboard with tiles pinned from the sales report and the finance report.</t>
        </is>
      </c>
      <c r="X6" s="18" t="inlineStr">
        <is>
          <t>A manager opens the dashboard and clicks a tile to land on the detailed report page.</t>
        </is>
      </c>
      <c r="Y6" s="18" t="inlineStr">
        <is>
          <t>visual, tile, pin, workspace</t>
        </is>
      </c>
      <c r="Z6" s="18" t="inlineStr">
        <is>
          <t>report, dashboard, tile, page, pin</t>
        </is>
      </c>
      <c r="AA6" s="18" t="inlineStr">
        <is>
          <t>Management overviews | Detailed analysis | Daily monitoring</t>
        </is>
      </c>
      <c r="AB6" s="18" t="inlineStr">
        <is>
          <t>A: Can I build a dashboard in Power BI Desktop? | B: No, dashboards are made in the Service by pinning visuals from reports.</t>
        </is>
      </c>
      <c r="AC6" s="18" t="inlineStr">
        <is>
          <t>✗ Reports and dashboards are the same and can both be built in Desktop → ✓ Reports are built in Desktop or the Service, while dashboards exist only in the Service</t>
        </is>
      </c>
      <c r="AD6" s="18" t="inlineStr">
        <is>
          <t>Report vs dashboard: a report has many interactive pages from one model, a dashboard has one page of pinned tiles.</t>
        </is>
      </c>
      <c r="AE6" s="18" t="inlineStr">
        <is>
          <t>Do not cram every visual onto a dashboard, keep it to the key numbers.</t>
        </is>
      </c>
      <c r="AF6" s="18" t="inlineStr">
        <is>
          <t>Report is a book, dashboard is a poster.</t>
        </is>
      </c>
      <c r="AG6" s="18" t="inlineStr">
        <is>
          <t>Pinning five key sales visuals to a dashboard that executives open every morning.</t>
        </is>
      </c>
      <c r="AH6" s="18" t="inlineStr">
        <is>
          <t>An interviewer may ask: What is the difference between a Power BI report and a dashboard?</t>
        </is>
      </c>
      <c r="AI6" s="18" t="inlineStr">
        <is>
          <t>It is like a full book and a poster that sums up its main points.</t>
        </is>
      </c>
      <c r="AJ6" s="18" t="inlineStr">
        <is>
          <t>Where can a dashboard be created?</t>
        </is>
      </c>
      <c r="AK6" s="18" t="inlineStr">
        <is>
          <t>A) In Power Query B) Only in the Power BI Service C) In Excel only D) Only in Power BI Desktop</t>
        </is>
      </c>
      <c r="AL6" s="18" t="inlineStr">
        <is>
          <t>B</t>
        </is>
      </c>
      <c r="AM6" s="18" t="inlineStr">
        <is>
          <t>Dashboards are made in the Service by pinning tiles.</t>
        </is>
      </c>
      <c r="AN6" s="18" t="inlineStr">
        <is>
          <t>A dashboard is made by ____ visuals from reports onto one page → pinning</t>
        </is>
      </c>
      <c r="AO6" s="18" t="inlineStr">
        <is>
          <t>A manager wants one screen with key numbers from two reports. What should you build? → A dashboard with tiles pinned from both reports</t>
        </is>
      </c>
      <c r="AP6" s="18" t="inlineStr">
        <is>
          <t>Explain the difference between a report and a dashboard in three lines.</t>
        </is>
      </c>
      <c r="AQ6" s="18" t="inlineStr">
        <is>
          <t>Choose five visuals you would pin to a dashboard for a shop owner.</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67.5" customHeight="1">
      <c r="A7" s="17" t="inlineStr">
        <is>
          <t>PBI-005</t>
        </is>
      </c>
      <c r="B7" s="17" t="inlineStr">
        <is>
          <t>01 Basics</t>
        </is>
      </c>
      <c r="C7" s="17" t="inlineStr">
        <is>
          <t>Beginner</t>
        </is>
      </c>
      <c r="D7" s="17" t="n">
        <v>5</v>
      </c>
      <c r="E7" s="17" t="inlineStr">
        <is>
          <t>Claude knowledge</t>
        </is>
      </c>
      <c r="F7" s="18" t="inlineStr">
        <is>
          <t>Visual</t>
        </is>
      </c>
      <c r="G7" s="18" t="inlineStr">
        <is>
          <t>What is the name for a single chart, table, card or map on a Power BI report page?</t>
        </is>
      </c>
      <c r="H7" s="18" t="inlineStr">
        <is>
          <t>Report element</t>
        </is>
      </c>
      <c r="I7" s="18" t="inlineStr">
        <is>
          <t>Very high</t>
        </is>
      </c>
      <c r="J7" s="18" t="n">
        <v>4</v>
      </c>
      <c r="K7" s="18" t="inlineStr">
        <is>
          <t>Raw numbers are hard to read, so reports present data as charts and other graphics, each of which is called a visual.</t>
        </is>
      </c>
      <c r="L7" s="18" t="inlineStr">
        <is>
          <t>Pick the visual that answers the question, and delete anything that does not help.</t>
        </is>
      </c>
      <c r="M7" s="18" t="inlineStr">
        <is>
          <t>Each visual is a window that shows one answer from the data.</t>
        </is>
      </c>
      <c r="N7" s="18" t="inlineStr">
        <is>
          <t>A page tiled with a bar chart, a line chart, a card showing one big number and a table.</t>
        </is>
      </c>
      <c r="O7" s="18" t="inlineStr">
        <is>
          <t>The pleasure of dragging a field and watching a chart appear.</t>
        </is>
      </c>
      <c r="P7" s="18" t="inlineStr">
        <is>
          <t>A visual is one graphical element on a report page, such as a chart, table, card, slicer or map.</t>
        </is>
      </c>
      <c r="Q7" s="17" t="n"/>
      <c r="R7" s="18" t="inlineStr">
        <is>
          <t>You create a visual by choosing a type from the Visualizations pane and dragging fields into its wells such as Axis, Values and Legend. Visuals interact: clicking one can filter or highlight the others on the page.</t>
        </is>
      </c>
      <c r="S7" s="18" t="inlineStr">
        <is>
          <t>A visual is one chart or table on your page. You pick its type and drag fields into it, and it responds when you click on other visuals.</t>
        </is>
      </c>
      <c r="T7" s="18" t="inlineStr">
        <is>
          <t>It is like one picture in a photo wall, where each picture tells part of the story.</t>
        </is>
      </c>
      <c r="U7" s="18" t="inlineStr">
        <is>
          <t>Visual = type + fields + formatting</t>
        </is>
      </c>
      <c r="V7" s="18" t="inlineStr">
        <is>
          <t>A card visual showing total sales as one big number.</t>
        </is>
      </c>
      <c r="W7" s="18" t="inlineStr">
        <is>
          <t>A line chart showing sales by month.</t>
        </is>
      </c>
      <c r="X7" s="18" t="inlineStr">
        <is>
          <t>A table visual listing each product with its quantity.</t>
        </is>
      </c>
      <c r="Y7" s="18" t="inlineStr">
        <is>
          <t>slicer, Visualizations pane, report page, cross-filtering</t>
        </is>
      </c>
      <c r="Z7" s="18" t="inlineStr">
        <is>
          <t>chart, card, table, matrix, map</t>
        </is>
      </c>
      <c r="AA7" s="18" t="inlineStr">
        <is>
          <t>Every Power BI report | Dashboards | Data storytelling</t>
        </is>
      </c>
      <c r="AB7" s="18" t="inlineStr">
        <is>
          <t>A: How do I show sales by region? | B: Add a bar chart visual and drag Region to the axis and Sales to the values.</t>
        </is>
      </c>
      <c r="AC7" s="18" t="inlineStr">
        <is>
          <t>✗ A visual only shows data and cannot affect other visuals → ✓ Visuals interact, and clicking one can filter or highlight the others on the page</t>
        </is>
      </c>
      <c r="AD7" s="18" t="inlineStr">
        <is>
          <t>Visual vs slicer: a visual shows data, a slicer is a visual used to filter other visuals.</t>
        </is>
      </c>
      <c r="AE7" s="18" t="inlineStr">
        <is>
          <t>Do not place too many visuals on one page, it overwhelms the reader.</t>
        </is>
      </c>
      <c r="AF7" s="18" t="inlineStr">
        <is>
          <t>Visual means a view of one answer.</t>
        </is>
      </c>
      <c r="AG7" s="18" t="inlineStr">
        <is>
          <t>Designing a report page with a card, a line chart and a bar chart that answer three business questions.</t>
        </is>
      </c>
      <c r="AH7" s="18" t="inlineStr">
        <is>
          <t>An interviewer may ask: Which visual would you use to show a trend over time?</t>
        </is>
      </c>
      <c r="AI7" s="18" t="inlineStr">
        <is>
          <t>It is like one picture on a wall of photographs.</t>
        </is>
      </c>
      <c r="AJ7" s="18" t="inlineStr">
        <is>
          <t>Which visual shows a single big number such as total sales?</t>
        </is>
      </c>
      <c r="AK7" s="18" t="inlineStr">
        <is>
          <t>A) Matrix B) Slicer C) Treemap D) Card</t>
        </is>
      </c>
      <c r="AL7" s="18" t="inlineStr">
        <is>
          <t>D</t>
        </is>
      </c>
      <c r="AM7" s="18" t="inlineStr">
        <is>
          <t>A card displays one value prominently.</t>
        </is>
      </c>
      <c r="AN7" s="18" t="inlineStr">
        <is>
          <t>You drag fields into the wells of a ____ to build it → visual</t>
        </is>
      </c>
      <c r="AO7" s="18" t="inlineStr">
        <is>
          <t>Which visual would you choose to show sales by month over a year? → A line chart</t>
        </is>
      </c>
      <c r="AP7" s="18" t="inlineStr">
        <is>
          <t>Explain in three lines how a visual is built from fields.</t>
        </is>
      </c>
      <c r="AQ7" s="18" t="inlineStr">
        <is>
          <t>Design a page of three visuals that answer three questions about a shop's sales.</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67.5" customHeight="1">
      <c r="A8" s="17" t="inlineStr">
        <is>
          <t>PBI-006</t>
        </is>
      </c>
      <c r="B8" s="17" t="inlineStr">
        <is>
          <t>01 Basics</t>
        </is>
      </c>
      <c r="C8" s="17" t="inlineStr">
        <is>
          <t>Beginner</t>
        </is>
      </c>
      <c r="D8" s="17" t="n">
        <v>6</v>
      </c>
      <c r="E8" s="17" t="inlineStr">
        <is>
          <t>Claude knowledge</t>
        </is>
      </c>
      <c r="F8" s="18" t="inlineStr">
        <is>
          <t>Get Data (data sources and connectors)</t>
        </is>
      </c>
      <c r="G8" s="18" t="inlineStr">
        <is>
          <t>Which button starts the process of connecting Power BI to files, databases or online services?</t>
        </is>
      </c>
      <c r="H8" s="18" t="inlineStr">
        <is>
          <t>Data connection</t>
        </is>
      </c>
      <c r="I8" s="18" t="inlineStr">
        <is>
          <t>Very high</t>
        </is>
      </c>
      <c r="J8" s="18" t="n">
        <v>5</v>
      </c>
      <c r="K8" s="18" t="inlineStr">
        <is>
          <t>Business data lives in many places, so Power BI includes connectors that know how to talk to each kind of source.</t>
        </is>
      </c>
      <c r="L8" s="18" t="inlineStr">
        <is>
          <t>Start with Transform Data rather than Load so you can clean the data before it enters the model.</t>
        </is>
      </c>
      <c r="M8" s="18" t="inlineStr">
        <is>
          <t>Get Data is a set of plug adapters that fit almost any wall socket of data.</t>
        </is>
      </c>
      <c r="N8" s="18" t="inlineStr">
        <is>
          <t>A plug board with icons for Excel, SQL, web and cloud services.</t>
        </is>
      </c>
      <c r="O8" s="18" t="inlineStr">
        <is>
          <t>The thrill of seeing your first table appear from a file you already had.</t>
        </is>
      </c>
      <c r="P8" s="18" t="inlineStr">
        <is>
          <t>Get Data opens a list of connectors that let Power BI load data from files, databases, online services and web sources.</t>
        </is>
      </c>
      <c r="Q8" s="17" t="n"/>
      <c r="R8" s="18" t="inlineStr">
        <is>
          <t>Common sources include Excel, CSV, SQL Server, SharePoint, web pages and cloud services. After you choose a source, you can Load the data directly or choose Transform Data to open Power Query and clean it first.</t>
        </is>
      </c>
      <c r="S8" s="18" t="inlineStr">
        <is>
          <t>Click Get Data, choose the kind of source, and sign in or pick the file. Then choose Load, or Transform Data to clean it first.</t>
        </is>
      </c>
      <c r="T8" s="18" t="inlineStr">
        <is>
          <t>It is like a travel adapter set that fits sockets in many countries.</t>
        </is>
      </c>
      <c r="U8" s="18" t="inlineStr">
        <is>
          <t>Get Data → choose connector → Load or Transform Data</t>
        </is>
      </c>
      <c r="V8" s="18" t="inlineStr">
        <is>
          <t>Connecting to an Excel workbook that holds monthly sales.</t>
        </is>
      </c>
      <c r="W8" s="18" t="inlineStr">
        <is>
          <t>Connecting to a SQL Server database for customer records.</t>
        </is>
      </c>
      <c r="X8" s="18" t="inlineStr">
        <is>
          <t>Connecting to a web page that has a table of exchange rates.</t>
        </is>
      </c>
      <c r="Y8" s="18" t="inlineStr">
        <is>
          <t>Power Query, Import vs DirectQuery, gateway, connector</t>
        </is>
      </c>
      <c r="Z8" s="18" t="inlineStr">
        <is>
          <t>connector, source, load, transform, credentials</t>
        </is>
      </c>
      <c r="AA8" s="18" t="inlineStr">
        <is>
          <t>Starting every report | Refreshing data | Combining files</t>
        </is>
      </c>
      <c r="AB8" s="18" t="inlineStr">
        <is>
          <t>A: My data is in a CSV file, how do I bring it in? | B: Use Get Data, choose Text/CSV, and pick Transform Data if it needs cleaning.</t>
        </is>
      </c>
      <c r="AC8" s="18" t="inlineStr">
        <is>
          <t>✗ Power BI can only load data from Excel files → ✓ Power BI has many connectors, including databases, cloud services and web sources</t>
        </is>
      </c>
      <c r="AD8" s="18" t="inlineStr">
        <is>
          <t>Load vs Transform Data: Load brings the data in as it is, Transform Data lets you clean it in Power Query first.</t>
        </is>
      </c>
      <c r="AE8" s="18" t="inlineStr">
        <is>
          <t>Do not load a huge raw table without removing columns you do not need.</t>
        </is>
      </c>
      <c r="AF8" s="18" t="inlineStr">
        <is>
          <t>Get Data gets the data in.</t>
        </is>
      </c>
      <c r="AG8" s="18" t="inlineStr">
        <is>
          <t>Connecting a report to a company SQL database and loading only the columns the team needs.</t>
        </is>
      </c>
      <c r="AH8" s="18" t="inlineStr">
        <is>
          <t>An interviewer may ask: What kinds of data sources can Power BI connect to?</t>
        </is>
      </c>
      <c r="AI8" s="18" t="inlineStr">
        <is>
          <t>It is like a travel adapter set that fits sockets in different countries.</t>
        </is>
      </c>
      <c r="AJ8" s="18" t="inlineStr">
        <is>
          <t>Which choice lets you clean data before it is loaded?</t>
        </is>
      </c>
      <c r="AK8" s="18" t="inlineStr">
        <is>
          <t>A) Transform Data B) Load C) Publish D) Refresh</t>
        </is>
      </c>
      <c r="AL8" s="18" t="inlineStr">
        <is>
          <t>A</t>
        </is>
      </c>
      <c r="AM8" s="18" t="inlineStr">
        <is>
          <t>Transform Data opens Power Query so you can clean the data first.</t>
        </is>
      </c>
      <c r="AN8" s="18" t="inlineStr">
        <is>
          <t>Cleaning data before loading is done by choosing ____ Data → Transform</t>
        </is>
      </c>
      <c r="AO8" s="18" t="inlineStr">
        <is>
          <t>Which button do you press first to bring a CSV file into a report? → Get Data</t>
        </is>
      </c>
      <c r="AP8" s="18" t="inlineStr">
        <is>
          <t>Explain the difference between Load and Transform Data in three lines.</t>
        </is>
      </c>
      <c r="AQ8" s="18" t="inlineStr">
        <is>
          <t>List three data sources from your own work or study that Power BI could connect to.</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94.5" customHeight="1">
      <c r="A9" s="17" t="inlineStr">
        <is>
          <t>PBI-007</t>
        </is>
      </c>
      <c r="B9" s="17" t="inlineStr">
        <is>
          <t>01 Basics</t>
        </is>
      </c>
      <c r="C9" s="17" t="inlineStr">
        <is>
          <t>Beginner</t>
        </is>
      </c>
      <c r="D9" s="17" t="n">
        <v>7</v>
      </c>
      <c r="E9" s="17" t="inlineStr">
        <is>
          <t>Claude knowledge</t>
        </is>
      </c>
      <c r="F9" s="18" t="inlineStr">
        <is>
          <t>Import vs DirectQuery</t>
        </is>
      </c>
      <c r="G9" s="18" t="inlineStr">
        <is>
          <t>Which two storage modes decide whether Power BI keeps a copy of your data or asks the source every time?</t>
        </is>
      </c>
      <c r="H9" s="18" t="inlineStr">
        <is>
          <t>Storage mode</t>
        </is>
      </c>
      <c r="I9" s="18" t="inlineStr">
        <is>
          <t>Very high</t>
        </is>
      </c>
      <c r="J9" s="18" t="n">
        <v>5</v>
      </c>
      <c r="K9" s="18" t="inlineStr">
        <is>
          <t>Some data is small and fast to copy while other data is huge or must be live, so Power BI offers both a stored copy and a live query option.</t>
        </is>
      </c>
      <c r="L9" s="18" t="inlineStr">
        <is>
          <t>Choose Import by default and use DirectQuery only when the data is too large or must be real time.</t>
        </is>
      </c>
      <c r="M9" s="18" t="inlineStr">
        <is>
          <t>Import is photocopying a book to read at home, and DirectQuery is going to the library every time you need a page.</t>
        </is>
      </c>
      <c r="N9" s="18" t="inlineStr">
        <is>
          <t>One arrow carries a full copy into Power BI, another arrow keeps asking the source each time.</t>
        </is>
      </c>
      <c r="O9" s="18" t="inlineStr">
        <is>
          <t>The relief of fast visuals when the data is already inside the model.</t>
        </is>
      </c>
      <c r="P9" s="18" t="inlineStr">
        <is>
          <t>Import loads a compressed copy of the data into Power BI, while DirectQuery sends queries to the source each time a visual is used.</t>
        </is>
      </c>
      <c r="Q9" s="17" t="n"/>
      <c r="R9" s="18" t="inlineStr">
        <is>
          <t>In Import mode the data is stored in the model's fast in-memory engine and refreshed on a schedule, so visuals are quick and all DAX features work. In DirectQuery mode nothing is stored, each visual sends a query to the source, so data is current but slower and some features are limited.</t>
        </is>
      </c>
      <c r="S9" s="18" t="inlineStr">
        <is>
          <t>Import copies the data into Power BI, which is fast but needs refreshing. DirectQuery leaves the data where it is and asks every time, which is current but slower.</t>
        </is>
      </c>
      <c r="T9" s="18" t="inlineStr">
        <is>
          <t>Import is photocopying the book, DirectQuery is visiting the library each time.</t>
        </is>
      </c>
      <c r="U9" s="18" t="inlineStr">
        <is>
          <t>Import = copy + fast + scheduled refresh. DirectQuery = live + slower + source does the work.</t>
        </is>
      </c>
      <c r="V9" s="18" t="inlineStr">
        <is>
          <t>A monthly Excel sales file is loaded in Import mode.</t>
        </is>
      </c>
      <c r="W9" s="18" t="inlineStr">
        <is>
          <t>A huge live transactions database is queried with DirectQuery.</t>
        </is>
      </c>
      <c r="X9" s="18" t="inlineStr">
        <is>
          <t>A report mixes both modes in one composite model.</t>
        </is>
      </c>
      <c r="Y9" s="18" t="inlineStr">
        <is>
          <t>refresh, composite model, aggregations, gateway</t>
        </is>
      </c>
      <c r="Z9" s="18" t="inlineStr">
        <is>
          <t>Import, DirectQuery, Live connection, storage mode, refresh</t>
        </is>
      </c>
      <c r="AA9" s="18" t="inlineStr">
        <is>
          <t>Choosing report performance | Large data | Real-time reporting</t>
        </is>
      </c>
      <c r="AB9" s="18" t="inlineStr">
        <is>
          <t>A: Our database is huge and changes every second. | B: Use DirectQuery so each visual asks the source for current data.</t>
        </is>
      </c>
      <c r="AC9" s="18" t="inlineStr">
        <is>
          <t>✗ DirectQuery is always better because the data is live → ✓ DirectQuery is usually slower and has feature limits, so Import is the better default</t>
        </is>
      </c>
      <c r="AD9" s="18" t="inlineStr">
        <is>
          <t>Import vs DirectQuery: Import stores a copy and needs refresh, DirectQuery stores nothing and queries the source each time.</t>
        </is>
      </c>
      <c r="AE9" s="18" t="inlineStr">
        <is>
          <t>Do not choose DirectQuery just to avoid scheduling a refresh.</t>
        </is>
      </c>
      <c r="AF9" s="18" t="inlineStr">
        <is>
          <t>Import imports a copy, DirectQuery directly asks.</t>
        </is>
      </c>
      <c r="AG9" s="18" t="inlineStr">
        <is>
          <t>Using Import for a monthly finance model and DirectQuery for a live operations table.</t>
        </is>
      </c>
      <c r="AH9" s="18" t="inlineStr">
        <is>
          <t>An interviewer may ask: When would you choose DirectQuery over Import?</t>
        </is>
      </c>
      <c r="AI9" s="18" t="inlineStr">
        <is>
          <t>It is like photocopying a book versus going to the library every time.</t>
        </is>
      </c>
      <c r="AJ9" s="18" t="inlineStr">
        <is>
          <t>Which storage mode keeps no copy of the data inside the model?</t>
        </is>
      </c>
      <c r="AK9" s="18" t="inlineStr">
        <is>
          <t>A) Offline B) Dual copy C) DirectQuery D) Import</t>
        </is>
      </c>
      <c r="AL9" s="18" t="inlineStr">
        <is>
          <t>C</t>
        </is>
      </c>
      <c r="AM9" s="18" t="inlineStr">
        <is>
          <t>DirectQuery sends queries to the source each time and stores no data.</t>
        </is>
      </c>
      <c r="AN9" s="18" t="inlineStr">
        <is>
          <t>With ____ mode the data is stored in the model and refreshed on a schedule → Import</t>
        </is>
      </c>
      <c r="AO9" s="18" t="inlineStr">
        <is>
          <t>Which mode would you choose for a small file that changes once a month? → Import</t>
        </is>
      </c>
      <c r="AP9" s="18" t="inlineStr">
        <is>
          <t>Explain the difference between Import and DirectQuery in three lines.</t>
        </is>
      </c>
      <c r="AQ9" s="18" t="inlineStr">
        <is>
          <t>Write one real situation for Import and one for DirectQuery.</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81" customHeight="1">
      <c r="A10" s="17" t="inlineStr">
        <is>
          <t>PBI-008</t>
        </is>
      </c>
      <c r="B10" s="17" t="inlineStr">
        <is>
          <t>01 Basics</t>
        </is>
      </c>
      <c r="C10" s="17" t="inlineStr">
        <is>
          <t>Beginner</t>
        </is>
      </c>
      <c r="D10" s="17" t="n">
        <v>8</v>
      </c>
      <c r="E10" s="17" t="inlineStr">
        <is>
          <t>Claude knowledge</t>
        </is>
      </c>
      <c r="F10" s="18" t="inlineStr">
        <is>
          <t>Publish and share</t>
        </is>
      </c>
      <c r="G10" s="18" t="inlineStr">
        <is>
          <t>What do you do in Power BI Desktop to put a finished report online so other people can open it?</t>
        </is>
      </c>
      <c r="H10" s="18" t="inlineStr">
        <is>
          <t>Sharing</t>
        </is>
      </c>
      <c r="I10" s="18" t="inlineStr">
        <is>
          <t>High</t>
        </is>
      </c>
      <c r="J10" s="18" t="n">
        <v>4</v>
      </c>
      <c r="K10" s="18" t="inlineStr">
        <is>
          <t>A report on one laptop helps only one person, so Power BI lets you publish it to a cloud workspace and share it with others.</t>
        </is>
      </c>
      <c r="L10" s="18" t="inlineStr">
        <is>
          <t>Publish into a workspace and share through an app instead of sending file copies.</t>
        </is>
      </c>
      <c r="M10" s="18" t="inlineStr">
        <is>
          <t>Publishing is moving your finished painting from your studio to a public gallery.</t>
        </is>
      </c>
      <c r="N10" s="18" t="inlineStr">
        <is>
          <t>A report file flies from a laptop up into a cloud shaped like a workspace.</t>
        </is>
      </c>
      <c r="O10" s="18" t="inlineStr">
        <is>
          <t>The pride of seeing colleagues open your report in a browser.</t>
        </is>
      </c>
      <c r="P10" s="18" t="inlineStr">
        <is>
          <t>Publishing sends a report and its model from Desktop to a workspace in the Power BI Service, where it can be shared.</t>
        </is>
      </c>
      <c r="Q10" s="17" t="n"/>
      <c r="R10" s="18" t="inlineStr">
        <is>
          <t>In Desktop you choose Publish and select a workspace. In the Service you can then share the report by link, give access to people, or distribute it through an app. Viewers usually need a licence or the content must be in suitable capacity.</t>
        </is>
      </c>
      <c r="S10" s="18" t="inlineStr">
        <is>
          <t>Click Publish in Desktop, choose a workspace, and your report goes to the cloud. From there you share it with people or package it as an app.</t>
        </is>
      </c>
      <c r="T10" s="18" t="inlineStr">
        <is>
          <t>It is like moving a painting from your studio into a public gallery.</t>
        </is>
      </c>
      <c r="U10" s="18" t="inlineStr">
        <is>
          <t>Desktop → Publish → workspace → share or app</t>
        </is>
      </c>
      <c r="V10" s="18" t="inlineStr">
        <is>
          <t>Publishing a sales report to the Sales workspace.</t>
        </is>
      </c>
      <c r="W10" s="18" t="inlineStr">
        <is>
          <t>Sharing a link to the report with three managers.</t>
        </is>
      </c>
      <c r="X10" s="18" t="inlineStr">
        <is>
          <t>Packaging several reports into an app for the whole department.</t>
        </is>
      </c>
      <c r="Y10" s="18" t="inlineStr">
        <is>
          <t>workspace, app, licence, refresh</t>
        </is>
      </c>
      <c r="Z10" s="18" t="inlineStr">
        <is>
          <t>publish, share, workspace, app, link</t>
        </is>
      </c>
      <c r="AA10" s="18" t="inlineStr">
        <is>
          <t>Distributing reports | Team collaboration | Stakeholder updates</t>
        </is>
      </c>
      <c r="AB10" s="18" t="inlineStr">
        <is>
          <t>A: How do my managers see this report? | B: Publish it to a workspace and share it with them or package it as an app.</t>
        </is>
      </c>
      <c r="AC10" s="18" t="inlineStr">
        <is>
          <t>✗ Emailing the .pbix file is the best way to share a report → ✓ Publishing to a workspace lets people view one live, refreshed version without copies</t>
        </is>
      </c>
      <c r="AD10" s="18" t="inlineStr">
        <is>
          <t>Publish vs share: publishing puts the report in the Service, sharing gives people access to it.</t>
        </is>
      </c>
      <c r="AE10" s="18" t="inlineStr">
        <is>
          <t>Do not email copies of the report file, versions will drift apart.</t>
        </is>
      </c>
      <c r="AF10" s="18" t="inlineStr">
        <is>
          <t>Publish puts it up, share lets people in.</t>
        </is>
      </c>
      <c r="AG10" s="18" t="inlineStr">
        <is>
          <t>Publishing a monthly report to a workspace and giving the leadership team access.</t>
        </is>
      </c>
      <c r="AH10" s="18" t="inlineStr">
        <is>
          <t>An interviewer may ask: How do you share a Power BI report with colleagues?</t>
        </is>
      </c>
      <c r="AI10" s="18" t="inlineStr">
        <is>
          <t>It is like moving a painting from a studio to a gallery.</t>
        </is>
      </c>
      <c r="AJ10" s="18" t="inlineStr">
        <is>
          <t>What is the best way to give many people the same, current version of a report?</t>
        </is>
      </c>
      <c r="AK10" s="18" t="inlineStr">
        <is>
          <t>A) Print it B) Publish it to a workspace and share C) Email the .pbix file D) Copy it to a USB stick</t>
        </is>
      </c>
      <c r="AL10" s="18" t="inlineStr">
        <is>
          <t>B</t>
        </is>
      </c>
      <c r="AM10" s="18" t="inlineStr">
        <is>
          <t>Publishing keeps one live version in the Service for everyone.</t>
        </is>
      </c>
      <c r="AN10" s="18" t="inlineStr">
        <is>
          <t>In Desktop you press ____ to send a report to the Service → Publish</t>
        </is>
      </c>
      <c r="AO10" s="18" t="inlineStr">
        <is>
          <t>How do you avoid sending many copies of a file to colleagues? → Publish it to a workspace and share it</t>
        </is>
      </c>
      <c r="AP10" s="18" t="inlineStr">
        <is>
          <t>Explain in three lines how a report gets from Desktop to colleagues.</t>
        </is>
      </c>
      <c r="AQ10" s="18" t="inlineStr">
        <is>
          <t>Write the steps you would follow to publish and share a report with your team.</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67.5" customHeight="1">
      <c r="A11" s="17" t="inlineStr">
        <is>
          <t>PBI-009</t>
        </is>
      </c>
      <c r="B11" s="17" t="inlineStr">
        <is>
          <t>01 Basics</t>
        </is>
      </c>
      <c r="C11" s="17" t="inlineStr">
        <is>
          <t>Beginner</t>
        </is>
      </c>
      <c r="D11" s="17" t="n">
        <v>9</v>
      </c>
      <c r="E11" s="17" t="inlineStr">
        <is>
          <t>Claude knowledge</t>
        </is>
      </c>
      <c r="F11" s="18" t="inlineStr">
        <is>
          <t>.pbix and .pbit files</t>
        </is>
      </c>
      <c r="G11" s="18" t="inlineStr">
        <is>
          <t>Which two Power BI Desktop file types hold a full report with data, and a reusable template without data?</t>
        </is>
      </c>
      <c r="H11" s="18" t="inlineStr">
        <is>
          <t>File types</t>
        </is>
      </c>
      <c r="I11" s="18" t="inlineStr">
        <is>
          <t>Medium</t>
        </is>
      </c>
      <c r="J11" s="18" t="n">
        <v>3</v>
      </c>
      <c r="K11" s="18" t="inlineStr">
        <is>
          <t>Analysts need to save their whole work and also reuse a design on new data, so Power BI Desktop has a complete file and a template file.</t>
        </is>
      </c>
      <c r="L11" s="18" t="inlineStr">
        <is>
          <t>Save a template when you want a ready-made layout and model for new monthly data.</t>
        </is>
      </c>
      <c r="M11" s="18" t="inlineStr">
        <is>
          <t>The pbix is the full cake, and the pbit is the recipe card without the cake.</t>
        </is>
      </c>
      <c r="N11" s="18" t="inlineStr">
        <is>
          <t>A full file icon holding data beside a lighter template icon with an empty box.</t>
        </is>
      </c>
      <c r="O11" s="18" t="inlineStr">
        <is>
          <t>The convenience of reusing a design you already worked hard on.</t>
        </is>
      </c>
      <c r="P11" s="18" t="inlineStr">
        <is>
          <t>A .pbix file stores the report, the model and the loaded data, while a .pbit template stores the report and model structure without the data.</t>
        </is>
      </c>
      <c r="Q11" s="17" t="n"/>
      <c r="R11" s="18" t="inlineStr">
        <is>
          <t>A .pbix is the normal Power BI Desktop file. A .pbit template keeps the queries, model, measures and visuals but leaves out the data, so when you open it you are asked for parameter values and the data loads fresh.</t>
        </is>
      </c>
      <c r="S11" s="18" t="inlineStr">
        <is>
          <t>Save as .pbix to keep everything with its data. Save as .pbit when you want to share the design and rebuild it on new data.</t>
        </is>
      </c>
      <c r="T11" s="18" t="inlineStr">
        <is>
          <t>It is like a finished cake versus the recipe that lets you bake it again.</t>
        </is>
      </c>
      <c r="U11" s="18" t="inlineStr">
        <is>
          <t>.pbix = report + model + data. .pbit = report + model, no data.</t>
        </is>
      </c>
      <c r="V11" s="18" t="inlineStr">
        <is>
          <t>A monthly sales report saved as a .pbix file.</t>
        </is>
      </c>
      <c r="W11" s="18" t="inlineStr">
        <is>
          <t>A template saved as .pbit and sent to regional teams who load their own data.</t>
        </is>
      </c>
      <c r="X11" s="18" t="inlineStr">
        <is>
          <t>Opening a .pbit and entering a server name parameter before the data loads.</t>
        </is>
      </c>
      <c r="Y11" s="18" t="inlineStr">
        <is>
          <t>parameters, publish, template, Power BI Desktop</t>
        </is>
      </c>
      <c r="Z11" s="18" t="inlineStr">
        <is>
          <t>pbix, pbit, template, file, parameter</t>
        </is>
      </c>
      <c r="AA11" s="18" t="inlineStr">
        <is>
          <t>Saving work | Reusing designs | Handing a report to others</t>
        </is>
      </c>
      <c r="AB11" s="18" t="inlineStr">
        <is>
          <t>A: I want others to use my layout with their own data. | B: Save it as a .pbit template so the data is not included.</t>
        </is>
      </c>
      <c r="AC11" s="18" t="inlineStr">
        <is>
          <t>✗ A .pbit template contains the loaded data too → ✓ A .pbit stores the structure only and asks you to load the data again</t>
        </is>
      </c>
      <c r="AD11" s="18" t="inlineStr">
        <is>
          <t>.pbix vs .pbit: .pbix includes data, .pbit does not.</t>
        </is>
      </c>
      <c r="AE11" s="18" t="inlineStr">
        <is>
          <t>Do not share a .pbix that contains confidential data by mistake.</t>
        </is>
      </c>
      <c r="AF11" s="18" t="inlineStr">
        <is>
          <t>pbix is the Box with data, pbit is the Blueprint.</t>
        </is>
      </c>
      <c r="AG11" s="18" t="inlineStr">
        <is>
          <t>Sending a .pbit template to branch offices so each loads its own figures into the same design.</t>
        </is>
      </c>
      <c r="AH11" s="18" t="inlineStr">
        <is>
          <t>An interviewer may ask: What is the difference between a .pbix and a .pbit file?</t>
        </is>
      </c>
      <c r="AI11" s="18" t="inlineStr">
        <is>
          <t>It is like a finished cake versus the recipe card.</t>
        </is>
      </c>
      <c r="AJ11" s="18" t="inlineStr">
        <is>
          <t>Which file type holds the report design but not the data?</t>
        </is>
      </c>
      <c r="AK11" s="18" t="inlineStr">
        <is>
          <t>A) .xlsx B) .pbit C) .pbix D) .csv</t>
        </is>
      </c>
      <c r="AL11" s="18" t="inlineStr">
        <is>
          <t>B</t>
        </is>
      </c>
      <c r="AM11" s="18" t="inlineStr">
        <is>
          <t>A .pbit is a template without data.</t>
        </is>
      </c>
      <c r="AN11" s="18" t="inlineStr">
        <is>
          <t>The normal Power BI Desktop file that includes data has the extension ____ → .pbix</t>
        </is>
      </c>
      <c r="AO11" s="18" t="inlineStr">
        <is>
          <t>How can you share a design that others will fill with their own data? → Save it as a .pbit template</t>
        </is>
      </c>
      <c r="AP11" s="18" t="inlineStr">
        <is>
          <t>Explain the difference between .pbix and .pbit in three lines.</t>
        </is>
      </c>
      <c r="AQ11" s="18" t="inlineStr">
        <is>
          <t>Write when you would choose a template instead of a normal report file.</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67.5" customHeight="1">
      <c r="A12" s="17" t="inlineStr">
        <is>
          <t>PBI-010</t>
        </is>
      </c>
      <c r="B12" s="17" t="inlineStr">
        <is>
          <t>02 Power Query</t>
        </is>
      </c>
      <c r="C12" s="17" t="inlineStr">
        <is>
          <t>Beginner</t>
        </is>
      </c>
      <c r="D12" s="17" t="n">
        <v>10</v>
      </c>
      <c r="E12" s="17" t="inlineStr">
        <is>
          <t>Claude knowledge</t>
        </is>
      </c>
      <c r="F12" s="18" t="inlineStr">
        <is>
          <t>Power Query Editor</t>
        </is>
      </c>
      <c r="G12" s="18" t="inlineStr">
        <is>
          <t>Which window inside Power BI lets you clean and reshape data before it is loaded into the model?</t>
        </is>
      </c>
      <c r="H12" s="18" t="inlineStr">
        <is>
          <t>Data preparation tool</t>
        </is>
      </c>
      <c r="I12" s="18" t="inlineStr">
        <is>
          <t>Very high</t>
        </is>
      </c>
      <c r="J12" s="18" t="n">
        <v>5</v>
      </c>
      <c r="K12" s="18" t="inlineStr">
        <is>
          <t>Real-world data is messy, so Microsoft added a dedicated editor where cleaning steps can be recorded and replayed on every refresh.</t>
        </is>
      </c>
      <c r="L12" s="18" t="inlineStr">
        <is>
          <t>Do all your cleaning here, not in the report, so every refresh repeats the same steps.</t>
        </is>
      </c>
      <c r="M12" s="18" t="inlineStr">
        <is>
          <t>The editor is a car wash that the data drives through before it enters the showroom.</t>
        </is>
      </c>
      <c r="N12" s="18" t="inlineStr">
        <is>
          <t>A window with a table in the middle, a list of steps on the right and a list of queries on the left.</t>
        </is>
      </c>
      <c r="O12" s="18" t="inlineStr">
        <is>
          <t>The satisfaction of watching a messy table become tidy with a few clicks.</t>
        </is>
      </c>
      <c r="P12" s="18" t="inlineStr">
        <is>
          <t>The Power Query Editor is the tool where you connect to data, clean and transform it, and then load it into the model.</t>
        </is>
      </c>
      <c r="Q12" s="17" t="n"/>
      <c r="R12" s="18" t="inlineStr">
        <is>
          <t>You open it with Transform Data. It records each action as a step written in the M language. Because the steps are saved, the same cleaning runs again automatically on each refresh, so you never repeat the work.</t>
        </is>
      </c>
      <c r="S12" s="18" t="inlineStr">
        <is>
          <t>Power Query is the cleaning room. You remove bad rows, fix types and reshape tables, and every action is remembered so it runs again when data refreshes.</t>
        </is>
      </c>
      <c r="T12" s="18" t="inlineStr">
        <is>
          <t>It works like a car wash that every car passes through before entering the showroom.</t>
        </is>
      </c>
      <c r="U12" s="18" t="inlineStr">
        <is>
          <t>Connect → transform (steps recorded) → load to the model</t>
        </is>
      </c>
      <c r="V12" s="18" t="inlineStr">
        <is>
          <t>Removing blank rows from an Excel export.</t>
        </is>
      </c>
      <c r="W12" s="18" t="inlineStr">
        <is>
          <t>Splitting a full name column into first name and last name.</t>
        </is>
      </c>
      <c r="X12" s="18" t="inlineStr">
        <is>
          <t>Changing a text column of dates into a proper date column.</t>
        </is>
      </c>
      <c r="Y12" s="18" t="inlineStr">
        <is>
          <t>Applied Steps, M language, query folding, Transform Data</t>
        </is>
      </c>
      <c r="Z12" s="18" t="inlineStr">
        <is>
          <t>query, step, transform, load, refresh</t>
        </is>
      </c>
      <c r="AA12" s="18" t="inlineStr">
        <is>
          <t>Data cleaning | Combining files | Preparing models</t>
        </is>
      </c>
      <c r="AB12" s="18" t="inlineStr">
        <is>
          <t>A: The monthly file has extra header rows every time. | B: Remove them in Power Query once, and the step will repeat on each refresh.</t>
        </is>
      </c>
      <c r="AC12" s="18" t="inlineStr">
        <is>
          <t>✗ Cleaning in Power Query changes the original source file → ✓ Power Query never alters the source, it only shapes the copy that is loaded</t>
        </is>
      </c>
      <c r="AD12" s="18" t="inlineStr">
        <is>
          <t>Power Query vs DAX: Power Query shapes data before loading, DAX calculates on the loaded model.</t>
        </is>
      </c>
      <c r="AE12" s="18" t="inlineStr">
        <is>
          <t>Do not clean data by hand in the source file when Power Query can do it repeatably.</t>
        </is>
      </c>
      <c r="AF12" s="18" t="inlineStr">
        <is>
          <t>Power Query is the wash before the showroom.</t>
        </is>
      </c>
      <c r="AG12" s="18" t="inlineStr">
        <is>
          <t>Cleaning a monthly sales export in Power Query so it loads in the same shape every time.</t>
        </is>
      </c>
      <c r="AH12" s="18" t="inlineStr">
        <is>
          <t>An interviewer may ask: What is Power Query used for in Power BI?</t>
        </is>
      </c>
      <c r="AI12" s="18" t="inlineStr">
        <is>
          <t>It is like a car wash that every car passes through before the showroom.</t>
        </is>
      </c>
      <c r="AJ12" s="18" t="inlineStr">
        <is>
          <t>Does cleaning data in Power Query change the original source file?</t>
        </is>
      </c>
      <c r="AK12" s="18" t="inlineStr">
        <is>
          <t>A) Only for Excel B) Only for databases C) No, it only shapes the loaded copy D) Yes, it overwrites it</t>
        </is>
      </c>
      <c r="AL12" s="18" t="inlineStr">
        <is>
          <t>C</t>
        </is>
      </c>
      <c r="AM12" s="18" t="inlineStr">
        <is>
          <t>Power Query reads from the source and never writes back to it.</t>
        </is>
      </c>
      <c r="AN12" s="18" t="inlineStr">
        <is>
          <t>Each change you make in Power Query is recorded as a ____ → step</t>
        </is>
      </c>
      <c r="AO12" s="18" t="inlineStr">
        <is>
          <t>Where should you remove blank rows so it repeats on every refresh? → In Power Query</t>
        </is>
      </c>
      <c r="AP12" s="18" t="inlineStr">
        <is>
          <t>Explain what Power Query does in three lines.</t>
        </is>
      </c>
      <c r="AQ12" s="18" t="inlineStr">
        <is>
          <t>List three cleaning actions you would perform on a messy sales file.</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67.5" customHeight="1">
      <c r="A13" s="17" t="inlineStr">
        <is>
          <t>PBI-011</t>
        </is>
      </c>
      <c r="B13" s="17" t="inlineStr">
        <is>
          <t>02 Power Query</t>
        </is>
      </c>
      <c r="C13" s="17" t="inlineStr">
        <is>
          <t>Beginner</t>
        </is>
      </c>
      <c r="D13" s="17" t="n">
        <v>11</v>
      </c>
      <c r="E13" s="17" t="inlineStr">
        <is>
          <t>Claude knowledge</t>
        </is>
      </c>
      <c r="F13" s="18" t="inlineStr">
        <is>
          <t>Applied Steps</t>
        </is>
      </c>
      <c r="G13" s="18" t="inlineStr">
        <is>
          <t>Which panel on the right of the Power Query Editor lists every transformation in the order it ran?</t>
        </is>
      </c>
      <c r="H13" s="18" t="inlineStr">
        <is>
          <t>Data preparation tool</t>
        </is>
      </c>
      <c r="I13" s="18" t="inlineStr">
        <is>
          <t>Very high</t>
        </is>
      </c>
      <c r="J13" s="18" t="n">
        <v>4</v>
      </c>
      <c r="K13" s="18" t="inlineStr">
        <is>
          <t>To repeat cleaning on every refresh, Power Query must remember each action, so it lists them in order as named steps.</t>
        </is>
      </c>
      <c r="L13" s="18" t="inlineStr">
        <is>
          <t>Rename steps to describe what they do, so you can read the query like a recipe later.</t>
        </is>
      </c>
      <c r="M13" s="18" t="inlineStr">
        <is>
          <t>Applied Steps is a recipe card that lists every step you took in order.</t>
        </is>
      </c>
      <c r="N13" s="18" t="inlineStr">
        <is>
          <t>A vertical list of named steps with a small gear beside each one.</t>
        </is>
      </c>
      <c r="O13" s="18" t="inlineStr">
        <is>
          <t>The comfort of being able to click back to any earlier stage.</t>
        </is>
      </c>
      <c r="P13" s="18" t="inlineStr">
        <is>
          <t>Applied Steps is the ordered list of transformations that Power Query will run, one after another, every time the data refreshes.</t>
        </is>
      </c>
      <c r="Q13" s="17" t="n"/>
      <c r="R13" s="18" t="inlineStr">
        <is>
          <t>Each click that changes the data adds a step. Clicking an earlier step shows the data as it was then, and you can delete, rename or reorder steps. Deleting a step that later steps depend on can cause errors.</t>
        </is>
      </c>
      <c r="S13" s="18" t="inlineStr">
        <is>
          <t>Applied Steps shows your cleaning actions in order, like a recipe. You can go back, change or remove any step.</t>
        </is>
      </c>
      <c r="T13" s="18" t="inlineStr">
        <is>
          <t>It is like a recipe card listing each cooking step in order.</t>
        </is>
      </c>
      <c r="U13" s="18" t="inlineStr">
        <is>
          <t>Source → step 2 → step 3 → … each one feeds the next</t>
        </is>
      </c>
      <c r="V13" s="18" t="inlineStr">
        <is>
          <t>Source, Promoted Headers and Changed Type listed in order.</t>
        </is>
      </c>
      <c r="W13" s="18" t="inlineStr">
        <is>
          <t>Clicking the Promoted Headers step to see the table before types were changed.</t>
        </is>
      </c>
      <c r="X13" s="18" t="inlineStr">
        <is>
          <t>Deleting a Removed Columns step to bring a column back.</t>
        </is>
      </c>
      <c r="Y13" s="18" t="inlineStr">
        <is>
          <t>Power Query Editor, M language, query folding, transform</t>
        </is>
      </c>
      <c r="Z13" s="18" t="inlineStr">
        <is>
          <t>step, query, source, navigation, transform</t>
        </is>
      </c>
      <c r="AA13" s="18" t="inlineStr">
        <is>
          <t>Reviewing cleaning logic | Fixing errors | Documenting a query</t>
        </is>
      </c>
      <c r="AB13" s="18" t="inlineStr">
        <is>
          <t>A: One column vanished from my table. | B: Check Applied Steps and delete the Removed Columns step to bring it back.</t>
        </is>
      </c>
      <c r="AC13" s="18" t="inlineStr">
        <is>
          <t>✗ Applied Steps only record what happened and cannot be changed → ✓ You can rename, reorder, edit or delete steps, and the query reruns with the new order</t>
        </is>
      </c>
      <c r="AD13" s="18" t="inlineStr">
        <is>
          <t>Applied Steps vs Undo: Undo removes your last action once, Applied Steps keeps the whole editable history.</t>
        </is>
      </c>
      <c r="AE13" s="18" t="inlineStr">
        <is>
          <t>Do not delete an early step without checking the steps that depend on it.</t>
        </is>
      </c>
      <c r="AF13" s="18" t="inlineStr">
        <is>
          <t>Steps run top to bottom like a recipe.</t>
        </is>
      </c>
      <c r="AG13" s="18" t="inlineStr">
        <is>
          <t>Reading Applied Steps to find which step changed a column's type wrongly.</t>
        </is>
      </c>
      <c r="AH13" s="18" t="inlineStr">
        <is>
          <t>An interviewer may ask: How does Power Query remember what you did to the data?</t>
        </is>
      </c>
      <c r="AI13" s="18" t="inlineStr">
        <is>
          <t>It is like a recipe card with the cooking steps in order.</t>
        </is>
      </c>
      <c r="AJ13" s="18" t="inlineStr">
        <is>
          <t>What happens if you delete an early step that later steps depend on?</t>
        </is>
      </c>
      <c r="AK13" s="18" t="inlineStr">
        <is>
          <t>A) The source is deleted B) Power BI closes C) Nothing changes D) Later steps may show errors</t>
        </is>
      </c>
      <c r="AL13" s="18" t="inlineStr">
        <is>
          <t>D</t>
        </is>
      </c>
      <c r="AM13" s="18" t="inlineStr">
        <is>
          <t>Later steps build on earlier ones, so removing one can break them.</t>
        </is>
      </c>
      <c r="AN13" s="18" t="inlineStr">
        <is>
          <t>The right-hand panel that lists your transformations is called ____ Steps → Applied</t>
        </is>
      </c>
      <c r="AO13" s="18" t="inlineStr">
        <is>
          <t>How do you see the table as it looked before a later step? → Click the earlier step in Applied Steps</t>
        </is>
      </c>
      <c r="AP13" s="18" t="inlineStr">
        <is>
          <t>Explain in three lines why Applied Steps are useful.</t>
        </is>
      </c>
      <c r="AQ13" s="18" t="inlineStr">
        <is>
          <t>Open a query and rename three steps so they describe what they do.</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81" customHeight="1">
      <c r="A14" s="17" t="inlineStr">
        <is>
          <t>PBI-012</t>
        </is>
      </c>
      <c r="B14" s="17" t="inlineStr">
        <is>
          <t>02 Power Query</t>
        </is>
      </c>
      <c r="C14" s="17" t="inlineStr">
        <is>
          <t>Beginner</t>
        </is>
      </c>
      <c r="D14" s="17" t="n">
        <v>12</v>
      </c>
      <c r="E14" s="17" t="inlineStr">
        <is>
          <t>Claude knowledge</t>
        </is>
      </c>
      <c r="F14" s="18" t="inlineStr">
        <is>
          <t>Data types</t>
        </is>
      </c>
      <c r="G14" s="18" t="inlineStr">
        <is>
          <t>Why must a column be marked as Whole Number, Text or Date in Power Query before you build calculations on it?</t>
        </is>
      </c>
      <c r="H14" s="18" t="inlineStr">
        <is>
          <t>Data preparation concept</t>
        </is>
      </c>
      <c r="I14" s="18" t="inlineStr">
        <is>
          <t>Very high</t>
        </is>
      </c>
      <c r="J14" s="18" t="n">
        <v>5</v>
      </c>
      <c r="K14" s="18" t="inlineStr">
        <is>
          <t>Computers treat numbers, text and dates differently, so each column needs a declared type for sorting, maths and time functions to work.</t>
        </is>
      </c>
      <c r="L14" s="18" t="inlineStr">
        <is>
          <t>Check types as the first step after loading, because a wrong type causes most strange totals.</t>
        </is>
      </c>
      <c r="M14" s="18" t="inlineStr">
        <is>
          <t>Data types are labels on jars that tell you whether you hold sugar, salt or flour.</t>
        </is>
      </c>
      <c r="N14" s="18" t="inlineStr">
        <is>
          <t>Small icons such as 123, ABC and a calendar sit at the top of each column.</t>
        </is>
      </c>
      <c r="O14" s="18" t="inlineStr">
        <is>
          <t>The relief when a column finally sorts and adds the right way.</t>
        </is>
      </c>
      <c r="P14" s="18" t="inlineStr">
        <is>
          <t>A data type tells Power BI what kind of values a column holds, such as whole number, decimal, text, date or true/false.</t>
        </is>
      </c>
      <c r="Q14" s="17" t="n"/>
      <c r="R14" s="18" t="inlineStr">
        <is>
          <t>The icon beside each column header shows its type. A number stored as text cannot be summed, and a date stored as text cannot be used in time intelligence. You set types with the type icon or Transform, Data Type, and Power Query adds a Changed Type step.</t>
        </is>
      </c>
      <c r="S14" s="18" t="inlineStr">
        <is>
          <t>Types tell Power BI what is inside a column. If a number is stored as text it cannot be added, so always check the icons at the top of the columns.</t>
        </is>
      </c>
      <c r="T14" s="18" t="inlineStr">
        <is>
          <t>It is like labelling kitchen jars so you do not put salt in your tea.</t>
        </is>
      </c>
      <c r="U14" s="18" t="inlineStr">
        <is>
          <t>Number icon 123 → maths works, text icon ABC → no maths, calendar icon → date functions work</t>
        </is>
      </c>
      <c r="V14" s="18" t="inlineStr">
        <is>
          <t>Changing Amount from text to Decimal Number so it can be summed.</t>
        </is>
      </c>
      <c r="W14" s="18" t="inlineStr">
        <is>
          <t>Changing OrderDate from text to Date so it can be grouped by month.</t>
        </is>
      </c>
      <c r="X14" s="18" t="inlineStr">
        <is>
          <t>Changing an IsPaid column to True/False.</t>
        </is>
      </c>
      <c r="Y14" s="18" t="inlineStr">
        <is>
          <t>Applied Steps, Date table, DAX, locale</t>
        </is>
      </c>
      <c r="Z14" s="18" t="inlineStr">
        <is>
          <t>type, text, number, date, boolean</t>
        </is>
      </c>
      <c r="AA14" s="18" t="inlineStr">
        <is>
          <t>First step after loading | Fixing wrong totals | Preparing date columns</t>
        </is>
      </c>
      <c r="AB14" s="18" t="inlineStr">
        <is>
          <t>A: My sales total shows zero. | B: The Amount column is probably Text, change it to a number type.</t>
        </is>
      </c>
      <c r="AC14" s="18" t="inlineStr">
        <is>
          <t>✗ If a column looks like numbers, Power BI can add them → ✓ A column must have a number data type, because text that looks like numbers cannot be summed</t>
        </is>
      </c>
      <c r="AD14" s="18" t="inlineStr">
        <is>
          <t>Text vs number: text sorts alphabetically and cannot be added, numbers sort numerically and can be summed.</t>
        </is>
      </c>
      <c r="AE14" s="18" t="inlineStr">
        <is>
          <t>Do not leave dates as text, time intelligence will not work.</t>
        </is>
      </c>
      <c r="AF14" s="18" t="inlineStr">
        <is>
          <t>Type decides what the column can do.</t>
        </is>
      </c>
      <c r="AG14" s="18" t="inlineStr">
        <is>
          <t>Changing the type of an imported Amount column so the sales total became correct.</t>
        </is>
      </c>
      <c r="AH14" s="18" t="inlineStr">
        <is>
          <t>An interviewer may ask: Why are data types important in Power BI?</t>
        </is>
      </c>
      <c r="AI14" s="18" t="inlineStr">
        <is>
          <t>It is like labelling jars so that you never mix up salt and sugar.</t>
        </is>
      </c>
      <c r="AJ14" s="18" t="inlineStr">
        <is>
          <t>A Sales Amount column is stored as text. What problem will you face?</t>
        </is>
      </c>
      <c r="AK14" s="18" t="inlineStr">
        <is>
          <t>A) It cannot be summed correctly B) It will be faster C) Nothing D) It becomes a date</t>
        </is>
      </c>
      <c r="AL14" s="18" t="inlineStr">
        <is>
          <t>A</t>
        </is>
      </c>
      <c r="AM14" s="18" t="inlineStr">
        <is>
          <t>Text values cannot be aggregated as numbers.</t>
        </is>
      </c>
      <c r="AN14" s="18" t="inlineStr">
        <is>
          <t>A column of dates stored as text should be changed to the ____ data type → Date</t>
        </is>
      </c>
      <c r="AO14" s="18" t="inlineStr">
        <is>
          <t>Why might a total show zero or an error? → The column may be stored as text instead of a number</t>
        </is>
      </c>
      <c r="AP14" s="18" t="inlineStr">
        <is>
          <t>Explain why data types matter in three lines.</t>
        </is>
      </c>
      <c r="AQ14" s="18" t="inlineStr">
        <is>
          <t>Open a file and write down the data type of each column and whether it is right.</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81" customHeight="1">
      <c r="A15" s="17" t="inlineStr">
        <is>
          <t>PBI-018</t>
        </is>
      </c>
      <c r="B15" s="17" t="inlineStr">
        <is>
          <t>02 Power Query</t>
        </is>
      </c>
      <c r="C15" s="17" t="inlineStr">
        <is>
          <t>Intermediate</t>
        </is>
      </c>
      <c r="D15" s="17" t="n">
        <v>18</v>
      </c>
      <c r="E15" s="17" t="inlineStr">
        <is>
          <t>Claude knowledge</t>
        </is>
      </c>
      <c r="F15" s="18" t="inlineStr">
        <is>
          <t>Parameters</t>
        </is>
      </c>
      <c r="G15" s="18" t="inlineStr">
        <is>
          <t>What can you create in Power Query to hold a value such as a server name or a date that you can change in one place?</t>
        </is>
      </c>
      <c r="H15" s="18" t="inlineStr">
        <is>
          <t>Power Query feature</t>
        </is>
      </c>
      <c r="I15" s="18" t="inlineStr">
        <is>
          <t>Medium</t>
        </is>
      </c>
      <c r="J15" s="18" t="n">
        <v>3</v>
      </c>
      <c r="K15" s="18" t="inlineStr">
        <is>
          <t>Hard-coding values like file paths into many queries makes changes painful, so Power Query lets you store such values in named parameters.</t>
        </is>
      </c>
      <c r="L15" s="18" t="inlineStr">
        <is>
          <t>Use a parameter for the file path or server name so you can switch from test to live data in one place.</t>
        </is>
      </c>
      <c r="M15" s="18" t="inlineStr">
        <is>
          <t>A parameter is a labelled dial that you turn once to change many queries.</t>
        </is>
      </c>
      <c r="N15" s="18" t="inlineStr">
        <is>
          <t>A control panel with named dials that feed into several queries.</t>
        </is>
      </c>
      <c r="O15" s="18" t="inlineStr">
        <is>
          <t>The ease of changing one value instead of editing ten queries.</t>
        </is>
      </c>
      <c r="P15" s="18" t="inlineStr">
        <is>
          <t>A parameter is a named value in Power Query that queries and filters can use, and that you can change without editing the queries.</t>
        </is>
      </c>
      <c r="Q15" s="17" t="n"/>
      <c r="R15" s="18" t="inlineStr">
        <is>
          <t>You create parameters with Manage Parameters, choosing a name, a type and a current value. Queries can refer to them in file paths, filters or custom columns. Parameters are also used for incremental refresh and in templates.</t>
        </is>
      </c>
      <c r="S15" s="18" t="inlineStr">
        <is>
          <t>Make a parameter once, such as FolderPath, and use it everywhere. When the folder changes, you change one value and all queries follow.</t>
        </is>
      </c>
      <c r="T15" s="18" t="inlineStr">
        <is>
          <t>It is like a dial on a control panel that changes many machines at once.</t>
        </is>
      </c>
      <c r="U15" s="18" t="inlineStr">
        <is>
          <t>Manage Parameters → name + type + value → use it in queries</t>
        </is>
      </c>
      <c r="V15" s="18" t="inlineStr">
        <is>
          <t>A FilePath parameter that holds the location of the sales file.</t>
        </is>
      </c>
      <c r="W15" s="18" t="inlineStr">
        <is>
          <t>A ServerName parameter used to switch between test and production databases.</t>
        </is>
      </c>
      <c r="X15" s="18" t="inlineStr">
        <is>
          <t>A StartDate parameter that filters a table to recent dates.</t>
        </is>
      </c>
      <c r="Y15" s="18" t="inlineStr">
        <is>
          <t>incremental refresh, templates, Power Query Editor</t>
        </is>
      </c>
      <c r="Z15" s="18" t="inlineStr">
        <is>
          <t>parameter, value, query, template</t>
        </is>
      </c>
      <c r="AA15" s="18" t="inlineStr">
        <is>
          <t>Switching environments | Incremental refresh | Reusable templates</t>
        </is>
      </c>
      <c r="AB15" s="18" t="inlineStr">
        <is>
          <t>A: The file moved to a new folder. | B: If it were stored in a parameter you would only change that one value.</t>
        </is>
      </c>
      <c r="AC15" s="18" t="inlineStr">
        <is>
          <t>✗ Parameters are only used in DAX → ✓ Power Query parameters are used in queries, filters and file paths before the data loads</t>
        </is>
      </c>
      <c r="AD15" s="18" t="inlineStr">
        <is>
          <t>Parameter vs hard-coded value: a parameter is changed in one place, a hard-coded value must be edited in every query.</t>
        </is>
      </c>
      <c r="AE15" s="18" t="inlineStr">
        <is>
          <t>Do not paste the same file path into many queries.</t>
        </is>
      </c>
      <c r="AF15" s="18" t="inlineStr">
        <is>
          <t>A parameter is a dial you turn once.</t>
        </is>
      </c>
      <c r="AG15" s="18" t="inlineStr">
        <is>
          <t>Using a server parameter to move a report from a test database to production.</t>
        </is>
      </c>
      <c r="AH15" s="18" t="inlineStr">
        <is>
          <t>An interviewer may ask: Where have you used parameters in Power BI?</t>
        </is>
      </c>
      <c r="AI15" s="18" t="inlineStr">
        <is>
          <t>It is like a dial on a control panel that changes many machines at once.</t>
        </is>
      </c>
      <c r="AJ15" s="18" t="inlineStr">
        <is>
          <t>Which feature lets you change a file path in one place for many queries?</t>
        </is>
      </c>
      <c r="AK15" s="18" t="inlineStr">
        <is>
          <t>A) Parameter B) Bookmark C) Tooltip D) Slicer</t>
        </is>
      </c>
      <c r="AL15" s="18" t="inlineStr">
        <is>
          <t>A</t>
        </is>
      </c>
      <c r="AM15" s="18" t="inlineStr">
        <is>
          <t>A parameter stores a value that queries reuse.</t>
        </is>
      </c>
      <c r="AN15" s="18" t="inlineStr">
        <is>
          <t>You create named reusable values in Power Query with Manage ____ → Parameters</t>
        </is>
      </c>
      <c r="AO15" s="18" t="inlineStr">
        <is>
          <t>How would you switch a report between test and live servers easily? → Store the server name in a parameter</t>
        </is>
      </c>
      <c r="AP15" s="18" t="inlineStr">
        <is>
          <t>Explain in three lines why parameters are useful.</t>
        </is>
      </c>
      <c r="AQ15" s="18" t="inlineStr">
        <is>
          <t>Create a parameter for a file path and use it in one query.</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94.5" customHeight="1">
      <c r="A16" s="17" t="inlineStr">
        <is>
          <t>PBI-019</t>
        </is>
      </c>
      <c r="B16" s="17" t="inlineStr">
        <is>
          <t>02 Power Query</t>
        </is>
      </c>
      <c r="C16" s="17" t="inlineStr">
        <is>
          <t>Advanced</t>
        </is>
      </c>
      <c r="D16" s="17" t="n">
        <v>19</v>
      </c>
      <c r="E16" s="17" t="inlineStr">
        <is>
          <t>Claude knowledge</t>
        </is>
      </c>
      <c r="F16" s="18" t="inlineStr">
        <is>
          <t>Query folding</t>
        </is>
      </c>
      <c r="G16" s="18" t="inlineStr">
        <is>
          <t>What is it called when Power Query turns your steps into one native query that the data source runs itself?</t>
        </is>
      </c>
      <c r="H16" s="18" t="inlineStr">
        <is>
          <t>Performance concept</t>
        </is>
      </c>
      <c r="I16" s="18" t="inlineStr">
        <is>
          <t>Medium</t>
        </is>
      </c>
      <c r="J16" s="18" t="n">
        <v>4</v>
      </c>
      <c r="K16" s="18" t="inlineStr">
        <is>
          <t>Pulling a whole table into Power BI just to filter it is slow, so Power Query tries to translate steps into the source's own language so the database does the work.</t>
        </is>
      </c>
      <c r="L16" s="18" t="inlineStr">
        <is>
          <t>Put steps that can fold, such as filters and column removal, early, before steps that break folding.</t>
        </is>
      </c>
      <c r="M16" s="18" t="inlineStr">
        <is>
          <t>Folding is handing the whole job to a specialist at the source instead of carrying all the data home to do it yourself.</t>
        </is>
      </c>
      <c r="N16" s="18" t="inlineStr">
        <is>
          <t>A chain of steps squashed into a single SQL query sent to the database.</t>
        </is>
      </c>
      <c r="O16" s="18" t="inlineStr">
        <is>
          <t>The pleasure of a refresh that finishes in seconds.</t>
        </is>
      </c>
      <c r="P16" s="18" t="inlineStr">
        <is>
          <t>Query folding is when Power Query translates your steps into a single query that the data source runs, so less data travels to Power BI.</t>
        </is>
      </c>
      <c r="Q16" s="17" t="n"/>
      <c r="R16" s="18" t="inlineStr">
        <is>
          <t>When folding works, steps like filtering rows and removing columns become part of a SQL statement. Some steps, such as adding an index or certain custom functions, can break folding, and later steps then run inside Power BI. You can right-click a step and choose View Native Query to check.</t>
        </is>
      </c>
      <c r="S16" s="18" t="inlineStr">
        <is>
          <t>Folding means the database does the filtering and shaping, and only the result comes to Power BI. It makes refreshes much faster, and you can check it with View Native Query.</t>
        </is>
      </c>
      <c r="T16" s="18" t="inlineStr">
        <is>
          <t>It is like asking the warehouse to pack the exact order instead of carrying everything home to sort it.</t>
        </is>
      </c>
      <c r="U16" s="18" t="inlineStr">
        <is>
          <t>Foldable steps early → database does the work → faster refresh</t>
        </is>
      </c>
      <c r="V16" s="18" t="inlineStr">
        <is>
          <t>A filter step that becomes a WHERE clause in the SQL sent to the database.</t>
        </is>
      </c>
      <c r="W16" s="18" t="inlineStr">
        <is>
          <t>Removing columns that becomes a narrower SELECT list.</t>
        </is>
      </c>
      <c r="X16" s="18" t="inlineStr">
        <is>
          <t>An added index column that breaks folding so later steps run locally.</t>
        </is>
      </c>
      <c r="Y16" s="18" t="inlineStr">
        <is>
          <t>Import vs DirectQuery, incremental refresh, Applied Steps</t>
        </is>
      </c>
      <c r="Z16" s="18" t="inlineStr">
        <is>
          <t>folding, native query, SQL, pushdown</t>
        </is>
      </c>
      <c r="AA16" s="18" t="inlineStr">
        <is>
          <t>Large databases | Refresh performance | Incremental refresh</t>
        </is>
      </c>
      <c r="AB16" s="18" t="inlineStr">
        <is>
          <t>A: My refresh from SQL takes an hour. | B: Check whether query folding is broken, and move the filter steps earlier.</t>
        </is>
      </c>
      <c r="AC16" s="18" t="inlineStr">
        <is>
          <t>✗ Query folding works for every data source → ✓ Folding mainly works with sources that have their own query language, such as relational databases, and not with plain Excel or CSV files</t>
        </is>
      </c>
      <c r="AD16" s="18" t="inlineStr">
        <is>
          <t>Folded vs not folded: with folding the source does the work, without it Power BI downloads the data and does the work itself.</t>
        </is>
      </c>
      <c r="AE16" s="18" t="inlineStr">
        <is>
          <t>Do not add steps that break folding before filters on a huge table.</t>
        </is>
      </c>
      <c r="AF16" s="18" t="inlineStr">
        <is>
          <t>Folding means the source does the work.</t>
        </is>
      </c>
      <c r="AG16" s="18" t="inlineStr">
        <is>
          <t>Reordering steps so filters folded into SQL and a nightly refresh dropped from an hour to minutes.</t>
        </is>
      </c>
      <c r="AH16" s="18" t="inlineStr">
        <is>
          <t>An interviewer may ask: What is query folding and how do you check it?</t>
        </is>
      </c>
      <c r="AI16" s="18" t="inlineStr">
        <is>
          <t>It is like asking a warehouse to pack the exact order instead of carrying everything home.</t>
        </is>
      </c>
      <c r="AJ16" s="18" t="inlineStr">
        <is>
          <t>How can you check whether a step folds back to the source?</t>
        </is>
      </c>
      <c r="AK16" s="18" t="inlineStr">
        <is>
          <t>A) Applied Steps colour B) Refresh twice C) Add a slicer D) View Native Query</t>
        </is>
      </c>
      <c r="AL16" s="18" t="inlineStr">
        <is>
          <t>D</t>
        </is>
      </c>
      <c r="AM16" s="18" t="inlineStr">
        <is>
          <t>If View Native Query is available for the step, it folds.</t>
        </is>
      </c>
      <c r="AN16" s="18" t="inlineStr">
        <is>
          <t>Right-click a step and choose View ____ Query to check folding → Native</t>
        </is>
      </c>
      <c r="AO16" s="18" t="inlineStr">
        <is>
          <t>Why should filters usually come early in the steps? → So they can fold and the source sends less data</t>
        </is>
      </c>
      <c r="AP16" s="18" t="inlineStr">
        <is>
          <t>Explain query folding in three lines.</t>
        </is>
      </c>
      <c r="AQ16" s="18" t="inlineStr">
        <is>
          <t>Open a query on a database table and check whether each step can show a native query.</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81" customHeight="1">
      <c r="A17" s="17" t="inlineStr">
        <is>
          <t>PBI-020</t>
        </is>
      </c>
      <c r="B17" s="17" t="inlineStr">
        <is>
          <t>03 Data modelling</t>
        </is>
      </c>
      <c r="C17" s="17" t="inlineStr">
        <is>
          <t>Intermediate</t>
        </is>
      </c>
      <c r="D17" s="17" t="n">
        <v>20</v>
      </c>
      <c r="E17" s="17" t="inlineStr">
        <is>
          <t>Claude knowledge</t>
        </is>
      </c>
      <c r="F17" s="18" t="inlineStr">
        <is>
          <t>Star schema</t>
        </is>
      </c>
      <c r="G17" s="18" t="inlineStr">
        <is>
          <t>Which model layout puts one central table of events in the middle, surrounded by smaller descriptive tables?</t>
        </is>
      </c>
      <c r="H17" s="18" t="inlineStr">
        <is>
          <t>Modelling pattern</t>
        </is>
      </c>
      <c r="I17" s="18" t="inlineStr">
        <is>
          <t>Very high</t>
        </is>
      </c>
      <c r="J17" s="18" t="n">
        <v>5</v>
      </c>
      <c r="K17" s="18" t="inlineStr">
        <is>
          <t>Wide, flat tables are slow and repeat text again and again, so analysts adopted the star shape from data warehousing, which Power BI is built to work best with.</t>
        </is>
      </c>
      <c r="L17" s="18" t="inlineStr">
        <is>
          <t>Aim for one fact table in the middle and separate dimension tables around it, joined one-to-many.</t>
        </is>
      </c>
      <c r="M17" s="18" t="inlineStr">
        <is>
          <t>It looks like a star, with the big fact table at the centre and dimension tables as its points.</t>
        </is>
      </c>
      <c r="N17" s="18" t="inlineStr">
        <is>
          <t>One large table in the centre with lines going out to four smaller tables around it.</t>
        </is>
      </c>
      <c r="O17" s="18" t="inlineStr">
        <is>
          <t>The relief of a model where every number filters the way you expect.</t>
        </is>
      </c>
      <c r="P17" s="18" t="inlineStr">
        <is>
          <t>A star schema is a model with a central fact table linked to surrounding dimension tables by one-to-many relationships.</t>
        </is>
      </c>
      <c r="Q17" s="17" t="n"/>
      <c r="R17" s="18" t="inlineStr">
        <is>
          <t>The fact table holds events such as sales with numbers and keys. The dimension tables describe things such as products, customers and dates. Filters flow from each dimension to the fact table, which gives fast queries and simple DAX.</t>
        </is>
      </c>
      <c r="S17" s="18" t="inlineStr">
        <is>
          <t>Put the numbers in one big table, and put descriptions in small tables around it. Link them with one-to-many relationships, and your reports will be fast and easy to understand.</t>
        </is>
      </c>
      <c r="T17" s="18" t="inlineStr">
        <is>
          <t>It is like a wheel with a hub in the middle and spokes going out to each description.</t>
        </is>
      </c>
      <c r="U17" s="18" t="inlineStr">
        <is>
          <t>One fact table + several dimension tables, linked one-to-many</t>
        </is>
      </c>
      <c r="V17" s="18" t="inlineStr">
        <is>
          <t>A Sales fact table linked to Product, Customer and Date dimensions.</t>
        </is>
      </c>
      <c r="W17" s="18" t="inlineStr">
        <is>
          <t>A web visits fact table linked to Page, Country and Date dimensions.</t>
        </is>
      </c>
      <c r="X17" s="18" t="inlineStr">
        <is>
          <t>An orders fact table linked to Store and Employee dimensions.</t>
        </is>
      </c>
      <c r="Y17" s="18" t="inlineStr">
        <is>
          <t>fact table, dimension table, relationships, snowflake schema</t>
        </is>
      </c>
      <c r="Z17" s="18" t="inlineStr">
        <is>
          <t>star, snowflake, fact, dimension, hub</t>
        </is>
      </c>
      <c r="AA17" s="18" t="inlineStr">
        <is>
          <t>Every well-built Power BI model | Data warehouses | Performance tuning</t>
        </is>
      </c>
      <c r="AB17" s="18" t="inlineStr">
        <is>
          <t>A: My single giant table is slow and repeats text everywhere. | B: Split it into a fact table and dimension tables in a star schema.</t>
        </is>
      </c>
      <c r="AC17" s="18" t="inlineStr">
        <is>
          <t>✗ One flat table with every column is the best model for Power BI → ✓ A star schema with separate fact and dimension tables is faster, smaller and easier to calculate on</t>
        </is>
      </c>
      <c r="AD17" s="18" t="inlineStr">
        <is>
          <t>Star vs flat table: a star separates numbers from descriptions, a flat table repeats descriptions on every row.</t>
        </is>
      </c>
      <c r="AE17" s="18" t="inlineStr">
        <is>
          <t>Do not link fact tables directly to each other, go through shared dimensions.</t>
        </is>
      </c>
      <c r="AF17" s="18" t="inlineStr">
        <is>
          <t>Facts in the centre, dimensions at the points.</t>
        </is>
      </c>
      <c r="AG17" s="18" t="inlineStr">
        <is>
          <t>Restructuring a flat export into Sales, Product, Customer and Date tables to speed up a report.</t>
        </is>
      </c>
      <c r="AH17" s="18" t="inlineStr">
        <is>
          <t>An interviewer may ask: What is a star schema and why is it recommended?</t>
        </is>
      </c>
      <c r="AI17" s="18" t="inlineStr">
        <is>
          <t>It is like a wheel with a hub and spokes.</t>
        </is>
      </c>
      <c r="AJ17" s="18" t="inlineStr">
        <is>
          <t>In a star schema, what sits in the middle?</t>
        </is>
      </c>
      <c r="AK17" s="18" t="inlineStr">
        <is>
          <t>A) A dimension table B) A fact table C) A parameter D) A slicer</t>
        </is>
      </c>
      <c r="AL17" s="18" t="inlineStr">
        <is>
          <t>B</t>
        </is>
      </c>
      <c r="AM17" s="18" t="inlineStr">
        <is>
          <t>The fact table is the hub, with dimension tables around it.</t>
        </is>
      </c>
      <c r="AN17" s="18" t="inlineStr">
        <is>
          <t>A star schema has one central ____ table → fact</t>
        </is>
      </c>
      <c r="AO17" s="18" t="inlineStr">
        <is>
          <t>How would you reorganise one giant flat sales table? → Split it into one fact table and dimension tables</t>
        </is>
      </c>
      <c r="AP17" s="18" t="inlineStr">
        <is>
          <t>Explain the star schema in three lines.</t>
        </is>
      </c>
      <c r="AQ17" s="18" t="inlineStr">
        <is>
          <t>Sketch a star schema for a shop with sales, products, customers and dates.</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81" customHeight="1">
      <c r="A18" s="17" t="inlineStr">
        <is>
          <t>PBI-021</t>
        </is>
      </c>
      <c r="B18" s="17" t="inlineStr">
        <is>
          <t>03 Data modelling</t>
        </is>
      </c>
      <c r="C18" s="17" t="inlineStr">
        <is>
          <t>Beginner</t>
        </is>
      </c>
      <c r="D18" s="17" t="n">
        <v>21</v>
      </c>
      <c r="E18" s="17" t="inlineStr">
        <is>
          <t>Claude knowledge</t>
        </is>
      </c>
      <c r="F18" s="18" t="inlineStr">
        <is>
          <t>Fact table vs dimension table</t>
        </is>
      </c>
      <c r="G18" s="18" t="inlineStr">
        <is>
          <t>Which kind of table holds measurable events, and which kind holds descriptions of things such as products?</t>
        </is>
      </c>
      <c r="H18" s="18" t="inlineStr">
        <is>
          <t>Modelling concept</t>
        </is>
      </c>
      <c r="I18" s="18" t="inlineStr">
        <is>
          <t>Very high</t>
        </is>
      </c>
      <c r="J18" s="18" t="n">
        <v>5</v>
      </c>
      <c r="K18" s="18" t="inlineStr">
        <is>
          <t>Reporting always asks what happened and about what or whom, so models separate the events (facts) from the descriptions (dimensions).</t>
        </is>
      </c>
      <c r="L18" s="18" t="inlineStr">
        <is>
          <t>If a table has numbers you add up, it is probably a fact table, and if it has names and categories, it is probably a dimension.</t>
        </is>
      </c>
      <c r="M18" s="18" t="inlineStr">
        <is>
          <t>The fact table is the receipt book of events, and a dimension is the catalogue that explains the items.</t>
        </is>
      </c>
      <c r="N18" s="18" t="inlineStr">
        <is>
          <t>One long table of transactions beside a short table of product names and categories.</t>
        </is>
      </c>
      <c r="O18" s="18" t="inlineStr">
        <is>
          <t>The clarity of knowing which table each column belongs in.</t>
        </is>
      </c>
      <c r="P18" s="18" t="inlineStr">
        <is>
          <t>A fact table stores measurable events with keys and numbers, and a dimension table stores descriptive attributes about the things in those events.</t>
        </is>
      </c>
      <c r="Q18" s="17" t="n"/>
      <c r="R18" s="18" t="inlineStr">
        <is>
          <t>A Sales fact table has one row per sale, with quantities, amounts and keys such as ProductID. A Product dimension has one row per product, with name, category and colour. Dimensions are usually short and wide, while facts are long and narrow.</t>
        </is>
      </c>
      <c r="S18" s="18" t="inlineStr">
        <is>
          <t>Facts are what happened, with numbers. Dimensions are the who, what, where and when that describe it.</t>
        </is>
      </c>
      <c r="T18" s="18" t="inlineStr">
        <is>
          <t>It is like a receipt book of purchases beside a catalogue describing every product.</t>
        </is>
      </c>
      <c r="U18" s="18" t="inlineStr">
        <is>
          <t>Fact = events and numbers (long). Dimension = descriptions (short and wide).</t>
        </is>
      </c>
      <c r="V18" s="18" t="inlineStr">
        <is>
          <t>A Sales table with OrderID, ProductID, Quantity and Amount is a fact table.</t>
        </is>
      </c>
      <c r="W18" s="18" t="inlineStr">
        <is>
          <t>A Product table with ProductID, Name and Category is a dimension table.</t>
        </is>
      </c>
      <c r="X18" s="18" t="inlineStr">
        <is>
          <t>A Date table with one row per day is a dimension table.</t>
        </is>
      </c>
      <c r="Y18" s="18" t="inlineStr">
        <is>
          <t>star schema, relationships, keys, cardinality</t>
        </is>
      </c>
      <c r="Z18" s="18" t="inlineStr">
        <is>
          <t>fact, dimension, key, attribute, grain</t>
        </is>
      </c>
      <c r="AA18" s="18" t="inlineStr">
        <is>
          <t>Model design | Data warehousing | Report building</t>
        </is>
      </c>
      <c r="AB18" s="18" t="inlineStr">
        <is>
          <t>A: Should the product category live in the sales table? | B: No, keep it in a Product dimension and link it to the sales fact table.</t>
        </is>
      </c>
      <c r="AC18" s="18" t="inlineStr">
        <is>
          <t>✗ Dimension tables should contain the numbers you add up → ✓ Numbers you add up belong in the fact table, and dimensions hold descriptions used to slice them</t>
        </is>
      </c>
      <c r="AD18" s="18" t="inlineStr">
        <is>
          <t>Fact vs dimension: a fact table is long with numbers, a dimension table is short and descriptive.</t>
        </is>
      </c>
      <c r="AE18" s="18" t="inlineStr">
        <is>
          <t>Do not copy descriptive columns into the fact table.</t>
        </is>
      </c>
      <c r="AF18" s="18" t="inlineStr">
        <is>
          <t>Fact is what happened, dimension is what it was about.</t>
        </is>
      </c>
      <c r="AG18" s="18" t="inlineStr">
        <is>
          <t>Keeping product and customer details in dimension tables and sales numbers in one fact table.</t>
        </is>
      </c>
      <c r="AH18" s="18" t="inlineStr">
        <is>
          <t>An interviewer may ask: What is the difference between a fact table and a dimension table?</t>
        </is>
      </c>
      <c r="AI18" s="18" t="inlineStr">
        <is>
          <t>It is like a receipt book and a catalogue of the products on the receipts.</t>
        </is>
      </c>
      <c r="AJ18" s="18" t="inlineStr">
        <is>
          <t>Which of these is most likely a dimension table?</t>
        </is>
      </c>
      <c r="AK18" s="18" t="inlineStr">
        <is>
          <t>A) Product list with categories B) Sales transactions C) Daily temperature readings D) Click logs</t>
        </is>
      </c>
      <c r="AL18" s="18" t="inlineStr">
        <is>
          <t>A</t>
        </is>
      </c>
      <c r="AM18" s="18" t="inlineStr">
        <is>
          <t>A product list describes things, so it is a dimension.</t>
        </is>
      </c>
      <c r="AN18" s="18" t="inlineStr">
        <is>
          <t>A table of events with numbers to add up is called a ____ table → fact</t>
        </is>
      </c>
      <c r="AO18" s="18" t="inlineStr">
        <is>
          <t>Where should the Category of a product be stored? → In the Product dimension table</t>
        </is>
      </c>
      <c r="AP18" s="18" t="inlineStr">
        <is>
          <t>Explain fact and dimension tables in three lines.</t>
        </is>
      </c>
      <c r="AQ18" s="18" t="inlineStr">
        <is>
          <t>List three columns that belong in a fact table and three that belong in a dimension.</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94.5" customHeight="1">
      <c r="A19" s="17" t="inlineStr">
        <is>
          <t>PBI-022</t>
        </is>
      </c>
      <c r="B19" s="17" t="inlineStr">
        <is>
          <t>03 Data modelling</t>
        </is>
      </c>
      <c r="C19" s="17" t="inlineStr">
        <is>
          <t>Beginner</t>
        </is>
      </c>
      <c r="D19" s="17" t="n">
        <v>22</v>
      </c>
      <c r="E19" s="17" t="inlineStr">
        <is>
          <t>Claude knowledge</t>
        </is>
      </c>
      <c r="F19" s="18" t="inlineStr">
        <is>
          <t>Relationships</t>
        </is>
      </c>
      <c r="G19" s="18" t="inlineStr">
        <is>
          <t>Which model feature connects two tables on a shared column so that filters pass from one to the other?</t>
        </is>
      </c>
      <c r="H19" s="18" t="inlineStr">
        <is>
          <t>Modelling concept</t>
        </is>
      </c>
      <c r="I19" s="18" t="inlineStr">
        <is>
          <t>Very high</t>
        </is>
      </c>
      <c r="J19" s="18" t="n">
        <v>5</v>
      </c>
      <c r="K19" s="18" t="inlineStr">
        <is>
          <t>Data is split across several tables, so Power BI needs a way to tell how they connect, and a relationship links a key column in one table to a key column in another.</t>
        </is>
      </c>
      <c r="L19" s="18" t="inlineStr">
        <is>
          <t>Check Model view after loading, because Power BI may create wrong relationships automatically.</t>
        </is>
      </c>
      <c r="M19" s="18" t="inlineStr">
        <is>
          <t>A relationship is a bridge between two tables over which filters travel.</t>
        </is>
      </c>
      <c r="N19" s="18" t="inlineStr">
        <is>
          <t>A line with a 1 at one end and a star at the other, joining two table boxes.</t>
        </is>
      </c>
      <c r="O19" s="18" t="inlineStr">
        <is>
          <t>The relief of numbers filtering correctly after fixing a missing link.</t>
        </is>
      </c>
      <c r="P19" s="18" t="inlineStr">
        <is>
          <t>A relationship links a column in one table to a column in another so that filtering one table filters the other.</t>
        </is>
      </c>
      <c r="Q19" s="17" t="n"/>
      <c r="R19" s="18" t="inlineStr">
        <is>
          <t>A relationship is made on key columns, and usually runs from the one side of a dimension table to the many side of a fact table. Only one relationship between two tables can be active, and others stay inactive until used in a measure. Relationships replace merging tables in many cases.</t>
        </is>
      </c>
      <c r="S19" s="18" t="inlineStr">
        <is>
          <t>Draw a line between the ProductID in Sales and ProductID in Product. Now when you filter by product category, the sales numbers change too.</t>
        </is>
      </c>
      <c r="T19" s="18" t="inlineStr">
        <is>
          <t>It is like a bridge over which filters travel from one table to another.</t>
        </is>
      </c>
      <c r="U19" s="18" t="inlineStr">
        <is>
          <t>Dimension[Key] (one) → Fact[Key] (many)</t>
        </is>
      </c>
      <c r="V19" s="18" t="inlineStr">
        <is>
          <t>Product[ProductID] linked to Sales[ProductID].</t>
        </is>
      </c>
      <c r="W19" s="18" t="inlineStr">
        <is>
          <t>Date[Date] linked to Sales[OrderDate].</t>
        </is>
      </c>
      <c r="X19" s="18" t="inlineStr">
        <is>
          <t>Customer[CustomerID] linked to Sales[CustomerID].</t>
        </is>
      </c>
      <c r="Y19" s="18" t="inlineStr">
        <is>
          <t>cardinality, cross-filter direction, star schema, Model view</t>
        </is>
      </c>
      <c r="Z19" s="18" t="inlineStr">
        <is>
          <t>relationship, key, active, inactive, filter</t>
        </is>
      </c>
      <c r="AA19" s="18" t="inlineStr">
        <is>
          <t>Every model with more than one table | Fixing wrong totals | Slicing facts by dimensions</t>
        </is>
      </c>
      <c r="AB19" s="18" t="inlineStr">
        <is>
          <t>A: My product slicer does not change the sales numbers. | B: There is no relationship between Product and Sales, so link them on ProductID.</t>
        </is>
      </c>
      <c r="AC19" s="18" t="inlineStr">
        <is>
          <t>✗ A relationship copies columns from one table into the other → ✓ A relationship only passes filters between tables and does not move data</t>
        </is>
      </c>
      <c r="AD19" s="18" t="inlineStr">
        <is>
          <t>Relationship vs merge: a relationship links tables in the model, a merge physically joins them in Power Query.</t>
        </is>
      </c>
      <c r="AE19" s="18" t="inlineStr">
        <is>
          <t>Do not leave autodetected relationships unchecked.</t>
        </is>
      </c>
      <c r="AF19" s="18" t="inlineStr">
        <is>
          <t>A relationship is a bridge for filters.</t>
        </is>
      </c>
      <c r="AG19" s="18" t="inlineStr">
        <is>
          <t>Creating a relationship between Date and Sales so that a year slicer filtered the sales numbers.</t>
        </is>
      </c>
      <c r="AH19" s="18" t="inlineStr">
        <is>
          <t>An interviewer may ask: What is the difference between a relationship and a merge?</t>
        </is>
      </c>
      <c r="AI19" s="18" t="inlineStr">
        <is>
          <t>It is like a bridge that lets traffic cross from one town to another.</t>
        </is>
      </c>
      <c r="AJ19" s="18" t="inlineStr">
        <is>
          <t>What does a relationship do between two tables?</t>
        </is>
      </c>
      <c r="AK19" s="18" t="inlineStr">
        <is>
          <t>A) Deletes duplicates B) Copies columns C) Passes filters between them D) Changes data types</t>
        </is>
      </c>
      <c r="AL19" s="18" t="inlineStr">
        <is>
          <t>C</t>
        </is>
      </c>
      <c r="AM19" s="18" t="inlineStr">
        <is>
          <t>A relationship lets a filter on one table affect the other.</t>
        </is>
      </c>
      <c r="AN19" s="18" t="inlineStr">
        <is>
          <t>A relationship is created on matching ____ columns of two tables → key</t>
        </is>
      </c>
      <c r="AO19" s="18" t="inlineStr">
        <is>
          <t>A slicer on Product does not affect Sales. What is likely missing? → A relationship between Product and Sales</t>
        </is>
      </c>
      <c r="AP19" s="18" t="inlineStr">
        <is>
          <t>Explain what a relationship does in three lines.</t>
        </is>
      </c>
      <c r="AQ19" s="18" t="inlineStr">
        <is>
          <t>Draw the relationships you would create for Sales, Product and Date tables.</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81" customHeight="1">
      <c r="A20" s="17" t="inlineStr">
        <is>
          <t>PBI-023</t>
        </is>
      </c>
      <c r="B20" s="17" t="inlineStr">
        <is>
          <t>03 Data modelling</t>
        </is>
      </c>
      <c r="C20" s="17" t="inlineStr">
        <is>
          <t>Intermediate</t>
        </is>
      </c>
      <c r="D20" s="17" t="n">
        <v>23</v>
      </c>
      <c r="E20" s="17" t="inlineStr">
        <is>
          <t>Claude knowledge</t>
        </is>
      </c>
      <c r="F20" s="18" t="inlineStr">
        <is>
          <t>Cardinality (one-to-many)</t>
        </is>
      </c>
      <c r="G20" s="18" t="inlineStr">
        <is>
          <t>Which relationship property says how many matching rows each table may have, such as one on one side and many on the other?</t>
        </is>
      </c>
      <c r="H20" s="18" t="inlineStr">
        <is>
          <t>Modelling concept</t>
        </is>
      </c>
      <c r="I20" s="18" t="inlineStr">
        <is>
          <t>High</t>
        </is>
      </c>
      <c r="J20" s="18" t="n">
        <v>4</v>
      </c>
      <c r="K20" s="18" t="inlineStr">
        <is>
          <t>Tables relate in different ways, such as one product to many sales, so a relationship must declare how many rows can match on each side.</t>
        </is>
      </c>
      <c r="L20" s="18" t="inlineStr">
        <is>
          <t>Most relationships should be one-to-many from a dimension to a fact, so aim for that.</t>
        </is>
      </c>
      <c r="M20" s="18" t="inlineStr">
        <is>
          <t>One product can appear on many sales lines, which is why the line has a 1 at one end and a star at the other.</t>
        </is>
      </c>
      <c r="N20" s="18" t="inlineStr">
        <is>
          <t>A relationship line with a 1 on one end and an asterisk on the other.</t>
        </is>
      </c>
      <c r="O20" s="18" t="inlineStr">
        <is>
          <t>The comfort of knowing the model follows the real business shape.</t>
        </is>
      </c>
      <c r="P20" s="18" t="inlineStr">
        <is>
          <t>Cardinality describes how many rows in one table can match rows in the other: one-to-many, many-to-one, one-to-one or many-to-many.</t>
        </is>
      </c>
      <c r="Q20" s="17" t="n"/>
      <c r="R20" s="18" t="inlineStr">
        <is>
          <t>One-to-many means each key appears once on the one side, such as Product, and many times on the many side, such as Sales. One-to-one is rare. Many-to-many allows repeated keys on both sides and needs care. The one side must have unique keys.</t>
        </is>
      </c>
      <c r="S20" s="18" t="inlineStr">
        <is>
          <t>Cardinality is the count rule of the link. One product, many sales is one-to-many, and it is the normal and best choice.</t>
        </is>
      </c>
      <c r="T20" s="18" t="inlineStr">
        <is>
          <t>It is like one teacher with many students.</t>
        </is>
      </c>
      <c r="U20" s="18" t="inlineStr">
        <is>
          <t>One side = unique keys, many side = repeated keys</t>
        </is>
      </c>
      <c r="V20" s="18" t="inlineStr">
        <is>
          <t>One Product row to many Sales rows.</t>
        </is>
      </c>
      <c r="W20" s="18" t="inlineStr">
        <is>
          <t>One Customer row to many Orders rows.</t>
        </is>
      </c>
      <c r="X20" s="18" t="inlineStr">
        <is>
          <t>One Date row to many Sales rows.</t>
        </is>
      </c>
      <c r="Y20" s="18" t="inlineStr">
        <is>
          <t>relationships, star schema, cross-filter direction, key</t>
        </is>
      </c>
      <c r="Z20" s="18" t="inlineStr">
        <is>
          <t>one-to-many, many-to-one, one-to-one, many-to-many, unique</t>
        </is>
      </c>
      <c r="AA20" s="18" t="inlineStr">
        <is>
          <t>Creating relationships | Fixing duplicate key errors | Model design</t>
        </is>
      </c>
      <c r="AB20" s="18" t="inlineStr">
        <is>
          <t>A: Power BI says the one side has duplicate values. | B: The dimension key must be unique, so remove the duplicates from that table.</t>
        </is>
      </c>
      <c r="AC20" s="18" t="inlineStr">
        <is>
          <t>✗ The one side of a relationship may contain repeated keys → ✓ The one side needs unique keys, and duplicates there cause errors or force a many-to-many relationship</t>
        </is>
      </c>
      <c r="AD20" s="18" t="inlineStr">
        <is>
          <t>One-to-many vs many-to-many: one-to-many has unique keys on one side, many-to-many allows repeats on both.</t>
        </is>
      </c>
      <c r="AE20" s="18" t="inlineStr">
        <is>
          <t>Do not use many-to-many just to silence an error without understanding the data.</t>
        </is>
      </c>
      <c r="AF20" s="18" t="inlineStr">
        <is>
          <t>One dimension row, many fact rows.</t>
        </is>
      </c>
      <c r="AG20" s="18" t="inlineStr">
        <is>
          <t>Removing duplicate product keys so the Product table could be the one side of a relationship.</t>
        </is>
      </c>
      <c r="AH20" s="18" t="inlineStr">
        <is>
          <t>An interviewer may ask: What cardinalities does Power BI support?</t>
        </is>
      </c>
      <c r="AI20" s="18" t="inlineStr">
        <is>
          <t>It is like one teacher with many students.</t>
        </is>
      </c>
      <c r="AJ20" s="18" t="inlineStr">
        <is>
          <t>Which side of a one-to-many relationship must have unique keys?</t>
        </is>
      </c>
      <c r="AK20" s="18" t="inlineStr">
        <is>
          <t>A) Neither B) The many side C) Both D) The one side</t>
        </is>
      </c>
      <c r="AL20" s="18" t="inlineStr">
        <is>
          <t>D</t>
        </is>
      </c>
      <c r="AM20" s="18" t="inlineStr">
        <is>
          <t>The one side is the lookup side and needs unique keys.</t>
        </is>
      </c>
      <c r="AN20" s="18" t="inlineStr">
        <is>
          <t>A product table linked to a sales table is a ____-to-many relationship → one</t>
        </is>
      </c>
      <c r="AO20" s="18" t="inlineStr">
        <is>
          <t>A relationship fails because the product table has duplicate IDs. What is the fix? → Make the product keys unique on the one side</t>
        </is>
      </c>
      <c r="AP20" s="18" t="inlineStr">
        <is>
          <t>Explain one-to-many in three lines.</t>
        </is>
      </c>
      <c r="AQ20" s="18" t="inlineStr">
        <is>
          <t>Write the cardinality for three relationships in a shop model.</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81" customHeight="1">
      <c r="A21" s="17" t="inlineStr">
        <is>
          <t>PBI-024</t>
        </is>
      </c>
      <c r="B21" s="17" t="inlineStr">
        <is>
          <t>03 Data modelling</t>
        </is>
      </c>
      <c r="C21" s="17" t="inlineStr">
        <is>
          <t>Intermediate</t>
        </is>
      </c>
      <c r="D21" s="17" t="n">
        <v>24</v>
      </c>
      <c r="E21" s="17" t="inlineStr">
        <is>
          <t>Claude knowledge</t>
        </is>
      </c>
      <c r="F21" s="18" t="inlineStr">
        <is>
          <t>Cross-filter direction</t>
        </is>
      </c>
      <c r="G21" s="18" t="inlineStr">
        <is>
          <t>Which relationship setting decides whether filters flow in one direction or in both directions between two tables?</t>
        </is>
      </c>
      <c r="H21" s="18" t="inlineStr">
        <is>
          <t>Modelling concept</t>
        </is>
      </c>
      <c r="I21" s="18" t="inlineStr">
        <is>
          <t>Medium</t>
        </is>
      </c>
      <c r="J21" s="18" t="n">
        <v>4</v>
      </c>
      <c r="K21" s="18" t="inlineStr">
        <is>
          <t>Filtering normally flows from dimension to fact, but some reports need it the other way, so the relationship carries a direction setting.</t>
        </is>
      </c>
      <c r="L21" s="18" t="inlineStr">
        <is>
          <t>Keep Single direction by default, and use Both only when you have a clear reason.</t>
        </is>
      </c>
      <c r="M21" s="18" t="inlineStr">
        <is>
          <t>A single-direction road lets traffic go one way, and a both-direction road lets it flow both ways but risks jams.</t>
        </is>
      </c>
      <c r="N21" s="18" t="inlineStr">
        <is>
          <t>A relationship line with one arrow, or with arrows pointing both ways.</t>
        </is>
      </c>
      <c r="O21" s="18" t="inlineStr">
        <is>
          <t>The caution of knowing a small switch can change many totals.</t>
        </is>
      </c>
      <c r="P21" s="18" t="inlineStr">
        <is>
          <t>Cross-filter direction sets whether a filter on one table flows to the other in one direction (Single) or in both (Both).</t>
        </is>
      </c>
      <c r="Q21" s="17" t="n"/>
      <c r="R21" s="18" t="inlineStr">
        <is>
          <t>With Single direction, a filter on Product filters Sales but a filter on Sales does not filter Product. With Both, filters flow each way, which can be useful for some slicers but can create ambiguity, slow performance and unexpected results in larger models.</t>
        </is>
      </c>
      <c r="S21" s="18" t="inlineStr">
        <is>
          <t>Single means filters flow only from the one side to the many side. Both means they flow either way. Use Both carefully.</t>
        </is>
      </c>
      <c r="T21" s="18" t="inlineStr">
        <is>
          <t>It is like a one-way road versus a two-way road, and a two-way road can cause jams.</t>
        </is>
      </c>
      <c r="U21" s="18" t="inlineStr">
        <is>
          <t>Single = dimension filters fact. Both = each filters the other.</t>
        </is>
      </c>
      <c r="V21" s="18" t="inlineStr">
        <is>
          <t>A Category slicer filters Sales through a Single direction relationship.</t>
        </is>
      </c>
      <c r="W21" s="18" t="inlineStr">
        <is>
          <t>A slicer that shows only products that were sold needs a filter to flow from Sales to Product.</t>
        </is>
      </c>
      <c r="X21" s="18" t="inlineStr">
        <is>
          <t>A many-to-many bridge table that needs filters in both directions.</t>
        </is>
      </c>
      <c r="Y21" s="18" t="inlineStr">
        <is>
          <t>relationships, cardinality, star schema, slicer</t>
        </is>
      </c>
      <c r="Z21" s="18" t="inlineStr">
        <is>
          <t>Single, Both, direction, filter flow</t>
        </is>
      </c>
      <c r="AA21" s="18" t="inlineStr">
        <is>
          <t>Slicer behaviour | Bridge tables | Troubleshooting ambiguity</t>
        </is>
      </c>
      <c r="AB21" s="18" t="inlineStr">
        <is>
          <t>A: My slicer shows products with no sales. | B: Filters flow only one way, so consider Both direction or filter the slicer by a measure.</t>
        </is>
      </c>
      <c r="AC21" s="18" t="inlineStr">
        <is>
          <t>✗ Both direction is better because filters flow everywhere → ✓ Both can create ambiguous paths and slow reports, so Single is the safer default</t>
        </is>
      </c>
      <c r="AD21" s="18" t="inlineStr">
        <is>
          <t>Single vs Both: Single filters from the one side to the many side, Both filters in each direction.</t>
        </is>
      </c>
      <c r="AE21" s="18" t="inlineStr">
        <is>
          <t>Do not switch every relationship to Both.</t>
        </is>
      </c>
      <c r="AF21" s="18" t="inlineStr">
        <is>
          <t>Single is safer, Both is broader.</t>
        </is>
      </c>
      <c r="AG21" s="18" t="inlineStr">
        <is>
          <t>Keeping all relationships Single and using one measure-based filter for a slicer.</t>
        </is>
      </c>
      <c r="AH21" s="18" t="inlineStr">
        <is>
          <t>An interviewer may ask: When would you use bi-directional filtering?</t>
        </is>
      </c>
      <c r="AI21" s="18" t="inlineStr">
        <is>
          <t>It is like a one-way road versus a two-way road that can cause jams.</t>
        </is>
      </c>
      <c r="AJ21" s="18" t="inlineStr">
        <is>
          <t>Which cross-filter direction is the usual safe default?</t>
        </is>
      </c>
      <c r="AK21" s="18" t="inlineStr">
        <is>
          <t>A) None B) Single C) Both D) Random</t>
        </is>
      </c>
      <c r="AL21" s="18" t="inlineStr">
        <is>
          <t>B</t>
        </is>
      </c>
      <c r="AM21" s="18" t="inlineStr">
        <is>
          <t>Single follows the star schema and avoids ambiguity.</t>
        </is>
      </c>
      <c r="AN21" s="18" t="inlineStr">
        <is>
          <t>With ____ direction, a filter on the dimension filters the fact table only → Single</t>
        </is>
      </c>
      <c r="AO21" s="18" t="inlineStr">
        <is>
          <t>A slicer shows items that have no sales. What setting might change this? → Cross-filter direction set to Both</t>
        </is>
      </c>
      <c r="AP21" s="18" t="inlineStr">
        <is>
          <t>Explain Single and Both in three lines.</t>
        </is>
      </c>
      <c r="AQ21" s="18" t="inlineStr">
        <is>
          <t>Write one case where Both direction is useful and one risk of it.</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94.5" customHeight="1">
      <c r="A22" s="17" t="inlineStr">
        <is>
          <t>PBI-027</t>
        </is>
      </c>
      <c r="B22" s="17" t="inlineStr">
        <is>
          <t>03 Data modelling</t>
        </is>
      </c>
      <c r="C22" s="17" t="inlineStr">
        <is>
          <t>Beginner</t>
        </is>
      </c>
      <c r="D22" s="17" t="n">
        <v>27</v>
      </c>
      <c r="E22" s="17" t="inlineStr">
        <is>
          <t>Claude knowledge</t>
        </is>
      </c>
      <c r="F22" s="18" t="inlineStr">
        <is>
          <t>Hierarchies</t>
        </is>
      </c>
      <c r="G22" s="18" t="inlineStr">
        <is>
          <t>What do you build to let users drill from Year to Quarter to Month in one visual?</t>
        </is>
      </c>
      <c r="H22" s="18" t="inlineStr">
        <is>
          <t>Modelling feature</t>
        </is>
      </c>
      <c r="I22" s="18" t="inlineStr">
        <is>
          <t>Medium</t>
        </is>
      </c>
      <c r="J22" s="18" t="n">
        <v>3</v>
      </c>
      <c r="K22" s="18" t="inlineStr">
        <is>
          <t>Business data has natural levels such as Year, Quarter and Month, so Power BI lets you stack fields into a hierarchy that can be drilled through level by level.</t>
        </is>
      </c>
      <c r="L22" s="18" t="inlineStr">
        <is>
          <t>Create hierarchies in the model so every report can reuse the same drill path.</t>
        </is>
      </c>
      <c r="M22" s="18" t="inlineStr">
        <is>
          <t>A hierarchy is a staircase where each step takes you one level deeper.</t>
        </is>
      </c>
      <c r="N22" s="18" t="inlineStr">
        <is>
          <t>A field list with Year above Quarter above Month, and a chart where you can click down.</t>
        </is>
      </c>
      <c r="O22" s="18" t="inlineStr">
        <is>
          <t>The satisfaction of clicking a bar and seeing it split into finer detail.</t>
        </is>
      </c>
      <c r="P22" s="18" t="inlineStr">
        <is>
          <t>A hierarchy is an ordered set of fields, such as Year, Quarter and Month, that lets users drill down and up in a visual.</t>
        </is>
      </c>
      <c r="Q22" s="17" t="n"/>
      <c r="R22" s="18" t="inlineStr">
        <is>
          <t>You create one in the Data pane by dragging a field onto another or by using the option to create a hierarchy. In a visual that uses the hierarchy, you can use drill down buttons to move from the top level to the next. Common hierarchies are Date, Geography and Product.</t>
        </is>
      </c>
      <c r="S22" s="18" t="inlineStr">
        <is>
          <t>Stack the fields from the biggest to the smallest, and users can click down from Year to Month. It is one drill path you build once and reuse.</t>
        </is>
      </c>
      <c r="T22" s="18" t="inlineStr">
        <is>
          <t>It is like a staircase where each step takes you one level deeper.</t>
        </is>
      </c>
      <c r="U22" s="18" t="inlineStr">
        <is>
          <t>Year → Quarter → Month → Day</t>
        </is>
      </c>
      <c r="V22" s="18" t="inlineStr">
        <is>
          <t>A Date hierarchy of Year, Quarter, Month and Day.</t>
        </is>
      </c>
      <c r="W22" s="18" t="inlineStr">
        <is>
          <t>A Geography hierarchy of Country, State and City.</t>
        </is>
      </c>
      <c r="X22" s="18" t="inlineStr">
        <is>
          <t>A Product hierarchy of Category, Subcategory and Product.</t>
        </is>
      </c>
      <c r="Y22" s="18" t="inlineStr">
        <is>
          <t>drill down, drill through, date table, visual</t>
        </is>
      </c>
      <c r="Z22" s="18" t="inlineStr">
        <is>
          <t>hierarchy, level, drill, expand</t>
        </is>
      </c>
      <c r="AA22" s="18" t="inlineStr">
        <is>
          <t>Date charts | Geographic maps | Product analysis</t>
        </is>
      </c>
      <c r="AB22" s="18" t="inlineStr">
        <is>
          <t>A: Can users click from year down to month? | B: Yes, build a Year, Quarter, Month hierarchy and use it on the axis.</t>
        </is>
      </c>
      <c r="AC22" s="18" t="inlineStr">
        <is>
          <t>✗ Hierarchies only work with dates → ✓ Any set of ordered fields, such as Country, State and City, can form a hierarchy</t>
        </is>
      </c>
      <c r="AD22" s="18" t="inlineStr">
        <is>
          <t>Hierarchy vs drill through: a hierarchy goes deeper inside one visual, drill through goes to another page.</t>
        </is>
      </c>
      <c r="AE22" s="18" t="inlineStr">
        <is>
          <t>Do not put fields in the wrong order, the top level must be the broadest.</t>
        </is>
      </c>
      <c r="AF22" s="18" t="inlineStr">
        <is>
          <t>Hierarchy is a staircase from broad to fine.</t>
        </is>
      </c>
      <c r="AG22" s="18" t="inlineStr">
        <is>
          <t>Building a Country, State and City hierarchy so users could drill into a map.</t>
        </is>
      </c>
      <c r="AH22" s="18" t="inlineStr">
        <is>
          <t>An interviewer may ask: What is a hierarchy in Power BI?</t>
        </is>
      </c>
      <c r="AI22" s="18" t="inlineStr">
        <is>
          <t>It is like a staircase where each step goes one level deeper.</t>
        </is>
      </c>
      <c r="AJ22" s="18" t="inlineStr">
        <is>
          <t>Which order is correct for a date hierarchy from broad to fine?</t>
        </is>
      </c>
      <c r="AK22" s="18" t="inlineStr">
        <is>
          <t>A) Year, Month, Day B) Day, Year, Month C) Month, Year, Day D) Day, Month, Year</t>
        </is>
      </c>
      <c r="AL22" s="18" t="inlineStr">
        <is>
          <t>A</t>
        </is>
      </c>
      <c r="AM22" s="18" t="inlineStr">
        <is>
          <t>A hierarchy starts with the broadest level and ends with the finest.</t>
        </is>
      </c>
      <c r="AN22" s="18" t="inlineStr">
        <is>
          <t>A set of ordered fields that lets users drill is called a ____ → hierarchy</t>
        </is>
      </c>
      <c r="AO22" s="18" t="inlineStr">
        <is>
          <t>How can users drill from country to city on a map? → Build a Country, State, City hierarchy</t>
        </is>
      </c>
      <c r="AP22" s="18" t="inlineStr">
        <is>
          <t>Explain a hierarchy in three lines.</t>
        </is>
      </c>
      <c r="AQ22" s="18" t="inlineStr">
        <is>
          <t>Write the fields of a hierarchy for products in a shop.</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94.5" customHeight="1">
      <c r="A23" s="17" t="inlineStr">
        <is>
          <t>PBI-042</t>
        </is>
      </c>
      <c r="B23" s="17" t="inlineStr">
        <is>
          <t>04 DAX</t>
        </is>
      </c>
      <c r="C23" s="17" t="inlineStr">
        <is>
          <t>Intermediate</t>
        </is>
      </c>
      <c r="D23" s="17" t="n">
        <v>42</v>
      </c>
      <c r="E23" s="17" t="inlineStr">
        <is>
          <t>Claude knowledge</t>
        </is>
      </c>
      <c r="F23" s="18" t="inlineStr">
        <is>
          <t>Row context vs filter context</t>
        </is>
      </c>
      <c r="G23" s="18" t="inlineStr">
        <is>
          <t>Which two kinds of context decide what a DAX formula can see, one for a single row and one for a set of filters?</t>
        </is>
      </c>
      <c r="H23" s="18" t="inlineStr">
        <is>
          <t>Core DAX concept</t>
        </is>
      </c>
      <c r="I23" s="18" t="inlineStr">
        <is>
          <t>Very high</t>
        </is>
      </c>
      <c r="J23" s="18" t="n">
        <v>5</v>
      </c>
      <c r="K23" s="18" t="inlineStr">
        <is>
          <t>A DAX formula gives different answers in different places, so the language is built around two contexts that define what data a calculation is looking at.</t>
        </is>
      </c>
      <c r="L23" s="18" t="inlineStr">
        <is>
          <t>Ask which context you are in: am I on a row, or looking at filtered data?</t>
        </is>
      </c>
      <c r="M23" s="18" t="inlineStr">
        <is>
          <t>Row context is looking at one line of a bill, and filter context is looking at the whole filtered pile.</t>
        </is>
      </c>
      <c r="N23" s="18" t="inlineStr">
        <is>
          <t>One highlighted row in a table beside a table filtered down to a set of rows.</t>
        </is>
      </c>
      <c r="O23" s="18" t="inlineStr">
        <is>
          <t>The aha moment when DAX results finally make sense.</t>
        </is>
      </c>
      <c r="P23" s="18" t="inlineStr">
        <is>
          <t>Row context refers to the current row being calculated, and filter context is the set of filters applied to the model at calculation time.</t>
        </is>
      </c>
      <c r="Q23" s="17" t="n"/>
      <c r="R23" s="18" t="inlineStr">
        <is>
          <t>Row context exists in calculated columns and inside iterators such as SUMX, where each row is processed in turn. Filter context comes from slicers, visuals, report filters and CALCULATE, and defines which rows a measure sees. CALCULATE can turn a row context into a filter context.</t>
        </is>
      </c>
      <c r="S23" s="18" t="inlineStr">
        <is>
          <t>Row context means the formula is on one row. Filter context means the formula sees only the rows that the report's filters allow. Measures run in filter context.</t>
        </is>
      </c>
      <c r="T23" s="18" t="inlineStr">
        <is>
          <t>Row context is reading one line of a bill, and filter context is reading the whole filtered pile.</t>
        </is>
      </c>
      <c r="U23" s="18" t="inlineStr">
        <is>
          <t>Calculated column and iterator = row context. Measure = filter context.</t>
        </is>
      </c>
      <c r="V23" s="18" t="inlineStr">
        <is>
          <t>A calculated column Line Total = Sales[Quantity] * Sales[Price] works in row context.</t>
        </is>
      </c>
      <c r="W23" s="18" t="inlineStr">
        <is>
          <t>A card showing Total Sales for the year chosen in a slicer works in filter context.</t>
        </is>
      </c>
      <c r="X23" s="18" t="inlineStr">
        <is>
          <t>CALCULATE inside an iterator turns the current row into a filter.</t>
        </is>
      </c>
      <c r="Y23" s="18" t="inlineStr">
        <is>
          <t>CALCULATE, SUMX, calculated column, measure</t>
        </is>
      </c>
      <c r="Z23" s="18" t="inlineStr">
        <is>
          <t>context, row context, filter context, context transition</t>
        </is>
      </c>
      <c r="AA23" s="18" t="inlineStr">
        <is>
          <t>Understanding results | Writing measures | Debugging wrong totals</t>
        </is>
      </c>
      <c r="AB23" s="18" t="inlineStr">
        <is>
          <t>A: Why does my measure give a different value in each chart? | B: Because each chart gives it a different filter context.</t>
        </is>
      </c>
      <c r="AC23" s="18" t="inlineStr">
        <is>
          <t>✗ A measure always returns the same number wherever it is placed → ✓ A measure is recalculated in the filter context of each cell, so it changes with slicers and rows</t>
        </is>
      </c>
      <c r="AD23" s="18" t="inlineStr">
        <is>
          <t>Row context vs filter context: row context is one row, filter context is a set of filters on tables.</t>
        </is>
      </c>
      <c r="AE23" s="18" t="inlineStr">
        <is>
          <t>Do not use a column reference alone in a measure, it has no row context.</t>
        </is>
      </c>
      <c r="AF23" s="18" t="inlineStr">
        <is>
          <t>Row is one line, filter is the filtered pile.</t>
        </is>
      </c>
      <c r="AG23" s="18" t="inlineStr">
        <is>
          <t>Understanding why a ratio measure changed by region after adding slicers.</t>
        </is>
      </c>
      <c r="AH23" s="18" t="inlineStr">
        <is>
          <t>An interviewer may ask: What is the difference between row context and filter context?</t>
        </is>
      </c>
      <c r="AI23" s="18" t="inlineStr">
        <is>
          <t>It is like reading one line of a bill versus the whole filtered pile of bills.</t>
        </is>
      </c>
      <c r="AJ23" s="18" t="inlineStr">
        <is>
          <t>In which context does a measure run by default?</t>
        </is>
      </c>
      <c r="AK23" s="18" t="inlineStr">
        <is>
          <t>A) Filter context B) Page context C) No context D) Row context</t>
        </is>
      </c>
      <c r="AL23" s="18" t="inlineStr">
        <is>
          <t>A</t>
        </is>
      </c>
      <c r="AM23" s="18" t="inlineStr">
        <is>
          <t>Measures evaluate against the filters supplied by the report.</t>
        </is>
      </c>
      <c r="AN23" s="18" t="inlineStr">
        <is>
          <t>A calculated column is evaluated in ____ context → row</t>
        </is>
      </c>
      <c r="AO23" s="18" t="inlineStr">
        <is>
          <t>Which function can turn a row context into a filter context? → CALCULATE</t>
        </is>
      </c>
      <c r="AP23" s="18" t="inlineStr">
        <is>
          <t>Explain the two contexts in three lines.</t>
        </is>
      </c>
      <c r="AQ23" s="18" t="inlineStr">
        <is>
          <t>Write one example of a row context and one example of a filter context.</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94.5" customHeight="1">
      <c r="A24" s="17" t="inlineStr">
        <is>
          <t>PBI-043</t>
        </is>
      </c>
      <c r="B24" s="17" t="inlineStr">
        <is>
          <t>05 Visuals and design</t>
        </is>
      </c>
      <c r="C24" s="17" t="inlineStr">
        <is>
          <t>Beginner</t>
        </is>
      </c>
      <c r="D24" s="17" t="n">
        <v>43</v>
      </c>
      <c r="E24" s="17" t="inlineStr">
        <is>
          <t>Claude knowledge</t>
        </is>
      </c>
      <c r="F24" s="18" t="inlineStr">
        <is>
          <t>Choosing the right chart</t>
        </is>
      </c>
      <c r="G24" s="18" t="inlineStr">
        <is>
          <t>Which chart suits a trend over time, a comparison of categories, a part of a whole, and a relationship between two numbers?</t>
        </is>
      </c>
      <c r="H24" s="18" t="inlineStr">
        <is>
          <t>Visual design</t>
        </is>
      </c>
      <c r="I24" s="18" t="inlineStr">
        <is>
          <t>Very high</t>
        </is>
      </c>
      <c r="J24" s="18" t="n">
        <v>5</v>
      </c>
      <c r="K24" s="18" t="inlineStr">
        <is>
          <t>A wrong chart can hide the message, so data visualisation guidance matches each question with the chart type that answers it best.</t>
        </is>
      </c>
      <c r="L24" s="18" t="inlineStr">
        <is>
          <t>Decide the question first, then pick the chart that answers it, and not the other way round.</t>
        </is>
      </c>
      <c r="M24" s="18" t="inlineStr">
        <is>
          <t>Each chart is a tool in a toolbox, and you pick the one that fits the job.</t>
        </is>
      </c>
      <c r="N24" s="18" t="inlineStr">
        <is>
          <t>A line chart for time, a bar chart for comparison, a donut for share and a scatter plot for relationships.</t>
        </is>
      </c>
      <c r="O24" s="18" t="inlineStr">
        <is>
          <t>The pride of a chart that explains itself without a long speech.</t>
        </is>
      </c>
      <c r="P24" s="18" t="inlineStr">
        <is>
          <t>Choosing the right chart means matching the question you want to answer with the visual type that shows it most clearly.</t>
        </is>
      </c>
      <c r="Q24" s="17" t="n"/>
      <c r="R24" s="18" t="inlineStr">
        <is>
          <t>Use a line chart for trends over time, a bar or column chart to compare categories, a stacked or donut chart sparingly for parts of a whole, a scatter plot for the relationship between two numbers, a card for one key number, and a table or matrix for exact values. Maps suit location data.</t>
        </is>
      </c>
      <c r="S24" s="18" t="inlineStr">
        <is>
          <t>Ask what the reader should learn. For change over time use a line, to compare items use bars, and for one big number use a card.</t>
        </is>
      </c>
      <c r="T24" s="18" t="inlineStr">
        <is>
          <t>It is like picking the right tool from a toolbox for each job.</t>
        </is>
      </c>
      <c r="U24" s="18" t="inlineStr">
        <is>
          <t>Trend = line, Compare = bar, Single number = card, Relationship = scatter, Exact values = table</t>
        </is>
      </c>
      <c r="V24" s="18" t="inlineStr">
        <is>
          <t>A line chart of monthly sales shows the trend through the year.</t>
        </is>
      </c>
      <c r="W24" s="18" t="inlineStr">
        <is>
          <t>A bar chart compares sales by region.</t>
        </is>
      </c>
      <c r="X24" s="18" t="inlineStr">
        <is>
          <t>A scatter plot shows whether discounts relate to profit.</t>
        </is>
      </c>
      <c r="Y24" s="18" t="inlineStr">
        <is>
          <t>visual, slicer, conditional formatting, report page</t>
        </is>
      </c>
      <c r="Z24" s="18" t="inlineStr">
        <is>
          <t>line, bar, column, donut, scatter, card, matrix</t>
        </is>
      </c>
      <c r="AA24" s="18" t="inlineStr">
        <is>
          <t>Report design | Presentations | Dashboards</t>
        </is>
      </c>
      <c r="AB24" s="18" t="inlineStr">
        <is>
          <t>A: Which chart should I use for sales by month? | B: A line chart, because it shows the trend over time clearly.</t>
        </is>
      </c>
      <c r="AC24" s="18" t="inlineStr">
        <is>
          <t>✗ A pie chart is the best choice for comparing many categories → ✓ Bars compare many categories more clearly, and pie or donut charts work only for a few parts of a whole</t>
        </is>
      </c>
      <c r="AD24" s="18" t="inlineStr">
        <is>
          <t>Line vs bar: a line shows change over time, a bar compares separate categories.</t>
        </is>
      </c>
      <c r="AE24" s="18" t="inlineStr">
        <is>
          <t>Do not use 3D effects or too many colours, they hide the message.</t>
        </is>
      </c>
      <c r="AF24" s="18" t="inlineStr">
        <is>
          <t>Time uses line, categories use bars.</t>
        </is>
      </c>
      <c r="AG24" s="18" t="inlineStr">
        <is>
          <t>Replacing a crowded pie chart with a sorted bar chart that made the ranking obvious.</t>
        </is>
      </c>
      <c r="AH24" s="18" t="inlineStr">
        <is>
          <t>An interviewer may ask: How do you choose the right visual for a question?</t>
        </is>
      </c>
      <c r="AI24" s="18" t="inlineStr">
        <is>
          <t>It is like choosing the right tool from a toolbox.</t>
        </is>
      </c>
      <c r="AJ24" s="18" t="inlineStr">
        <is>
          <t>Which visual is best for showing a trend over months?</t>
        </is>
      </c>
      <c r="AK24" s="18" t="inlineStr">
        <is>
          <t>A) Pie chart B) Table C) Line chart D) Card</t>
        </is>
      </c>
      <c r="AL24" s="18" t="inlineStr">
        <is>
          <t>C</t>
        </is>
      </c>
      <c r="AM24" s="18" t="inlineStr">
        <is>
          <t>A line chart shows how a value changes over time.</t>
        </is>
      </c>
      <c r="AN24" s="18" t="inlineStr">
        <is>
          <t>To show one key number clearly you can use a ____ visual → card</t>
        </is>
      </c>
      <c r="AO24" s="18" t="inlineStr">
        <is>
          <t>Which chart would you choose to compare sales across ten regions? → A sorted bar chart</t>
        </is>
      </c>
      <c r="AP24" s="18" t="inlineStr">
        <is>
          <t>Explain in three lines how you pick a chart.</t>
        </is>
      </c>
      <c r="AQ24" s="18" t="inlineStr">
        <is>
          <t>Write which chart you would use for five different business questions.</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81" customHeight="1">
      <c r="A25" s="17" t="inlineStr">
        <is>
          <t>PBI-044</t>
        </is>
      </c>
      <c r="B25" s="17" t="inlineStr">
        <is>
          <t>05 Visuals and design</t>
        </is>
      </c>
      <c r="C25" s="17" t="inlineStr">
        <is>
          <t>Beginner</t>
        </is>
      </c>
      <c r="D25" s="17" t="n">
        <v>44</v>
      </c>
      <c r="E25" s="17" t="inlineStr">
        <is>
          <t>Claude knowledge</t>
        </is>
      </c>
      <c r="F25" s="18" t="inlineStr">
        <is>
          <t>Slicers</t>
        </is>
      </c>
      <c r="G25" s="18" t="inlineStr">
        <is>
          <t>Which on-page visual lets viewers click to filter the other visuals, such as choosing a year or a region?</t>
        </is>
      </c>
      <c r="H25" s="18" t="inlineStr">
        <is>
          <t>Interactive filter</t>
        </is>
      </c>
      <c r="I25" s="18" t="inlineStr">
        <is>
          <t>Very high</t>
        </is>
      </c>
      <c r="J25" s="18" t="n">
        <v>4</v>
      </c>
      <c r="K25" s="18" t="inlineStr">
        <is>
          <t>Readers want to explore their own slice of the data, so Power BI added a visual whose only job is to filter other visuals.</t>
        </is>
      </c>
      <c r="L25" s="18" t="inlineStr">
        <is>
          <t>Keep slicers few and clearly labelled, and place them in the same spot on every page.</t>
        </is>
      </c>
      <c r="M25" s="18" t="inlineStr">
        <is>
          <t>A slicer is a set of buttons on a remote that choose what the screen shows.</t>
        </is>
      </c>
      <c r="N25" s="18" t="inlineStr">
        <is>
          <t>A list of years or a date range bar with some options highlighted next to a chart that updates.</t>
        </is>
      </c>
      <c r="O25" s="18" t="inlineStr">
        <is>
          <t>The fun of clicking an option and watching the whole page respond.</t>
        </is>
      </c>
      <c r="P25" s="18" t="inlineStr">
        <is>
          <t>A slicer is a visual with clickable options that filters the other visuals on a page, or on several pages when synced.</t>
        </is>
      </c>
      <c r="Q25" s="17" t="n"/>
      <c r="R25" s="18" t="inlineStr">
        <is>
          <t>You create a slicer from the Visualizations pane and put a field in it. It can show a list, a dropdown, tiles or a date range. Sync slicers lets one choice apply across pages. A slicer filters through relationships, so fields from related tables work.</t>
        </is>
      </c>
      <c r="S25" s="18" t="inlineStr">
        <is>
          <t>Add a slicer for Year and click 2025, and every visual on the page shows only 2025. It is a filter the reader controls.</t>
        </is>
      </c>
      <c r="T25" s="18" t="inlineStr">
        <is>
          <t>It is like the channel buttons on a remote control.</t>
        </is>
      </c>
      <c r="U25" s="18" t="inlineStr">
        <is>
          <t>Slicer + field → click an option → other visuals filter</t>
        </is>
      </c>
      <c r="V25" s="18" t="inlineStr">
        <is>
          <t>A Year slicer that filters all charts on the page.</t>
        </is>
      </c>
      <c r="W25" s="18" t="inlineStr">
        <is>
          <t>A Region dropdown slicer that lets managers see their own region.</t>
        </is>
      </c>
      <c r="X25" s="18" t="inlineStr">
        <is>
          <t>A date range slicer that selects a custom period.</t>
        </is>
      </c>
      <c r="Y25" s="18" t="inlineStr">
        <is>
          <t>filters pane, relationships, bookmarks, sync slicers</t>
        </is>
      </c>
      <c r="Z25" s="18" t="inlineStr">
        <is>
          <t>slicer, filter, dropdown, date range, sync</t>
        </is>
      </c>
      <c r="AA25" s="18" t="inlineStr">
        <is>
          <t>Interactive reports | Dashboards | Self-service exploration</t>
        </is>
      </c>
      <c r="AB25" s="18" t="inlineStr">
        <is>
          <t>A: Managers want to see only their own region. | B: Add a Region slicer so they can pick it themselves.</t>
        </is>
      </c>
      <c r="AC25" s="18" t="inlineStr">
        <is>
          <t>✗ A slicer filters only the visual next to it → ✓ A slicer filters all visuals on its page, and with synced slicers it can filter other pages too</t>
        </is>
      </c>
      <c r="AD25" s="18" t="inlineStr">
        <is>
          <t>Slicer vs filter pane: a slicer is visible on the page for viewers, the filter pane is a side panel with filters.</t>
        </is>
      </c>
      <c r="AE25" s="18" t="inlineStr">
        <is>
          <t>Do not add ten slicers to one page.</t>
        </is>
      </c>
      <c r="AF25" s="18" t="inlineStr">
        <is>
          <t>A slicer slices the data for you.</t>
        </is>
      </c>
      <c r="AG25" s="18" t="inlineStr">
        <is>
          <t>Adding Year and Region slicers so executives can explore their own view.</t>
        </is>
      </c>
      <c r="AH25" s="18" t="inlineStr">
        <is>
          <t>An interviewer may ask: What is the difference between a slicer and a filter?</t>
        </is>
      </c>
      <c r="AI25" s="18" t="inlineStr">
        <is>
          <t>It is like the buttons on a remote that choose the channel.</t>
        </is>
      </c>
      <c r="AJ25" s="18" t="inlineStr">
        <is>
          <t>What does a slicer do?</t>
        </is>
      </c>
      <c r="AK25" s="18" t="inlineStr">
        <is>
          <t>A) Changes a theme B) Filters other visuals C) Deletes data D) Adds a new table</t>
        </is>
      </c>
      <c r="AL25" s="18" t="inlineStr">
        <is>
          <t>B</t>
        </is>
      </c>
      <c r="AM25" s="18" t="inlineStr">
        <is>
          <t>A slicer filters the other visuals on its page.</t>
        </is>
      </c>
      <c r="AN25" s="18" t="inlineStr">
        <is>
          <t>To make one slicer apply across several pages, use ____ slicers → sync</t>
        </is>
      </c>
      <c r="AO25" s="18" t="inlineStr">
        <is>
          <t>Managers want to pick their own region. Which visual do you add? → A Region slicer</t>
        </is>
      </c>
      <c r="AP25" s="18" t="inlineStr">
        <is>
          <t>Explain what a slicer is in three lines.</t>
        </is>
      </c>
      <c r="AQ25" s="18" t="inlineStr">
        <is>
          <t>Add a slicer for a field in a report and write what changes when you click.</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81" customHeight="1">
      <c r="A26" s="17" t="inlineStr">
        <is>
          <t>PBI-045</t>
        </is>
      </c>
      <c r="B26" s="17" t="inlineStr">
        <is>
          <t>05 Visuals and design</t>
        </is>
      </c>
      <c r="C26" s="17" t="inlineStr">
        <is>
          <t>Intermediate</t>
        </is>
      </c>
      <c r="D26" s="17" t="n">
        <v>45</v>
      </c>
      <c r="E26" s="17" t="inlineStr">
        <is>
          <t>Claude knowledge</t>
        </is>
      </c>
      <c r="F26" s="18" t="inlineStr">
        <is>
          <t>Filters pane (visual, page, report level)</t>
        </is>
      </c>
      <c r="G26" s="18" t="inlineStr">
        <is>
          <t>Which three scopes of filters in the Filters pane decide whether a filter affects one visual, one page or the whole report?</t>
        </is>
      </c>
      <c r="H26" s="18" t="inlineStr">
        <is>
          <t>Filtering</t>
        </is>
      </c>
      <c r="I26" s="18" t="inlineStr">
        <is>
          <t>High</t>
        </is>
      </c>
      <c r="J26" s="18" t="n">
        <v>4</v>
      </c>
      <c r="K26" s="18" t="inlineStr">
        <is>
          <t>Some filters should apply everywhere while others only to a single chart, so the Filters pane offers different scopes.</t>
        </is>
      </c>
      <c r="L26" s="18" t="inlineStr">
        <is>
          <t>Put a filter at the widest level that makes sense, and use visual-level filters only for exceptions.</t>
        </is>
      </c>
      <c r="M26" s="18" t="inlineStr">
        <is>
          <t>Filters have three sizes like boxes: a small box for one visual, a medium box for a page, and a large box for the whole report.</t>
        </is>
      </c>
      <c r="N26" s="18" t="inlineStr">
        <is>
          <t>A side pane with three groups: Filters on this visual, on this page and on all pages.</t>
        </is>
      </c>
      <c r="O26" s="18" t="inlineStr">
        <is>
          <t>The satisfaction of controlling exactly what each page shows.</t>
        </is>
      </c>
      <c r="P26" s="18" t="inlineStr">
        <is>
          <t>Visual-level filters affect one visual, page-level filters affect all visuals on a page, and report-level filters affect every page.</t>
        </is>
      </c>
      <c r="Q26" s="17" t="n"/>
      <c r="R26" s="18" t="inlineStr">
        <is>
          <t>In the Filters pane you drop fields into the visual, page or all pages section. Basic, Advanced and Top N filter types are available. These filters are applied by the author and viewers can change them unless you lock or hide them.</t>
        </is>
      </c>
      <c r="S26" s="18" t="inlineStr">
        <is>
          <t>Choose how wide the filter should be. One chart, one page, or the whole report. Authors set them, and viewers can see them in the pane.</t>
        </is>
      </c>
      <c r="T26" s="18" t="inlineStr">
        <is>
          <t>It is like three sizes of boxes: one for a single item, one for a shelf and one for the whole room.</t>
        </is>
      </c>
      <c r="U26" s="18" t="inlineStr">
        <is>
          <t>Visual &lt; Page &lt; Report</t>
        </is>
      </c>
      <c r="V26" s="18" t="inlineStr">
        <is>
          <t>A visual-level Top 5 filter on a single bar chart.</t>
        </is>
      </c>
      <c r="W26" s="18" t="inlineStr">
        <is>
          <t>A page-level filter that limits one page to the current year.</t>
        </is>
      </c>
      <c r="X26" s="18" t="inlineStr">
        <is>
          <t>A report-level filter that excludes test data from every page.</t>
        </is>
      </c>
      <c r="Y26" s="18" t="inlineStr">
        <is>
          <t>slicer, relationships, drillthrough, bookmarks</t>
        </is>
      </c>
      <c r="Z26" s="18" t="inlineStr">
        <is>
          <t>filter, scope, visual, page, report, Top N</t>
        </is>
      </c>
      <c r="AA26" s="18" t="inlineStr">
        <is>
          <t>Limiting data | Excluding test records | Showing the top few items</t>
        </is>
      </c>
      <c r="AB26" s="18" t="inlineStr">
        <is>
          <t>A: I want to exclude test orders from every page. | B: Add a report-level filter on the Order Type column.</t>
        </is>
      </c>
      <c r="AC26" s="18" t="inlineStr">
        <is>
          <t>✗ A filter placed on one visual also affects the other visuals on the page → ✓ A visual-level filter affects only that visual, and a page-level filter is needed for all visuals on the page</t>
        </is>
      </c>
      <c r="AD26" s="18" t="inlineStr">
        <is>
          <t>Slicer vs filters pane: a slicer is a visible on-page control, the pane is a side panel often set up by the author.</t>
        </is>
      </c>
      <c r="AE26" s="18" t="inlineStr">
        <is>
          <t>Do not hide important filters in the pane without telling users.</t>
        </is>
      </c>
      <c r="AF26" s="18" t="inlineStr">
        <is>
          <t>Visual is smallest, report is widest.</t>
        </is>
      </c>
      <c r="AG26" s="18" t="inlineStr">
        <is>
          <t>Using a report-level filter to remove test data from every page.</t>
        </is>
      </c>
      <c r="AH26" s="18" t="inlineStr">
        <is>
          <t>An interviewer may ask: What are the filter levels in Power BI?</t>
        </is>
      </c>
      <c r="AI26" s="18" t="inlineStr">
        <is>
          <t>It is like three box sizes, for one item, one shelf, or a whole room.</t>
        </is>
      </c>
      <c r="AJ26" s="18" t="inlineStr">
        <is>
          <t>Which filter level affects every page in the report?</t>
        </is>
      </c>
      <c r="AK26" s="18" t="inlineStr">
        <is>
          <t>A) Cell level B) Visual level C) Page level D) Report level</t>
        </is>
      </c>
      <c r="AL26" s="18" t="inlineStr">
        <is>
          <t>D</t>
        </is>
      </c>
      <c r="AM26" s="18" t="inlineStr">
        <is>
          <t>A report-level filter applies to all pages.</t>
        </is>
      </c>
      <c r="AN26" s="18" t="inlineStr">
        <is>
          <t>The filter scope between visual level and report level is called ____ level → page</t>
        </is>
      </c>
      <c r="AO26" s="18" t="inlineStr">
        <is>
          <t>How do you limit one chart to the top five items? → Use a Top N filter at the visual level</t>
        </is>
      </c>
      <c r="AP26" s="18" t="inlineStr">
        <is>
          <t>Explain the three filter levels in three lines.</t>
        </is>
      </c>
      <c r="AQ26" s="18" t="inlineStr">
        <is>
          <t>Write one example of a visual, page and report filter for a sales report.</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94.5" customHeight="1">
      <c r="A27" s="17" t="inlineStr">
        <is>
          <t>PBI-046</t>
        </is>
      </c>
      <c r="B27" s="17" t="inlineStr">
        <is>
          <t>05 Visuals and design</t>
        </is>
      </c>
      <c r="C27" s="17" t="inlineStr">
        <is>
          <t>Intermediate</t>
        </is>
      </c>
      <c r="D27" s="17" t="n">
        <v>46</v>
      </c>
      <c r="E27" s="17" t="inlineStr">
        <is>
          <t>Claude knowledge</t>
        </is>
      </c>
      <c r="F27" s="18" t="inlineStr">
        <is>
          <t>Drill down and drill through</t>
        </is>
      </c>
      <c r="G27" s="18" t="inlineStr">
        <is>
          <t>Which two navigation features let users move deeper inside one visual or jump to a detail page for one item?</t>
        </is>
      </c>
      <c r="H27" s="18" t="inlineStr">
        <is>
          <t>Navigation</t>
        </is>
      </c>
      <c r="I27" s="18" t="inlineStr">
        <is>
          <t>High</t>
        </is>
      </c>
      <c r="J27" s="18" t="n">
        <v>4</v>
      </c>
      <c r="K27" s="18" t="inlineStr">
        <is>
          <t>Users want an overview first and detail on demand, so Power BI offers drill down inside a visual and drill through to a separate detail page.</t>
        </is>
      </c>
      <c r="L27" s="18" t="inlineStr">
        <is>
          <t>Build one detail page, enable drill through on it, and let users right-click any item to land there.</t>
        </is>
      </c>
      <c r="M27" s="18" t="inlineStr">
        <is>
          <t>Drill down digs deeper in the same hole, and drill through takes a tunnel to another room.</t>
        </is>
      </c>
      <c r="N27" s="18" t="inlineStr">
        <is>
          <t>A chart splitting from years into months, and a separate page opened for one customer.</t>
        </is>
      </c>
      <c r="O27" s="18" t="inlineStr">
        <is>
          <t>The delight of clicking an overview number and seeing the detail behind it.</t>
        </is>
      </c>
      <c r="P27" s="18" t="inlineStr">
        <is>
          <t>Drill down moves through the levels of a hierarchy inside one visual, and drill through opens a detail page filtered to the selected item.</t>
        </is>
      </c>
      <c r="Q27" s="17" t="n"/>
      <c r="R27" s="18" t="inlineStr">
        <is>
          <t>Drill down needs a hierarchy such as Year, Quarter, Month on the visual's axis, and you use the drill arrows to go deeper. For drill through, you create a page, drop a field into its Drill through section, and users right-click an item and choose Drill through to open that page filtered for it.</t>
        </is>
      </c>
      <c r="S27" s="18" t="inlineStr">
        <is>
          <t>Drill down goes from year to month in the same chart. Drill through takes you to another page showing everything about the one item you clicked.</t>
        </is>
      </c>
      <c r="T27" s="18" t="inlineStr">
        <is>
          <t>Drill down digs deeper in the same hole, and drill through is a tunnel to another room.</t>
        </is>
      </c>
      <c r="U27" s="18" t="inlineStr">
        <is>
          <t>Drill down = inside the visual (hierarchy). Drill through = to another page (filtered).</t>
        </is>
      </c>
      <c r="V27" s="18" t="inlineStr">
        <is>
          <t>Clicking down from Year to Quarter to Month in a column chart.</t>
        </is>
      </c>
      <c r="W27" s="18" t="inlineStr">
        <is>
          <t>Right-clicking a customer and drilling through to a Customer Detail page.</t>
        </is>
      </c>
      <c r="X27" s="18" t="inlineStr">
        <is>
          <t>Drilling through from a product bar to a page listing its orders.</t>
        </is>
      </c>
      <c r="Y27" s="18" t="inlineStr">
        <is>
          <t>hierarchy, bookmarks, filters pane, tooltips</t>
        </is>
      </c>
      <c r="Z27" s="18" t="inlineStr">
        <is>
          <t>drill down, drill up, drill through, hierarchy</t>
        </is>
      </c>
      <c r="AA27" s="18" t="inlineStr">
        <is>
          <t>Executive overviews | Detail pages | Exploring anomalies</t>
        </is>
      </c>
      <c r="AB27" s="18" t="inlineStr">
        <is>
          <t>A: I want to see details for the customer I clicked. | B: Set up a drill-through page for Customer and right-click the item to open it.</t>
        </is>
      </c>
      <c r="AC27" s="18" t="inlineStr">
        <is>
          <t>✗ Drill down and drill through are the same → ✓ Drill down moves within one visual, while drill through goes to a different page filtered to the selected item</t>
        </is>
      </c>
      <c r="AD27" s="18" t="inlineStr">
        <is>
          <t>Drill down vs drill through: drill down stays in the visual, drill through changes the page.</t>
        </is>
      </c>
      <c r="AE27" s="18" t="inlineStr">
        <is>
          <t>Do not forget to add the field to the drill-through section of the page.</t>
        </is>
      </c>
      <c r="AF27" s="18" t="inlineStr">
        <is>
          <t>Down digs in, through goes to another room.</t>
        </is>
      </c>
      <c r="AG27" s="18" t="inlineStr">
        <is>
          <t>Building a Customer Detail drill-through page reached from every customer visual.</t>
        </is>
      </c>
      <c r="AH27" s="18" t="inlineStr">
        <is>
          <t>An interviewer may ask: What is the difference between drill down and drill through?</t>
        </is>
      </c>
      <c r="AI27" s="18" t="inlineStr">
        <is>
          <t>It is like digging deeper in the same hole versus taking a tunnel to another room.</t>
        </is>
      </c>
      <c r="AJ27" s="18" t="inlineStr">
        <is>
          <t>Which feature opens a different report page filtered to the selected item?</t>
        </is>
      </c>
      <c r="AK27" s="18" t="inlineStr">
        <is>
          <t>A) Drill through B) Theme C) Slicer D) Drill down</t>
        </is>
      </c>
      <c r="AL27" s="18" t="inlineStr">
        <is>
          <t>A</t>
        </is>
      </c>
      <c r="AM27" s="18" t="inlineStr">
        <is>
          <t>Drill through jumps to a detail page filtered for the item.</t>
        </is>
      </c>
      <c r="AN27" s="18" t="inlineStr">
        <is>
          <t>Moving from Year to Month in one chart is called drill ____ → down</t>
        </is>
      </c>
      <c r="AO27" s="18" t="inlineStr">
        <is>
          <t>How do users reach a detail page for one customer? → Set up a drill-through page and right-click the customer</t>
        </is>
      </c>
      <c r="AP27" s="18" t="inlineStr">
        <is>
          <t>Explain the difference between drill down and drill through in three lines.</t>
        </is>
      </c>
      <c r="AQ27" s="18" t="inlineStr">
        <is>
          <t>Plan a drill-through page for products and list what it should show.</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81" customHeight="1">
      <c r="A28" s="17" t="inlineStr">
        <is>
          <t>PBI-047</t>
        </is>
      </c>
      <c r="B28" s="17" t="inlineStr">
        <is>
          <t>05 Visuals and design</t>
        </is>
      </c>
      <c r="C28" s="17" t="inlineStr">
        <is>
          <t>Intermediate</t>
        </is>
      </c>
      <c r="D28" s="17" t="n">
        <v>47</v>
      </c>
      <c r="E28" s="17" t="inlineStr">
        <is>
          <t>Claude knowledge</t>
        </is>
      </c>
      <c r="F28" s="18" t="inlineStr">
        <is>
          <t>Bookmarks and tooltips</t>
        </is>
      </c>
      <c r="G28" s="18" t="inlineStr">
        <is>
          <t>Which two features save a view of a page for navigation and show extra detail when hovering over a data point?</t>
        </is>
      </c>
      <c r="H28" s="18" t="inlineStr">
        <is>
          <t>Interactivity</t>
        </is>
      </c>
      <c r="I28" s="18" t="inlineStr">
        <is>
          <t>Medium</t>
        </is>
      </c>
      <c r="J28" s="18" t="n">
        <v>3</v>
      </c>
      <c r="K28" s="18" t="inlineStr">
        <is>
          <t>Reports need guided navigation and quick context without clutter, so Power BI added bookmarks to remember a state and tooltips to reveal detail on hover.</t>
        </is>
      </c>
      <c r="L28" s="18" t="inlineStr">
        <is>
          <t>Use bookmarks with buttons to build simple navigation menus or toggles between views.</t>
        </is>
      </c>
      <c r="M28" s="18" t="inlineStr">
        <is>
          <t>A bookmark holds your place in a book, and a tooltip is a small note that pops up when you point at a word.</t>
        </is>
      </c>
      <c r="N28" s="18" t="inlineStr">
        <is>
          <t>A button that switches between a chart view and a table view, and a small card popping up over a bar.</t>
        </is>
      </c>
      <c r="O28" s="18" t="inlineStr">
        <is>
          <t>The polish of a report that guides and informs without crowding the page.</t>
        </is>
      </c>
      <c r="P28" s="18" t="inlineStr">
        <is>
          <t>A bookmark saves the current state of a page, such as filters and visibility, and a tooltip shows extra information when the pointer hovers over a data point.</t>
        </is>
      </c>
      <c r="Q28" s="17" t="n"/>
      <c r="R28" s="18" t="inlineStr">
        <is>
          <t>A bookmark captures filters, slicer selections and which visuals are visible, and can be linked to a button so clicking it restores that view. A report page tooltip is a small page designed to show more detail, and you assign it to a visual so it appears on hover.</t>
        </is>
      </c>
      <c r="S28" s="18" t="inlineStr">
        <is>
          <t>Bookmarks remember a view so a button can jump to it. Tooltips pop up a mini chart or text when you hover, so the main page stays clean.</t>
        </is>
      </c>
      <c r="T28" s="18" t="inlineStr">
        <is>
          <t>A bookmark holds your place in a book, and a tooltip is a note that pops up when you point.</t>
        </is>
      </c>
      <c r="U28" s="18" t="inlineStr">
        <is>
          <t>Bookmark = saved view for buttons. Tooltip = pop-up detail on hover.</t>
        </is>
      </c>
      <c r="V28" s="18" t="inlineStr">
        <is>
          <t>A button that toggles between a chart and a table using two bookmarks.</t>
        </is>
      </c>
      <c r="W28" s="18" t="inlineStr">
        <is>
          <t>A navigation bar of buttons that jump to different bookmarked views.</t>
        </is>
      </c>
      <c r="X28" s="18" t="inlineStr">
        <is>
          <t>A tooltip page that shows a trend line when hovering over a bar.</t>
        </is>
      </c>
      <c r="Y28" s="18" t="inlineStr">
        <is>
          <t>buttons, drill through, selection pane, report page</t>
        </is>
      </c>
      <c r="Z28" s="18" t="inlineStr">
        <is>
          <t>bookmark, tooltip, button, selection pane</t>
        </is>
      </c>
      <c r="AA28" s="18" t="inlineStr">
        <is>
          <t>Navigation menus | View toggles | Hover detail</t>
        </is>
      </c>
      <c r="AB28" s="18" t="inlineStr">
        <is>
          <t>A: Can I let users switch between a chart and a table? | B: Make two bookmarks and link each to a button.</t>
        </is>
      </c>
      <c r="AC28" s="18" t="inlineStr">
        <is>
          <t>✗ A bookmark saves only the page you are on → ✓ A bookmark saves the state of the page, including filters, slicers and which visuals are shown</t>
        </is>
      </c>
      <c r="AD28" s="18" t="inlineStr">
        <is>
          <t>Bookmark vs tooltip: a bookmark restores a saved view on click, a tooltip shows detail on hover.</t>
        </is>
      </c>
      <c r="AE28" s="18" t="inlineStr">
        <is>
          <t>Do not create many bookmarks without clear names.</t>
        </is>
      </c>
      <c r="AF28" s="18" t="inlineStr">
        <is>
          <t>Bookmark saves the view, tooltip shows on hover.</t>
        </is>
      </c>
      <c r="AG28" s="18" t="inlineStr">
        <is>
          <t>Building a toggle between a chart and a table using bookmarks and buttons.</t>
        </is>
      </c>
      <c r="AH28" s="18" t="inlineStr">
        <is>
          <t>An interviewer may ask: What do bookmarks capture?</t>
        </is>
      </c>
      <c r="AI28" s="18" t="inlineStr">
        <is>
          <t>It is like holding your place in a book and a note popping up when you point.</t>
        </is>
      </c>
      <c r="AJ28" s="18" t="inlineStr">
        <is>
          <t>Which feature saves slicer selections and visual visibility so a button can restore them?</t>
        </is>
      </c>
      <c r="AK28" s="18" t="inlineStr">
        <is>
          <t>A) Parameter B) Bookmark C) Tooltip D) Theme</t>
        </is>
      </c>
      <c r="AL28" s="18" t="inlineStr">
        <is>
          <t>B</t>
        </is>
      </c>
      <c r="AM28" s="18" t="inlineStr">
        <is>
          <t>A bookmark stores the page state that a button can restore.</t>
        </is>
      </c>
      <c r="AN28" s="18" t="inlineStr">
        <is>
          <t>A small page that appears on hover over a data point is a ____ → tooltip</t>
        </is>
      </c>
      <c r="AO28" s="18" t="inlineStr">
        <is>
          <t>How would you let users toggle between a chart and a table? → Use two bookmarks linked to buttons</t>
        </is>
      </c>
      <c r="AP28" s="18" t="inlineStr">
        <is>
          <t>Explain bookmarks and tooltips in three lines.</t>
        </is>
      </c>
      <c r="AQ28" s="18" t="inlineStr">
        <is>
          <t>Design one bookmark toggle and one tooltip for a sales report.</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94.5" customHeight="1">
      <c r="A29" s="17" t="inlineStr">
        <is>
          <t>PBI-048</t>
        </is>
      </c>
      <c r="B29" s="17" t="inlineStr">
        <is>
          <t>05 Visuals and design</t>
        </is>
      </c>
      <c r="C29" s="17" t="inlineStr">
        <is>
          <t>Intermediate</t>
        </is>
      </c>
      <c r="D29" s="17" t="n">
        <v>48</v>
      </c>
      <c r="E29" s="17" t="inlineStr">
        <is>
          <t>Claude knowledge</t>
        </is>
      </c>
      <c r="F29" s="18" t="inlineStr">
        <is>
          <t>Conditional formatting</t>
        </is>
      </c>
      <c r="G29" s="18" t="inlineStr">
        <is>
          <t>Which feature colours cells, bars or text automatically based on their values, such as red for low and green for high?</t>
        </is>
      </c>
      <c r="H29" s="18" t="inlineStr">
        <is>
          <t>Visual formatting</t>
        </is>
      </c>
      <c r="I29" s="18" t="inlineStr">
        <is>
          <t>Medium</t>
        </is>
      </c>
      <c r="J29" s="18" t="n">
        <v>3</v>
      </c>
      <c r="K29" s="18" t="inlineStr">
        <is>
          <t>People spot patterns faster with colour than with numbers, so Power BI lets formatting follow the data.</t>
        </is>
      </c>
      <c r="L29" s="18" t="inlineStr">
        <is>
          <t>Use colour sparingly and consistently, and make sure it can be read by colour-blind viewers.</t>
        </is>
      </c>
      <c r="M29" s="18" t="inlineStr">
        <is>
          <t>Conditional formatting is traffic lights for your numbers.</t>
        </is>
      </c>
      <c r="N29" s="18" t="inlineStr">
        <is>
          <t>A table where low values are red, medium are amber and high are green, beside small data bars.</t>
        </is>
      </c>
      <c r="O29" s="18" t="inlineStr">
        <is>
          <t>The satisfaction of seeing trouble spots jump out at once.</t>
        </is>
      </c>
      <c r="P29" s="18" t="inlineStr">
        <is>
          <t>Conditional formatting changes the colour, data bars or icons of a visual according to the values or rules you set.</t>
        </is>
      </c>
      <c r="Q29" s="17" t="n"/>
      <c r="R29" s="18" t="inlineStr">
        <is>
          <t>Open the formatting options for a field in a table, matrix or other visual, choose Conditional formatting, and pick background colour, font colour, data bars or icons. You can base it on a colour scale, rules or a field value such as a measure that returns a colour.</t>
        </is>
      </c>
      <c r="S29" s="18" t="inlineStr">
        <is>
          <t>Set a rule such as red below 5000 and green above 10000, and the cells colour themselves. It makes the important numbers stand out.</t>
        </is>
      </c>
      <c r="T29" s="18" t="inlineStr">
        <is>
          <t>It is like traffic lights for your numbers.</t>
        </is>
      </c>
      <c r="U29" s="18" t="inlineStr">
        <is>
          <t>Pick a field → Conditional formatting → choose colours, bars or icons by a rule</t>
        </is>
      </c>
      <c r="V29" s="18" t="inlineStr">
        <is>
          <t>A background colour scale from red to green on a sales column.</t>
        </is>
      </c>
      <c r="W29" s="18" t="inlineStr">
        <is>
          <t>Data bars inside table cells.</t>
        </is>
      </c>
      <c r="X29" s="18" t="inlineStr">
        <is>
          <t>A rule that turns negative growth red.</t>
        </is>
      </c>
      <c r="Y29" s="18" t="inlineStr">
        <is>
          <t>visual, themes, accessibility, measures</t>
        </is>
      </c>
      <c r="Z29" s="18" t="inlineStr">
        <is>
          <t>conditional formatting, colour scale, rules, data bars, icons</t>
        </is>
      </c>
      <c r="AA29" s="18" t="inlineStr">
        <is>
          <t>Tables and matrices | KPI colouring | Spotting exceptions</t>
        </is>
      </c>
      <c r="AB29" s="18" t="inlineStr">
        <is>
          <t>A: How can I make low sales stand out? | B: Use conditional formatting to turn them red.</t>
        </is>
      </c>
      <c r="AC29" s="18" t="inlineStr">
        <is>
          <t>✗ Colours must be set by hand for each cell → ✓ Conditional formatting colours cells automatically from rules or values</t>
        </is>
      </c>
      <c r="AD29" s="18" t="inlineStr">
        <is>
          <t>Conditional formatting vs a theme: formatting reacts to the data, a theme sets the overall look.</t>
        </is>
      </c>
      <c r="AE29" s="18" t="inlineStr">
        <is>
          <t>Do not rely on red and green alone, some viewers cannot tell them apart.</t>
        </is>
      </c>
      <c r="AF29" s="18" t="inlineStr">
        <is>
          <t>Colour follows the value automatically.</t>
        </is>
      </c>
      <c r="AG29" s="18" t="inlineStr">
        <is>
          <t>Colouring a margin column red or green against a target.</t>
        </is>
      </c>
      <c r="AH29" s="18" t="inlineStr">
        <is>
          <t>An interviewer may ask: How do you highlight values above a target in a table?</t>
        </is>
      </c>
      <c r="AI29" s="18" t="inlineStr">
        <is>
          <t>It is like traffic lights that change with the situation.</t>
        </is>
      </c>
      <c r="AJ29" s="18" t="inlineStr">
        <is>
          <t>Which option automatically colours cells based on their values?</t>
        </is>
      </c>
      <c r="AK29" s="18" t="inlineStr">
        <is>
          <t>A) Bookmark B) Gateway C) Conditional formatting D) Parameter</t>
        </is>
      </c>
      <c r="AL29" s="18" t="inlineStr">
        <is>
          <t>C</t>
        </is>
      </c>
      <c r="AM29" s="18" t="inlineStr">
        <is>
          <t>Conditional formatting applies colours from rules or values.</t>
        </is>
      </c>
      <c r="AN29" s="18" t="inlineStr">
        <is>
          <t>A background that changes from red to green with the value uses a colour ____ → scale</t>
        </is>
      </c>
      <c r="AO29" s="18" t="inlineStr">
        <is>
          <t>How do you highlight negative growth in red? → Set a conditional formatting rule on the growth column</t>
        </is>
      </c>
      <c r="AP29" s="18" t="inlineStr">
        <is>
          <t>Explain conditional formatting in three lines.</t>
        </is>
      </c>
      <c r="AQ29" s="18" t="inlineStr">
        <is>
          <t>Colour a sales column red below a target and green above it.</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81" customHeight="1">
      <c r="A30" s="17" t="inlineStr">
        <is>
          <t>PBI-049</t>
        </is>
      </c>
      <c r="B30" s="17" t="inlineStr">
        <is>
          <t>06 Service and governance</t>
        </is>
      </c>
      <c r="C30" s="17" t="inlineStr">
        <is>
          <t>Intermediate</t>
        </is>
      </c>
      <c r="D30" s="17" t="n">
        <v>49</v>
      </c>
      <c r="E30" s="17" t="inlineStr">
        <is>
          <t>Claude knowledge</t>
        </is>
      </c>
      <c r="F30" s="18" t="inlineStr">
        <is>
          <t>Workspaces and apps</t>
        </is>
      </c>
      <c r="G30" s="18" t="inlineStr">
        <is>
          <t>Which two Power BI Service features hold content for a team and package it for a wider audience?</t>
        </is>
      </c>
      <c r="H30" s="18" t="inlineStr">
        <is>
          <t>Service feature</t>
        </is>
      </c>
      <c r="I30" s="18" t="inlineStr">
        <is>
          <t>Very high</t>
        </is>
      </c>
      <c r="J30" s="18" t="n">
        <v>5</v>
      </c>
      <c r="K30" s="18" t="inlineStr">
        <is>
          <t>A shared place was needed to build content together and a controlled way to hand it to viewers, so the Service provides workspaces and apps.</t>
        </is>
      </c>
      <c r="L30" s="18" t="inlineStr">
        <is>
          <t>Build and test in a workspace, and publish an app for the viewers so they see only the final content.</t>
        </is>
      </c>
      <c r="M30" s="18" t="inlineStr">
        <is>
          <t>A workspace is a team's workshop, and an app is the finished product shown in the shop window.</t>
        </is>
      </c>
      <c r="N30" s="18" t="inlineStr">
        <is>
          <t>A workshop room full of reports and a neat shop window displaying only the final ones.</t>
        </is>
      </c>
      <c r="O30" s="18" t="inlineStr">
        <is>
          <t>The orderliness of knowing where content lives and who can see it.</t>
        </is>
      </c>
      <c r="P30" s="18" t="inlineStr">
        <is>
          <t>A workspace is a shared area in the Service where teams create and manage content, and an app packages selected content for distribution to viewers.</t>
        </is>
      </c>
      <c r="Q30" s="17" t="n"/>
      <c r="R30" s="18" t="inlineStr">
        <is>
          <t>Workspace roles such as Admin, Member, Contributor and Viewer control what people can do. Reports, semantic models and dashboards are stored there. An app bundles chosen items with its own navigation and permissions, so viewers see a stable, polished version.</t>
        </is>
      </c>
      <c r="S30" s="18" t="inlineStr">
        <is>
          <t>A workspace is where the team works. An app is the polished copy you give to readers, so they do not see your unfinished work.</t>
        </is>
      </c>
      <c r="T30" s="18" t="inlineStr">
        <is>
          <t>A workspace is a workshop, and an app is the product displayed in a shop window.</t>
        </is>
      </c>
      <c r="U30" s="18" t="inlineStr">
        <is>
          <t>Workspace = build together. App = share the finished version.</t>
        </is>
      </c>
      <c r="V30" s="18" t="inlineStr">
        <is>
          <t>A Sales workspace where analysts build reports.</t>
        </is>
      </c>
      <c r="W30" s="18" t="inlineStr">
        <is>
          <t>An app that shows managers only the final sales dashboards.</t>
        </is>
      </c>
      <c r="X30" s="18" t="inlineStr">
        <is>
          <t>A workspace role of Viewer for someone who may only read.</t>
        </is>
      </c>
      <c r="Y30" s="18" t="inlineStr">
        <is>
          <t>roles, publish, semantic model, licences</t>
        </is>
      </c>
      <c r="Z30" s="18" t="inlineStr">
        <is>
          <t>workspace, app, role, Admin, Member, Contributor, Viewer</t>
        </is>
      </c>
      <c r="AA30" s="18" t="inlineStr">
        <is>
          <t>Team collaboration | Distribution to many readers | Access control</t>
        </is>
      </c>
      <c r="AB30" s="18" t="inlineStr">
        <is>
          <t>A: How do I give 200 people the finished reports? | B: Publish an app from the workspace and give them access to it.</t>
        </is>
      </c>
      <c r="AC30" s="18" t="inlineStr">
        <is>
          <t>✗ Everyone who needs to view a report must be added to the workspace → ✓ Viewers can be given access through an app, without being workspace members</t>
        </is>
      </c>
      <c r="AD30" s="18" t="inlineStr">
        <is>
          <t>Workspace vs app: a workspace is for creating, an app is for consuming.</t>
        </is>
      </c>
      <c r="AE30" s="18" t="inlineStr">
        <is>
          <t>Do not make everyone a workspace Admin.</t>
        </is>
      </c>
      <c r="AF30" s="18" t="inlineStr">
        <is>
          <t>Workspace is where we work, app is what we show.</t>
        </is>
      </c>
      <c r="AG30" s="18" t="inlineStr">
        <is>
          <t>Building in a workspace and publishing an app to the whole sales department.</t>
        </is>
      </c>
      <c r="AH30" s="18" t="inlineStr">
        <is>
          <t>An interviewer may ask: What is the difference between a workspace and an app?</t>
        </is>
      </c>
      <c r="AI30" s="18" t="inlineStr">
        <is>
          <t>It is like a workshop and the shop window displaying the finished product.</t>
        </is>
      </c>
      <c r="AJ30" s="18" t="inlineStr">
        <is>
          <t>Which feature is designed to share finished content with many viewers?</t>
        </is>
      </c>
      <c r="AK30" s="18" t="inlineStr">
        <is>
          <t>A) Workspace B) Gateway C) Parameter D) App</t>
        </is>
      </c>
      <c r="AL30" s="18" t="inlineStr">
        <is>
          <t>D</t>
        </is>
      </c>
      <c r="AM30" s="18" t="inlineStr">
        <is>
          <t>An app packages selected content for consumption by many viewers.</t>
        </is>
      </c>
      <c r="AN30" s="18" t="inlineStr">
        <is>
          <t>Content is built together by a team in a ____ → workspace</t>
        </is>
      </c>
      <c r="AO30" s="18" t="inlineStr">
        <is>
          <t>How can 200 managers see the final reports without editing rights? → Publish an app and give them access to it</t>
        </is>
      </c>
      <c r="AP30" s="18" t="inlineStr">
        <is>
          <t>Explain workspaces and apps in three lines.</t>
        </is>
      </c>
      <c r="AQ30" s="18" t="inlineStr">
        <is>
          <t>Plan a workspace for your team and list which reports go into an app.</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row r="31" ht="108" customHeight="1">
      <c r="A31" s="17" t="inlineStr">
        <is>
          <t>PBI-050</t>
        </is>
      </c>
      <c r="B31" s="17" t="inlineStr">
        <is>
          <t>06 Service and governance</t>
        </is>
      </c>
      <c r="C31" s="17" t="inlineStr">
        <is>
          <t>Intermediate</t>
        </is>
      </c>
      <c r="D31" s="17" t="n">
        <v>50</v>
      </c>
      <c r="E31" s="17" t="inlineStr">
        <is>
          <t>Claude knowledge</t>
        </is>
      </c>
      <c r="F31" s="18" t="inlineStr">
        <is>
          <t>Scheduled refresh and gateway</t>
        </is>
      </c>
      <c r="G31" s="18" t="inlineStr">
        <is>
          <t>What keeps the data in a published report up to date, and what is needed to reach data on a company's own network?</t>
        </is>
      </c>
      <c r="H31" s="18" t="inlineStr">
        <is>
          <t>Service feature</t>
        </is>
      </c>
      <c r="I31" s="18" t="inlineStr">
        <is>
          <t>Very high</t>
        </is>
      </c>
      <c r="J31" s="18" t="n">
        <v>5</v>
      </c>
      <c r="K31" s="18" t="inlineStr">
        <is>
          <t>Imported data becomes stale unless it is reloaded, and cloud services cannot see inside a private network, so Power BI offers scheduled refresh and an on-premises data gateway.</t>
        </is>
      </c>
      <c r="L31" s="18" t="inlineStr">
        <is>
          <t>Set the refresh schedule in the Service after publishing, and add failure notifications.</t>
        </is>
      </c>
      <c r="M31" s="18" t="inlineStr">
        <is>
          <t>Scheduled refresh is an alarm clock that reloads the data, and the gateway is a secure door through the company wall.</t>
        </is>
      </c>
      <c r="N31" s="18" t="inlineStr">
        <is>
          <t>A clock icon next to a report and a bridge connecting an office server to the cloud.</t>
        </is>
      </c>
      <c r="O31" s="18" t="inlineStr">
        <is>
          <t>The calm of waking up to fresh numbers without clicking anything.</t>
        </is>
      </c>
      <c r="P31" s="18" t="inlineStr">
        <is>
          <t>Scheduled refresh reloads imported data at set times, and an on-premises data gateway lets the Service reach data sources inside a private network.</t>
        </is>
      </c>
      <c r="Q31" s="17" t="n"/>
      <c r="R31" s="18" t="inlineStr">
        <is>
          <t>In the Service you configure the semantic model's refresh times and credentials. For cloud sources no gateway is needed, but for data on a local server or file share you install a gateway on a machine inside the network, and the Service sends refresh requests through it. Refresh limits depend on your licence.</t>
        </is>
      </c>
      <c r="S31" s="18" t="inlineStr">
        <is>
          <t>Set a schedule so the report reloads each morning. If the data sits on your office server, a gateway acts as the secure bridge that lets the cloud collect it.</t>
        </is>
      </c>
      <c r="T31" s="18" t="inlineStr">
        <is>
          <t>It is like an alarm clock that reloads the data and a secure door through the company wall.</t>
        </is>
      </c>
      <c r="U31" s="18" t="inlineStr">
        <is>
          <t>Imported data → scheduled refresh. On-premises source → gateway.</t>
        </is>
      </c>
      <c r="V31" s="18" t="inlineStr">
        <is>
          <t>A model refreshed every morning at 6:00 from a cloud database.</t>
        </is>
      </c>
      <c r="W31" s="18" t="inlineStr">
        <is>
          <t>A gateway installed on a server so the Service can read an on-premises SQL database.</t>
        </is>
      </c>
      <c r="X31" s="18" t="inlineStr">
        <is>
          <t>An email alert when a scheduled refresh fails.</t>
        </is>
      </c>
      <c r="Y31" s="18" t="inlineStr">
        <is>
          <t>Import vs DirectQuery, semantic model, credentials, incremental refresh</t>
        </is>
      </c>
      <c r="Z31" s="18" t="inlineStr">
        <is>
          <t>refresh, gateway, schedule, credentials, on-premises</t>
        </is>
      </c>
      <c r="AA31" s="18" t="inlineStr">
        <is>
          <t>Keeping reports current | Hybrid cloud setups | Automated updates</t>
        </is>
      </c>
      <c r="AB31" s="18" t="inlineStr">
        <is>
          <t>A: The report shows last week's numbers. | B: Check the scheduled refresh and the gateway status.</t>
        </is>
      </c>
      <c r="AC31" s="18" t="inlineStr">
        <is>
          <t>✗ A published report always shows live data on its own → ✓ Imported data shows the last refresh, so you must schedule refreshes or use DirectQuery</t>
        </is>
      </c>
      <c r="AD31" s="18" t="inlineStr">
        <is>
          <t>Refresh vs gateway: refresh updates the data on a schedule, a gateway lets the Service reach private data.</t>
        </is>
      </c>
      <c r="AE31" s="18" t="inlineStr">
        <is>
          <t>Do not forget to update credentials when a password changes.</t>
        </is>
      </c>
      <c r="AF31" s="18" t="inlineStr">
        <is>
          <t>Refresh is the alarm, gateway is the door.</t>
        </is>
      </c>
      <c r="AG31" s="18" t="inlineStr">
        <is>
          <t>Installing a gateway so a nightly refresh could reach an on-premises database.</t>
        </is>
      </c>
      <c r="AH31" s="18" t="inlineStr">
        <is>
          <t>An interviewer may ask: When do you need an on-premises data gateway?</t>
        </is>
      </c>
      <c r="AI31" s="18" t="inlineStr">
        <is>
          <t>It is like an alarm clock plus a secure door through a company wall.</t>
        </is>
      </c>
      <c r="AJ31" s="18" t="inlineStr">
        <is>
          <t>When is an on-premises data gateway needed?</t>
        </is>
      </c>
      <c r="AK31" s="18" t="inlineStr">
        <is>
          <t>A) Only for Excel in OneDrive B) For data on a private network C) For every cloud source D) Never</t>
        </is>
      </c>
      <c r="AL31" s="18" t="inlineStr">
        <is>
          <t>B</t>
        </is>
      </c>
      <c r="AM31" s="18" t="inlineStr">
        <is>
          <t>The gateway connects the Service to sources inside a private network.</t>
        </is>
      </c>
      <c r="AN31" s="18" t="inlineStr">
        <is>
          <t>A scheduled ____ reloads imported data at set times → refresh</t>
        </is>
      </c>
      <c r="AO31" s="18" t="inlineStr">
        <is>
          <t>A report shows old numbers. What do you check first? → The scheduled refresh status and the gateway</t>
        </is>
      </c>
      <c r="AP31" s="18" t="inlineStr">
        <is>
          <t>Explain refresh and gateway in three lines.</t>
        </is>
      </c>
      <c r="AQ31" s="18" t="inlineStr">
        <is>
          <t>Plan a refresh schedule for a daily report and say if it needs a gateway.</t>
        </is>
      </c>
      <c r="AR31" s="17">
        <f>IF(J31="","",REPT("★",J31)&amp;REPT("☆",5-J31)&amp;" ("&amp;J31&amp;"/5)")</f>
        <v/>
      </c>
      <c r="AS31" s="17">
        <f>IF(Q31="","","Meaning: "&amp;Q31&amp;"  =  ______   (Answer: "&amp;F31&amp;")")</f>
        <v/>
      </c>
      <c r="AT31" s="17" t="inlineStr">
        <is>
          <t>New</t>
        </is>
      </c>
      <c r="AU31" s="17" t="n"/>
      <c r="AV31" s="17" t="n"/>
      <c r="AW31" s="17" t="n"/>
      <c r="AX31" s="17" t="n"/>
      <c r="AY31" s="17" t="n"/>
      <c r="AZ31" s="17" t="n"/>
      <c r="BA31" s="17" t="n"/>
      <c r="BB31" s="17" t="n"/>
    </row>
    <row r="32" ht="108" customHeight="1">
      <c r="A32" s="17" t="inlineStr">
        <is>
          <t>PBI-051</t>
        </is>
      </c>
      <c r="B32" s="17" t="inlineStr">
        <is>
          <t>06 Service and governance</t>
        </is>
      </c>
      <c r="C32" s="17" t="inlineStr">
        <is>
          <t>Advanced</t>
        </is>
      </c>
      <c r="D32" s="17" t="n">
        <v>51</v>
      </c>
      <c r="E32" s="17" t="inlineStr">
        <is>
          <t>Claude knowledge</t>
        </is>
      </c>
      <c r="F32" s="18" t="inlineStr">
        <is>
          <t>Row-level security (RLS)</t>
        </is>
      </c>
      <c r="G32" s="18" t="inlineStr">
        <is>
          <t>Which feature makes different people see different rows of the same report, such as only their own region?</t>
        </is>
      </c>
      <c r="H32" s="18" t="inlineStr">
        <is>
          <t>Security</t>
        </is>
      </c>
      <c r="I32" s="18" t="inlineStr">
        <is>
          <t>High</t>
        </is>
      </c>
      <c r="J32" s="18" t="n">
        <v>5</v>
      </c>
      <c r="K32" s="18" t="inlineStr">
        <is>
          <t>One shared report often serves people who may see only their own data, so Power BI lets you restrict rows with rules defined in the model.</t>
        </is>
      </c>
      <c r="L32" s="18" t="inlineStr">
        <is>
          <t>Test each role with View as before publishing, and use USERPRINCIPALNAME for dynamic security.</t>
        </is>
      </c>
      <c r="M32" s="18" t="inlineStr">
        <is>
          <t>RLS is a pair of coloured glasses that shows each person only the rows meant for them.</t>
        </is>
      </c>
      <c r="N32" s="18" t="inlineStr">
        <is>
          <t>Two viewers open the same report and one sees North sales while the other sees South.</t>
        </is>
      </c>
      <c r="O32" s="18" t="inlineStr">
        <is>
          <t>The comfort of sharing one report safely with many people.</t>
        </is>
      </c>
      <c r="P32" s="18" t="inlineStr">
        <is>
          <t>Row-level security restricts which rows of data a user can see by applying DAX filter rules defined in roles on the model.</t>
        </is>
      </c>
      <c r="Q32" s="17" t="n"/>
      <c r="R32" s="18" t="inlineStr">
        <is>
          <t>In Desktop you create a role with a DAX filter on a table, such as Region[Name] = "North". After publishing, you add members to the role in the Service. For dynamic RLS, a filter such as Users[Email] = USERPRINCIPALNAME() ties each row to the signed-in user. Filters flow to related tables through relationships.</t>
        </is>
      </c>
      <c r="S32" s="18" t="inlineStr">
        <is>
          <t>You write a rule per role, and Power BI applies it to every query by that person. The same report then shows each person only their rows.</t>
        </is>
      </c>
      <c r="T32" s="18" t="inlineStr">
        <is>
          <t>It is like coloured glasses that let each person see only the rows meant for them.</t>
        </is>
      </c>
      <c r="U32" s="18" t="inlineStr">
        <is>
          <t>Create roles with DAX filters → publish → add members to roles</t>
        </is>
      </c>
      <c r="V32" s="18" t="inlineStr">
        <is>
          <t>A role North that filters Region[Name] to "North".</t>
        </is>
      </c>
      <c r="W32" s="18" t="inlineStr">
        <is>
          <t>A dynamic rule that matches Users[Email] to USERPRINCIPALNAME().</t>
        </is>
      </c>
      <c r="X32" s="18" t="inlineStr">
        <is>
          <t>Testing a role with View as in Desktop before publishing.</t>
        </is>
      </c>
      <c r="Y32" s="18" t="inlineStr">
        <is>
          <t>roles, DAX, relationships, workspaces</t>
        </is>
      </c>
      <c r="Z32" s="18" t="inlineStr">
        <is>
          <t>RLS, role, filter, USERPRINCIPALNAME, View as</t>
        </is>
      </c>
      <c r="AA32" s="18" t="inlineStr">
        <is>
          <t>Regional reports | Customer data separation | Compliance</t>
        </is>
      </c>
      <c r="AB32" s="18" t="inlineStr">
        <is>
          <t>A: Each manager should only see their own region. | B: Create a role per region with a filter and assign members.</t>
        </is>
      </c>
      <c r="AC32" s="18" t="inlineStr">
        <is>
          <t>✗ Hiding a visual hides the data from users → ✓ Only row-level security stops users from seeing rows, and hidden visuals do not protect the data</t>
        </is>
      </c>
      <c r="AD32" s="18" t="inlineStr">
        <is>
          <t>RLS vs hiding visuals: RLS filters the data, hiding only changes what is displayed.</t>
        </is>
      </c>
      <c r="AE32" s="18" t="inlineStr">
        <is>
          <t>Do not make people workspace Contributors if they should be restricted by RLS, since editors can bypass it.</t>
        </is>
      </c>
      <c r="AF32" s="18" t="inlineStr">
        <is>
          <t>RLS restricts the rows by role.</t>
        </is>
      </c>
      <c r="AG32" s="18" t="inlineStr">
        <is>
          <t>Using dynamic RLS so each salesperson sees only their own customers.</t>
        </is>
      </c>
      <c r="AH32" s="18" t="inlineStr">
        <is>
          <t>An interviewer may ask: What is the difference between static and dynamic RLS?</t>
        </is>
      </c>
      <c r="AI32" s="18" t="inlineStr">
        <is>
          <t>It is like coloured glasses that show each person only their rows.</t>
        </is>
      </c>
      <c r="AJ32" s="18" t="inlineStr">
        <is>
          <t>Where do you define the DAX filter rules of RLS roles?</t>
        </is>
      </c>
      <c r="AK32" s="18" t="inlineStr">
        <is>
          <t>A) In the mobile app B) In Excel C) In the model, in Power BI Desktop D) In the gateway</t>
        </is>
      </c>
      <c r="AL32" s="18" t="inlineStr">
        <is>
          <t>C</t>
        </is>
      </c>
      <c r="AM32" s="18" t="inlineStr">
        <is>
          <t>Roles and their filters are defined on the model and then assigned in the Service.</t>
        </is>
      </c>
      <c r="AN32" s="18" t="inlineStr">
        <is>
          <t>Dynamic RLS often uses the function ____() to find the signed-in user → USERPRINCIPALNAME</t>
        </is>
      </c>
      <c r="AO32" s="18" t="inlineStr">
        <is>
          <t>How do you test a role before publishing? → Use View as in Power BI Desktop</t>
        </is>
      </c>
      <c r="AP32" s="18" t="inlineStr">
        <is>
          <t>Explain row-level security in three lines.</t>
        </is>
      </c>
      <c r="AQ32" s="18" t="inlineStr">
        <is>
          <t>Write the DAX filter for a role that shows only the North region.</t>
        </is>
      </c>
      <c r="AR32" s="17">
        <f>IF(J32="","",REPT("★",J32)&amp;REPT("☆",5-J32)&amp;" ("&amp;J32&amp;"/5)")</f>
        <v/>
      </c>
      <c r="AS32" s="17">
        <f>IF(Q32="","","Meaning: "&amp;Q32&amp;"  =  ______   (Answer: "&amp;F32&amp;")")</f>
        <v/>
      </c>
      <c r="AT32" s="17" t="inlineStr">
        <is>
          <t>New</t>
        </is>
      </c>
      <c r="AU32" s="17" t="n"/>
      <c r="AV32" s="17" t="n"/>
      <c r="AW32" s="17" t="n"/>
      <c r="AX32" s="17" t="n"/>
      <c r="AY32" s="17" t="n"/>
      <c r="AZ32" s="17" t="n"/>
      <c r="BA32" s="17" t="n"/>
      <c r="BB32" s="17" t="n"/>
    </row>
    <row r="33" ht="81" customHeight="1">
      <c r="A33" s="17" t="inlineStr">
        <is>
          <t>PBI-052</t>
        </is>
      </c>
      <c r="B33" s="17" t="inlineStr">
        <is>
          <t>06 Service and governance</t>
        </is>
      </c>
      <c r="C33" s="17" t="inlineStr">
        <is>
          <t>Advanced</t>
        </is>
      </c>
      <c r="D33" s="17" t="n">
        <v>52</v>
      </c>
      <c r="E33" s="17" t="inlineStr">
        <is>
          <t>Claude knowledge</t>
        </is>
      </c>
      <c r="F33" s="18" t="inlineStr">
        <is>
          <t>Dataflows</t>
        </is>
      </c>
      <c r="G33" s="18" t="inlineStr">
        <is>
          <t>Which Service feature lets you do Power Query cleaning once in the cloud and reuse the result in many models?</t>
        </is>
      </c>
      <c r="H33" s="18" t="inlineStr">
        <is>
          <t>Service feature</t>
        </is>
      </c>
      <c r="I33" s="18" t="inlineStr">
        <is>
          <t>Medium</t>
        </is>
      </c>
      <c r="J33" s="18" t="n">
        <v>3</v>
      </c>
      <c r="K33" s="18" t="inlineStr">
        <is>
          <t>The same cleaning was being repeated in many reports, so Microsoft let Power Query run online and store its output for reuse.</t>
        </is>
      </c>
      <c r="L33" s="18" t="inlineStr">
        <is>
          <t>Put shared dimension tables, such as Customers and Products, into a dataflow so every model uses the same clean copy.</t>
        </is>
      </c>
      <c r="M33" s="18" t="inlineStr">
        <is>
          <t>A dataflow is a central kitchen that prepares ingredients once for every restaurant.</t>
        </is>
      </c>
      <c r="N33" s="18" t="inlineStr">
        <is>
          <t>One cleaning pipeline in the cloud feeding several different reports.</t>
        </is>
      </c>
      <c r="O33" s="18" t="inlineStr">
        <is>
          <t>The relief of fixing a transformation in one place for every report.</t>
        </is>
      </c>
      <c r="P33" s="18" t="inlineStr">
        <is>
          <t>A dataflow is a collection of Power Query transformations that run in the Service and store reusable tables.</t>
        </is>
      </c>
      <c r="Q33" s="17" t="n"/>
      <c r="R33" s="18" t="inlineStr">
        <is>
          <t>You create a dataflow in a workspace using Power Query Online and schedule its refresh. Reports then connect to the dataflow as a data source instead of repeating the cleaning. This gives consistent, shared data and takes load off the original source.</t>
        </is>
      </c>
      <c r="S33" s="18" t="inlineStr">
        <is>
          <t>Clean once in a dataflow and reuse everywhere. Change the logic in one place, and every report that uses it gets the update at the next refresh.</t>
        </is>
      </c>
      <c r="T33" s="18" t="inlineStr">
        <is>
          <t>It is like a central kitchen that prepares ingredients for every restaurant.</t>
        </is>
      </c>
      <c r="U33" s="18" t="inlineStr">
        <is>
          <t>Source → dataflow (clean once) → many semantic models</t>
        </is>
      </c>
      <c r="V33" s="18" t="inlineStr">
        <is>
          <t>A Customers dataflow used by three sales reports.</t>
        </is>
      </c>
      <c r="W33" s="18" t="inlineStr">
        <is>
          <t>A date dimension shared across all finance models.</t>
        </is>
      </c>
      <c r="X33" s="18" t="inlineStr">
        <is>
          <t>Splitting heavy cleaning into a dataflow so model refreshes are quicker.</t>
        </is>
      </c>
      <c r="Y33" s="18" t="inlineStr">
        <is>
          <t>Power Query, semantic model, refresh, workspace</t>
        </is>
      </c>
      <c r="Z33" s="18" t="inlineStr">
        <is>
          <t>dataflow, Power Query Online, reuse, shared tables</t>
        </is>
      </c>
      <c r="AA33" s="18" t="inlineStr">
        <is>
          <t>Shared dimensions | Enterprise data prep | Reducing duplicate work</t>
        </is>
      </c>
      <c r="AB33" s="18" t="inlineStr">
        <is>
          <t>A: Three reports clean the same table in three different ways. | B: Move the cleaning into one dataflow and let all of them use it.</t>
        </is>
      </c>
      <c r="AC33" s="18" t="inlineStr">
        <is>
          <t>✗ A dataflow is the same as a semantic model → ✓ A dataflow stores cleaned tables for reuse, while a semantic model adds relationships, measures and security for reports</t>
        </is>
      </c>
      <c r="AD33" s="18" t="inlineStr">
        <is>
          <t>Dataflow vs semantic model: a dataflow prepares data, a model organises it for analysis.</t>
        </is>
      </c>
      <c r="AE33" s="18" t="inlineStr">
        <is>
          <t>Do not duplicate cleaning logic in every report when a dataflow can hold it.</t>
        </is>
      </c>
      <c r="AF33" s="18" t="inlineStr">
        <is>
          <t>Dataflow means cleaning in the cloud, shared by all.</t>
        </is>
      </c>
      <c r="AG33" s="18" t="inlineStr">
        <is>
          <t>Creating a shared Customer dataflow used by all sales reports.</t>
        </is>
      </c>
      <c r="AH33" s="18" t="inlineStr">
        <is>
          <t>An interviewer may ask: When would you use a dataflow?</t>
        </is>
      </c>
      <c r="AI33" s="18" t="inlineStr">
        <is>
          <t>It is like a central kitchen preparing ingredients for every restaurant.</t>
        </is>
      </c>
      <c r="AJ33" s="18" t="inlineStr">
        <is>
          <t>What do dataflows run in the Service?</t>
        </is>
      </c>
      <c r="AK33" s="18" t="inlineStr">
        <is>
          <t>A) Power Query transformations B) DAX measures C) Visuals D) Bookmarks</t>
        </is>
      </c>
      <c r="AL33" s="18" t="inlineStr">
        <is>
          <t>A</t>
        </is>
      </c>
      <c r="AM33" s="18" t="inlineStr">
        <is>
          <t>Dataflows run Power Query transformations and store reusable tables.</t>
        </is>
      </c>
      <c r="AN33" s="18" t="inlineStr">
        <is>
          <t>Dataflows are created with Power Query ____ in the Service → Online</t>
        </is>
      </c>
      <c r="AO33" s="18" t="inlineStr">
        <is>
          <t>Several reports need the same cleaned customer table. What do you create? → A dataflow</t>
        </is>
      </c>
      <c r="AP33" s="18" t="inlineStr">
        <is>
          <t>Explain what a dataflow does in three lines.</t>
        </is>
      </c>
      <c r="AQ33" s="18" t="inlineStr">
        <is>
          <t>List two tables in your work that would be good in a dataflow.</t>
        </is>
      </c>
      <c r="AR33" s="17">
        <f>IF(J33="","",REPT("★",J33)&amp;REPT("☆",5-J33)&amp;" ("&amp;J33&amp;"/5)")</f>
        <v/>
      </c>
      <c r="AS33" s="17">
        <f>IF(Q33="","","Meaning: "&amp;Q33&amp;"  =  ______   (Answer: "&amp;F33&amp;")")</f>
        <v/>
      </c>
      <c r="AT33" s="17" t="inlineStr">
        <is>
          <t>New</t>
        </is>
      </c>
      <c r="AU33" s="17" t="n"/>
      <c r="AV33" s="17" t="n"/>
      <c r="AW33" s="17" t="n"/>
      <c r="AX33" s="17" t="n"/>
      <c r="AY33" s="17" t="n"/>
      <c r="AZ33" s="17" t="n"/>
      <c r="BA33" s="17" t="n"/>
      <c r="BB33" s="17" t="n"/>
    </row>
    <row r="34" ht="94.5" customHeight="1">
      <c r="A34" s="17" t="inlineStr">
        <is>
          <t>PBI-053</t>
        </is>
      </c>
      <c r="B34" s="17" t="inlineStr">
        <is>
          <t>06 Service and governance</t>
        </is>
      </c>
      <c r="C34" s="17" t="inlineStr">
        <is>
          <t>Advanced</t>
        </is>
      </c>
      <c r="D34" s="17" t="n">
        <v>53</v>
      </c>
      <c r="E34" s="17" t="inlineStr">
        <is>
          <t>Claude knowledge</t>
        </is>
      </c>
      <c r="F34" s="18" t="inlineStr">
        <is>
          <t>Deployment pipelines</t>
        </is>
      </c>
      <c r="G34" s="18" t="inlineStr">
        <is>
          <t>Which Service feature moves content through Development, Test and Production stages in a controlled way?</t>
        </is>
      </c>
      <c r="H34" s="18" t="inlineStr">
        <is>
          <t>Lifecycle management</t>
        </is>
      </c>
      <c r="I34" s="18" t="inlineStr">
        <is>
          <t>Medium</t>
        </is>
      </c>
      <c r="J34" s="18" t="n">
        <v>3</v>
      </c>
      <c r="K34" s="18" t="inlineStr">
        <is>
          <t>Changing a report that people use daily is risky, so teams needed separate stages for building, checking and releasing, and pipelines provide those stages.</t>
        </is>
      </c>
      <c r="L34" s="18" t="inlineStr">
        <is>
          <t>Build in Development, check in Test, and deploy to Production only when it is approved.</t>
        </is>
      </c>
      <c r="M34" s="18" t="inlineStr">
        <is>
          <t>A pipeline is an assembly line where each stage inspects the product before it ships.</t>
        </is>
      </c>
      <c r="N34" s="18" t="inlineStr">
        <is>
          <t>Three boxes in a row: Development, Test and Production, with arrows moving content through them.</t>
        </is>
      </c>
      <c r="O34" s="18" t="inlineStr">
        <is>
          <t>The confidence of releasing changes without breaking live reports.</t>
        </is>
      </c>
      <c r="P34" s="18" t="inlineStr">
        <is>
          <t>A deployment pipeline is a set of stages, usually Development, Test and Production, through which content moves with comparison and controlled release.</t>
        </is>
      </c>
      <c r="Q34" s="17" t="n"/>
      <c r="R34" s="18" t="inlineStr">
        <is>
          <t>Each stage is tied to a workspace. You deploy content from one stage to the next and can compare the stages to see differences. Rules can change data sources or parameters per stage. Pipelines need suitable capacity or licensing, so check what your organisation has.</t>
        </is>
      </c>
      <c r="S34" s="18" t="inlineStr">
        <is>
          <t>Build in Development, check in Test, and promote to Production when ready. It stops half-finished changes from reaching live users.</t>
        </is>
      </c>
      <c r="T34" s="18" t="inlineStr">
        <is>
          <t>It is like an assembly line where each stage inspects the product before it ships.</t>
        </is>
      </c>
      <c r="U34" s="18" t="inlineStr">
        <is>
          <t>Development → Test → Production</t>
        </is>
      </c>
      <c r="V34" s="18" t="inlineStr">
        <is>
          <t>An analyst builds a new page in Development and deploys it to Test.</t>
        </is>
      </c>
      <c r="W34" s="18" t="inlineStr">
        <is>
          <t>A reviewer approves it in Test and it moves to Production.</t>
        </is>
      </c>
      <c r="X34" s="18" t="inlineStr">
        <is>
          <t>A deployment rule switches the data source from the test database to the live one.</t>
        </is>
      </c>
      <c r="Y34" s="18" t="inlineStr">
        <is>
          <t>workspaces, parameters, apps, governance</t>
        </is>
      </c>
      <c r="Z34" s="18" t="inlineStr">
        <is>
          <t>pipeline, stage, deploy, rule, compare</t>
        </is>
      </c>
      <c r="AA34" s="18" t="inlineStr">
        <is>
          <t>Managed releases | Enterprise BI teams | Testing changes</t>
        </is>
      </c>
      <c r="AB34" s="18" t="inlineStr">
        <is>
          <t>A: How do we test changes before users see them? | B: Use a deployment pipeline so changes go through Test first.</t>
        </is>
      </c>
      <c r="AC34" s="18" t="inlineStr">
        <is>
          <t>✗ Publishing straight to the live workspace is just as safe as using a pipeline → ✓ A pipeline lets you test and compare changes before they reach live users</t>
        </is>
      </c>
      <c r="AD34" s="18" t="inlineStr">
        <is>
          <t>Pipeline vs direct publish: a pipeline adds stages and checks, a direct publish overwrites live content.</t>
        </is>
      </c>
      <c r="AE34" s="18" t="inlineStr">
        <is>
          <t>Do not edit live reports directly if a Test stage exists.</t>
        </is>
      </c>
      <c r="AF34" s="18" t="inlineStr">
        <is>
          <t>A pipeline moves content through stages.</t>
        </is>
      </c>
      <c r="AG34" s="18" t="inlineStr">
        <is>
          <t>Releasing monthly report changes through Test before Production.</t>
        </is>
      </c>
      <c r="AH34" s="18" t="inlineStr">
        <is>
          <t>An interviewer may ask: How do you manage releases of Power BI content?</t>
        </is>
      </c>
      <c r="AI34" s="18" t="inlineStr">
        <is>
          <t>It is like an assembly line where each stage inspects the product.</t>
        </is>
      </c>
      <c r="AJ34" s="18" t="inlineStr">
        <is>
          <t>What are the usual stages of a deployment pipeline?</t>
        </is>
      </c>
      <c r="AK34" s="18" t="inlineStr">
        <is>
          <t>A) Development, Test and Production B) Draft and Done C) Load and Save D) Input and Output</t>
        </is>
      </c>
      <c r="AL34" s="18" t="inlineStr">
        <is>
          <t>A</t>
        </is>
      </c>
      <c r="AM34" s="18" t="inlineStr">
        <is>
          <t>The standard stages are Development, Test and Production.</t>
        </is>
      </c>
      <c r="AN34" s="18" t="inlineStr">
        <is>
          <t>Content moves from Development to Test and then to ____ → Production</t>
        </is>
      </c>
      <c r="AO34" s="18" t="inlineStr">
        <is>
          <t>How do you check changes before users see them? → Deploy to the Test stage of a pipeline first</t>
        </is>
      </c>
      <c r="AP34" s="18" t="inlineStr">
        <is>
          <t>Explain deployment pipelines in three lines.</t>
        </is>
      </c>
      <c r="AQ34" s="18" t="inlineStr">
        <is>
          <t>Describe what you would check at the Test stage before releasing.</t>
        </is>
      </c>
      <c r="AR34" s="17">
        <f>IF(J34="","",REPT("★",J34)&amp;REPT("☆",5-J34)&amp;" ("&amp;J34&amp;"/5)")</f>
        <v/>
      </c>
      <c r="AS34" s="17">
        <f>IF(Q34="","","Meaning: "&amp;Q34&amp;"  =  ______   (Answer: "&amp;F34&amp;")")</f>
        <v/>
      </c>
      <c r="AT34" s="17" t="inlineStr">
        <is>
          <t>New</t>
        </is>
      </c>
      <c r="AU34" s="17" t="n"/>
      <c r="AV34" s="17" t="n"/>
      <c r="AW34" s="17" t="n"/>
      <c r="AX34" s="17" t="n"/>
      <c r="AY34" s="17" t="n"/>
      <c r="AZ34" s="17" t="n"/>
      <c r="BA34" s="17" t="n"/>
      <c r="BB34" s="17" t="n"/>
    </row>
    <row r="35" ht="94.5" customHeight="1">
      <c r="A35" s="17" t="inlineStr">
        <is>
          <t>PBI-054</t>
        </is>
      </c>
      <c r="B35" s="17" t="inlineStr">
        <is>
          <t>06 Service and governance</t>
        </is>
      </c>
      <c r="C35" s="17" t="inlineStr">
        <is>
          <t>Advanced</t>
        </is>
      </c>
      <c r="D35" s="17" t="n">
        <v>54</v>
      </c>
      <c r="E35" s="17" t="inlineStr">
        <is>
          <t>Claude knowledge</t>
        </is>
      </c>
      <c r="F35" s="18" t="inlineStr">
        <is>
          <t>Sensitivity labels</t>
        </is>
      </c>
      <c r="G35" s="18" t="inlineStr">
        <is>
          <t>Which feature classifies Power BI content, such as Confidential or Public, and carries protection with it?</t>
        </is>
      </c>
      <c r="H35" s="18" t="inlineStr">
        <is>
          <t>Governance</t>
        </is>
      </c>
      <c r="I35" s="18" t="inlineStr">
        <is>
          <t>Medium</t>
        </is>
      </c>
      <c r="J35" s="18" t="n">
        <v>3</v>
      </c>
      <c r="K35" s="18" t="inlineStr">
        <is>
          <t>Organisations must protect sensitive data wherever it travels, so labels from Microsoft's information protection tools can be applied to Power BI content too.</t>
        </is>
      </c>
      <c r="L35" s="18" t="inlineStr">
        <is>
          <t>Label content at creation so protections follow the data when it is exported.</t>
        </is>
      </c>
      <c r="M35" s="18" t="inlineStr">
        <is>
          <t>A sensitivity label is a stamp on a document that says how carefully to handle it.</t>
        </is>
      </c>
      <c r="N35" s="18" t="inlineStr">
        <is>
          <t>A report with a Confidential tag at the top that stays on exported files.</t>
        </is>
      </c>
      <c r="O35" s="18" t="inlineStr">
        <is>
          <t>The reassurance that important data keeps its protection when shared.</t>
        </is>
      </c>
      <c r="P35" s="18" t="inlineStr">
        <is>
          <t>A sensitivity label classifies content by how sensitive it is and can apply protection such as access restrictions and markings.</t>
        </is>
      </c>
      <c r="Q35" s="17" t="n"/>
      <c r="R35" s="18" t="inlineStr">
        <is>
          <t>Labels come from Microsoft Purview Information Protection and are set by the organisation's administrators. In Power BI you apply a label to a report or semantic model, and it can follow the data when exported to Excel, PowerPoint or PDF. It supports governance and compliance policies.</t>
        </is>
      </c>
      <c r="S35" s="18" t="inlineStr">
        <is>
          <t>A label tells everyone how sensitive the report is. When the data is exported, the label and its protection can travel with it.</t>
        </is>
      </c>
      <c r="T35" s="18" t="inlineStr">
        <is>
          <t>It is like a stamp on a document that says how carefully it must be handled.</t>
        </is>
      </c>
      <c r="U35" s="18" t="inlineStr">
        <is>
          <t>Label → classification + protection that follows the data</t>
        </is>
      </c>
      <c r="V35" s="18" t="inlineStr">
        <is>
          <t>Labelling a salary report Confidential.</t>
        </is>
      </c>
      <c r="W35" s="18" t="inlineStr">
        <is>
          <t>A label that follows the data into an exported Excel file.</t>
        </is>
      </c>
      <c r="X35" s="18" t="inlineStr">
        <is>
          <t>A policy that requires labels on all published content.</t>
        </is>
      </c>
      <c r="Y35" s="18" t="inlineStr">
        <is>
          <t>governance, permissions, export, compliance</t>
        </is>
      </c>
      <c r="Z35" s="18" t="inlineStr">
        <is>
          <t>label, classification, Purview, protection, policy</t>
        </is>
      </c>
      <c r="AA35" s="18" t="inlineStr">
        <is>
          <t>Regulated industries | Sensitive reports | Compliance programmes</t>
        </is>
      </c>
      <c r="AB35" s="18" t="inlineStr">
        <is>
          <t>A: Can we stop confidential data leaving with exports? | B: Apply a sensitivity label so protection follows the exported file.</t>
        </is>
      </c>
      <c r="AC35" s="18" t="inlineStr">
        <is>
          <t>✗ A sensitivity label alone decides who can open a report → ✓ A label classifies and can add protection, but workspace and app permissions still control access</t>
        </is>
      </c>
      <c r="AD35" s="18" t="inlineStr">
        <is>
          <t>Label vs permission: a label classifies and protects the content, permission decides who may open it.</t>
        </is>
      </c>
      <c r="AE35" s="18" t="inlineStr">
        <is>
          <t>Do not assume a label replaces access control.</t>
        </is>
      </c>
      <c r="AF35" s="18" t="inlineStr">
        <is>
          <t>Label means classify and protect.</t>
        </is>
      </c>
      <c r="AG35" s="18" t="inlineStr">
        <is>
          <t>Labelling finance reports Confidential so exports keep their protection.</t>
        </is>
      </c>
      <c r="AH35" s="18" t="inlineStr">
        <is>
          <t>An interviewer may ask: What is a sensitivity label used for?</t>
        </is>
      </c>
      <c r="AI35" s="18" t="inlineStr">
        <is>
          <t>It is like a stamp on a document telling people how to handle it.</t>
        </is>
      </c>
      <c r="AJ35" s="18" t="inlineStr">
        <is>
          <t>What does a sensitivity label do?</t>
        </is>
      </c>
      <c r="AK35" s="18" t="inlineStr">
        <is>
          <t>A) Refreshes data B) Draws charts C) Classifies and can protect content D) Creates relationships</t>
        </is>
      </c>
      <c r="AL35" s="18" t="inlineStr">
        <is>
          <t>C</t>
        </is>
      </c>
      <c r="AM35" s="18" t="inlineStr">
        <is>
          <t>A label marks sensitivity and can apply protection.</t>
        </is>
      </c>
      <c r="AN35" s="18" t="inlineStr">
        <is>
          <t>Labels used by Power BI come from Microsoft Purview Information ____ → Protection</t>
        </is>
      </c>
      <c r="AO35" s="18" t="inlineStr">
        <is>
          <t>How can you protect an exported file from a confidential report? → Apply a sensitivity label that follows the data</t>
        </is>
      </c>
      <c r="AP35" s="18" t="inlineStr">
        <is>
          <t>Explain sensitivity labels in three lines.</t>
        </is>
      </c>
      <c r="AQ35" s="18" t="inlineStr">
        <is>
          <t>List which of your reports would need a Confidential label and why.</t>
        </is>
      </c>
      <c r="AR35" s="17">
        <f>IF(J35="","",REPT("★",J35)&amp;REPT("☆",5-J35)&amp;" ("&amp;J35&amp;"/5)")</f>
        <v/>
      </c>
      <c r="AS35" s="17">
        <f>IF(Q35="","","Meaning: "&amp;Q35&amp;"  =  ______   (Answer: "&amp;F35&amp;")")</f>
        <v/>
      </c>
      <c r="AT35" s="17" t="inlineStr">
        <is>
          <t>New</t>
        </is>
      </c>
      <c r="AU35" s="17" t="n"/>
      <c r="AV35" s="17" t="n"/>
      <c r="AW35" s="17" t="n"/>
      <c r="AX35" s="17" t="n"/>
      <c r="AY35" s="17" t="n"/>
      <c r="AZ35" s="17" t="n"/>
      <c r="BA35" s="17" t="n"/>
      <c r="BB35" s="17" t="n"/>
    </row>
    <row r="36" ht="108" customHeight="1">
      <c r="A36" s="17" t="inlineStr">
        <is>
          <t>PBI-055</t>
        </is>
      </c>
      <c r="B36" s="17" t="inlineStr">
        <is>
          <t>07 Advanced</t>
        </is>
      </c>
      <c r="C36" s="17" t="inlineStr">
        <is>
          <t>Advanced</t>
        </is>
      </c>
      <c r="D36" s="17" t="n">
        <v>55</v>
      </c>
      <c r="E36" s="17" t="inlineStr">
        <is>
          <t>Claude knowledge</t>
        </is>
      </c>
      <c r="F36" s="18" t="inlineStr">
        <is>
          <t>Incremental refresh</t>
        </is>
      </c>
      <c r="G36" s="18" t="inlineStr">
        <is>
          <t>Which feature refreshes only recent data and keeps older data untouched so that big tables refresh quickly?</t>
        </is>
      </c>
      <c r="H36" s="18" t="inlineStr">
        <is>
          <t>Performance</t>
        </is>
      </c>
      <c r="I36" s="18" t="inlineStr">
        <is>
          <t>Medium</t>
        </is>
      </c>
      <c r="J36" s="18" t="n">
        <v>4</v>
      </c>
      <c r="K36" s="18" t="inlineStr">
        <is>
          <t>Reloading millions of unchanged old rows every night wastes time, so Power BI can split a table into partitions and refresh only the new ones.</t>
        </is>
      </c>
      <c r="L36" s="18" t="inlineStr">
        <is>
          <t>Create RangeStart and RangeEnd parameters and filter your date column with them, and then define the policy.</t>
        </is>
      </c>
      <c r="M36" s="18" t="inlineStr">
        <is>
          <t>Incremental refresh is topping up only today's page of a ledger instead of rewriting the whole book.</t>
        </is>
      </c>
      <c r="N36" s="18" t="inlineStr">
        <is>
          <t>A long timeline with old years greyed out and only the latest weeks glowing as refreshed.</t>
        </is>
      </c>
      <c r="O36" s="18" t="inlineStr">
        <is>
          <t>The relief of a refresh that takes minutes instead of hours.</t>
        </is>
      </c>
      <c r="P36" s="18" t="inlineStr">
        <is>
          <t>Incremental refresh keeps historical data as it is and refreshes only a recent range, defined by a policy and two date parameters.</t>
        </is>
      </c>
      <c r="Q36" s="17" t="n"/>
      <c r="R36" s="18" t="inlineStr">
        <is>
          <t>You create two DateTime parameters named RangeStart and RangeEnd, filter the table's date column with them in Power Query, and then set a policy such as store 5 years and refresh the last 7 days. The Service creates partitions and refreshes only the recent ones. It works best when the filter folds to the source.</t>
        </is>
      </c>
      <c r="S36" s="18" t="inlineStr">
        <is>
          <t>Instead of reloading everything, only the newest data is reloaded each time. Old data stays as it was, so large tables refresh quickly.</t>
        </is>
      </c>
      <c r="T36" s="18" t="inlineStr">
        <is>
          <t>It is like adding only today's page to a ledger instead of rewriting the whole book.</t>
        </is>
      </c>
      <c r="U36" s="18" t="inlineStr">
        <is>
          <t>RangeStart + RangeEnd parameters → filter → policy → partitions</t>
        </is>
      </c>
      <c r="V36" s="18" t="inlineStr">
        <is>
          <t>Keeping five years of sales and refreshing only the last seven days.</t>
        </is>
      </c>
      <c r="W36" s="18" t="inlineStr">
        <is>
          <t>Using parameters named RangeStart and RangeEnd to filter OrderDate.</t>
        </is>
      </c>
      <c r="X36" s="18" t="inlineStr">
        <is>
          <t>A model that refreshes in minutes after switching from full refresh.</t>
        </is>
      </c>
      <c r="Y36" s="18" t="inlineStr">
        <is>
          <t>parameters, query folding, scheduled refresh, partitions</t>
        </is>
      </c>
      <c r="Z36" s="18" t="inlineStr">
        <is>
          <t>incremental, partition, RangeStart, RangeEnd, policy</t>
        </is>
      </c>
      <c r="AA36" s="18" t="inlineStr">
        <is>
          <t>Very large tables | Daily refreshes | Performance tuning</t>
        </is>
      </c>
      <c r="AB36" s="18" t="inlineStr">
        <is>
          <t>A: Our nightly refresh now takes five hours. | B: Set up incremental refresh so only recent days reload.</t>
        </is>
      </c>
      <c r="AC36" s="18" t="inlineStr">
        <is>
          <t>✗ Incremental refresh works with any column in the filter → ✓ It needs a date or datetime column filtered by the RangeStart and RangeEnd parameters</t>
        </is>
      </c>
      <c r="AD36" s="18" t="inlineStr">
        <is>
          <t>Full vs incremental refresh: full reloads everything, incremental reloads only the recent range.</t>
        </is>
      </c>
      <c r="AE36" s="18" t="inlineStr">
        <is>
          <t>Do not forget that the parameters must be named exactly RangeStart and RangeEnd.</t>
        </is>
      </c>
      <c r="AF36" s="18" t="inlineStr">
        <is>
          <t>Incremental refreshes only the new slice.</t>
        </is>
      </c>
      <c r="AG36" s="18" t="inlineStr">
        <is>
          <t>Switching a large sales table to incremental refresh to cut refresh time sharply.</t>
        </is>
      </c>
      <c r="AH36" s="18" t="inlineStr">
        <is>
          <t>An interviewer may ask: What do you need to set up incremental refresh?</t>
        </is>
      </c>
      <c r="AI36" s="18" t="inlineStr">
        <is>
          <t>It is like adding only today's page to a ledger.</t>
        </is>
      </c>
      <c r="AJ36" s="18" t="inlineStr">
        <is>
          <t>What are the names of the two required parameters for incremental refresh?</t>
        </is>
      </c>
      <c r="AK36" s="18" t="inlineStr">
        <is>
          <t>A) From and To B) RangeStart and RangeEnd C) Min and Max D) Start and End</t>
        </is>
      </c>
      <c r="AL36" s="18" t="inlineStr">
        <is>
          <t>B</t>
        </is>
      </c>
      <c r="AM36" s="18" t="inlineStr">
        <is>
          <t>The parameters must be named exactly RangeStart and RangeEnd.</t>
        </is>
      </c>
      <c r="AN36" s="18" t="inlineStr">
        <is>
          <t>Incremental refresh uses parameters named RangeStart and ____ → RangeEnd</t>
        </is>
      </c>
      <c r="AO36" s="18" t="inlineStr">
        <is>
          <t>A huge table takes hours to refresh. What can you set up? → Incremental refresh with RangeStart and RangeEnd</t>
        </is>
      </c>
      <c r="AP36" s="18" t="inlineStr">
        <is>
          <t>Explain incremental refresh in three lines.</t>
        </is>
      </c>
      <c r="AQ36" s="18" t="inlineStr">
        <is>
          <t>Write the steps to set up incremental refresh for an orders table.</t>
        </is>
      </c>
      <c r="AR36" s="17">
        <f>IF(J36="","",REPT("★",J36)&amp;REPT("☆",5-J36)&amp;" ("&amp;J36&amp;"/5)")</f>
        <v/>
      </c>
      <c r="AS36" s="17">
        <f>IF(Q36="","","Meaning: "&amp;Q36&amp;"  =  ______   (Answer: "&amp;F36&amp;")")</f>
        <v/>
      </c>
      <c r="AT36" s="17" t="inlineStr">
        <is>
          <t>New</t>
        </is>
      </c>
      <c r="AU36" s="17" t="n"/>
      <c r="AV36" s="17" t="n"/>
      <c r="AW36" s="17" t="n"/>
      <c r="AX36" s="17" t="n"/>
      <c r="AY36" s="17" t="n"/>
      <c r="AZ36" s="17" t="n"/>
      <c r="BA36" s="17" t="n"/>
      <c r="BB36" s="17" t="n"/>
    </row>
    <row r="37" ht="94.5" customHeight="1">
      <c r="A37" s="17" t="inlineStr">
        <is>
          <t>PBI-056</t>
        </is>
      </c>
      <c r="B37" s="17" t="inlineStr">
        <is>
          <t>07 Advanced</t>
        </is>
      </c>
      <c r="C37" s="17" t="inlineStr">
        <is>
          <t>Advanced</t>
        </is>
      </c>
      <c r="D37" s="17" t="n">
        <v>56</v>
      </c>
      <c r="E37" s="17" t="inlineStr">
        <is>
          <t>Claude knowledge</t>
        </is>
      </c>
      <c r="F37" s="18" t="inlineStr">
        <is>
          <t>Aggregations and composite models</t>
        </is>
      </c>
      <c r="G37" s="18" t="inlineStr">
        <is>
          <t>Which techniques mix Import and DirectQuery in one model and use summary tables to speed up large datasets?</t>
        </is>
      </c>
      <c r="H37" s="18" t="inlineStr">
        <is>
          <t>Performance</t>
        </is>
      </c>
      <c r="I37" s="18" t="inlineStr">
        <is>
          <t>Low</t>
        </is>
      </c>
      <c r="J37" s="18" t="n">
        <v>3</v>
      </c>
      <c r="K37" s="18" t="inlineStr">
        <is>
          <t>Huge tables are too big to import fully but too slow to query live, so Power BI allows a mix of modes and pre-summarised tables.</t>
        </is>
      </c>
      <c r="L37" s="18" t="inlineStr">
        <is>
          <t>Put a small summarised table in Import mode and let the detailed table stay in DirectQuery.</t>
        </is>
      </c>
      <c r="M37" s="18" t="inlineStr">
        <is>
          <t>It is a map with a fast overview in your pocket and a detailed atlas on the shelf that you open only when needed.</t>
        </is>
      </c>
      <c r="N37" s="18" t="inlineStr">
        <is>
          <t>A small fast summary table beside a large live detail table, with queries choosing the faster one.</t>
        </is>
      </c>
      <c r="O37" s="18" t="inlineStr">
        <is>
          <t>The thrill of fast visuals on a huge dataset.</t>
        </is>
      </c>
      <c r="P37" s="18" t="inlineStr">
        <is>
          <t>A composite model mixes storage modes in one model, and aggregations are summary tables that answer common queries quickly while detail stays in the source.</t>
        </is>
      </c>
      <c r="Q37" s="17" t="n"/>
      <c r="R37" s="18" t="inlineStr">
        <is>
          <t>In a composite model some tables are Import and others DirectQuery. An aggregation table holds data summarised at a higher level, such as sales by day and product, and Power BI uses it when a query can be answered from it, going to the detail table only when needed.</t>
        </is>
      </c>
      <c r="S37" s="18" t="inlineStr">
        <is>
          <t>Keep a small summary table in memory for quick answers, and the huge detail table in the source. Power BI picks the fast one automatically when it can.</t>
        </is>
      </c>
      <c r="T37" s="18" t="inlineStr">
        <is>
          <t>It is like carrying a pocket map for quick use and keeping the big atlas on a shelf.</t>
        </is>
      </c>
      <c r="U37" s="18" t="inlineStr">
        <is>
          <t>Summary table (Import) + detail table (DirectQuery) = fast and complete</t>
        </is>
      </c>
      <c r="V37" s="18" t="inlineStr">
        <is>
          <t>A daily sales summary imported and the full transaction table in DirectQuery.</t>
        </is>
      </c>
      <c r="W37" s="18" t="inlineStr">
        <is>
          <t>A composite model that joins an imported Date table to a DirectQuery fact.</t>
        </is>
      </c>
      <c r="X37" s="18" t="inlineStr">
        <is>
          <t>Drilling from a summary visual into detail that queries the source.</t>
        </is>
      </c>
      <c r="Y37" s="18" t="inlineStr">
        <is>
          <t>Import vs DirectQuery, query folding, performance, relationships</t>
        </is>
      </c>
      <c r="Z37" s="18" t="inlineStr">
        <is>
          <t>composite, aggregation, summary table, storage mode, Dual</t>
        </is>
      </c>
      <c r="AA37" s="18" t="inlineStr">
        <is>
          <t>Very large datasets | Real-time detail with fast summaries | Performance tuning</t>
        </is>
      </c>
      <c r="AB37" s="18" t="inlineStr">
        <is>
          <t>A: Our live data table is huge and visuals are slow. | B: Add an imported aggregation table so common queries are answered quickly.</t>
        </is>
      </c>
      <c r="AC37" s="18" t="inlineStr">
        <is>
          <t>✗ A model must be either all Import or all DirectQuery → ✓ Composite models can mix both modes in one model</t>
        </is>
      </c>
      <c r="AD37" s="18" t="inlineStr">
        <is>
          <t>Aggregations vs detail: aggregations answer high-level queries quickly, detail tables answer row-level questions.</t>
        </is>
      </c>
      <c r="AE37" s="18" t="inlineStr">
        <is>
          <t>Do not build aggregations until you have tried simpler fixes.</t>
        </is>
      </c>
      <c r="AF37" s="18" t="inlineStr">
        <is>
          <t>Aggregations are a fast summary in front of slow detail.</t>
        </is>
      </c>
      <c r="AG37" s="18" t="inlineStr">
        <is>
          <t>Adding a daily summary table to speed up a DirectQuery sales model.</t>
        </is>
      </c>
      <c r="AH37" s="18" t="inlineStr">
        <is>
          <t>An interviewer may ask: What is a composite model?</t>
        </is>
      </c>
      <c r="AI37" s="18" t="inlineStr">
        <is>
          <t>It is like carrying a pocket map and keeping the atlas on a shelf.</t>
        </is>
      </c>
      <c r="AJ37" s="18" t="inlineStr">
        <is>
          <t>What is a composite model?</t>
        </is>
      </c>
      <c r="AK37" s="18" t="inlineStr">
        <is>
          <t>A) A model with only DAX B) A model with one table C) A model without relationships D) A model with more than one storage mode</t>
        </is>
      </c>
      <c r="AL37" s="18" t="inlineStr">
        <is>
          <t>D</t>
        </is>
      </c>
      <c r="AM37" s="18" t="inlineStr">
        <is>
          <t>Composite models combine Import and DirectQuery tables.</t>
        </is>
      </c>
      <c r="AN37" s="18" t="inlineStr">
        <is>
          <t>A summary table that answers common queries fast is called an ____ → aggregation</t>
        </is>
      </c>
      <c r="AO37" s="18" t="inlineStr">
        <is>
          <t>Live detail data is slow at a high level. What can speed it up? → An imported aggregation table</t>
        </is>
      </c>
      <c r="AP37" s="18" t="inlineStr">
        <is>
          <t>Explain composite models and aggregations in three lines.</t>
        </is>
      </c>
      <c r="AQ37" s="18" t="inlineStr">
        <is>
          <t>Describe which summary table you would create for a large sales fact.</t>
        </is>
      </c>
      <c r="AR37" s="17">
        <f>IF(J37="","",REPT("★",J37)&amp;REPT("☆",5-J37)&amp;" ("&amp;J37&amp;"/5)")</f>
        <v/>
      </c>
      <c r="AS37" s="17">
        <f>IF(Q37="","","Meaning: "&amp;Q37&amp;"  =  ______   (Answer: "&amp;F37&amp;")")</f>
        <v/>
      </c>
      <c r="AT37" s="17" t="inlineStr">
        <is>
          <t>New</t>
        </is>
      </c>
      <c r="AU37" s="17" t="n"/>
      <c r="AV37" s="17" t="n"/>
      <c r="AW37" s="17" t="n"/>
      <c r="AX37" s="17" t="n"/>
      <c r="AY37" s="17" t="n"/>
      <c r="AZ37" s="17" t="n"/>
      <c r="BA37" s="17" t="n"/>
      <c r="BB37" s="17" t="n"/>
    </row>
    <row r="38" ht="94.5" customHeight="1">
      <c r="A38" s="17" t="inlineStr">
        <is>
          <t>PBI-057</t>
        </is>
      </c>
      <c r="B38" s="17" t="inlineStr">
        <is>
          <t>07 Advanced</t>
        </is>
      </c>
      <c r="C38" s="17" t="inlineStr">
        <is>
          <t>Advanced</t>
        </is>
      </c>
      <c r="D38" s="17" t="n">
        <v>57</v>
      </c>
      <c r="E38" s="17" t="inlineStr">
        <is>
          <t>Claude knowledge</t>
        </is>
      </c>
      <c r="F38" s="18" t="inlineStr">
        <is>
          <t>Performance Analyzer</t>
        </is>
      </c>
      <c r="G38" s="18" t="inlineStr">
        <is>
          <t>Which built-in Power BI Desktop tool records how long each visual takes to load and breaks it into DAX query and display time?</t>
        </is>
      </c>
      <c r="H38" s="18" t="inlineStr">
        <is>
          <t>Performance tool</t>
        </is>
      </c>
      <c r="I38" s="18" t="inlineStr">
        <is>
          <t>Medium</t>
        </is>
      </c>
      <c r="J38" s="18" t="n">
        <v>4</v>
      </c>
      <c r="K38" s="18" t="inlineStr">
        <is>
          <t>Slow reports frustrate users, and guesses about the cause waste time, so Desktop includes a tool that measures where time is spent.</t>
        </is>
      </c>
      <c r="L38" s="18" t="inlineStr">
        <is>
          <t>Start recording, refresh the visuals, and then look at the slowest ones first.</t>
        </is>
      </c>
      <c r="M38" s="18" t="inlineStr">
        <is>
          <t>It is a stopwatch that times each visual and tells you where the delay is.</t>
        </is>
      </c>
      <c r="N38" s="18" t="inlineStr">
        <is>
          <t>A pane listing each visual with bars for DAX query time, visual display time and other time.</t>
        </is>
      </c>
      <c r="O38" s="18" t="inlineStr">
        <is>
          <t>The satisfaction of finding the one slow measure behind a sluggish page.</t>
        </is>
      </c>
      <c r="P38" s="18" t="inlineStr">
        <is>
          <t>Performance Analyzer records the time each visual needs to load, split into DAX query, visual display and other.</t>
        </is>
      </c>
      <c r="Q38" s="17" t="n"/>
      <c r="R38" s="18" t="inlineStr">
        <is>
          <t>You open it from the View tab, start recording and interact with the page. It lists every visual with durations and lets you copy the DAX query to run in other tools such as DAX Studio. A long DAX query time points to the model or measure, while a long display time points to the visual itself.</t>
        </is>
      </c>
      <c r="S38" s="18" t="inlineStr">
        <is>
          <t>Turn on Performance Analyzer, refresh the visuals, and see which one is slow. If the DAX time is long, fix the measure or model; if the display time is long, simplify the visual.</t>
        </is>
      </c>
      <c r="T38" s="18" t="inlineStr">
        <is>
          <t>It is like a stopwatch that times each lap so you know where the delay is.</t>
        </is>
      </c>
      <c r="U38" s="18" t="inlineStr">
        <is>
          <t>View → Performance Analyzer → record → find the slowest visual → fix the cause</t>
        </is>
      </c>
      <c r="V38" s="18" t="inlineStr">
        <is>
          <t>Finding that a matrix takes the longest on a page.</t>
        </is>
      </c>
      <c r="W38" s="18" t="inlineStr">
        <is>
          <t>Seeing a long DAX query time and rewriting the measure.</t>
        </is>
      </c>
      <c r="X38" s="18" t="inlineStr">
        <is>
          <t>Copying a slow visual's query into DAX Studio.</t>
        </is>
      </c>
      <c r="Y38" s="18" t="inlineStr">
        <is>
          <t>DAX, query folding, aggregations, model design</t>
        </is>
      </c>
      <c r="Z38" s="18" t="inlineStr">
        <is>
          <t>performance, DAX query, display, record, tuning</t>
        </is>
      </c>
      <c r="AA38" s="18" t="inlineStr">
        <is>
          <t>Slow report pages | Measure tuning | Visual design checks</t>
        </is>
      </c>
      <c r="AB38" s="18" t="inlineStr">
        <is>
          <t>A: This page takes ages to load. | B: Record it with Performance Analyzer and see which visual is slowest.</t>
        </is>
      </c>
      <c r="AC38" s="18" t="inlineStr">
        <is>
          <t>✗ Performance Analyzer fixes slow reports automatically → ✓ It only measures and shows where time is spent, and you must fix the cause yourself</t>
        </is>
      </c>
      <c r="AD38" s="18" t="inlineStr">
        <is>
          <t>DAX query time vs display time: the first is spent calculating the data, the second is spent drawing the visual.</t>
        </is>
      </c>
      <c r="AE38" s="18" t="inlineStr">
        <is>
          <t>Do not tune guesses without measuring first.</t>
        </is>
      </c>
      <c r="AF38" s="18" t="inlineStr">
        <is>
          <t>Measure first, and only then fix.</t>
        </is>
      </c>
      <c r="AG38" s="18" t="inlineStr">
        <is>
          <t>Using Performance Analyzer to find one slow measure on a dashboard.</t>
        </is>
      </c>
      <c r="AH38" s="18" t="inlineStr">
        <is>
          <t>An interviewer may ask: How do you find out why a report is slow?</t>
        </is>
      </c>
      <c r="AI38" s="18" t="inlineStr">
        <is>
          <t>It is like a stopwatch that times each lap.</t>
        </is>
      </c>
      <c r="AJ38" s="18" t="inlineStr">
        <is>
          <t>Where does Performance Analyzer show a visual's calculation time?</t>
        </is>
      </c>
      <c r="AK38" s="18" t="inlineStr">
        <is>
          <t>A) Gateway B) Slicer C) DAX query D) Theme</t>
        </is>
      </c>
      <c r="AL38" s="18" t="inlineStr">
        <is>
          <t>C</t>
        </is>
      </c>
      <c r="AM38" s="18" t="inlineStr">
        <is>
          <t>The DAX query time shows how long the data calculation took.</t>
        </is>
      </c>
      <c r="AN38" s="18" t="inlineStr">
        <is>
          <t>Performance Analyzer is found on the ____ tab of Desktop → View</t>
        </is>
      </c>
      <c r="AO38" s="18" t="inlineStr">
        <is>
          <t>A visual has a long DAX query time. What do you examine? → The measure and the model</t>
        </is>
      </c>
      <c r="AP38" s="18" t="inlineStr">
        <is>
          <t>Explain Performance Analyzer in three lines.</t>
        </is>
      </c>
      <c r="AQ38" s="18" t="inlineStr">
        <is>
          <t>Record a report page and write which visual is slowest and why.</t>
        </is>
      </c>
      <c r="AR38" s="17">
        <f>IF(J38="","",REPT("★",J38)&amp;REPT("☆",5-J38)&amp;" ("&amp;J38&amp;"/5)")</f>
        <v/>
      </c>
      <c r="AS38" s="17">
        <f>IF(Q38="","","Meaning: "&amp;Q38&amp;"  =  ______   (Answer: "&amp;F38&amp;")")</f>
        <v/>
      </c>
      <c r="AT38" s="17" t="inlineStr">
        <is>
          <t>New</t>
        </is>
      </c>
      <c r="AU38" s="17" t="n"/>
      <c r="AV38" s="17" t="n"/>
      <c r="AW38" s="17" t="n"/>
      <c r="AX38" s="17" t="n"/>
      <c r="AY38" s="17" t="n"/>
      <c r="AZ38" s="17" t="n"/>
      <c r="BA38" s="17" t="n"/>
      <c r="BB38" s="17" t="n"/>
    </row>
    <row r="39" ht="121.5" customHeight="1">
      <c r="A39" s="17" t="inlineStr">
        <is>
          <t>PBI-058</t>
        </is>
      </c>
      <c r="B39" s="17" t="inlineStr">
        <is>
          <t>07 Advanced</t>
        </is>
      </c>
      <c r="C39" s="17" t="inlineStr">
        <is>
          <t>Advanced</t>
        </is>
      </c>
      <c r="D39" s="17" t="n">
        <v>58</v>
      </c>
      <c r="E39" s="17" t="inlineStr">
        <is>
          <t>Claude knowledge</t>
        </is>
      </c>
      <c r="F39" s="18" t="inlineStr">
        <is>
          <t>Calculation groups</t>
        </is>
      </c>
      <c r="G39" s="18" t="inlineStr">
        <is>
          <t>Which model feature lets you write time-intelligence or formatting logic once and apply it to many measures?</t>
        </is>
      </c>
      <c r="H39" s="18" t="inlineStr">
        <is>
          <t>Advanced modelling</t>
        </is>
      </c>
      <c r="I39" s="18" t="inlineStr">
        <is>
          <t>Low</t>
        </is>
      </c>
      <c r="J39" s="18" t="n">
        <v>3</v>
      </c>
      <c r="K39" s="18" t="inlineStr">
        <is>
          <t>Models ended up with dozens of near-identical measures such as Sales YTD and Cost YTD, so calculation groups let one set of calculation items act on any measure.</t>
        </is>
      </c>
      <c r="L39" s="18" t="inlineStr">
        <is>
          <t>Use calculation groups for time intelligence variations to avoid creating many duplicate measures.</t>
        </is>
      </c>
      <c r="M39" s="18" t="inlineStr">
        <is>
          <t>A calculation group is a set of reusable filters you can slip over any measure.</t>
        </is>
      </c>
      <c r="N39" s="18" t="inlineStr">
        <is>
          <t>A column of items such as Current, YTD and Last Year that change whatever measure is placed beside them.</t>
        </is>
      </c>
      <c r="O39" s="18" t="inlineStr">
        <is>
          <t>The tidiness of a model with a few measures instead of hundreds.</t>
        </is>
      </c>
      <c r="P39" s="18" t="inlineStr">
        <is>
          <t>A calculation group is a table of calculation items that modify the measures used with them, such as turning any measure into its year-to-date version.</t>
        </is>
      </c>
      <c r="Q39" s="17" t="n"/>
      <c r="R39" s="18" t="inlineStr">
        <is>
          <t>A calculation group has items such as Current, YTD and Previous Year, each defined with DAX that uses SELECTEDMEASURE() to refer to whichever measure is in use. Users pick an item with a slicer or on a matrix axis and every measure follows. Calculation groups are created in the model, in recent Desktop versions or with external tools such as Tabular Editor.</t>
        </is>
      </c>
      <c r="S39" s="18" t="inlineStr">
        <is>
          <t>Write the YTD logic once as an item, and it works for sales, cost and profit alike. You avoid making one YTD measure per measure.</t>
        </is>
      </c>
      <c r="T39" s="18" t="inlineStr">
        <is>
          <t>It is like a set of lenses you can place over any picture to see it a different way.</t>
        </is>
      </c>
      <c r="U39" s="18" t="inlineStr">
        <is>
          <t>Calculation item = DAX using SELECTEDMEASURE()</t>
        </is>
      </c>
      <c r="V39" s="18" t="inlineStr">
        <is>
          <t>An item YTD defined as CALCULATE(SELECTEDMEASURE(), DATESYTD(Dates[Date])).</t>
        </is>
      </c>
      <c r="W39" s="18" t="inlineStr">
        <is>
          <t>An item Previous Year that shifts any measure back one year.</t>
        </is>
      </c>
      <c r="X39" s="18" t="inlineStr">
        <is>
          <t>A matrix with items on columns showing Current, YTD and Previous Year for every measure.</t>
        </is>
      </c>
      <c r="Y39" s="18" t="inlineStr">
        <is>
          <t>DAX, time intelligence, measures, Tabular Editor</t>
        </is>
      </c>
      <c r="Z39" s="18" t="inlineStr">
        <is>
          <t>calculation group, calculation item, SELECTEDMEASURE, Tabular Editor</t>
        </is>
      </c>
      <c r="AA39" s="18" t="inlineStr">
        <is>
          <t>Time-intelligence families | Currency conversion | Reducing duplicate measures</t>
        </is>
      </c>
      <c r="AB39" s="18" t="inlineStr">
        <is>
          <t>A: I have thirty measures and want a YTD version of each. | B: Create a calculation group with a YTD item that applies to all of them.</t>
        </is>
      </c>
      <c r="AC39" s="18" t="inlineStr">
        <is>
          <t>✗ Calculation groups are another kind of visual → ✓ A calculation group is a model feature that changes how measures are calculated, not something you place on a page by itself</t>
        </is>
      </c>
      <c r="AD39" s="18" t="inlineStr">
        <is>
          <t>Calculation group vs measure: a measure computes one value, a calculation group modifies many measures.</t>
        </is>
      </c>
      <c r="AE39" s="18" t="inlineStr">
        <is>
          <t>Do not use calculation groups when only one or two measures need the change.</t>
        </is>
      </c>
      <c r="AF39" s="18" t="inlineStr">
        <is>
          <t>Write the logic once, reuse it for every measure.</t>
        </is>
      </c>
      <c r="AG39" s="18" t="inlineStr">
        <is>
          <t>Replacing dozens of YTD and previous-year measures with one calculation group.</t>
        </is>
      </c>
      <c r="AH39" s="18" t="inlineStr">
        <is>
          <t>An interviewer may ask: What problem do calculation groups solve?</t>
        </is>
      </c>
      <c r="AI39" s="18" t="inlineStr">
        <is>
          <t>It is like a set of lenses you can place over any picture.</t>
        </is>
      </c>
      <c r="AJ39" s="18" t="inlineStr">
        <is>
          <t>Which function lets a calculation item refer to whichever measure is in use?</t>
        </is>
      </c>
      <c r="AK39" s="18" t="inlineStr">
        <is>
          <t>A) DIVIDE B) SELECTEDMEASURE C) CALCULATE only D) RELATED</t>
        </is>
      </c>
      <c r="AL39" s="18" t="inlineStr">
        <is>
          <t>B</t>
        </is>
      </c>
      <c r="AM39" s="18" t="inlineStr">
        <is>
          <t>SELECTEDMEASURE() stands for the measure currently being evaluated.</t>
        </is>
      </c>
      <c r="AN39" s="18" t="inlineStr">
        <is>
          <t>Calculation items use ____() to refer to the measure in use → SELECTEDMEASURE</t>
        </is>
      </c>
      <c r="AO39" s="18" t="inlineStr">
        <is>
          <t>How can you avoid creating a YTD version of thirty measures? → Create a calculation group with a YTD item</t>
        </is>
      </c>
      <c r="AP39" s="18" t="inlineStr">
        <is>
          <t>Explain calculation groups in three lines.</t>
        </is>
      </c>
      <c r="AQ39" s="18" t="inlineStr">
        <is>
          <t>Define two calculation items you would add for a sales model.</t>
        </is>
      </c>
      <c r="AR39" s="17">
        <f>IF(J39="","",REPT("★",J39)&amp;REPT("☆",5-J39)&amp;" ("&amp;J39&amp;"/5)")</f>
        <v/>
      </c>
      <c r="AS39" s="17">
        <f>IF(Q39="","","Meaning: "&amp;Q39&amp;"  =  ______   (Answer: "&amp;F39&amp;")")</f>
        <v/>
      </c>
      <c r="AT39" s="17" t="inlineStr">
        <is>
          <t>New</t>
        </is>
      </c>
      <c r="AU39" s="17" t="n"/>
      <c r="AV39" s="17" t="n"/>
      <c r="AW39" s="17" t="n"/>
      <c r="AX39" s="17" t="n"/>
      <c r="AY39" s="17" t="n"/>
      <c r="AZ39" s="17" t="n"/>
      <c r="BA39" s="17" t="n"/>
      <c r="BB39" s="17" t="n"/>
    </row>
  </sheetData>
  <autoFilter ref="A2:BB39"/>
  <mergeCells count="6">
    <mergeCell ref="F1:O1"/>
    <mergeCell ref="AT1:BB1"/>
    <mergeCell ref="AR1:AS1"/>
    <mergeCell ref="A1:E1"/>
    <mergeCell ref="AJ1:AQ1"/>
    <mergeCell ref="P1:AI1"/>
  </mergeCells>
  <dataValidations count="2">
    <dataValidation sqref="AT3:AT39" showDropDown="0" showInputMessage="0" showErrorMessage="0" allowBlank="1" type="list">
      <formula1>"New,Learning,Known"</formula1>
    </dataValidation>
    <dataValidation sqref="BA3:BA39"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PBI-001</t>
        </is>
      </c>
    </row>
    <row r="4">
      <c r="A4" s="23" t="inlineStr">
        <is>
          <t>FRONT · Recognition (pehchano)</t>
        </is>
      </c>
    </row>
    <row r="5" ht="30" customHeight="1">
      <c r="A5" s="24" t="inlineStr">
        <is>
          <t>ID</t>
        </is>
      </c>
      <c r="B5" s="17">
        <f>INDEX('Topic (56-pt) cards'!$A$3:$BB$39,MATCH($B$2,'Topic (56-pt) cards'!$A$3:$A$39,0),MATCH("ID",'Topic (56-pt) cards'!$A$2:$BB$2,0))&amp;""</f>
        <v/>
      </c>
    </row>
    <row r="6" ht="30" customHeight="1">
      <c r="A6" s="24" t="inlineStr">
        <is>
          <t>Topic</t>
        </is>
      </c>
      <c r="B6" s="17">
        <f>INDEX('Topic (56-pt) cards'!$A$3:$BB$39,MATCH($B$2,'Topic (56-pt) cards'!$A$3:$A$39,0),MATCH("Topic",'Topic (56-pt) cards'!$A$2:$BB$2,0))&amp;""</f>
        <v/>
      </c>
    </row>
    <row r="7" ht="30" customHeight="1">
      <c r="A7" s="24" t="inlineStr">
        <is>
          <t>Level</t>
        </is>
      </c>
      <c r="B7" s="17">
        <f>INDEX('Topic (56-pt) cards'!$A$3:$BB$39,MATCH($B$2,'Topic (56-pt) cards'!$A$3:$A$39,0),MATCH("Level",'Topic (56-pt) cards'!$A$2:$BB$2,0))&amp;""</f>
        <v/>
      </c>
    </row>
    <row r="8" ht="30" customHeight="1">
      <c r="A8" s="24" t="inlineStr">
        <is>
          <t>Term / topic</t>
        </is>
      </c>
      <c r="B8" s="17">
        <f>INDEX('Topic (56-pt) cards'!$A$3:$BB$39,MATCH($B$2,'Topic (56-pt) cards'!$A$3:$A$39,0),MATCH("Term / topic",'Topic (56-pt) cards'!$A$2:$BB$2,0))&amp;""</f>
        <v/>
      </c>
    </row>
    <row r="9" ht="30" customHeight="1">
      <c r="A9" s="24" t="inlineStr">
        <is>
          <t>Recall cue</t>
        </is>
      </c>
      <c r="B9" s="17">
        <f>INDEX('Topic (56-pt) cards'!$A$3:$BB$39,MATCH($B$2,'Topic (56-pt) cards'!$A$3:$A$39,0),MATCH("Recall cue",'Topic (56-pt) cards'!$A$2:$BB$2,0))&amp;""</f>
        <v/>
      </c>
    </row>
    <row r="10" ht="30" customHeight="1">
      <c r="A10" s="24" t="inlineStr">
        <is>
          <t>Category</t>
        </is>
      </c>
      <c r="B10" s="17">
        <f>INDEX('Topic (56-pt) cards'!$A$3:$BB$39,MATCH($B$2,'Topic (56-pt) cards'!$A$3:$A$39,0),MATCH("Category",'Topic (56-pt) cards'!$A$2:$BB$2,0))&amp;""</f>
        <v/>
      </c>
    </row>
    <row r="11" ht="30" customHeight="1">
      <c r="A11" s="24" t="inlineStr">
        <is>
          <t>How often used</t>
        </is>
      </c>
      <c r="B11" s="17">
        <f>INDEX('Topic (56-pt) cards'!$A$3:$BB$39,MATCH($B$2,'Topic (56-pt) cards'!$A$3:$A$39,0),MATCH("How often used",'Topic (56-pt) cards'!$A$2:$BB$2,0))&amp;""</f>
        <v/>
      </c>
    </row>
    <row r="12" ht="30" customHeight="1">
      <c r="A12" s="24" t="inlineStr">
        <is>
          <t>Importance (1-5)</t>
        </is>
      </c>
      <c r="B12" s="17">
        <f>INDEX('Topic (56-pt) cards'!$A$3:$BB$39,MATCH($B$2,'Topic (56-pt) cards'!$A$3:$A$39,0),MATCH("Importance (1-5)",'Topic (56-pt) cards'!$A$2:$BB$2,0))&amp;""</f>
        <v/>
      </c>
    </row>
    <row r="13" ht="30" customHeight="1">
      <c r="A13" s="24" t="inlineStr">
        <is>
          <t>Origin / why it exists</t>
        </is>
      </c>
      <c r="B13" s="17">
        <f>INDEX('Topic (56-pt) cards'!$A$3:$BB$39,MATCH($B$2,'Topic (56-pt) cards'!$A$3:$A$39,0),MATCH("Origin / why it exists",'Topic (56-pt) cards'!$A$2:$BB$2,0))&amp;""</f>
        <v/>
      </c>
    </row>
    <row r="14" ht="30" customHeight="1">
      <c r="A14" s="24" t="inlineStr">
        <is>
          <t>Pro tip</t>
        </is>
      </c>
      <c r="B14" s="17">
        <f>INDEX('Topic (56-pt) cards'!$A$3:$BB$39,MATCH($B$2,'Topic (56-pt) cards'!$A$3:$A$39,0),MATCH("Pro tip",'Topic (56-pt) cards'!$A$2:$BB$2,0))&amp;""</f>
        <v/>
      </c>
    </row>
    <row r="15" ht="30" customHeight="1">
      <c r="A15" s="24" t="inlineStr">
        <is>
          <t>Memory story</t>
        </is>
      </c>
      <c r="B15" s="17">
        <f>INDEX('Topic (56-pt) cards'!$A$3:$BB$39,MATCH($B$2,'Topic (56-pt) cards'!$A$3:$A$39,0),MATCH("Memory story",'Topic (56-pt) cards'!$A$2:$BB$2,0))&amp;""</f>
        <v/>
      </c>
    </row>
    <row r="16" ht="30" customHeight="1">
      <c r="A16" s="24" t="inlineStr">
        <is>
          <t>Picture it</t>
        </is>
      </c>
      <c r="B16" s="17">
        <f>INDEX('Topic (56-pt) cards'!$A$3:$BB$39,MATCH($B$2,'Topic (56-pt) cards'!$A$3:$A$39,0),MATCH("Picture it",'Topic (56-pt) cards'!$A$2:$BB$2,0))&amp;""</f>
        <v/>
      </c>
    </row>
    <row r="17" ht="30" customHeight="1">
      <c r="A17" s="24" t="inlineStr">
        <is>
          <t>Emotion hook</t>
        </is>
      </c>
      <c r="B17" s="17">
        <f>INDEX('Topic (56-pt) cards'!$A$3:$BB$39,MATCH($B$2,'Topic (56-pt) cards'!$A$3:$A$39,0),MATCH("Emotion hook",'Topic (56-pt) cards'!$A$2:$BB$2,0))&amp;""</f>
        <v/>
      </c>
    </row>
    <row r="18" ht="30" customHeight="1">
      <c r="A18" s="24" t="inlineStr">
        <is>
          <t>Importance ★</t>
        </is>
      </c>
      <c r="B18" s="17">
        <f>INDEX('Topic (56-pt) cards'!$A$3:$BB$39,MATCH($B$2,'Topic (56-pt) cards'!$A$3:$A$39,0),MATCH("Importance ★",'Topic (56-pt) cards'!$A$2:$BB$2,0))&amp;""</f>
        <v/>
      </c>
    </row>
    <row r="19">
      <c r="A19" s="25" t="inlineStr">
        <is>
          <t>BACK · Understanding (samjho)</t>
        </is>
      </c>
    </row>
    <row r="20" ht="30" customHeight="1">
      <c r="A20" s="24" t="inlineStr">
        <is>
          <t>Definition (simple)</t>
        </is>
      </c>
      <c r="B20" s="17">
        <f>INDEX('Topic (56-pt) cards'!$A$3:$BB$39,MATCH($B$2,'Topic (56-pt) cards'!$A$3:$A$39,0),MATCH("Definition (simple)",'Topic (56-pt) cards'!$A$2:$BB$2,0))&amp;""</f>
        <v/>
      </c>
    </row>
    <row r="21" ht="30" customHeight="1">
      <c r="A21" s="24" t="inlineStr">
        <is>
          <t>Meaning in learner's language</t>
        </is>
      </c>
      <c r="B21" s="17">
        <f>INDEX('Topic (56-pt) cards'!$A$3:$BB$39,MATCH($B$2,'Topic (56-pt) cards'!$A$3:$A$39,0),MATCH("Meaning in learner's language",'Topic (56-pt) cards'!$A$2:$BB$2,0))&amp;""</f>
        <v/>
      </c>
    </row>
    <row r="22" ht="54" customHeight="1">
      <c r="A22" s="24" t="inlineStr">
        <is>
          <t>How / why it works</t>
        </is>
      </c>
      <c r="B22" s="17">
        <f>INDEX('Topic (56-pt) cards'!$A$3:$BB$39,MATCH($B$2,'Topic (56-pt) cards'!$A$3:$A$39,0),MATCH("How / why it works",'Topic (56-pt) cards'!$A$2:$BB$2,0))&amp;""</f>
        <v/>
      </c>
    </row>
    <row r="23" ht="30" customHeight="1">
      <c r="A23" s="24" t="inlineStr">
        <is>
          <t>Simple explanation (Hinglish)</t>
        </is>
      </c>
      <c r="B23" s="17">
        <f>INDEX('Topic (56-pt) cards'!$A$3:$BB$39,MATCH($B$2,'Topic (56-pt) cards'!$A$3:$A$39,0),MATCH("Simple explanation (Hinglish)",'Topic (56-pt) cards'!$A$2:$BB$2,0))&amp;""</f>
        <v/>
      </c>
    </row>
    <row r="24" ht="30" customHeight="1">
      <c r="A24" s="24" t="inlineStr">
        <is>
          <t>Real-life analogy</t>
        </is>
      </c>
      <c r="B24" s="17">
        <f>INDEX('Topic (56-pt) cards'!$A$3:$BB$39,MATCH($B$2,'Topic (56-pt) cards'!$A$3:$A$39,0),MATCH("Real-life analogy",'Topic (56-pt) cards'!$A$2:$BB$2,0))&amp;""</f>
        <v/>
      </c>
    </row>
    <row r="25" ht="30" customHeight="1">
      <c r="A25" s="24" t="inlineStr">
        <is>
          <t>Formula / rule</t>
        </is>
      </c>
      <c r="B25" s="17">
        <f>INDEX('Topic (56-pt) cards'!$A$3:$BB$39,MATCH($B$2,'Topic (56-pt) cards'!$A$3:$A$39,0),MATCH("Formula / rule",'Topic (56-pt) cards'!$A$2:$BB$2,0))&amp;""</f>
        <v/>
      </c>
    </row>
    <row r="26" ht="30" customHeight="1">
      <c r="A26" s="24" t="inlineStr">
        <is>
          <t>Example 1</t>
        </is>
      </c>
      <c r="B26" s="17">
        <f>INDEX('Topic (56-pt) cards'!$A$3:$BB$39,MATCH($B$2,'Topic (56-pt) cards'!$A$3:$A$39,0),MATCH("Example 1",'Topic (56-pt) cards'!$A$2:$BB$2,0))&amp;""</f>
        <v/>
      </c>
    </row>
    <row r="27" ht="30" customHeight="1">
      <c r="A27" s="24" t="inlineStr">
        <is>
          <t>Example 2</t>
        </is>
      </c>
      <c r="B27" s="17">
        <f>INDEX('Topic (56-pt) cards'!$A$3:$BB$39,MATCH($B$2,'Topic (56-pt) cards'!$A$3:$A$39,0),MATCH("Example 2",'Topic (56-pt) cards'!$A$2:$BB$2,0))&amp;""</f>
        <v/>
      </c>
    </row>
    <row r="28" ht="30" customHeight="1">
      <c r="A28" s="24" t="inlineStr">
        <is>
          <t>Example 3</t>
        </is>
      </c>
      <c r="B28" s="17">
        <f>INDEX('Topic (56-pt) cards'!$A$3:$BB$39,MATCH($B$2,'Topic (56-pt) cards'!$A$3:$A$39,0),MATCH("Example 3",'Topic (56-pt) cards'!$A$2:$BB$2,0))&amp;""</f>
        <v/>
      </c>
    </row>
    <row r="29" ht="30" customHeight="1">
      <c r="A29" s="24" t="inlineStr">
        <is>
          <t>Related concepts</t>
        </is>
      </c>
      <c r="B29" s="17">
        <f>INDEX('Topic (56-pt) cards'!$A$3:$BB$39,MATCH($B$2,'Topic (56-pt) cards'!$A$3:$A$39,0),MATCH("Related concepts",'Topic (56-pt) cards'!$A$2:$BB$2,0))&amp;""</f>
        <v/>
      </c>
    </row>
    <row r="30" ht="30" customHeight="1">
      <c r="A30" s="24" t="inlineStr">
        <is>
          <t>Family / group</t>
        </is>
      </c>
      <c r="B30" s="17">
        <f>INDEX('Topic (56-pt) cards'!$A$3:$BB$39,MATCH($B$2,'Topic (56-pt) cards'!$A$3:$A$39,0),MATCH("Family / group",'Topic (56-pt) cards'!$A$2:$BB$2,0))&amp;""</f>
        <v/>
      </c>
    </row>
    <row r="31" ht="30" customHeight="1">
      <c r="A31" s="24" t="inlineStr">
        <is>
          <t>Where it is used</t>
        </is>
      </c>
      <c r="B31" s="17">
        <f>INDEX('Topic (56-pt) cards'!$A$3:$BB$39,MATCH($B$2,'Topic (56-pt) cards'!$A$3:$A$39,0),MATCH("Where it is used",'Topic (56-pt) cards'!$A$2:$BB$2,0))&amp;""</f>
        <v/>
      </c>
    </row>
    <row r="32" ht="30" customHeight="1">
      <c r="A32" s="24" t="inlineStr">
        <is>
          <t>Mini conversation</t>
        </is>
      </c>
      <c r="B32" s="17">
        <f>INDEX('Topic (56-pt) cards'!$A$3:$BB$39,MATCH($B$2,'Topic (56-pt) cards'!$A$3:$A$39,0),MATCH("Mini conversation",'Topic (56-pt) cards'!$A$2:$BB$2,0))&amp;""</f>
        <v/>
      </c>
    </row>
    <row r="33" ht="30" customHeight="1">
      <c r="A33" s="24" t="inlineStr">
        <is>
          <t>Common mistake</t>
        </is>
      </c>
      <c r="B33" s="17">
        <f>INDEX('Topic (56-pt) cards'!$A$3:$BB$39,MATCH($B$2,'Topic (56-pt) cards'!$A$3:$A$39,0),MATCH("Common mistake",'Topic (56-pt) cards'!$A$2:$BB$2,0))&amp;""</f>
        <v/>
      </c>
    </row>
    <row r="34" ht="30" customHeight="1">
      <c r="A34" s="24" t="inlineStr">
        <is>
          <t>Don't confuse with</t>
        </is>
      </c>
      <c r="B34" s="17">
        <f>INDEX('Topic (56-pt) cards'!$A$3:$BB$39,MATCH($B$2,'Topic (56-pt) cards'!$A$3:$A$39,0),MATCH("Don't confuse with",'Topic (56-pt) cards'!$A$2:$BB$2,0))&amp;""</f>
        <v/>
      </c>
    </row>
    <row r="35" ht="30" customHeight="1">
      <c r="A35" s="24" t="inlineStr">
        <is>
          <t>Avoid / don't</t>
        </is>
      </c>
      <c r="B35" s="17">
        <f>INDEX('Topic (56-pt) cards'!$A$3:$BB$39,MATCH($B$2,'Topic (56-pt) cards'!$A$3:$A$39,0),MATCH("Avoid / don't",'Topic (56-pt) cards'!$A$2:$BB$2,0))&amp;""</f>
        <v/>
      </c>
    </row>
    <row r="36" ht="30" customHeight="1">
      <c r="A36" s="24" t="inlineStr">
        <is>
          <t>Memory trick</t>
        </is>
      </c>
      <c r="B36" s="17">
        <f>INDEX('Topic (56-pt) cards'!$A$3:$BB$39,MATCH($B$2,'Topic (56-pt) cards'!$A$3:$A$39,0),MATCH("Memory trick",'Topic (56-pt) cards'!$A$2:$BB$2,0))&amp;""</f>
        <v/>
      </c>
    </row>
    <row r="37" ht="30" customHeight="1">
      <c r="A37" s="24" t="inlineStr">
        <is>
          <t>Real life: project / work</t>
        </is>
      </c>
      <c r="B37" s="17">
        <f>INDEX('Topic (56-pt) cards'!$A$3:$BB$39,MATCH($B$2,'Topic (56-pt) cards'!$A$3:$A$39,0),MATCH("Real life: project / work",'Topic (56-pt) cards'!$A$2:$BB$2,0))&amp;""</f>
        <v/>
      </c>
    </row>
    <row r="38" ht="30" customHeight="1">
      <c r="A38" s="24" t="inlineStr">
        <is>
          <t>Real life: interview / exam</t>
        </is>
      </c>
      <c r="B38" s="17">
        <f>INDEX('Topic (56-pt) cards'!$A$3:$BB$39,MATCH($B$2,'Topic (56-pt) cards'!$A$3:$A$39,0),MATCH("Real life: interview / exam",'Topic (56-pt) cards'!$A$2:$BB$2,0))&amp;""</f>
        <v/>
      </c>
    </row>
    <row r="39" ht="30" customHeight="1">
      <c r="A39" s="24" t="inlineStr">
        <is>
          <t>Real life: daily life</t>
        </is>
      </c>
      <c r="B39" s="17">
        <f>INDEX('Topic (56-pt) cards'!$A$3:$BB$39,MATCH($B$2,'Topic (56-pt) cards'!$A$3:$A$39,0),MATCH("Real life: daily life",'Topic (56-pt) cards'!$A$2:$BB$2,0))&amp;""</f>
        <v/>
      </c>
    </row>
    <row r="40">
      <c r="A40" s="27" t="inlineStr">
        <is>
          <t>PRACTICE · Khud karo</t>
        </is>
      </c>
    </row>
    <row r="41" ht="30" customHeight="1">
      <c r="A41" s="24" t="inlineStr">
        <is>
          <t>MCQ question</t>
        </is>
      </c>
      <c r="B41" s="17">
        <f>INDEX('Topic (56-pt) cards'!$A$3:$BB$39,MATCH($B$2,'Topic (56-pt) cards'!$A$3:$A$39,0),MATCH("MCQ question",'Topic (56-pt) cards'!$A$2:$BB$2,0))&amp;""</f>
        <v/>
      </c>
    </row>
    <row r="42" ht="30" customHeight="1">
      <c r="A42" s="24" t="inlineStr">
        <is>
          <t>MCQ options</t>
        </is>
      </c>
      <c r="B42" s="17">
        <f>INDEX('Topic (56-pt) cards'!$A$3:$BB$39,MATCH($B$2,'Topic (56-pt) cards'!$A$3:$A$39,0),MATCH("MCQ options",'Topic (56-pt) cards'!$A$2:$BB$2,0))&amp;""</f>
        <v/>
      </c>
    </row>
    <row r="43" ht="30" customHeight="1">
      <c r="A43" s="24" t="inlineStr">
        <is>
          <t>MCQ answer</t>
        </is>
      </c>
      <c r="B43" s="17">
        <f>INDEX('Topic (56-pt) cards'!$A$3:$BB$39,MATCH($B$2,'Topic (56-pt) cards'!$A$3:$A$39,0),MATCH("MCQ answer",'Topic (56-pt) cards'!$A$2:$BB$2,0))&amp;""</f>
        <v/>
      </c>
    </row>
    <row r="44" ht="30" customHeight="1">
      <c r="A44" s="24" t="inlineStr">
        <is>
          <t>Why that answer</t>
        </is>
      </c>
      <c r="B44" s="17">
        <f>INDEX('Topic (56-pt) cards'!$A$3:$BB$39,MATCH($B$2,'Topic (56-pt) cards'!$A$3:$A$39,0),MATCH("Why that answer",'Topic (56-pt) cards'!$A$2:$BB$2,0))&amp;""</f>
        <v/>
      </c>
    </row>
    <row r="45" ht="30" customHeight="1">
      <c r="A45" s="24" t="inlineStr">
        <is>
          <t>Fill the blank</t>
        </is>
      </c>
      <c r="B45" s="17">
        <f>INDEX('Topic (56-pt) cards'!$A$3:$BB$39,MATCH($B$2,'Topic (56-pt) cards'!$A$3:$A$39,0),MATCH("Fill the blank",'Topic (56-pt) cards'!$A$2:$BB$2,0))&amp;""</f>
        <v/>
      </c>
    </row>
    <row r="46" ht="30" customHeight="1">
      <c r="A46" s="24" t="inlineStr">
        <is>
          <t>Apply it</t>
        </is>
      </c>
      <c r="B46" s="17">
        <f>INDEX('Topic (56-pt) cards'!$A$3:$BB$39,MATCH($B$2,'Topic (56-pt) cards'!$A$3:$A$39,0),MATCH("Apply it",'Topic (56-pt) cards'!$A$2:$BB$2,0))&amp;""</f>
        <v/>
      </c>
    </row>
    <row r="47" ht="30" customHeight="1">
      <c r="A47" s="24" t="inlineStr">
        <is>
          <t>Explain it yourself</t>
        </is>
      </c>
      <c r="B47" s="17">
        <f>INDEX('Topic (56-pt) cards'!$A$3:$BB$39,MATCH($B$2,'Topic (56-pt) cards'!$A$3:$A$39,0),MATCH("Explain it yourself",'Topic (56-pt) cards'!$A$2:$BB$2,0))&amp;""</f>
        <v/>
      </c>
    </row>
    <row r="48" ht="30" customHeight="1">
      <c r="A48" s="24" t="inlineStr">
        <is>
          <t>Write your own</t>
        </is>
      </c>
      <c r="B48" s="17">
        <f>INDEX('Topic (56-pt) cards'!$A$3:$BB$39,MATCH($B$2,'Topic (56-pt) cards'!$A$3:$A$39,0),MATCH("Write your own",'Topic (56-pt) cards'!$A$2:$BB$2,0))&amp;""</f>
        <v/>
      </c>
    </row>
    <row r="49" ht="30" customHeight="1">
      <c r="A49" s="24" t="inlineStr">
        <is>
          <t>Quick recall (reverse)</t>
        </is>
      </c>
      <c r="B49" s="17">
        <f>INDEX('Topic (56-pt) cards'!$A$3:$BB$39,MATCH($B$2,'Topic (56-pt) cards'!$A$3:$A$39,0),MATCH("Quick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cards'!$A$3:$A$39</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Power BI (Desktop, Service, Mobile)
Microsoft's business analytics product comes in three parts. What are they, and what does each part do?</t>
        </is>
      </c>
      <c r="B2" s="29" t="inlineStr">
        <is>
          <t>DEFINITION (SIMPLE):
Power BI is a set of tools: Desktop to build reports, the Service in the cloud to share them, and Mobile apps to view them.
HOW / WHY IT WORKS:
Power BI Desktop is a free Windows application for connecting to data, cleaning it, modelling it and designing reports. The Power BI Service (the website) is where you publish, schedule refreshes and share. The mobile apps let people read reports on phones and tablets.
SIMPLE EXPLANATION (HINGLISH):
You create the report on your computer with Desktop. You upload it to the Service so others can see it in a browser. People then open it on their phones with the Mobile app.
REAL-LIFE ANALOGY:
It works like writing a document in a word processor, saving it to a shared drive, and reading it on your phone.
FORMULA / RULE:
Build (Desktop) → Publish and share (Service) → Read anywhere (Mobile)
EXAMPLE 1:
An analyst builds a sales report in Power BI Desktop on a laptop.
EXAMPLE 2:
The analyst publishes the report to a workspace in the Power BI Service so the sales team can open it in a browser.
EXAMPLE 3:
A regional manager checks the same report on a phone while travelling.
RELATED CONCEPTS:
Power BI Desktop, Power BI Service, semantic model, workspace
FAMILY / GROUP:
Desktop, Service, Mobile, report, dashboard
WHERE IT IS USED:
Business reporting | Data analysis jobs | Management dashboards
MINI CONVERSATION:
A: Where do I create my report? | B: Build it in Power BI Desktop, then publish it to the Service to share it.
COMMON MISTAKE:
✗ Power BI is just one program you install on your computer → ✓ Power BI has three parts: Desktop is installed, the Service runs in the cloud, and Mobile is an app
DON'T CONFUSE WITH:
Desktop vs Service: Desktop is where you build and model, the Service is where you share and manage.
AVOID / DON'T:
Do not edit a report only in the Service when it should be maintained in the original Desktop file.
MEMORY TRICK:
Desktop builds, Service shares, Mobile carries.
REAL LIFE: PROJECT / WORK:
Building a monthly sales report in Desktop and publishing it so managers see fresh numbers each morning.
REAL LIFE: INTERVIEW / EXAM:
An interviewer may ask: What is the difference between Power BI Desktop and the Power BI Service?
REAL LIFE: DAILY LIFE:
It is like cooking at home, serving guests at a restaurant, and packing leftovers to take away.</t>
        </is>
      </c>
      <c r="C2" s="29" t="inlineStr">
        <is>
          <t>01_Basics_Beginner_PBI-001</t>
        </is>
      </c>
    </row>
    <row r="3" ht="409" customHeight="1">
      <c r="A3" s="29" t="inlineStr">
        <is>
          <t>Power BI Desktop interface (Report, Table, Model views)
Which three views on the left side of Power BI Desktop let you design pages, inspect data and draw relationships?</t>
        </is>
      </c>
      <c r="B3" s="29" t="inlineStr">
        <is>
          <t>DEFINITION (SIMPLE):
Power BI Desktop has a Report view for building visuals, a Table view for browsing data, and a Model view for managing relationships.
HOW / WHY IT WORKS:
Report view is the canvas where you place visuals and filters. Table view shows the loaded data in rows and columns so you can check values and create columns. Model view shows tables as boxes and relationships as lines. There is also a DAX query view in newer versions.
SIMPLE EXPLANATION (HINGLISH):
Report view is for drawing charts. Table view is for looking at the raw rows. Model view is for connecting tables to each other.
REAL-LIFE ANALOGY:
It is like a stage for the show, a backstage list of props, and a floor plan of how everything connects.
FORMULA / RULE:
Report = design, Table = inspect data, Model = connect tables
EXAMPLE 1:
Dragging a bar chart onto a page happens in Report view.
EXAMPLE 2:
Checking whether a Date column was imported as text happens in Table view.
EXAMPLE 3:
Drawing a line between Sales and Products happens in Model view.
RELATED CONCEPTS:
relationships, visuals, data model, fields pane
FAMILY / GROUP:
view, canvas, pane, field, visual
WHERE IT IS USED:
Every Power BI Desktop project | Data checking | Model design
MINI CONVERSATION:
A: The charts show the wrong totals. | B: Open Model view and check whether the relationships between your tables are correct.
COMMON MISTAKE:
✗ All the work in Power BI Desktop is done on the report canvas → ✓ Data checking happens in Table view and relationships are managed in Model view
DON'T CONFUSE WITH:
Table view vs Model view: Table view shows the rows of data, Model view shows how the tables relate.
AVOID / DON'T:
Do not build visuals before checking the data types in Table view.
MEMORY TRICK:
Report draws, Table tells, Model maps.
REAL LIFE: PROJECT / WORK:
Opening Model view to fix a missing relationship that caused wrong totals in a report.
REAL LIFE: INTERVIEW / EXAM:
An interviewer may ask: What are the three main views in Power BI Desktop?
REAL LIFE: DAILY LIFE:
It is like a theatre with a stage, a backstage list and a floor plan.</t>
        </is>
      </c>
      <c r="C3" s="29" t="inlineStr">
        <is>
          <t>01_Basics_Beginner_PBI-002</t>
        </is>
      </c>
    </row>
    <row r="4" ht="409" customHeight="1">
      <c r="A4" s="29" t="inlineStr">
        <is>
          <t>Semantic model (dataset)
What is the name for the loaded, modelled data that sits behind one or more Power BI reports?</t>
        </is>
      </c>
      <c r="B4" s="29" t="inlineStr">
        <is>
          <t>DEFINITION (SIMPLE):
A semantic model holds the tables, relationships, measures and security that reports use, and it was formerly called a dataset.
HOW / WHY IT WORKS:
When you import data and build relationships and DAX measures, you create a semantic model. When you publish from Desktop, the model and report go to the Service, where the model can be refreshed and reused by other reports. Microsoft renamed datasets to semantic models.
SIMPLE EXPLANATION (HINGLISH):
The semantic model is the data brain behind your report. It stores your tables, links and calculations, and the report just shows the results.
REAL-LIFE ANALOGY:
It is like a restaurant kitchen that cooks the food, while the menu cards are just what the customers see.
FORMULA / RULE:
Semantic model = tables + relationships + measures + security
EXAMPLE 1:
A sales model holds Sales, Product and Date tables linked together.
EXAMPLE 2:
Three different reports reuse the same published sales model.
EXAMPLE 3:
An administrator refreshes the model once a night so all reports show new data.
RELATED CONCEPTS:
report, relationships, measures, refresh
FAMILY / GROUP:
dataset, model, tables, measures, relationships
WHERE IT IS USED:
Every published report | Shared enterprise models | Self-service analysis
MINI CONVERSATION:
A: Why do two of our reports show different totals? | B: They use separate copies of the data, so build one shared semantic model.
COMMON MISTAKE:
✗ A semantic model and a report are the same thing → ✓ The model holds the data and logic, and a report is only the visuals built on top of it
DON'T CONFUSE WITH:
Semantic model vs report: the model stores and calculates, the report displays.
AVOID / DON'T:
Do not create a new copy of the same data in every report.
MEMORY TRICK:
Model is the machine, report is the screen.
REAL LIFE: PROJECT / WORK:
Publishing one certified sales semantic model that many team reports connect to.
REAL LIFE: INTERVIEW / EXAM:
An interviewer may ask: What is a semantic model, and what was it called before?
REAL LIFE: DAILY LIFE:
It is like a kitchen that cooks the food while the menu is only what customers see.</t>
        </is>
      </c>
      <c r="C4" s="29" t="inlineStr">
        <is>
          <t>01_Basics_Beginner_PBI-003</t>
        </is>
      </c>
    </row>
    <row r="5" ht="409" customHeight="1">
      <c r="A5" s="29" t="inlineStr">
        <is>
          <t>Report vs dashboard
Power BI has a multi-page interactive canvas and a one-page canvas of pinned tiles. What are they called?</t>
        </is>
      </c>
      <c r="B5" s="29" t="inlineStr">
        <is>
          <t>DEFINITION (SIMPLE):
A report is a multi-page, interactive set of visuals built on one model, while a dashboard is a single page of tiles pinned from one or more reports.
HOW / WHY IT WORKS:
Reports are created in Desktop or the Service and have filters, slicers and many pages. A dashboard exists only in the Service and is made by pinning visuals, so its tiles can come from different reports. Clicking a tile opens the report it came from.
SIMPLE EXPLANATION (HINGLISH):
A report is for exploring details across pages. A dashboard is a single overview page made of pinned tiles. Click a tile and you jump to its report.
REAL-LIFE ANALOGY:
A report is a full book and a dashboard is a poster summarising the key points.
FORMULA / RULE:
Report = many pages, one model. Dashboard = one page, many sources.
EXAMPLE 1:
A sales report with pages for regions, products and trends.
EXAMPLE 2:
A dashboard with tiles pinned from the sales report and the finance report.
EXAMPLE 3:
A manager opens the dashboard and clicks a tile to land on the detailed report page.
RELATED CONCEPTS:
visual, tile, pin, workspace
FAMILY / GROUP:
report, dashboard, tile, page, pin
WHERE IT IS USED:
Management overviews | Detailed analysis | Daily monitoring
MINI CONVERSATION:
A: Can I build a dashboard in Power BI Desktop? | B: No, dashboards are made in the Service by pinning visuals from reports.
COMMON MISTAKE:
✗ Reports and dashboards are the same and can both be built in Desktop → ✓ Reports are built in Desktop or the Service, while dashboards exist only in the Service
DON'T CONFUSE WITH:
Report vs dashboard: a report has many interactive pages from one model, a dashboard has one page of pinned tiles.
AVOID / DON'T:
Do not cram every visual onto a dashboard, keep it to the key numbers.
MEMORY TRICK:
Report is a book, dashboard is a poster.
REAL LIFE: PROJECT / WORK:
Pinning five key sales visuals to a dashboard that executives open every morning.
REAL LIFE: INTERVIEW / EXAM:
An interviewer may ask: What is the difference between a Power BI report and a dashboard?
REAL LIFE: DAILY LIFE:
It is like a full book and a poster that sums up its main points.</t>
        </is>
      </c>
      <c r="C5" s="29" t="inlineStr">
        <is>
          <t>01_Basics_Beginner_PBI-004</t>
        </is>
      </c>
    </row>
    <row r="6" ht="409" customHeight="1">
      <c r="A6" s="29" t="inlineStr">
        <is>
          <t>Visual
What is the name for a single chart, table, card or map on a Power BI report page?</t>
        </is>
      </c>
      <c r="B6" s="29" t="inlineStr">
        <is>
          <t>DEFINITION (SIMPLE):
A visual is one graphical element on a report page, such as a chart, table, card, slicer or map.
HOW / WHY IT WORKS:
You create a visual by choosing a type from the Visualizations pane and dragging fields into its wells such as Axis, Values and Legend. Visuals interact: clicking one can filter or highlight the others on the page.
SIMPLE EXPLANATION (HINGLISH):
A visual is one chart or table on your page. You pick its type and drag fields into it, and it responds when you click on other visuals.
REAL-LIFE ANALOGY:
It is like one picture in a photo wall, where each picture tells part of the story.
FORMULA / RULE:
Visual = type + fields + formatting
EXAMPLE 1:
A card visual showing total sales as one big number.
EXAMPLE 2:
A line chart showing sales by month.
EXAMPLE 3:
A table visual listing each product with its quantity.
RELATED CONCEPTS:
slicer, Visualizations pane, report page, cross-filtering
FAMILY / GROUP:
chart, card, table, matrix, map
WHERE IT IS USED:
Every Power BI report | Dashboards | Data storytelling
MINI CONVERSATION:
A: How do I show sales by region? | B: Add a bar chart visual and drag Region to the axis and Sales to the values.
COMMON MISTAKE:
✗ A visual only shows data and cannot affect other visuals → ✓ Visuals interact, and clicking one can filter or highlight the others on the page
DON'T CONFUSE WITH:
Visual vs slicer: a visual shows data, a slicer is a visual used to filter other visuals.
AVOID / DON'T:
Do not place too many visuals on one page, it overwhelms the reader.
MEMORY TRICK:
Visual means a view of one answer.
REAL LIFE: PROJECT / WORK:
Designing a report page with a card, a line chart and a bar chart that answer three business questions.
REAL LIFE: INTERVIEW / EXAM:
An interviewer may ask: Which visual would you use to show a trend over time?
REAL LIFE: DAILY LIFE:
It is like one picture on a wall of photographs.</t>
        </is>
      </c>
      <c r="C6" s="29" t="inlineStr">
        <is>
          <t>01_Basics_Beginner_PBI-005</t>
        </is>
      </c>
    </row>
    <row r="7" ht="409" customHeight="1">
      <c r="A7" s="29" t="inlineStr">
        <is>
          <t>Get Data (data sources and connectors)
Which button starts the process of connecting Power BI to files, databases or online services?</t>
        </is>
      </c>
      <c r="B7" s="29" t="inlineStr">
        <is>
          <t>DEFINITION (SIMPLE):
Get Data opens a list of connectors that let Power BI load data from files, databases, online services and web sources.
HOW / WHY IT WORKS:
Common sources include Excel, CSV, SQL Server, SharePoint, web pages and cloud services. After you choose a source, you can Load the data directly or choose Transform Data to open Power Query and clean it first.
SIMPLE EXPLANATION (HINGLISH):
Click Get Data, choose the kind of source, and sign in or pick the file. Then choose Load, or Transform Data to clean it first.
REAL-LIFE ANALOGY:
It is like a travel adapter set that fits sockets in many countries.
FORMULA / RULE:
Get Data → choose connector → Load or Transform Data
EXAMPLE 1:
Connecting to an Excel workbook that holds monthly sales.
EXAMPLE 2:
Connecting to a SQL Server database for customer records.
EXAMPLE 3:
Connecting to a web page that has a table of exchange rates.
RELATED CONCEPTS:
Power Query, Import vs DirectQuery, gateway, connector
FAMILY / GROUP:
connector, source, load, transform, credentials
WHERE IT IS USED:
Starting every report | Refreshing data | Combining files
MINI CONVERSATION:
A: My data is in a CSV file, how do I bring it in? | B: Use Get Data, choose Text/CSV, and pick Transform Data if it needs cleaning.
COMMON MISTAKE:
✗ Power BI can only load data from Excel files → ✓ Power BI has many connectors, including databases, cloud services and web sources
DON'T CONFUSE WITH:
Load vs Transform Data: Load brings the data in as it is, Transform Data lets you clean it in Power Query first.
AVOID / DON'T:
Do not load a huge raw table without removing columns you do not need.
MEMORY TRICK:
Get Data gets the data in.
REAL LIFE: PROJECT / WORK:
Connecting a report to a company SQL database and loading only the columns the team needs.
REAL LIFE: INTERVIEW / EXAM:
An interviewer may ask: What kinds of data sources can Power BI connect to?
REAL LIFE: DAILY LIFE:
It is like a travel adapter set that fits sockets in different countries.</t>
        </is>
      </c>
      <c r="C7" s="29" t="inlineStr">
        <is>
          <t>01_Basics_Beginner_PBI-006</t>
        </is>
      </c>
    </row>
    <row r="8" ht="409" customHeight="1">
      <c r="A8" s="29" t="inlineStr">
        <is>
          <t>Import vs DirectQuery
Which two storage modes decide whether Power BI keeps a copy of your data or asks the source every time?</t>
        </is>
      </c>
      <c r="B8" s="29" t="inlineStr">
        <is>
          <t>DEFINITION (SIMPLE):
Import loads a compressed copy of the data into Power BI, while DirectQuery sends queries to the source each time a visual is used.
HOW / WHY IT WORKS:
In Import mode the data is stored in the model's fast in-memory engine and refreshed on a schedule, so visuals are quick and all DAX features work. In DirectQuery mode nothing is stored, each visual sends a query to the source, so data is current but slower and some features are limited.
SIMPLE EXPLANATION (HINGLISH):
Import copies the data into Power BI, which is fast but needs refreshing. DirectQuery leaves the data where it is and asks every time, which is current but slower.
REAL-LIFE ANALOGY:
Import is photocopying the book, DirectQuery is visiting the library each time.
FORMULA / RULE:
Import = copy + fast + scheduled refresh. DirectQuery = live + slower + source does the work.
EXAMPLE 1:
A monthly Excel sales file is loaded in Import mode.
EXAMPLE 2:
A huge live transactions database is queried with DirectQuery.
EXAMPLE 3:
A report mixes both modes in one composite model.
RELATED CONCEPTS:
refresh, composite model, aggregations, gateway
FAMILY / GROUP:
Import, DirectQuery, Live connection, storage mode, refresh
WHERE IT IS USED:
Choosing report performance | Large data | Real-time reporting
MINI CONVERSATION:
A: Our database is huge and changes every second. | B: Use DirectQuery so each visual asks the source for current data.
COMMON MISTAKE:
✗ DirectQuery is always better because the data is live → ✓ DirectQuery is usually slower and has feature limits, so Import is the better default
DON'T CONFUSE WITH:
Import vs DirectQuery: Import stores a copy and needs refresh, DirectQuery stores nothing and queries the source each time.
AVOID / DON'T:
Do not choose DirectQuery just to avoid scheduling a refresh.
MEMORY TRICK:
Import imports a copy, DirectQuery directly asks.
REAL LIFE: PROJECT / WORK:
Using Import for a monthly finance model and DirectQuery for a live operations table.
REAL LIFE: INTERVIEW / EXAM:
An interviewer may ask: When would you choose DirectQuery over Import?
REAL LIFE: DAILY LIFE:
It is like photocopying a book versus going to the library every time.</t>
        </is>
      </c>
      <c r="C8" s="29" t="inlineStr">
        <is>
          <t>01_Basics_Beginner_PBI-007</t>
        </is>
      </c>
    </row>
    <row r="9" ht="409" customHeight="1">
      <c r="A9" s="29" t="inlineStr">
        <is>
          <t>Publish and share
What do you do in Power BI Desktop to put a finished report online so other people can open it?</t>
        </is>
      </c>
      <c r="B9" s="29" t="inlineStr">
        <is>
          <t>DEFINITION (SIMPLE):
Publishing sends a report and its model from Desktop to a workspace in the Power BI Service, where it can be shared.
HOW / WHY IT WORKS:
In Desktop you choose Publish and select a workspace. In the Service you can then share the report by link, give access to people, or distribute it through an app. Viewers usually need a licence or the content must be in suitable capacity.
SIMPLE EXPLANATION (HINGLISH):
Click Publish in Desktop, choose a workspace, and your report goes to the cloud. From there you share it with people or package it as an app.
REAL-LIFE ANALOGY:
It is like moving a painting from your studio into a public gallery.
FORMULA / RULE:
Desktop → Publish → workspace → share or app
EXAMPLE 1:
Publishing a sales report to the Sales workspace.
EXAMPLE 2:
Sharing a link to the report with three managers.
EXAMPLE 3:
Packaging several reports into an app for the whole department.
RELATED CONCEPTS:
workspace, app, licence, refresh
FAMILY / GROUP:
publish, share, workspace, app, link
WHERE IT IS USED:
Distributing reports | Team collaboration | Stakeholder updates
MINI CONVERSATION:
A: How do my managers see this report? | B: Publish it to a workspace and share it with them or package it as an app.
COMMON MISTAKE:
✗ Emailing the .pbix file is the best way to share a report → ✓ Publishing to a workspace lets people view one live, refreshed version without copies
DON'T CONFUSE WITH:
Publish vs share: publishing puts the report in the Service, sharing gives people access to it.
AVOID / DON'T:
Do not email copies of the report file, versions will drift apart.
MEMORY TRICK:
Publish puts it up, share lets people in.
REAL LIFE: PROJECT / WORK:
Publishing a monthly report to a workspace and giving the leadership team access.
REAL LIFE: INTERVIEW / EXAM:
An interviewer may ask: How do you share a Power BI report with colleagues?
REAL LIFE: DAILY LIFE:
It is like moving a painting from a studio to a gallery.</t>
        </is>
      </c>
      <c r="C9" s="29" t="inlineStr">
        <is>
          <t>01_Basics_Beginner_PBI-008</t>
        </is>
      </c>
    </row>
    <row r="10" ht="409" customHeight="1">
      <c r="A10" s="29" t="inlineStr">
        <is>
          <t>.pbix and .pbit files
Which two Power BI Desktop file types hold a full report with data, and a reusable template without data?</t>
        </is>
      </c>
      <c r="B10" s="29" t="inlineStr">
        <is>
          <t>DEFINITION (SIMPLE):
A .pbix file stores the report, the model and the loaded data, while a .pbit template stores the report and model structure without the data.
HOW / WHY IT WORKS:
A .pbix is the normal Power BI Desktop file. A .pbit template keeps the queries, model, measures and visuals but leaves out the data, so when you open it you are asked for parameter values and the data loads fresh.
SIMPLE EXPLANATION (HINGLISH):
Save as .pbix to keep everything with its data. Save as .pbit when you want to share the design and rebuild it on new data.
REAL-LIFE ANALOGY:
It is like a finished cake versus the recipe that lets you bake it again.
FORMULA / RULE:
.pbix = report + model + data. .pbit = report + model, no data.
EXAMPLE 1:
A monthly sales report saved as a .pbix file.
EXAMPLE 2:
A template saved as .pbit and sent to regional teams who load their own data.
EXAMPLE 3:
Opening a .pbit and entering a server name parameter before the data loads.
RELATED CONCEPTS:
parameters, publish, template, Power BI Desktop
FAMILY / GROUP:
pbix, pbit, template, file, parameter
WHERE IT IS USED:
Saving work | Reusing designs | Handing a report to others
MINI CONVERSATION:
A: I want others to use my layout with their own data. | B: Save it as a .pbit template so the data is not included.
COMMON MISTAKE:
✗ A .pbit template contains the loaded data too → ✓ A .pbit stores the structure only and asks you to load the data again
DON'T CONFUSE WITH:
.pbix vs .pbit: .pbix includes data, .pbit does not.
AVOID / DON'T:
Do not share a .pbix that contains confidential data by mistake.
MEMORY TRICK:
pbix is the Box with data, pbit is the Blueprint.
REAL LIFE: PROJECT / WORK:
Sending a .pbit template to branch offices so each loads its own figures into the same design.
REAL LIFE: INTERVIEW / EXAM:
An interviewer may ask: What is the difference between a .pbix and a .pbit file?
REAL LIFE: DAILY LIFE:
It is like a finished cake versus the recipe card.</t>
        </is>
      </c>
      <c r="C10" s="29" t="inlineStr">
        <is>
          <t>01_Basics_Beginner_PBI-009</t>
        </is>
      </c>
    </row>
    <row r="11" ht="409" customHeight="1">
      <c r="A11" s="29" t="inlineStr">
        <is>
          <t>Power Query Editor
Which window inside Power BI lets you clean and reshape data before it is loaded into the model?</t>
        </is>
      </c>
      <c r="B11" s="29" t="inlineStr">
        <is>
          <t>DEFINITION (SIMPLE):
The Power Query Editor is the tool where you connect to data, clean and transform it, and then load it into the model.
HOW / WHY IT WORKS:
You open it with Transform Data. It records each action as a step written in the M language. Because the steps are saved, the same cleaning runs again automatically on each refresh, so you never repeat the work.
SIMPLE EXPLANATION (HINGLISH):
Power Query is the cleaning room. You remove bad rows, fix types and reshape tables, and every action is remembered so it runs again when data refreshes.
REAL-LIFE ANALOGY:
It works like a car wash that every car passes through before entering the showroom.
FORMULA / RULE:
Connect → transform (steps recorded) → load to the model
EXAMPLE 1:
Removing blank rows from an Excel export.
EXAMPLE 2:
Splitting a full name column into first name and last name.
EXAMPLE 3:
Changing a text column of dates into a proper date column.
RELATED CONCEPTS:
Applied Steps, M language, query folding, Transform Data
FAMILY / GROUP:
query, step, transform, load, refresh
WHERE IT IS USED:
Data cleaning | Combining files | Preparing models
MINI CONVERSATION:
A: The monthly file has extra header rows every time. | B: Remove them in Power Query once, and the step will repeat on each refresh.
COMMON MISTAKE:
✗ Cleaning in Power Query changes the original source file → ✓ Power Query never alters the source, it only shapes the copy that is loaded
DON'T CONFUSE WITH:
Power Query vs DAX: Power Query shapes data before loading, DAX calculates on the loaded model.
AVOID / DON'T:
Do not clean data by hand in the source file when Power Query can do it repeatably.
MEMORY TRICK:
Power Query is the wash before the showroom.
REAL LIFE: PROJECT / WORK:
Cleaning a monthly sales export in Power Query so it loads in the same shape every time.
REAL LIFE: INTERVIEW / EXAM:
An interviewer may ask: What is Power Query used for in Power BI?
REAL LIFE: DAILY LIFE:
It is like a car wash that every car passes through before the showroom.</t>
        </is>
      </c>
      <c r="C11" s="29" t="inlineStr">
        <is>
          <t>02_Power_Query_Beginner_PBI-010</t>
        </is>
      </c>
    </row>
    <row r="12" ht="409" customHeight="1">
      <c r="A12" s="29" t="inlineStr">
        <is>
          <t>Applied Steps
Which panel on the right of the Power Query Editor lists every transformation in the order it ran?</t>
        </is>
      </c>
      <c r="B12" s="29" t="inlineStr">
        <is>
          <t>DEFINITION (SIMPLE):
Applied Steps is the ordered list of transformations that Power Query will run, one after another, every time the data refreshes.
HOW / WHY IT WORKS:
Each click that changes the data adds a step. Clicking an earlier step shows the data as it was then, and you can delete, rename or reorder steps. Deleting a step that later steps depend on can cause errors.
SIMPLE EXPLANATION (HINGLISH):
Applied Steps shows your cleaning actions in order, like a recipe. You can go back, change or remove any step.
REAL-LIFE ANALOGY:
It is like a recipe card listing each cooking step in order.
FORMULA / RULE:
Source → step 2 → step 3 → … each one feeds the next
EXAMPLE 1:
Source, Promoted Headers and Changed Type listed in order.
EXAMPLE 2:
Clicking the Promoted Headers step to see the table before types were changed.
EXAMPLE 3:
Deleting a Removed Columns step to bring a column back.
RELATED CONCEPTS:
Power Query Editor, M language, query folding, transform
FAMILY / GROUP:
step, query, source, navigation, transform
WHERE IT IS USED:
Reviewing cleaning logic | Fixing errors | Documenting a query
MINI CONVERSATION:
A: One column vanished from my table. | B: Check Applied Steps and delete the Removed Columns step to bring it back.
COMMON MISTAKE:
✗ Applied Steps only record what happened and cannot be changed → ✓ You can rename, reorder, edit or delete steps, and the query reruns with the new order
DON'T CONFUSE WITH:
Applied Steps vs Undo: Undo removes your last action once, Applied Steps keeps the whole editable history.
AVOID / DON'T:
Do not delete an early step without checking the steps that depend on it.
MEMORY TRICK:
Steps run top to bottom like a recipe.
REAL LIFE: PROJECT / WORK:
Reading Applied Steps to find which step changed a column's type wrongly.
REAL LIFE: INTERVIEW / EXAM:
An interviewer may ask: How does Power Query remember what you did to the data?
REAL LIFE: DAILY LIFE:
It is like a recipe card with the cooking steps in order.</t>
        </is>
      </c>
      <c r="C12" s="29" t="inlineStr">
        <is>
          <t>02_Power_Query_Beginner_PBI-011</t>
        </is>
      </c>
    </row>
    <row r="13" ht="409" customHeight="1">
      <c r="A13" s="29" t="inlineStr">
        <is>
          <t>Data types
Why must a column be marked as Whole Number, Text or Date in Power Query before you build calculations on it?</t>
        </is>
      </c>
      <c r="B13" s="29" t="inlineStr">
        <is>
          <t>DEFINITION (SIMPLE):
A data type tells Power BI what kind of values a column holds, such as whole number, decimal, text, date or true/false.
HOW / WHY IT WORKS:
The icon beside each column header shows its type. A number stored as text cannot be summed, and a date stored as text cannot be used in time intelligence. You set types with the type icon or Transform, Data Type, and Power Query adds a Changed Type step.
SIMPLE EXPLANATION (HINGLISH):
Types tell Power BI what is inside a column. If a number is stored as text it cannot be added, so always check the icons at the top of the columns.
REAL-LIFE ANALOGY:
It is like labelling kitchen jars so you do not put salt in your tea.
FORMULA / RULE:
Number icon 123 → maths works, text icon ABC → no maths, calendar icon → date functions work
EXAMPLE 1:
Changing Amount from text to Decimal Number so it can be summed.
EXAMPLE 2:
Changing OrderDate from text to Date so it can be grouped by month.
EXAMPLE 3:
Changing an IsPaid column to True/False.
RELATED CONCEPTS:
Applied Steps, Date table, DAX, locale
FAMILY / GROUP:
type, text, number, date, boolean
WHERE IT IS USED:
First step after loading | Fixing wrong totals | Preparing date columns
MINI CONVERSATION:
A: My sales total shows zero. | B: The Amount column is probably Text, change it to a number type.
COMMON MISTAKE:
✗ If a column looks like numbers, Power BI can add them → ✓ A column must have a number data type, because text that looks like numbers cannot be summed
DON'T CONFUSE WITH:
Text vs number: text sorts alphabetically and cannot be added, numbers sort numerically and can be summed.
AVOID / DON'T:
Do not leave dates as text, time intelligence will not work.
MEMORY TRICK:
Type decides what the column can do.
REAL LIFE: PROJECT / WORK:
Changing the type of an imported Amount column so the sales total became correct.
REAL LIFE: INTERVIEW / EXAM:
An interviewer may ask: Why are data types important in Power BI?
REAL LIFE: DAILY LIFE:
It is like labelling jars so that you never mix up salt and sugar.</t>
        </is>
      </c>
      <c r="C13" s="29" t="inlineStr">
        <is>
          <t>02_Power_Query_Beginner_PBI-012</t>
        </is>
      </c>
    </row>
    <row r="14" ht="409" customHeight="1">
      <c r="A14" s="29" t="inlineStr">
        <is>
          <t>Remove duplicates and errors (Table.Distinct)
How do you keep only one row for each key value, and drop rows that contain errors, in Power Query?
let
    Source = Sales,
    NoDuplicates = Table.Distinct(Source, {"OrderID"}),
    NoErrors = Table.RemoveRowsWithErrors(NoDuplicates, {"Amount"})
in
    NoErrors</t>
        </is>
      </c>
      <c r="B14" s="29" t="inlineStr">
        <is>
          <t>MEANING (SHORT):
Table.Distinct keeps one row for each unique combination of the chosen columns, and Table.RemoveRowsWithErrors drops rows that hold errors.
CODE:
let
    Source = Sales,
    NoDuplicates = Table.Distinct(Source, {"OrderID"}),
    NoErrors = Table.RemoveRowsWithErrors(NoDuplicates, {"Amount"})
in
    NoErrors
OUTPUT:
A table with each OrderID once and without rows where Amount had an error.
EXPLANATION:
Table.Distinct compares only the columns you list. If you give no column list it compares whole rows. Remove Errors checks the columns you select for error values and removes those rows. Both are recorded as Applied Steps.
SIMPLE EXPLANATION (HINGLISH):
Select the key column and choose Remove Duplicates, and Power Query keeps the first row for each value. Use Remove Errors to drop rows with broken values.
REAL-LIFE ANALOGY:
It is like a sieve that lets one copy of each item through and catches the broken ones.
SYNTAX PATTERN:
Table.Distinct(table, {"Column"})
ANATOMY:
Table.Distinct = function | table = the data | {"Column"} = columns that must be unique
EXAMPLE 1:
Table.Distinct(Sales, {"OrderID"})
EXAMPLE 2:
Table.Distinct(Customers, {"Email"})
EXAMPLE 3:
Table.RemoveRowsWithErrors(Sales, {"Amount"})
VARIATION:
Table.Distinct(Sales)   // whole rows must match
Table.RemoveRowsWithErrors(Sales)   // check every column
USED WITH:
Table.RemoveRowsWithErrors, Table.SelectRows, Applied Steps
RELATED CONCEPTS:
Merge queries, Keep Rows, Group By
ALTERNATIVES:
Group By to count or keep one row per key
WHERE IT IS USED:
Cleaning exports | Preparing dimension tables | Fixing repeated records
MINI CONVERSATION:
A: Each customer appears three times in my list. | B: Select the CustomerID column and use Remove Duplicates to keep one row each.
COMMON MISTAKE:
✗ Remove Duplicates compares every column of the row → ✓ It compares only the columns you selected, so choose the key column first
COMMONLY CONFUSED WITH:
Remove Duplicates vs Remove Errors: the first drops repeated keys, the second drops rows with error values.
AVOID / DON'T:
Do not remove duplicates on only part of a key and lose different valid rows.
WRONG CODE:
Table.Distinct(Sales, OrderID)
RIGHT CODE:
Table.Distinct(Sales, {"OrderID"})
MEMORY TRICK:
Distinct keeps one of each.
REAL LIFE: PROJECT / WORK:
Removing duplicate customer rows before using the table as a dimension.
REAL LIFE: INTERVIEW / EXAM:
An interviewer may ask: How does Remove Duplicates decide which rows are duplicates?
REAL LIFE: DAILY LIFE:
It is like keeping only one copy of each key in a contact list.</t>
        </is>
      </c>
      <c r="C14" s="29" t="inlineStr">
        <is>
          <t>02_Power_Query_Beginner_PBI-013</t>
        </is>
      </c>
    </row>
    <row r="15" ht="409" customHeight="1">
      <c r="A15" s="29" t="inlineStr">
        <is>
          <t>Merge queries (joins)
How do you combine two tables side by side using a matching column, like a SQL join?
let
    Merged = Table.NestedJoin(Orders, {"CustomerID"}, Customers, {"CustomerID"}, "Customer", JoinKind.LeftOuter),
    Expanded = Table.ExpandTableColumn(Merged, "Customer", {"Name"}, {"Customer Name"})
in
    Expanded</t>
        </is>
      </c>
      <c r="B15" s="29" t="inlineStr">
        <is>
          <t>MEANING (SHORT):
A merge joins two queries into one by matching key columns, using a chosen join kind.
CODE:
let
    Merged = Table.NestedJoin(Orders, {"CustomerID"}, Customers, {"CustomerID"}, "Customer", JoinKind.LeftOuter),
    Expanded = Table.ExpandTableColumn(Merged, "Customer", {"Name"}, {"Customer Name"})
in
    Expanded
OUTPUT:
Each order row now has a Customer Name column taken from the Customers table.
EXPLANATION:
The merge adds a column that holds the matching rows of the second table, which you then expand to pick the columns you want. Join kinds are Left Outer, Right Outer, Full Outer, Inner, Left Anti and Right Anti, and they decide which rows are kept.
SIMPLE EXPLANATION (HINGLISH):
Merge Queries lets you pick two tables and the column they share. Choose a join kind, and then expand the new column to bring in the fields you need.
REAL-LIFE ANALOGY:
It is like taping two sheets side by side and matching rows by an ID.
SYNTAX PATTERN:
Table.NestedJoin(left, {key}, right, {key}, "NewColumn", JoinKind.LeftOuter)
ANATOMY:
left and right = the two tables | {key} = matching columns | JoinKind = which rows to keep
EXAMPLE 1:
Table.NestedJoin(Orders, {"CustomerID"}, Customers, {"CustomerID"}, "Customer", JoinKind.LeftOuter)
EXAMPLE 2:
Table.NestedJoin(Orders, {"ProductID"}, Products, {"ProductID"}, "Product", JoinKind.Inner)
EXAMPLE 3:
Table.NestedJoin(Orders, {"CustomerID"}, Customers, {"CustomerID"}, "Match", JoinKind.LeftAnti)
VARIATION:
JoinKind.LeftOuter   // all left rows, matches from right
JoinKind.Inner   // only matching rows
JoinKind.LeftAnti   // left rows with no match
USED WITH:
Table.ExpandTableColumn, JoinKind, Append queries
RELATED CONCEPTS:
Append queries, relationships, star schema
ALTERNATIVES:
Create a relationship in the model instead of merging
WHERE IT IS USED:
Adding lookup columns | Finding unmatched records | Building dimension tables
MINI CONVERSATION:
A: I need the customer name next to each order. | B: Merge Orders with Customers on CustomerID using a Left Outer join and expand the Name column.
COMMON MISTAKE:
✗ A merge stacks two tables on top of each other → ✓ A merge joins tables side by side by matching a key, while Append is what stacks rows
COMMONLY CONFUSED WITH:
Merge vs Append: merge adds columns by matching a key, append adds rows by stacking tables.
AVOID / DON'T:
Do not merge when a model relationship would do, it makes the table heavier.
WRONG CODE:
Table.NestedJoin(Orders, {"CustomerID"}, Customers, "Customer", JoinKind.LeftOuter)
RIGHT CODE:
Table.NestedJoin(Orders, {"CustomerID"}, Customers, {"CustomerID"}, "Customer", JoinKind.LeftOuter)
MEMORY TRICK:
Merge matches by key, side by side.
REAL LIFE: PROJECT / WORK:
Merging an Orders query with a Customers query to add region information.
REAL LIFE: INTERVIEW / EXAM:
An interviewer may ask: What join kinds does Power Query offer, and what does each return?
REAL LIFE: DAILY LIFE:
It is like matching two lists of names by an ID number.</t>
        </is>
      </c>
      <c r="C15" s="29" t="inlineStr">
        <is>
          <t>02_Power_Query_Intermediate_PBI-014</t>
        </is>
      </c>
    </row>
    <row r="16" ht="409" customHeight="1">
      <c r="A16" s="29" t="inlineStr">
        <is>
          <t>Append queries (Table.Combine)
How do you stack the rows of several tables with the same columns into one long table?
let
    Combined = Table.Combine({Sales2024, Sales2025})
in
    Combined</t>
        </is>
      </c>
      <c r="B16" s="29" t="inlineStr">
        <is>
          <t>MEANING (SHORT):
Append queries stacks the rows of two or more tables into a single table.
CODE:
let
    Combined = Table.Combine({Sales2024, Sales2025})
in
    Combined
OUTPUT:
One table that contains all rows of Sales2024 followed by all rows of Sales2025.
EXPLANATION:
Table.Combine takes a list of tables and lines up columns by name. Columns that do not exist in some tables are added and filled with null. You can append a whole folder of files too.
SIMPLE EXPLANATION (HINGLISH):
Append puts one table underneath another. It matches columns by their names, so keep the names identical.
REAL-LIFE ANALOGY:
It is like stacking sheets of paper to make one long pile.
SYNTAX PATTERN:
Table.Combine({Table1, Table2})
ANATOMY:
Table.Combine = function | {Table1, Table2} = list of tables to stack
EXAMPLE 1:
Table.Combine({Sales2024, Sales2025})
EXAMPLE 2:
Table.Combine({NorthSales, SouthSales, EastSales})
EXAMPLE 3:
Table.Combine({Sales2024, Sales2025, Sales2026})
VARIATION:
Table.Combine({A, B, C})   // any number of tables
Append as New   // create a new query instead of changing one
USED WITH:
Merge queries, Folder connector, Table.PromoteHeaders
RELATED CONCEPTS:
Merge queries, Folder, Combine Files
ALTERNATIVES:
Combine Files from a folder
WHERE IT IS USED:
Monthly files | Regional data | Yearly archives
MINI CONVERSATION:
A: I have twelve monthly sales files. | B: Append them into one table so you can report on the whole year.
COMMON MISTAKE:
✗ Append adds new columns from the second table → ✓ Append adds rows, and it matches columns by name
COMMONLY CONFUSED WITH:
Append vs Merge: append stacks rows, merge joins columns by a key.
AVOID / DON'T:
Do not append tables whose column names differ by spelling or spacing.
WRONG CODE:
Table.Combine(Sales2024, Sales2025)
RIGHT CODE:
Table.Combine({Sales2024, Sales2025})
MEMORY TRICK:
Append means adding rows underneath the first table.
REAL LIFE: PROJECT / WORK:
Appending regional sales tables into one company-wide sales table.
REAL LIFE: INTERVIEW / EXAM:
An interviewer may ask: What is the difference between Append and Merge?
REAL LIFE: DAILY LIFE:
It is like stacking sheets of paper into one tall pile.</t>
        </is>
      </c>
      <c r="C16" s="29" t="inlineStr">
        <is>
          <t>02_Power_Query_Beginner_PBI-015</t>
        </is>
      </c>
    </row>
    <row r="17" ht="409" customHeight="1">
      <c r="A17" s="29" t="inlineStr">
        <is>
          <t>Pivot and Unpivot
Which transformation turns many month columns into rows so the table becomes tall and easy to analyse?
let
    Unpivoted = Table.UnpivotOtherColumns(Source, {"Product"}, "Month", "Sales")
in
    Unpivoted</t>
        </is>
      </c>
      <c r="B17" s="29" t="inlineStr">
        <is>
          <t>MEANING (SHORT):
Unpivot turns columns into rows, and Pivot turns row values into columns.
CODE:
let
    Unpivoted = Table.UnpivotOtherColumns(Source, {"Product"}, "Month", "Sales")
in
    Unpivoted
OUTPUT:
A table with the columns Product, Month and Sales, with one row for each product and month.
EXPLANATION:
A wide table with a column per month is hard to chart. Unpivot Other Columns keeps the columns you name and turns the rest into two columns, an attribute column and a value column. Pivot does the opposite, spreading unique values into new columns.
SIMPLE EXPLANATION (HINGLISH):
Unpivot makes a wide table tall. Pick the columns to keep, and all the others become Month and Sales rows. Pivot goes the other way.
REAL-LIFE ANALOGY:
It is like tipping a wide table on its side so it becomes a tall list.
SYNTAX PATTERN:
Table.UnpivotOtherColumns(table, {keepColumns}, "AttributeName", "ValueName")
ANATOMY:
keepColumns = columns that stay | "AttributeName" = new column for old headers | "ValueName" = new column for values
EXAMPLE 1:
Table.UnpivotOtherColumns(Source, {"Product"}, "Month", "Sales")
EXAMPLE 2:
Table.UnpivotOtherColumns(Budget, {"Department", "Year"}, "Quarter", "Amount")
EXAMPLE 3:
Table.UnpivotColumns(Source, {"Jan", "Feb", "Mar"}, "Month", "Sales")
VARIATION:
Table.UnpivotColumns(Source, {"Jan", "Feb"}, "Month", "Sales")   // only named columns
Table.Pivot(...)   // rows back to columns
USED WITH:
Table.PromoteHeaders, Changed Type, Group By
RELATED CONCEPTS:
Transpose, Group By, star schema
ALTERNATIVES:
Transpose for a simple flip
WHERE IT IS USED:
Spreadsheet-style exports | Budget tables | Preparing data for charts
MINI CONVERSATION:
A: My file has one column for every month. | B: Unpivot the month columns so you get a Month column and a Sales column.
COMMON MISTAKE:
✗ Unpivot and Transpose do the same thing → ✓ Unpivot turns chosen columns into attribute and value rows, while Transpose flips the whole table
COMMONLY CONFUSED WITH:
Unpivot vs Transpose: unpivot makes a tidy tall table, transpose swaps rows and columns.
AVOID / DON'T:
Do not unpivot specific month names if new months will be added, use Unpivot Other Columns.
WRONG CODE:
Table.UnpivotOtherColumns(Source, "Product", "Month", "Sales")
RIGHT CODE:
Table.UnpivotOtherColumns(Source, {"Product"}, "Month", "Sales")
MEMORY TRICK:
Unpivot makes the table tall.
REAL LIFE: PROJECT / WORK:
Unpivoting a budget spreadsheet with one column per month so it can be charted by month.
REAL LIFE: INTERVIEW / EXAM:
An interviewer may ask: Why would you unpivot a table in Power Query?
REAL LIFE: DAILY LIFE:
It is like tipping a wide table onto its side to make a list.</t>
        </is>
      </c>
      <c r="C17" s="29" t="inlineStr">
        <is>
          <t>02_Power_Query_Intermediate_PBI-016</t>
        </is>
      </c>
    </row>
    <row r="18" ht="409" customHeight="1">
      <c r="A18" s="29" t="inlineStr">
        <is>
          <t>M language (let … in)
Which language sits behind every Power Query step, and how does its let … in structure work?
let
    Source = {1, 2, 3},
    Doubled = List.Transform(Source, each _ * 2)
in
    Doubled</t>
        </is>
      </c>
      <c r="B18" s="29" t="inlineStr">
        <is>
          <t>MEANING (SHORT):
M is Power Query's formula language, where let defines named steps and in returns the final one.
CODE:
let
    Source = {1, 2, 3},
    Doubled = List.Transform(Source, each _ * 2)
in
    Doubled
OUTPUT:
{2, 4, 6}
EXPLANATION:
Each name in the let section is a step that can use earlier steps. The in section says which step is the query result. M is case-sensitive, so Table.Distinct is not the same as table.distinct. The each keyword makes a small function and the underscore stands for the current item.
SIMPLE EXPLANATION (HINGLISH):
M code is a list of named steps inside let. The line after in tells Power Query which step to return. Every click you make writes a step like this for you.
REAL-LIFE ANALOGY:
It is like a recipe where each step has a name and the last line says which dish to serve.
SYNTAX PATTERN:
let Step1 = ..., Step2 = ... in Step2
ANATOMY:
let = start the steps | Step1 = Expression = a named step | in = the step to return
EXAMPLE 1:
let Source = {1, 2, 3} in Source
EXAMPLE 2:
let Total = List.Sum({10, 20, 30}) in Total
EXAMPLE 3:
let Name = Text.Upper("sales") in Name
VARIATION:
each _ * 2   // a short function over each item
#"Changed Type"   // a step name with spaces needs #""
USED WITH:
Advanced Editor, each, List functions, Table functions
RELATED CONCEPTS:
Applied Steps, DAX, query folding
ALTERNATIVES:
Use the buttons and let Power Query write the M code
WHERE IT IS USED:
Custom columns | Advanced Editor | Reusable functions
MINI CONVERSATION:
A: Where can I see the code behind my steps? | B: Open the Advanced Editor and you will see the M code.
COMMON MISTAKE:
✗ M and DAX are the same language → ✓ M shapes data in Power Query before loading, while DAX calculates on the loaded model
COMMONLY CONFUSED WITH:
M vs DAX: M prepares data, DAX analyses it.
AVOID / DON'T:
Do not forget that M is case-sensitive.
WRONG CODE:
Let Source = {1, 2, 3} In Source
RIGHT CODE:
let Source = {1, 2, 3} in Source
MEMORY TRICK:
let names the steps, in picks the result.
REAL LIFE: PROJECT / WORK:
Editing M code in the Advanced Editor to add a custom step the buttons could not do.
REAL LIFE: INTERVIEW / EXAM:
An interviewer may ask: What is the difference between M and DAX?
REAL LIFE: DAILY LIFE:
It is like a recipe whose last line names the dish to serve.</t>
        </is>
      </c>
      <c r="C18" s="29" t="inlineStr">
        <is>
          <t>02_Power_Query_Intermediate_PBI-017</t>
        </is>
      </c>
    </row>
    <row r="19" ht="409" customHeight="1">
      <c r="A19" s="29" t="inlineStr">
        <is>
          <t>Parameters
What can you create in Power Query to hold a value such as a server name or a date that you can change in one place?</t>
        </is>
      </c>
      <c r="B19" s="29" t="inlineStr">
        <is>
          <t>DEFINITION (SIMPLE):
A parameter is a named value in Power Query that queries and filters can use, and that you can change without editing the queries.
HOW / WHY IT WORKS:
You create parameters with Manage Parameters, choosing a name, a type and a current value. Queries can refer to them in file paths, filters or custom columns. Parameters are also used for incremental refresh and in templates.
SIMPLE EXPLANATION (HINGLISH):
Make a parameter once, such as FolderPath, and use it everywhere. When the folder changes, you change one value and all queries follow.
REAL-LIFE ANALOGY:
It is like a dial on a control panel that changes many machines at once.
FORMULA / RULE:
Manage Parameters → name + type + value → use it in queries
EXAMPLE 1:
A FilePath parameter that holds the location of the sales file.
EXAMPLE 2:
A ServerName parameter used to switch between test and production databases.
EXAMPLE 3:
A StartDate parameter that filters a table to recent dates.
RELATED CONCEPTS:
incremental refresh, templates, Power Query Editor
FAMILY / GROUP:
parameter, value, query, template
WHERE IT IS USED:
Switching environments | Incremental refresh | Reusable templates
MINI CONVERSATION:
A: The file moved to a new folder. | B: If it were stored in a parameter you would only change that one value.
COMMON MISTAKE:
✗ Parameters are only used in DAX → ✓ Power Query parameters are used in queries, filters and file paths before the data loads
DON'T CONFUSE WITH:
Parameter vs hard-coded value: a parameter is changed in one place, a hard-coded value must be edited in every query.
AVOID / DON'T:
Do not paste the same file path into many queries.
MEMORY TRICK:
A parameter is a dial you turn once.
REAL LIFE: PROJECT / WORK:
Using a server parameter to move a report from a test database to production.
REAL LIFE: INTERVIEW / EXAM:
An interviewer may ask: Where have you used parameters in Power BI?
REAL LIFE: DAILY LIFE:
It is like a dial on a control panel that changes many machines at once.</t>
        </is>
      </c>
      <c r="C19" s="29" t="inlineStr">
        <is>
          <t>02_Power_Query_Intermediate_PBI-018</t>
        </is>
      </c>
    </row>
    <row r="20" ht="409" customHeight="1">
      <c r="A20" s="29" t="inlineStr">
        <is>
          <t>Query folding
What is it called when Power Query turns your steps into one native query that the data source runs itself?</t>
        </is>
      </c>
      <c r="B20" s="29" t="inlineStr">
        <is>
          <t>DEFINITION (SIMPLE):
Query folding is when Power Query translates your steps into a single query that the data source runs, so less data travels to Power BI.
HOW / WHY IT WORKS:
When folding works, steps like filtering rows and removing columns become part of a SQL statement. Some steps, such as adding an index or certain custom functions, can break folding, and later steps then run inside Power BI. You can right-click a step and choose View Native Query to check.
SIMPLE EXPLANATION (HINGLISH):
Folding means the database does the filtering and shaping, and only the result comes to Power BI. It makes refreshes much faster, and you can check it with View Native Query.
REAL-LIFE ANALOGY:
It is like asking the warehouse to pack the exact order instead of carrying everything home to sort it.
FORMULA / RULE:
Foldable steps early → database does the work → faster refresh
EXAMPLE 1:
A filter step that becomes a WHERE clause in the SQL sent to the database.
EXAMPLE 2:
Removing columns that becomes a narrower SELECT list.
EXAMPLE 3:
An added index column that breaks folding so later steps run locally.
RELATED CONCEPTS:
Import vs DirectQuery, incremental refresh, Applied Steps
FAMILY / GROUP:
folding, native query, SQL, pushdown
WHERE IT IS USED:
Large databases | Refresh performance | Incremental refresh
MINI CONVERSATION:
A: My refresh from SQL takes an hour. | B: Check whether query folding is broken, and move the filter steps earlier.
COMMON MISTAKE:
✗ Query folding works for every data source → ✓ Folding mainly works with sources that have their own query language, such as relational databases, and not with plain Excel or CSV files
DON'T CONFUSE WITH:
Folded vs not folded: with folding the source does the work, without it Power BI downloads the data and does the work itself.
AVOID / DON'T:
Do not add steps that break folding before filters on a huge table.
MEMORY TRICK:
Folding means the source does the work.
REAL LIFE: PROJECT / WORK:
Reordering steps so filters folded into SQL and a nightly refresh dropped from an hour to minutes.
REAL LIFE: INTERVIEW / EXAM:
An interviewer may ask: What is query folding and how do you check it?
REAL LIFE: DAILY LIFE:
It is like asking a warehouse to pack the exact order instead of carrying everything home.</t>
        </is>
      </c>
      <c r="C20" s="29" t="inlineStr">
        <is>
          <t>02_Power_Query_Advanced_PBI-019</t>
        </is>
      </c>
    </row>
    <row r="21" ht="409" customHeight="1">
      <c r="A21" s="29" t="inlineStr">
        <is>
          <t>Star schema
Which model layout puts one central table of events in the middle, surrounded by smaller descriptive tables?</t>
        </is>
      </c>
      <c r="B21" s="29" t="inlineStr">
        <is>
          <t>DEFINITION (SIMPLE):
A star schema is a model with a central fact table linked to surrounding dimension tables by one-to-many relationships.
HOW / WHY IT WORKS:
The fact table holds events such as sales with numbers and keys. The dimension tables describe things such as products, customers and dates. Filters flow from each dimension to the fact table, which gives fast queries and simple DAX.
SIMPLE EXPLANATION (HINGLISH):
Put the numbers in one big table, and put descriptions in small tables around it. Link them with one-to-many relationships, and your reports will be fast and easy to understand.
REAL-LIFE ANALOGY:
It is like a wheel with a hub in the middle and spokes going out to each description.
FORMULA / RULE:
One fact table + several dimension tables, linked one-to-many
EXAMPLE 1:
A Sales fact table linked to Product, Customer and Date dimensions.
EXAMPLE 2:
A web visits fact table linked to Page, Country and Date dimensions.
EXAMPLE 3:
An orders fact table linked to Store and Employee dimensions.
RELATED CONCEPTS:
fact table, dimension table, relationships, snowflake schema
FAMILY / GROUP:
star, snowflake, fact, dimension, hub
WHERE IT IS USED:
Every well-built Power BI model | Data warehouses | Performance tuning
MINI CONVERSATION:
A: My single giant table is slow and repeats text everywhere. | B: Split it into a fact table and dimension tables in a star schema.
COMMON MISTAKE:
✗ One flat table with every column is the best model for Power BI → ✓ A star schema with separate fact and dimension tables is faster, smaller and easier to calculate on
DON'T CONFUSE WITH:
Star vs flat table: a star separates numbers from descriptions, a flat table repeats descriptions on every row.
AVOID / DON'T:
Do not link fact tables directly to each other, go through shared dimensions.
MEMORY TRICK:
Facts in the centre, dimensions at the points.
REAL LIFE: PROJECT / WORK:
Restructuring a flat export into Sales, Product, Customer and Date tables to speed up a report.
REAL LIFE: INTERVIEW / EXAM:
An interviewer may ask: What is a star schema and why is it recommended?
REAL LIFE: DAILY LIFE:
It is like a wheel with a hub and spokes.</t>
        </is>
      </c>
      <c r="C21" s="29" t="inlineStr">
        <is>
          <t>03_Data_modelling_Intermediate_PBI-020</t>
        </is>
      </c>
    </row>
    <row r="22" ht="409" customHeight="1">
      <c r="A22" s="29" t="inlineStr">
        <is>
          <t>Fact table vs dimension table
Which kind of table holds measurable events, and which kind holds descriptions of things such as products?</t>
        </is>
      </c>
      <c r="B22" s="29" t="inlineStr">
        <is>
          <t>DEFINITION (SIMPLE):
A fact table stores measurable events with keys and numbers, and a dimension table stores descriptive attributes about the things in those events.
HOW / WHY IT WORKS:
A Sales fact table has one row per sale, with quantities, amounts and keys such as ProductID. A Product dimension has one row per product, with name, category and colour. Dimensions are usually short and wide, while facts are long and narrow.
SIMPLE EXPLANATION (HINGLISH):
Facts are what happened, with numbers. Dimensions are the who, what, where and when that describe it.
REAL-LIFE ANALOGY:
It is like a receipt book of purchases beside a catalogue describing every product.
FORMULA / RULE:
Fact = events and numbers (long). Dimension = descriptions (short and wide).
EXAMPLE 1:
A Sales table with OrderID, ProductID, Quantity and Amount is a fact table.
EXAMPLE 2:
A Product table with ProductID, Name and Category is a dimension table.
EXAMPLE 3:
A Date table with one row per day is a dimension table.
RELATED CONCEPTS:
star schema, relationships, keys, cardinality
FAMILY / GROUP:
fact, dimension, key, attribute, grain
WHERE IT IS USED:
Model design | Data warehousing | Report building
MINI CONVERSATION:
A: Should the product category live in the sales table? | B: No, keep it in a Product dimension and link it to the sales fact table.
COMMON MISTAKE:
✗ Dimension tables should contain the numbers you add up → ✓ Numbers you add up belong in the fact table, and dimensions hold descriptions used to slice them
DON'T CONFUSE WITH:
Fact vs dimension: a fact table is long with numbers, a dimension table is short and descriptive.
AVOID / DON'T:
Do not copy descriptive columns into the fact table.
MEMORY TRICK:
Fact is what happened, dimension is what it was about.
REAL LIFE: PROJECT / WORK:
Keeping product and customer details in dimension tables and sales numbers in one fact table.
REAL LIFE: INTERVIEW / EXAM:
An interviewer may ask: What is the difference between a fact table and a dimension table?
REAL LIFE: DAILY LIFE:
It is like a receipt book and a catalogue of the products on the receipts.</t>
        </is>
      </c>
      <c r="C22" s="29" t="inlineStr">
        <is>
          <t>03_Data_modelling_Beginner_PBI-021</t>
        </is>
      </c>
    </row>
    <row r="23" ht="409" customHeight="1">
      <c r="A23" s="29" t="inlineStr">
        <is>
          <t>Relationships
Which model feature connects two tables on a shared column so that filters pass from one to the other?</t>
        </is>
      </c>
      <c r="B23" s="29" t="inlineStr">
        <is>
          <t>DEFINITION (SIMPLE):
A relationship links a column in one table to a column in another so that filtering one table filters the other.
HOW / WHY IT WORKS:
A relationship is made on key columns, and usually runs from the one side of a dimension table to the many side of a fact table. Only one relationship between two tables can be active, and others stay inactive until used in a measure. Relationships replace merging tables in many cases.
SIMPLE EXPLANATION (HINGLISH):
Draw a line between the ProductID in Sales and ProductID in Product. Now when you filter by product category, the sales numbers change too.
REAL-LIFE ANALOGY:
It is like a bridge over which filters travel from one table to another.
FORMULA / RULE:
Dimension[Key] (one) → Fact[Key] (many)
EXAMPLE 1:
Product[ProductID] linked to Sales[ProductID].
EXAMPLE 2:
Date[Date] linked to Sales[OrderDate].
EXAMPLE 3:
Customer[CustomerID] linked to Sales[CustomerID].
RELATED CONCEPTS:
cardinality, cross-filter direction, star schema, Model view
FAMILY / GROUP:
relationship, key, active, inactive, filter
WHERE IT IS USED:
Every model with more than one table | Fixing wrong totals | Slicing facts by dimensions
MINI CONVERSATION:
A: My product slicer does not change the sales numbers. | B: There is no relationship between Product and Sales, so link them on ProductID.
COMMON MISTAKE:
✗ A relationship copies columns from one table into the other → ✓ A relationship only passes filters between tables and does not move data
DON'T CONFUSE WITH:
Relationship vs merge: a relationship links tables in the model, a merge physically joins them in Power Query.
AVOID / DON'T:
Do not leave autodetected relationships unchecked.
MEMORY TRICK:
A relationship is a bridge for filters.
REAL LIFE: PROJECT / WORK:
Creating a relationship between Date and Sales so that a year slicer filtered the sales numbers.
REAL LIFE: INTERVIEW / EXAM:
An interviewer may ask: What is the difference between a relationship and a merge?
REAL LIFE: DAILY LIFE:
It is like a bridge that lets traffic cross from one town to another.</t>
        </is>
      </c>
      <c r="C23" s="29" t="inlineStr">
        <is>
          <t>03_Data_modelling_Beginner_PBI-022</t>
        </is>
      </c>
    </row>
    <row r="24" ht="409" customHeight="1">
      <c r="A24" s="29" t="inlineStr">
        <is>
          <t>Cardinality (one-to-many)
Which relationship property says how many matching rows each table may have, such as one on one side and many on the other?</t>
        </is>
      </c>
      <c r="B24" s="29" t="inlineStr">
        <is>
          <t>DEFINITION (SIMPLE):
Cardinality describes how many rows in one table can match rows in the other: one-to-many, many-to-one, one-to-one or many-to-many.
HOW / WHY IT WORKS:
One-to-many means each key appears once on the one side, such as Product, and many times on the many side, such as Sales. One-to-one is rare. Many-to-many allows repeated keys on both sides and needs care. The one side must have unique keys.
SIMPLE EXPLANATION (HINGLISH):
Cardinality is the count rule of the link. One product, many sales is one-to-many, and it is the normal and best choice.
REAL-LIFE ANALOGY:
It is like one teacher with many students.
FORMULA / RULE:
One side = unique keys, many side = repeated keys
EXAMPLE 1:
One Product row to many Sales rows.
EXAMPLE 2:
One Customer row to many Orders rows.
EXAMPLE 3:
One Date row to many Sales rows.
RELATED CONCEPTS:
relationships, star schema, cross-filter direction, key
FAMILY / GROUP:
one-to-many, many-to-one, one-to-one, many-to-many, unique
WHERE IT IS USED:
Creating relationships | Fixing duplicate key errors | Model design
MINI CONVERSATION:
A: Power BI says the one side has duplicate values. | B: The dimension key must be unique, so remove the duplicates from that table.
COMMON MISTAKE:
✗ The one side of a relationship may contain repeated keys → ✓ The one side needs unique keys, and duplicates there cause errors or force a many-to-many relationship
DON'T CONFUSE WITH:
One-to-many vs many-to-many: one-to-many has unique keys on one side, many-to-many allows repeats on both.
AVOID / DON'T:
Do not use many-to-many just to silence an error without understanding the data.
MEMORY TRICK:
One dimension row, many fact rows.
REAL LIFE: PROJECT / WORK:
Removing duplicate product keys so the Product table could be the one side of a relationship.
REAL LIFE: INTERVIEW / EXAM:
An interviewer may ask: What cardinalities does Power BI support?
REAL LIFE: DAILY LIFE:
It is like one teacher with many students.</t>
        </is>
      </c>
      <c r="C24" s="29" t="inlineStr">
        <is>
          <t>03_Data_modelling_Intermediate_PBI-023</t>
        </is>
      </c>
    </row>
    <row r="25" ht="409" customHeight="1">
      <c r="A25" s="29" t="inlineStr">
        <is>
          <t>Cross-filter direction
Which relationship setting decides whether filters flow in one direction or in both directions between two tables?</t>
        </is>
      </c>
      <c r="B25" s="29" t="inlineStr">
        <is>
          <t>DEFINITION (SIMPLE):
Cross-filter direction sets whether a filter on one table flows to the other in one direction (Single) or in both (Both).
HOW / WHY IT WORKS:
With Single direction, a filter on Product filters Sales but a filter on Sales does not filter Product. With Both, filters flow each way, which can be useful for some slicers but can create ambiguity, slow performance and unexpected results in larger models.
SIMPLE EXPLANATION (HINGLISH):
Single means filters flow only from the one side to the many side. Both means they flow either way. Use Both carefully.
REAL-LIFE ANALOGY:
It is like a one-way road versus a two-way road, and a two-way road can cause jams.
FORMULA / RULE:
Single = dimension filters fact. Both = each filters the other.
EXAMPLE 1:
A Category slicer filters Sales through a Single direction relationship.
EXAMPLE 2:
A slicer that shows only products that were sold needs a filter to flow from Sales to Product.
EXAMPLE 3:
A many-to-many bridge table that needs filters in both directions.
RELATED CONCEPTS:
relationships, cardinality, star schema, slicer
FAMILY / GROUP:
Single, Both, direction, filter flow
WHERE IT IS USED:
Slicer behaviour | Bridge tables | Troubleshooting ambiguity
MINI CONVERSATION:
A: My slicer shows products with no sales. | B: Filters flow only one way, so consider Both direction or filter the slicer by a measure.
COMMON MISTAKE:
✗ Both direction is better because filters flow everywhere → ✓ Both can create ambiguous paths and slow reports, so Single is the safer default
DON'T CONFUSE WITH:
Single vs Both: Single filters from the one side to the many side, Both filters in each direction.
AVOID / DON'T:
Do not switch every relationship to Both.
MEMORY TRICK:
Single is safer, Both is broader.
REAL LIFE: PROJECT / WORK:
Keeping all relationships Single and using one measure-based filter for a slicer.
REAL LIFE: INTERVIEW / EXAM:
An interviewer may ask: When would you use bi-directional filtering?
REAL LIFE: DAILY LIFE:
It is like a one-way road versus a two-way road that can cause jams.</t>
        </is>
      </c>
      <c r="C25" s="29" t="inlineStr">
        <is>
          <t>03_Data_modelling_Intermediate_PBI-024</t>
        </is>
      </c>
    </row>
    <row r="26" ht="409" customHeight="1">
      <c r="A26" s="29" t="inlineStr">
        <is>
          <t>Date table (CALENDAR)
Which kind of table, with one row for every day, is needed so that DAX time intelligence works correctly?
Dates = CALENDAR(DATE(2023, 1, 1), DATE(2025, 12, 31))</t>
        </is>
      </c>
      <c r="B26" s="29" t="inlineStr">
        <is>
          <t>MEANING (SHORT):
A date table is a table with one row for every day in a continuous range, built for time intelligence.
CODE:
Dates = CALENDAR(DATE(2023, 1, 1), DATE(2025, 12, 31))
OUTPUT:
A table named Dates with one row for every day from 1 Jan 2023 to 31 Dec 2025.
EXPLANATION:
CALENDAR creates a column of continuous dates between two dates. You then add columns such as Year, Month and Quarter, create a relationship to the date column of your fact table, and use Mark as date table. The date column must have unique values with no gaps.
SIMPLE EXPLANATION (HINGLISH):
Create a table with every date in a range and link it to your sales dates. Then time functions like year to date know which days are missing from the sales data.
REAL-LIFE ANALOGY:
It is like a wall calendar that shows every day, even the days when nothing happened.
SYNTAX PATTERN:
CALENDAR(start_date, end_date)
ANATOMY:
CALENDAR = function | start_date = first day | end_date = last day
EXAMPLE 1:
Dates = CALENDAR(DATE(2023, 1, 1), DATE(2025, 12, 31))
EXAMPLE 2:
Dates = CALENDARAUTO()
EXAMPLE 3:
Year = YEAR(Dates[Date])
VARIATION:
CALENDARAUTO()   // range from the dates found in the model
Month Name = FORMAT(Dates[Date], "MMMM")   // a helper column
USED WITH:
Mark as date table, relationships, time intelligence, YEAR, MONTH
RELATED CONCEPTS:
time intelligence, relationships, TOTALYTD, calculated column
ALTERNATIVES:
Build the date table in Power Query
WHERE IT IS USED:
Any model with dates | Year to date and previous year | Calendar slicers
MINI CONVERSATION:
A: My year-to-date total skips days without sales. | B: Create a proper date table with every day and link it to the sales dates.
COMMON MISTAKE:
✗ The date column in the fact table is enough for time intelligence → ✓ Time intelligence needs a separate continuous date table with no missing days
COMMONLY CONFUSED WITH:
CALENDAR vs CALENDARAUTO: CALENDAR needs the start and end dates, CALENDARAUTO finds the range from the data.
AVOID / DON'T:
Do not build time intelligence on a date column that has gaps.
WRONG CODE:
Dates = CALENDAR(2023, 2025)
RIGHT CODE:
Dates = CALENDAR(DATE(2023, 1, 1), DATE(2025, 12, 31))
MEMORY TRICK:
A date table is a calendar with no missing days.
REAL LIFE: PROJECT / WORK:
Creating a date table with Year, Quarter and Month columns and marking it as the date table.
REAL LIFE: INTERVIEW / EXAM:
An interviewer may ask: Why do you need a separate date table in Power BI?
REAL LIFE: DAILY LIFE:
It is like a wall calendar showing every day of the year.</t>
        </is>
      </c>
      <c r="C26" s="29" t="inlineStr">
        <is>
          <t>03_Data_modelling_Intermediate_PBI-025</t>
        </is>
      </c>
    </row>
    <row r="27" ht="409" customHeight="1">
      <c r="A27" s="29" t="inlineStr">
        <is>
          <t>Calculated column vs measure
Which is calculated row by row and stored in the table, and which is calculated on demand from the report's filters?
Line Total = Sales[Quantity] * Sales[Price]
Total Sales = SUM(Sales[Line Total])</t>
        </is>
      </c>
      <c r="B27" s="29" t="inlineStr">
        <is>
          <t>MEANING (SHORT):
A calculated column is computed per row and stored when the model refreshes, while a measure is computed at query time from the current filters.
CODE:
Line Total = Sales[Quantity] * Sales[Price]
Total Sales = SUM(Sales[Line Total])
OUTPUT:
The first line adds a Line Total column to Sales, and the second creates a Total Sales measure that responds to filters.
EXPLANATION:
A calculated column uses row context and takes space in the model, since its values are stored. A measure uses filter context and is evaluated each time a visual needs it, so it takes no storage. Totals, ratios and percentages should almost always be measures.
SIMPLE EXPLANATION (HINGLISH):
A column gives each row its own value and stays in the table. A measure gives one answer for whatever the report currently shows, and it changes as filters change.
REAL-LIFE ANALOGY:
A column is ink on every row, and a measure is a calculation done fresh each time you look.
SYNTAX PATTERN:
ColumnName = expression (in a table)  |  MeasureName = expression (measure)
ANATOMY:
Calculated column = per row, stored | Measure = per filter context, calculated on demand
EXAMPLE 1:
Line Total = Sales[Quantity] * Sales[Price]
EXAMPLE 2:
Total Sales = SUM(Sales[Line Total])
EXAMPLE 3:
Profit Margin = DIVIDE([Total Profit], [Total Sales])
VARIATION:
Full Name = Customer[First] &amp; " " &amp; Customer[Last]   // good as a column
Average Price = AVERAGE(Sales[Price])   // good as a measure
USED WITH:
SUM, row context, filter context, CALCULATE
RELATED CONCEPTS:
row context, filter context, SUMX, CALCULATE
ALTERNATIVES:
Compute the column in Power Query before loading
WHERE IT IS USED:
Every DAX model | Totals and ratios | Row-level helper values
MINI CONVERSATION:
A: Should I make profit margin a column? | B: No, make it a measure, because a ratio must be recalculated for whatever is filtered.
COMMON MISTAKE:
✗ A measure is stored in the table like a column → ✓ A measure is calculated when a visual needs it and takes no stored space, while a column is stored
COMMONLY CONFUSED WITH:
Calculated column vs measure: a column is per row and stored, a measure is per context and calculated on demand.
AVOID / DON'T:
Do not use a calculated column for a ratio, averaging row values gives the wrong result.
WRONG CODE:
Total Sales = Sales[Quantity] * Sales[Price]
RIGHT CODE:
Total Sales = SUMX(Sales, Sales[Quantity] * Sales[Price])
MEMORY TRICK:
Column is stored per row, measure is worked out on demand.
REAL LIFE: PROJECT / WORK:
Writing totals and ratios as measures and keeping only helper values as columns.
REAL LIFE: INTERVIEW / EXAM:
An interviewer may ask: When would you use a calculated column instead of a measure?
REAL LIFE: DAILY LIFE:
It is like ink written on every row versus a calculation done each time you look.</t>
        </is>
      </c>
      <c r="C27" s="29" t="inlineStr">
        <is>
          <t>03_Data_modelling_Beginner_PBI-026</t>
        </is>
      </c>
    </row>
    <row r="28" ht="409" customHeight="1">
      <c r="A28" s="29" t="inlineStr">
        <is>
          <t>Hierarchies
What do you build to let users drill from Year to Quarter to Month in one visual?</t>
        </is>
      </c>
      <c r="B28" s="29" t="inlineStr">
        <is>
          <t>DEFINITION (SIMPLE):
A hierarchy is an ordered set of fields, such as Year, Quarter and Month, that lets users drill down and up in a visual.
HOW / WHY IT WORKS:
You create one in the Data pane by dragging a field onto another or by using the option to create a hierarchy. In a visual that uses the hierarchy, you can use drill down buttons to move from the top level to the next. Common hierarchies are Date, Geography and Product.
SIMPLE EXPLANATION (HINGLISH):
Stack the fields from the biggest to the smallest, and users can click down from Year to Month. It is one drill path you build once and reuse.
REAL-LIFE ANALOGY:
It is like a staircase where each step takes you one level deeper.
FORMULA / RULE:
Year → Quarter → Month → Day
EXAMPLE 1:
A Date hierarchy of Year, Quarter, Month and Day.
EXAMPLE 2:
A Geography hierarchy of Country, State and City.
EXAMPLE 3:
A Product hierarchy of Category, Subcategory and Product.
RELATED CONCEPTS:
drill down, drill through, date table, visual
FAMILY / GROUP:
hierarchy, level, drill, expand
WHERE IT IS USED:
Date charts | Geographic maps | Product analysis
MINI CONVERSATION:
A: Can users click from year down to month? | B: Yes, build a Year, Quarter, Month hierarchy and use it on the axis.
COMMON MISTAKE:
✗ Hierarchies only work with dates → ✓ Any set of ordered fields, such as Country, State and City, can form a hierarchy
DON'T CONFUSE WITH:
Hierarchy vs drill through: a hierarchy goes deeper inside one visual, drill through goes to another page.
AVOID / DON'T:
Do not put fields in the wrong order, the top level must be the broadest.
MEMORY TRICK:
Hierarchy is a staircase from broad to fine.
REAL LIFE: PROJECT / WORK:
Building a Country, State and City hierarchy so users could drill into a map.
REAL LIFE: INTERVIEW / EXAM:
An interviewer may ask: What is a hierarchy in Power BI?
REAL LIFE: DAILY LIFE:
It is like a staircase where each step goes one level deeper.</t>
        </is>
      </c>
      <c r="C28" s="29" t="inlineStr">
        <is>
          <t>03_Data_modelling_Beginner_PBI-027</t>
        </is>
      </c>
    </row>
    <row r="29" ht="409" customHeight="1">
      <c r="A29" s="29" t="inlineStr">
        <is>
          <t>SUM and SUMX
Which DAX functions add up a column, and which one calculates a value for every row before adding?
Total Sales = SUM(Sales[Amount])
Sales Value = SUMX(Sales, Sales[Quantity] * Sales[Price])</t>
        </is>
      </c>
      <c r="B29" s="29" t="inlineStr">
        <is>
          <t>MEANING (SHORT):
SUM adds all values in one column, and SUMX evaluates an expression for each row of a table and adds the results.
CODE:
Total Sales = SUM(Sales[Amount])
Sales Value = SUMX(Sales, Sales[Quantity] * Sales[Price])
OUTPUT:
Total Sales returns the sum of the Amount column, and Sales Value returns the sum of Quantity times Price for every row.
EXPLANATION:
SUM takes a single column and adds it in the current filter context. SUMX is an iterator: it goes row by row through the table you give it, calculates the expression for each row, and then adds the results. The X at the end marks iterator functions such as AVERAGEX and MAXX.
SIMPLE EXPLANATION (HINGLISH):
Use SUM to total one column. Use SUMX when you must first multiply or combine columns on each row, like Quantity times Price, and then add up the results.
REAL-LIFE ANALOGY:
SUM is a calculator tape of one column, and SUMX is checking each bill line before adding.
SYNTAX PATTERN:
SUM(Table[Column])  |  SUMX(Table, expression)
ANATOMY:
SUM = add one column | SUMX = add an expression evaluated row by row | Table = rows to walk through
EXAMPLE 1:
Total Sales = SUM(Sales[Amount])
EXAMPLE 2:
Revenue = SUMX(Sales, Sales[Quantity] * Sales[Price])
EXAMPLE 3:
Discounted = SUMX(Sales, Sales[Amount] * (1 - Sales[Discount]))
VARIATION:
AVERAGEX(Sales, Sales[Quantity] * Sales[Price])   // average of a row expression
MAXX(Sales, Sales[Amount])   // maximum of a row expression
USED WITH:
CALCULATE, FILTER, row context, measures
RELATED CONCEPTS:
AVERAGEX, CALCULATE, row context
ALTERNATIVES:
Add a calculated column and use SUM on it
WHERE IT IS USED:
Totals on cards | Revenue calculations | Weighted values
MINI CONVERSATION:
A: I need total revenue but I only have quantity and price columns. | B: Use SUMX over the table with Quantity times Price for each row.
COMMON MISTAKE:
✗ SUM(Sales[Quantity] * Sales[Price]) works as a revenue total → ✓ SUM takes only a single column, so use SUMX to multiply per row and then add
COMMONLY CONFUSED WITH:
SUM vs SUMX: SUM adds a column directly, SUMX calculates an expression per row and then adds.
AVOID / DON'T:
Do not put an expression inside SUM, it accepts only a column.
WRONG CODE:
Revenue = SUM(Sales[Quantity] * Sales[Price])
RIGHT CODE:
Revenue = SUMX(Sales, Sales[Quantity] * Sales[Price])
MEMORY TRICK:
The X means go row by row.
REAL LIFE: PROJECT / WORK:
Calculating revenue as quantity times price per row using SUMX instead of storing a new column.
REAL LIFE: INTERVIEW / EXAM:
An interviewer may ask: What is the difference between SUM and SUMX?
REAL LIFE: DAILY LIFE:
It is like adding a bill's total versus checking each line item first.</t>
        </is>
      </c>
      <c r="C29" s="29" t="inlineStr">
        <is>
          <t>04_DAX_Beginner_PBI-028</t>
        </is>
      </c>
    </row>
    <row r="30" ht="409" customHeight="1">
      <c r="A30" s="29" t="inlineStr">
        <is>
          <t>CALCULATE
Which DAX function changes the filters used to evaluate an expression, and is often called the most important function?
Sales 2025 = CALCULATE([Total Sales], Dates[Year] = 2025)
Red Sales = CALCULATE([Total Sales], Product[Color] = "Red")</t>
        </is>
      </c>
      <c r="B30" s="29" t="inlineStr">
        <is>
          <t>MEANING (SHORT):
CALCULATE evaluates an expression after modifying the filter context with the filters you give it.
CODE:
Sales 2025 = CALCULATE([Total Sales], Dates[Year] = 2025)
Red Sales = CALCULATE([Total Sales], Product[Color] = "Red")
OUTPUT:
Sales 2025 returns total sales for 2025 only, and Red Sales returns total sales of red products only. Other report filters, such as region, still apply.
EXPLANATION:
CALCULATE takes an expression first and then one or more filters. A simple condition on a column replaces any existing filter on that column. It can also take functions such as ALL to remove filters, or FILTER to apply complex conditions. It also turns a row context into a filter context.
SIMPLE EXPLANATION (HINGLISH):
CALCULATE says: work out this value, but first change the filters like this. It is how you make a measure for a particular year, product or region.
REAL-LIFE ANALOGY:
It is like a remote control that changes the channel before the picture is shown.
SYNTAX PATTERN:
CALCULATE(expression, filter1, filter2, ...)
ANATOMY:
CALCULATE = function | expression = what to calculate | filters = changes to the filter context
EXAMPLE 1:
Sales 2025 = CALCULATE([Total Sales], Dates[Year] = 2025)
EXAMPLE 2:
Online Sales = CALCULATE([Total Sales], Sales[Channel] = "Online")
EXAMPLE 3:
Large Orders = CALCULATE([Total Sales], Sales[Amount] &gt; 1000)
VARIATION:
CALCULATE([Total Sales], ALL(Product))   // remove product filters
CALCULATE([Total Sales], Product[Color] = "Red", Dates[Year] = 2025)   // two filters
USED WITH:
FILTER, ALL, KEEPFILTERS, USERELATIONSHIP
RELATED CONCEPTS:
filter context, ALL, FILTER, time intelligence
ALTERNATIVES:
Use a visual-level filter, but only for a single visual
WHERE IT IS USED:
Year or region specific measures | Percent of total | Time comparisons
MINI CONVERSATION:
A: I want a measure that always shows 2025 sales. | B: Wrap Total Sales in CALCULATE with a filter on Year equal to 2025.
COMMON MISTAKE:
✗ CALCULATE only adds more filters on top of the report's filters → ✓ A filter on a column in CALCULATE replaces the existing filter on that column, and ALL can remove filters completely
COMMONLY CONFUSED WITH:
CALCULATE vs FILTER: CALCULATE changes filter context and returns a value, FILTER returns a table of rows.
AVOID / DON'T:
Do not place the filter before the expression, the expression always comes first.
WRONG CODE:
Sales 2025 = CALCULATE(Dates[Year] = 2025, [Total Sales])
RIGHT CODE:
Sales 2025 = CALCULATE([Total Sales], Dates[Year] = 2025)
MEMORY TRICK:
CALCULATE changes the context first.
REAL LIFE: PROJECT / WORK:
Building measures for current year, last year and a specific region using CALCULATE.
REAL LIFE: INTERVIEW / EXAM:
An interviewer may ask: What does CALCULATE do and why is it important?
REAL LIFE: DAILY LIFE:
It is like changing the TV channel before watching.</t>
        </is>
      </c>
      <c r="C30" s="29" t="inlineStr">
        <is>
          <t>04_DAX_Intermediate_PBI-029</t>
        </is>
      </c>
    </row>
    <row r="31" ht="409" customHeight="1">
      <c r="A31" s="29" t="inlineStr">
        <is>
          <t>FILTER
Which DAX function returns only the rows of a table that meet a condition, and is often used inside CALCULATE?
Big Orders = CALCULATE([Total Sales], FILTER(Sales, Sales[Amount] &gt; 1000))</t>
        </is>
      </c>
      <c r="B31" s="29" t="inlineStr">
        <is>
          <t>MEANING (SHORT):
FILTER returns a table that holds only the rows for which a condition is true.
CODE:
Big Orders = CALCULATE([Total Sales], FILTER(Sales, Sales[Amount] &gt; 1000))
OUTPUT:
Total sales counting only the sales rows whose Amount is greater than 1000.
EXPLANATION:
FILTER is an iterator: it goes through each row of the table you give it and keeps rows where the condition is true. It returns a table, not a value, so it normally sits inside CALCULATE or another function that takes a table. It is more flexible than a simple condition but can be slower on big tables.
SIMPLE EXPLANATION (HINGLISH):
FILTER keeps the rows that pass your test. Put it inside CALCULATE to calculate a value only over those rows.
REAL-LIFE ANALOGY:
It is like a guard at the door who lets in only the people who meet a rule.
SYNTAX PATTERN:
FILTER(table, condition)
ANATOMY:
FILTER = function | table = rows to test | condition = test for each row
EXAMPLE 1:
CALCULATE([Total Sales], FILTER(Sales, Sales[Amount] &gt; 1000))
EXAMPLE 2:
CALCULATE(COUNTROWS(Customer), FILTER(Customer, Customer[Age] &gt;= 18))
EXAMPLE 3:
FILTER(Product, Product[Category] = "Bikes")
VARIATION:
FILTER(ALL(Product), [Total Sales] &gt; 5000)   // filter by a measure over all products
USED WITH:
CALCULATE, ALL, COUNTROWS, SUMX
RELATED CONCEPTS:
CALCULATE, ALL, iterator
ALTERNATIVES:
A simple column condition inside CALCULATE
WHERE IT IS USED:
Complex conditions | Comparing two columns | Filtering by a measure
MINI CONVERSATION:
A: I need sales only for orders above 1000. | B: Use CALCULATE with FILTER on the Sales table and the Amount greater than 1000.
COMMON MISTAKE:
✗ FILTER returns a number → ✓ FILTER returns a table of rows, so it is used inside another function such as CALCULATE
COMMONLY CONFUSED WITH:
FILTER vs CALCULATE: FILTER returns a table, CALCULATE returns a value.
AVOID / DON'T:
Do not use FILTER on a large table when a simple column filter would do.
WRONG CODE:
Big Orders = FILTER(Sales, Sales[Amount] &gt; 1000)
RIGHT CODE:
Big Orders = CALCULATE([Total Sales], FILTER(Sales, Sales[Amount] &gt; 1000))
MEMORY TRICK:
FILTER keeps the rows that pass.
REAL LIFE: PROJECT / WORK:
Counting customers older than 18 with FILTER inside CALCULATE.
REAL LIFE: INTERVIEW / EXAM:
An interviewer may ask: What does FILTER return?
REAL LIFE: DAILY LIFE:
It is like a guard letting in only people who meet a rule.</t>
        </is>
      </c>
      <c r="C31" s="29" t="inlineStr">
        <is>
          <t>04_DAX_Intermediate_PBI-030</t>
        </is>
      </c>
    </row>
    <row r="32" ht="409" customHeight="1">
      <c r="A32" s="29" t="inlineStr">
        <is>
          <t>ALL and ALLEXCEPT
Which DAX functions remove filters, such as when you need a grand total to find a percent of total?
All Sales = CALCULATE([Total Sales], ALL(Product))
% of Total = DIVIDE([Total Sales], CALCULATE([Total Sales], ALL(Product)))</t>
        </is>
      </c>
      <c r="B32" s="29" t="inlineStr">
        <is>
          <t>MEANING (SHORT):
ALL removes filters from a table or columns, and ALLEXCEPT removes all filters except those on the columns you name.
CODE:
All Sales = CALCULATE([Total Sales], ALL(Product))
% of Total = DIVIDE([Total Sales], CALCULATE([Total Sales], ALL(Product)))
OUTPUT:
All Sales returns total sales ignoring any product filter, and % of Total shows each product's share of that grand total.
EXPLANATION:
ALL used inside CALCULATE clears the filters on the table or column you name, so the value no longer changes with product slicers. ALLEXCEPT clears every filter on a table except those on the columns you list, which is useful for keeping one grouping such as Year.
SIMPLE EXPLANATION (HINGLISH):
ALL means ignore the filters on this. Use it to get the grand total, then divide to get a percentage. ALLEXCEPT ignores all filters except the ones you keep.
REAL-LIFE ANALOGY:
It is like removing every fence in a field so you see the whole field.
SYNTAX PATTERN:
ALL(Table)  |  ALLEXCEPT(Table, Column1, Column2)
ANATOMY:
ALL = remove all filters | ALLEXCEPT = remove all except named columns | Table = what to clear
EXAMPLE 1:
CALCULATE([Total Sales], ALL(Product))
EXAMPLE 2:
CALCULATE([Total Sales], ALL(Product[Category]))
EXAMPLE 3:
CALCULATE([Total Sales], ALLEXCEPT(Sales, Sales[Year]))
VARIATION:
ALLSELECTED(Product)   // keeps filters from slicers but ignores visual-level grouping
REMOVEFILTERS(Product)   // clearer name for removing filters
USED WITH:
CALCULATE, DIVIDE, ALLSELECTED, REMOVEFILTERS
RELATED CONCEPTS:
CALCULATE, filter context, percent of total
ALTERNATIVES:
REMOVEFILTERS, which only removes filters and cannot return a table
WHERE IT IS USED:
Percent of total | Grand totals | Ranking over all items
MINI CONVERSATION:
A: How do I show each product as a share of all sales? | B: Divide the product's sales by CALCULATE of sales with ALL on the Product table.
COMMON MISTAKE:
✗ ALL deletes data from the table → ✓ ALL only removes filters for that calculation, and the data stays untouched
COMMONLY CONFUSED WITH:
ALL vs ALLEXCEPT: ALL clears every filter on the table, ALLEXCEPT keeps the filters on the columns you list.
AVOID / DON'T:
Do not use ALL on the whole fact table when only one dimension should be cleared.
WRONG CODE:
% of Total = DIVIDE([Total Sales], ALL(Product))
RIGHT CODE:
% of Total = DIVIDE([Total Sales], CALCULATE([Total Sales], ALL(Product)))
MEMORY TRICK:
ALL clears every filter in sight.
REAL LIFE: PROJECT / WORK:
Showing each region's share of total sales with ALL inside CALCULATE.
REAL LIFE: INTERVIEW / EXAM:
An interviewer may ask: How do you calculate percent of total in DAX?
REAL LIFE: DAILY LIFE:
It is like removing every fence in a field to see the whole field.</t>
        </is>
      </c>
      <c r="C32" s="29" t="inlineStr">
        <is>
          <t>04_DAX_Intermediate_PBI-031</t>
        </is>
      </c>
    </row>
    <row r="33" ht="409" customHeight="1">
      <c r="A33" s="29" t="inlineStr">
        <is>
          <t>DIVIDE
Which DAX function divides two values safely and avoids the error when the denominator is zero?
Margin % = DIVIDE([Total Profit], [Total Sales], 0)</t>
        </is>
      </c>
      <c r="B33" s="29" t="inlineStr">
        <is>
          <t>MEANING (SHORT):
DIVIDE divides a numerator by a denominator and returns an alternate result, or blank, when the denominator is zero or blank.
CODE:
Margin % = DIVIDE([Total Profit], [Total Sales], 0)
OUTPUT:
The profit margin, or 0 for any context where Total Sales is zero or blank.
EXPLANATION:
DIVIDE takes the numerator, the denominator and an optional third argument for the result when the division would fail. Without the third argument it returns BLANK. It is also more efficient than writing an IF to test for zero.
SIMPLE EXPLANATION (HINGLISH):
Use DIVIDE instead of the slash. If the bottom number is zero, you do not get an error, you get the value you chose, or blank.
REAL-LIFE ANALOGY:
It is like a calculator that shows 0 instead of crashing when you divide by zero.
SYNTAX PATTERN:
DIVIDE(numerator, denominator, [alternate_result])
ANATOMY:
numerator = top | denominator = bottom | alternate_result = what to return when it cannot divide
EXAMPLE 1:
Margin % = DIVIDE([Total Profit], [Total Sales], 0)
EXAMPLE 2:
Average Price = DIVIDE([Total Sales], [Units Sold])
EXAMPLE 3:
Growth % = DIVIDE([Sales] - [Sales LY], [Sales LY])
VARIATION:
DIVIDE(a, b)   // returns BLANK on zero
DIVIDE(a, b, 0)   // returns 0 on zero
USED WITH:
measures, IF, percentages
RELATED CONCEPTS:
IF, BLANK, ratio
ALTERNATIVES:
IF(denominator = 0, 0, numerator / denominator)
WHERE IT IS USED:
Percentages | Margins | Growth rates
MINI CONVERSATION:
A: My percentage shows an error for some regions. | B: Use DIVIDE so a zero denominator returns blank or zero instead.
COMMON MISTAKE:
✗ The slash operator is as safe as DIVIDE → ✓ The slash returns Infinity or NaN when dividing by zero, while DIVIDE returns BLANK or your alternate result, while DIVIDE handles it gracefully
COMMONLY CONFUSED WITH:
DIVIDE vs the slash operator: DIVIDE handles zero and blank, the slash does not.
AVOID / DON'T:
Do not use / for ratios in measures where the denominator can be zero.
WRONG CODE:
Margin % = [Total Profit] / [Total Sales]
RIGHT CODE:
Margin % = DIVIDE([Total Profit], [Total Sales])
MEMORY TRICK:
DIVIDE is divide with a safety net.
REAL LIFE: PROJECT / WORK:
Replacing slash divisions with DIVIDE so a report showed blanks instead of errors.
REAL LIFE: INTERVIEW / EXAM:
An interviewer may ask: Why use DIVIDE instead of the slash?
REAL LIFE: DAILY LIFE:
It is like a calculator that shows 0 instead of crashing.</t>
        </is>
      </c>
      <c r="C33" s="29" t="inlineStr">
        <is>
          <t>04_DAX_Beginner_PBI-032</t>
        </is>
      </c>
    </row>
    <row r="34" ht="409" customHeight="1">
      <c r="A34" s="29" t="inlineStr">
        <is>
          <t>IF and SWITCH
Which DAX functions let you return different results depending on conditions, and which one suits many conditions better?
Size = IF([Total Sales] &gt; 10000, "High", "Low")
Band = SWITCH(TRUE(), [Total Sales] &gt;= 10000, "High", [Total Sales] &gt;= 5000, "Medium", "Low")</t>
        </is>
      </c>
      <c r="B34" s="29" t="inlineStr">
        <is>
          <t>MEANING (SHORT):
IF returns one result when a condition is true and another when false, and SWITCH checks a list of conditions in order.
CODE:
Size = IF([Total Sales] &gt; 10000, "High", "Low")
Band = SWITCH(TRUE(), [Total Sales] &gt;= 10000, "High", [Total Sales] &gt;= 5000, "Medium", "Low")
OUTPUT:
Size returns High or Low, and Band returns High, Medium or Low depending on the sales value.
EXPLANATION:
IF takes a test, a result if true and an optional result if false. SWITCH(TRUE(), ...) evaluates conditions top to bottom and returns the result for the first one that is true, with a final default value. This is easier to read than several nested IFs.
SIMPLE EXPLANATION (HINGLISH):
Use IF for a yes or no choice. For three or more choices use SWITCH with TRUE(), list the conditions in order, and end with a default.
REAL-LIFE ANALOGY:
IF is one fork in a road, and SWITCH is a signpost with many arrows.
SYNTAX PATTERN:
IF(test, result_if_true, [result_if_false])  |  SWITCH(TRUE(), cond1, result1, cond2, result2, default)
ANATOMY:
IF = one test | SWITCH(TRUE(), ...) = many tests in order | last value = default result
EXAMPLE 1:
IF([Total Sales] &gt; 10000, "High", "Low")
EXAMPLE 2:
SWITCH(TRUE(), [Margin %] &gt;= 0.3, "Great", [Margin %] &gt;= 0.1, "OK", "Poor")
EXAMPLE 3:
SWITCH(Sales[Region], "N", "North", "S", "South", "Other")
VARIATION:
IF([Sales] &gt; 0, [Sales])   // blank when false
SWITCH(Region[Code], "N", "North", "S", "South")   // match exact values
USED WITH:
DIVIDE, measures, calculated columns
RELATED CONCEPTS:
CALCULATE, DIVIDE, conditional formatting
ALTERNATIVES:
Conditional columns in Power Query
WHERE IT IS USED:
Banding values | Labels | Conditional logic in measures
MINI CONVERSATION:
A: I need High, Medium and Low labels. | B: Use SWITCH with TRUE and list the conditions from highest to lowest.
COMMON MISTAKE:
✗ SWITCH can only test one column for exact equality → ✓ SWITCH(TRUE(), ...) can test any conditions, in order, including ranges
COMMONLY CONFUSED WITH:
IF vs SWITCH: IF handles one test, SWITCH is neater for many tests.
AVOID / DON'T:
Do not write conditions in the wrong order, the first true one wins.
WRONG CODE:
Band = SWITCH(TRUE(), [Total Sales] &gt;= 5000, "Medium", [Total Sales] &gt;= 10000, "High", "Low")
RIGHT CODE:
Band = SWITCH(TRUE(), [Total Sales] &gt;= 10000, "High", [Total Sales] &gt;= 5000, "Medium", "Low")
MEMORY TRICK:
SWITCH checks top to bottom.
REAL LIFE: PROJECT / WORK:
Labelling customers High, Medium or Low value using SWITCH.
REAL LIFE: INTERVIEW / EXAM:
An interviewer may ask: When would you use SWITCH instead of nested IF?
REAL LIFE: DAILY LIFE:
It is like a signpost with many arrows instead of one fork.</t>
        </is>
      </c>
      <c r="C34" s="29" t="inlineStr">
        <is>
          <t>04_DAX_Beginner_PBI-033</t>
        </is>
      </c>
    </row>
    <row r="35" ht="409" customHeight="1">
      <c r="A35" s="29" t="inlineStr">
        <is>
          <t>RELATED
Which DAX function lets a row in the many-side table fetch a value from its matching row in the one-side table?
Category = RELATED(Product[Category])</t>
        </is>
      </c>
      <c r="B35" s="29" t="inlineStr">
        <is>
          <t>MEANING (SHORT):
RELATED returns a value from a related table on the one side of a relationship, for the current row.
CODE:
Category = RELATED(Product[Category])
OUTPUT:
Each Sales row gets the Category of its matching product.
EXPLANATION:
RELATED follows a many-to-one relationship from the current row to the matching row in the other table and returns the column you name. It works only in row context, such as in a calculated column or inside an iterator. RELATEDTABLE does the reverse and returns the many-side rows.
SIMPLE EXPLANATION (HINGLISH):
In a Sales table, RELATED(Product[Category]) fetches each sale's product category through the relationship. It is the DAX version of a lookup.
REAL-LIFE ANALOGY:
It is like looking up a word in a dictionary using the page number on your card.
SYNTAX PATTERN:
RELATED(Table[Column])
ANATOMY:
RELATED = lookup function | Table[Column] = column on the related one side
EXAMPLE 1:
Category = RELATED(Product[Category])
EXAMPLE 2:
Region = RELATED(Customer[Region])
EXAMPLE 3:
Revenue = SUMX(Sales, Sales[Quantity] * RELATED(Product[Price]))
VARIATION:
RELATEDTABLE(Sales)   // the many-side rows for the current row
COUNTROWS(RELATEDTABLE(Sales))   // count sales for each customer
USED WITH:
relationships, SUMX, calculated columns, row context
RELATED CONCEPTS:
relationships, row context, RELATEDTABLE
ALTERNATIVES:
A merge in Power Query
WHERE IT IS USED:
Calculated columns | Iterators over the fact table | Pulling dimension attributes
MINI CONVERSATION:
A: I want the product category on each sales row. | B: Use RELATED with the Product category column in a calculated column.
COMMON MISTAKE:
✗ RELATED works without any relationship between the tables → ✓ RELATED needs an existing relationship, and it follows it from the many side to the one side
COMMONLY CONFUSED WITH:
RELATED vs RELATEDTABLE: RELATED fetches a single value from the one side, RELATEDTABLE returns the matching rows from the many side.
AVOID / DON'T:
Do not use RELATED in a measure without a row context.
WRONG CODE:
Category = RELATED(Sales[Category])
RIGHT CODE:
Category = RELATED(Product[Category])
MEMORY TRICK:
RELATED fetches through the relationship.
REAL LIFE: PROJECT / WORK:
Pulling the product price into a sales iterator with RELATED to calculate revenue.
REAL LIFE: INTERVIEW / EXAM:
An interviewer may ask: What does RELATED do and what does it need?
REAL LIFE: DAILY LIFE:
It is like looking up a word using a page reference.</t>
        </is>
      </c>
      <c r="C35" s="29" t="inlineStr">
        <is>
          <t>04_DAX_Intermediate_PBI-034</t>
        </is>
      </c>
    </row>
    <row r="36" ht="409" customHeight="1">
      <c r="A36" s="29" t="inlineStr">
        <is>
          <t>VAR and RETURN
How do you store an intermediate result in a DAX formula under a name so you can reuse it?
Profit Margin =
VAR Revenue = [Total Sales]
VAR Cost = [Total Cost]
RETURN DIVIDE(Revenue - Cost, Revenue)</t>
        </is>
      </c>
      <c r="B36" s="29" t="inlineStr">
        <is>
          <t>MEANING (SHORT):
VAR defines a named value inside a measure, and RETURN gives the final result that may use those names.
CODE:
Profit Margin =
VAR Revenue = [Total Sales]
VAR Cost = [Total Cost]
RETURN DIVIDE(Revenue - Cost, Revenue)
OUTPUT:
The profit margin, calculated from Revenue and Cost, each of which is evaluated only once.
EXPLANATION:
Each VAR is calculated once and can be reused later in the formula, which helps performance and readability. A variable is evaluated in the filter context where it is defined, even if it is used inside CALCULATE later. A formula can contain many VAR lines but only one RETURN.
SIMPLE EXPLANATION (HINGLISH):
Use VAR to name a piece of the calculation and RETURN to give the answer. It makes the formula easier to read, and DAX evaluates each variable only once.
REAL-LIFE ANALOGY:
It is like a labelled jar in which you keep a result so you do not cook it twice.
SYNTAX PATTERN:
VAR name = expression  RETURN expression
ANATOMY:
VAR = declare a named value | name = what you call it | RETURN = the final result
EXAMPLE 1:
VAR Revenue = [Total Sales]
EXAMPLE 2:
VAR Cost = [Total Cost] RETURN Revenue - Cost
EXAMPLE 3:
VAR LastYear = CALCULATE([Total Sales], SAMEPERIODLASTYEAR(Dates[Date])) RETURN DIVIDE([Total Sales] - LastYear, LastYear)
VARIATION:
VAR a = 1 VAR b = a + 1 RETURN b   // a variable can use earlier ones
USED WITH:
CALCULATE, DIVIDE, measures
RELATED CONCEPTS:
CALCULATE, measures, performance
ALTERNATIVES:
Create separate helper measures
WHERE IT IS USED:
Long formulas | Repeated sub-calculations | Debugging
MINI CONVERSATION:
A: My measure repeats the same calculation three times. | B: Store it in a VAR and reuse the name.
COMMON MISTAKE:
✗ A variable is recalculated every time it is used → ✓ A variable is evaluated once, where it is defined, and the same value is reused
COMMONLY CONFUSED WITH:
VAR vs measure: a variable lives only inside one formula, a measure is reusable across the model.
AVOID / DON'T:
Do not forget the RETURN line, a formula with VAR must end with RETURN.
WRONG CODE:
Profit Margin = VAR Revenue = [Total Sales] DIVIDE(Revenue - [Total Cost], Revenue)
RIGHT CODE:
Profit Margin = VAR Revenue = [Total Sales] RETURN DIVIDE(Revenue - [Total Cost], Revenue)
MEMORY TRICK:
VAR names it, RETURN gives it back.
REAL LIFE: PROJECT / WORK:
Rewriting a long growth formula with variables to make it readable and faster.
REAL LIFE: INTERVIEW / EXAM:
An interviewer may ask: What are the benefits of using variables in DAX?
REAL LIFE: DAILY LIFE:
It is like keeping a result in a labelled jar so you do not cook it twice.</t>
        </is>
      </c>
      <c r="C36" s="29" t="inlineStr">
        <is>
          <t>04_DAX_Intermediate_PBI-035</t>
        </is>
      </c>
    </row>
    <row r="37" ht="409" customHeight="1">
      <c r="A37" s="29" t="inlineStr">
        <is>
          <t>COUNTROWS and DISTINCTCOUNT
Which DAX functions count the rows of a table and the number of unique values in a column?
Order Count = COUNTROWS(Sales)
Customers = DISTINCTCOUNT(Sales[CustomerID])</t>
        </is>
      </c>
      <c r="B37" s="29" t="inlineStr">
        <is>
          <t>MEANING (SHORT):
COUNTROWS counts the rows of a table, and DISTINCTCOUNT counts the different values in a column.
CODE:
Order Count = COUNTROWS(Sales)
Customers = DISTINCTCOUNT(Sales[CustomerID])
OUTPUT:
Order Count returns the number of sales rows, and Customers returns the number of different customers who bought.
EXPLANATION:
COUNTROWS counts all rows of the table in the current filter context. DISTINCTCOUNT counts unique values in a column and counts a blank as one value if present. COUNT counts only non-blank values in a column and is less used than COUNTROWS.
SIMPLE EXPLANATION (HINGLISH):
COUNTROWS answers how many rows. DISTINCTCOUNT answers how many different values, so a customer who bought five times counts once.
REAL-LIFE ANALOGY:
It is like counting every line in a register versus counting each customer name only once.
SYNTAX PATTERN:
COUNTROWS(Table)  |  DISTINCTCOUNT(Table[Column])
ANATOMY:
COUNTROWS = rows in a table | DISTINCTCOUNT = unique values in a column
EXAMPLE 1:
Order Count = COUNTROWS(Sales)
EXAMPLE 2:
Customers = DISTINCTCOUNT(Sales[CustomerID])
EXAMPLE 3:
Products Sold = DISTINCTCOUNT(Sales[ProductID])
VARIATION:
COUNT(Sales[Amount])   // non-blank numeric or date values; use COUNTA for text columns
COUNTROWS(FILTER(Sales, Sales[Amount] &gt; 100))   // rows that meet a condition
USED WITH:
FILTER, CALCULATE, measures
RELATED CONCEPTS:
SUM, FILTER, CALCULATE
ALTERNATIVES:
COUNT or COUNTA on a column
WHERE IT IS USED:
Order counts | Customer counts | Activity metrics
MINI CONVERSATION:
A: How many customers bought something? | B: Use DISTINCTCOUNT on the CustomerID column in the Sales table.
COMMON MISTAKE:
✗ COUNTROWS and DISTINCTCOUNT give the same number → ✓ COUNTROWS counts every row, while DISTINCTCOUNT counts each unique value once
COMMONLY CONFUSED WITH:
COUNTROWS vs DISTINCTCOUNT: rows versus unique values.
AVOID / DON'T:
Do not use DISTINCTCOUNT when you really want the number of orders.
WRONG CODE:
Customers = COUNTROWS(Sales[CustomerID])
RIGHT CODE:
Customers = DISTINCTCOUNT(Sales[CustomerID])
MEMORY TRICK:
Rows counts lines, Distinct counts different ones.
REAL LIFE: PROJECT / WORK:
Showing orders and unique customers side by side to calculate orders per customer.
REAL LIFE: INTERVIEW / EXAM:
An interviewer may ask: What is the difference between COUNT, COUNTROWS and DISTINCTCOUNT?
REAL LIFE: DAILY LIFE:
It is like counting each line in a register versus each different customer name.</t>
        </is>
      </c>
      <c r="C37" s="29" t="inlineStr">
        <is>
          <t>04_DAX_Beginner_PBI-036</t>
        </is>
      </c>
    </row>
    <row r="38" ht="409" customHeight="1">
      <c r="A38" s="29" t="inlineStr">
        <is>
          <t>TOTALYTD (year to date)
Which time-intelligence function builds a running total from the start of the year up to the current date?
Sales YTD = TOTALYTD([Total Sales], Dates[Date])</t>
        </is>
      </c>
      <c r="B38" s="29" t="inlineStr">
        <is>
          <t>MEANING (SHORT):
TOTALYTD returns the cumulative value of an expression from the start of the year to the last date in the current context.
CODE:
Sales YTD = TOTALYTD([Total Sales], Dates[Date])
OUTPUT:
For each date or month, the total of sales from 1 January of that year up to that date.
EXPLANATION:
TOTALYTD takes an expression and a date column, and an optional year-end date for fiscal years. It resets at the start of each year. It needs a date table with continuous dates, related to the fact table. Similar functions are TOTALQTD and TOTALMTD.
SIMPLE EXPLANATION (HINGLISH):
TOTALYTD gives the running total for the year so far. Put months on the axis and it grows each month, then restarts the next January.
REAL-LIFE ANALOGY:
It is like a bucket that fills from January 1st and shows how much is inside today.
SYNTAX PATTERN:
TOTALYTD(expression, dates, [filter], [year_end_date])
ANATOMY:
expression = what to add up | dates = the date column | year_end_date = optional fiscal year end
EXAMPLE 1:
Sales YTD = TOTALYTD([Total Sales], Dates[Date])
EXAMPLE 2:
Sales FY YTD = TOTALYTD([Total Sales], Dates[Date], "3/31")
EXAMPLE 3:
Sales QTD = TOTALQTD([Total Sales], Dates[Date])
VARIATION:
TOTALMTD([Total Sales], Dates[Date])   // month to date
CALCULATE([Total Sales], DATESYTD(Dates[Date]))   // same result with CALCULATE
USED WITH:
date table, CALCULATE, DATESYTD, relationships
RELATED CONCEPTS:
SAMEPERIODLASTYEAR, DATEADD, date table
ALTERNATIVES:
CALCULATE with DATESYTD
WHERE IT IS USED:
Financial reports | Year-to-date dashboards | Running totals
MINI CONVERSATION:
A: Finance wants the year-to-date sales. | B: Use TOTALYTD on Total Sales with the date column from the Date table.
COMMON MISTAKE:
✗ TOTALYTD works with any date column, even one with gaps → ✓ It needs a continuous date table, so build and mark one first
COMMONLY CONFUSED WITH:
TOTALYTD vs a simple SUM: a plain SUM shows the value for each period, TOTALYTD accumulates from the year start.
AVOID / DON'T:
Do not use the date column of the fact table, use the date table.
WRONG CODE:
Sales YTD = TOTALYTD([Total Sales], Sales[OrderDate])
RIGHT CODE:
Sales YTD = TOTALYTD([Total Sales], Dates[Date])
MEMORY TRICK:
YTD means year to date, and it accumulates.
REAL LIFE: PROJECT / WORK:
Showing a year-to-date sales line that resets every January.
REAL LIFE: INTERVIEW / EXAM:
An interviewer may ask: What is required for time intelligence to work correctly?
REAL LIFE: DAILY LIFE:
It is like a bucket that fills from January 1st.</t>
        </is>
      </c>
      <c r="C38" s="29" t="inlineStr">
        <is>
          <t>04_DAX_Intermediate_PBI-037</t>
        </is>
      </c>
    </row>
    <row r="39" ht="409" customHeight="1">
      <c r="A39" s="29" t="inlineStr">
        <is>
          <t>SAMEPERIODLASTYEAR
Which time-intelligence function shifts the current dates back exactly one year so you can compare with last year?
Sales LY = CALCULATE([Total Sales], SAMEPERIODLASTYEAR(Dates[Date]))</t>
        </is>
      </c>
      <c r="B39" s="29" t="inlineStr">
        <is>
          <t>MEANING (SHORT):
SAMEPERIODLASTYEAR returns the dates of the current period shifted back by one year.
CODE:
Sales LY = CALCULATE([Total Sales], SAMEPERIODLASTYEAR(Dates[Date]))
OUTPUT:
For each month or date, the total sales for the same period in the previous year.
EXPLANATION:
The function takes the set of dates visible in the current filter context and moves them back one year. CALCULATE then uses those dates to evaluate the measure. Combined with the current value, you can compute year-over-year growth.
SIMPLE EXPLANATION (HINGLISH):
Put it inside CALCULATE and the measure returns last year's value for the same dates. Then subtract or divide to compare with this year.
REAL-LIFE ANALOGY:
It is like a time machine that takes the same days one year back.
SYNTAX PATTERN:
SAMEPERIODLASTYEAR(dates)
ANATOMY:
SAMEPERIODLASTYEAR = function | dates = the date column of the date table
EXAMPLE 1:
Sales LY = CALCULATE([Total Sales], SAMEPERIODLASTYEAR(Dates[Date]))
EXAMPLE 2:
Growth % = DIVIDE([Total Sales] - [Sales LY], [Sales LY])
EXAMPLE 3:
Orders LY = CALCULATE(COUNTROWS(Sales), SAMEPERIODLASTYEAR(Dates[Date]))
VARIATION:
DATEADD(Dates[Date], -1, YEAR)   // more flexible shift
PARALLELPERIOD(Dates[Date], -12, MONTH)   // shift by whole periods
USED WITH:
CALCULATE, date table, DIVIDE, TOTALYTD
RELATED CONCEPTS:
DATEADD, TOTALYTD, date table
ALTERNATIVES:
DATEADD with -1 YEAR
WHERE IT IS USED:
Year-over-year comparisons | Growth rates | Seasonal analysis
MINI CONVERSATION:
A: How do I compare this month with the same month last year? | B: Wrap total sales in CALCULATE with SAMEPERIODLASTYEAR.
COMMON MISTAKE:
✗ SAMEPERIODLASTYEAR returns a number → ✓ It returns a table of dates, so it must be used as a filter inside CALCULATE
COMMONLY CONFUSED WITH:
SAMEPERIODLASTYEAR vs DATEADD: the first always shifts one year, DATEADD can shift by any number of days, months, quarters or years.
AVOID / DON'T:
Do not use it without a proper date table.
WRONG CODE:
Sales LY = SAMEPERIODLASTYEAR([Total Sales])
RIGHT CODE:
Sales LY = CALCULATE([Total Sales], SAMEPERIODLASTYEAR(Dates[Date]))
MEMORY TRICK:
Same period, one year back.
REAL LIFE: PROJECT / WORK:
Building a this year versus last year chart with growth percentage.
REAL LIFE: INTERVIEW / EXAM:
An interviewer may ask: How do you calculate year-over-year growth in DAX?
REAL LIFE: DAILY LIFE:
It is like a time machine that moves the same days back a year.</t>
        </is>
      </c>
      <c r="C39" s="29" t="inlineStr">
        <is>
          <t>04_DAX_Intermediate_PBI-038</t>
        </is>
      </c>
    </row>
    <row r="40" ht="409" customHeight="1">
      <c r="A40" s="29" t="inlineStr">
        <is>
          <t>DATEADD
Which function shifts a set of dates by a chosen number of days, months, quarters or years?
Sales Last Month = CALCULATE([Total Sales], DATEADD(Dates[Date], -1, MONTH))</t>
        </is>
      </c>
      <c r="B40" s="29" t="inlineStr">
        <is>
          <t>MEANING (SHORT):
DATEADD moves the dates in the current context forward or backward by a given number of intervals.
CODE:
Sales Last Month = CALCULATE([Total Sales], DATEADD(Dates[Date], -1, MONTH))
OUTPUT:
For each month, the total sales for the previous month.
EXPLANATION:
DATEADD takes a date column, a number of intervals and an interval type: DAY, MONTH, QUARTER or YEAR. It needs a continuous date table. It returns a table of shifted dates that CALCULATE uses as a filter.
SIMPLE EXPLANATION (HINGLISH):
DATEADD shifts the visible dates. Use minus one month to get last month's value, or minus one year to get last year's value.
REAL-LIFE ANALOGY:
It is like sliding a calendar strip back by a month.
SYNTAX PATTERN:
DATEADD(dates, number_of_intervals, interval)
ANATOMY:
dates = the date column | number_of_intervals = how many | interval = DAY, MONTH, QUARTER or YEAR
EXAMPLE 1:
CALCULATE([Total Sales], DATEADD(Dates[Date], -1, MONTH))
EXAMPLE 2:
CALCULATE([Total Sales], DATEADD(Dates[Date], -1, QUARTER))
EXAMPLE 3:
CALCULATE([Total Sales], DATEADD(Dates[Date], -7, DAY))
VARIATION:
DATEADD(Dates[Date], 1, YEAR)   // look ahead one year
DATEADD(Dates[Date], -12, MONTH)   // same as one year back
USED WITH:
CALCULATE, date table, SAMEPERIODLASTYEAR
RELATED CONCEPTS:
SAMEPERIODLASTYEAR, TOTALYTD, date table
ALTERNATIVES:
SAMEPERIODLASTYEAR for one year back
WHERE IT IS USED:
Month-over-month | Quarter-over-quarter | Week comparisons
MINI CONVERSATION:
A: I need a month-over-month comparison. | B: Use DATEADD with minus one month inside CALCULATE.
COMMON MISTAKE:
✗ DATEADD works fine with a date column that has missing days → ✓ DATEADD needs a continuous date column, so use a full date table
COMMONLY CONFUSED WITH:
DATEADD vs SAMEPERIODLASTYEAR: DATEADD can shift by any interval, SAMEPERIODLASTYEAR only by one year.
AVOID / DON'T:
Do not apply it to a date column that has gaps.
WRONG CODE:
Sales Last Month = CALCULATE([Total Sales], DATEADD(Dates[Date], -1, "month"))
RIGHT CODE:
Sales Last Month = CALCULATE([Total Sales], DATEADD(Dates[Date], -1, MONTH))
MEMORY TRICK:
DATEADD slides the calendar back or forward.
REAL LIFE: PROJECT / WORK:
Showing month-over-month change on a monthly sales chart.
REAL LIFE: INTERVIEW / EXAM:
An interviewer may ask: How do you compare a value to the previous month in DAX?
REAL LIFE: DAILY LIFE:
It is like sliding a calendar strip back by one month.</t>
        </is>
      </c>
      <c r="C40" s="29" t="inlineStr">
        <is>
          <t>04_DAX_Intermediate_PBI-039</t>
        </is>
      </c>
    </row>
    <row r="41" ht="409" customHeight="1">
      <c r="A41" s="29" t="inlineStr">
        <is>
          <t>RANKX and TOPN
Which DAX functions rank items by a value and pick only the top N items?
Sales Rank = RANKX(ALL(Product[Name]), [Total Sales])
Top 3 Sales = CALCULATE([Total Sales], TOPN(3, ALL(Product[Name]), [Total Sales]))</t>
        </is>
      </c>
      <c r="B41" s="29" t="inlineStr">
        <is>
          <t>MEANING (SHORT):
RANKX returns the rank of the current item compared with all items by a value, and TOPN returns the top N rows by a value.
CODE:
Sales Rank = RANKX(ALL(Product[Name]), [Total Sales])
Top 3 Sales = CALCULATE([Total Sales], TOPN(3, ALL(Product[Name]), [Total Sales]))
OUTPUT:
Sales Rank gives each product a rank by sales, and Top 3 Sales gives the combined sales of the three best-selling products.
EXPLANATION:
RANKX evaluates the expression for every item in the table you give it, and ranks the current item among them; the default order is descending, so the largest value is rank 1. TOPN returns the top N rows of a table by an expression, and is often used as a filter inside CALCULATE.
SIMPLE EXPLANATION (HINGLISH):
RANKX tells you which place an item is in. TOPN keeps only the best few. Use ALL so the ranking covers all items.
REAL-LIFE ANALOGY:
RANKX is the position number on a runner's bib, and TOPN picks the runners on the podium.
SYNTAX PATTERN:
RANKX(table, expression, [value], [order], [ties])  |  TOPN(n, table, expression, [order])
ANATOMY:
RANKX = rank each item | TOPN = keep the top n rows | order = ASC or DESC
EXAMPLE 1:
RANKX(ALL(Product[Name]), [Total Sales])
EXAMPLE 2:
TOPN(5, ALL(Customer[Name]), [Total Sales])
EXAMPLE 3:
CALCULATE([Total Sales], TOPN(3, ALL(Product[Name]), [Total Sales]))
VARIATION:
RANKX(ALL(Product[Name]), [Total Sales], , ASC)   // lowest value is rank 1
RANKX(ALL(Product[Name]), [Total Sales], , DESC, DENSE)   // dense ranking
USED WITH:
ALL, CALCULATE, measures
RELATED CONCEPTS:
ALL, CALCULATE, FILTER
ALTERNATIVES:
The Top N visual filter
WHERE IT IS USED:
Leaderboards | Top 10 lists | Ranking products or customers
MINI CONVERSATION:
A: How do I show each product's rank by sales? | B: Use RANKX over all products with Total Sales as the expression.
COMMON MISTAKE:
✗ RANKX ranks only the items currently shown in the visual → ✓ It ranks across the table you give it, so use ALL on the item column to rank across every item
COMMONLY CONFUSED WITH:
RANKX vs TOPN: RANKX returns a rank number, TOPN returns the rows of the best items.
AVOID / DON'T:
Do not forget ALL in RANKX, or every item may rank 1.
WRONG CODE:
Sales Rank = RANKX(VALUES(Product[Name]), [Total Sales])
RIGHT CODE:
Sales Rank = RANKX(ALL(Product[Name]), [Total Sales])
MEMORY TRICK:
RANKX ranks every item, TOPN picks the best.
REAL LIFE: PROJECT / WORK:
Showing the top five customers and each customer's rank on a leaderboard.
REAL LIFE: INTERVIEW / EXAM:
An interviewer may ask: How would you rank products by sales in DAX?
REAL LIFE: DAILY LIFE:
It is like the number on a runner's bib and the podium for the best three.</t>
        </is>
      </c>
      <c r="C41" s="29" t="inlineStr">
        <is>
          <t>04_DAX_Advanced_PBI-040</t>
        </is>
      </c>
    </row>
    <row r="42" ht="409" customHeight="1">
      <c r="A42" s="29" t="inlineStr">
        <is>
          <t>USERELATIONSHIP
Which function activates an inactive relationship for the duration of one calculation?
Sales by Ship Date = CALCULATE([Total Sales], USERELATIONSHIP(Sales[ShipDate], Dates[Date]))</t>
        </is>
      </c>
      <c r="B42" s="29" t="inlineStr">
        <is>
          <t>MEANING (SHORT):
USERELATIONSHIP makes an existing inactive relationship active inside CALCULATE for that calculation only.
CODE:
Sales by Ship Date = CALCULATE([Total Sales], USERELATIONSHIP(Sales[ShipDate], Dates[Date]))
OUTPUT:
Total sales grouped by the date on which each order was shipped, instead of when it was ordered.
EXPLANATION:
Only one relationship between two tables can be active. The others are shown as dashed lines. USERELATIONSHIP is used as a filter argument inside CALCULATE, naming the two columns of the inactive relationship, and it turns that relationship on for that calculation.
SIMPLE EXPLANATION (HINGLISH):
When Sales has Order Date and Ship Date, one link to Dates is active and the other is dashed. USERELATIONSHIP switches to the dashed one for a single measure.
REAL-LIFE ANALOGY:
It is like switching on a spare bridge for one trip.
SYNTAX PATTERN:
CALCULATE(expression, USERELATIONSHIP(column1, column2))
ANATOMY:
USERELATIONSHIP = turn on an inactive link | column1 and column2 = the two related columns
EXAMPLE 1:
CALCULATE([Total Sales], USERELATIONSHIP(Sales[ShipDate], Dates[Date]))
EXAMPLE 2:
CALCULATE([Total Sales], USERELATIONSHIP(Sales[DueDate], Dates[Date]))
EXAMPLE 3:
CALCULATE(COUNTROWS(Sales), USERELATIONSHIP(Sales[ShipDate], Dates[Date]))
VARIATION:
Role-playing dates: a Date table used for order date, ship date and due date
USED WITH:
CALCULATE, date table, relationships
RELATED CONCEPTS:
relationships, date table, CALCULATE
ALTERNATIVES:
Duplicate the date table for each date role
WHERE IT IS USED:
Multiple date columns | Role-playing dimensions | Alternative relationships
MINI CONVERSATION:
A: I want sales by ship date but the report uses order date. | B: Use USERELATIONSHIP inside CALCULATE to switch to the ship date relationship.
COMMON MISTAKE:
✗ USERELATIONSHIP creates a new relationship → ✓ It only activates an existing inactive relationship for one calculation
COMMONLY CONFUSED WITH:
USERELATIONSHIP vs a new relationship: the function switches an existing link on temporarily, a relationship has to be created in the model.
AVOID / DON'T:
Do not use it unless the inactive relationship already exists.
WRONG CODE:
Sales by Ship Date = USERELATIONSHIP([Total Sales], Sales[ShipDate])
RIGHT CODE:
Sales by Ship Date = CALCULATE([Total Sales], USERELATIONSHIP(Sales[ShipDate], Dates[Date]))
MEMORY TRICK:
Use the Relationship I mean.
REAL LIFE: PROJECT / WORK:
Building order date and ship date measures from one shared date table.
REAL LIFE: INTERVIEW / EXAM:
An interviewer may ask: How do you handle multiple date columns in a fact table?
REAL LIFE: DAILY LIFE:
It is like switching on a spare bridge for one trip.</t>
        </is>
      </c>
      <c r="C42" s="29" t="inlineStr">
        <is>
          <t>04_DAX_Advanced_PBI-041</t>
        </is>
      </c>
    </row>
    <row r="43" ht="409" customHeight="1">
      <c r="A43" s="29" t="inlineStr">
        <is>
          <t>Row context vs filter context
Which two kinds of context decide what a DAX formula can see, one for a single row and one for a set of filters?</t>
        </is>
      </c>
      <c r="B43" s="29" t="inlineStr">
        <is>
          <t>DEFINITION (SIMPLE):
Row context refers to the current row being calculated, and filter context is the set of filters applied to the model at calculation time.
HOW / WHY IT WORKS:
Row context exists in calculated columns and inside iterators such as SUMX, where each row is processed in turn. Filter context comes from slicers, visuals, report filters and CALCULATE, and defines which rows a measure sees. CALCULATE can turn a row context into a filter context.
SIMPLE EXPLANATION (HINGLISH):
Row context means the formula is on one row. Filter context means the formula sees only the rows that the report's filters allow. Measures run in filter context.
REAL-LIFE ANALOGY:
Row context is reading one line of a bill, and filter context is reading the whole filtered pile.
FORMULA / RULE:
Calculated column and iterator = row context. Measure = filter context.
EXAMPLE 1:
A calculated column Line Total = Sales[Quantity] * Sales[Price] works in row context.
EXAMPLE 2:
A card showing Total Sales for the year chosen in a slicer works in filter context.
EXAMPLE 3:
CALCULATE inside an iterator turns the current row into a filter.
RELATED CONCEPTS:
CALCULATE, SUMX, calculated column, measure
FAMILY / GROUP:
context, row context, filter context, context transition
WHERE IT IS USED:
Understanding results | Writing measures | Debugging wrong totals
MINI CONVERSATION:
A: Why does my measure give a different value in each chart? | B: Because each chart gives it a different filter context.
COMMON MISTAKE:
✗ A measure always returns the same number wherever it is placed → ✓ A measure is recalculated in the filter context of each cell, so it changes with slicers and rows
DON'T CONFUSE WITH:
Row context vs filter context: row context is one row, filter context is a set of filters on tables.
AVOID / DON'T:
Do not use a column reference alone in a measure, it has no row context.
MEMORY TRICK:
Row is one line, filter is the filtered pile.
REAL LIFE: PROJECT / WORK:
Understanding why a ratio measure changed by region after adding slicers.
REAL LIFE: INTERVIEW / EXAM:
An interviewer may ask: What is the difference between row context and filter context?
REAL LIFE: DAILY LIFE:
It is like reading one line of a bill versus the whole filtered pile of bills.</t>
        </is>
      </c>
      <c r="C43" s="29" t="inlineStr">
        <is>
          <t>04_DAX_Intermediate_PBI-042</t>
        </is>
      </c>
    </row>
    <row r="44" ht="409" customHeight="1">
      <c r="A44" s="29" t="inlineStr">
        <is>
          <t>Choosing the right chart
Which chart suits a trend over time, a comparison of categories, a part of a whole, and a relationship between two numbers?</t>
        </is>
      </c>
      <c r="B44" s="29" t="inlineStr">
        <is>
          <t>DEFINITION (SIMPLE):
Choosing the right chart means matching the question you want to answer with the visual type that shows it most clearly.
HOW / WHY IT WORKS:
Use a line chart for trends over time, a bar or column chart to compare categories, a stacked or donut chart sparingly for parts of a whole, a scatter plot for the relationship between two numbers, a card for one key number, and a table or matrix for exact values. Maps suit location data.
SIMPLE EXPLANATION (HINGLISH):
Ask what the reader should learn. For change over time use a line, to compare items use bars, and for one big number use a card.
REAL-LIFE ANALOGY:
It is like picking the right tool from a toolbox for each job.
FORMULA / RULE:
Trend = line, Compare = bar, Single number = card, Relationship = scatter, Exact values = table
EXAMPLE 1:
A line chart of monthly sales shows the trend through the year.
EXAMPLE 2:
A bar chart compares sales by region.
EXAMPLE 3:
A scatter plot shows whether discounts relate to profit.
RELATED CONCEPTS:
visual, slicer, conditional formatting, report page
FAMILY / GROUP:
line, bar, column, donut, scatter, card, matrix
WHERE IT IS USED:
Report design | Presentations | Dashboards
MINI CONVERSATION:
A: Which chart should I use for sales by month? | B: A line chart, because it shows the trend over time clearly.
COMMON MISTAKE:
✗ A pie chart is the best choice for comparing many categories → ✓ Bars compare many categories more clearly, and pie or donut charts work only for a few parts of a whole
DON'T CONFUSE WITH:
Line vs bar: a line shows change over time, a bar compares separate categories.
AVOID / DON'T:
Do not use 3D effects or too many colours, they hide the message.
MEMORY TRICK:
Time uses line, categories use bars.
REAL LIFE: PROJECT / WORK:
Replacing a crowded pie chart with a sorted bar chart that made the ranking obvious.
REAL LIFE: INTERVIEW / EXAM:
An interviewer may ask: How do you choose the right visual for a question?
REAL LIFE: DAILY LIFE:
It is like choosing the right tool from a toolbox.</t>
        </is>
      </c>
      <c r="C44" s="29" t="inlineStr">
        <is>
          <t>05_Visuals_and_design_Beginner_PBI-043</t>
        </is>
      </c>
    </row>
    <row r="45" ht="409" customHeight="1">
      <c r="A45" s="29" t="inlineStr">
        <is>
          <t>Slicers
Which on-page visual lets viewers click to filter the other visuals, such as choosing a year or a region?</t>
        </is>
      </c>
      <c r="B45" s="29" t="inlineStr">
        <is>
          <t>DEFINITION (SIMPLE):
A slicer is a visual with clickable options that filters the other visuals on a page, or on several pages when synced.
HOW / WHY IT WORKS:
You create a slicer from the Visualizations pane and put a field in it. It can show a list, a dropdown, tiles or a date range. Sync slicers lets one choice apply across pages. A slicer filters through relationships, so fields from related tables work.
SIMPLE EXPLANATION (HINGLISH):
Add a slicer for Year and click 2025, and every visual on the page shows only 2025. It is a filter the reader controls.
REAL-LIFE ANALOGY:
It is like the channel buttons on a remote control.
FORMULA / RULE:
Slicer + field → click an option → other visuals filter
EXAMPLE 1:
A Year slicer that filters all charts on the page.
EXAMPLE 2:
A Region dropdown slicer that lets managers see their own region.
EXAMPLE 3:
A date range slicer that selects a custom period.
RELATED CONCEPTS:
filters pane, relationships, bookmarks, sync slicers
FAMILY / GROUP:
slicer, filter, dropdown, date range, sync
WHERE IT IS USED:
Interactive reports | Dashboards | Self-service exploration
MINI CONVERSATION:
A: Managers want to see only their own region. | B: Add a Region slicer so they can pick it themselves.
COMMON MISTAKE:
✗ A slicer filters only the visual next to it → ✓ A slicer filters all visuals on its page, and with synced slicers it can filter other pages too
DON'T CONFUSE WITH:
Slicer vs filter pane: a slicer is visible on the page for viewers, the filter pane is a side panel with filters.
AVOID / DON'T:
Do not add ten slicers to one page.
MEMORY TRICK:
A slicer slices the data for you.
REAL LIFE: PROJECT / WORK:
Adding Year and Region slicers so executives can explore their own view.
REAL LIFE: INTERVIEW / EXAM:
An interviewer may ask: What is the difference between a slicer and a filter?
REAL LIFE: DAILY LIFE:
It is like the buttons on a remote that choose the channel.</t>
        </is>
      </c>
      <c r="C45" s="29" t="inlineStr">
        <is>
          <t>05_Visuals_and_design_Beginner_PBI-044</t>
        </is>
      </c>
    </row>
    <row r="46" ht="409" customHeight="1">
      <c r="A46" s="29" t="inlineStr">
        <is>
          <t>Filters pane (visual, page, report level)
Which three scopes of filters in the Filters pane decide whether a filter affects one visual, one page or the whole report?</t>
        </is>
      </c>
      <c r="B46" s="29" t="inlineStr">
        <is>
          <t>DEFINITION (SIMPLE):
Visual-level filters affect one visual, page-level filters affect all visuals on a page, and report-level filters affect every page.
HOW / WHY IT WORKS:
In the Filters pane you drop fields into the visual, page or all pages section. Basic, Advanced and Top N filter types are available. These filters are applied by the author and viewers can change them unless you lock or hide them.
SIMPLE EXPLANATION (HINGLISH):
Choose how wide the filter should be. One chart, one page, or the whole report. Authors set them, and viewers can see them in the pane.
REAL-LIFE ANALOGY:
It is like three sizes of boxes: one for a single item, one for a shelf and one for the whole room.
FORMULA / RULE:
Visual &lt; Page &lt; Report
EXAMPLE 1:
A visual-level Top 5 filter on a single bar chart.
EXAMPLE 2:
A page-level filter that limits one page to the current year.
EXAMPLE 3:
A report-level filter that excludes test data from every page.
RELATED CONCEPTS:
slicer, relationships, drillthrough, bookmarks
FAMILY / GROUP:
filter, scope, visual, page, report, Top N
WHERE IT IS USED:
Limiting data | Excluding test records | Showing the top few items
MINI CONVERSATION:
A: I want to exclude test orders from every page. | B: Add a report-level filter on the Order Type column.
COMMON MISTAKE:
✗ A filter placed on one visual also affects the other visuals on the page → ✓ A visual-level filter affects only that visual, and a page-level filter is needed for all visuals on the page
DON'T CONFUSE WITH:
Slicer vs filters pane: a slicer is a visible on-page control, the pane is a side panel often set up by the author.
AVOID / DON'T:
Do not hide important filters in the pane without telling users.
MEMORY TRICK:
Visual is smallest, report is widest.
REAL LIFE: PROJECT / WORK:
Using a report-level filter to remove test data from every page.
REAL LIFE: INTERVIEW / EXAM:
An interviewer may ask: What are the filter levels in Power BI?
REAL LIFE: DAILY LIFE:
It is like three box sizes, for one item, one shelf, or a whole room.</t>
        </is>
      </c>
      <c r="C46" s="29" t="inlineStr">
        <is>
          <t>05_Visuals_and_design_Intermediate_PBI-045</t>
        </is>
      </c>
    </row>
    <row r="47" ht="409" customHeight="1">
      <c r="A47" s="29" t="inlineStr">
        <is>
          <t>Drill down and drill through
Which two navigation features let users move deeper inside one visual or jump to a detail page for one item?</t>
        </is>
      </c>
      <c r="B47" s="29" t="inlineStr">
        <is>
          <t>DEFINITION (SIMPLE):
Drill down moves through the levels of a hierarchy inside one visual, and drill through opens a detail page filtered to the selected item.
HOW / WHY IT WORKS:
Drill down needs a hierarchy such as Year, Quarter, Month on the visual's axis, and you use the drill arrows to go deeper. For drill through, you create a page, drop a field into its Drill through section, and users right-click an item and choose Drill through to open that page filtered for it.
SIMPLE EXPLANATION (HINGLISH):
Drill down goes from year to month in the same chart. Drill through takes you to another page showing everything about the one item you clicked.
REAL-LIFE ANALOGY:
Drill down digs deeper in the same hole, and drill through is a tunnel to another room.
FORMULA / RULE:
Drill down = inside the visual (hierarchy). Drill through = to another page (filtered).
EXAMPLE 1:
Clicking down from Year to Quarter to Month in a column chart.
EXAMPLE 2:
Right-clicking a customer and drilling through to a Customer Detail page.
EXAMPLE 3:
Drilling through from a product bar to a page listing its orders.
RELATED CONCEPTS:
hierarchy, bookmarks, filters pane, tooltips
FAMILY / GROUP:
drill down, drill up, drill through, hierarchy
WHERE IT IS USED:
Executive overviews | Detail pages | Exploring anomalies
MINI CONVERSATION:
A: I want to see details for the customer I clicked. | B: Set up a drill-through page for Customer and right-click the item to open it.
COMMON MISTAKE:
✗ Drill down and drill through are the same → ✓ Drill down moves within one visual, while drill through goes to a different page filtered to the selected item
DON'T CONFUSE WITH:
Drill down vs drill through: drill down stays in the visual, drill through changes the page.
AVOID / DON'T:
Do not forget to add the field to the drill-through section of the page.
MEMORY TRICK:
Down digs in, through goes to another room.
REAL LIFE: PROJECT / WORK:
Building a Customer Detail drill-through page reached from every customer visual.
REAL LIFE: INTERVIEW / EXAM:
An interviewer may ask: What is the difference between drill down and drill through?
REAL LIFE: DAILY LIFE:
It is like digging deeper in the same hole versus taking a tunnel to another room.</t>
        </is>
      </c>
      <c r="C47" s="29" t="inlineStr">
        <is>
          <t>05_Visuals_and_design_Intermediate_PBI-046</t>
        </is>
      </c>
    </row>
    <row r="48" ht="409" customHeight="1">
      <c r="A48" s="29" t="inlineStr">
        <is>
          <t>Bookmarks and tooltips
Which two features save a view of a page for navigation and show extra detail when hovering over a data point?</t>
        </is>
      </c>
      <c r="B48" s="29" t="inlineStr">
        <is>
          <t>DEFINITION (SIMPLE):
A bookmark saves the current state of a page, such as filters and visibility, and a tooltip shows extra information when the pointer hovers over a data point.
HOW / WHY IT WORKS:
A bookmark captures filters, slicer selections and which visuals are visible, and can be linked to a button so clicking it restores that view. A report page tooltip is a small page designed to show more detail, and you assign it to a visual so it appears on hover.
SIMPLE EXPLANATION (HINGLISH):
Bookmarks remember a view so a button can jump to it. Tooltips pop up a mini chart or text when you hover, so the main page stays clean.
REAL-LIFE ANALOGY:
A bookmark holds your place in a book, and a tooltip is a note that pops up when you point.
FORMULA / RULE:
Bookmark = saved view for buttons. Tooltip = pop-up detail on hover.
EXAMPLE 1:
A button that toggles between a chart and a table using two bookmarks.
EXAMPLE 2:
A navigation bar of buttons that jump to different bookmarked views.
EXAMPLE 3:
A tooltip page that shows a trend line when hovering over a bar.
RELATED CONCEPTS:
buttons, drill through, selection pane, report page
FAMILY / GROUP:
bookmark, tooltip, button, selection pane
WHERE IT IS USED:
Navigation menus | View toggles | Hover detail
MINI CONVERSATION:
A: Can I let users switch between a chart and a table? | B: Make two bookmarks and link each to a button.
COMMON MISTAKE:
✗ A bookmark saves only the page you are on → ✓ A bookmark saves the state of the page, including filters, slicers and which visuals are shown
DON'T CONFUSE WITH:
Bookmark vs tooltip: a bookmark restores a saved view on click, a tooltip shows detail on hover.
AVOID / DON'T:
Do not create many bookmarks without clear names.
MEMORY TRICK:
Bookmark saves the view, tooltip shows on hover.
REAL LIFE: PROJECT / WORK:
Building a toggle between a chart and a table using bookmarks and buttons.
REAL LIFE: INTERVIEW / EXAM:
An interviewer may ask: What do bookmarks capture?
REAL LIFE: DAILY LIFE:
It is like holding your place in a book and a note popping up when you point.</t>
        </is>
      </c>
      <c r="C48" s="29" t="inlineStr">
        <is>
          <t>05_Visuals_and_design_Intermediate_PBI-047</t>
        </is>
      </c>
    </row>
    <row r="49" ht="409" customHeight="1">
      <c r="A49" s="29" t="inlineStr">
        <is>
          <t>Conditional formatting
Which feature colours cells, bars or text automatically based on their values, such as red for low and green for high?</t>
        </is>
      </c>
      <c r="B49" s="29" t="inlineStr">
        <is>
          <t>DEFINITION (SIMPLE):
Conditional formatting changes the colour, data bars or icons of a visual according to the values or rules you set.
HOW / WHY IT WORKS:
Open the formatting options for a field in a table, matrix or other visual, choose Conditional formatting, and pick background colour, font colour, data bars or icons. You can base it on a colour scale, rules or a field value such as a measure that returns a colour.
SIMPLE EXPLANATION (HINGLISH):
Set a rule such as red below 5000 and green above 10000, and the cells colour themselves. It makes the important numbers stand out.
REAL-LIFE ANALOGY:
It is like traffic lights for your numbers.
FORMULA / RULE:
Pick a field → Conditional formatting → choose colours, bars or icons by a rule
EXAMPLE 1:
A background colour scale from red to green on a sales column.
EXAMPLE 2:
Data bars inside table cells.
EXAMPLE 3:
A rule that turns negative growth red.
RELATED CONCEPTS:
visual, themes, accessibility, measures
FAMILY / GROUP:
conditional formatting, colour scale, rules, data bars, icons
WHERE IT IS USED:
Tables and matrices | KPI colouring | Spotting exceptions
MINI CONVERSATION:
A: How can I make low sales stand out? | B: Use conditional formatting to turn them red.
COMMON MISTAKE:
✗ Colours must be set by hand for each cell → ✓ Conditional formatting colours cells automatically from rules or values
DON'T CONFUSE WITH:
Conditional formatting vs a theme: formatting reacts to the data, a theme sets the overall look.
AVOID / DON'T:
Do not rely on red and green alone, some viewers cannot tell them apart.
MEMORY TRICK:
Colour follows the value automatically.
REAL LIFE: PROJECT / WORK:
Colouring a margin column red or green against a target.
REAL LIFE: INTERVIEW / EXAM:
An interviewer may ask: How do you highlight values above a target in a table?
REAL LIFE: DAILY LIFE:
It is like traffic lights that change with the situation.</t>
        </is>
      </c>
      <c r="C49" s="29" t="inlineStr">
        <is>
          <t>05_Visuals_and_design_Intermediate_PBI-048</t>
        </is>
      </c>
    </row>
    <row r="50" ht="409" customHeight="1">
      <c r="A50" s="29" t="inlineStr">
        <is>
          <t>Workspaces and apps
Which two Power BI Service features hold content for a team and package it for a wider audience?</t>
        </is>
      </c>
      <c r="B50" s="29" t="inlineStr">
        <is>
          <t>DEFINITION (SIMPLE):
A workspace is a shared area in the Service where teams create and manage content, and an app packages selected content for distribution to viewers.
HOW / WHY IT WORKS:
Workspace roles such as Admin, Member, Contributor and Viewer control what people can do. Reports, semantic models and dashboards are stored there. An app bundles chosen items with its own navigation and permissions, so viewers see a stable, polished version.
SIMPLE EXPLANATION (HINGLISH):
A workspace is where the team works. An app is the polished copy you give to readers, so they do not see your unfinished work.
REAL-LIFE ANALOGY:
A workspace is a workshop, and an app is the product displayed in a shop window.
FORMULA / RULE:
Workspace = build together. App = share the finished version.
EXAMPLE 1:
A Sales workspace where analysts build reports.
EXAMPLE 2:
An app that shows managers only the final sales dashboards.
EXAMPLE 3:
A workspace role of Viewer for someone who may only read.
RELATED CONCEPTS:
roles, publish, semantic model, licences
FAMILY / GROUP:
workspace, app, role, Admin, Member, Contributor, Viewer
WHERE IT IS USED:
Team collaboration | Distribution to many readers | Access control
MINI CONVERSATION:
A: How do I give 200 people the finished reports? | B: Publish an app from the workspace and give them access to it.
COMMON MISTAKE:
✗ Everyone who needs to view a report must be added to the workspace → ✓ Viewers can be given access through an app, without being workspace members
DON'T CONFUSE WITH:
Workspace vs app: a workspace is for creating, an app is for consuming.
AVOID / DON'T:
Do not make everyone a workspace Admin.
MEMORY TRICK:
Workspace is where we work, app is what we show.
REAL LIFE: PROJECT / WORK:
Building in a workspace and publishing an app to the whole sales department.
REAL LIFE: INTERVIEW / EXAM:
An interviewer may ask: What is the difference between a workspace and an app?
REAL LIFE: DAILY LIFE:
It is like a workshop and the shop window displaying the finished product.</t>
        </is>
      </c>
      <c r="C50" s="29" t="inlineStr">
        <is>
          <t>06_Service_and_governance_Intermediate_PBI-049</t>
        </is>
      </c>
    </row>
    <row r="51" ht="409" customHeight="1">
      <c r="A51" s="29" t="inlineStr">
        <is>
          <t>Scheduled refresh and gateway
What keeps the data in a published report up to date, and what is needed to reach data on a company's own network?</t>
        </is>
      </c>
      <c r="B51" s="29" t="inlineStr">
        <is>
          <t>DEFINITION (SIMPLE):
Scheduled refresh reloads imported data at set times, and an on-premises data gateway lets the Service reach data sources inside a private network.
HOW / WHY IT WORKS:
In the Service you configure the semantic model's refresh times and credentials. For cloud sources no gateway is needed, but for data on a local server or file share you install a gateway on a machine inside the network, and the Service sends refresh requests through it. Refresh limits depend on your licence.
SIMPLE EXPLANATION (HINGLISH):
Set a schedule so the report reloads each morning. If the data sits on your office server, a gateway acts as the secure bridge that lets the cloud collect it.
REAL-LIFE ANALOGY:
It is like an alarm clock that reloads the data and a secure door through the company wall.
FORMULA / RULE:
Imported data → scheduled refresh. On-premises source → gateway.
EXAMPLE 1:
A model refreshed every morning at 6:00 from a cloud database.
EXAMPLE 2:
A gateway installed on a server so the Service can read an on-premises SQL database.
EXAMPLE 3:
An email alert when a scheduled refresh fails.
RELATED CONCEPTS:
Import vs DirectQuery, semantic model, credentials, incremental refresh
FAMILY / GROUP:
refresh, gateway, schedule, credentials, on-premises
WHERE IT IS USED:
Keeping reports current | Hybrid cloud setups | Automated updates
MINI CONVERSATION:
A: The report shows last week's numbers. | B: Check the scheduled refresh and the gateway status.
COMMON MISTAKE:
✗ A published report always shows live data on its own → ✓ Imported data shows the last refresh, so you must schedule refreshes or use DirectQuery
DON'T CONFUSE WITH:
Refresh vs gateway: refresh updates the data on a schedule, a gateway lets the Service reach private data.
AVOID / DON'T:
Do not forget to update credentials when a password changes.
MEMORY TRICK:
Refresh is the alarm, gateway is the door.
REAL LIFE: PROJECT / WORK:
Installing a gateway so a nightly refresh could reach an on-premises database.
REAL LIFE: INTERVIEW / EXAM:
An interviewer may ask: When do you need an on-premises data gateway?
REAL LIFE: DAILY LIFE:
It is like an alarm clock plus a secure door through a company wall.</t>
        </is>
      </c>
      <c r="C51" s="29" t="inlineStr">
        <is>
          <t>06_Service_and_governance_Intermediate_PBI-050</t>
        </is>
      </c>
    </row>
    <row r="52" ht="409" customHeight="1">
      <c r="A52" s="29" t="inlineStr">
        <is>
          <t>Row-level security (RLS)
Which feature makes different people see different rows of the same report, such as only their own region?</t>
        </is>
      </c>
      <c r="B52" s="29" t="inlineStr">
        <is>
          <t>DEFINITION (SIMPLE):
Row-level security restricts which rows of data a user can see by applying DAX filter rules defined in roles on the model.
HOW / WHY IT WORKS:
In Desktop you create a role with a DAX filter on a table, such as Region[Name] = "North". After publishing, you add members to the role in the Service. For dynamic RLS, a filter such as Users[Email] = USERPRINCIPALNAME() ties each row to the signed-in user. Filters flow to related tables through relationships.
SIMPLE EXPLANATION (HINGLISH):
You write a rule per role, and Power BI applies it to every query by that person. The same report then shows each person only their rows.
REAL-LIFE ANALOGY:
It is like coloured glasses that let each person see only the rows meant for them.
FORMULA / RULE:
Create roles with DAX filters → publish → add members to roles
EXAMPLE 1:
A role North that filters Region[Name] to "North".
EXAMPLE 2:
A dynamic rule that matches Users[Email] to USERPRINCIPALNAME().
EXAMPLE 3:
Testing a role with View as in Desktop before publishing.
RELATED CONCEPTS:
roles, DAX, relationships, workspaces
FAMILY / GROUP:
RLS, role, filter, USERPRINCIPALNAME, View as
WHERE IT IS USED:
Regional reports | Customer data separation | Compliance
MINI CONVERSATION:
A: Each manager should only see their own region. | B: Create a role per region with a filter and assign members.
COMMON MISTAKE:
✗ Hiding a visual hides the data from users → ✓ Only row-level security stops users from seeing rows, and hidden visuals do not protect the data
DON'T CONFUSE WITH:
RLS vs hiding visuals: RLS filters the data, hiding only changes what is displayed.
AVOID / DON'T:
Do not make people workspace Contributors if they should be restricted by RLS, since editors can bypass it.
MEMORY TRICK:
RLS restricts the rows by role.
REAL LIFE: PROJECT / WORK:
Using dynamic RLS so each salesperson sees only their own customers.
REAL LIFE: INTERVIEW / EXAM:
An interviewer may ask: What is the difference between static and dynamic RLS?
REAL LIFE: DAILY LIFE:
It is like coloured glasses that show each person only their rows.</t>
        </is>
      </c>
      <c r="C52" s="29" t="inlineStr">
        <is>
          <t>06_Service_and_governance_Advanced_PBI-051</t>
        </is>
      </c>
    </row>
    <row r="53" ht="409" customHeight="1">
      <c r="A53" s="29" t="inlineStr">
        <is>
          <t>Dataflows
Which Service feature lets you do Power Query cleaning once in the cloud and reuse the result in many models?</t>
        </is>
      </c>
      <c r="B53" s="29" t="inlineStr">
        <is>
          <t>DEFINITION (SIMPLE):
A dataflow is a collection of Power Query transformations that run in the Service and store reusable tables.
HOW / WHY IT WORKS:
You create a dataflow in a workspace using Power Query Online and schedule its refresh. Reports then connect to the dataflow as a data source instead of repeating the cleaning. This gives consistent, shared data and takes load off the original source.
SIMPLE EXPLANATION (HINGLISH):
Clean once in a dataflow and reuse everywhere. Change the logic in one place, and every report that uses it gets the update at the next refresh.
REAL-LIFE ANALOGY:
It is like a central kitchen that prepares ingredients for every restaurant.
FORMULA / RULE:
Source → dataflow (clean once) → many semantic models
EXAMPLE 1:
A Customers dataflow used by three sales reports.
EXAMPLE 2:
A date dimension shared across all finance models.
EXAMPLE 3:
Splitting heavy cleaning into a dataflow so model refreshes are quicker.
RELATED CONCEPTS:
Power Query, semantic model, refresh, workspace
FAMILY / GROUP:
dataflow, Power Query Online, reuse, shared tables
WHERE IT IS USED:
Shared dimensions | Enterprise data prep | Reducing duplicate work
MINI CONVERSATION:
A: Three reports clean the same table in three different ways. | B: Move the cleaning into one dataflow and let all of them use it.
COMMON MISTAKE:
✗ A dataflow is the same as a semantic model → ✓ A dataflow stores cleaned tables for reuse, while a semantic model adds relationships, measures and security for reports
DON'T CONFUSE WITH:
Dataflow vs semantic model: a dataflow prepares data, a model organises it for analysis.
AVOID / DON'T:
Do not duplicate cleaning logic in every report when a dataflow can hold it.
MEMORY TRICK:
Dataflow means cleaning in the cloud, shared by all.
REAL LIFE: PROJECT / WORK:
Creating a shared Customer dataflow used by all sales reports.
REAL LIFE: INTERVIEW / EXAM:
An interviewer may ask: When would you use a dataflow?
REAL LIFE: DAILY LIFE:
It is like a central kitchen preparing ingredients for every restaurant.</t>
        </is>
      </c>
      <c r="C53" s="29" t="inlineStr">
        <is>
          <t>06_Service_and_governance_Advanced_PBI-052</t>
        </is>
      </c>
    </row>
    <row r="54" ht="409" customHeight="1">
      <c r="A54" s="29" t="inlineStr">
        <is>
          <t>Deployment pipelines
Which Service feature moves content through Development, Test and Production stages in a controlled way?</t>
        </is>
      </c>
      <c r="B54" s="29" t="inlineStr">
        <is>
          <t>DEFINITION (SIMPLE):
A deployment pipeline is a set of stages, usually Development, Test and Production, through which content moves with comparison and controlled release.
HOW / WHY IT WORKS:
Each stage is tied to a workspace. You deploy content from one stage to the next and can compare the stages to see differences. Rules can change data sources or parameters per stage. Pipelines need suitable capacity or licensing, so check what your organisation has.
SIMPLE EXPLANATION (HINGLISH):
Build in Development, check in Test, and promote to Production when ready. It stops half-finished changes from reaching live users.
REAL-LIFE ANALOGY:
It is like an assembly line where each stage inspects the product before it ships.
FORMULA / RULE:
Development → Test → Production
EXAMPLE 1:
An analyst builds a new page in Development and deploys it to Test.
EXAMPLE 2:
A reviewer approves it in Test and it moves to Production.
EXAMPLE 3:
A deployment rule switches the data source from the test database to the live one.
RELATED CONCEPTS:
workspaces, parameters, apps, governance
FAMILY / GROUP:
pipeline, stage, deploy, rule, compare
WHERE IT IS USED:
Managed releases | Enterprise BI teams | Testing changes
MINI CONVERSATION:
A: How do we test changes before users see them? | B: Use a deployment pipeline so changes go through Test first.
COMMON MISTAKE:
✗ Publishing straight to the live workspace is just as safe as using a pipeline → ✓ A pipeline lets you test and compare changes before they reach live users
DON'T CONFUSE WITH:
Pipeline vs direct publish: a pipeline adds stages and checks, a direct publish overwrites live content.
AVOID / DON'T:
Do not edit live reports directly if a Test stage exists.
MEMORY TRICK:
A pipeline moves content through stages.
REAL LIFE: PROJECT / WORK:
Releasing monthly report changes through Test before Production.
REAL LIFE: INTERVIEW / EXAM:
An interviewer may ask: How do you manage releases of Power BI content?
REAL LIFE: DAILY LIFE:
It is like an assembly line where each stage inspects the product.</t>
        </is>
      </c>
      <c r="C54" s="29" t="inlineStr">
        <is>
          <t>06_Service_and_governance_Advanced_PBI-053</t>
        </is>
      </c>
    </row>
    <row r="55" ht="409" customHeight="1">
      <c r="A55" s="29" t="inlineStr">
        <is>
          <t>Sensitivity labels
Which feature classifies Power BI content, such as Confidential or Public, and carries protection with it?</t>
        </is>
      </c>
      <c r="B55" s="29" t="inlineStr">
        <is>
          <t>DEFINITION (SIMPLE):
A sensitivity label classifies content by how sensitive it is and can apply protection such as access restrictions and markings.
HOW / WHY IT WORKS:
Labels come from Microsoft Purview Information Protection and are set by the organisation's administrators. In Power BI you apply a label to a report or semantic model, and it can follow the data when exported to Excel, PowerPoint or PDF. It supports governance and compliance policies.
SIMPLE EXPLANATION (HINGLISH):
A label tells everyone how sensitive the report is. When the data is exported, the label and its protection can travel with it.
REAL-LIFE ANALOGY:
It is like a stamp on a document that says how carefully it must be handled.
FORMULA / RULE:
Label → classification + protection that follows the data
EXAMPLE 1:
Labelling a salary report Confidential.
EXAMPLE 2:
A label that follows the data into an exported Excel file.
EXAMPLE 3:
A policy that requires labels on all published content.
RELATED CONCEPTS:
governance, permissions, export, compliance
FAMILY / GROUP:
label, classification, Purview, protection, policy
WHERE IT IS USED:
Regulated industries | Sensitive reports | Compliance programmes
MINI CONVERSATION:
A: Can we stop confidential data leaving with exports? | B: Apply a sensitivity label so protection follows the exported file.
COMMON MISTAKE:
✗ A sensitivity label alone decides who can open a report → ✓ A label classifies and can add protection, but workspace and app permissions still control access
DON'T CONFUSE WITH:
Label vs permission: a label classifies and protects the content, permission decides who may open it.
AVOID / DON'T:
Do not assume a label replaces access control.
MEMORY TRICK:
Label means classify and protect.
REAL LIFE: PROJECT / WORK:
Labelling finance reports Confidential so exports keep their protection.
REAL LIFE: INTERVIEW / EXAM:
An interviewer may ask: What is a sensitivity label used for?
REAL LIFE: DAILY LIFE:
It is like a stamp on a document telling people how to handle it.</t>
        </is>
      </c>
      <c r="C55" s="29" t="inlineStr">
        <is>
          <t>06_Service_and_governance_Advanced_PBI-054</t>
        </is>
      </c>
    </row>
    <row r="56" ht="409" customHeight="1">
      <c r="A56" s="29" t="inlineStr">
        <is>
          <t>Incremental refresh
Which feature refreshes only recent data and keeps older data untouched so that big tables refresh quickly?</t>
        </is>
      </c>
      <c r="B56" s="29" t="inlineStr">
        <is>
          <t>DEFINITION (SIMPLE):
Incremental refresh keeps historical data as it is and refreshes only a recent range, defined by a policy and two date parameters.
HOW / WHY IT WORKS:
You create two DateTime parameters named RangeStart and RangeEnd, filter the table's date column with them in Power Query, and then set a policy such as store 5 years and refresh the last 7 days. The Service creates partitions and refreshes only the recent ones. It works best when the filter folds to the source.
SIMPLE EXPLANATION (HINGLISH):
Instead of reloading everything, only the newest data is reloaded each time. Old data stays as it was, so large tables refresh quickly.
REAL-LIFE ANALOGY:
It is like adding only today's page to a ledger instead of rewriting the whole book.
FORMULA / RULE:
RangeStart + RangeEnd parameters → filter → policy → partitions
EXAMPLE 1:
Keeping five years of sales and refreshing only the last seven days.
EXAMPLE 2:
Using parameters named RangeStart and RangeEnd to filter OrderDate.
EXAMPLE 3:
A model that refreshes in minutes after switching from full refresh.
RELATED CONCEPTS:
parameters, query folding, scheduled refresh, partitions
FAMILY / GROUP:
incremental, partition, RangeStart, RangeEnd, policy
WHERE IT IS USED:
Very large tables | Daily refreshes | Performance tuning
MINI CONVERSATION:
A: Our nightly refresh now takes five hours. | B: Set up incremental refresh so only recent days reload.
COMMON MISTAKE:
✗ Incremental refresh works with any column in the filter → ✓ It needs a date or datetime column filtered by the RangeStart and RangeEnd parameters
DON'T CONFUSE WITH:
Full vs incremental refresh: full reloads everything, incremental reloads only the recent range.
AVOID / DON'T:
Do not forget that the parameters must be named exactly RangeStart and RangeEnd.
MEMORY TRICK:
Incremental refreshes only the new slice.
REAL LIFE: PROJECT / WORK:
Switching a large sales table to incremental refresh to cut refresh time sharply.
REAL LIFE: INTERVIEW / EXAM:
An interviewer may ask: What do you need to set up incremental refresh?
REAL LIFE: DAILY LIFE:
It is like adding only today's page to a ledger.</t>
        </is>
      </c>
      <c r="C56" s="29" t="inlineStr">
        <is>
          <t>07_Advanced_Advanced_PBI-055</t>
        </is>
      </c>
    </row>
    <row r="57" ht="409" customHeight="1">
      <c r="A57" s="29" t="inlineStr">
        <is>
          <t>Aggregations and composite models
Which techniques mix Import and DirectQuery in one model and use summary tables to speed up large datasets?</t>
        </is>
      </c>
      <c r="B57" s="29" t="inlineStr">
        <is>
          <t>DEFINITION (SIMPLE):
A composite model mixes storage modes in one model, and aggregations are summary tables that answer common queries quickly while detail stays in the source.
HOW / WHY IT WORKS:
In a composite model some tables are Import and others DirectQuery. An aggregation table holds data summarised at a higher level, such as sales by day and product, and Power BI uses it when a query can be answered from it, going to the detail table only when needed.
SIMPLE EXPLANATION (HINGLISH):
Keep a small summary table in memory for quick answers, and the huge detail table in the source. Power BI picks the fast one automatically when it can.
REAL-LIFE ANALOGY:
It is like carrying a pocket map for quick use and keeping the big atlas on a shelf.
FORMULA / RULE:
Summary table (Import) + detail table (DirectQuery) = fast and complete
EXAMPLE 1:
A daily sales summary imported and the full transaction table in DirectQuery.
EXAMPLE 2:
A composite model that joins an imported Date table to a DirectQuery fact.
EXAMPLE 3:
Drilling from a summary visual into detail that queries the source.
RELATED CONCEPTS:
Import vs DirectQuery, query folding, performance, relationships
FAMILY / GROUP:
composite, aggregation, summary table, storage mode, Dual
WHERE IT IS USED:
Very large datasets | Real-time detail with fast summaries | Performance tuning
MINI CONVERSATION:
A: Our live data table is huge and visuals are slow. | B: Add an imported aggregation table so common queries are answered quickly.
COMMON MISTAKE:
✗ A model must be either all Import or all DirectQuery → ✓ Composite models can mix both modes in one model
DON'T CONFUSE WITH:
Aggregations vs detail: aggregations answer high-level queries quickly, detail tables answer row-level questions.
AVOID / DON'T:
Do not build aggregations until you have tried simpler fixes.
MEMORY TRICK:
Aggregations are a fast summary in front of slow detail.
REAL LIFE: PROJECT / WORK:
Adding a daily summary table to speed up a DirectQuery sales model.
REAL LIFE: INTERVIEW / EXAM:
An interviewer may ask: What is a composite model?
REAL LIFE: DAILY LIFE:
It is like carrying a pocket map and keeping the atlas on a shelf.</t>
        </is>
      </c>
      <c r="C57" s="29" t="inlineStr">
        <is>
          <t>07_Advanced_Advanced_PBI-056</t>
        </is>
      </c>
    </row>
    <row r="58" ht="409" customHeight="1">
      <c r="A58" s="29" t="inlineStr">
        <is>
          <t>Performance Analyzer
Which built-in Power BI Desktop tool records how long each visual takes to load and breaks it into DAX query and display time?</t>
        </is>
      </c>
      <c r="B58" s="29" t="inlineStr">
        <is>
          <t>DEFINITION (SIMPLE):
Performance Analyzer records the time each visual needs to load, split into DAX query, visual display and other.
HOW / WHY IT WORKS:
You open it from the View tab, start recording and interact with the page. It lists every visual with durations and lets you copy the DAX query to run in other tools such as DAX Studio. A long DAX query time points to the model or measure, while a long display time points to the visual itself.
SIMPLE EXPLANATION (HINGLISH):
Turn on Performance Analyzer, refresh the visuals, and see which one is slow. If the DAX time is long, fix the measure or model; if the display time is long, simplify the visual.
REAL-LIFE ANALOGY:
It is like a stopwatch that times each lap so you know where the delay is.
FORMULA / RULE:
View → Performance Analyzer → record → find the slowest visual → fix the cause
EXAMPLE 1:
Finding that a matrix takes the longest on a page.
EXAMPLE 2:
Seeing a long DAX query time and rewriting the measure.
EXAMPLE 3:
Copying a slow visual's query into DAX Studio.
RELATED CONCEPTS:
DAX, query folding, aggregations, model design
FAMILY / GROUP:
performance, DAX query, display, record, tuning
WHERE IT IS USED:
Slow report pages | Measure tuning | Visual design checks
MINI CONVERSATION:
A: This page takes ages to load. | B: Record it with Performance Analyzer and see which visual is slowest.
COMMON MISTAKE:
✗ Performance Analyzer fixes slow reports automatically → ✓ It only measures and shows where time is spent, and you must fix the cause yourself
DON'T CONFUSE WITH:
DAX query time vs display time: the first is spent calculating the data, the second is spent drawing the visual.
AVOID / DON'T:
Do not tune guesses without measuring first.
MEMORY TRICK:
Measure first, and only then fix.
REAL LIFE: PROJECT / WORK:
Using Performance Analyzer to find one slow measure on a dashboard.
REAL LIFE: INTERVIEW / EXAM:
An interviewer may ask: How do you find out why a report is slow?
REAL LIFE: DAILY LIFE:
It is like a stopwatch that times each lap.</t>
        </is>
      </c>
      <c r="C58" s="29" t="inlineStr">
        <is>
          <t>07_Advanced_Advanced_PBI-057</t>
        </is>
      </c>
    </row>
    <row r="59" ht="409" customHeight="1">
      <c r="A59" s="29" t="inlineStr">
        <is>
          <t>Calculation groups
Which model feature lets you write time-intelligence or formatting logic once and apply it to many measures?</t>
        </is>
      </c>
      <c r="B59" s="29" t="inlineStr">
        <is>
          <t>DEFINITION (SIMPLE):
A calculation group is a table of calculation items that modify the measures used with them, such as turning any measure into its year-to-date version.
HOW / WHY IT WORKS:
A calculation group has items such as Current, YTD and Previous Year, each defined with DAX that uses SELECTEDMEASURE() to refer to whichever measure is in use. Users pick an item with a slicer or on a matrix axis and every measure follows. Calculation groups are created in the model, in recent Desktop versions or with external tools such as Tabular Editor.
SIMPLE EXPLANATION (HINGLISH):
Write the YTD logic once as an item, and it works for sales, cost and profit alike. You avoid making one YTD measure per measure.
REAL-LIFE ANALOGY:
It is like a set of lenses you can place over any picture to see it a different way.
FORMULA / RULE:
Calculation item = DAX using SELECTEDMEASURE()
EXAMPLE 1:
An item YTD defined as CALCULATE(SELECTEDMEASURE(), DATESYTD(Dates[Date])).
EXAMPLE 2:
An item Previous Year that shifts any measure back one year.
EXAMPLE 3:
A matrix with items on columns showing Current, YTD and Previous Year for every measure.
RELATED CONCEPTS:
DAX, time intelligence, measures, Tabular Editor
FAMILY / GROUP:
calculation group, calculation item, SELECTEDMEASURE, Tabular Editor
WHERE IT IS USED:
Time-intelligence families | Currency conversion | Reducing duplicate measures
MINI CONVERSATION:
A: I have thirty measures and want a YTD version of each. | B: Create a calculation group with a YTD item that applies to all of them.
COMMON MISTAKE:
✗ Calculation groups are another kind of visual → ✓ A calculation group is a model feature that changes how measures are calculated, not something you place on a page by itself
DON'T CONFUSE WITH:
Calculation group vs measure: a measure computes one value, a calculation group modifies many measures.
AVOID / DON'T:
Do not use calculation groups when only one or two measures need the change.
MEMORY TRICK:
Write the logic once, reuse it for every measure.
REAL LIFE: PROJECT / WORK:
Replacing dozens of YTD and previous-year measures with one calculation group.
REAL LIFE: INTERVIEW / EXAM:
An interviewer may ask: What problem do calculation groups solve?
REAL LIFE: DAILY LIFE:
It is like a set of lenses you can place over any picture.</t>
        </is>
      </c>
      <c r="C59" s="29" t="inlineStr">
        <is>
          <t>07_Advanced_Advanced_PBI-058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35" customHeight="1">
      <c r="A2" s="29" t="inlineStr">
        <is>
          <t>MCQ: Which part of Power BI is mainly used to build and model reports on your own computer?
A) Power BI Mobile B) Power BI Service C) Power BI Gateway D) Power BI Desktop
FILL: You publish a finished report from Desktop to the Power BI ____ so others can open it
APPLY: Which part would you use to read a report on a phone while travelling?</t>
        </is>
      </c>
      <c r="B2" s="29" t="inlineStr">
        <is>
          <t>MCQ answer: D  Desktop is the authoring tool, while the Service is for sharing and the Mobile app is for viewing.
Fill answer: Service
Apply: The Power BI Mobile app</t>
        </is>
      </c>
      <c r="C2" s="29" t="inlineStr">
        <is>
          <t>01_Basics_Beginner_PBI-001_quiz</t>
        </is>
      </c>
    </row>
    <row r="3" ht="108" customHeight="1">
      <c r="A3" s="29" t="inlineStr">
        <is>
          <t>MCQ: In which view do you draw lines to connect one table to another?
A) Model view B) Report view C) Data view D) Table view
FILL: You inspect the loaded rows of your data in the ____ view
APPLY: Where would you check whether a Date column was loaded as text?</t>
        </is>
      </c>
      <c r="B3" s="29" t="inlineStr">
        <is>
          <t>MCQ answer: A  Model view shows tables and their relationships.
Fill answer: Table
Apply: In Table view</t>
        </is>
      </c>
      <c r="C3" s="29" t="inlineStr">
        <is>
          <t>01_Basics_Beginner_PBI-002_quiz</t>
        </is>
      </c>
    </row>
    <row r="4" ht="94.5" customHeight="1">
      <c r="A4" s="29" t="inlineStr">
        <is>
          <t>MCQ: What is Power BI's semantic model formerly known as?
A) Gateway B) Workspace C) Dataset D) Dashboard
FILL: Reports are built on top of the tables and measures held in a semantic ____
APPLY: How do you avoid different totals across several reports?</t>
        </is>
      </c>
      <c r="B4" s="29" t="inlineStr">
        <is>
          <t>MCQ answer: C  Microsoft renamed datasets to semantic models.
Fill answer: model
Apply: Build one shared semantic model and connect all reports to it</t>
        </is>
      </c>
      <c r="C4" s="29" t="inlineStr">
        <is>
          <t>01_Basics_Beginner_PBI-003_quiz</t>
        </is>
      </c>
    </row>
    <row r="5" ht="108" customHeight="1">
      <c r="A5" s="29" t="inlineStr">
        <is>
          <t>MCQ: Where can a dashboard be created?
A) In Power Query B) Only in the Power BI Service C) In Excel only D) Only in Power BI Desktop
FILL: A dashboard is made by ____ visuals from reports onto one page
APPLY: A manager wants one screen with key numbers from two reports. What should you build?</t>
        </is>
      </c>
      <c r="B5" s="29" t="inlineStr">
        <is>
          <t>MCQ answer: B  Dashboards are made in the Service by pinning tiles.
Fill answer: pinning
Apply: A dashboard with tiles pinned from both reports</t>
        </is>
      </c>
      <c r="C5" s="29" t="inlineStr">
        <is>
          <t>01_Basics_Beginner_PBI-004_quiz</t>
        </is>
      </c>
    </row>
    <row r="6" ht="94.5" customHeight="1">
      <c r="A6" s="29" t="inlineStr">
        <is>
          <t>MCQ: Which visual shows a single big number such as total sales?
A) Matrix B) Slicer C) Treemap D) Card
FILL: You drag fields into the wells of a ____ to build it
APPLY: Which visual would you choose to show sales by month over a year?</t>
        </is>
      </c>
      <c r="B6" s="29" t="inlineStr">
        <is>
          <t>MCQ answer: D  A card displays one value prominently.
Fill answer: visual
Apply: A line chart</t>
        </is>
      </c>
      <c r="C6" s="29" t="inlineStr">
        <is>
          <t>01_Basics_Beginner_PBI-005_quiz</t>
        </is>
      </c>
    </row>
    <row r="7" ht="94.5" customHeight="1">
      <c r="A7" s="29" t="inlineStr">
        <is>
          <t>MCQ: Which choice lets you clean data before it is loaded?
A) Transform Data B) Load C) Publish D) Refresh
FILL: Cleaning data before loading is done by choosing ____ Data
APPLY: Which button do you press first to bring a CSV file into a report?</t>
        </is>
      </c>
      <c r="B7" s="29" t="inlineStr">
        <is>
          <t>MCQ answer: A  Transform Data opens Power Query so you can clean the data first.
Fill answer: Transform
Apply: Get Data</t>
        </is>
      </c>
      <c r="C7" s="29" t="inlineStr">
        <is>
          <t>01_Basics_Beginner_PBI-006_quiz</t>
        </is>
      </c>
    </row>
    <row r="8" ht="108" customHeight="1">
      <c r="A8" s="29" t="inlineStr">
        <is>
          <t>MCQ: Which storage mode keeps no copy of the data inside the model?
A) Offline B) Dual copy C) DirectQuery D) Import
FILL: With ____ mode the data is stored in the model and refreshed on a schedule
APPLY: Which mode would you choose for a small file that changes once a month?</t>
        </is>
      </c>
      <c r="B8" s="29" t="inlineStr">
        <is>
          <t>MCQ answer: C  DirectQuery sends queries to the source each time and stores no data.
Fill answer: Import
Apply: Import</t>
        </is>
      </c>
      <c r="C8" s="29" t="inlineStr">
        <is>
          <t>01_Basics_Beginner_PBI-007_quiz</t>
        </is>
      </c>
    </row>
    <row r="9" ht="108" customHeight="1">
      <c r="A9" s="29" t="inlineStr">
        <is>
          <t>MCQ: What is the best way to give many people the same, current version of a report?
A) Print it B) Publish it to a workspace and share C) Email the .pbix file D) Copy it to a USB stick
FILL: In Desktop you press ____ to send a report to the Service
APPLY: How do you avoid sending many copies of a file to colleagues?</t>
        </is>
      </c>
      <c r="B9" s="29" t="inlineStr">
        <is>
          <t>MCQ answer: B  Publishing keeps one live version in the Service for everyone.
Fill answer: Publish
Apply: Publish it to a workspace and share it</t>
        </is>
      </c>
      <c r="C9" s="29" t="inlineStr">
        <is>
          <t>01_Basics_Beginner_PBI-008_quiz</t>
        </is>
      </c>
    </row>
    <row r="10" ht="108" customHeight="1">
      <c r="A10" s="29" t="inlineStr">
        <is>
          <t>MCQ: Which file type holds the report design but not the data?
A) .xlsx B) .pbit C) .pbix D) .csv
FILL: The normal Power BI Desktop file that includes data has the extension ____
APPLY: How can you share a design that others will fill with their own data?</t>
        </is>
      </c>
      <c r="B10" s="29" t="inlineStr">
        <is>
          <t>MCQ answer: B  A .pbit is a template without data.
Fill answer: .pbix
Apply: Save it as a .pbit template</t>
        </is>
      </c>
      <c r="C10" s="29" t="inlineStr">
        <is>
          <t>01_Basics_Beginner_PBI-009_quiz</t>
        </is>
      </c>
    </row>
    <row r="11" ht="121.5" customHeight="1">
      <c r="A11" s="29" t="inlineStr">
        <is>
          <t>MCQ: Does cleaning data in Power Query change the original source file?
A) Only for Excel B) Only for databases C) No, it only shapes the loaded copy D) Yes, it overwrites it
FILL: Each change you make in Power Query is recorded as a ____
APPLY: Where should you remove blank rows so it repeats on every refresh?</t>
        </is>
      </c>
      <c r="B11" s="29" t="inlineStr">
        <is>
          <t>MCQ answer: C  Power Query reads from the source and never writes back to it.
Fill answer: step
Apply: In Power Query</t>
        </is>
      </c>
      <c r="C11" s="29" t="inlineStr">
        <is>
          <t>02_Power_Query_Beginner_PBI-010_quiz</t>
        </is>
      </c>
    </row>
    <row r="12" ht="121.5" customHeight="1">
      <c r="A12" s="29" t="inlineStr">
        <is>
          <t>MCQ: What happens if you delete an early step that later steps depend on?
A) The source is deleted B) Power BI closes C) Nothing changes D) Later steps may show errors
FILL: The right-hand panel that lists your transformations is called ____ Steps
APPLY: How do you see the table as it looked before a later step?</t>
        </is>
      </c>
      <c r="B12" s="29" t="inlineStr">
        <is>
          <t>MCQ answer: D  Later steps build on earlier ones, so removing one can break them.
Fill answer: Applied
Apply: Click the earlier step in Applied Steps</t>
        </is>
      </c>
      <c r="C12" s="29" t="inlineStr">
        <is>
          <t>02_Power_Query_Beginner_PBI-011_quiz</t>
        </is>
      </c>
    </row>
    <row r="13" ht="121.5" customHeight="1">
      <c r="A13" s="29" t="inlineStr">
        <is>
          <t>MCQ: A Sales Amount column is stored as text. What problem will you face?
A) It cannot be summed correctly B) It will be faster C) Nothing D) It becomes a date
FILL: A column of dates stored as text should be changed to the ____ data type
APPLY: Why might a total show zero or an error?</t>
        </is>
      </c>
      <c r="B13" s="29" t="inlineStr">
        <is>
          <t>MCQ answer: A  Text values cannot be aggregated as numbers.
Fill answer: Date
Apply: The column may be stored as text instead of a number</t>
        </is>
      </c>
      <c r="C13" s="29" t="inlineStr">
        <is>
          <t>02_Power_Query_Beginner_PBI-012_quiz</t>
        </is>
      </c>
    </row>
    <row r="14" ht="148.5" customHeight="1">
      <c r="A14" s="29" t="inlineStr">
        <is>
          <t>MCQ: When you select only the CustomerID column and choose Remove Duplicates, what is compared?
A) Nothing B) The whole row C) Only the first column D) Only the CustomerID values
FILL: Table.____(Sales, {"OrderID"})
HINDI TO TASK: Keep one row per CustomerID in the Customers table.
PRACTICE QUESTION: What does Table.Distinct(Sales) do when you give no column list?</t>
        </is>
      </c>
      <c r="B14" s="29" t="inlineStr">
        <is>
          <t>MCQ answer: D  Remove Duplicates compares the selected columns.
Fill answer: Distinct
Task answer:
Table.Distinct(Customers, {"CustomerID"})
Practice answer:
It removes rows that are identical across all columns.</t>
        </is>
      </c>
      <c r="C14" s="29" t="inlineStr">
        <is>
          <t>02_Power_Query_Beginner_PBI-013_quiz</t>
        </is>
      </c>
    </row>
    <row r="15" ht="162" customHeight="1">
      <c r="A15" s="29" t="inlineStr">
        <is>
          <t>MCQ: Which join kind keeps all rows from the first table and only the matching rows from the second?
A) Full Outer B) Right Anti C) Left Outer D) Inner
FILL: After a merge you ____ the new column to bring in the fields you need
HINDI TO TASK: Find the orders whose customer is not found in the Customers table.
PRACTICE QUESTION: Which join kind returns only the rows that match in both tables?</t>
        </is>
      </c>
      <c r="B15" s="29" t="inlineStr">
        <is>
          <t>MCQ answer: C  Left Outer keeps every left row and adds matches from the right.
Fill answer: expand
Task answer:
Table.NestedJoin(Orders, {"CustomerID"}, Customers, {"CustomerID"}, "Match", JoinKind.LeftAnti)
Practice answer:
Inner join (JoinKind.Inner).</t>
        </is>
      </c>
      <c r="C15" s="29" t="inlineStr">
        <is>
          <t>02_Power_Query_Intermediate_PBI-014_quiz</t>
        </is>
      </c>
    </row>
    <row r="16" ht="135" customHeight="1">
      <c r="A16" s="29" t="inlineStr">
        <is>
          <t>MCQ: You have the same table for January and February. Which operation puts them into one table?
A) Append B) Merge C) Pivot D) Split
FILL: Table.____({Jan, Feb})
HINDI TO TASK: Stack the tables North and South into one table.
PRACTICE QUESTION: What happens to a column that exists in only one of the appended tables?</t>
        </is>
      </c>
      <c r="B16" s="29" t="inlineStr">
        <is>
          <t>MCQ answer: A  Append stacks rows of tables with the same columns.
Fill answer: Combine
Task answer:
Table.Combine({North, South})
Practice answer:
It is added to the result and filled with null for rows from the other table.</t>
        </is>
      </c>
      <c r="C16" s="29" t="inlineStr">
        <is>
          <t>02_Power_Query_Beginner_PBI-015_quiz</t>
        </is>
      </c>
    </row>
    <row r="17" ht="162" customHeight="1">
      <c r="A17" s="29" t="inlineStr">
        <is>
          <t>MCQ: Which option best keeps working when new month columns are added later?
A) Unpivot Columns B) Unpivot Other Columns C) Pivot D) Transpose
FILL: Table.Unpivot____Columns keeps the named columns and unpivots the rest
HINDI TO TASK: Keep the Region column and unpivot every other column into Quarter and Revenue.
PRACTICE QUESTION: What are the two new columns that unpivot creates by default?</t>
        </is>
      </c>
      <c r="B17" s="29" t="inlineStr">
        <is>
          <t>MCQ answer: B  Unpivot Other Columns turns every column except the ones you keep.
Fill answer: Other
Task answer:
Table.UnpivotOtherColumns(Source, {"Region"}, "Quarter", "Revenue")
Practice answer:
An Attribute column holding the old headers and a Value column holding the values.</t>
        </is>
      </c>
      <c r="C17" s="29" t="inlineStr">
        <is>
          <t>02_Power_Query_Intermediate_PBI-016_quiz</t>
        </is>
      </c>
    </row>
    <row r="18" ht="135" customHeight="1">
      <c r="A18" s="29" t="inlineStr">
        <is>
          <t>MCQ: In an M query, which keyword says which step is returned as the result?
A) each B) step C) in D) let
FILL: M code is written between the ____ and in keywords
HINDI TO TASK: Write an M query that returns the sum of 10, 20 and 30.
PRACTICE QUESTION: What does the underscore mean in each _ * 2?</t>
        </is>
      </c>
      <c r="B18" s="29" t="inlineStr">
        <is>
          <t>MCQ answer: C  The in keyword names the expression that the query returns.
Fill answer: let
Task answer:
let Total = List.Sum({10, 20, 30}) in Total
Practice answer:
It stands for the current item being processed.</t>
        </is>
      </c>
      <c r="C18" s="29" t="inlineStr">
        <is>
          <t>02_Power_Query_Intermediate_PBI-017_quiz</t>
        </is>
      </c>
    </row>
    <row r="19" ht="121.5" customHeight="1">
      <c r="A19" s="29" t="inlineStr">
        <is>
          <t>MCQ: Which feature lets you change a file path in one place for many queries?
A) Parameter B) Bookmark C) Tooltip D) Slicer
FILL: You create named reusable values in Power Query with Manage ____
APPLY: How would you switch a report between test and live servers easily?</t>
        </is>
      </c>
      <c r="B19" s="29" t="inlineStr">
        <is>
          <t>MCQ answer: A  A parameter stores a value that queries reuse.
Fill answer: Parameters
Apply: Store the server name in a parameter</t>
        </is>
      </c>
      <c r="C19" s="29" t="inlineStr">
        <is>
          <t>02_Power_Query_Intermediate_PBI-018_quiz</t>
        </is>
      </c>
    </row>
    <row r="20" ht="94.5" customHeight="1">
      <c r="A20" s="29" t="inlineStr">
        <is>
          <t>MCQ: How can you check whether a step folds back to the source?
A) Applied Steps colour B) Refresh twice C) Add a slicer D) View Native Query
FILL: Right-click a step and choose View ____ Query to check folding
APPLY: Why should filters usually come early in the steps?</t>
        </is>
      </c>
      <c r="B20" s="29" t="inlineStr">
        <is>
          <t>MCQ answer: D  If View Native Query is available for the step, it folds.
Fill answer: Native
Apply: So they can fold and the source sends less data</t>
        </is>
      </c>
      <c r="C20" s="29" t="inlineStr">
        <is>
          <t>02_Power_Query_Advanced_PBI-019_quiz</t>
        </is>
      </c>
    </row>
    <row r="21" ht="81" customHeight="1">
      <c r="A21" s="29" t="inlineStr">
        <is>
          <t>MCQ: In a star schema, what sits in the middle?
A) A dimension table B) A fact table C) A parameter D) A slicer
FILL: A star schema has one central ____ table
APPLY: How would you reorganise one giant flat sales table?</t>
        </is>
      </c>
      <c r="B21" s="29" t="inlineStr">
        <is>
          <t>MCQ answer: B  The fact table is the hub, with dimension tables around it.
Fill answer: fact
Apply: Split it into one fact table and dimension tables</t>
        </is>
      </c>
      <c r="C21" s="29" t="inlineStr">
        <is>
          <t>03_Data_modelling_Intermediate_PBI-020_quiz</t>
        </is>
      </c>
    </row>
    <row r="22" ht="108" customHeight="1">
      <c r="A22" s="29" t="inlineStr">
        <is>
          <t>MCQ: Which of these is most likely a dimension table?
A) Product list with categories B) Sales transactions C) Daily temperature readings D) Click logs
FILL: A table of events with numbers to add up is called a ____ table
APPLY: Where should the Category of a product be stored?</t>
        </is>
      </c>
      <c r="B22" s="29" t="inlineStr">
        <is>
          <t>MCQ answer: A  A product list describes things, so it is a dimension.
Fill answer: fact
Apply: In the Product dimension table</t>
        </is>
      </c>
      <c r="C22" s="29" t="inlineStr">
        <is>
          <t>03_Data_modelling_Beginner_PBI-021_quiz</t>
        </is>
      </c>
    </row>
    <row r="23" ht="121.5" customHeight="1">
      <c r="A23" s="29" t="inlineStr">
        <is>
          <t>MCQ: What does a relationship do between two tables?
A) Deletes duplicates B) Copies columns C) Passes filters between them D) Changes data types
FILL: A relationship is created on matching ____ columns of two tables
APPLY: A slicer on Product does not affect Sales. What is likely missing?</t>
        </is>
      </c>
      <c r="B23" s="29" t="inlineStr">
        <is>
          <t>MCQ answer: C  A relationship lets a filter on one table affect the other.
Fill answer: key
Apply: A relationship between Product and Sales</t>
        </is>
      </c>
      <c r="C23" s="29" t="inlineStr">
        <is>
          <t>03_Data_modelling_Beginner_PBI-022_quiz</t>
        </is>
      </c>
    </row>
    <row r="24" ht="108" customHeight="1">
      <c r="A24" s="29" t="inlineStr">
        <is>
          <t>MCQ: Which side of a one-to-many relationship must have unique keys?
A) Neither B) The many side C) Both D) The one side
FILL: A product table linked to a sales table is a ____-to-many relationship
APPLY: A relationship fails because the product table has duplicate IDs. What is the fix?</t>
        </is>
      </c>
      <c r="B24" s="29" t="inlineStr">
        <is>
          <t>MCQ answer: D  The one side is the lookup side and needs unique keys.
Fill answer: one
Apply: Make the product keys unique on the one side</t>
        </is>
      </c>
      <c r="C24" s="29" t="inlineStr">
        <is>
          <t>03_Data_modelling_Intermediate_PBI-023_quiz</t>
        </is>
      </c>
    </row>
    <row r="25" ht="108" customHeight="1">
      <c r="A25" s="29" t="inlineStr">
        <is>
          <t>MCQ: Which cross-filter direction is the usual safe default?
A) None B) Single C) Both D) Random
FILL: With ____ direction, a filter on the dimension filters the fact table only
APPLY: A slicer shows items that have no sales. What setting might change this?</t>
        </is>
      </c>
      <c r="B25" s="29" t="inlineStr">
        <is>
          <t>MCQ answer: B  Single follows the star schema and avoids ambiguity.
Fill answer: Single
Apply: Cross-filter direction set to Both</t>
        </is>
      </c>
      <c r="C25" s="29" t="inlineStr">
        <is>
          <t>03_Data_modelling_Intermediate_PBI-024_quiz</t>
        </is>
      </c>
    </row>
    <row r="26" ht="121.5" customHeight="1">
      <c r="A26" s="29" t="inlineStr">
        <is>
          <t>MCQ: What must be true of the date column in a date table?
A) It has duplicates B) It has unique, continuous dates C) It has blanks D) It is text
FILL: Dates = ____(DATE(2023, 1, 1), DATE(2025, 12, 31))
HINDI TO TASK: Create a date table covering the whole of 2024.
PRACTICE QUESTION: What does the Mark as date table option do?</t>
        </is>
      </c>
      <c r="B26" s="29" t="inlineStr">
        <is>
          <t>MCQ answer: B  Time intelligence needs unique dates with no gaps.
Fill answer: CALENDAR
Task answer:
Dates = CALENDAR(DATE(2024, 1, 1), DATE(2024, 12, 31))
Practice answer:
It tells Power BI which table and column to use for time intelligence.</t>
        </is>
      </c>
      <c r="C26" s="29" t="inlineStr">
        <is>
          <t>03_Data_modelling_Intermediate_PBI-025_quiz</t>
        </is>
      </c>
    </row>
    <row r="27" ht="148.5" customHeight="1">
      <c r="A27" s="29" t="inlineStr">
        <is>
          <t>MCQ: Which should a profit margin percentage normally be?
A) A parameter B) A slicer C) A measure D) A calculated column
FILL: A value stored for each row of a table is called a calculated ____
HINDI TO TASK: Write a measure for the total of the Amount column in the Sales table.
PRACTICE QUESTION: Which one is computed when a visual is drawn, a column or a measure?</t>
        </is>
      </c>
      <c r="B27" s="29" t="inlineStr">
        <is>
          <t>MCQ answer: C  A ratio must be recalculated from the filtered totals, which a measure does.
Fill answer: column
Task answer:
Total Amount = SUM(Sales[Amount])
Practice answer:
A measure.</t>
        </is>
      </c>
      <c r="C27" s="29" t="inlineStr">
        <is>
          <t>03_Data_modelling_Beginner_PBI-026_quiz</t>
        </is>
      </c>
    </row>
    <row r="28" ht="94.5" customHeight="1">
      <c r="A28" s="29" t="inlineStr">
        <is>
          <t>MCQ: Which order is correct for a date hierarchy from broad to fine?
A) Year, Month, Day B) Day, Year, Month C) Month, Year, Day D) Day, Month, Year
FILL: A set of ordered fields that lets users drill is called a ____
APPLY: How can users drill from country to city on a map?</t>
        </is>
      </c>
      <c r="B28" s="29" t="inlineStr">
        <is>
          <t>MCQ answer: A  A hierarchy starts with the broadest level and ends with the finest.
Fill answer: hierarchy
Apply: Build a Country, State, City hierarchy</t>
        </is>
      </c>
      <c r="C28" s="29" t="inlineStr">
        <is>
          <t>03_Data_modelling_Beginner_PBI-027_quiz</t>
        </is>
      </c>
    </row>
    <row r="29" ht="135" customHeight="1">
      <c r="A29" s="29" t="inlineStr">
        <is>
          <t>MCQ: Which function calculates Quantity times Price for each row and then adds the results?
A) COUNT B) MAX C) SUM D) SUMX
FILL: Revenue = ____(Sales, Sales[Quantity] * Sales[Price])
HINDI TO TASK: Write a measure that adds the Amount column of the Sales table.
PRACTICE QUESTION: What does the X at the end of SUMX stand for?</t>
        </is>
      </c>
      <c r="B29" s="29" t="inlineStr">
        <is>
          <t>MCQ answer: D  SUMX is an iterator that evaluates the expression on every row before adding.
Fill answer: SUMX
Task answer:
Total Sales = SUM(Sales[Amount])
Practice answer:
That it is an iterator that evaluates an expression for each row.</t>
        </is>
      </c>
      <c r="C29" s="29" t="inlineStr">
        <is>
          <t>04_DAX_Beginner_PBI-028_quiz</t>
        </is>
      </c>
    </row>
    <row r="30" ht="148.5" customHeight="1">
      <c r="A30" s="29" t="inlineStr">
        <is>
          <t>MCQ: In CALCULATE, which argument comes first?
A) The expression to evaluate B) The filter C) The relationship D) The table
FILL: Red Sales = ____([Total Sales], Product[Color] = "Red")
HINDI TO TASK: Write a measure of total sales for the Online channel.
PRACTICE QUESTION: What happens when CALCULATE filters a column that the report already filters?</t>
        </is>
      </c>
      <c r="B30" s="29" t="inlineStr">
        <is>
          <t>MCQ answer: A  The expression comes first and the filters follow.
Fill answer: CALCULATE
Task answer:
Online Sales = CALCULATE([Total Sales], Sales[Channel] = "Online")
Practice answer:
The new filter replaces the existing filter on that column.</t>
        </is>
      </c>
      <c r="C30" s="29" t="inlineStr">
        <is>
          <t>04_DAX_Intermediate_PBI-029_quiz</t>
        </is>
      </c>
    </row>
    <row r="31" ht="121.5" customHeight="1">
      <c r="A31" s="29" t="inlineStr">
        <is>
          <t>MCQ: What does FILTER return?
A) A single number B) A column name C) A table D) A relationship
FILL: CALCULATE([Total Sales], ____(Sales, Sales[Amount] &gt; 1000))
HINDI TO TASK: Count the rows of Sales where Amount is above 500.
PRACTICE QUESTION: Why is FILTER often slower than a simple condition?</t>
        </is>
      </c>
      <c r="B31" s="29" t="inlineStr">
        <is>
          <t>MCQ answer: C  FILTER returns the rows that satisfy the condition, as a table.
Fill answer: FILTER
Task answer:
Big Count = CALCULATE(COUNTROWS(Sales), FILTER(Sales, Sales[Amount] &gt; 500))
Practice answer:
Because it iterates over every row of the table it is given.</t>
        </is>
      </c>
      <c r="C31" s="29" t="inlineStr">
        <is>
          <t>04_DAX_Intermediate_PBI-030_quiz</t>
        </is>
      </c>
    </row>
    <row r="32" ht="135" customHeight="1">
      <c r="A32" s="29" t="inlineStr">
        <is>
          <t>MCQ: What does ALL(Product) inside CALCULATE do?
A) Adds a filter B) Removes filters on the product table C) Renames the table D) Deletes the product table
FILL: CALCULATE([Total Sales], ____(Product))
HINDI TO TASK: Write a measure that ignores all filters on the Region table.
PRACTICE QUESTION: What does ALLEXCEPT(Sales, Sales[Year]) keep?</t>
        </is>
      </c>
      <c r="B32" s="29" t="inlineStr">
        <is>
          <t>MCQ answer: B  ALL clears the filters so the measure ignores product slicing.
Fill answer: ALL
Task answer:
Sales All Regions = CALCULATE([Total Sales], ALL(Region))
Practice answer:
Only the filter on Year, while all other filters on Sales are removed.</t>
        </is>
      </c>
      <c r="C32" s="29" t="inlineStr">
        <is>
          <t>04_DAX_Intermediate_PBI-031_quiz</t>
        </is>
      </c>
    </row>
    <row r="33" ht="135" customHeight="1">
      <c r="A33" s="29" t="inlineStr">
        <is>
          <t>MCQ: What does DIVIDE return by default when the denominator is zero?
A) 1 B) An error C) The numerator D) Blank
FILL: Margin % = ____([Total Profit], [Total Sales], 0)
HINDI TO TASK: Write a safe average price measure from Total Sales and Units Sold.
PRACTICE QUESTION: What is the third argument of DIVIDE for?</t>
        </is>
      </c>
      <c r="B33" s="29" t="inlineStr">
        <is>
          <t>MCQ answer: D  Without an alternate result, DIVIDE returns BLANK.
Fill answer: DIVIDE
Task answer:
Average Price = DIVIDE([Total Sales], [Units Sold])
Practice answer:
The value to return when the denominator is zero or blank.</t>
        </is>
      </c>
      <c r="C33" s="29" t="inlineStr">
        <is>
          <t>04_DAX_Beginner_PBI-032_quiz</t>
        </is>
      </c>
    </row>
    <row r="34" ht="148.5" customHeight="1">
      <c r="A34" s="29" t="inlineStr">
        <is>
          <t>MCQ: In SWITCH(TRUE(), ...), which result is returned?
A) The last one B) A random one C) All of them D) The first one whose condition is true
FILL: For many ordered conditions you can use ____(TRUE(), ...)
HINDI TO TASK: Write a measure that returns High if sales exceed 10000, otherwise Low.
PRACTICE QUESTION: Why does the order of conditions matter in SWITCH(TRUE(), ...)?</t>
        </is>
      </c>
      <c r="B34" s="29" t="inlineStr">
        <is>
          <t>MCQ answer: D  SWITCH checks the conditions in order and stops at the first that is true.
Fill answer: SWITCH
Task answer:
Size = IF([Total Sales] &gt; 10000, "High", "Low")
Practice answer:
Because the first condition that is true decides the result.</t>
        </is>
      </c>
      <c r="C34" s="29" t="inlineStr">
        <is>
          <t>04_DAX_Beginner_PBI-033_quiz</t>
        </is>
      </c>
    </row>
    <row r="35" ht="148.5" customHeight="1">
      <c r="A35" s="29" t="inlineStr">
        <is>
          <t>MCQ: What does RELATED need in order to work?
A) A relationship between the tables B) A bookmark C) A parameter D) A slicer
FILL: Category = ____(Product[Category])
HINDI TO TASK: Add a column to Sales that brings the Region from the Customer table.
PRACTICE QUESTION: Which function returns the matching many-side rows instead of one value?</t>
        </is>
      </c>
      <c r="B35" s="29" t="inlineStr">
        <is>
          <t>MCQ answer: A  RELATED follows an existing relationship to the other table.
Fill answer: RELATED
Task answer:
Region = RELATED(Customer[Region])
Practice answer:
RELATEDTABLE</t>
        </is>
      </c>
      <c r="C35" s="29" t="inlineStr">
        <is>
          <t>04_DAX_Intermediate_PBI-034_quiz</t>
        </is>
      </c>
    </row>
    <row r="36" ht="135" customHeight="1">
      <c r="A36" s="29" t="inlineStr">
        <is>
          <t>MCQ: What keyword must end a DAX formula that uses VAR?
A) RESULT B) RETURN C) END D) STOP
FILL: VAR Revenue = [Total Sales] ____ Revenue * 2
HINDI TO TASK: Write a measure that stores Total Sales in a variable and returns it times two.
PRACTICE QUESTION: How many times is a variable evaluated within a formula?</t>
        </is>
      </c>
      <c r="B36" s="29" t="inlineStr">
        <is>
          <t>MCQ answer: B  A formula with VAR must provide a RETURN expression.
Fill answer: RETURN
Task answer:
Double Sales = VAR S = [Total Sales] RETURN S * 2
Practice answer:
Once, where it is defined.</t>
        </is>
      </c>
      <c r="C36" s="29" t="inlineStr">
        <is>
          <t>04_DAX_Intermediate_PBI-035_quiz</t>
        </is>
      </c>
    </row>
    <row r="37" ht="135" customHeight="1">
      <c r="A37" s="29" t="inlineStr">
        <is>
          <t>MCQ: A customer bought five times. How many times does DISTINCTCOUNT of CustomerID count that customer?
A) Zero B) Twice C) Once D) Five times
FILL: Order Count = ____(Sales)
HINDI TO TASK: Write a measure for the number of unique products sold.
PRACTICE QUESTION: What does COUNTROWS take as its argument?</t>
        </is>
      </c>
      <c r="B37" s="29" t="inlineStr">
        <is>
          <t>MCQ answer: C  DISTINCTCOUNT counts each unique value once.
Fill answer: COUNTROWS
Task answer:
Products Sold = DISTINCTCOUNT(Sales[ProductID])
Practice answer:
A table, not a column.</t>
        </is>
      </c>
      <c r="C37" s="29" t="inlineStr">
        <is>
          <t>04_DAX_Beginner_PBI-036_quiz</t>
        </is>
      </c>
    </row>
    <row r="38" ht="135" customHeight="1">
      <c r="A38" s="29" t="inlineStr">
        <is>
          <t>MCQ: What does TOTALYTD reset to at the start of each year?
A) It deletes data B) It becomes text C) It keeps adding D) It starts again from zero
FILL: Sales YTD = ____([Total Sales], Dates[Date])
HINDI TO TASK: Write a measure for quarter-to-date sales.
PRACTICE QUESTION: How do you set a fiscal year ending 31 March in TOTALYTD?</t>
        </is>
      </c>
      <c r="B38" s="29" t="inlineStr">
        <is>
          <t>MCQ answer: D  Year to date starts over at the beginning of each year.
Fill answer: TOTALYTD
Task answer:
Sales QTD = TOTALQTD([Total Sales], Dates[Date])
Practice answer:
Pass "3/31" (month and day) as the year-end argument.</t>
        </is>
      </c>
      <c r="C38" s="29" t="inlineStr">
        <is>
          <t>04_DAX_Intermediate_PBI-037_quiz</t>
        </is>
      </c>
    </row>
    <row r="39" ht="121.5" customHeight="1">
      <c r="A39" s="29" t="inlineStr">
        <is>
          <t>MCQ: What does SAMEPERIODLASTYEAR return?
A) A number B) A relationship C) A table of dates D) A text label
FILL: Sales LY = CALCULATE([Total Sales], ____(Dates[Date]))
HINDI TO TASK: Write a year-over-year growth measure using Sales LY.
PRACTICE QUESTION: What must be used together with SAMEPERIODLASTYEAR to return a value?</t>
        </is>
      </c>
      <c r="B39" s="29" t="inlineStr">
        <is>
          <t>MCQ answer: C  It returns the shifted dates, which CALCULATE then uses as a filter.
Fill answer: SAMEPERIODLASTYEAR
Task answer:
Growth % = DIVIDE([Total Sales] - [Sales LY], [Sales LY])
Practice answer:
CALCULATE</t>
        </is>
      </c>
      <c r="C39" s="29" t="inlineStr">
        <is>
          <t>04_DAX_Intermediate_PBI-038_quiz</t>
        </is>
      </c>
    </row>
    <row r="40" ht="108" customHeight="1">
      <c r="A40" s="29" t="inlineStr">
        <is>
          <t>MCQ: Which number do you use in DATEADD to go back one month?
A) Plus one B) Minus one C) Twelve D) Zero
FILL: DATEADD(Dates[Date], ____, MONTH) goes back one month
HINDI TO TASK: Write a measure for sales of the previous quarter.
PRACTICE QUESTION: Which intervals can DATEADD use?</t>
        </is>
      </c>
      <c r="B40" s="29" t="inlineStr">
        <is>
          <t>MCQ answer: B  A negative number moves the dates backward.
Fill answer: -1
Task answer:
Sales Last Quarter = CALCULATE([Total Sales], DATEADD(Dates[Date], -1, QUARTER))
Practice answer:
DAY, MONTH, QUARTER and YEAR.</t>
        </is>
      </c>
      <c r="C40" s="29" t="inlineStr">
        <is>
          <t>04_DAX_Intermediate_PBI-039_quiz</t>
        </is>
      </c>
    </row>
    <row r="41" ht="148.5" customHeight="1">
      <c r="A41" s="29" t="inlineStr">
        <is>
          <t>MCQ: What is the default sort order in RANKX?
A) Descending, largest is rank 1 B) Ascending, smallest is rank 1 C) Alphabetical D) Random
FILL: Top 3 Sales = CALCULATE([Total Sales], ____(3, ALL(Product[Name]), [Total Sales]))
HINDI TO TASK: Write a measure that ranks customers by total sales across all customers.
PRACTICE QUESTION: Why is ALL used inside RANKX?</t>
        </is>
      </c>
      <c r="B41" s="29" t="inlineStr">
        <is>
          <t>MCQ answer: A  By default the largest value gets rank 1.
Fill answer: TOPN
Task answer:
Customer Rank = RANKX(ALL(Customer[Name]), [Total Sales])
Practice answer:
So that the rank is calculated across all items, not only the filtered ones.</t>
        </is>
      </c>
      <c r="C41" s="29" t="inlineStr">
        <is>
          <t>04_DAX_Advanced_PBI-040_quiz</t>
        </is>
      </c>
    </row>
    <row r="42" ht="148.5" customHeight="1">
      <c r="A42" s="29" t="inlineStr">
        <is>
          <t>MCQ: Where is USERELATIONSHIP normally used?
A) In a bookmark B) In a slicer C) In Power Query D) Inside CALCULATE
FILL: CALCULATE([Total Sales], ____(Sales[ShipDate], Dates[Date]))
HINDI TO TASK: Write a measure of sales by due date using an inactive relationship.
PRACTICE QUESTION: How many relationships between two tables can be active at once?</t>
        </is>
      </c>
      <c r="B42" s="29" t="inlineStr">
        <is>
          <t>MCQ answer: D  It is a filter argument of CALCULATE.
Fill answer: USERELATIONSHIP
Task answer:
Sales by Due Date = CALCULATE([Total Sales], USERELATIONSHIP(Sales[DueDate], Dates[Date]))
Practice answer:
Only one.</t>
        </is>
      </c>
      <c r="C42" s="29" t="inlineStr">
        <is>
          <t>04_DAX_Advanced_PBI-041_quiz</t>
        </is>
      </c>
    </row>
    <row r="43" ht="81" customHeight="1">
      <c r="A43" s="29" t="inlineStr">
        <is>
          <t>MCQ: In which context does a measure run by default?
A) Filter context B) Page context C) No context D) Row context
FILL: A calculated column is evaluated in ____ context
APPLY: Which function can turn a row context into a filter context?</t>
        </is>
      </c>
      <c r="B43" s="29" t="inlineStr">
        <is>
          <t>MCQ answer: A  Measures evaluate against the filters supplied by the report.
Fill answer: row
Apply: CALCULATE</t>
        </is>
      </c>
      <c r="C43" s="29" t="inlineStr">
        <is>
          <t>04_DAX_Intermediate_PBI-042_quiz</t>
        </is>
      </c>
    </row>
    <row r="44" ht="94.5" customHeight="1">
      <c r="A44" s="29" t="inlineStr">
        <is>
          <t>MCQ: Which visual is best for showing a trend over months?
A) Pie chart B) Table C) Line chart D) Card
FILL: To show one key number clearly you can use a ____ visual
APPLY: Which chart would you choose to compare sales across ten regions?</t>
        </is>
      </c>
      <c r="B44" s="29" t="inlineStr">
        <is>
          <t>MCQ answer: C  A line chart shows how a value changes over time.
Fill answer: card
Apply: A sorted bar chart</t>
        </is>
      </c>
      <c r="C44" s="29" t="inlineStr">
        <is>
          <t>05_Visuals_and_design_Beginner_PBI-043_quiz</t>
        </is>
      </c>
    </row>
    <row r="45" ht="121.5" customHeight="1">
      <c r="A45" s="29" t="inlineStr">
        <is>
          <t>MCQ: What does a slicer do?
A) Changes a theme B) Filters other visuals C) Deletes data D) Adds a new table
FILL: To make one slicer apply across several pages, use ____ slicers
APPLY: Managers want to pick their own region. Which visual do you add?</t>
        </is>
      </c>
      <c r="B45" s="29" t="inlineStr">
        <is>
          <t>MCQ answer: B  A slicer filters the other visuals on its page.
Fill answer: sync
Apply: A Region slicer</t>
        </is>
      </c>
      <c r="C45" s="29" t="inlineStr">
        <is>
          <t>05_Visuals_and_design_Beginner_PBI-044_quiz</t>
        </is>
      </c>
    </row>
    <row r="46" ht="94.5" customHeight="1">
      <c r="A46" s="29" t="inlineStr">
        <is>
          <t>MCQ: Which filter level affects every page in the report?
A) Cell level B) Visual level C) Page level D) Report level
FILL: The filter scope between visual level and report level is called ____ level
APPLY: How do you limit one chart to the top five items?</t>
        </is>
      </c>
      <c r="B46" s="29" t="inlineStr">
        <is>
          <t>MCQ answer: D  A report-level filter applies to all pages.
Fill answer: page
Apply: Use a Top N filter at the visual level</t>
        </is>
      </c>
      <c r="C46" s="29" t="inlineStr">
        <is>
          <t>05_Visuals_and_design_Intermediate_PBI-045_quiz</t>
        </is>
      </c>
    </row>
    <row r="47" ht="94.5" customHeight="1">
      <c r="A47" s="29" t="inlineStr">
        <is>
          <t>MCQ: Which feature opens a different report page filtered to the selected item?
A) Drill through B) Theme C) Slicer D) Drill down
FILL: Moving from Year to Month in one chart is called drill ____
APPLY: How do users reach a detail page for one customer?</t>
        </is>
      </c>
      <c r="B47" s="29" t="inlineStr">
        <is>
          <t>MCQ answer: A  Drill through jumps to a detail page filtered for the item.
Fill answer: down
Apply: Set up a drill-through page and right-click the customer</t>
        </is>
      </c>
      <c r="C47" s="29" t="inlineStr">
        <is>
          <t>05_Visuals_and_design_Intermediate_PBI-046_quiz</t>
        </is>
      </c>
    </row>
    <row r="48" ht="94.5" customHeight="1">
      <c r="A48" s="29" t="inlineStr">
        <is>
          <t>MCQ: Which feature saves slicer selections and visual visibility so a button can restore them?
A) Parameter B) Bookmark C) Tooltip D) Theme
FILL: A small page that appears on hover over a data point is a ____
APPLY: How would you let users toggle between a chart and a table?</t>
        </is>
      </c>
      <c r="B48" s="29" t="inlineStr">
        <is>
          <t>MCQ answer: B  A bookmark stores the page state that a button can restore.
Fill answer: tooltip
Apply: Use two bookmarks linked to buttons</t>
        </is>
      </c>
      <c r="C48" s="29" t="inlineStr">
        <is>
          <t>05_Visuals_and_design_Intermediate_PBI-047_quiz</t>
        </is>
      </c>
    </row>
    <row r="49" ht="94.5" customHeight="1">
      <c r="A49" s="29" t="inlineStr">
        <is>
          <t>MCQ: Which option automatically colours cells based on their values?
A) Bookmark B) Gateway C) Conditional formatting D) Parameter
FILL: A background that changes from red to green with the value uses a colour ____
APPLY: How do you highlight negative growth in red?</t>
        </is>
      </c>
      <c r="B49" s="29" t="inlineStr">
        <is>
          <t>MCQ answer: C  Conditional formatting applies colours from rules or values.
Fill answer: scale
Apply: Set a conditional formatting rule on the growth column</t>
        </is>
      </c>
      <c r="C49" s="29" t="inlineStr">
        <is>
          <t>05_Visuals_and_design_Intermediate_PBI-048_quiz</t>
        </is>
      </c>
    </row>
    <row r="50" ht="108" customHeight="1">
      <c r="A50" s="29" t="inlineStr">
        <is>
          <t>MCQ: Which feature is designed to share finished content with many viewers?
A) Workspace B) Gateway C) Parameter D) App
FILL: Content is built together by a team in a ____
APPLY: How can 200 managers see the final reports without editing rights?</t>
        </is>
      </c>
      <c r="B50" s="29" t="inlineStr">
        <is>
          <t>MCQ answer: D  An app packages selected content for consumption by many viewers.
Fill answer: workspace
Apply: Publish an app and give them access to it</t>
        </is>
      </c>
      <c r="C50" s="29" t="inlineStr">
        <is>
          <t>06_Service_and_governance_Intermediate_PBI-049_quiz</t>
        </is>
      </c>
    </row>
    <row r="51" ht="94.5" customHeight="1">
      <c r="A51" s="29" t="inlineStr">
        <is>
          <t>MCQ: When is an on-premises data gateway needed?
A) Only for Excel in OneDrive B) For data on a private network C) For every cloud source D) Never
FILL: A scheduled ____ reloads imported data at set times
APPLY: A report shows old numbers. What do you check first?</t>
        </is>
      </c>
      <c r="B51" s="29" t="inlineStr">
        <is>
          <t>MCQ answer: B  The gateway connects the Service to sources inside a private network.
Fill answer: refresh
Apply: The scheduled refresh status and the gateway</t>
        </is>
      </c>
      <c r="C51" s="29" t="inlineStr">
        <is>
          <t>06_Service_and_governance_Intermediate_PBI-050_quiz</t>
        </is>
      </c>
    </row>
    <row r="52" ht="108" customHeight="1">
      <c r="A52" s="29" t="inlineStr">
        <is>
          <t>MCQ: Where do you define the DAX filter rules of RLS roles?
A) In the mobile app B) In Excel C) In the model, in Power BI Desktop D) In the gateway
FILL: Dynamic RLS often uses the function ____() to find the signed-in user
APPLY: How do you test a role before publishing?</t>
        </is>
      </c>
      <c r="B52" s="29" t="inlineStr">
        <is>
          <t>MCQ answer: C  Roles and their filters are defined on the model and then assigned in the Service.
Fill answer: USERPRINCIPALNAME
Apply: Use View as in Power BI Desktop</t>
        </is>
      </c>
      <c r="C52" s="29" t="inlineStr">
        <is>
          <t>06_Service_and_governance_Advanced_PBI-051_quiz</t>
        </is>
      </c>
    </row>
    <row r="53" ht="108" customHeight="1">
      <c r="A53" s="29" t="inlineStr">
        <is>
          <t>MCQ: What do dataflows run in the Service?
A) Power Query transformations B) DAX measures C) Visuals D) Bookmarks
FILL: Dataflows are created with Power Query ____ in the Service
APPLY: Several reports need the same cleaned customer table. What do you create?</t>
        </is>
      </c>
      <c r="B53" s="29" t="inlineStr">
        <is>
          <t>MCQ answer: A  Dataflows run Power Query transformations and store reusable tables.
Fill answer: Online
Apply: A dataflow</t>
        </is>
      </c>
      <c r="C53" s="29" t="inlineStr">
        <is>
          <t>06_Service_and_governance_Advanced_PBI-052_quiz</t>
        </is>
      </c>
    </row>
    <row r="54" ht="94.5" customHeight="1">
      <c r="A54" s="29" t="inlineStr">
        <is>
          <t>MCQ: What are the usual stages of a deployment pipeline?
A) Development, Test and Production B) Draft and Done C) Load and Save D) Input and Output
FILL: Content moves from Development to Test and then to ____
APPLY: How do you check changes before users see them?</t>
        </is>
      </c>
      <c r="B54" s="29" t="inlineStr">
        <is>
          <t>MCQ answer: A  The standard stages are Development, Test and Production.
Fill answer: Production
Apply: Deploy to the Test stage of a pipeline first</t>
        </is>
      </c>
      <c r="C54" s="29" t="inlineStr">
        <is>
          <t>06_Service_and_governance_Advanced_PBI-053_quiz</t>
        </is>
      </c>
    </row>
    <row r="55" ht="121.5" customHeight="1">
      <c r="A55" s="29" t="inlineStr">
        <is>
          <t>MCQ: What does a sensitivity label do?
A) Refreshes data B) Draws charts C) Classifies and can protect content D) Creates relationships
FILL: Labels used by Power BI come from Microsoft Purview Information ____
APPLY: How can you protect an exported file from a confidential report?</t>
        </is>
      </c>
      <c r="B55" s="29" t="inlineStr">
        <is>
          <t>MCQ answer: C  A label marks sensitivity and can apply protection.
Fill answer: Protection
Apply: Apply a sensitivity label that follows the data</t>
        </is>
      </c>
      <c r="C55" s="29" t="inlineStr">
        <is>
          <t>06_Service_and_governance_Advanced_PBI-054_quiz</t>
        </is>
      </c>
    </row>
    <row r="56" ht="108" customHeight="1">
      <c r="A56" s="29" t="inlineStr">
        <is>
          <t>MCQ: What are the names of the two required parameters for incremental refresh?
A) From and To B) RangeStart and RangeEnd C) Min and Max D) Start and End
FILL: Incremental refresh uses parameters named RangeStart and ____
APPLY: A huge table takes hours to refresh. What can you set up?</t>
        </is>
      </c>
      <c r="B56" s="29" t="inlineStr">
        <is>
          <t>MCQ answer: B  The parameters must be named exactly RangeStart and RangeEnd.
Fill answer: RangeEnd
Apply: Incremental refresh with RangeStart and RangeEnd</t>
        </is>
      </c>
      <c r="C56" s="29" t="inlineStr">
        <is>
          <t>07_Advanced_Advanced_PBI-055_quiz</t>
        </is>
      </c>
    </row>
    <row r="57" ht="121.5" customHeight="1">
      <c r="A57" s="29" t="inlineStr">
        <is>
          <t>MCQ: What is a composite model?
A) A model with only DAX B) A model with one table C) A model without relationships D) A model with more than one storage mode
FILL: A summary table that answers common queries fast is called an ____
APPLY: Live detail data is slow at a high level. What can speed it up?</t>
        </is>
      </c>
      <c r="B57" s="29" t="inlineStr">
        <is>
          <t>MCQ answer: D  Composite models combine Import and DirectQuery tables.
Fill answer: aggregation
Apply: An imported aggregation table</t>
        </is>
      </c>
      <c r="C57" s="29" t="inlineStr">
        <is>
          <t>07_Advanced_Advanced_PBI-056_quiz</t>
        </is>
      </c>
    </row>
    <row r="58" ht="94.5" customHeight="1">
      <c r="A58" s="29" t="inlineStr">
        <is>
          <t>MCQ: Where does Performance Analyzer show a visual's calculation time?
A) Gateway B) Slicer C) DAX query D) Theme
FILL: Performance Analyzer is found on the ____ tab of Desktop
APPLY: A visual has a long DAX query time. What do you examine?</t>
        </is>
      </c>
      <c r="B58" s="29" t="inlineStr">
        <is>
          <t>MCQ answer: C  The DAX query time shows how long the data calculation took.
Fill answer: View
Apply: The measure and the model</t>
        </is>
      </c>
      <c r="C58" s="29" t="inlineStr">
        <is>
          <t>07_Advanced_Advanced_PBI-057_quiz</t>
        </is>
      </c>
    </row>
    <row r="59" ht="94.5" customHeight="1">
      <c r="A59" s="29" t="inlineStr">
        <is>
          <t>MCQ: Which function lets a calculation item refer to whichever measure is in use?
A) DIVIDE B) SELECTEDMEASURE C) CALCULATE only D) RELATED
FILL: Calculation items use ____() to refer to the measure in use
APPLY: How can you avoid creating a YTD version of thirty measures?</t>
        </is>
      </c>
      <c r="B59" s="29" t="inlineStr">
        <is>
          <t>MCQ answer: B  SELECTEDMEASURE() stands for the measure currently being evaluated.
Fill answer: SELECTEDMEASURE
Apply: Create a calculation group with a YTD item</t>
        </is>
      </c>
      <c r="C59" s="29" t="inlineStr">
        <is>
          <t>07_Advanced_Advanced_PBI-058_quiz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37</v>
      </c>
    </row>
    <row r="3">
      <c r="A3" t="inlineStr">
        <is>
          <t>Code concept (56-pt)</t>
        </is>
      </c>
      <c r="B3" t="n">
        <v>21</v>
      </c>
    </row>
    <row r="5">
      <c r="A5" s="21" t="inlineStr">
        <is>
          <t>Cards by topic</t>
        </is>
      </c>
    </row>
    <row r="6">
      <c r="A6" t="inlineStr">
        <is>
          <t>04 DAX</t>
        </is>
      </c>
      <c r="B6" t="n">
        <v>15</v>
      </c>
    </row>
    <row r="7">
      <c r="A7" t="inlineStr">
        <is>
          <t>02 Power Query</t>
        </is>
      </c>
      <c r="B7" t="n">
        <v>10</v>
      </c>
    </row>
    <row r="8">
      <c r="A8" t="inlineStr">
        <is>
          <t>01 Basics</t>
        </is>
      </c>
      <c r="B8" t="n">
        <v>9</v>
      </c>
    </row>
    <row r="9">
      <c r="A9" t="inlineStr">
        <is>
          <t>03 Data modelling</t>
        </is>
      </c>
      <c r="B9" t="n">
        <v>8</v>
      </c>
    </row>
    <row r="10">
      <c r="A10" t="inlineStr">
        <is>
          <t>05 Visuals and design</t>
        </is>
      </c>
      <c r="B10" t="n">
        <v>6</v>
      </c>
    </row>
    <row r="11">
      <c r="A11" t="inlineStr">
        <is>
          <t>06 Service and governance</t>
        </is>
      </c>
      <c r="B11" t="n">
        <v>6</v>
      </c>
    </row>
    <row r="12">
      <c r="A12" t="inlineStr">
        <is>
          <t>07 Advanced</t>
        </is>
      </c>
      <c r="B12" t="n">
        <v>4</v>
      </c>
    </row>
    <row r="14">
      <c r="A14" s="21" t="inlineStr">
        <is>
          <t>Cards by level</t>
        </is>
      </c>
    </row>
    <row r="15">
      <c r="A15" t="inlineStr">
        <is>
          <t>Beginner</t>
        </is>
      </c>
      <c r="B15" t="n">
        <v>24</v>
      </c>
    </row>
    <row r="16">
      <c r="A16" t="inlineStr">
        <is>
          <t>Intermediate</t>
        </is>
      </c>
      <c r="B16" t="n">
        <v>23</v>
      </c>
    </row>
    <row r="17">
      <c r="A17" t="inlineStr">
        <is>
          <t>Advanced</t>
        </is>
      </c>
      <c r="B17" t="n">
        <v>11</v>
      </c>
    </row>
    <row r="19">
      <c r="A19" s="21" t="inlineStr">
        <is>
          <t>Cards by source</t>
        </is>
      </c>
    </row>
    <row r="20">
      <c r="A20" t="inlineStr">
        <is>
          <t>Claude knowledge</t>
        </is>
      </c>
      <c r="B20" t="n">
        <v>58</v>
      </c>
    </row>
    <row r="22">
      <c r="A22" s="21" t="inlineStr">
        <is>
          <t>Error check</t>
        </is>
      </c>
    </row>
    <row r="23">
      <c r="A23"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2026-10-07T16:54:20Z</dcterms:created>
  <dcterms:modified xmlns:dcterms="http://purl.org/dc/terms/" xmlns:xsi="http://www.w3.org/2001/XMLSchema-instance" xsi:type="dcterms:W3CDTF">2026-10-07T16:54:20Z</dcterms:modified>
</cp:coreProperties>
</file>