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 concept (56-pt) cards" sheetId="2" state="visible" r:id="rId2"/>
    <sheet xmlns:r="http://schemas.openxmlformats.org/officeDocument/2006/relationships" name="Code card view" sheetId="3" state="visible" r:id="rId3"/>
    <sheet xmlns:r="http://schemas.openxmlformats.org/officeDocument/2006/relationships" name="Topic (56-pt) cards" sheetId="4" state="visible" r:id="rId4"/>
    <sheet xmlns:r="http://schemas.openxmlformats.org/officeDocument/2006/relationships" name="Topic card view" sheetId="5" state="visible" r:id="rId5"/>
    <sheet xmlns:r="http://schemas.openxmlformats.org/officeDocument/2006/relationships" name="Anki Import" sheetId="6" state="visible" r:id="rId6"/>
    <sheet xmlns:r="http://schemas.openxmlformats.org/officeDocument/2006/relationships" name="Anki Quiz" sheetId="7" state="visible" r:id="rId7"/>
    <sheet xmlns:r="http://schemas.openxmlformats.org/officeDocument/2006/relationships" name="Summary" sheetId="8" state="visible" r:id="rId8"/>
  </sheets>
  <definedNames>
    <definedName name="_xlnm._FilterDatabase" localSheetId="1" hidden="1">'Code concept (56-pt) cards'!$A$2:$BN$10</definedName>
    <definedName name="_xlnm._FilterDatabase" localSheetId="3" hidden="1">'Topic (56-pt) cards'!$A$2:$BB$34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sz val="11"/>
    </font>
    <font>
      <b val="1"/>
      <sz val="11"/>
    </font>
    <font>
      <b val="1"/>
      <color rgb="00FFFFFF"/>
    </font>
    <font>
      <b val="1"/>
    </font>
    <font>
      <name val="Consolas"/>
      <sz val="10"/>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2" borderId="1" applyAlignment="1" pivotButton="0" quotePrefix="0" xfId="0">
      <alignment vertical="top" wrapText="1"/>
    </xf>
    <xf numFmtId="0" fontId="7" fillId="0" borderId="0" pivotButton="0" quotePrefix="0" xfId="0"/>
    <xf numFmtId="0" fontId="5" fillId="0" borderId="0" pivotButton="0" quotePrefix="0" xfId="0"/>
    <xf numFmtId="0" fontId="8" fillId="15" borderId="1" pivotButton="0" quotePrefix="0" xfId="0"/>
    <xf numFmtId="0" fontId="9" fillId="16" borderId="0" applyAlignment="1" pivotButton="0" quotePrefix="0" xfId="0">
      <alignment horizontal="center"/>
    </xf>
    <xf numFmtId="0" fontId="10" fillId="17" borderId="1" applyAlignment="1" pivotButton="0" quotePrefix="0" xfId="0">
      <alignment vertical="top" wrapText="1"/>
    </xf>
    <xf numFmtId="0" fontId="9" fillId="18" borderId="0" applyAlignment="1" pivotButton="0" quotePrefix="0" xfId="0">
      <alignment horizontal="center"/>
    </xf>
    <xf numFmtId="0" fontId="6" fillId="0" borderId="1" applyAlignment="1" pivotButton="0" quotePrefix="0" xfId="0">
      <alignment vertical="top" wrapText="1"/>
    </xf>
    <xf numFmtId="0" fontId="9"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RAG – Beginner to Advanced Flashcards</t>
        </is>
      </c>
    </row>
    <row r="2">
      <c r="A2" s="2" t="inlineStr">
        <is>
          <t>Subject: Retrieval-augmented generation   ·   Learner: Self learner, English   ·   Cards: 40</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1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42" customWidth="1" min="12" max="12"/>
    <col width="42" customWidth="1" min="13" max="13"/>
    <col width="42" customWidth="1" min="14" max="14"/>
    <col width="42" customWidth="1" min="15" max="15"/>
    <col width="42" customWidth="1" min="16" max="16"/>
    <col width="42" customWidth="1" min="17" max="17"/>
    <col width="18" customWidth="1" min="18" max="18"/>
    <col width="18" customWidth="1" min="19" max="19"/>
    <col width="42" customWidth="1" min="20" max="20"/>
    <col width="42" customWidth="1" min="21" max="21"/>
    <col width="42" customWidth="1" min="22" max="22"/>
    <col width="42" customWidth="1" min="23" max="23"/>
    <col width="42" customWidth="1" min="24" max="24"/>
    <col width="18" customWidth="1" min="25" max="25"/>
    <col width="18" customWidth="1" min="26" max="26"/>
    <col width="42" customWidth="1" min="27" max="27"/>
    <col width="42" customWidth="1" min="28" max="28"/>
    <col width="42" customWidth="1" min="29" max="29"/>
    <col width="42" customWidth="1" min="30" max="30"/>
    <col width="18" customWidth="1" min="31" max="31"/>
    <col width="18" customWidth="1" min="32" max="32"/>
    <col width="18"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18" customWidth="1" min="48" max="48"/>
    <col width="18" customWidth="1" min="49" max="49"/>
    <col width="42" customWidth="1" min="50" max="50"/>
    <col width="42" customWidth="1" min="51" max="51"/>
    <col width="42" customWidth="1" min="52" max="52"/>
    <col width="42" customWidth="1" min="53" max="53"/>
    <col width="42" customWidth="1" min="54" max="54"/>
    <col width="42" customWidth="1" min="55" max="55"/>
    <col width="18" customWidth="1" min="56" max="56"/>
    <col width="42" customWidth="1" min="57" max="57"/>
    <col width="18" customWidth="1" min="58" max="58"/>
    <col width="9" customWidth="1" min="59" max="59"/>
    <col width="9" customWidth="1" min="60" max="60"/>
    <col width="9" customWidth="1" min="61" max="61"/>
    <col width="9" customWidth="1" min="62" max="62"/>
    <col width="9" customWidth="1" min="63" max="63"/>
    <col width="9" customWidth="1" min="64" max="64"/>
    <col width="18" customWidth="1" min="65" max="65"/>
    <col width="18" customWidth="1" min="66" max="66"/>
  </cols>
  <sheetData>
    <row r="1">
      <c r="A1" s="5" t="inlineStr">
        <is>
          <t>Card</t>
        </is>
      </c>
      <c r="F1" s="6" t="inlineStr">
        <is>
          <t>Side 1 · Recognition</t>
        </is>
      </c>
      <c r="R1" s="7" t="inlineStr">
        <is>
          <t>Side 2 · Understanding</t>
        </is>
      </c>
      <c r="AT1" s="8" t="inlineStr">
        <is>
          <t>Side 3 · Real life &amp; Practice</t>
        </is>
      </c>
      <c r="BD1" s="9" t="inlineStr">
        <is>
          <t>Auto</t>
        </is>
      </c>
      <c r="BF1" s="10" t="inlineStr">
        <is>
          <t>My review</t>
        </is>
      </c>
    </row>
    <row r="2">
      <c r="A2" s="11" t="inlineStr">
        <is>
          <t>ID</t>
        </is>
      </c>
      <c r="B2" s="11" t="inlineStr">
        <is>
          <t>Topic</t>
        </is>
      </c>
      <c r="C2" s="11" t="inlineStr">
        <is>
          <t>Level</t>
        </is>
      </c>
      <c r="D2" s="11" t="inlineStr">
        <is>
          <t>Study order</t>
        </is>
      </c>
      <c r="E2" s="11" t="inlineStr">
        <is>
          <t>Source</t>
        </is>
      </c>
      <c r="F2" s="12" t="inlineStr">
        <is>
          <t>Concept</t>
        </is>
      </c>
      <c r="G2" s="12" t="inlineStr">
        <is>
          <t>Recall cue</t>
        </is>
      </c>
      <c r="H2" s="12" t="inlineStr">
        <is>
          <t>Read aloud</t>
        </is>
      </c>
      <c r="I2" s="12" t="inlineStr">
        <is>
          <t>Type</t>
        </is>
      </c>
      <c r="J2" s="12" t="inlineStr">
        <is>
          <t>How often used</t>
        </is>
      </c>
      <c r="K2" s="12" t="inlineStr">
        <is>
          <t>Importance (1-5)</t>
        </is>
      </c>
      <c r="L2" s="12" t="inlineStr">
        <is>
          <t>Origin / why it exists</t>
        </is>
      </c>
      <c r="M2" s="12" t="inlineStr">
        <is>
          <t>Pro tip</t>
        </is>
      </c>
      <c r="N2" s="12" t="inlineStr">
        <is>
          <t>Typing hint</t>
        </is>
      </c>
      <c r="O2" s="12" t="inlineStr">
        <is>
          <t>Memory story</t>
        </is>
      </c>
      <c r="P2" s="12" t="inlineStr">
        <is>
          <t>Picture it</t>
        </is>
      </c>
      <c r="Q2" s="12" t="inlineStr">
        <is>
          <t>Emotion hook</t>
        </is>
      </c>
      <c r="R2" s="13" t="inlineStr">
        <is>
          <t>Meaning (short)</t>
        </is>
      </c>
      <c r="S2" s="13" t="inlineStr">
        <is>
          <t>Meaning in learner's language</t>
        </is>
      </c>
      <c r="T2" s="13" t="inlineStr">
        <is>
          <t>Code</t>
        </is>
      </c>
      <c r="U2" s="13" t="inlineStr">
        <is>
          <t>Output</t>
        </is>
      </c>
      <c r="V2" s="13" t="inlineStr">
        <is>
          <t>Explanation</t>
        </is>
      </c>
      <c r="W2" s="13" t="inlineStr">
        <is>
          <t>Simple explanation (Hinglish)</t>
        </is>
      </c>
      <c r="X2" s="13" t="inlineStr">
        <is>
          <t>Real-life analogy</t>
        </is>
      </c>
      <c r="Y2" s="13" t="inlineStr">
        <is>
          <t>Syntax pattern</t>
        </is>
      </c>
      <c r="Z2" s="13" t="inlineStr">
        <is>
          <t>Anatomy</t>
        </is>
      </c>
      <c r="AA2" s="13" t="inlineStr">
        <is>
          <t>Example 1</t>
        </is>
      </c>
      <c r="AB2" s="13" t="inlineStr">
        <is>
          <t>Example 2</t>
        </is>
      </c>
      <c r="AC2" s="13" t="inlineStr">
        <is>
          <t>Example 3</t>
        </is>
      </c>
      <c r="AD2" s="13" t="inlineStr">
        <is>
          <t>Variation</t>
        </is>
      </c>
      <c r="AE2" s="13" t="inlineStr">
        <is>
          <t>Used with</t>
        </is>
      </c>
      <c r="AF2" s="13" t="inlineStr">
        <is>
          <t>Related concepts</t>
        </is>
      </c>
      <c r="AG2" s="13" t="inlineStr">
        <is>
          <t>Alternatives</t>
        </is>
      </c>
      <c r="AH2" s="13" t="inlineStr">
        <is>
          <t>Family / group</t>
        </is>
      </c>
      <c r="AI2" s="13" t="inlineStr">
        <is>
          <t>Where it is used</t>
        </is>
      </c>
      <c r="AJ2" s="13" t="inlineStr">
        <is>
          <t>Mini conversation</t>
        </is>
      </c>
      <c r="AK2" s="13" t="inlineStr">
        <is>
          <t>Common mistake</t>
        </is>
      </c>
      <c r="AL2" s="13" t="inlineStr">
        <is>
          <t>Commonly confused with</t>
        </is>
      </c>
      <c r="AM2" s="13" t="inlineStr">
        <is>
          <t>Avoid / don't</t>
        </is>
      </c>
      <c r="AN2" s="13" t="inlineStr">
        <is>
          <t>Wrong code</t>
        </is>
      </c>
      <c r="AO2" s="13" t="inlineStr">
        <is>
          <t>Right code</t>
        </is>
      </c>
      <c r="AP2" s="13" t="inlineStr">
        <is>
          <t>Memory trick</t>
        </is>
      </c>
      <c r="AQ2" s="13" t="inlineStr">
        <is>
          <t>Real life: project / work</t>
        </is>
      </c>
      <c r="AR2" s="13" t="inlineStr">
        <is>
          <t>Real life: interview / exam</t>
        </is>
      </c>
      <c r="AS2" s="13" t="inlineStr">
        <is>
          <t>Real life: daily life</t>
        </is>
      </c>
      <c r="AT2" s="14" t="inlineStr">
        <is>
          <t>MCQ question</t>
        </is>
      </c>
      <c r="AU2" s="14" t="inlineStr">
        <is>
          <t>MCQ options</t>
        </is>
      </c>
      <c r="AV2" s="14" t="inlineStr">
        <is>
          <t>MCQ answer</t>
        </is>
      </c>
      <c r="AW2" s="14" t="inlineStr">
        <is>
          <t>Why that answer</t>
        </is>
      </c>
      <c r="AX2" s="14" t="inlineStr">
        <is>
          <t>Fill the blank</t>
        </is>
      </c>
      <c r="AY2" s="14" t="inlineStr">
        <is>
          <t>Try it yourself</t>
        </is>
      </c>
      <c r="AZ2" s="14" t="inlineStr">
        <is>
          <t>Task answer</t>
        </is>
      </c>
      <c r="BA2" s="14" t="inlineStr">
        <is>
          <t>Write your own</t>
        </is>
      </c>
      <c r="BB2" s="14" t="inlineStr">
        <is>
          <t>Practice question</t>
        </is>
      </c>
      <c r="BC2" s="14" t="inlineStr">
        <is>
          <t>Practice answer</t>
        </is>
      </c>
      <c r="BD2" s="15" t="inlineStr">
        <is>
          <t>Importance ★</t>
        </is>
      </c>
      <c r="BE2" s="15" t="inlineStr">
        <is>
          <t>Quick recall (reverse)</t>
        </is>
      </c>
      <c r="BF2" s="16" t="inlineStr">
        <is>
          <t>Status</t>
        </is>
      </c>
      <c r="BG2" s="16" t="inlineStr">
        <is>
          <t>Day 1</t>
        </is>
      </c>
      <c r="BH2" s="16" t="inlineStr">
        <is>
          <t>Day 3</t>
        </is>
      </c>
      <c r="BI2" s="16" t="inlineStr">
        <is>
          <t>Day 7</t>
        </is>
      </c>
      <c r="BJ2" s="16" t="inlineStr">
        <is>
          <t>Day 15</t>
        </is>
      </c>
      <c r="BK2" s="16" t="inlineStr">
        <is>
          <t>Day 30</t>
        </is>
      </c>
      <c r="BL2" s="16" t="inlineStr">
        <is>
          <t>Day 60</t>
        </is>
      </c>
      <c r="BM2" s="16" t="inlineStr">
        <is>
          <t>OK / Fix</t>
        </is>
      </c>
      <c r="BN2" s="16" t="inlineStr">
        <is>
          <t>My note</t>
        </is>
      </c>
    </row>
    <row r="3" ht="189" customHeight="1">
      <c r="A3" s="17" t="inlineStr">
        <is>
          <t>RAG-009</t>
        </is>
      </c>
      <c r="B3" s="17" t="inlineStr">
        <is>
          <t>02 Ingestion</t>
        </is>
      </c>
      <c r="C3" s="17" t="inlineStr">
        <is>
          <t>Intermediate</t>
        </is>
      </c>
      <c r="D3" s="17" t="n">
        <v>9</v>
      </c>
      <c r="E3" s="17" t="inlineStr">
        <is>
          <t>Claude knowledge</t>
        </is>
      </c>
      <c r="F3" s="18" t="inlineStr">
        <is>
          <t>Chunking</t>
        </is>
      </c>
      <c r="G3" s="18" t="inlineStr">
        <is>
          <t>How do you split long documents into pieces that can be retrieved?</t>
        </is>
      </c>
      <c r="H3" s="17" t="n"/>
      <c r="I3" s="18" t="inlineStr">
        <is>
          <t>Ingestion step</t>
        </is>
      </c>
      <c r="J3" s="18" t="inlineStr">
        <is>
          <t>Very high</t>
        </is>
      </c>
      <c r="K3" s="18" t="n">
        <v>5</v>
      </c>
      <c r="L3" s="18" t="inlineStr">
        <is>
          <t>Embedding and prompts work on limited text, and whole documents blur meaning, so documents are split into focused chunks.</t>
        </is>
      </c>
      <c r="M3" s="18" t="inlineStr">
        <is>
          <t>Split on natural boundaries such as headings and paragraphs before using fixed sizes.</t>
        </is>
      </c>
      <c r="N3" s="17" t="n"/>
      <c r="O3" s="18" t="inlineStr">
        <is>
          <t>Chunking is cutting a long scroll at the paragraph breaks into index cards.</t>
        </is>
      </c>
      <c r="P3" s="18" t="inlineStr">
        <is>
          <t>A document cut into labelled cards with titles.</t>
        </is>
      </c>
      <c r="Q3" s="18" t="inlineStr">
        <is>
          <t>The satisfaction of cards that each make sense alone.</t>
        </is>
      </c>
      <c r="R3" s="18" t="inlineStr">
        <is>
          <t>Chunking divides documents into smaller passages, ideally along semantic boundaries such as headings and paragraphs, each carrying its title path and metadata.</t>
        </is>
      </c>
      <c r="S3" s="17" t="n"/>
      <c r="T3" s="19" t="inlineStr">
        <is>
          <t>-- a chunks table for ingestion
CREATE TABLE chunks (
  id BIGSERIAL PRIMARY KEY,
  doc_id TEXT NOT NULL,
  section_path TEXT,
  chunk_index INT NOT NULL,
  content TEXT NOT NULL,
  token_count INT,
  source_url TEXT,
  updated_at TIMESTAMPTZ
);
-- python-style idea (not run): split by headings, then merge small paragraphs up to about 400 tokens</t>
        </is>
      </c>
      <c r="U3" s="19" t="inlineStr">
        <is>
          <t>Each chunk is stored with its document, section path and position, ready to embed and cite.</t>
        </is>
      </c>
      <c r="V3" s="18" t="inlineStr">
        <is>
          <t>Too large chunks mix topics and dilute matches. Too small chunks lose context. Prepend the document title and section path to each chunk's text. Respect tables and code blocks. Overlap and size are tuned using evaluation. Keep a link back to the source for citations. Re-chunk when the strategy changes.</t>
        </is>
      </c>
      <c r="W3" s="18" t="inlineStr">
        <is>
          <t>Split on structure, keep chunks self-contained, and attach titles and metadata.</t>
        </is>
      </c>
      <c r="X3" s="18" t="inlineStr">
        <is>
          <t>Chunking is cutting a long scroll at the paragraph breaks into index cards.</t>
        </is>
      </c>
      <c r="Y3" s="19" t="inlineStr">
        <is>
          <t>split by heading, merge up to target size, add section path</t>
        </is>
      </c>
      <c r="Z3" s="18" t="inlineStr">
        <is>
          <t>chunk = passage | section_path = where it lives | token_count = size | source_url = for citation</t>
        </is>
      </c>
      <c r="AA3" s="19" t="inlineStr">
        <is>
          <t>A chunk titled Returns &gt; Refund timeline.</t>
        </is>
      </c>
      <c r="AB3" s="19" t="inlineStr">
        <is>
          <t>A table kept together in one chunk.</t>
        </is>
      </c>
      <c r="AC3" s="19" t="inlineStr">
        <is>
          <t>Chunk index used to fetch neighbours.</t>
        </is>
      </c>
      <c r="AD3" s="19" t="inlineStr">
        <is>
          <t>parent and child chunks   // retrieve small, return the larger parent</t>
        </is>
      </c>
      <c r="AE3" s="18" t="inlineStr">
        <is>
          <t>embeddings, metadata, evaluation</t>
        </is>
      </c>
      <c r="AF3" s="18" t="inlineStr">
        <is>
          <t>chunk size and overlap, metadata, embeddings, parsing PDFs</t>
        </is>
      </c>
      <c r="AG3" s="18" t="inlineStr">
        <is>
          <t>Fixed-size splitting | semantic splitting</t>
        </is>
      </c>
      <c r="AH3" s="17" t="n"/>
      <c r="AI3" s="18" t="inlineStr">
        <is>
          <t>Every RAG system | Search | Document Q and A</t>
        </is>
      </c>
      <c r="AJ3" s="18" t="inlineStr">
        <is>
          <t>A: The answer was cut between two chunks. | B: Use structure-based chunks and some overlap.</t>
        </is>
      </c>
      <c r="AK3" s="18" t="inlineStr">
        <is>
          <t>✗ Fixed 500-word chunks work for all documents → ✓ Structure-aware chunking usually works better</t>
        </is>
      </c>
      <c r="AL3" s="18" t="inlineStr">
        <is>
          <t>Chunk vs document: a chunk is a retrievable passage, the document is the whole source.</t>
        </is>
      </c>
      <c r="AM3" s="18" t="inlineStr">
        <is>
          <t>Do not split in the middle of tables.</t>
        </is>
      </c>
      <c r="AN3" s="19" t="inlineStr">
        <is>
          <t>-- split every 500 characters regardless of structure</t>
        </is>
      </c>
      <c r="AO3" s="19" t="inlineStr">
        <is>
          <t>-- split by headings, then merge to a target token size</t>
        </is>
      </c>
      <c r="AP3" s="18" t="inlineStr">
        <is>
          <t>Cut at meaning, not at counts.</t>
        </is>
      </c>
      <c r="AQ3" s="18" t="inlineStr">
        <is>
          <t>Heading-based chunks with titles improved retrieval of policy clauses.</t>
        </is>
      </c>
      <c r="AR3" s="18" t="inlineStr">
        <is>
          <t>An interviewer may ask: How do you choose chunking strategy?</t>
        </is>
      </c>
      <c r="AS3" s="18" t="inlineStr">
        <is>
          <t>It is like cutting a scroll into index cards.</t>
        </is>
      </c>
      <c r="AT3" s="18" t="inlineStr">
        <is>
          <t>What should chunks respect?</t>
        </is>
      </c>
      <c r="AU3" s="18" t="inlineStr">
        <is>
          <t>A) Only length B) Natural structure C) Random positions D) Colours</t>
        </is>
      </c>
      <c r="AV3" s="18" t="inlineStr">
        <is>
          <t>B</t>
        </is>
      </c>
      <c r="AW3" s="18" t="inlineStr">
        <is>
          <t>Coherent passages retrieve better.</t>
        </is>
      </c>
      <c r="AX3" s="19" t="inlineStr">
        <is>
          <t>Prepending the section title to chunk text adds ____ → context</t>
        </is>
      </c>
      <c r="AY3" s="18" t="inlineStr">
        <is>
          <t>Store the section path with each chunk.</t>
        </is>
      </c>
      <c r="AZ3" s="19" t="inlineStr">
        <is>
          <t>section_path TEXT</t>
        </is>
      </c>
      <c r="BA3" s="18" t="inlineStr">
        <is>
          <t>Design chunking rules for a policy handbook.</t>
        </is>
      </c>
      <c r="BB3" s="19" t="inlineStr">
        <is>
          <t>Why keep a link to the source?</t>
        </is>
      </c>
      <c r="BC3" s="19" t="inlineStr">
        <is>
          <t>It supports citations and updates.</t>
        </is>
      </c>
      <c r="BD3" s="17">
        <f>IF(K3="","",REPT("★",K3)&amp;REPT("☆",5-K3)&amp;" ("&amp;K3&amp;"/5)")</f>
        <v/>
      </c>
      <c r="BE3" s="17">
        <f>IF(S3="","","Meaning: "&amp;S3&amp;"  =  ______   (Answer: "&amp;F3&amp;")")</f>
        <v/>
      </c>
      <c r="BF3" s="17" t="inlineStr">
        <is>
          <t>New</t>
        </is>
      </c>
      <c r="BG3" s="17" t="n"/>
      <c r="BH3" s="17" t="n"/>
      <c r="BI3" s="17" t="n"/>
      <c r="BJ3" s="17" t="n"/>
      <c r="BK3" s="17" t="n"/>
      <c r="BL3" s="17" t="n"/>
      <c r="BM3" s="17" t="n"/>
      <c r="BN3" s="17" t="n"/>
    </row>
    <row r="4" ht="148.5" customHeight="1">
      <c r="A4" s="17" t="inlineStr">
        <is>
          <t>RAG-011</t>
        </is>
      </c>
      <c r="B4" s="17" t="inlineStr">
        <is>
          <t>02 Ingestion</t>
        </is>
      </c>
      <c r="C4" s="17" t="inlineStr">
        <is>
          <t>Intermediate</t>
        </is>
      </c>
      <c r="D4" s="17" t="n">
        <v>11</v>
      </c>
      <c r="E4" s="17" t="inlineStr">
        <is>
          <t>Claude knowledge</t>
        </is>
      </c>
      <c r="F4" s="18" t="inlineStr">
        <is>
          <t>Metadata</t>
        </is>
      </c>
      <c r="G4" s="18" t="inlineStr">
        <is>
          <t>Which extra fields attach context to chunks for filtering and citation?</t>
        </is>
      </c>
      <c r="H4" s="17" t="n"/>
      <c r="I4" s="18" t="inlineStr">
        <is>
          <t>Ingestion step</t>
        </is>
      </c>
      <c r="J4" s="18" t="inlineStr">
        <is>
          <t>Very high</t>
        </is>
      </c>
      <c r="K4" s="18" t="n">
        <v>5</v>
      </c>
      <c r="L4" s="18" t="inlineStr">
        <is>
          <t>Text alone cannot tell who may see a chunk or where it came from, so metadata carries that information.</t>
        </is>
      </c>
      <c r="M4" s="18" t="inlineStr">
        <is>
          <t>Store the fields you will filter on, such as tenant, language, product and date.</t>
        </is>
      </c>
      <c r="N4" s="17" t="n"/>
      <c r="O4" s="18" t="inlineStr">
        <is>
          <t>Metadata is the label on each index card saying whose it is and where it came from.</t>
        </is>
      </c>
      <c r="P4" s="18" t="inlineStr">
        <is>
          <t>A chunk with tags for source, date and access group.</t>
        </is>
      </c>
      <c r="Q4" s="18" t="inlineStr">
        <is>
          <t>The control of knowing each chunk's origin.</t>
        </is>
      </c>
      <c r="R4" s="18" t="inlineStr">
        <is>
          <t>Metadata fields such as source URL, title, section, author, language, product, version, updated time and access group are stored with each chunk for filtering, ranking, citing and permissions.</t>
        </is>
      </c>
      <c r="S4" s="17" t="n"/>
      <c r="T4" s="19" t="inlineStr">
        <is>
          <t>ALTER TABLE chunks ADD COLUMN tenant_id TEXT NOT NULL DEFAULT 'public';
ALTER TABLE chunks ADD COLUMN lang TEXT;
ALTER TABLE chunks ADD COLUMN product TEXT;
CREATE INDEX chunks_tenant_product_idx ON chunks (tenant_id, product);
SELECT id, content FROM chunks
WHERE tenant_id = 'acme' AND product = 'billing' AND lang = 'en';</t>
        </is>
      </c>
      <c r="U4" s="19" t="inlineStr">
        <is>
          <t>Only English billing chunks belonging to the tenant acme are candidates for search.</t>
        </is>
      </c>
      <c r="V4" s="18" t="inlineStr">
        <is>
          <t>Filters narrow search before or during vector search, which raises precision and enforces permissions. Dates support freshness rules. Source and section support citations. Metadata must be accurate and updated with the content. Plan fields early, since adding them later means re-ingesting. Tenant fields are critical for isolation.</t>
        </is>
      </c>
      <c r="W4" s="18" t="inlineStr">
        <is>
          <t>Attach source, permissions and filter fields to every chunk.</t>
        </is>
      </c>
      <c r="X4" s="18" t="inlineStr">
        <is>
          <t>Metadata is the label on each index card saying whose it is and where it came from.</t>
        </is>
      </c>
      <c r="Y4" s="19" t="inlineStr">
        <is>
          <t>WHERE tenant_id = :tenant AND product = :product</t>
        </is>
      </c>
      <c r="Z4" s="18" t="inlineStr">
        <is>
          <t>tenant_id = who may see | lang = language | updated_at = freshness | source_url = citation</t>
        </is>
      </c>
      <c r="AA4" s="19" t="inlineStr">
        <is>
          <t>WHERE updated_at &gt; now() - interval '1 year'</t>
        </is>
      </c>
      <c r="AB4" s="19" t="inlineStr">
        <is>
          <t>WHERE access_group IN ('staff')</t>
        </is>
      </c>
      <c r="AC4" s="19" t="inlineStr">
        <is>
          <t>SELECT source_url FROM chunks WHERE id = 42</t>
        </is>
      </c>
      <c r="AD4" s="19" t="inlineStr">
        <is>
          <t>metadata filters inside the vector database   // the same idea</t>
        </is>
      </c>
      <c r="AE4" s="18" t="inlineStr">
        <is>
          <t>filters, access control, citations</t>
        </is>
      </c>
      <c r="AF4" s="18" t="inlineStr">
        <is>
          <t>filters, access control per user, loading documents, citations</t>
        </is>
      </c>
      <c r="AG4" s="18" t="inlineStr">
        <is>
          <t>Separate indexes per tenant</t>
        </is>
      </c>
      <c r="AH4" s="17" t="n"/>
      <c r="AI4" s="18" t="inlineStr">
        <is>
          <t>Multi-tenant apps | Enterprise search | Support</t>
        </is>
      </c>
      <c r="AJ4" s="18" t="inlineStr">
        <is>
          <t>A: Users of one customer see another's documents. | B: Filter by tenant id on every search.</t>
        </is>
      </c>
      <c r="AK4" s="18" t="inlineStr">
        <is>
          <t>✗ Metadata is optional decoration → ✓ It enforces permissions and improves precision</t>
        </is>
      </c>
      <c r="AL4" s="18" t="inlineStr">
        <is>
          <t>Metadata vs content: metadata describes, content is searched.</t>
        </is>
      </c>
      <c r="AM4" s="18" t="inlineStr">
        <is>
          <t>Do not search without a tenant filter.</t>
        </is>
      </c>
      <c r="AN4" s="19" t="inlineStr">
        <is>
          <t>SELECT content FROM chunks ORDER BY embedding &lt;=&gt; :q LIMIT 5;   -- no tenant filter</t>
        </is>
      </c>
      <c r="AO4" s="19" t="inlineStr">
        <is>
          <t>SELECT content FROM chunks WHERE tenant_id = :tenant ORDER BY embedding &lt;=&gt; :q LIMIT 5;</t>
        </is>
      </c>
      <c r="AP4" s="18" t="inlineStr">
        <is>
          <t>Without a filter there is no safety.</t>
        </is>
      </c>
      <c r="AQ4" s="18" t="inlineStr">
        <is>
          <t>A mandatory tenant filter closed a cross-customer leak found in testing.</t>
        </is>
      </c>
      <c r="AR4" s="18" t="inlineStr">
        <is>
          <t>An interviewer may ask: Why is metadata important in RAG?</t>
        </is>
      </c>
      <c r="AS4" s="18" t="inlineStr">
        <is>
          <t>It is like a label on each card.</t>
        </is>
      </c>
      <c r="AT4" s="18" t="inlineStr">
        <is>
          <t>Which field enforces data isolation between customers?</t>
        </is>
      </c>
      <c r="AU4" s="18" t="inlineStr">
        <is>
          <t>A) token_count B) chunk_index C) lang D) tenant_id</t>
        </is>
      </c>
      <c r="AV4" s="18" t="inlineStr">
        <is>
          <t>D</t>
        </is>
      </c>
      <c r="AW4" s="18" t="inlineStr">
        <is>
          <t>It restricts search to one customer.</t>
        </is>
      </c>
      <c r="AX4" s="19" t="inlineStr">
        <is>
          <t>Restricting search by fields is ____ → filtering</t>
        </is>
      </c>
      <c r="AY4" s="18" t="inlineStr">
        <is>
          <t>Search only the chunks of tenant acme.</t>
        </is>
      </c>
      <c r="AZ4" s="19" t="inlineStr">
        <is>
          <t>WHERE tenant_id = 'acme'</t>
        </is>
      </c>
      <c r="BA4" s="18" t="inlineStr">
        <is>
          <t>List the metadata fields for a multi-tenant help centre.</t>
        </is>
      </c>
      <c r="BB4" s="19" t="inlineStr">
        <is>
          <t>Why plan metadata early?</t>
        </is>
      </c>
      <c r="BC4" s="19" t="inlineStr">
        <is>
          <t>Adding fields later may need re-ingestion.</t>
        </is>
      </c>
      <c r="BD4" s="17">
        <f>IF(K4="","",REPT("★",K4)&amp;REPT("☆",5-K4)&amp;" ("&amp;K4&amp;"/5)")</f>
        <v/>
      </c>
      <c r="BE4" s="17">
        <f>IF(S4="","","Meaning: "&amp;S4&amp;"  =  ______   (Answer: "&amp;F4&amp;")")</f>
        <v/>
      </c>
      <c r="BF4" s="17" t="inlineStr">
        <is>
          <t>New</t>
        </is>
      </c>
      <c r="BG4" s="17" t="n"/>
      <c r="BH4" s="17" t="n"/>
      <c r="BI4" s="17" t="n"/>
      <c r="BJ4" s="17" t="n"/>
      <c r="BK4" s="17" t="n"/>
      <c r="BL4" s="17" t="n"/>
      <c r="BM4" s="17" t="n"/>
      <c r="BN4" s="17" t="n"/>
    </row>
    <row r="5" ht="121.5" customHeight="1">
      <c r="A5" s="17" t="inlineStr">
        <is>
          <t>RAG-012</t>
        </is>
      </c>
      <c r="B5" s="17" t="inlineStr">
        <is>
          <t>02 Ingestion</t>
        </is>
      </c>
      <c r="C5" s="17" t="inlineStr">
        <is>
          <t>Intermediate</t>
        </is>
      </c>
      <c r="D5" s="17" t="n">
        <v>12</v>
      </c>
      <c r="E5" s="17" t="inlineStr">
        <is>
          <t>Claude knowledge</t>
        </is>
      </c>
      <c r="F5" s="18" t="inlineStr">
        <is>
          <t>Embedding chunks</t>
        </is>
      </c>
      <c r="G5" s="18" t="inlineStr">
        <is>
          <t>How do chunks become vectors stored for search?</t>
        </is>
      </c>
      <c r="H5" s="17" t="n"/>
      <c r="I5" s="18" t="inlineStr">
        <is>
          <t>Ingestion step</t>
        </is>
      </c>
      <c r="J5" s="18" t="inlineStr">
        <is>
          <t>Very high</t>
        </is>
      </c>
      <c r="K5" s="18" t="n">
        <v>5</v>
      </c>
      <c r="L5" s="18" t="inlineStr">
        <is>
          <t>Similarity search needs numbers, so each chunk is passed through an embedding model and stored with its vector.</t>
        </is>
      </c>
      <c r="M5" s="18" t="inlineStr">
        <is>
          <t>Record the embedding model name and version with every vector.</t>
        </is>
      </c>
      <c r="N5" s="17" t="n"/>
      <c r="O5" s="18" t="inlineStr">
        <is>
          <t>Embedding chunks is giving each index card map coordinates for meaning.</t>
        </is>
      </c>
      <c r="P5" s="18" t="inlineStr">
        <is>
          <t>Chunks passing through an embedding model into a vector column.</t>
        </is>
      </c>
      <c r="Q5" s="18" t="inlineStr">
        <is>
          <t>The satisfaction of a searchable index.</t>
        </is>
      </c>
      <c r="R5" s="18" t="inlineStr">
        <is>
          <t>Each chunk's text is sent to an embedding model, usually in batches, and the returned vector is stored in a vector column along with the model version.</t>
        </is>
      </c>
      <c r="S5" s="17" t="n"/>
      <c r="T5" s="19" t="inlineStr">
        <is>
          <t>CREATE EXTENSION IF NOT EXISTS vector;
ALTER TABLE chunks ADD COLUMN embedding vector(1024);
ALTER TABLE chunks ADD COLUMN embed_model TEXT;
-- application code (not run): batch chunks, call the embedding API, then
UPDATE chunks SET embedding = :vec, embed_model = 'EMBED_MODEL_V1' WHERE id = :id;</t>
        </is>
      </c>
      <c r="U5" s="19" t="inlineStr">
        <is>
          <t>Each chunk has a stored vector and a record of the model that produced it.</t>
        </is>
      </c>
      <c r="V5" s="18" t="inlineStr">
        <is>
          <t>The vector size must match the model. Embeddings should come from the same model for chunks and queries. Changing models requires re-embedding everything. Batch calls to save time and respect rate limits. Retry failures and track which chunks are missing vectors. Embedding costs scale with total tokens.</t>
        </is>
      </c>
      <c r="W5" s="18" t="inlineStr">
        <is>
          <t>Embed in batches, store the vector with the model name, and re-embed when the model changes.</t>
        </is>
      </c>
      <c r="X5" s="18" t="inlineStr">
        <is>
          <t>Embedding chunks is giving each index card map coordinates for meaning.</t>
        </is>
      </c>
      <c r="Y5" s="19" t="inlineStr">
        <is>
          <t>embedding vector(N) with N matching the model</t>
        </is>
      </c>
      <c r="Z5" s="18" t="inlineStr">
        <is>
          <t>vector(1024) = dimensions | embed_model = provenance | batch = efficient calls</t>
        </is>
      </c>
      <c r="AA5" s="19" t="inlineStr">
        <is>
          <t>Embedding 100 chunks per request.</t>
        </is>
      </c>
      <c r="AB5" s="19" t="inlineStr">
        <is>
          <t>A job listing chunks without vectors.</t>
        </is>
      </c>
      <c r="AC5" s="19" t="inlineStr">
        <is>
          <t>Storing the model name per row.</t>
        </is>
      </c>
      <c r="AD5" s="19" t="inlineStr">
        <is>
          <t>separate table for vectors   // keep the content table lean</t>
        </is>
      </c>
      <c r="AE5" s="18" t="inlineStr">
        <is>
          <t>pgvector, batch jobs, rate limits</t>
        </is>
      </c>
      <c r="AF5" s="18" t="inlineStr">
        <is>
          <t>embeddings, vector search, updating the index, rate limits</t>
        </is>
      </c>
      <c r="AG5" s="18" t="inlineStr">
        <is>
          <t>Managed vector databases</t>
        </is>
      </c>
      <c r="AH5" s="17" t="n"/>
      <c r="AI5" s="18" t="inlineStr">
        <is>
          <t>Every RAG system | Search | Recommendations</t>
        </is>
      </c>
      <c r="AJ5" s="18" t="inlineStr">
        <is>
          <t>A: Search results got strange after the upgrade. | B: Queries use a new embedding model while stored vectors use the old one.</t>
        </is>
      </c>
      <c r="AK5" s="18" t="inlineStr">
        <is>
          <t>✗ Vectors from different models can be mixed → ✓ They live in different spaces and must not be compared</t>
        </is>
      </c>
      <c r="AL5" s="18" t="inlineStr">
        <is>
          <t>Document vs query embedding: both must use the same model.</t>
        </is>
      </c>
      <c r="AM5" s="18" t="inlineStr">
        <is>
          <t>Do not change the embedding model without re-embedding.</t>
        </is>
      </c>
      <c r="AN5" s="19" t="inlineStr">
        <is>
          <t>-- query embedded with model B, chunks with model A</t>
        </is>
      </c>
      <c r="AO5" s="19" t="inlineStr">
        <is>
          <t>-- both embedded with the same model version</t>
        </is>
      </c>
      <c r="AP5" s="18" t="inlineStr">
        <is>
          <t>One model for both sides.</t>
        </is>
      </c>
      <c r="AQ5" s="18" t="inlineStr">
        <is>
          <t>Tracking the model name per row made a safe migration to a new embedding model possible.</t>
        </is>
      </c>
      <c r="AR5" s="18" t="inlineStr">
        <is>
          <t>An interviewer may ask: What happens if you change the embedding model?</t>
        </is>
      </c>
      <c r="AS5" s="18" t="inlineStr">
        <is>
          <t>It is like giving each card map coordinates.</t>
        </is>
      </c>
      <c r="AT5" s="18" t="inlineStr">
        <is>
          <t>What must match between chunks and queries?</t>
        </is>
      </c>
      <c r="AU5" s="18" t="inlineStr">
        <is>
          <t>A) The file name B) The font C) The embedding model D) The language only</t>
        </is>
      </c>
      <c r="AV5" s="18" t="inlineStr">
        <is>
          <t>C</t>
        </is>
      </c>
      <c r="AW5" s="18" t="inlineStr">
        <is>
          <t>Different models give incompatible vectors.</t>
        </is>
      </c>
      <c r="AX5" s="19" t="inlineStr">
        <is>
          <t>The size of a vector is its number of ____ → dimensions</t>
        </is>
      </c>
      <c r="AY5" s="18" t="inlineStr">
        <is>
          <t>Add a vector column of 1024 dimensions.</t>
        </is>
      </c>
      <c r="AZ5" s="19" t="inlineStr">
        <is>
          <t>ALTER TABLE chunks ADD COLUMN embedding vector(1024);</t>
        </is>
      </c>
      <c r="BA5" s="18" t="inlineStr">
        <is>
          <t>Plan a migration to a new embedding model.</t>
        </is>
      </c>
      <c r="BB5" s="19" t="inlineStr">
        <is>
          <t>Why store the model name with each vector?</t>
        </is>
      </c>
      <c r="BC5" s="19" t="inlineStr">
        <is>
          <t>It makes safe migrations and debugging possible.</t>
        </is>
      </c>
      <c r="BD5" s="17">
        <f>IF(K5="","",REPT("★",K5)&amp;REPT("☆",5-K5)&amp;" ("&amp;K5&amp;"/5)")</f>
        <v/>
      </c>
      <c r="BE5" s="17">
        <f>IF(S5="","","Meaning: "&amp;S5&amp;"  =  ______   (Answer: "&amp;F5&amp;")")</f>
        <v/>
      </c>
      <c r="BF5" s="17" t="inlineStr">
        <is>
          <t>New</t>
        </is>
      </c>
      <c r="BG5" s="17" t="n"/>
      <c r="BH5" s="17" t="n"/>
      <c r="BI5" s="17" t="n"/>
      <c r="BJ5" s="17" t="n"/>
      <c r="BK5" s="17" t="n"/>
      <c r="BL5" s="17" t="n"/>
      <c r="BM5" s="17" t="n"/>
      <c r="BN5" s="17" t="n"/>
    </row>
    <row r="6" ht="148.5" customHeight="1">
      <c r="A6" s="17" t="inlineStr">
        <is>
          <t>RAG-017</t>
        </is>
      </c>
      <c r="B6" s="17" t="inlineStr">
        <is>
          <t>03 Retrieval</t>
        </is>
      </c>
      <c r="C6" s="17" t="inlineStr">
        <is>
          <t>Intermediate</t>
        </is>
      </c>
      <c r="D6" s="17" t="n">
        <v>17</v>
      </c>
      <c r="E6" s="17" t="inlineStr">
        <is>
          <t>Claude knowledge</t>
        </is>
      </c>
      <c r="F6" s="18" t="inlineStr">
        <is>
          <t>pgvector</t>
        </is>
      </c>
      <c r="G6" s="18" t="inlineStr">
        <is>
          <t>Which PostgreSQL extension stores vectors and searches them with SQL?</t>
        </is>
      </c>
      <c r="H6" s="17" t="n"/>
      <c r="I6" s="18" t="inlineStr">
        <is>
          <t>Tool</t>
        </is>
      </c>
      <c r="J6" s="18" t="inlineStr">
        <is>
          <t>High</t>
        </is>
      </c>
      <c r="K6" s="18" t="n">
        <v>5</v>
      </c>
      <c r="L6" s="18" t="inlineStr">
        <is>
          <t>Teams already using PostgreSQL wanted vector search without a new database, so an extension adds a vector type and operators.</t>
        </is>
      </c>
      <c r="M6" s="18" t="inlineStr">
        <is>
          <t>Starting with pgvector keeps data, filters and permissions in one database.</t>
        </is>
      </c>
      <c r="N6" s="17" t="n"/>
      <c r="O6" s="18" t="inlineStr">
        <is>
          <t>pgvector gives your normal database a drawer for map coordinates.</t>
        </is>
      </c>
      <c r="P6" s="18" t="inlineStr">
        <is>
          <t>A table with a vector column and a nearest-neighbour query.</t>
        </is>
      </c>
      <c r="Q6" s="18" t="inlineStr">
        <is>
          <t>The convenience of one database for everything.</t>
        </is>
      </c>
      <c r="R6" s="18" t="inlineStr">
        <is>
          <t>pgvector adds a vector column type and distance operators to PostgreSQL, so similarity search, filters and joins can be done in SQL.</t>
        </is>
      </c>
      <c r="S6" s="17" t="n"/>
      <c r="T6" s="19" t="inlineStr">
        <is>
          <t>CREATE EXTENSION IF NOT EXISTS vector;
CREATE TABLE chunks (id BIGSERIAL PRIMARY KEY, tenant_id TEXT, content TEXT, embedding vector(1024));
-- nearest five by cosine distance
SELECT id, content, 1 - (embedding &lt;=&gt; :query_vec) AS similarity
FROM chunks
WHERE tenant_id = :tenant
ORDER BY embedding &lt;=&gt; :query_vec
LIMIT 5;</t>
        </is>
      </c>
      <c r="U6" s="19" t="inlineStr">
        <is>
          <t>The five chunks closest in meaning to the query, with their similarity scores, within one tenant.</t>
        </is>
      </c>
      <c r="V6" s="18" t="inlineStr">
        <is>
          <t>The operator for cosine distance is the angle brackets with an equals form. Other operators give Euclidean and inner product distance. Without an index, search scans all rows, which is fine for small tables. Combined with WHERE clauses, you get filtered search. It is easy for small and medium collections, and large ones may need tuning or a dedicated engine.</t>
        </is>
      </c>
      <c r="W6" s="18" t="inlineStr">
        <is>
          <t>Add a vector column, order by distance to the query vector, and limit the results.</t>
        </is>
      </c>
      <c r="X6" s="18" t="inlineStr">
        <is>
          <t>pgvector gives your normal database a drawer for map coordinates.</t>
        </is>
      </c>
      <c r="Y6" s="19" t="inlineStr">
        <is>
          <t>ORDER BY embedding &lt;=&gt; :query LIMIT k</t>
        </is>
      </c>
      <c r="Z6" s="18" t="inlineStr">
        <is>
          <t>vector(N) = column | &lt;=&gt; = cosine distance | LIMIT = top-k | WHERE = filters</t>
        </is>
      </c>
      <c r="AA6" s="19" t="inlineStr">
        <is>
          <t>SELECT ... ORDER BY embedding &lt;-&gt; :q LIMIT 3;</t>
        </is>
      </c>
      <c r="AB6" s="19" t="inlineStr">
        <is>
          <t>SELECT ... WHERE lang = 'en' ORDER BY embedding &lt;=&gt; :q LIMIT 5;</t>
        </is>
      </c>
      <c r="AC6" s="19" t="inlineStr">
        <is>
          <t>SELECT count(*) FROM chunks WHERE embedding IS NULL;</t>
        </is>
      </c>
      <c r="AD6" s="19" t="inlineStr">
        <is>
          <t>managed vector databases   // an alternative at large scale</t>
        </is>
      </c>
      <c r="AE6" s="18" t="inlineStr">
        <is>
          <t>PostgreSQL, Supabase, filters</t>
        </is>
      </c>
      <c r="AF6" s="18" t="inlineStr">
        <is>
          <t>vector search, indexes (HNSW), filters, Supabase</t>
        </is>
      </c>
      <c r="AG6" s="18" t="inlineStr">
        <is>
          <t>Dedicated vector databases</t>
        </is>
      </c>
      <c r="AH6" s="17" t="n"/>
      <c r="AI6" s="18" t="inlineStr">
        <is>
          <t>Small and medium RAG | Supabase projects | Prototypes</t>
        </is>
      </c>
      <c r="AJ6" s="18" t="inlineStr">
        <is>
          <t>A: Do we need a separate vector database? | B: Start with pgvector in our existing database.</t>
        </is>
      </c>
      <c r="AK6" s="18" t="inlineStr">
        <is>
          <t>✗ pgvector cannot be used in production → ✓ It works well for many production workloads with proper indexes</t>
        </is>
      </c>
      <c r="AL6" s="18" t="inlineStr">
        <is>
          <t>&lt;=&gt; vs &lt;-&gt;: cosine distance versus Euclidean distance.</t>
        </is>
      </c>
      <c r="AM6" s="18" t="inlineStr">
        <is>
          <t>Do not search a large table without an index.</t>
        </is>
      </c>
      <c r="AN6" s="19" t="inlineStr">
        <is>
          <t>SELECT * FROM chunks ORDER BY embedding LIMIT 5;</t>
        </is>
      </c>
      <c r="AO6" s="19" t="inlineStr">
        <is>
          <t>SELECT * FROM chunks ORDER BY embedding &lt;=&gt; :q LIMIT 5;</t>
        </is>
      </c>
      <c r="AP6" s="18" t="inlineStr">
        <is>
          <t>Order by distance, limit to k.</t>
        </is>
      </c>
      <c r="AQ6" s="18" t="inlineStr">
        <is>
          <t>pgvector in the existing database kept filters and permissions simple.</t>
        </is>
      </c>
      <c r="AR6" s="18" t="inlineStr">
        <is>
          <t>An interviewer may ask: Why use pgvector?</t>
        </is>
      </c>
      <c r="AS6" s="18" t="inlineStr">
        <is>
          <t>It is like a drawer for map coordinates.</t>
        </is>
      </c>
      <c r="AT6" s="18" t="inlineStr">
        <is>
          <t>Which clause returns the top results?</t>
        </is>
      </c>
      <c r="AU6" s="18" t="inlineStr">
        <is>
          <t>A) HAVING only B) DROP C) ORDER BY distance with LIMIT D) GROUP BY only</t>
        </is>
      </c>
      <c r="AV6" s="18" t="inlineStr">
        <is>
          <t>C</t>
        </is>
      </c>
      <c r="AW6" s="18" t="inlineStr">
        <is>
          <t>Nearest first, then cut to k.</t>
        </is>
      </c>
      <c r="AX6" s="19" t="inlineStr">
        <is>
          <t>Before using vector columns you must run CREATE ____ IF NOT EXISTS vector → EXTENSION</t>
        </is>
      </c>
      <c r="AY6" s="18" t="inlineStr">
        <is>
          <t>Get the five nearest chunks to a query vector.</t>
        </is>
      </c>
      <c r="AZ6" s="19" t="inlineStr">
        <is>
          <t>SELECT * FROM chunks ORDER BY embedding &lt;=&gt; :q LIMIT 5;</t>
        </is>
      </c>
      <c r="BA6" s="18" t="inlineStr">
        <is>
          <t>Write a filtered similarity query for one tenant.</t>
        </is>
      </c>
      <c r="BB6" s="19" t="inlineStr">
        <is>
          <t>What happens without an index?</t>
        </is>
      </c>
      <c r="BC6" s="19" t="inlineStr">
        <is>
          <t>The database scans every row.</t>
        </is>
      </c>
      <c r="BD6" s="17">
        <f>IF(K6="","",REPT("★",K6)&amp;REPT("☆",5-K6)&amp;" ("&amp;K6&amp;"/5)")</f>
        <v/>
      </c>
      <c r="BE6" s="17">
        <f>IF(S6="","","Meaning: "&amp;S6&amp;"  =  ______   (Answer: "&amp;F6&amp;")")</f>
        <v/>
      </c>
      <c r="BF6" s="17" t="inlineStr">
        <is>
          <t>New</t>
        </is>
      </c>
      <c r="BG6" s="17" t="n"/>
      <c r="BH6" s="17" t="n"/>
      <c r="BI6" s="17" t="n"/>
      <c r="BJ6" s="17" t="n"/>
      <c r="BK6" s="17" t="n"/>
      <c r="BL6" s="17" t="n"/>
      <c r="BM6" s="17" t="n"/>
      <c r="BN6" s="17" t="n"/>
    </row>
    <row r="7" ht="148.5" customHeight="1">
      <c r="A7" s="17" t="inlineStr">
        <is>
          <t>RAG-018</t>
        </is>
      </c>
      <c r="B7" s="17" t="inlineStr">
        <is>
          <t>03 Retrieval</t>
        </is>
      </c>
      <c r="C7" s="17" t="inlineStr">
        <is>
          <t>Advanced</t>
        </is>
      </c>
      <c r="D7" s="17" t="n">
        <v>18</v>
      </c>
      <c r="E7" s="17" t="inlineStr">
        <is>
          <t>Claude knowledge</t>
        </is>
      </c>
      <c r="F7" s="18" t="inlineStr">
        <is>
          <t>Vector indexes: HNSW</t>
        </is>
      </c>
      <c r="G7" s="18" t="inlineStr">
        <is>
          <t>Which index makes nearest neighbour search fast on large collections?</t>
        </is>
      </c>
      <c r="H7" s="17" t="n"/>
      <c r="I7" s="18" t="inlineStr">
        <is>
          <t>Index</t>
        </is>
      </c>
      <c r="J7" s="18" t="inlineStr">
        <is>
          <t>High</t>
        </is>
      </c>
      <c r="K7" s="18" t="n">
        <v>4</v>
      </c>
      <c r="L7" s="18" t="inlineStr">
        <is>
          <t>Scanning millions of vectors is slow, so graph-based indexes find close neighbours quickly with small accuracy loss.</t>
        </is>
      </c>
      <c r="M7" s="18" t="inlineStr">
        <is>
          <t>Build the index after loading bulk data, and tune search width for recall.</t>
        </is>
      </c>
      <c r="N7" s="17" t="n"/>
      <c r="O7" s="18" t="inlineStr">
        <is>
          <t>HNSW is a road network with highways on top and local streets below, so you reach the neighbourhood fast.</t>
        </is>
      </c>
      <c r="P7" s="18" t="inlineStr">
        <is>
          <t>Layers of a graph from sparse top to dense bottom.</t>
        </is>
      </c>
      <c r="Q7" s="18" t="inlineStr">
        <is>
          <t>The thrill of fast searches on big data.</t>
        </is>
      </c>
      <c r="R7" s="18" t="inlineStr">
        <is>
          <t>HNSW is a graph index that connects each vector to near neighbours across layers, so search can jump quickly to the right region, and pgvector offers it with parameters for build effort and search effort.</t>
        </is>
      </c>
      <c r="S7" s="17" t="n"/>
      <c r="T7" s="19" t="inlineStr">
        <is>
          <t>CREATE INDEX chunks_embedding_hnsw
  ON chunks USING hnsw (embedding vector_cosine_ops)
  WITH (m = 16, ef_construction = 64);
SET hnsw.ef_search = 100;
SELECT id FROM chunks ORDER BY embedding &lt;=&gt; :q LIMIT 10;</t>
        </is>
      </c>
      <c r="U7" s="19" t="inlineStr">
        <is>
          <t>The query uses the graph index and returns approximate nearest neighbours quickly.</t>
        </is>
      </c>
      <c r="V7" s="18" t="inlineStr">
        <is>
          <t>m sets connections per node and ef_construction sets build effort, trading build time and memory for recall. ef_search sets search effort at query time. The operator class must match the distance used. Results are approximate, so measure recall against exact search. IVFFlat is another index with different trade-offs. Filters can reduce recall, so test them.</t>
        </is>
      </c>
      <c r="W7" s="18" t="inlineStr">
        <is>
          <t>Create an HNSW index with the right operator class, and tune effort to balance speed and recall.</t>
        </is>
      </c>
      <c r="X7" s="18" t="inlineStr">
        <is>
          <t>HNSW is a road network with highways on top and local streets below.</t>
        </is>
      </c>
      <c r="Y7" s="19" t="inlineStr">
        <is>
          <t>CREATE INDEX ... USING hnsw (embedding vector_cosine_ops)</t>
        </is>
      </c>
      <c r="Z7" s="18" t="inlineStr">
        <is>
          <t>m = connections | ef_construction = build effort | ef_search = query effort | ops = distance type</t>
        </is>
      </c>
      <c r="AA7" s="19" t="inlineStr">
        <is>
          <t>SET hnsw.ef_search = 200;</t>
        </is>
      </c>
      <c r="AB7" s="19" t="inlineStr">
        <is>
          <t>vector_l2_ops for Euclidean distance</t>
        </is>
      </c>
      <c r="AC7" s="19" t="inlineStr">
        <is>
          <t>A recall test against exact search</t>
        </is>
      </c>
      <c r="AD7" s="19" t="inlineStr">
        <is>
          <t>IVFFlat index   // clusters vectors, needs training data</t>
        </is>
      </c>
      <c r="AE7" s="18" t="inlineStr">
        <is>
          <t>pgvector, tuning, filters</t>
        </is>
      </c>
      <c r="AF7" s="18" t="inlineStr">
        <is>
          <t>pgvector, vector search, top-k, filters</t>
        </is>
      </c>
      <c r="AG7" s="18" t="inlineStr">
        <is>
          <t>IVFFlat | exact search for small tables</t>
        </is>
      </c>
      <c r="AH7" s="17" t="n"/>
      <c r="AI7" s="18" t="inlineStr">
        <is>
          <t>Large collections | Production RAG | Search tuning</t>
        </is>
      </c>
      <c r="AJ7" s="18" t="inlineStr">
        <is>
          <t>A: Queries take seconds on a million rows. | B: Add an HNSW index with the cosine operator class.</t>
        </is>
      </c>
      <c r="AK7" s="18" t="inlineStr">
        <is>
          <t>✗ An ANN index returns exactly the true nearest neighbours → ✓ It returns approximate results, with recall to be measured</t>
        </is>
      </c>
      <c r="AL7" s="18" t="inlineStr">
        <is>
          <t>Exact search vs ANN index: exact checks all rows, ANN trades a little accuracy for speed.</t>
        </is>
      </c>
      <c r="AM7" s="18" t="inlineStr">
        <is>
          <t>Do not use an operator class that differs from your query operator.</t>
        </is>
      </c>
      <c r="AN7" s="19" t="inlineStr">
        <is>
          <t>USING hnsw (embedding vector_l2_ops)   -- but queries use &lt;=&gt;</t>
        </is>
      </c>
      <c r="AO7" s="19" t="inlineStr">
        <is>
          <t>USING hnsw (embedding vector_cosine_ops)</t>
        </is>
      </c>
      <c r="AP7" s="18" t="inlineStr">
        <is>
          <t>Index operator must match query operator.</t>
        </is>
      </c>
      <c r="AQ7" s="18" t="inlineStr">
        <is>
          <t>An HNSW index made search much faster on a large corpus.</t>
        </is>
      </c>
      <c r="AR7" s="18" t="inlineStr">
        <is>
          <t>An interviewer may ask: What does HNSW trade off?</t>
        </is>
      </c>
      <c r="AS7" s="18" t="inlineStr">
        <is>
          <t>It is like highways over local streets.</t>
        </is>
      </c>
      <c r="AT7" s="18" t="inlineStr">
        <is>
          <t>What must match between index and query?</t>
        </is>
      </c>
      <c r="AU7" s="18" t="inlineStr">
        <is>
          <t>A) The distance operator B) The column colour C) The table name D) The user</t>
        </is>
      </c>
      <c r="AV7" s="18" t="inlineStr">
        <is>
          <t>A</t>
        </is>
      </c>
      <c r="AW7" s="18" t="inlineStr">
        <is>
          <t>Otherwise the index is not used.</t>
        </is>
      </c>
      <c r="AX7" s="19" t="inlineStr">
        <is>
          <t>A larger ef_search usually raises ____ → recall</t>
        </is>
      </c>
      <c r="AY7" s="18" t="inlineStr">
        <is>
          <t>Create an HNSW index for cosine search.</t>
        </is>
      </c>
      <c r="AZ7" s="19" t="inlineStr">
        <is>
          <t>CREATE INDEX ON chunks USING hnsw (embedding vector_cosine_ops);</t>
        </is>
      </c>
      <c r="BA7" s="18" t="inlineStr">
        <is>
          <t>Plan how to measure the recall of an index.</t>
        </is>
      </c>
      <c r="BB7" s="19" t="inlineStr">
        <is>
          <t>Why can an ANN index return slightly different results from exact search?</t>
        </is>
      </c>
      <c r="BC7" s="19" t="inlineStr">
        <is>
          <t>It is approximate, trading a little accuracy for speed.</t>
        </is>
      </c>
      <c r="BD7" s="17">
        <f>IF(K7="","",REPT("★",K7)&amp;REPT("☆",5-K7)&amp;" ("&amp;K7&amp;"/5)")</f>
        <v/>
      </c>
      <c r="BE7" s="17">
        <f>IF(S7="","","Meaning: "&amp;S7&amp;"  =  ______   (Answer: "&amp;F7&amp;")")</f>
        <v/>
      </c>
      <c r="BF7" s="17" t="inlineStr">
        <is>
          <t>New</t>
        </is>
      </c>
      <c r="BG7" s="17" t="n"/>
      <c r="BH7" s="17" t="n"/>
      <c r="BI7" s="17" t="n"/>
      <c r="BJ7" s="17" t="n"/>
      <c r="BK7" s="17" t="n"/>
      <c r="BL7" s="17" t="n"/>
      <c r="BM7" s="17" t="n"/>
      <c r="BN7" s="17" t="n"/>
    </row>
    <row r="8" ht="121.5" customHeight="1">
      <c r="A8" s="17" t="inlineStr">
        <is>
          <t>RAG-020</t>
        </is>
      </c>
      <c r="B8" s="17" t="inlineStr">
        <is>
          <t>03 Retrieval</t>
        </is>
      </c>
      <c r="C8" s="17" t="inlineStr">
        <is>
          <t>Intermediate</t>
        </is>
      </c>
      <c r="D8" s="17" t="n">
        <v>20</v>
      </c>
      <c r="E8" s="17" t="inlineStr">
        <is>
          <t>Claude knowledge</t>
        </is>
      </c>
      <c r="F8" s="18" t="inlineStr">
        <is>
          <t>Retrieval filters</t>
        </is>
      </c>
      <c r="G8" s="18" t="inlineStr">
        <is>
          <t>How do you restrict search to the right customer, language, product or time?</t>
        </is>
      </c>
      <c r="H8" s="17" t="n"/>
      <c r="I8" s="18" t="inlineStr">
        <is>
          <t>Retrieval step</t>
        </is>
      </c>
      <c r="J8" s="18" t="inlineStr">
        <is>
          <t>Very high</t>
        </is>
      </c>
      <c r="K8" s="18" t="n">
        <v>5</v>
      </c>
      <c r="L8" s="18" t="inlineStr">
        <is>
          <t>Similar text exists in many contexts, so filters ensure only allowed and relevant chunks are searched.</t>
        </is>
      </c>
      <c r="M8" s="18" t="inlineStr">
        <is>
          <t>Apply filters inside the query, never after retrieval.</t>
        </is>
      </c>
      <c r="N8" s="17" t="n"/>
      <c r="O8" s="18" t="inlineStr">
        <is>
          <t>Filters are the shelf labels that stop you searching the wrong aisle.</t>
        </is>
      </c>
      <c r="P8" s="18" t="inlineStr">
        <is>
          <t>A query going through filter gates before ranking.</t>
        </is>
      </c>
      <c r="Q8" s="18" t="inlineStr">
        <is>
          <t>The safety of searching only what is allowed.</t>
        </is>
      </c>
      <c r="R8" s="18" t="inlineStr">
        <is>
          <t>Metadata filters add conditions on fields such as tenant, language, product, version and date to the retrieval query, so only matching chunks compete.</t>
        </is>
      </c>
      <c r="S8" s="17" t="n"/>
      <c r="T8" s="19" t="inlineStr">
        <is>
          <t>SELECT id, content
FROM chunks
WHERE tenant_id = :tenant
  AND lang = :lang
  AND (product = :product OR product IS NULL)
  AND updated_at &gt;= :min_date
ORDER BY embedding &lt;=&gt; :q
LIMIT 20;</t>
        </is>
      </c>
      <c r="U8" s="19" t="inlineStr">
        <is>
          <t>The twenty nearest chunks among those that the user may see in the right language and product.</t>
        </is>
      </c>
      <c r="V8" s="18" t="inlineStr">
        <is>
          <t>Filtering after retrieval can return too few or zero results, because the top results may all be disallowed, and it risks leaking data in logs. Filtering in the query is safer. Strong filters can lower recall in approximate indexes, so test. Derive filters from the user's session, not from the model.</t>
        </is>
      </c>
      <c r="W8" s="18" t="inlineStr">
        <is>
          <t>Put permission and relevance filters in the retrieval query itself.</t>
        </is>
      </c>
      <c r="X8" s="18" t="inlineStr">
        <is>
          <t>Filters are the shelf labels that stop you searching the wrong aisle.</t>
        </is>
      </c>
      <c r="Y8" s="19" t="inlineStr">
        <is>
          <t>WHERE tenant_id = :tenant AND lang = :lang</t>
        </is>
      </c>
      <c r="Z8" s="18" t="inlineStr">
        <is>
          <t>tenant = permission | lang = language | product = scope | date = freshness</t>
        </is>
      </c>
      <c r="AA8" s="19" t="inlineStr">
        <is>
          <t>WHERE doc_version = 'v3'</t>
        </is>
      </c>
      <c r="AB8" s="19" t="inlineStr">
        <is>
          <t>WHERE access_group = ANY(:groups)</t>
        </is>
      </c>
      <c r="AC8" s="19" t="inlineStr">
        <is>
          <t>WHERE updated_at &gt; now() - interval '2 years'</t>
        </is>
      </c>
      <c r="AD8" s="19" t="inlineStr">
        <is>
          <t>partitioned tables per tenant   // stronger isolation</t>
        </is>
      </c>
      <c r="AE8" s="18" t="inlineStr">
        <is>
          <t>metadata, access control, pgvector</t>
        </is>
      </c>
      <c r="AF8" s="18" t="inlineStr">
        <is>
          <t>metadata, access control, hybrid search, vector indexes</t>
        </is>
      </c>
      <c r="AG8" s="18" t="inlineStr">
        <is>
          <t>Separate indexes per tenant</t>
        </is>
      </c>
      <c r="AH8" s="17" t="n"/>
      <c r="AI8" s="18" t="inlineStr">
        <is>
          <t>Multi-tenant RAG | Enterprise search | Compliance</t>
        </is>
      </c>
      <c r="AJ8" s="18" t="inlineStr">
        <is>
          <t>A: Results often contain another customer's data. | B: Filter by tenant inside the query.</t>
        </is>
      </c>
      <c r="AK8" s="18" t="inlineStr">
        <is>
          <t>✗ Filtering the results after retrieval is equivalent → ✓ It can return too few results and may leak data</t>
        </is>
      </c>
      <c r="AL8" s="18" t="inlineStr">
        <is>
          <t>Pre-filter vs post-filter: before ranking versus after.</t>
        </is>
      </c>
      <c r="AM8" s="18" t="inlineStr">
        <is>
          <t>Do not take permission filters from model output.</t>
        </is>
      </c>
      <c r="AN8" s="19" t="inlineStr">
        <is>
          <t>results = search(q); results = [r for r in results if r.tenant == t]</t>
        </is>
      </c>
      <c r="AO8" s="19" t="inlineStr">
        <is>
          <t>WHERE tenant_id = :tenant ORDER BY embedding &lt;=&gt; :q</t>
        </is>
      </c>
      <c r="AP8" s="18" t="inlineStr">
        <is>
          <t>Filter in the query, not after.</t>
        </is>
      </c>
      <c r="AQ8" s="18" t="inlineStr">
        <is>
          <t>Moving the tenant filter into the query ended empty results for small customers.</t>
        </is>
      </c>
      <c r="AR8" s="18" t="inlineStr">
        <is>
          <t>An interviewer may ask: Why filter before ranking?</t>
        </is>
      </c>
      <c r="AS8" s="18" t="inlineStr">
        <is>
          <t>It is like labels on library shelves.</t>
        </is>
      </c>
      <c r="AT8" s="18" t="inlineStr">
        <is>
          <t>Where should permission filters be applied?</t>
        </is>
      </c>
      <c r="AU8" s="18" t="inlineStr">
        <is>
          <t>A) Nowhere B) In the retrieval query C) In the prompt only D) After the model answers</t>
        </is>
      </c>
      <c r="AV8" s="18" t="inlineStr">
        <is>
          <t>B</t>
        </is>
      </c>
      <c r="AW8" s="18" t="inlineStr">
        <is>
          <t>Disallowed data must never be retrieved.</t>
        </is>
      </c>
      <c r="AX8" s="19" t="inlineStr">
        <is>
          <t>Applying conditions before ranking is ____ filtering → pre</t>
        </is>
      </c>
      <c r="AY8" s="18" t="inlineStr">
        <is>
          <t>Restrict a search to one tenant and one language.</t>
        </is>
      </c>
      <c r="AZ8" s="19" t="inlineStr">
        <is>
          <t>WHERE tenant_id = :tenant AND lang = :lang</t>
        </is>
      </c>
      <c r="BA8" s="18" t="inlineStr">
        <is>
          <t>Write filters for a multi-language product help centre.</t>
        </is>
      </c>
      <c r="BB8" s="19" t="inlineStr">
        <is>
          <t>Why apply filters inside the query?</t>
        </is>
      </c>
      <c r="BC8" s="19" t="inlineStr">
        <is>
          <t>Post-filtering can return too few results and may leak data.</t>
        </is>
      </c>
      <c r="BD8" s="17">
        <f>IF(K8="","",REPT("★",K8)&amp;REPT("☆",5-K8)&amp;" ("&amp;K8&amp;"/5)")</f>
        <v/>
      </c>
      <c r="BE8" s="17">
        <f>IF(S8="","","Meaning: "&amp;S8&amp;"  =  ______   (Answer: "&amp;F8&amp;")")</f>
        <v/>
      </c>
      <c r="BF8" s="17" t="inlineStr">
        <is>
          <t>New</t>
        </is>
      </c>
      <c r="BG8" s="17" t="n"/>
      <c r="BH8" s="17" t="n"/>
      <c r="BI8" s="17" t="n"/>
      <c r="BJ8" s="17" t="n"/>
      <c r="BK8" s="17" t="n"/>
      <c r="BL8" s="17" t="n"/>
      <c r="BM8" s="17" t="n"/>
      <c r="BN8" s="17" t="n"/>
    </row>
    <row r="9" ht="216" customHeight="1">
      <c r="A9" s="17" t="inlineStr">
        <is>
          <t>RAG-021</t>
        </is>
      </c>
      <c r="B9" s="17" t="inlineStr">
        <is>
          <t>03 Retrieval</t>
        </is>
      </c>
      <c r="C9" s="17" t="inlineStr">
        <is>
          <t>Advanced</t>
        </is>
      </c>
      <c r="D9" s="17" t="n">
        <v>21</v>
      </c>
      <c r="E9" s="17" t="inlineStr">
        <is>
          <t>Claude knowledge</t>
        </is>
      </c>
      <c r="F9" s="18" t="inlineStr">
        <is>
          <t>Hybrid search</t>
        </is>
      </c>
      <c r="G9" s="18" t="inlineStr">
        <is>
          <t>How do you combine keyword and vector search for better recall?</t>
        </is>
      </c>
      <c r="H9" s="17" t="n"/>
      <c r="I9" s="18" t="inlineStr">
        <is>
          <t>Retrieval step</t>
        </is>
      </c>
      <c r="J9" s="18" t="inlineStr">
        <is>
          <t>High</t>
        </is>
      </c>
      <c r="K9" s="18" t="n">
        <v>5</v>
      </c>
      <c r="L9" s="18" t="inlineStr">
        <is>
          <t>Vectors miss exact terms and keywords miss meaning, so combining both gives more reliable retrieval.</t>
        </is>
      </c>
      <c r="M9" s="18" t="inlineStr">
        <is>
          <t>Merge ranked lists with reciprocal rank fusion, which needs no score scaling.</t>
        </is>
      </c>
      <c r="N9" s="17" t="n"/>
      <c r="O9" s="18" t="inlineStr">
        <is>
          <t>Hybrid search is asking both a librarian who knows meanings and one who knows exact titles.</t>
        </is>
      </c>
      <c r="P9" s="18" t="inlineStr">
        <is>
          <t>Two separate ranked lists merging into one final list.</t>
        </is>
      </c>
      <c r="Q9" s="18" t="inlineStr">
        <is>
          <t>The satisfaction of finding both exact and meaning matches.</t>
        </is>
      </c>
      <c r="R9" s="18" t="inlineStr">
        <is>
          <t>Hybrid search runs full-text keyword search and vector search separately, then fuses their ranked results into one list, often with reciprocal rank fusion.</t>
        </is>
      </c>
      <c r="S9" s="17" t="n"/>
      <c r="T9" s="19" t="inlineStr">
        <is>
          <t>WITH kw AS (
  SELECT id, ROW_NUMBER() OVER (ORDER BY ts_rank(tsv, plainto_tsquery('english', :q)) DESC) AS r
  FROM chunks WHERE tsv @@ plainto_tsquery('english', :q) ORDER BY r LIMIT 30
), vec AS (
  SELECT id, ROW_NUMBER() OVER (ORDER BY embedding &lt;=&gt; :qv) AS r
  FROM chunks ORDER BY embedding &lt;=&gt; :qv LIMIT 30
)
SELECT id, SUM(1.0 / (60 + r)) AS score
FROM (SELECT * FROM kw UNION ALL SELECT * FROM vec) x
GROUP BY id ORDER BY score DESC LIMIT 10;</t>
        </is>
      </c>
      <c r="U9" s="19" t="inlineStr">
        <is>
          <t>One merged list where chunks found by both methods rise to the top.</t>
        </is>
      </c>
      <c r="V9" s="18" t="inlineStr">
        <is>
          <t>Keyword search with full-text indexes or BM25 handles exact words, codes and names. Vector search handles paraphrase. Reciprocal rank fusion adds one over rank plus a constant from each list, so scores do not need to be compared. Weights can favour one side. Test on your questions, since gains vary.</t>
        </is>
      </c>
      <c r="W9" s="18" t="inlineStr">
        <is>
          <t>Run both searches and then merge the lists by rank.</t>
        </is>
      </c>
      <c r="X9" s="18" t="inlineStr">
        <is>
          <t>Hybrid search is asking a librarian who knows meanings and one who knows exact titles.</t>
        </is>
      </c>
      <c r="Y9" s="19" t="inlineStr">
        <is>
          <t>score = sum(1 / (k + rank))</t>
        </is>
      </c>
      <c r="Z9" s="18" t="inlineStr">
        <is>
          <t>keyword list = exact terms | vector list = meaning | fusion = combined rank</t>
        </is>
      </c>
      <c r="AA9" s="19" t="inlineStr">
        <is>
          <t>An error code found by keywords.</t>
        </is>
      </c>
      <c r="AB9" s="19" t="inlineStr">
        <is>
          <t>A paraphrased question found by vectors.</t>
        </is>
      </c>
      <c r="AC9" s="19" t="inlineStr">
        <is>
          <t>A chunk found by both ranking first.</t>
        </is>
      </c>
      <c r="AD9" s="19" t="inlineStr">
        <is>
          <t>weighted fusion   // favour vector or keyword results</t>
        </is>
      </c>
      <c r="AE9" s="18" t="inlineStr">
        <is>
          <t>full-text search, pgvector, reranking</t>
        </is>
      </c>
      <c r="AF9" s="18" t="inlineStr">
        <is>
          <t>vector search, reranking, query rewriting, evaluating retrieval</t>
        </is>
      </c>
      <c r="AG9" s="18" t="inlineStr">
        <is>
          <t>Vector only | keyword only</t>
        </is>
      </c>
      <c r="AH9" s="17" t="n"/>
      <c r="AI9" s="18" t="inlineStr">
        <is>
          <t>Enterprise search | Technical docs | Support</t>
        </is>
      </c>
      <c r="AJ9" s="18" t="inlineStr">
        <is>
          <t>A: Searching for error E1042 finds nothing useful. | B: Add keyword search through hybrid retrieval.</t>
        </is>
      </c>
      <c r="AK9" s="18" t="inlineStr">
        <is>
          <t>✗ Hybrid search always beats either alone → ✓ It usually helps, but should be tested</t>
        </is>
      </c>
      <c r="AL9" s="18" t="inlineStr">
        <is>
          <t>Hybrid search vs reranking: one merges candidate lists, the other reorders them.</t>
        </is>
      </c>
      <c r="AM9" s="18" t="inlineStr">
        <is>
          <t>Do not combine raw scores from different systems.</t>
        </is>
      </c>
      <c r="AN9" s="19" t="inlineStr">
        <is>
          <t>score = vector_score + keyword_score</t>
        </is>
      </c>
      <c r="AO9" s="19" t="inlineStr">
        <is>
          <t>score = SUM(1.0 / (60 + rank))</t>
        </is>
      </c>
      <c r="AP9" s="18" t="inlineStr">
        <is>
          <t>Merge by rank, not by raw score.</t>
        </is>
      </c>
      <c r="AQ9" s="18" t="inlineStr">
        <is>
          <t>Hybrid retrieval fixed misses on product codes in a technical support index.</t>
        </is>
      </c>
      <c r="AR9" s="18" t="inlineStr">
        <is>
          <t>An interviewer may ask: Why use hybrid search?</t>
        </is>
      </c>
      <c r="AS9" s="18" t="inlineStr">
        <is>
          <t>It is like asking two librarians.</t>
        </is>
      </c>
      <c r="AT9" s="18" t="inlineStr">
        <is>
          <t>Which method merges ranked lists without scaling scores?</t>
        </is>
      </c>
      <c r="AU9" s="18" t="inlineStr">
        <is>
          <t>A) Raw score addition B) Reciprocal rank fusion C) Alphabetical order D) Random pick</t>
        </is>
      </c>
      <c r="AV9" s="18" t="inlineStr">
        <is>
          <t>B</t>
        </is>
      </c>
      <c r="AW9" s="18" t="inlineStr">
        <is>
          <t>It uses ranks only.</t>
        </is>
      </c>
      <c r="AX9" s="19" t="inlineStr">
        <is>
          <t>A classic keyword ranking function is ____ → BM25</t>
        </is>
      </c>
      <c r="AY9" s="18" t="inlineStr">
        <is>
          <t>Merge two ranked lists by reciprocal rank.</t>
        </is>
      </c>
      <c r="AZ9" s="19" t="inlineStr">
        <is>
          <t>SUM(1.0 / (60 + rank))</t>
        </is>
      </c>
      <c r="BA9" s="18" t="inlineStr">
        <is>
          <t>Compare hybrid and vector-only results on five questions.</t>
        </is>
      </c>
      <c r="BB9" s="19" t="inlineStr">
        <is>
          <t>Why not add raw scores?</t>
        </is>
      </c>
      <c r="BC9" s="19" t="inlineStr">
        <is>
          <t>Scores from different systems have different scales.</t>
        </is>
      </c>
      <c r="BD9" s="17">
        <f>IF(K9="","",REPT("★",K9)&amp;REPT("☆",5-K9)&amp;" ("&amp;K9&amp;"/5)")</f>
        <v/>
      </c>
      <c r="BE9" s="17">
        <f>IF(S9="","","Meaning: "&amp;S9&amp;"  =  ______   (Answer: "&amp;F9&amp;")")</f>
        <v/>
      </c>
      <c r="BF9" s="17" t="inlineStr">
        <is>
          <t>New</t>
        </is>
      </c>
      <c r="BG9" s="17" t="n"/>
      <c r="BH9" s="17" t="n"/>
      <c r="BI9" s="17" t="n"/>
      <c r="BJ9" s="17" t="n"/>
      <c r="BK9" s="17" t="n"/>
      <c r="BL9" s="17" t="n"/>
      <c r="BM9" s="17" t="n"/>
      <c r="BN9" s="17" t="n"/>
    </row>
    <row r="10" ht="175.5" customHeight="1">
      <c r="A10" s="17" t="inlineStr">
        <is>
          <t>RAG-025</t>
        </is>
      </c>
      <c r="B10" s="17" t="inlineStr">
        <is>
          <t>04 Generation</t>
        </is>
      </c>
      <c r="C10" s="17" t="inlineStr">
        <is>
          <t>Intermediate</t>
        </is>
      </c>
      <c r="D10" s="17" t="n">
        <v>25</v>
      </c>
      <c r="E10" s="17" t="inlineStr">
        <is>
          <t>Claude knowledge</t>
        </is>
      </c>
      <c r="F10" s="18" t="inlineStr">
        <is>
          <t>Building the prompt</t>
        </is>
      </c>
      <c r="G10" s="18" t="inlineStr">
        <is>
          <t>How do you place retrieved chunks and rules into the final prompt?</t>
        </is>
      </c>
      <c r="H10" s="17" t="n"/>
      <c r="I10" s="18" t="inlineStr">
        <is>
          <t>Generation step</t>
        </is>
      </c>
      <c r="J10" s="18" t="inlineStr">
        <is>
          <t>Very high</t>
        </is>
      </c>
      <c r="K10" s="18" t="n">
        <v>5</v>
      </c>
      <c r="L10" s="18" t="inlineStr">
        <is>
          <t>The model only sees what is in the prompt, so retrieved evidence must be laid out clearly with rules for using it.</t>
        </is>
      </c>
      <c r="M10" s="18" t="inlineStr">
        <is>
          <t>Put long evidence first and the question last, and label each source with an id.</t>
        </is>
      </c>
      <c r="N10" s="17" t="n"/>
      <c r="O10" s="18" t="inlineStr">
        <is>
          <t>Building the prompt is laying out evidence cards on a table with numbered labels before asking the question.</t>
        </is>
      </c>
      <c r="P10" s="18" t="inlineStr">
        <is>
          <t>A prompt with numbered source blocks, rules and a question.</t>
        </is>
      </c>
      <c r="Q10" s="18" t="inlineStr">
        <is>
          <t>The satisfaction of a well-organised evidence pack.</t>
        </is>
      </c>
      <c r="R10" s="18" t="inlineStr">
        <is>
          <t>The prompt includes instructions, numbered source passages with ids and metadata, rules for answering only from them and citing, and finally the user's question.</t>
        </is>
      </c>
      <c r="S10" s="17" t="n"/>
      <c r="T10" s="19" t="inlineStr">
        <is>
          <t>SYSTEM: You answer questions using only the sources. Cite source ids in square brackets. If the sources do not contain the answer, say you do not know.
&lt;sources&gt;
&lt;source id="1" title="Refund policy" updated="2026-08-01"&gt;Refunds are issued within 7 days ...&lt;/source&gt;
&lt;source id="2" title="Shipping" updated="2026-06-10"&gt;Orders ship in 2 days ...&lt;/source&gt;
&lt;/sources&gt;
&lt;question&gt;How long do refunds take?&lt;/question&gt;</t>
        </is>
      </c>
      <c r="U10" s="19" t="inlineStr">
        <is>
          <t>A structured prompt in which the model can quote and cite numbered sources.</t>
        </is>
      </c>
      <c r="V10" s="18" t="inlineStr">
        <is>
          <t>Tags separate sources from instructions, which also helps against injected text. Ids make citations checkable. Include dates and titles so conflicts can be handled. Order matters, since long contexts may weaken attention to the middle. Trim chunks to fit the budget, dropping the lowest ranked first.</t>
        </is>
      </c>
      <c r="W10" s="18" t="inlineStr">
        <is>
          <t>Number the sources, state the rules, and put the question at the end.</t>
        </is>
      </c>
      <c r="X10" s="18" t="inlineStr">
        <is>
          <t>Building the prompt is laying numbered evidence cards on a table before asking the question.</t>
        </is>
      </c>
      <c r="Y10" s="19" t="inlineStr">
        <is>
          <t>&lt;source id="n"&gt;text&lt;/source&gt; then &lt;question&gt;</t>
        </is>
      </c>
      <c r="Z10" s="18" t="inlineStr">
        <is>
          <t>system rules = behaviour | sources = evidence | ids = citations | question = last</t>
        </is>
      </c>
      <c r="AA10" s="19" t="inlineStr">
        <is>
          <t>Dates included to settle conflicts.</t>
        </is>
      </c>
      <c r="AB10" s="19" t="inlineStr">
        <is>
          <t>Lowest ranked chunks dropped first.</t>
        </is>
      </c>
      <c r="AC10" s="19" t="inlineStr">
        <is>
          <t>A rule to say I do not know.</t>
        </is>
      </c>
      <c r="AD10" s="19" t="inlineStr">
        <is>
          <t>parent chunks inserted instead of small ones   // more context per hit</t>
        </is>
      </c>
      <c r="AE10" s="18" t="inlineStr">
        <is>
          <t>citations, context limits, delimiters</t>
        </is>
      </c>
      <c r="AF10" s="18" t="inlineStr">
        <is>
          <t>citations, handling no answer, context limits, structure with delimiters</t>
        </is>
      </c>
      <c r="AG10" s="18" t="inlineStr">
        <is>
          <t>Plain concatenated text</t>
        </is>
      </c>
      <c r="AH10" s="17" t="n"/>
      <c r="AI10" s="18" t="inlineStr">
        <is>
          <t>Every RAG system | Support bots | Knowledge tools</t>
        </is>
      </c>
      <c r="AJ10" s="18" t="inlineStr">
        <is>
          <t>A: The model mixes up sources. | B: Label each source with an id and require citations.</t>
        </is>
      </c>
      <c r="AK10" s="18" t="inlineStr">
        <is>
          <t>✗ Dumping chunks without structure works as well → ✓ Labels and rules make evidence usable and checkable</t>
        </is>
      </c>
      <c r="AL10" s="18" t="inlineStr">
        <is>
          <t>System rules vs sources: rules say how to behave, sources provide facts.</t>
        </is>
      </c>
      <c r="AM10" s="18" t="inlineStr">
        <is>
          <t>Do not mix untrusted source text with instructions unlabelled.</t>
        </is>
      </c>
      <c r="AN10" s="19" t="inlineStr">
        <is>
          <t>Here is some text: ... answer the question.</t>
        </is>
      </c>
      <c r="AO10" s="19" t="inlineStr">
        <is>
          <t>&lt;sources&gt;&lt;source id="1"&gt;...&lt;/source&gt;&lt;/sources&gt;&lt;question&gt;...&lt;/question&gt;</t>
        </is>
      </c>
      <c r="AP10" s="18" t="inlineStr">
        <is>
          <t>Rules, numbered sources, question last.</t>
        </is>
      </c>
      <c r="AQ10" s="18" t="inlineStr">
        <is>
          <t>Numbered sources made citations verifiable and answers easier to review.</t>
        </is>
      </c>
      <c r="AR10" s="18" t="inlineStr">
        <is>
          <t>An interviewer may ask: How do you structure a RAG prompt?</t>
        </is>
      </c>
      <c r="AS10" s="18" t="inlineStr">
        <is>
          <t>It is like evidence cards on a table.</t>
        </is>
      </c>
      <c r="AT10" s="18" t="inlineStr">
        <is>
          <t>Why number the sources?</t>
        </is>
      </c>
      <c r="AU10" s="18" t="inlineStr">
        <is>
          <t>A) To hide text B) To save tokens C) To lengthen the prompt D) So citations can be checked</t>
        </is>
      </c>
      <c r="AV10" s="18" t="inlineStr">
        <is>
          <t>D</t>
        </is>
      </c>
      <c r="AW10" s="18" t="inlineStr">
        <is>
          <t>Ids link claims to evidence.</t>
        </is>
      </c>
      <c r="AX10" s="19" t="inlineStr">
        <is>
          <t>Wrapping sources in tags uses ____ → delimiters</t>
        </is>
      </c>
      <c r="AY10" s="18" t="inlineStr">
        <is>
          <t>Wrap a source with id 3 in tags.</t>
        </is>
      </c>
      <c r="AZ10" s="19" t="inlineStr">
        <is>
          <t>&lt;source id="3"&gt;text&lt;/source&gt;</t>
        </is>
      </c>
      <c r="BA10" s="18" t="inlineStr">
        <is>
          <t>Write a RAG prompt template with rules and sources.</t>
        </is>
      </c>
      <c r="BB10" s="19" t="inlineStr">
        <is>
          <t>Where should the question go in a long prompt?</t>
        </is>
      </c>
      <c r="BC10" s="19" t="inlineStr">
        <is>
          <t>At the end, after the sources.</t>
        </is>
      </c>
      <c r="BD10" s="17">
        <f>IF(K10="","",REPT("★",K10)&amp;REPT("☆",5-K10)&amp;" ("&amp;K10&amp;"/5)")</f>
        <v/>
      </c>
      <c r="BE10" s="17">
        <f>IF(S10="","","Meaning: "&amp;S10&amp;"  =  ______   (Answer: "&amp;F10&amp;")")</f>
        <v/>
      </c>
      <c r="BF10" s="17" t="inlineStr">
        <is>
          <t>New</t>
        </is>
      </c>
      <c r="BG10" s="17" t="n"/>
      <c r="BH10" s="17" t="n"/>
      <c r="BI10" s="17" t="n"/>
      <c r="BJ10" s="17" t="n"/>
      <c r="BK10" s="17" t="n"/>
      <c r="BL10" s="17" t="n"/>
      <c r="BM10" s="17" t="n"/>
      <c r="BN10" s="17" t="n"/>
    </row>
  </sheetData>
  <autoFilter ref="A2:BN10"/>
  <mergeCells count="6">
    <mergeCell ref="AT1:BC1"/>
    <mergeCell ref="BD1:BE1"/>
    <mergeCell ref="F1:Q1"/>
    <mergeCell ref="A1:E1"/>
    <mergeCell ref="BF1:BN1"/>
    <mergeCell ref="R1:AS1"/>
  </mergeCells>
  <dataValidations count="2">
    <dataValidation sqref="BF3:BF10" showDropDown="0" showInputMessage="0" showErrorMessage="0" allowBlank="1" type="list">
      <formula1>"New,Learning,Known"</formula1>
    </dataValidation>
    <dataValidation sqref="BM3:BM10"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Code concept (56-pt) · card view</t>
        </is>
      </c>
    </row>
    <row r="2">
      <c r="A2" s="21" t="inlineStr">
        <is>
          <t>Card ID chuno ▸</t>
        </is>
      </c>
      <c r="B2" s="22" t="inlineStr">
        <is>
          <t>RAG-009</t>
        </is>
      </c>
    </row>
    <row r="4">
      <c r="A4" s="23" t="inlineStr">
        <is>
          <t>FRONT · Recognition (pehchano)</t>
        </is>
      </c>
    </row>
    <row r="5" ht="30" customHeight="1">
      <c r="A5" s="24" t="inlineStr">
        <is>
          <t>ID</t>
        </is>
      </c>
      <c r="B5" s="17">
        <f>INDEX('Code concept (56-pt) cards'!$A$3:$BN$10,MATCH($B$2,'Code concept (56-pt) cards'!$A$3:$A$10,0),MATCH("ID",'Code concept (56-pt) cards'!$A$2:$BN$2,0))&amp;""</f>
        <v/>
      </c>
    </row>
    <row r="6" ht="30" customHeight="1">
      <c r="A6" s="24" t="inlineStr">
        <is>
          <t>Topic</t>
        </is>
      </c>
      <c r="B6" s="17">
        <f>INDEX('Code concept (56-pt) cards'!$A$3:$BN$10,MATCH($B$2,'Code concept (56-pt) cards'!$A$3:$A$10,0),MATCH("Topic",'Code concept (56-pt) cards'!$A$2:$BN$2,0))&amp;""</f>
        <v/>
      </c>
    </row>
    <row r="7" ht="30" customHeight="1">
      <c r="A7" s="24" t="inlineStr">
        <is>
          <t>Level</t>
        </is>
      </c>
      <c r="B7" s="17">
        <f>INDEX('Code concept (56-pt) cards'!$A$3:$BN$10,MATCH($B$2,'Code concept (56-pt) cards'!$A$3:$A$10,0),MATCH("Level",'Code concept (56-pt) cards'!$A$2:$BN$2,0))&amp;""</f>
        <v/>
      </c>
    </row>
    <row r="8" ht="30" customHeight="1">
      <c r="A8" s="24" t="inlineStr">
        <is>
          <t>Concept</t>
        </is>
      </c>
      <c r="B8" s="17">
        <f>INDEX('Code concept (56-pt) cards'!$A$3:$BN$10,MATCH($B$2,'Code concept (56-pt) cards'!$A$3:$A$10,0),MATCH("Concept",'Code concept (56-pt) cards'!$A$2:$BN$2,0))&amp;""</f>
        <v/>
      </c>
    </row>
    <row r="9" ht="30" customHeight="1">
      <c r="A9" s="24" t="inlineStr">
        <is>
          <t>Recall cue</t>
        </is>
      </c>
      <c r="B9" s="17">
        <f>INDEX('Code concept (56-pt) cards'!$A$3:$BN$10,MATCH($B$2,'Code concept (56-pt) cards'!$A$3:$A$10,0),MATCH("Recall cue",'Code concept (56-pt) cards'!$A$2:$BN$2,0))&amp;""</f>
        <v/>
      </c>
    </row>
    <row r="10" ht="30" customHeight="1">
      <c r="A10" s="24" t="inlineStr">
        <is>
          <t>Read aloud</t>
        </is>
      </c>
      <c r="B10" s="17">
        <f>INDEX('Code concept (56-pt) cards'!$A$3:$BN$10,MATCH($B$2,'Code concept (56-pt) cards'!$A$3:$A$10,0),MATCH("Read aloud",'Code concept (56-pt) cards'!$A$2:$BN$2,0))&amp;""</f>
        <v/>
      </c>
    </row>
    <row r="11" ht="30" customHeight="1">
      <c r="A11" s="24" t="inlineStr">
        <is>
          <t>Type</t>
        </is>
      </c>
      <c r="B11" s="17">
        <f>INDEX('Code concept (56-pt) cards'!$A$3:$BN$10,MATCH($B$2,'Code concept (56-pt) cards'!$A$3:$A$10,0),MATCH("Type",'Code concept (56-pt) cards'!$A$2:$BN$2,0))&amp;""</f>
        <v/>
      </c>
    </row>
    <row r="12" ht="30" customHeight="1">
      <c r="A12" s="24" t="inlineStr">
        <is>
          <t>How often used</t>
        </is>
      </c>
      <c r="B12" s="17">
        <f>INDEX('Code concept (56-pt) cards'!$A$3:$BN$10,MATCH($B$2,'Code concept (56-pt) cards'!$A$3:$A$10,0),MATCH("How often used",'Code concept (56-pt) cards'!$A$2:$BN$2,0))&amp;""</f>
        <v/>
      </c>
    </row>
    <row r="13" ht="30" customHeight="1">
      <c r="A13" s="24" t="inlineStr">
        <is>
          <t>Importance (1-5)</t>
        </is>
      </c>
      <c r="B13" s="17">
        <f>INDEX('Code concept (56-pt) cards'!$A$3:$BN$10,MATCH($B$2,'Code concept (56-pt) cards'!$A$3:$A$10,0),MATCH("Importance (1-5)",'Code concept (56-pt) cards'!$A$2:$BN$2,0))&amp;""</f>
        <v/>
      </c>
    </row>
    <row r="14" ht="30" customHeight="1">
      <c r="A14" s="24" t="inlineStr">
        <is>
          <t>Origin / why it exists</t>
        </is>
      </c>
      <c r="B14" s="17">
        <f>INDEX('Code concept (56-pt) cards'!$A$3:$BN$10,MATCH($B$2,'Code concept (56-pt) cards'!$A$3:$A$10,0),MATCH("Origin / why it exists",'Code concept (56-pt) cards'!$A$2:$BN$2,0))&amp;""</f>
        <v/>
      </c>
    </row>
    <row r="15" ht="30" customHeight="1">
      <c r="A15" s="24" t="inlineStr">
        <is>
          <t>Pro tip</t>
        </is>
      </c>
      <c r="B15" s="17">
        <f>INDEX('Code concept (56-pt) cards'!$A$3:$BN$10,MATCH($B$2,'Code concept (56-pt) cards'!$A$3:$A$10,0),MATCH("Pro tip",'Code concept (56-pt) cards'!$A$2:$BN$2,0))&amp;""</f>
        <v/>
      </c>
    </row>
    <row r="16" ht="30" customHeight="1">
      <c r="A16" s="24" t="inlineStr">
        <is>
          <t>Typing hint</t>
        </is>
      </c>
      <c r="B16" s="17">
        <f>INDEX('Code concept (56-pt) cards'!$A$3:$BN$10,MATCH($B$2,'Code concept (56-pt) cards'!$A$3:$A$10,0),MATCH("Typing hint",'Code concept (56-pt) cards'!$A$2:$BN$2,0))&amp;""</f>
        <v/>
      </c>
    </row>
    <row r="17" ht="30" customHeight="1">
      <c r="A17" s="24" t="inlineStr">
        <is>
          <t>Memory story</t>
        </is>
      </c>
      <c r="B17" s="17">
        <f>INDEX('Code concept (56-pt) cards'!$A$3:$BN$10,MATCH($B$2,'Code concept (56-pt) cards'!$A$3:$A$10,0),MATCH("Memory story",'Code concept (56-pt) cards'!$A$2:$BN$2,0))&amp;""</f>
        <v/>
      </c>
    </row>
    <row r="18" ht="30" customHeight="1">
      <c r="A18" s="24" t="inlineStr">
        <is>
          <t>Picture it</t>
        </is>
      </c>
      <c r="B18" s="17">
        <f>INDEX('Code concept (56-pt) cards'!$A$3:$BN$10,MATCH($B$2,'Code concept (56-pt) cards'!$A$3:$A$10,0),MATCH("Picture it",'Code concept (56-pt) cards'!$A$2:$BN$2,0))&amp;""</f>
        <v/>
      </c>
    </row>
    <row r="19" ht="30" customHeight="1">
      <c r="A19" s="24" t="inlineStr">
        <is>
          <t>Emotion hook</t>
        </is>
      </c>
      <c r="B19" s="17">
        <f>INDEX('Code concept (56-pt) cards'!$A$3:$BN$10,MATCH($B$2,'Code concept (56-pt) cards'!$A$3:$A$10,0),MATCH("Emotion hook",'Code concept (56-pt) cards'!$A$2:$BN$2,0))&amp;""</f>
        <v/>
      </c>
    </row>
    <row r="20" ht="30" customHeight="1">
      <c r="A20" s="24" t="inlineStr">
        <is>
          <t>Importance ★</t>
        </is>
      </c>
      <c r="B20" s="17">
        <f>INDEX('Code concept (56-pt) cards'!$A$3:$BN$10,MATCH($B$2,'Code concept (56-pt) cards'!$A$3:$A$10,0),MATCH("Importance ★",'Code concept (56-pt) cards'!$A$2:$BN$2,0))&amp;""</f>
        <v/>
      </c>
    </row>
    <row r="21">
      <c r="A21" s="25" t="inlineStr">
        <is>
          <t>BACK · Understanding (samjho)</t>
        </is>
      </c>
    </row>
    <row r="22" ht="30" customHeight="1">
      <c r="A22" s="24" t="inlineStr">
        <is>
          <t>Meaning (short)</t>
        </is>
      </c>
      <c r="B22" s="17">
        <f>INDEX('Code concept (56-pt) cards'!$A$3:$BN$10,MATCH($B$2,'Code concept (56-pt) cards'!$A$3:$A$10,0),MATCH("Meaning (short)",'Code concept (56-pt) cards'!$A$2:$BN$2,0))&amp;""</f>
        <v/>
      </c>
    </row>
    <row r="23" ht="30" customHeight="1">
      <c r="A23" s="24" t="inlineStr">
        <is>
          <t>Meaning in learner's language</t>
        </is>
      </c>
      <c r="B23" s="17">
        <f>INDEX('Code concept (56-pt) cards'!$A$3:$BN$10,MATCH($B$2,'Code concept (56-pt) cards'!$A$3:$A$10,0),MATCH("Meaning in learner's language",'Code concept (56-pt) cards'!$A$2:$BN$2,0))&amp;""</f>
        <v/>
      </c>
    </row>
    <row r="24" ht="135" customHeight="1">
      <c r="A24" s="24" t="inlineStr">
        <is>
          <t>Code</t>
        </is>
      </c>
      <c r="B24" s="26">
        <f>INDEX('Code concept (56-pt) cards'!$A$3:$BN$10,MATCH($B$2,'Code concept (56-pt) cards'!$A$3:$A$10,0),MATCH("Code",'Code concept (56-pt) cards'!$A$2:$BN$2,0))&amp;""</f>
        <v/>
      </c>
    </row>
    <row r="25" ht="30" customHeight="1">
      <c r="A25" s="24" t="inlineStr">
        <is>
          <t>Output</t>
        </is>
      </c>
      <c r="B25" s="26">
        <f>INDEX('Code concept (56-pt) cards'!$A$3:$BN$10,MATCH($B$2,'Code concept (56-pt) cards'!$A$3:$A$10,0),MATCH("Output",'Code concept (56-pt) cards'!$A$2:$BN$2,0))&amp;""</f>
        <v/>
      </c>
    </row>
    <row r="26" ht="54" customHeight="1">
      <c r="A26" s="24" t="inlineStr">
        <is>
          <t>Explanation</t>
        </is>
      </c>
      <c r="B26" s="17">
        <f>INDEX('Code concept (56-pt) cards'!$A$3:$BN$10,MATCH($B$2,'Code concept (56-pt) cards'!$A$3:$A$10,0),MATCH("Explanation",'Code concept (56-pt) cards'!$A$2:$BN$2,0))&amp;""</f>
        <v/>
      </c>
    </row>
    <row r="27" ht="30" customHeight="1">
      <c r="A27" s="24" t="inlineStr">
        <is>
          <t>Simple explanation (Hinglish)</t>
        </is>
      </c>
      <c r="B27" s="17">
        <f>INDEX('Code concept (56-pt) cards'!$A$3:$BN$10,MATCH($B$2,'Code concept (56-pt) cards'!$A$3:$A$10,0),MATCH("Simple explanation (Hinglish)",'Code concept (56-pt) cards'!$A$2:$BN$2,0))&amp;""</f>
        <v/>
      </c>
    </row>
    <row r="28" ht="30" customHeight="1">
      <c r="A28" s="24" t="inlineStr">
        <is>
          <t>Real-life analogy</t>
        </is>
      </c>
      <c r="B28" s="17">
        <f>INDEX('Code concept (56-pt) cards'!$A$3:$BN$10,MATCH($B$2,'Code concept (56-pt) cards'!$A$3:$A$10,0),MATCH("Real-life analogy",'Code concept (56-pt) cards'!$A$2:$BN$2,0))&amp;""</f>
        <v/>
      </c>
    </row>
    <row r="29" ht="30" customHeight="1">
      <c r="A29" s="24" t="inlineStr">
        <is>
          <t>Syntax pattern</t>
        </is>
      </c>
      <c r="B29" s="26">
        <f>INDEX('Code concept (56-pt) cards'!$A$3:$BN$10,MATCH($B$2,'Code concept (56-pt) cards'!$A$3:$A$10,0),MATCH("Syntax pattern",'Code concept (56-pt) cards'!$A$2:$BN$2,0))&amp;""</f>
        <v/>
      </c>
    </row>
    <row r="30" ht="30" customHeight="1">
      <c r="A30" s="24" t="inlineStr">
        <is>
          <t>Anatomy</t>
        </is>
      </c>
      <c r="B30" s="17">
        <f>INDEX('Code concept (56-pt) cards'!$A$3:$BN$10,MATCH($B$2,'Code concept (56-pt) cards'!$A$3:$A$10,0),MATCH("Anatomy",'Code concept (56-pt) cards'!$A$2:$BN$2,0))&amp;""</f>
        <v/>
      </c>
    </row>
    <row r="31" ht="30" customHeight="1">
      <c r="A31" s="24" t="inlineStr">
        <is>
          <t>Example 1</t>
        </is>
      </c>
      <c r="B31" s="26">
        <f>INDEX('Code concept (56-pt) cards'!$A$3:$BN$10,MATCH($B$2,'Code concept (56-pt) cards'!$A$3:$A$10,0),MATCH("Example 1",'Code concept (56-pt) cards'!$A$2:$BN$2,0))&amp;""</f>
        <v/>
      </c>
    </row>
    <row r="32" ht="30" customHeight="1">
      <c r="A32" s="24" t="inlineStr">
        <is>
          <t>Example 2</t>
        </is>
      </c>
      <c r="B32" s="26">
        <f>INDEX('Code concept (56-pt) cards'!$A$3:$BN$10,MATCH($B$2,'Code concept (56-pt) cards'!$A$3:$A$10,0),MATCH("Example 2",'Code concept (56-pt) cards'!$A$2:$BN$2,0))&amp;""</f>
        <v/>
      </c>
    </row>
    <row r="33" ht="30" customHeight="1">
      <c r="A33" s="24" t="inlineStr">
        <is>
          <t>Example 3</t>
        </is>
      </c>
      <c r="B33" s="26">
        <f>INDEX('Code concept (56-pt) cards'!$A$3:$BN$10,MATCH($B$2,'Code concept (56-pt) cards'!$A$3:$A$10,0),MATCH("Example 3",'Code concept (56-pt) cards'!$A$2:$BN$2,0))&amp;""</f>
        <v/>
      </c>
    </row>
    <row r="34" ht="30" customHeight="1">
      <c r="A34" s="24" t="inlineStr">
        <is>
          <t>Variation</t>
        </is>
      </c>
      <c r="B34" s="26">
        <f>INDEX('Code concept (56-pt) cards'!$A$3:$BN$10,MATCH($B$2,'Code concept (56-pt) cards'!$A$3:$A$10,0),MATCH("Variation",'Code concept (56-pt) cards'!$A$2:$BN$2,0))&amp;""</f>
        <v/>
      </c>
    </row>
    <row r="35" ht="30" customHeight="1">
      <c r="A35" s="24" t="inlineStr">
        <is>
          <t>Used with</t>
        </is>
      </c>
      <c r="B35" s="17">
        <f>INDEX('Code concept (56-pt) cards'!$A$3:$BN$10,MATCH($B$2,'Code concept (56-pt) cards'!$A$3:$A$10,0),MATCH("Used with",'Code concept (56-pt) cards'!$A$2:$BN$2,0))&amp;""</f>
        <v/>
      </c>
    </row>
    <row r="36" ht="30" customHeight="1">
      <c r="A36" s="24" t="inlineStr">
        <is>
          <t>Related concepts</t>
        </is>
      </c>
      <c r="B36" s="17">
        <f>INDEX('Code concept (56-pt) cards'!$A$3:$BN$10,MATCH($B$2,'Code concept (56-pt) cards'!$A$3:$A$10,0),MATCH("Related concepts",'Code concept (56-pt) cards'!$A$2:$BN$2,0))&amp;""</f>
        <v/>
      </c>
    </row>
    <row r="37" ht="30" customHeight="1">
      <c r="A37" s="24" t="inlineStr">
        <is>
          <t>Alternatives</t>
        </is>
      </c>
      <c r="B37" s="17">
        <f>INDEX('Code concept (56-pt) cards'!$A$3:$BN$10,MATCH($B$2,'Code concept (56-pt) cards'!$A$3:$A$10,0),MATCH("Alternatives",'Code concept (56-pt) cards'!$A$2:$BN$2,0))&amp;""</f>
        <v/>
      </c>
    </row>
    <row r="38" ht="30" customHeight="1">
      <c r="A38" s="24" t="inlineStr">
        <is>
          <t>Family / group</t>
        </is>
      </c>
      <c r="B38" s="17">
        <f>INDEX('Code concept (56-pt) cards'!$A$3:$BN$10,MATCH($B$2,'Code concept (56-pt) cards'!$A$3:$A$10,0),MATCH("Family / group",'Code concept (56-pt) cards'!$A$2:$BN$2,0))&amp;""</f>
        <v/>
      </c>
    </row>
    <row r="39" ht="30" customHeight="1">
      <c r="A39" s="24" t="inlineStr">
        <is>
          <t>Where it is used</t>
        </is>
      </c>
      <c r="B39" s="17">
        <f>INDEX('Code concept (56-pt) cards'!$A$3:$BN$10,MATCH($B$2,'Code concept (56-pt) cards'!$A$3:$A$10,0),MATCH("Where it is used",'Code concept (56-pt) cards'!$A$2:$BN$2,0))&amp;""</f>
        <v/>
      </c>
    </row>
    <row r="40" ht="30" customHeight="1">
      <c r="A40" s="24" t="inlineStr">
        <is>
          <t>Mini conversation</t>
        </is>
      </c>
      <c r="B40" s="17">
        <f>INDEX('Code concept (56-pt) cards'!$A$3:$BN$10,MATCH($B$2,'Code concept (56-pt) cards'!$A$3:$A$10,0),MATCH("Mini conversation",'Code concept (56-pt) cards'!$A$2:$BN$2,0))&amp;""</f>
        <v/>
      </c>
    </row>
    <row r="41" ht="30" customHeight="1">
      <c r="A41" s="24" t="inlineStr">
        <is>
          <t>Common mistake</t>
        </is>
      </c>
      <c r="B41" s="17">
        <f>INDEX('Code concept (56-pt) cards'!$A$3:$BN$10,MATCH($B$2,'Code concept (56-pt) cards'!$A$3:$A$10,0),MATCH("Common mistake",'Code concept (56-pt) cards'!$A$2:$BN$2,0))&amp;""</f>
        <v/>
      </c>
    </row>
    <row r="42" ht="30" customHeight="1">
      <c r="A42" s="24" t="inlineStr">
        <is>
          <t>Commonly confused with</t>
        </is>
      </c>
      <c r="B42" s="17">
        <f>INDEX('Code concept (56-pt) cards'!$A$3:$BN$10,MATCH($B$2,'Code concept (56-pt) cards'!$A$3:$A$10,0),MATCH("Commonly confused with",'Code concept (56-pt) cards'!$A$2:$BN$2,0))&amp;""</f>
        <v/>
      </c>
    </row>
    <row r="43" ht="30" customHeight="1">
      <c r="A43" s="24" t="inlineStr">
        <is>
          <t>Avoid / don't</t>
        </is>
      </c>
      <c r="B43" s="17">
        <f>INDEX('Code concept (56-pt) cards'!$A$3:$BN$10,MATCH($B$2,'Code concept (56-pt) cards'!$A$3:$A$10,0),MATCH("Avoid / don't",'Code concept (56-pt) cards'!$A$2:$BN$2,0))&amp;""</f>
        <v/>
      </c>
    </row>
    <row r="44" ht="30" customHeight="1">
      <c r="A44" s="24" t="inlineStr">
        <is>
          <t>Wrong code</t>
        </is>
      </c>
      <c r="B44" s="26">
        <f>INDEX('Code concept (56-pt) cards'!$A$3:$BN$10,MATCH($B$2,'Code concept (56-pt) cards'!$A$3:$A$10,0),MATCH("Wrong code",'Code concept (56-pt) cards'!$A$2:$BN$2,0))&amp;""</f>
        <v/>
      </c>
    </row>
    <row r="45" ht="30" customHeight="1">
      <c r="A45" s="24" t="inlineStr">
        <is>
          <t>Right code</t>
        </is>
      </c>
      <c r="B45" s="26">
        <f>INDEX('Code concept (56-pt) cards'!$A$3:$BN$10,MATCH($B$2,'Code concept (56-pt) cards'!$A$3:$A$10,0),MATCH("Right code",'Code concept (56-pt) cards'!$A$2:$BN$2,0))&amp;""</f>
        <v/>
      </c>
    </row>
    <row r="46" ht="30" customHeight="1">
      <c r="A46" s="24" t="inlineStr">
        <is>
          <t>Memory trick</t>
        </is>
      </c>
      <c r="B46" s="17">
        <f>INDEX('Code concept (56-pt) cards'!$A$3:$BN$10,MATCH($B$2,'Code concept (56-pt) cards'!$A$3:$A$10,0),MATCH("Memory trick",'Code concept (56-pt) cards'!$A$2:$BN$2,0))&amp;""</f>
        <v/>
      </c>
    </row>
    <row r="47" ht="30" customHeight="1">
      <c r="A47" s="24" t="inlineStr">
        <is>
          <t>Real life: project / work</t>
        </is>
      </c>
      <c r="B47" s="17">
        <f>INDEX('Code concept (56-pt) cards'!$A$3:$BN$10,MATCH($B$2,'Code concept (56-pt) cards'!$A$3:$A$10,0),MATCH("Real life: project / work",'Code concept (56-pt) cards'!$A$2:$BN$2,0))&amp;""</f>
        <v/>
      </c>
    </row>
    <row r="48" ht="30" customHeight="1">
      <c r="A48" s="24" t="inlineStr">
        <is>
          <t>Real life: interview / exam</t>
        </is>
      </c>
      <c r="B48" s="17">
        <f>INDEX('Code concept (56-pt) cards'!$A$3:$BN$10,MATCH($B$2,'Code concept (56-pt) cards'!$A$3:$A$10,0),MATCH("Real life: interview / exam",'Code concept (56-pt) cards'!$A$2:$BN$2,0))&amp;""</f>
        <v/>
      </c>
    </row>
    <row r="49" ht="30" customHeight="1">
      <c r="A49" s="24" t="inlineStr">
        <is>
          <t>Real life: daily life</t>
        </is>
      </c>
      <c r="B49" s="17">
        <f>INDEX('Code concept (56-pt) cards'!$A$3:$BN$10,MATCH($B$2,'Code concept (56-pt) cards'!$A$3:$A$10,0),MATCH("Real life: daily life",'Code concept (56-pt) cards'!$A$2:$BN$2,0))&amp;""</f>
        <v/>
      </c>
    </row>
    <row r="50">
      <c r="A50" s="27" t="inlineStr">
        <is>
          <t>PRACTICE · Khud karo</t>
        </is>
      </c>
    </row>
    <row r="51" ht="30" customHeight="1">
      <c r="A51" s="24" t="inlineStr">
        <is>
          <t>MCQ question</t>
        </is>
      </c>
      <c r="B51" s="17">
        <f>INDEX('Code concept (56-pt) cards'!$A$3:$BN$10,MATCH($B$2,'Code concept (56-pt) cards'!$A$3:$A$10,0),MATCH("MCQ question",'Code concept (56-pt) cards'!$A$2:$BN$2,0))&amp;""</f>
        <v/>
      </c>
    </row>
    <row r="52" ht="30" customHeight="1">
      <c r="A52" s="24" t="inlineStr">
        <is>
          <t>MCQ options</t>
        </is>
      </c>
      <c r="B52" s="17">
        <f>INDEX('Code concept (56-pt) cards'!$A$3:$BN$10,MATCH($B$2,'Code concept (56-pt) cards'!$A$3:$A$10,0),MATCH("MCQ options",'Code concept (56-pt) cards'!$A$2:$BN$2,0))&amp;""</f>
        <v/>
      </c>
    </row>
    <row r="53" ht="30" customHeight="1">
      <c r="A53" s="24" t="inlineStr">
        <is>
          <t>MCQ answer</t>
        </is>
      </c>
      <c r="B53" s="17">
        <f>INDEX('Code concept (56-pt) cards'!$A$3:$BN$10,MATCH($B$2,'Code concept (56-pt) cards'!$A$3:$A$10,0),MATCH("MCQ answer",'Code concept (56-pt) cards'!$A$2:$BN$2,0))&amp;""</f>
        <v/>
      </c>
    </row>
    <row r="54" ht="30" customHeight="1">
      <c r="A54" s="24" t="inlineStr">
        <is>
          <t>Why that answer</t>
        </is>
      </c>
      <c r="B54" s="17">
        <f>INDEX('Code concept (56-pt) cards'!$A$3:$BN$10,MATCH($B$2,'Code concept (56-pt) cards'!$A$3:$A$10,0),MATCH("Why that answer",'Code concept (56-pt) cards'!$A$2:$BN$2,0))&amp;""</f>
        <v/>
      </c>
    </row>
    <row r="55" ht="30" customHeight="1">
      <c r="A55" s="24" t="inlineStr">
        <is>
          <t>Fill the blank</t>
        </is>
      </c>
      <c r="B55" s="26">
        <f>INDEX('Code concept (56-pt) cards'!$A$3:$BN$10,MATCH($B$2,'Code concept (56-pt) cards'!$A$3:$A$10,0),MATCH("Fill the blank",'Code concept (56-pt) cards'!$A$2:$BN$2,0))&amp;""</f>
        <v/>
      </c>
    </row>
    <row r="56" ht="30" customHeight="1">
      <c r="A56" s="24" t="inlineStr">
        <is>
          <t>Try it yourself</t>
        </is>
      </c>
      <c r="B56" s="17">
        <f>INDEX('Code concept (56-pt) cards'!$A$3:$BN$10,MATCH($B$2,'Code concept (56-pt) cards'!$A$3:$A$10,0),MATCH("Try it yourself",'Code concept (56-pt) cards'!$A$2:$BN$2,0))&amp;""</f>
        <v/>
      </c>
    </row>
    <row r="57" ht="30" customHeight="1">
      <c r="A57" s="24" t="inlineStr">
        <is>
          <t>Task answer</t>
        </is>
      </c>
      <c r="B57" s="26">
        <f>INDEX('Code concept (56-pt) cards'!$A$3:$BN$10,MATCH($B$2,'Code concept (56-pt) cards'!$A$3:$A$10,0),MATCH("Task answer",'Code concept (56-pt) cards'!$A$2:$BN$2,0))&amp;""</f>
        <v/>
      </c>
    </row>
    <row r="58" ht="30" customHeight="1">
      <c r="A58" s="24" t="inlineStr">
        <is>
          <t>Write your own</t>
        </is>
      </c>
      <c r="B58" s="17">
        <f>INDEX('Code concept (56-pt) cards'!$A$3:$BN$10,MATCH($B$2,'Code concept (56-pt) cards'!$A$3:$A$10,0),MATCH("Write your own",'Code concept (56-pt) cards'!$A$2:$BN$2,0))&amp;""</f>
        <v/>
      </c>
    </row>
    <row r="59" ht="30" customHeight="1">
      <c r="A59" s="24" t="inlineStr">
        <is>
          <t>Practice question</t>
        </is>
      </c>
      <c r="B59" s="26">
        <f>INDEX('Code concept (56-pt) cards'!$A$3:$BN$10,MATCH($B$2,'Code concept (56-pt) cards'!$A$3:$A$10,0),MATCH("Practice question",'Code concept (56-pt) cards'!$A$2:$BN$2,0))&amp;""</f>
        <v/>
      </c>
    </row>
    <row r="60" ht="30" customHeight="1">
      <c r="A60" s="24" t="inlineStr">
        <is>
          <t>Practice answer</t>
        </is>
      </c>
      <c r="B60" s="26">
        <f>INDEX('Code concept (56-pt) cards'!$A$3:$BN$10,MATCH($B$2,'Code concept (56-pt) cards'!$A$3:$A$10,0),MATCH("Practice answer",'Code concept (56-pt) cards'!$A$2:$BN$2,0))&amp;""</f>
        <v/>
      </c>
    </row>
    <row r="61" ht="30" customHeight="1">
      <c r="A61" s="24" t="inlineStr">
        <is>
          <t>Quick recall (reverse)</t>
        </is>
      </c>
      <c r="B61" s="17">
        <f>INDEX('Code concept (56-pt) cards'!$A$3:$BN$10,MATCH($B$2,'Code concept (56-pt) cards'!$A$3:$A$10,0),MATCH("Quick recall (reverse)",'Code concept (56-pt) cards'!$A$2:$BN$2,0))&amp;""</f>
        <v/>
      </c>
    </row>
  </sheetData>
  <mergeCells count="3">
    <mergeCell ref="A4:B4"/>
    <mergeCell ref="A21:B21"/>
    <mergeCell ref="A50:B50"/>
  </mergeCells>
  <dataValidations count="1">
    <dataValidation sqref="B2" showDropDown="0" showInputMessage="0" showErrorMessage="0" allowBlank="0" type="list">
      <formula1>='Code concept (56-pt) cards'!$A$3:$A$10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42" customWidth="1" min="11" max="11"/>
    <col width="42" customWidth="1" min="12" max="12"/>
    <col width="42" customWidth="1" min="13" max="13"/>
    <col width="42" customWidth="1" min="14" max="14"/>
    <col width="42" customWidth="1" min="15" max="15"/>
    <col width="42" customWidth="1" min="16" max="16"/>
    <col width="18"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18" customWidth="1" min="38" max="38"/>
    <col width="18" customWidth="1" min="39" max="39"/>
    <col width="42" customWidth="1" min="40" max="40"/>
    <col width="42" customWidth="1" min="41" max="41"/>
    <col width="42" customWidth="1" min="42" max="42"/>
    <col width="42" customWidth="1" min="43" max="43"/>
    <col width="18" customWidth="1" min="44" max="44"/>
    <col width="42" customWidth="1" min="45" max="45"/>
    <col width="18" customWidth="1" min="46" max="46"/>
    <col width="9" customWidth="1" min="47" max="47"/>
    <col width="9" customWidth="1" min="48" max="48"/>
    <col width="9" customWidth="1" min="49" max="49"/>
    <col width="9" customWidth="1" min="50" max="50"/>
    <col width="9" customWidth="1" min="51" max="51"/>
    <col width="9" customWidth="1" min="52" max="52"/>
    <col width="18" customWidth="1" min="53" max="53"/>
    <col width="18" customWidth="1" min="54" max="54"/>
  </cols>
  <sheetData>
    <row r="1">
      <c r="A1" s="5" t="inlineStr">
        <is>
          <t>Card</t>
        </is>
      </c>
      <c r="F1" s="6" t="inlineStr">
        <is>
          <t>Side 1 · Recognition</t>
        </is>
      </c>
      <c r="P1" s="7" t="inlineStr">
        <is>
          <t>Side 2 · Understanding</t>
        </is>
      </c>
      <c r="AJ1" s="8" t="inlineStr">
        <is>
          <t>Side 3 · Real life &amp; Practice</t>
        </is>
      </c>
      <c r="AR1" s="9" t="inlineStr">
        <is>
          <t>Auto</t>
        </is>
      </c>
      <c r="AT1" s="10" t="inlineStr">
        <is>
          <t>My review</t>
        </is>
      </c>
    </row>
    <row r="2">
      <c r="A2" s="11" t="inlineStr">
        <is>
          <t>ID</t>
        </is>
      </c>
      <c r="B2" s="11" t="inlineStr">
        <is>
          <t>Topic</t>
        </is>
      </c>
      <c r="C2" s="11" t="inlineStr">
        <is>
          <t>Level</t>
        </is>
      </c>
      <c r="D2" s="11" t="inlineStr">
        <is>
          <t>Study order</t>
        </is>
      </c>
      <c r="E2" s="11" t="inlineStr">
        <is>
          <t>Source</t>
        </is>
      </c>
      <c r="F2" s="12" t="inlineStr">
        <is>
          <t>Term / topic</t>
        </is>
      </c>
      <c r="G2" s="12" t="inlineStr">
        <is>
          <t>Recall cue</t>
        </is>
      </c>
      <c r="H2" s="12" t="inlineStr">
        <is>
          <t>Category</t>
        </is>
      </c>
      <c r="I2" s="12" t="inlineStr">
        <is>
          <t>How often used</t>
        </is>
      </c>
      <c r="J2" s="12" t="inlineStr">
        <is>
          <t>Importance (1-5)</t>
        </is>
      </c>
      <c r="K2" s="12" t="inlineStr">
        <is>
          <t>Origin / why it exists</t>
        </is>
      </c>
      <c r="L2" s="12" t="inlineStr">
        <is>
          <t>Pro tip</t>
        </is>
      </c>
      <c r="M2" s="12" t="inlineStr">
        <is>
          <t>Memory story</t>
        </is>
      </c>
      <c r="N2" s="12" t="inlineStr">
        <is>
          <t>Picture it</t>
        </is>
      </c>
      <c r="O2" s="12" t="inlineStr">
        <is>
          <t>Emotion hook</t>
        </is>
      </c>
      <c r="P2" s="13" t="inlineStr">
        <is>
          <t>Definition (simple)</t>
        </is>
      </c>
      <c r="Q2" s="13" t="inlineStr">
        <is>
          <t>Meaning in learner's language</t>
        </is>
      </c>
      <c r="R2" s="13" t="inlineStr">
        <is>
          <t>How / why it works</t>
        </is>
      </c>
      <c r="S2" s="13" t="inlineStr">
        <is>
          <t>Simple explanation (Hinglish)</t>
        </is>
      </c>
      <c r="T2" s="13" t="inlineStr">
        <is>
          <t>Real-life analogy</t>
        </is>
      </c>
      <c r="U2" s="13" t="inlineStr">
        <is>
          <t>Formula / rule</t>
        </is>
      </c>
      <c r="V2" s="13" t="inlineStr">
        <is>
          <t>Example 1</t>
        </is>
      </c>
      <c r="W2" s="13" t="inlineStr">
        <is>
          <t>Example 2</t>
        </is>
      </c>
      <c r="X2" s="13" t="inlineStr">
        <is>
          <t>Example 3</t>
        </is>
      </c>
      <c r="Y2" s="13" t="inlineStr">
        <is>
          <t>Related concepts</t>
        </is>
      </c>
      <c r="Z2" s="13" t="inlineStr">
        <is>
          <t>Family / group</t>
        </is>
      </c>
      <c r="AA2" s="13" t="inlineStr">
        <is>
          <t>Where it is used</t>
        </is>
      </c>
      <c r="AB2" s="13" t="inlineStr">
        <is>
          <t>Mini conversation</t>
        </is>
      </c>
      <c r="AC2" s="13" t="inlineStr">
        <is>
          <t>Common mistake</t>
        </is>
      </c>
      <c r="AD2" s="13" t="inlineStr">
        <is>
          <t>Don't confuse with</t>
        </is>
      </c>
      <c r="AE2" s="13" t="inlineStr">
        <is>
          <t>Avoid / don't</t>
        </is>
      </c>
      <c r="AF2" s="13" t="inlineStr">
        <is>
          <t>Memory trick</t>
        </is>
      </c>
      <c r="AG2" s="13" t="inlineStr">
        <is>
          <t>Real life: project / work</t>
        </is>
      </c>
      <c r="AH2" s="13" t="inlineStr">
        <is>
          <t>Real life: interview / exam</t>
        </is>
      </c>
      <c r="AI2" s="13" t="inlineStr">
        <is>
          <t>Real life: daily life</t>
        </is>
      </c>
      <c r="AJ2" s="14" t="inlineStr">
        <is>
          <t>MCQ question</t>
        </is>
      </c>
      <c r="AK2" s="14" t="inlineStr">
        <is>
          <t>MCQ options</t>
        </is>
      </c>
      <c r="AL2" s="14" t="inlineStr">
        <is>
          <t>MCQ answer</t>
        </is>
      </c>
      <c r="AM2" s="14" t="inlineStr">
        <is>
          <t>Why that answer</t>
        </is>
      </c>
      <c r="AN2" s="14" t="inlineStr">
        <is>
          <t>Fill the blank</t>
        </is>
      </c>
      <c r="AO2" s="14" t="inlineStr">
        <is>
          <t>Apply it</t>
        </is>
      </c>
      <c r="AP2" s="14" t="inlineStr">
        <is>
          <t>Explain it yourself</t>
        </is>
      </c>
      <c r="AQ2" s="14" t="inlineStr">
        <is>
          <t>Write your own</t>
        </is>
      </c>
      <c r="AR2" s="15" t="inlineStr">
        <is>
          <t>Importance ★</t>
        </is>
      </c>
      <c r="AS2" s="15" t="inlineStr">
        <is>
          <t>Quick recall (reverse)</t>
        </is>
      </c>
      <c r="AT2" s="16" t="inlineStr">
        <is>
          <t>Status</t>
        </is>
      </c>
      <c r="AU2" s="16" t="inlineStr">
        <is>
          <t>Day 1</t>
        </is>
      </c>
      <c r="AV2" s="16" t="inlineStr">
        <is>
          <t>Day 3</t>
        </is>
      </c>
      <c r="AW2" s="16" t="inlineStr">
        <is>
          <t>Day 7</t>
        </is>
      </c>
      <c r="AX2" s="16" t="inlineStr">
        <is>
          <t>Day 15</t>
        </is>
      </c>
      <c r="AY2" s="16" t="inlineStr">
        <is>
          <t>Day 30</t>
        </is>
      </c>
      <c r="AZ2" s="16" t="inlineStr">
        <is>
          <t>Day 60</t>
        </is>
      </c>
      <c r="BA2" s="16" t="inlineStr">
        <is>
          <t>OK / Fix</t>
        </is>
      </c>
      <c r="BB2" s="16" t="inlineStr">
        <is>
          <t>My note</t>
        </is>
      </c>
    </row>
    <row r="3" ht="94.5" customHeight="1">
      <c r="A3" s="17" t="inlineStr">
        <is>
          <t>RAG-001</t>
        </is>
      </c>
      <c r="B3" s="17" t="inlineStr">
        <is>
          <t>01 Ideas</t>
        </is>
      </c>
      <c r="C3" s="17" t="inlineStr">
        <is>
          <t>Beginner</t>
        </is>
      </c>
      <c r="D3" s="17" t="n">
        <v>1</v>
      </c>
      <c r="E3" s="17" t="inlineStr">
        <is>
          <t>Claude knowledge</t>
        </is>
      </c>
      <c r="F3" s="18" t="inlineStr">
        <is>
          <t>What RAG is</t>
        </is>
      </c>
      <c r="G3" s="18" t="inlineStr">
        <is>
          <t>Which pattern lets a model answer from your documents by retrieving relevant text first?</t>
        </is>
      </c>
      <c r="H3" s="18" t="inlineStr">
        <is>
          <t>Core concept</t>
        </is>
      </c>
      <c r="I3" s="18" t="inlineStr">
        <is>
          <t>Very high</t>
        </is>
      </c>
      <c r="J3" s="18" t="n">
        <v>5</v>
      </c>
      <c r="K3" s="18" t="inlineStr">
        <is>
          <t>Models do not know private or recent information, so retrieval fetches relevant passages and places them in the prompt before generation.</t>
        </is>
      </c>
      <c r="L3" s="18" t="inlineStr">
        <is>
          <t>Think of RAG as an open-book exam for the model.</t>
        </is>
      </c>
      <c r="M3" s="18" t="inlineStr">
        <is>
          <t>RAG is a student who looks up the right pages before writing the answer.</t>
        </is>
      </c>
      <c r="N3" s="18" t="inlineStr">
        <is>
          <t>A question, a search step, retrieved passages and a final answer.</t>
        </is>
      </c>
      <c r="O3" s="18" t="inlineStr">
        <is>
          <t>The comfort of answers backed by real documents.</t>
        </is>
      </c>
      <c r="P3" s="18" t="inlineStr">
        <is>
          <t>Retrieval-augmented generation retrieves relevant passages from a knowledge source for a user's question, adds them to the prompt, and has the model generate an answer grounded in them.</t>
        </is>
      </c>
      <c r="Q3" s="17" t="n"/>
      <c r="R3" s="18" t="inlineStr">
        <is>
          <t>The pipeline has two phases. Offline, documents are split, embedded and indexed. Online, the question is embedded, similar chunks are retrieved, a prompt is built with the chunks, and the model answers, often with citations. RAG keeps knowledge outside the model so it can be updated and access-controlled.</t>
        </is>
      </c>
      <c r="S3" s="18" t="inlineStr">
        <is>
          <t>Search your documents first, then let the model answer using what was found.</t>
        </is>
      </c>
      <c r="T3" s="18" t="inlineStr">
        <is>
          <t>RAG is a student who looks up the right pages before writing the answer.</t>
        </is>
      </c>
      <c r="U3" s="18" t="inlineStr">
        <is>
          <t>Retrieve, augment the prompt, generate.</t>
        </is>
      </c>
      <c r="V3" s="18" t="inlineStr">
        <is>
          <t>A support bot answering from the help centre.</t>
        </is>
      </c>
      <c r="W3" s="18" t="inlineStr">
        <is>
          <t>An assistant answering questions about internal policies.</t>
        </is>
      </c>
      <c r="X3" s="18" t="inlineStr">
        <is>
          <t>A contract search tool with cited clauses.</t>
        </is>
      </c>
      <c r="Y3" s="18" t="inlineStr">
        <is>
          <t>embeddings, grounding, chunking, vector search</t>
        </is>
      </c>
      <c r="Z3" s="18" t="inlineStr">
        <is>
          <t>retrieval, generation, chunk, index, grounding</t>
        </is>
      </c>
      <c r="AA3" s="18" t="inlineStr">
        <is>
          <t>Knowledge assistants | Support | Enterprise search</t>
        </is>
      </c>
      <c r="AB3" s="18" t="inlineStr">
        <is>
          <t>A: The model does not know our new policy. | B: Use RAG so it reads the policy before answering.</t>
        </is>
      </c>
      <c r="AC3" s="18" t="inlineStr">
        <is>
          <t>✗ RAG trains the model on your documents → ✓ It only supplies relevant text at question time</t>
        </is>
      </c>
      <c r="AD3" s="18" t="inlineStr">
        <is>
          <t>RAG vs fine-tuning: RAG supplies knowledge at run time, fine-tuning changes the model.</t>
        </is>
      </c>
      <c r="AE3" s="18" t="inlineStr">
        <is>
          <t>Do not assume retrieval always finds the right passage.</t>
        </is>
      </c>
      <c r="AF3" s="18" t="inlineStr">
        <is>
          <t>Look up first, then write.</t>
        </is>
      </c>
      <c r="AG3" s="18" t="inlineStr">
        <is>
          <t>A RAG assistant answered from a customer's help centre with cited sources.</t>
        </is>
      </c>
      <c r="AH3" s="18" t="inlineStr">
        <is>
          <t>An interviewer may ask: How does RAG work?</t>
        </is>
      </c>
      <c r="AI3" s="18" t="inlineStr">
        <is>
          <t>It is like an open-book exam.</t>
        </is>
      </c>
      <c r="AJ3" s="18" t="inlineStr">
        <is>
          <t>When does RAG add the knowledge?</t>
        </is>
      </c>
      <c r="AK3" s="18" t="inlineStr">
        <is>
          <t>A) Never B) At deployment only C) At question time D) During model training</t>
        </is>
      </c>
      <c r="AL3" s="18" t="inlineStr">
        <is>
          <t>C</t>
        </is>
      </c>
      <c r="AM3" s="18" t="inlineStr">
        <is>
          <t>Passages are retrieved per question.</t>
        </is>
      </c>
      <c r="AN3" s="18" t="inlineStr">
        <is>
          <t>Supplying retrieved text to ground the answer is the ____ part of RAG → augmentation</t>
        </is>
      </c>
      <c r="AO3" s="18" t="inlineStr">
        <is>
          <t>A model must answer from private documents that change often. What do you build? → A RAG system</t>
        </is>
      </c>
      <c r="AP3" s="18" t="inlineStr">
        <is>
          <t>Explain RAG in three lines.</t>
        </is>
      </c>
      <c r="AQ3" s="18" t="inlineStr">
        <is>
          <t>Sketch the offline and online phases of a RAG system.</t>
        </is>
      </c>
      <c r="AR3" s="17">
        <f>IF(J3="","",REPT("★",J3)&amp;REPT("☆",5-J3)&amp;" ("&amp;J3&amp;"/5)")</f>
        <v/>
      </c>
      <c r="AS3" s="17">
        <f>IF(Q3="","","Meaning: "&amp;Q3&amp;"  =  ______   (Answer: "&amp;F3&amp;")")</f>
        <v/>
      </c>
      <c r="AT3" s="17" t="inlineStr">
        <is>
          <t>New</t>
        </is>
      </c>
      <c r="AU3" s="17" t="n"/>
      <c r="AV3" s="17" t="n"/>
      <c r="AW3" s="17" t="n"/>
      <c r="AX3" s="17" t="n"/>
      <c r="AY3" s="17" t="n"/>
      <c r="AZ3" s="17" t="n"/>
      <c r="BA3" s="17" t="n"/>
      <c r="BB3" s="17" t="n"/>
    </row>
    <row r="4" ht="94.5" customHeight="1">
      <c r="A4" s="17" t="inlineStr">
        <is>
          <t>RAG-002</t>
        </is>
      </c>
      <c r="B4" s="17" t="inlineStr">
        <is>
          <t>01 Ideas</t>
        </is>
      </c>
      <c r="C4" s="17" t="inlineStr">
        <is>
          <t>Intermediate</t>
        </is>
      </c>
      <c r="D4" s="17" t="n">
        <v>2</v>
      </c>
      <c r="E4" s="17" t="inlineStr">
        <is>
          <t>Claude knowledge</t>
        </is>
      </c>
      <c r="F4" s="18" t="inlineStr">
        <is>
          <t>RAG vs fine-tuning vs long context</t>
        </is>
      </c>
      <c r="G4" s="18" t="inlineStr">
        <is>
          <t>Which three ways give a model your knowledge, and when does each fit?</t>
        </is>
      </c>
      <c r="H4" s="18" t="inlineStr">
        <is>
          <t>Core concept</t>
        </is>
      </c>
      <c r="I4" s="18" t="inlineStr">
        <is>
          <t>High</t>
        </is>
      </c>
      <c r="J4" s="18" t="n">
        <v>5</v>
      </c>
      <c r="K4" s="18" t="inlineStr">
        <is>
          <t>Teams can put knowledge in the model, in the prompt or in a retrieval system, and each has different trade-offs.</t>
        </is>
      </c>
      <c r="L4" s="18" t="inlineStr">
        <is>
          <t>Use RAG for large, changing, permissioned knowledge, and long context for small bounded documents.</t>
        </is>
      </c>
      <c r="M4" s="18" t="inlineStr">
        <is>
          <t>Fine-tuning is teaching, long context is handing over the whole book, and RAG is handing over the right pages.</t>
        </is>
      </c>
      <c r="N4" s="18" t="inlineStr">
        <is>
          <t>Three separate paths leading from knowledge to a final answer.</t>
        </is>
      </c>
      <c r="O4" s="18" t="inlineStr">
        <is>
          <t>The clarity of choosing the right tool.</t>
        </is>
      </c>
      <c r="P4" s="18" t="inlineStr">
        <is>
          <t>Fine-tuning changes model behaviour with training data, long context places whole documents in the prompt, and RAG retrieves only relevant passages from a larger store at question time.</t>
        </is>
      </c>
      <c r="Q4" s="17" t="n"/>
      <c r="R4" s="18" t="inlineStr">
        <is>
          <t>Long context is simple for a few documents, but costly per call and may dilute attention. RAG scales to huge collections, supports updates, access control and citations. Fine-tuning suits style and format, not fresh facts. Hybrids are common, such as RAG with a lightly tuned model.</t>
        </is>
      </c>
      <c r="S4" s="18" t="inlineStr">
        <is>
          <t>Small documents fit in context, large changing collections need RAG, and style needs fine-tuning.</t>
        </is>
      </c>
      <c r="T4" s="18" t="inlineStr">
        <is>
          <t>Fine-tuning is teaching, long context is handing over the whole book, and RAG is handing over the right pages.</t>
        </is>
      </c>
      <c r="U4" s="18" t="inlineStr">
        <is>
          <t>Size and change decide: small = context, large and live = RAG.</t>
        </is>
      </c>
      <c r="V4" s="18" t="inlineStr">
        <is>
          <t>A ten page manual pasted into the prompt.</t>
        </is>
      </c>
      <c r="W4" s="18" t="inlineStr">
        <is>
          <t>Millions of tickets searched with RAG.</t>
        </is>
      </c>
      <c r="X4" s="18" t="inlineStr">
        <is>
          <t>A brand voice learned through fine-tuning.</t>
        </is>
      </c>
      <c r="Y4" s="18" t="inlineStr">
        <is>
          <t>prompting vs fine-tuning, context window, cost control, pipeline overview</t>
        </is>
      </c>
      <c r="Z4" s="18" t="inlineStr">
        <is>
          <t>context, retrieval, fine-tuning, scale, freshness</t>
        </is>
      </c>
      <c r="AA4" s="18" t="inlineStr">
        <is>
          <t>Architecture decisions | Proposals | Cost planning</t>
        </is>
      </c>
      <c r="AB4" s="18" t="inlineStr">
        <is>
          <t>A: Can we just paste all documents in the prompt? | B: Not if there are thousands, so retrieve the relevant ones.</t>
        </is>
      </c>
      <c r="AC4" s="18" t="inlineStr">
        <is>
          <t>✗ A bigger context window makes RAG unnecessary → ✓ Large collections, cost, permissions and updates still favour retrieval</t>
        </is>
      </c>
      <c r="AD4" s="18" t="inlineStr">
        <is>
          <t>RAG vs long context: retrieve selected pages versus supply everything.</t>
        </is>
      </c>
      <c r="AE4" s="18" t="inlineStr">
        <is>
          <t>Do not paste huge collections into every call.</t>
        </is>
      </c>
      <c r="AF4" s="18" t="inlineStr">
        <is>
          <t>Small book in context, big library by retrieval.</t>
        </is>
      </c>
      <c r="AG4" s="18" t="inlineStr">
        <is>
          <t>Switching from pasting documents to retrieval cut cost and improved relevance.</t>
        </is>
      </c>
      <c r="AH4" s="18" t="inlineStr">
        <is>
          <t>An interviewer may ask: When would you use RAG instead of long context?</t>
        </is>
      </c>
      <c r="AI4" s="18" t="inlineStr">
        <is>
          <t>It is like handing over the right pages instead of the whole library.</t>
        </is>
      </c>
      <c r="AJ4" s="18" t="inlineStr">
        <is>
          <t>Which fits a huge, changing document store?</t>
        </is>
      </c>
      <c r="AK4" s="18" t="inlineStr">
        <is>
          <t>A) RAG B) Fine-tuning only C) Nothing D) A short prompt</t>
        </is>
      </c>
      <c r="AL4" s="18" t="inlineStr">
        <is>
          <t>A</t>
        </is>
      </c>
      <c r="AM4" s="18" t="inlineStr">
        <is>
          <t>Retrieval scales and updates easily.</t>
        </is>
      </c>
      <c r="AN4" s="18" t="inlineStr">
        <is>
          <t>Behaviour and style changes suit ____ → fine-tuning</t>
        </is>
      </c>
      <c r="AO4" s="18" t="inlineStr">
        <is>
          <t>A single short policy must be applied to every call. What fits? → Put it in the prompt</t>
        </is>
      </c>
      <c r="AP4" s="18" t="inlineStr">
        <is>
          <t>Explain the three approaches in three lines.</t>
        </is>
      </c>
      <c r="AQ4" s="18" t="inlineStr">
        <is>
          <t>Choose the approach for three different knowledge sizes.</t>
        </is>
      </c>
      <c r="AR4" s="17">
        <f>IF(J4="","",REPT("★",J4)&amp;REPT("☆",5-J4)&amp;" ("&amp;J4&amp;"/5)")</f>
        <v/>
      </c>
      <c r="AS4" s="17">
        <f>IF(Q4="","","Meaning: "&amp;Q4&amp;"  =  ______   (Answer: "&amp;F4&amp;")")</f>
        <v/>
      </c>
      <c r="AT4" s="17" t="inlineStr">
        <is>
          <t>New</t>
        </is>
      </c>
      <c r="AU4" s="17" t="n"/>
      <c r="AV4" s="17" t="n"/>
      <c r="AW4" s="17" t="n"/>
      <c r="AX4" s="17" t="n"/>
      <c r="AY4" s="17" t="n"/>
      <c r="AZ4" s="17" t="n"/>
      <c r="BA4" s="17" t="n"/>
      <c r="BB4" s="17" t="n"/>
    </row>
    <row r="5" ht="94.5" customHeight="1">
      <c r="A5" s="17" t="inlineStr">
        <is>
          <t>RAG-003</t>
        </is>
      </c>
      <c r="B5" s="17" t="inlineStr">
        <is>
          <t>01 Ideas</t>
        </is>
      </c>
      <c r="C5" s="17" t="inlineStr">
        <is>
          <t>Beginner</t>
        </is>
      </c>
      <c r="D5" s="17" t="n">
        <v>3</v>
      </c>
      <c r="E5" s="17" t="inlineStr">
        <is>
          <t>Claude knowledge</t>
        </is>
      </c>
      <c r="F5" s="18" t="inlineStr">
        <is>
          <t>Pipeline overview</t>
        </is>
      </c>
      <c r="G5" s="18" t="inlineStr">
        <is>
          <t>Which stages make up a typical RAG system from documents to answer?</t>
        </is>
      </c>
      <c r="H5" s="18" t="inlineStr">
        <is>
          <t>Core concept</t>
        </is>
      </c>
      <c r="I5" s="18" t="inlineStr">
        <is>
          <t>Very high</t>
        </is>
      </c>
      <c r="J5" s="18" t="n">
        <v>5</v>
      </c>
      <c r="K5" s="18" t="inlineStr">
        <is>
          <t>A working system needs ingestion, retrieval and generation stages, each with its own failure modes.</t>
        </is>
      </c>
      <c r="L5" s="18" t="inlineStr">
        <is>
          <t>Measure each stage separately so you know where quality is lost.</t>
        </is>
      </c>
      <c r="M5" s="18" t="inlineStr">
        <is>
          <t>The pipeline is a library: shelving books, finding the right ones, and writing the answer.</t>
        </is>
      </c>
      <c r="N5" s="18" t="inlineStr">
        <is>
          <t>Boxes for load, chunk, embed, index, retrieve, rerank, prompt and answer.</t>
        </is>
      </c>
      <c r="O5" s="18" t="inlineStr">
        <is>
          <t>The clarity of seeing the whole flow.</t>
        </is>
      </c>
      <c r="P5" s="18" t="inlineStr">
        <is>
          <t>A RAG pipeline loads and cleans documents, chunks them, embeds and indexes the chunks, then at question time retrieves candidates, optionally reranks, builds a prompt and generates a cited answer.</t>
        </is>
      </c>
      <c r="Q5" s="17" t="n"/>
      <c r="R5" s="18" t="inlineStr">
        <is>
          <t>Quality depends on every stage. Poor parsing loses text, bad chunking splits ideas, weak retrieval misses evidence, and a weak prompt ignores it. Add evaluation, logging and access control around the pipeline. Updates must flow through ingestion. Each stage can be improved independently.</t>
        </is>
      </c>
      <c r="S5" s="18" t="inlineStr">
        <is>
          <t>Load, chunk, embed, index, retrieve, rerank, prompt, answer, and measure each step.</t>
        </is>
      </c>
      <c r="T5" s="18" t="inlineStr">
        <is>
          <t>The pipeline is a library: shelving books, finding the right ones, and writing the answer.</t>
        </is>
      </c>
      <c r="U5" s="18" t="inlineStr">
        <is>
          <t>Ingest → retrieve → generate → evaluate.</t>
        </is>
      </c>
      <c r="V5" s="18" t="inlineStr">
        <is>
          <t>A PDF parsed into text and chunked.</t>
        </is>
      </c>
      <c r="W5" s="18" t="inlineStr">
        <is>
          <t>A query retrieving ten chunks and reranking to five.</t>
        </is>
      </c>
      <c r="X5" s="18" t="inlineStr">
        <is>
          <t>A prompt with five chunks and a citation rule.</t>
        </is>
      </c>
      <c r="Y5" s="18" t="inlineStr">
        <is>
          <t>loading documents, chunking, vector search, building the prompt</t>
        </is>
      </c>
      <c r="Z5" s="18" t="inlineStr">
        <is>
          <t>pipeline, ingestion, retrieval, generation, evaluation</t>
        </is>
      </c>
      <c r="AA5" s="18" t="inlineStr">
        <is>
          <t>Design | Debugging | Reviews</t>
        </is>
      </c>
      <c r="AB5" s="18" t="inlineStr">
        <is>
          <t>A: The answers are wrong. | B: First check whether retrieval found the right chunks.</t>
        </is>
      </c>
      <c r="AC5" s="18" t="inlineStr">
        <is>
          <t>✗ If the answer is wrong, the model is to blame → ✓ Often retrieval or parsing failed earlier</t>
        </is>
      </c>
      <c r="AD5" s="18" t="inlineStr">
        <is>
          <t>Ingestion vs retrieval: preparing the knowledge versus finding it.</t>
        </is>
      </c>
      <c r="AE5" s="18" t="inlineStr">
        <is>
          <t>Do not tune the prompt before checking retrieval.</t>
        </is>
      </c>
      <c r="AF5" s="18" t="inlineStr">
        <is>
          <t>Check retrieval before blaming the model.</t>
        </is>
      </c>
      <c r="AG5" s="18" t="inlineStr">
        <is>
          <t>Finding poor PDF parsing explained why answers missed table content.</t>
        </is>
      </c>
      <c r="AH5" s="18" t="inlineStr">
        <is>
          <t>An interviewer may ask: Walk me through a RAG pipeline.</t>
        </is>
      </c>
      <c r="AI5" s="18" t="inlineStr">
        <is>
          <t>It is like shelving books and finding the right ones.</t>
        </is>
      </c>
      <c r="AJ5" s="18" t="inlineStr">
        <is>
          <t>Which stage runs before retrieval?</t>
        </is>
      </c>
      <c r="AK5" s="18" t="inlineStr">
        <is>
          <t>A) Evaluation only B) Ingestion and indexing C) Answer generation D) Citation</t>
        </is>
      </c>
      <c r="AL5" s="18" t="inlineStr">
        <is>
          <t>B</t>
        </is>
      </c>
      <c r="AM5" s="18" t="inlineStr">
        <is>
          <t>Content must be indexed first.</t>
        </is>
      </c>
      <c r="AN5" s="18" t="inlineStr">
        <is>
          <t>Preparing and indexing documents is called ____ → ingestion</t>
        </is>
      </c>
      <c r="AO5" s="18" t="inlineStr">
        <is>
          <t>Answers are wrong. What do you check first? → Whether the right chunks were retrieved</t>
        </is>
      </c>
      <c r="AP5" s="18" t="inlineStr">
        <is>
          <t>Explain the RAG pipeline in three lines.</t>
        </is>
      </c>
      <c r="AQ5" s="18" t="inlineStr">
        <is>
          <t>Draw the pipeline and mark where quality can be lost.</t>
        </is>
      </c>
      <c r="AR5" s="17">
        <f>IF(J5="","",REPT("★",J5)&amp;REPT("☆",5-J5)&amp;" ("&amp;J5&amp;"/5)")</f>
        <v/>
      </c>
      <c r="AS5" s="17">
        <f>IF(Q5="","","Meaning: "&amp;Q5&amp;"  =  ______   (Answer: "&amp;F5&amp;")")</f>
        <v/>
      </c>
      <c r="AT5" s="17" t="inlineStr">
        <is>
          <t>New</t>
        </is>
      </c>
      <c r="AU5" s="17" t="n"/>
      <c r="AV5" s="17" t="n"/>
      <c r="AW5" s="17" t="n"/>
      <c r="AX5" s="17" t="n"/>
      <c r="AY5" s="17" t="n"/>
      <c r="AZ5" s="17" t="n"/>
      <c r="BA5" s="17" t="n"/>
      <c r="BB5" s="17" t="n"/>
    </row>
    <row r="6" ht="108" customHeight="1">
      <c r="A6" s="17" t="inlineStr">
        <is>
          <t>RAG-004</t>
        </is>
      </c>
      <c r="B6" s="17" t="inlineStr">
        <is>
          <t>01 Ideas</t>
        </is>
      </c>
      <c r="C6" s="17" t="inlineStr">
        <is>
          <t>Intermediate</t>
        </is>
      </c>
      <c r="D6" s="17" t="n">
        <v>4</v>
      </c>
      <c r="E6" s="17" t="inlineStr">
        <is>
          <t>Claude knowledge</t>
        </is>
      </c>
      <c r="F6" s="18" t="inlineStr">
        <is>
          <t>When RAG fails</t>
        </is>
      </c>
      <c r="G6" s="18" t="inlineStr">
        <is>
          <t>Which problems make RAG answers wrong even with a good model?</t>
        </is>
      </c>
      <c r="H6" s="18" t="inlineStr">
        <is>
          <t>Core concept</t>
        </is>
      </c>
      <c r="I6" s="18" t="inlineStr">
        <is>
          <t>Very high</t>
        </is>
      </c>
      <c r="J6" s="18" t="n">
        <v>5</v>
      </c>
      <c r="K6" s="18" t="inlineStr">
        <is>
          <t>Teams are surprised when a RAG system fails, and the causes repeat across projects.</t>
        </is>
      </c>
      <c r="L6" s="18" t="inlineStr">
        <is>
          <t>Keep a list of failing questions and classify the cause of each.</t>
        </is>
      </c>
      <c r="M6" s="18" t="inlineStr">
        <is>
          <t>RAG failures are broken links in a chain, and the weakest link decides the result.</t>
        </is>
      </c>
      <c r="N6" s="18" t="inlineStr">
        <is>
          <t>A chain of stages with several labelled weak links.</t>
        </is>
      </c>
      <c r="O6" s="18" t="inlineStr">
        <is>
          <t>The relief of knowing where to look.</t>
        </is>
      </c>
      <c r="P6" s="18" t="inlineStr">
        <is>
          <t>Common RAG failures include missing or badly parsed content, chunks that split key information, retrieval that misses relevant text, too much irrelevant context, ignored or misread evidence, outdated data and questions that need reasoning across many documents.</t>
        </is>
      </c>
      <c r="Q6" s="17" t="n"/>
      <c r="R6" s="18" t="inlineStr">
        <is>
          <t>Diagnose by checking whether the evidence exists, whether it was retrieved, whether it was in the prompt, and whether the model used it. Fixes include better parsing, new chunking, hybrid search, reranking, query rewriting, shorter context and clearer instructions. Some questions need aggregation or multi-step retrieval.</t>
        </is>
      </c>
      <c r="S6" s="18" t="inlineStr">
        <is>
          <t>Check exists, retrieved, in prompt, and used, to find the broken link.</t>
        </is>
      </c>
      <c r="T6" s="18" t="inlineStr">
        <is>
          <t>RAG failures are broken links in a chain.</t>
        </is>
      </c>
      <c r="U6" s="18" t="inlineStr">
        <is>
          <t>Exists? Retrieved? In the prompt? Used?</t>
        </is>
      </c>
      <c r="V6" s="18" t="inlineStr">
        <is>
          <t>A table that the parser dropped.</t>
        </is>
      </c>
      <c r="W6" s="18" t="inlineStr">
        <is>
          <t>An answer split across two chunks.</t>
        </is>
      </c>
      <c r="X6" s="18" t="inlineStr">
        <is>
          <t>A model ignoring a retrieved passage.</t>
        </is>
      </c>
      <c r="Y6" s="18" t="inlineStr">
        <is>
          <t>pipeline overview, evaluating retrieval, failure analysis, reranking</t>
        </is>
      </c>
      <c r="Z6" s="18" t="inlineStr">
        <is>
          <t>failure, recall, noise, parsing, aggregation</t>
        </is>
      </c>
      <c r="AA6" s="18" t="inlineStr">
        <is>
          <t>Debugging | Quality reviews | Operations</t>
        </is>
      </c>
      <c r="AB6" s="18" t="inlineStr">
        <is>
          <t>A: The answer is in the document but the bot says it does not know. | B: Check whether that chunk was retrieved.</t>
        </is>
      </c>
      <c r="AC6" s="18" t="inlineStr">
        <is>
          <t>✗ More retrieved chunks always help → ✓ Irrelevant context can distract the model</t>
        </is>
      </c>
      <c r="AD6" s="18" t="inlineStr">
        <is>
          <t>Retrieval failure vs generation failure: wrong evidence versus misused evidence.</t>
        </is>
      </c>
      <c r="AE6" s="18" t="inlineStr">
        <is>
          <t>Do not guess the cause without checking each stage.</t>
        </is>
      </c>
      <c r="AF6" s="18" t="inlineStr">
        <is>
          <t>Four questions find the failing stage.</t>
        </is>
      </c>
      <c r="AG6" s="18" t="inlineStr">
        <is>
          <t>Classifying failures showed that most errors came from parsing, not the model.</t>
        </is>
      </c>
      <c r="AH6" s="18" t="inlineStr">
        <is>
          <t>An interviewer may ask: How do you debug a wrong RAG answer?</t>
        </is>
      </c>
      <c r="AI6" s="18" t="inlineStr">
        <is>
          <t>It is like finding the broken link in a chain.</t>
        </is>
      </c>
      <c r="AJ6" s="18" t="inlineStr">
        <is>
          <t>What do you check first when the answer is missing?</t>
        </is>
      </c>
      <c r="AK6" s="18" t="inlineStr">
        <is>
          <t>A) The logo B) The font C) The colour D) Whether the evidence was retrieved</t>
        </is>
      </c>
      <c r="AL6" s="18" t="inlineStr">
        <is>
          <t>D</t>
        </is>
      </c>
      <c r="AM6" s="18" t="inlineStr">
        <is>
          <t>Missing retrieval is the common cause.</t>
        </is>
      </c>
      <c r="AN6" s="18" t="inlineStr">
        <is>
          <t>The share of relevant passages found is called ____ → recall</t>
        </is>
      </c>
      <c r="AO6" s="18" t="inlineStr">
        <is>
          <t>A relevant chunk never appears in results. What stage failed? → Retrieval</t>
        </is>
      </c>
      <c r="AP6" s="18" t="inlineStr">
        <is>
          <t>Explain how to diagnose RAG failures in three lines.</t>
        </is>
      </c>
      <c r="AQ6" s="18" t="inlineStr">
        <is>
          <t>Make a table of five failures and their fixes.</t>
        </is>
      </c>
      <c r="AR6" s="17">
        <f>IF(J6="","",REPT("★",J6)&amp;REPT("☆",5-J6)&amp;" ("&amp;J6&amp;"/5)")</f>
        <v/>
      </c>
      <c r="AS6" s="17">
        <f>IF(Q6="","","Meaning: "&amp;Q6&amp;"  =  ______   (Answer: "&amp;F6&amp;")")</f>
        <v/>
      </c>
      <c r="AT6" s="17" t="inlineStr">
        <is>
          <t>New</t>
        </is>
      </c>
      <c r="AU6" s="17" t="n"/>
      <c r="AV6" s="17" t="n"/>
      <c r="AW6" s="17" t="n"/>
      <c r="AX6" s="17" t="n"/>
      <c r="AY6" s="17" t="n"/>
      <c r="AZ6" s="17" t="n"/>
      <c r="BA6" s="17" t="n"/>
      <c r="BB6" s="17" t="n"/>
    </row>
    <row r="7" ht="108" customHeight="1">
      <c r="A7" s="17" t="inlineStr">
        <is>
          <t>RAG-005</t>
        </is>
      </c>
      <c r="B7" s="17" t="inlineStr">
        <is>
          <t>01 Ideas</t>
        </is>
      </c>
      <c r="C7" s="17" t="inlineStr">
        <is>
          <t>Intermediate</t>
        </is>
      </c>
      <c r="D7" s="17" t="n">
        <v>5</v>
      </c>
      <c r="E7" s="17" t="inlineStr">
        <is>
          <t>Claude knowledge</t>
        </is>
      </c>
      <c r="F7" s="18" t="inlineStr">
        <is>
          <t>Build vs buy</t>
        </is>
      </c>
      <c r="G7" s="18" t="inlineStr">
        <is>
          <t>Should you build RAG yourself or use a managed service?</t>
        </is>
      </c>
      <c r="H7" s="18" t="inlineStr">
        <is>
          <t>Core concept</t>
        </is>
      </c>
      <c r="I7" s="18" t="inlineStr">
        <is>
          <t>Medium</t>
        </is>
      </c>
      <c r="J7" s="18" t="n">
        <v>4</v>
      </c>
      <c r="K7" s="18" t="inlineStr">
        <is>
          <t>Many vendors offer ready RAG platforms, so teams must decide where custom work is worth it.</t>
        </is>
      </c>
      <c r="L7" s="18" t="inlineStr">
        <is>
          <t>Prototype with managed pieces, and own the parts that are your advantage or risk.</t>
        </is>
      </c>
      <c r="M7" s="18" t="inlineStr">
        <is>
          <t>Build or buy is choosing between cooking from scratch and ordering a meal kit.</t>
        </is>
      </c>
      <c r="N7" s="18" t="inlineStr">
        <is>
          <t>A scale with control on one side and speed on the other.</t>
        </is>
      </c>
      <c r="O7" s="18" t="inlineStr">
        <is>
          <t>The calm of a decision based on constraints.</t>
        </is>
      </c>
      <c r="P7" s="18" t="inlineStr">
        <is>
          <t>Build versus buy compares assembling your own pipeline from libraries and databases with using a managed retrieval or RAG platform that handles parsing, indexing and search.</t>
        </is>
      </c>
      <c r="Q7" s="17" t="n"/>
      <c r="R7" s="18" t="inlineStr">
        <is>
          <t>Managed services give speed, but may limit control over parsing, chunking, ranking, data location and cost. Building gives control, but needs engineering, evaluation and maintenance. Consider data sensitivity, scale, team skills, vendor lock-in and exit plans. A common path is to start managed and replace pieces as needs grow.</t>
        </is>
      </c>
      <c r="S7" s="18" t="inlineStr">
        <is>
          <t>Buy for speed, build for control, and start simple.</t>
        </is>
      </c>
      <c r="T7" s="18" t="inlineStr">
        <is>
          <t>Build or buy is cooking from scratch versus a meal kit.</t>
        </is>
      </c>
      <c r="U7" s="18" t="inlineStr">
        <is>
          <t>Speed and cost versus control and fit.</t>
        </is>
      </c>
      <c r="V7" s="18" t="inlineStr">
        <is>
          <t>A managed vector search for a prototype.</t>
        </is>
      </c>
      <c r="W7" s="18" t="inlineStr">
        <is>
          <t>Custom parsing for complex contracts.</t>
        </is>
      </c>
      <c r="X7" s="18" t="inlineStr">
        <is>
          <t>A move from managed to self-hosted later.</t>
        </is>
      </c>
      <c r="Y7" s="18" t="inlineStr">
        <is>
          <t>pipeline overview, pgvector, cost and latency, access control</t>
        </is>
      </c>
      <c r="Z7" s="18" t="inlineStr">
        <is>
          <t>managed, self-hosted, lock-in, control, prototype</t>
        </is>
      </c>
      <c r="AA7" s="18" t="inlineStr">
        <is>
          <t>Proposals | Architecture | Procurement</t>
        </is>
      </c>
      <c r="AB7" s="18" t="inlineStr">
        <is>
          <t>A: Should we build our own pipeline? | B: Prototype with a managed service, then see what needs control.</t>
        </is>
      </c>
      <c r="AC7" s="18" t="inlineStr">
        <is>
          <t>✗ Building is always cheaper in the long run → ✓ Maintenance and evaluation cost real effort</t>
        </is>
      </c>
      <c r="AD7" s="18" t="inlineStr">
        <is>
          <t>Managed vs custom: faster start versus deeper control.</t>
        </is>
      </c>
      <c r="AE7" s="18" t="inlineStr">
        <is>
          <t>Do not choose a platform without checking data handling terms.</t>
        </is>
      </c>
      <c r="AF7" s="18" t="inlineStr">
        <is>
          <t>Start managed, own what matters.</t>
        </is>
      </c>
      <c r="AG7" s="18" t="inlineStr">
        <is>
          <t>A managed prototype validated demand before investing in custom parsing.</t>
        </is>
      </c>
      <c r="AH7" s="18" t="inlineStr">
        <is>
          <t>An interviewer may ask: How do you decide whether to build RAG?</t>
        </is>
      </c>
      <c r="AI7" s="18" t="inlineStr">
        <is>
          <t>It is like a meal kit versus cooking from scratch.</t>
        </is>
      </c>
      <c r="AJ7" s="18" t="inlineStr">
        <is>
          <t>What does a managed RAG service give first?</t>
        </is>
      </c>
      <c r="AK7" s="18" t="inlineStr">
        <is>
          <t>A) Total control B) Speed to a working system C) Zero cost D) No data</t>
        </is>
      </c>
      <c r="AL7" s="18" t="inlineStr">
        <is>
          <t>B</t>
        </is>
      </c>
      <c r="AM7" s="18" t="inlineStr">
        <is>
          <t>It handles the plumbing.</t>
        </is>
      </c>
      <c r="AN7" s="18" t="inlineStr">
        <is>
          <t>Dependence on one vendor is ____ → lock-in</t>
        </is>
      </c>
      <c r="AO7" s="18" t="inlineStr">
        <is>
          <t>A team needs a quick pilot. What approach? → Start with a managed service</t>
        </is>
      </c>
      <c r="AP7" s="18" t="inlineStr">
        <is>
          <t>Explain build versus buy in three lines.</t>
        </is>
      </c>
      <c r="AQ7" s="18" t="inlineStr">
        <is>
          <t>List the criteria you would use to choose between them.</t>
        </is>
      </c>
      <c r="AR7" s="17">
        <f>IF(J7="","",REPT("★",J7)&amp;REPT("☆",5-J7)&amp;" ("&amp;J7&amp;"/5)")</f>
        <v/>
      </c>
      <c r="AS7" s="17">
        <f>IF(Q7="","","Meaning: "&amp;Q7&amp;"  =  ______   (Answer: "&amp;F7&amp;")")</f>
        <v/>
      </c>
      <c r="AT7" s="17" t="inlineStr">
        <is>
          <t>New</t>
        </is>
      </c>
      <c r="AU7" s="17" t="n"/>
      <c r="AV7" s="17" t="n"/>
      <c r="AW7" s="17" t="n"/>
      <c r="AX7" s="17" t="n"/>
      <c r="AY7" s="17" t="n"/>
      <c r="AZ7" s="17" t="n"/>
      <c r="BA7" s="17" t="n"/>
      <c r="BB7" s="17" t="n"/>
    </row>
    <row r="8" ht="94.5" customHeight="1">
      <c r="A8" s="17" t="inlineStr">
        <is>
          <t>RAG-006</t>
        </is>
      </c>
      <c r="B8" s="17" t="inlineStr">
        <is>
          <t>02 Ingestion</t>
        </is>
      </c>
      <c r="C8" s="17" t="inlineStr">
        <is>
          <t>Beginner</t>
        </is>
      </c>
      <c r="D8" s="17" t="n">
        <v>6</v>
      </c>
      <c r="E8" s="17" t="inlineStr">
        <is>
          <t>Claude knowledge</t>
        </is>
      </c>
      <c r="F8" s="18" t="inlineStr">
        <is>
          <t>Loading documents</t>
        </is>
      </c>
      <c r="G8" s="18" t="inlineStr">
        <is>
          <t>How do you bring documents from many sources into the pipeline?</t>
        </is>
      </c>
      <c r="H8" s="18" t="inlineStr">
        <is>
          <t>Core concept</t>
        </is>
      </c>
      <c r="I8" s="18" t="inlineStr">
        <is>
          <t>Very high</t>
        </is>
      </c>
      <c r="J8" s="18" t="n">
        <v>5</v>
      </c>
      <c r="K8" s="18" t="inlineStr">
        <is>
          <t>Knowledge sits in files, wikis, tickets and databases, so connectors collect it with its context.</t>
        </is>
      </c>
      <c r="L8" s="18" t="inlineStr">
        <is>
          <t>Keep the source id, URL, owner and modified time with every document.</t>
        </is>
      </c>
      <c r="M8" s="18" t="inlineStr">
        <is>
          <t>Loading is collecting books from many shelves into one reading room.</t>
        </is>
      </c>
      <c r="N8" s="18" t="inlineStr">
        <is>
          <t>Connectors from several sources feeding one store.</t>
        </is>
      </c>
      <c r="O8" s="18" t="inlineStr">
        <is>
          <t>The satisfaction of a complete corpus.</t>
        </is>
      </c>
      <c r="P8" s="18" t="inlineStr">
        <is>
          <t>Document loading uses connectors or scripts to read content from sources such as files, wikis, help desks, drives and databases, along with metadata like source, author, permissions and modified time.</t>
        </is>
      </c>
      <c r="Q8" s="17" t="n"/>
      <c r="R8" s="18" t="inlineStr">
        <is>
          <t>Decide which sources are authoritative. Respect permissions and licences. Capture metadata for citations and filters. Detect changes so updates are incremental. Handle formats such as HTML, Word, PDF and spreadsheets. Remove duplicates and stale versions. Log what was loaded and what failed.</t>
        </is>
      </c>
      <c r="S8" s="18" t="inlineStr">
        <is>
          <t>Collect from trusted sources with metadata, permissions and change tracking.</t>
        </is>
      </c>
      <c r="T8" s="18" t="inlineStr">
        <is>
          <t>Loading is collecting books from many shelves into one reading room.</t>
        </is>
      </c>
      <c r="U8" s="18" t="inlineStr">
        <is>
          <t>Content + metadata + permissions + change tracking.</t>
        </is>
      </c>
      <c r="V8" s="18" t="inlineStr">
        <is>
          <t>A connector for a wiki.</t>
        </is>
      </c>
      <c r="W8" s="18" t="inlineStr">
        <is>
          <t>A scheduled sync of a shared drive.</t>
        </is>
      </c>
      <c r="X8" s="18" t="inlineStr">
        <is>
          <t>A record of source URL and modified time.</t>
        </is>
      </c>
      <c r="Y8" s="18" t="inlineStr">
        <is>
          <t>parsing PDFs and OCR, metadata, updating the index, access control</t>
        </is>
      </c>
      <c r="Z8" s="18" t="inlineStr">
        <is>
          <t>connector, source, sync, permissions, metadata</t>
        </is>
      </c>
      <c r="AA8" s="18" t="inlineStr">
        <is>
          <t>Enterprise search | Knowledge bases | Support tools</t>
        </is>
      </c>
      <c r="AB8" s="18" t="inlineStr">
        <is>
          <t>A: Which version of the policy is current? | B: Load the latest modified one and mark older ones stale.</t>
        </is>
      </c>
      <c r="AC8" s="18" t="inlineStr">
        <is>
          <t>✗ Loading everything available improves answers → ✓ Duplicates and outdated files lower quality</t>
        </is>
      </c>
      <c r="AD8" s="18" t="inlineStr">
        <is>
          <t>Full vs incremental load: everything each time versus only changes.</t>
        </is>
      </c>
      <c r="AE8" s="18" t="inlineStr">
        <is>
          <t>Do not ignore permissions when loading.</t>
        </is>
      </c>
      <c r="AF8" s="18" t="inlineStr">
        <is>
          <t>Authoritative sources only, with metadata.</t>
        </is>
      </c>
      <c r="AG8" s="18" t="inlineStr">
        <is>
          <t>Excluding outdated drafts raised answer accuracy in a policy assistant.</t>
        </is>
      </c>
      <c r="AH8" s="18" t="inlineStr">
        <is>
          <t>An interviewer may ask: What metadata do you keep when loading documents?</t>
        </is>
      </c>
      <c r="AI8" s="18" t="inlineStr">
        <is>
          <t>It is like collecting books into one reading room.</t>
        </is>
      </c>
      <c r="AJ8" s="18" t="inlineStr">
        <is>
          <t>Which should be kept with each document?</t>
        </is>
      </c>
      <c r="AK8" s="18" t="inlineStr">
        <is>
          <t>A) Only the text B) Nothing C) Source and modified time D) The font</t>
        </is>
      </c>
      <c r="AL8" s="18" t="inlineStr">
        <is>
          <t>C</t>
        </is>
      </c>
      <c r="AM8" s="18" t="inlineStr">
        <is>
          <t>Citations and updates need it.</t>
        </is>
      </c>
      <c r="AN8" s="18" t="inlineStr">
        <is>
          <t>A tool that reads a source system is a ____ → connector</t>
        </is>
      </c>
      <c r="AO8" s="18" t="inlineStr">
        <is>
          <t>Old drafts pollute answers. What do you do? → Exclude or mark them stale</t>
        </is>
      </c>
      <c r="AP8" s="18" t="inlineStr">
        <is>
          <t>Explain document loading in three lines.</t>
        </is>
      </c>
      <c r="AQ8" s="18" t="inlineStr">
        <is>
          <t>List the metadata fields you would capture.</t>
        </is>
      </c>
      <c r="AR8" s="17">
        <f>IF(J8="","",REPT("★",J8)&amp;REPT("☆",5-J8)&amp;" ("&amp;J8&amp;"/5)")</f>
        <v/>
      </c>
      <c r="AS8" s="17">
        <f>IF(Q8="","","Meaning: "&amp;Q8&amp;"  =  ______   (Answer: "&amp;F8&amp;")")</f>
        <v/>
      </c>
      <c r="AT8" s="17" t="inlineStr">
        <is>
          <t>New</t>
        </is>
      </c>
      <c r="AU8" s="17" t="n"/>
      <c r="AV8" s="17" t="n"/>
      <c r="AW8" s="17" t="n"/>
      <c r="AX8" s="17" t="n"/>
      <c r="AY8" s="17" t="n"/>
      <c r="AZ8" s="17" t="n"/>
      <c r="BA8" s="17" t="n"/>
      <c r="BB8" s="17" t="n"/>
    </row>
    <row r="9" ht="108" customHeight="1">
      <c r="A9" s="17" t="inlineStr">
        <is>
          <t>RAG-007</t>
        </is>
      </c>
      <c r="B9" s="17" t="inlineStr">
        <is>
          <t>02 Ingestion</t>
        </is>
      </c>
      <c r="C9" s="17" t="inlineStr">
        <is>
          <t>Intermediate</t>
        </is>
      </c>
      <c r="D9" s="17" t="n">
        <v>7</v>
      </c>
      <c r="E9" s="17" t="inlineStr">
        <is>
          <t>Claude knowledge</t>
        </is>
      </c>
      <c r="F9" s="18" t="inlineStr">
        <is>
          <t>Parsing PDFs and OCR</t>
        </is>
      </c>
      <c r="G9" s="18" t="inlineStr">
        <is>
          <t>How do you turn PDFs and scans into clean text?</t>
        </is>
      </c>
      <c r="H9" s="18" t="inlineStr">
        <is>
          <t>Core concept</t>
        </is>
      </c>
      <c r="I9" s="18" t="inlineStr">
        <is>
          <t>Very high</t>
        </is>
      </c>
      <c r="J9" s="18" t="n">
        <v>5</v>
      </c>
      <c r="K9" s="18" t="inlineStr">
        <is>
          <t>PDFs store layout, not meaning, so extracting text with order, tables and headings is hard, and scans need character recognition.</t>
        </is>
      </c>
      <c r="L9" s="18" t="inlineStr">
        <is>
          <t>Inspect parsed output on real documents, since parsing is the commonest silent failure.</t>
        </is>
      </c>
      <c r="M9" s="18" t="inlineStr">
        <is>
          <t>Parsing a PDF is copying text from a photograph of a page.</t>
        </is>
      </c>
      <c r="N9" s="18" t="inlineStr">
        <is>
          <t>A page with columns and a table turning into ordered text.</t>
        </is>
      </c>
      <c r="O9" s="18" t="inlineStr">
        <is>
          <t>The relief of finally seeing text in the right order.</t>
        </is>
      </c>
      <c r="P9" s="18" t="inlineStr">
        <is>
          <t>Parsing extracts text and structure from files such as PDFs, and OCR converts images of text into characters, while layout-aware tools preserve columns, headings and tables.</t>
        </is>
      </c>
      <c r="Q9" s="17" t="n"/>
      <c r="R9" s="18" t="inlineStr">
        <is>
          <t>Simple PDFs have a text layer, but multi-column layouts can come out scrambled. Scans need OCR, which makes errors on poor images. Tables need special handling, such as converting to markdown or rows. Headers and footers should be removed. Vision models can read pages directly. Always sample outputs and compare with the original.</t>
        </is>
      </c>
      <c r="S9" s="18" t="inlineStr">
        <is>
          <t>Use layout-aware parsing or OCR, keep tables and headings, and check the results by eye.</t>
        </is>
      </c>
      <c r="T9" s="18" t="inlineStr">
        <is>
          <t>Parsing a PDF is copying text from a photograph of a page.</t>
        </is>
      </c>
      <c r="U9" s="18" t="inlineStr">
        <is>
          <t>Text layer or OCR, then structure, then inspection.</t>
        </is>
      </c>
      <c r="V9" s="18" t="inlineStr">
        <is>
          <t>A two-column paper read in the wrong order.</t>
        </is>
      </c>
      <c r="W9" s="18" t="inlineStr">
        <is>
          <t>A scanned form needing OCR.</t>
        </is>
      </c>
      <c r="X9" s="18" t="inlineStr">
        <is>
          <t>A table converted to rows.</t>
        </is>
      </c>
      <c r="Y9" s="18" t="inlineStr">
        <is>
          <t>loading documents, cleaning, chunking, multimodal input</t>
        </is>
      </c>
      <c r="Z9" s="18" t="inlineStr">
        <is>
          <t>parsing, OCR, layout, table, text layer</t>
        </is>
      </c>
      <c r="AA9" s="18" t="inlineStr">
        <is>
          <t>Document pipelines | Contracts | Reports</t>
        </is>
      </c>
      <c r="AB9" s="18" t="inlineStr">
        <is>
          <t>A: The bot cannot answer from the tables. | B: The parser dropped them, so use a table-aware parser.</t>
        </is>
      </c>
      <c r="AC9" s="18" t="inlineStr">
        <is>
          <t>✗ Any PDF library gives clean text → ✓ Layouts, scans and tables often break simple extraction</t>
        </is>
      </c>
      <c r="AD9" s="18" t="inlineStr">
        <is>
          <t>Text layer vs OCR: embedded text versus recognised images.</t>
        </is>
      </c>
      <c r="AE9" s="18" t="inlineStr">
        <is>
          <t>Do not trust parsed text without sampling.</t>
        </is>
      </c>
      <c r="AF9" s="18" t="inlineStr">
        <is>
          <t>Look at the parsed text yourself.</t>
        </is>
      </c>
      <c r="AG9" s="18" t="inlineStr">
        <is>
          <t>Switching to a layout-aware parser recovered table data that answers needed.</t>
        </is>
      </c>
      <c r="AH9" s="18" t="inlineStr">
        <is>
          <t>An interviewer may ask: What problems do PDFs cause in RAG?</t>
        </is>
      </c>
      <c r="AI9" s="18" t="inlineStr">
        <is>
          <t>It is like copying text from a photograph.</t>
        </is>
      </c>
      <c r="AJ9" s="18" t="inlineStr">
        <is>
          <t>What do scanned pages need?</t>
        </is>
      </c>
      <c r="AK9" s="18" t="inlineStr">
        <is>
          <t>A) Encryption B) Compression C) Deletion D) OCR</t>
        </is>
      </c>
      <c r="AL9" s="18" t="inlineStr">
        <is>
          <t>D</t>
        </is>
      </c>
      <c r="AM9" s="18" t="inlineStr">
        <is>
          <t>They contain images, not text.</t>
        </is>
      </c>
      <c r="AN9" s="18" t="inlineStr">
        <is>
          <t>Converting images of text to characters is ____ → OCR</t>
        </is>
      </c>
      <c r="AO9" s="18" t="inlineStr">
        <is>
          <t>Answers miss data inside tables. What do you improve? → Table-aware parsing</t>
        </is>
      </c>
      <c r="AP9" s="18" t="inlineStr">
        <is>
          <t>Explain PDF parsing problems in three lines.</t>
        </is>
      </c>
      <c r="AQ9" s="18" t="inlineStr">
        <is>
          <t>List five checks for parsed document quality.</t>
        </is>
      </c>
      <c r="AR9" s="17">
        <f>IF(J9="","",REPT("★",J9)&amp;REPT("☆",5-J9)&amp;" ("&amp;J9&amp;"/5)")</f>
        <v/>
      </c>
      <c r="AS9" s="17">
        <f>IF(Q9="","","Meaning: "&amp;Q9&amp;"  =  ______   (Answer: "&amp;F9&amp;")")</f>
        <v/>
      </c>
      <c r="AT9" s="17" t="inlineStr">
        <is>
          <t>New</t>
        </is>
      </c>
      <c r="AU9" s="17" t="n"/>
      <c r="AV9" s="17" t="n"/>
      <c r="AW9" s="17" t="n"/>
      <c r="AX9" s="17" t="n"/>
      <c r="AY9" s="17" t="n"/>
      <c r="AZ9" s="17" t="n"/>
      <c r="BA9" s="17" t="n"/>
      <c r="BB9" s="17" t="n"/>
    </row>
    <row r="10" ht="108" customHeight="1">
      <c r="A10" s="17" t="inlineStr">
        <is>
          <t>RAG-008</t>
        </is>
      </c>
      <c r="B10" s="17" t="inlineStr">
        <is>
          <t>02 Ingestion</t>
        </is>
      </c>
      <c r="C10" s="17" t="inlineStr">
        <is>
          <t>Beginner</t>
        </is>
      </c>
      <c r="D10" s="17" t="n">
        <v>8</v>
      </c>
      <c r="E10" s="17" t="inlineStr">
        <is>
          <t>Claude knowledge</t>
        </is>
      </c>
      <c r="F10" s="18" t="inlineStr">
        <is>
          <t>Cleaning text for RAG</t>
        </is>
      </c>
      <c r="G10" s="18" t="inlineStr">
        <is>
          <t>Which cleanup steps remove noise before indexing?</t>
        </is>
      </c>
      <c r="H10" s="18" t="inlineStr">
        <is>
          <t>Core concept</t>
        </is>
      </c>
      <c r="I10" s="18" t="inlineStr">
        <is>
          <t>High</t>
        </is>
      </c>
      <c r="J10" s="18" t="n">
        <v>4</v>
      </c>
      <c r="K10" s="18" t="inlineStr">
        <is>
          <t>Menus, footers and boilerplate pollute search results, so text is cleaned before it is indexed.</t>
        </is>
      </c>
      <c r="L10" s="18" t="inlineStr">
        <is>
          <t>Remove repeated headers and footers, but keep headings that give context.</t>
        </is>
      </c>
      <c r="M10" s="18" t="inlineStr">
        <is>
          <t>Cleaning is removing the packaging before weighing the goods.</t>
        </is>
      </c>
      <c r="N10" s="18" t="inlineStr">
        <is>
          <t>A page with a header and footer greyed out.</t>
        </is>
      </c>
      <c r="O10" s="18" t="inlineStr">
        <is>
          <t>The tidiness of a clean corpus.</t>
        </is>
      </c>
      <c r="P10" s="18" t="inlineStr">
        <is>
          <t>Cleaning removes or normalises noise such as navigation text, headers, footers, page numbers, repeated boilerplate, odd characters and duplicate content, while preserving headings and meaning.</t>
        </is>
      </c>
      <c r="Q10" s="17" t="n"/>
      <c r="R10" s="18" t="inlineStr">
        <is>
          <t>Noise lowers search precision and wastes prompt space. Normalise whitespace and encodings. Deduplicate near-identical pages. Keep structure such as titles and section names, since they help retrieval and citations. Be careful not to delete meaningful content, such as legal notes. Test the effect on retrieval.</t>
        </is>
      </c>
      <c r="S10" s="18" t="inlineStr">
        <is>
          <t>Strip repeated noise, keep structure and meaning, and test the effect.</t>
        </is>
      </c>
      <c r="T10" s="18" t="inlineStr">
        <is>
          <t>Cleaning is removing the packaging before weighing the goods.</t>
        </is>
      </c>
      <c r="U10" s="18" t="inlineStr">
        <is>
          <t>Remove noise, keep structure.</t>
        </is>
      </c>
      <c r="V10" s="18" t="inlineStr">
        <is>
          <t>Deleting repeated page footers.</t>
        </is>
      </c>
      <c r="W10" s="18" t="inlineStr">
        <is>
          <t>Removing cookie banners from scraped pages.</t>
        </is>
      </c>
      <c r="X10" s="18" t="inlineStr">
        <is>
          <t>Merging duplicate versions of an article.</t>
        </is>
      </c>
      <c r="Y10" s="18" t="inlineStr">
        <is>
          <t>parsing PDFs, chunking, metadata, evaluating retrieval</t>
        </is>
      </c>
      <c r="Z10" s="18" t="inlineStr">
        <is>
          <t>cleaning, boilerplate, noise, normalise, duplicate</t>
        </is>
      </c>
      <c r="AA10" s="18" t="inlineStr">
        <is>
          <t>Ingestion | Scraping | Knowledge bases</t>
        </is>
      </c>
      <c r="AB10" s="18" t="inlineStr">
        <is>
          <t>A: Every result starts with the same legal footer. | B: Remove the footer before indexing.</t>
        </is>
      </c>
      <c r="AC10" s="18" t="inlineStr">
        <is>
          <t>✗ The more text indexed, the better → ✓ Noise reduces precision and wastes space</t>
        </is>
      </c>
      <c r="AD10" s="18" t="inlineStr">
        <is>
          <t>Noise vs structure: remove noise, keep headings.</t>
        </is>
      </c>
      <c r="AE10" s="18" t="inlineStr">
        <is>
          <t>Do not strip headings that give context.</t>
        </is>
      </c>
      <c r="AF10" s="18" t="inlineStr">
        <is>
          <t>Delete the noise, keep the headings.</t>
        </is>
      </c>
      <c r="AG10" s="18" t="inlineStr">
        <is>
          <t>Removing repeated footers improved top results for short questions.</t>
        </is>
      </c>
      <c r="AH10" s="18" t="inlineStr">
        <is>
          <t>An interviewer may ask: Why clean documents before indexing?</t>
        </is>
      </c>
      <c r="AI10" s="18" t="inlineStr">
        <is>
          <t>It is like removing packaging before weighing goods.</t>
        </is>
      </c>
      <c r="AJ10" s="18" t="inlineStr">
        <is>
          <t>What should cleaning keep?</t>
        </is>
      </c>
      <c r="AK10" s="18" t="inlineStr">
        <is>
          <t>A) Headings and meaning B) Cookie banners C) Page numbers D) Repeated footers</t>
        </is>
      </c>
      <c r="AL10" s="18" t="inlineStr">
        <is>
          <t>A</t>
        </is>
      </c>
      <c r="AM10" s="18" t="inlineStr">
        <is>
          <t>Structure helps retrieval.</t>
        </is>
      </c>
      <c r="AN10" s="18" t="inlineStr">
        <is>
          <t>Repeated text appearing on every page is ____ → boilerplate</t>
        </is>
      </c>
      <c r="AO10" s="18" t="inlineStr">
        <is>
          <t>Search results all show the same footer. What do you do? → Remove it during cleaning</t>
        </is>
      </c>
      <c r="AP10" s="18" t="inlineStr">
        <is>
          <t>Explain cleaning for RAG in three lines.</t>
        </is>
      </c>
      <c r="AQ10" s="18" t="inlineStr">
        <is>
          <t>Write cleaning rules for a scraped help centre.</t>
        </is>
      </c>
      <c r="AR10" s="17">
        <f>IF(J10="","",REPT("★",J10)&amp;REPT("☆",5-J10)&amp;" ("&amp;J10&amp;"/5)")</f>
        <v/>
      </c>
      <c r="AS10" s="17">
        <f>IF(Q10="","","Meaning: "&amp;Q10&amp;"  =  ______   (Answer: "&amp;F10&amp;")")</f>
        <v/>
      </c>
      <c r="AT10" s="17" t="inlineStr">
        <is>
          <t>New</t>
        </is>
      </c>
      <c r="AU10" s="17" t="n"/>
      <c r="AV10" s="17" t="n"/>
      <c r="AW10" s="17" t="n"/>
      <c r="AX10" s="17" t="n"/>
      <c r="AY10" s="17" t="n"/>
      <c r="AZ10" s="17" t="n"/>
      <c r="BA10" s="17" t="n"/>
      <c r="BB10" s="17" t="n"/>
    </row>
    <row r="11" ht="121.5" customHeight="1">
      <c r="A11" s="17" t="inlineStr">
        <is>
          <t>RAG-010</t>
        </is>
      </c>
      <c r="B11" s="17" t="inlineStr">
        <is>
          <t>02 Ingestion</t>
        </is>
      </c>
      <c r="C11" s="17" t="inlineStr">
        <is>
          <t>Intermediate</t>
        </is>
      </c>
      <c r="D11" s="17" t="n">
        <v>10</v>
      </c>
      <c r="E11" s="17" t="inlineStr">
        <is>
          <t>Claude knowledge</t>
        </is>
      </c>
      <c r="F11" s="18" t="inlineStr">
        <is>
          <t>Chunk size and overlap</t>
        </is>
      </c>
      <c r="G11" s="18" t="inlineStr">
        <is>
          <t>How big should chunks be and how much should neighbours share?</t>
        </is>
      </c>
      <c r="H11" s="18" t="inlineStr">
        <is>
          <t>Core concept</t>
        </is>
      </c>
      <c r="I11" s="18" t="inlineStr">
        <is>
          <t>High</t>
        </is>
      </c>
      <c r="J11" s="18" t="n">
        <v>5</v>
      </c>
      <c r="K11" s="18" t="inlineStr">
        <is>
          <t>Size and overlap trade precision against context, so they are tuned rather than guessed.</t>
        </is>
      </c>
      <c r="L11" s="18" t="inlineStr">
        <is>
          <t>Start with a few hundred tokens and tune using retrieval tests.</t>
        </is>
      </c>
      <c r="M11" s="18" t="inlineStr">
        <is>
          <t>Chunk size is the size of the index card, and overlap is the line copied onto the next card.</t>
        </is>
      </c>
      <c r="N11" s="18" t="inlineStr">
        <is>
          <t>Two neighbouring chunks sharing a few sentences.</t>
        </is>
      </c>
      <c r="O11" s="18" t="inlineStr">
        <is>
          <t>The patience of tuning with evidence.</t>
        </is>
      </c>
      <c r="P11" s="18" t="inlineStr">
        <is>
          <t>Chunk size is the target length of each passage, and overlap is the amount of text repeated between consecutive chunks so that information at boundaries is not lost.</t>
        </is>
      </c>
      <c r="Q11" s="17" t="n"/>
      <c r="R11" s="18" t="inlineStr">
        <is>
          <t>Small chunks give precise matches but less context. Large chunks give context but retrieve more noise and cost more tokens. Overlap of around ten to twenty percent is a common starting point; it helps boundary cases but increases index size and duplicates in results. Optimal values depend on documents and questions, so measure recall and answer quality on a test set.</t>
        </is>
      </c>
      <c r="S11" s="18" t="inlineStr">
        <is>
          <t>Choose a size and small overlap, then tune with tests.</t>
        </is>
      </c>
      <c r="T11" s="18" t="inlineStr">
        <is>
          <t>Chunk size is the size of the index card, and overlap is the line copied onto the next card.</t>
        </is>
      </c>
      <c r="U11" s="18" t="inlineStr">
        <is>
          <t>Smaller = precise, larger = contextual, overlap = boundary safety.</t>
        </is>
      </c>
      <c r="V11" s="18" t="inlineStr">
        <is>
          <t>Chunks of about 300 tokens with 30 tokens overlap.</t>
        </is>
      </c>
      <c r="W11" s="18" t="inlineStr">
        <is>
          <t>Larger chunks for narrative text.</t>
        </is>
      </c>
      <c r="X11" s="18" t="inlineStr">
        <is>
          <t>Smaller chunks for FAQs.</t>
        </is>
      </c>
      <c r="Y11" s="18" t="inlineStr">
        <is>
          <t>chunking, evaluating retrieval, top-k, cost and latency</t>
        </is>
      </c>
      <c r="Z11" s="18" t="inlineStr">
        <is>
          <t>chunk size, overlap, tokens, boundary, tuning</t>
        </is>
      </c>
      <c r="AA11" s="18" t="inlineStr">
        <is>
          <t>Tuning | Evaluation | Cost control</t>
        </is>
      </c>
      <c r="AB11" s="18" t="inlineStr">
        <is>
          <t>A: Should chunks be 1000 tokens? | B: Test a few sizes and compare recall.</t>
        </is>
      </c>
      <c r="AC11" s="18" t="inlineStr">
        <is>
          <t>✗ There is one best chunk size → ✓ It depends on content and questions, so test</t>
        </is>
      </c>
      <c r="AD11" s="18" t="inlineStr">
        <is>
          <t>Overlap vs no overlap: overlap protects boundaries but adds duplicates.</t>
        </is>
      </c>
      <c r="AE11" s="18" t="inlineStr">
        <is>
          <t>Do not tune by feel alone.</t>
        </is>
      </c>
      <c r="AF11" s="18" t="inlineStr">
        <is>
          <t>Measure, then pick the size.</t>
        </is>
      </c>
      <c r="AG11" s="18" t="inlineStr">
        <is>
          <t>Smaller, better-split chunks improved recall for a help centre of FAQs.</t>
        </is>
      </c>
      <c r="AH11" s="18" t="inlineStr">
        <is>
          <t>An interviewer may ask: How do you tune chunk size?</t>
        </is>
      </c>
      <c r="AI11" s="18" t="inlineStr">
        <is>
          <t>It is like the size of an index card.</t>
        </is>
      </c>
      <c r="AJ11" s="18" t="inlineStr">
        <is>
          <t>What does overlap protect?</t>
        </is>
      </c>
      <c r="AK11" s="18" t="inlineStr">
        <is>
          <t>A) Information at chunk boundaries B) Speed C) Passwords D) Storage</t>
        </is>
      </c>
      <c r="AL11" s="18" t="inlineStr">
        <is>
          <t>A</t>
        </is>
      </c>
      <c r="AM11" s="18" t="inlineStr">
        <is>
          <t>Shared text keeps cross-boundary meaning.</t>
        </is>
      </c>
      <c r="AN11" s="18" t="inlineStr">
        <is>
          <t>Repeated text between neighbouring chunks is ____ → overlap</t>
        </is>
      </c>
      <c r="AO11" s="18" t="inlineStr">
        <is>
          <t>Answers are lost between chunks. What do you try? → Add overlap or change the splitting rules</t>
        </is>
      </c>
      <c r="AP11" s="18" t="inlineStr">
        <is>
          <t>Explain chunk size and overlap in three lines.</t>
        </is>
      </c>
      <c r="AQ11" s="18" t="inlineStr">
        <is>
          <t>Plan a test comparing three chunk sizes.</t>
        </is>
      </c>
      <c r="AR11" s="17">
        <f>IF(J11="","",REPT("★",J11)&amp;REPT("☆",5-J11)&amp;" ("&amp;J11&amp;"/5)")</f>
        <v/>
      </c>
      <c r="AS11" s="17">
        <f>IF(Q11="","","Meaning: "&amp;Q11&amp;"  =  ______   (Answer: "&amp;F11&amp;")")</f>
        <v/>
      </c>
      <c r="AT11" s="17" t="inlineStr">
        <is>
          <t>New</t>
        </is>
      </c>
      <c r="AU11" s="17" t="n"/>
      <c r="AV11" s="17" t="n"/>
      <c r="AW11" s="17" t="n"/>
      <c r="AX11" s="17" t="n"/>
      <c r="AY11" s="17" t="n"/>
      <c r="AZ11" s="17" t="n"/>
      <c r="BA11" s="17" t="n"/>
      <c r="BB11" s="17" t="n"/>
    </row>
    <row r="12" ht="94.5" customHeight="1">
      <c r="A12" s="17" t="inlineStr">
        <is>
          <t>RAG-013</t>
        </is>
      </c>
      <c r="B12" s="17" t="inlineStr">
        <is>
          <t>02 Ingestion</t>
        </is>
      </c>
      <c r="C12" s="17" t="inlineStr">
        <is>
          <t>Intermediate</t>
        </is>
      </c>
      <c r="D12" s="17" t="n">
        <v>13</v>
      </c>
      <c r="E12" s="17" t="inlineStr">
        <is>
          <t>Claude knowledge</t>
        </is>
      </c>
      <c r="F12" s="18" t="inlineStr">
        <is>
          <t>Updating the index</t>
        </is>
      </c>
      <c r="G12" s="18" t="inlineStr">
        <is>
          <t>How do you keep the index in step with changing documents?</t>
        </is>
      </c>
      <c r="H12" s="18" t="inlineStr">
        <is>
          <t>Core concept</t>
        </is>
      </c>
      <c r="I12" s="18" t="inlineStr">
        <is>
          <t>High</t>
        </is>
      </c>
      <c r="J12" s="18" t="n">
        <v>5</v>
      </c>
      <c r="K12" s="18" t="inlineStr">
        <is>
          <t>Documents change daily, and a stale index gives outdated answers, so ingestion must handle updates.</t>
        </is>
      </c>
      <c r="L12" s="18" t="inlineStr">
        <is>
          <t>Hash each document's content to detect real changes and re-embed only those.</t>
        </is>
      </c>
      <c r="M12" s="18" t="inlineStr">
        <is>
          <t>Updating the index is refreshing the library catalogue when books are replaced.</t>
        </is>
      </c>
      <c r="N12" s="18" t="inlineStr">
        <is>
          <t>A changed document triggering re-chunking and re-embedding.</t>
        </is>
      </c>
      <c r="O12" s="18" t="inlineStr">
        <is>
          <t>The comfort of answers that stay current.</t>
        </is>
      </c>
      <c r="P12" s="18" t="inlineStr">
        <is>
          <t>Index updating detects new, changed and removed documents, re-parses and re-chunks the changed ones, replaces their old chunks and vectors, and records the run.</t>
        </is>
      </c>
      <c r="Q12" s="17" t="n"/>
      <c r="R12" s="18" t="inlineStr">
        <is>
          <t>Use modified times or content hashes to find changes. Replace all chunks of a changed document atomically, so old and new versions do not mix. Schedule syncs or react to webhooks. Handle renames and moved files. Monitor freshness lag. Keep the process idempotent so reruns are safe.</t>
        </is>
      </c>
      <c r="S12" s="18" t="inlineStr">
        <is>
          <t>Detect changes by hash, replace the document's chunks, and make reruns safe.</t>
        </is>
      </c>
      <c r="T12" s="18" t="inlineStr">
        <is>
          <t>Updating the index is refreshing the library catalogue when books are replaced.</t>
        </is>
      </c>
      <c r="U12" s="18" t="inlineStr">
        <is>
          <t>Detect change, replace all its chunks, record it.</t>
        </is>
      </c>
      <c r="V12" s="18" t="inlineStr">
        <is>
          <t>A policy edited and re-indexed within minutes.</t>
        </is>
      </c>
      <c r="W12" s="18" t="inlineStr">
        <is>
          <t>A deleted page removed from the index.</t>
        </is>
      </c>
      <c r="X12" s="18" t="inlineStr">
        <is>
          <t>A content hash comparison.</t>
        </is>
      </c>
      <c r="Y12" s="18" t="inlineStr">
        <is>
          <t>loading documents, deleting data, freshness, idempotency</t>
        </is>
      </c>
      <c r="Z12" s="18" t="inlineStr">
        <is>
          <t>sync, hash, replace, freshness, webhook</t>
        </is>
      </c>
      <c r="AA12" s="18" t="inlineStr">
        <is>
          <t>Operations | Knowledge bases | Support</t>
        </is>
      </c>
      <c r="AB12" s="18" t="inlineStr">
        <is>
          <t>A: The bot quotes the old price list. | B: The update job missed that file, so check the sync.</t>
        </is>
      </c>
      <c r="AC12" s="18" t="inlineStr">
        <is>
          <t>✗ Adding new chunks is enough when documents change → ✓ Old chunks must be removed, or stale content stays searchable</t>
        </is>
      </c>
      <c r="AD12" s="18" t="inlineStr">
        <is>
          <t>Append vs replace: appending keeps stale chunks, replacing removes them.</t>
        </is>
      </c>
      <c r="AE12" s="18" t="inlineStr">
        <is>
          <t>Do not leave old chunks of a changed document.</t>
        </is>
      </c>
      <c r="AF12" s="18" t="inlineStr">
        <is>
          <t>Replace the whole document, not a piece.</t>
        </is>
      </c>
      <c r="AG12" s="18" t="inlineStr">
        <is>
          <t>Replacing chunks per document ended stale price answers after updates.</t>
        </is>
      </c>
      <c r="AH12" s="18" t="inlineStr">
        <is>
          <t>An interviewer may ask: How do you keep a RAG index fresh?</t>
        </is>
      </c>
      <c r="AI12" s="18" t="inlineStr">
        <is>
          <t>It is like refreshing a library catalogue.</t>
        </is>
      </c>
      <c r="AJ12" s="18" t="inlineStr">
        <is>
          <t>What must happen to old chunks of a changed document?</t>
        </is>
      </c>
      <c r="AK12" s="18" t="inlineStr">
        <is>
          <t>A) They are ignored B) They are doubled C) They are replaced or removed D) They stay forever</t>
        </is>
      </c>
      <c r="AL12" s="18" t="inlineStr">
        <is>
          <t>C</t>
        </is>
      </c>
      <c r="AM12" s="18" t="inlineStr">
        <is>
          <t>Stale content would still be retrieved.</t>
        </is>
      </c>
      <c r="AN12" s="18" t="inlineStr">
        <is>
          <t>A fingerprint of content used to detect change is a ____ → hash</t>
        </is>
      </c>
      <c r="AO12" s="18" t="inlineStr">
        <is>
          <t>A document was edited but old text is still returned. What do you check? → That its old chunks were removed</t>
        </is>
      </c>
      <c r="AP12" s="18" t="inlineStr">
        <is>
          <t>Explain index updates in three lines.</t>
        </is>
      </c>
      <c r="AQ12" s="18" t="inlineStr">
        <is>
          <t>Design an update job with change detection.</t>
        </is>
      </c>
      <c r="AR12" s="17">
        <f>IF(J12="","",REPT("★",J12)&amp;REPT("☆",5-J12)&amp;" ("&amp;J12&amp;"/5)")</f>
        <v/>
      </c>
      <c r="AS12" s="17">
        <f>IF(Q12="","","Meaning: "&amp;Q12&amp;"  =  ______   (Answer: "&amp;F12&amp;")")</f>
        <v/>
      </c>
      <c r="AT12" s="17" t="inlineStr">
        <is>
          <t>New</t>
        </is>
      </c>
      <c r="AU12" s="17" t="n"/>
      <c r="AV12" s="17" t="n"/>
      <c r="AW12" s="17" t="n"/>
      <c r="AX12" s="17" t="n"/>
      <c r="AY12" s="17" t="n"/>
      <c r="AZ12" s="17" t="n"/>
      <c r="BA12" s="17" t="n"/>
      <c r="BB12" s="17" t="n"/>
    </row>
    <row r="13" ht="121.5" customHeight="1">
      <c r="A13" s="17" t="inlineStr">
        <is>
          <t>RAG-014</t>
        </is>
      </c>
      <c r="B13" s="17" t="inlineStr">
        <is>
          <t>02 Ingestion</t>
        </is>
      </c>
      <c r="C13" s="17" t="inlineStr">
        <is>
          <t>Advanced</t>
        </is>
      </c>
      <c r="D13" s="17" t="n">
        <v>14</v>
      </c>
      <c r="E13" s="17" t="inlineStr">
        <is>
          <t>Claude knowledge</t>
        </is>
      </c>
      <c r="F13" s="18" t="inlineStr">
        <is>
          <t>Deleting data</t>
        </is>
      </c>
      <c r="G13" s="18" t="inlineStr">
        <is>
          <t>How do you remove documents completely, including from vectors and caches?</t>
        </is>
      </c>
      <c r="H13" s="18" t="inlineStr">
        <is>
          <t>Core concept</t>
        </is>
      </c>
      <c r="I13" s="18" t="inlineStr">
        <is>
          <t>High</t>
        </is>
      </c>
      <c r="J13" s="18" t="n">
        <v>5</v>
      </c>
      <c r="K13" s="18" t="inlineStr">
        <is>
          <t>Documents must sometimes be removed for legal, privacy or accuracy reasons, and leftovers can still be retrieved.</t>
        </is>
      </c>
      <c r="L13" s="18" t="inlineStr">
        <is>
          <t>Make deletion a tested feature with proof, not an afterthought.</t>
        </is>
      </c>
      <c r="M13" s="18" t="inlineStr">
        <is>
          <t>Deleting is pulling every page of a book out of every copy of the catalogue.</t>
        </is>
      </c>
      <c r="N13" s="18" t="inlineStr">
        <is>
          <t>A deleted document disappearing from chunks, vectors and caches.</t>
        </is>
      </c>
      <c r="O13" s="18" t="inlineStr">
        <is>
          <t>The responsibility of honouring a removal request.</t>
        </is>
      </c>
      <c r="P13" s="18" t="inlineStr">
        <is>
          <t>Deletion removes a document and all derived data, such as chunks, embeddings, cached answers and backups where required, and verifies that it can no longer be retrieved.</t>
        </is>
      </c>
      <c r="Q13" s="17" t="n"/>
      <c r="R13" s="18" t="inlineStr">
        <is>
          <t>Keep a mapping from documents to chunks and caches. Delete in the store and the search index, and invalidate cached answers. Logs and backups follow retention rules. For personal data requests, record when and what was deleted. Test by searching for the removed content. Soft delete flags can hide content first, but are not enough where erasure is required.</t>
        </is>
      </c>
      <c r="S13" s="18" t="inlineStr">
        <is>
          <t>Delete the document, its chunks, vectors and caches, and test that it is gone.</t>
        </is>
      </c>
      <c r="T13" s="18" t="inlineStr">
        <is>
          <t>Deleting is pulling every page of a book out of every copy of the catalogue.</t>
        </is>
      </c>
      <c r="U13" s="18" t="inlineStr">
        <is>
          <t>Document → chunks → vectors → caches → verify.</t>
        </is>
      </c>
      <c r="V13" s="18" t="inlineStr">
        <is>
          <t>Removing a retired policy.</t>
        </is>
      </c>
      <c r="W13" s="18" t="inlineStr">
        <is>
          <t>Honouring an erasure request.</t>
        </is>
      </c>
      <c r="X13" s="18" t="inlineStr">
        <is>
          <t>A test that searches for deleted text.</t>
        </is>
      </c>
      <c r="Y13" s="18" t="inlineStr">
        <is>
          <t>updating the index, access control, data privacy, caching</t>
        </is>
      </c>
      <c r="Z13" s="18" t="inlineStr">
        <is>
          <t>deletion, erasure, derived data, cache, verification</t>
        </is>
      </c>
      <c r="AA13" s="18" t="inlineStr">
        <is>
          <t>Compliance | Privacy | Operations</t>
        </is>
      </c>
      <c r="AB13" s="18" t="inlineStr">
        <is>
          <t>A: The customer asked us to delete their file. | B: Remove its chunks and vectors, clear caches and verify.</t>
        </is>
      </c>
      <c r="AC13" s="18" t="inlineStr">
        <is>
          <t>✗ Deleting the source file removes it from search → ✓ Derived chunks and vectors remain until deleted</t>
        </is>
      </c>
      <c r="AD13" s="18" t="inlineStr">
        <is>
          <t>Soft vs hard delete: hidden versus removed.</t>
        </is>
      </c>
      <c r="AE13" s="18" t="inlineStr">
        <is>
          <t>Do not forget caches and derived stores.</t>
        </is>
      </c>
      <c r="AF13" s="18" t="inlineStr">
        <is>
          <t>Delete the source and everything derived.</t>
        </is>
      </c>
      <c r="AG13" s="18" t="inlineStr">
        <is>
          <t>A deletion test caught chunks that remained after a document was removed.</t>
        </is>
      </c>
      <c r="AH13" s="18" t="inlineStr">
        <is>
          <t>An interviewer may ask: How do you delete data from a RAG system?</t>
        </is>
      </c>
      <c r="AI13" s="18" t="inlineStr">
        <is>
          <t>It is like pulling a book from every catalogue copy.</t>
        </is>
      </c>
      <c r="AJ13" s="18" t="inlineStr">
        <is>
          <t>What must also be deleted besides the file?</t>
        </is>
      </c>
      <c r="AK13" s="18" t="inlineStr">
        <is>
          <t>A) Chunks, vectors and caches B) The logo C) The server D) Nothing</t>
        </is>
      </c>
      <c r="AL13" s="18" t="inlineStr">
        <is>
          <t>A</t>
        </is>
      </c>
      <c r="AM13" s="18" t="inlineStr">
        <is>
          <t>They can still reveal content.</t>
        </is>
      </c>
      <c r="AN13" s="18" t="inlineStr">
        <is>
          <t>Data created from a source is ____ data → derived</t>
        </is>
      </c>
      <c r="AO13" s="18" t="inlineStr">
        <is>
          <t>A user requests erasure. What do you verify afterwards? → That the content can no longer be retrieved</t>
        </is>
      </c>
      <c r="AP13" s="18" t="inlineStr">
        <is>
          <t>Explain deletion in RAG in three lines.</t>
        </is>
      </c>
      <c r="AQ13" s="18" t="inlineStr">
        <is>
          <t>Write a deletion checklist for one document.</t>
        </is>
      </c>
      <c r="AR13" s="17">
        <f>IF(J13="","",REPT("★",J13)&amp;REPT("☆",5-J13)&amp;" ("&amp;J13&amp;"/5)")</f>
        <v/>
      </c>
      <c r="AS13" s="17">
        <f>IF(Q13="","","Meaning: "&amp;Q13&amp;"  =  ______   (Answer: "&amp;F13&amp;")")</f>
        <v/>
      </c>
      <c r="AT13" s="17" t="inlineStr">
        <is>
          <t>New</t>
        </is>
      </c>
      <c r="AU13" s="17" t="n"/>
      <c r="AV13" s="17" t="n"/>
      <c r="AW13" s="17" t="n"/>
      <c r="AX13" s="17" t="n"/>
      <c r="AY13" s="17" t="n"/>
      <c r="AZ13" s="17" t="n"/>
      <c r="BA13" s="17" t="n"/>
      <c r="BB13" s="17" t="n"/>
    </row>
    <row r="14" ht="108" customHeight="1">
      <c r="A14" s="17" t="inlineStr">
        <is>
          <t>RAG-015</t>
        </is>
      </c>
      <c r="B14" s="17" t="inlineStr">
        <is>
          <t>03 Retrieval</t>
        </is>
      </c>
      <c r="C14" s="17" t="inlineStr">
        <is>
          <t>Beginner</t>
        </is>
      </c>
      <c r="D14" s="17" t="n">
        <v>15</v>
      </c>
      <c r="E14" s="17" t="inlineStr">
        <is>
          <t>Claude knowledge</t>
        </is>
      </c>
      <c r="F14" s="18" t="inlineStr">
        <is>
          <t>Vector search</t>
        </is>
      </c>
      <c r="G14" s="18" t="inlineStr">
        <is>
          <t>How do you find chunks whose meaning is closest to the question?</t>
        </is>
      </c>
      <c r="H14" s="18" t="inlineStr">
        <is>
          <t>Core concept</t>
        </is>
      </c>
      <c r="I14" s="18" t="inlineStr">
        <is>
          <t>Very high</t>
        </is>
      </c>
      <c r="J14" s="18" t="n">
        <v>5</v>
      </c>
      <c r="K14" s="18" t="inlineStr">
        <is>
          <t>Keyword search misses synonyms, so the question and chunks are compared as vectors in a meaning space.</t>
        </is>
      </c>
      <c r="L14" s="18" t="inlineStr">
        <is>
          <t>Combine vector search with metadata filters and keyword search for best results.</t>
        </is>
      </c>
      <c r="M14" s="18" t="inlineStr">
        <is>
          <t>Vector search is finding the nearest neighbours of your question on the map of meaning.</t>
        </is>
      </c>
      <c r="N14" s="18" t="inlineStr">
        <is>
          <t>A query point with the nearest chunk points circled.</t>
        </is>
      </c>
      <c r="O14" s="18" t="inlineStr">
        <is>
          <t>The delight of finding the right passage with different words.</t>
        </is>
      </c>
      <c r="P14" s="18" t="inlineStr">
        <is>
          <t>Vector search embeds the query, then finds the stored vectors nearest to it by a distance or similarity measure, returning the most similar chunks.</t>
        </is>
      </c>
      <c r="Q14" s="17" t="n"/>
      <c r="R14" s="18" t="inlineStr">
        <is>
          <t>Exact nearest neighbour search compares with every vector, which is slow at scale, so approximate indexes speed it up with a small accuracy trade-off. Results depend on embedding quality, chunk quality and the query wording. Vector search can miss exact terms such as codes and names, which is why hybrid search exists.</t>
        </is>
      </c>
      <c r="S14" s="18" t="inlineStr">
        <is>
          <t>Embed the question, find the nearest vectors, and return their chunks.</t>
        </is>
      </c>
      <c r="T14" s="18" t="inlineStr">
        <is>
          <t>Vector search is finding the nearest neighbours of your question on the map of meaning.</t>
        </is>
      </c>
      <c r="U14" s="18" t="inlineStr">
        <is>
          <t>Query vector → nearest chunk vectors.</t>
        </is>
      </c>
      <c r="V14" s="18" t="inlineStr">
        <is>
          <t>A question about refunds matching a chunk about returns.</t>
        </is>
      </c>
      <c r="W14" s="18" t="inlineStr">
        <is>
          <t>Searching with paraphrased wording.</t>
        </is>
      </c>
      <c r="X14" s="18" t="inlineStr">
        <is>
          <t>Missing an exact product code.</t>
        </is>
      </c>
      <c r="Y14" s="18" t="inlineStr">
        <is>
          <t>embeddings, cosine similarity, pgvector, hybrid search</t>
        </is>
      </c>
      <c r="Z14" s="18" t="inlineStr">
        <is>
          <t>vector search, nearest neighbour, similarity, approximate, index</t>
        </is>
      </c>
      <c r="AA14" s="18" t="inlineStr">
        <is>
          <t>RAG | Semantic search | Recommendations</t>
        </is>
      </c>
      <c r="AB14" s="18" t="inlineStr">
        <is>
          <t>A: Search misses the exact error code. | B: Add keyword search, since vectors blur exact strings.</t>
        </is>
      </c>
      <c r="AC14" s="18" t="inlineStr">
        <is>
          <t>✗ Vector search always beats keyword search → ✓ Each has strengths, so combine them</t>
        </is>
      </c>
      <c r="AD14" s="18" t="inlineStr">
        <is>
          <t>Vector vs keyword search: meaning versus exact terms.</t>
        </is>
      </c>
      <c r="AE14" s="18" t="inlineStr">
        <is>
          <t>Do not rely on vectors alone for codes and names.</t>
        </is>
      </c>
      <c r="AF14" s="18" t="inlineStr">
        <is>
          <t>Vectors for meaning, keywords for exact.</t>
        </is>
      </c>
      <c r="AG14" s="18" t="inlineStr">
        <is>
          <t>Adding vector search let users find answers phrased differently from the documents.</t>
        </is>
      </c>
      <c r="AH14" s="18" t="inlineStr">
        <is>
          <t>An interviewer may ask: What are the limits of vector search?</t>
        </is>
      </c>
      <c r="AI14" s="18" t="inlineStr">
        <is>
          <t>It is like finding nearest neighbours on a map.</t>
        </is>
      </c>
      <c r="AJ14" s="18" t="inlineStr">
        <is>
          <t>What does vector search compare?</t>
        </is>
      </c>
      <c r="AK14" s="18" t="inlineStr">
        <is>
          <t>A) File names B) Passwords C) Fonts D) Embedding vectors</t>
        </is>
      </c>
      <c r="AL14" s="18" t="inlineStr">
        <is>
          <t>D</t>
        </is>
      </c>
      <c r="AM14" s="18" t="inlineStr">
        <is>
          <t>Meaning is encoded in vectors.</t>
        </is>
      </c>
      <c r="AN14" s="18" t="inlineStr">
        <is>
          <t>Fast search that trades a little accuracy is ____ → approximate</t>
        </is>
      </c>
      <c r="AO14" s="18" t="inlineStr">
        <is>
          <t>Users search with different words than the documents. What helps? → Vector search</t>
        </is>
      </c>
      <c r="AP14" s="18" t="inlineStr">
        <is>
          <t>Explain vector search in three lines.</t>
        </is>
      </c>
      <c r="AQ14" s="18" t="inlineStr">
        <is>
          <t>List two strengths and two weaknesses of vector search.</t>
        </is>
      </c>
      <c r="AR14" s="17">
        <f>IF(J14="","",REPT("★",J14)&amp;REPT("☆",5-J14)&amp;" ("&amp;J14&amp;"/5)")</f>
        <v/>
      </c>
      <c r="AS14" s="17">
        <f>IF(Q14="","","Meaning: "&amp;Q14&amp;"  =  ______   (Answer: "&amp;F14&amp;")")</f>
        <v/>
      </c>
      <c r="AT14" s="17" t="inlineStr">
        <is>
          <t>New</t>
        </is>
      </c>
      <c r="AU14" s="17" t="n"/>
      <c r="AV14" s="17" t="n"/>
      <c r="AW14" s="17" t="n"/>
      <c r="AX14" s="17" t="n"/>
      <c r="AY14" s="17" t="n"/>
      <c r="AZ14" s="17" t="n"/>
      <c r="BA14" s="17" t="n"/>
      <c r="BB14" s="17" t="n"/>
    </row>
    <row r="15" ht="108" customHeight="1">
      <c r="A15" s="17" t="inlineStr">
        <is>
          <t>RAG-016</t>
        </is>
      </c>
      <c r="B15" s="17" t="inlineStr">
        <is>
          <t>03 Retrieval</t>
        </is>
      </c>
      <c r="C15" s="17" t="inlineStr">
        <is>
          <t>Intermediate</t>
        </is>
      </c>
      <c r="D15" s="17" t="n">
        <v>16</v>
      </c>
      <c r="E15" s="17" t="inlineStr">
        <is>
          <t>Claude knowledge</t>
        </is>
      </c>
      <c r="F15" s="18" t="inlineStr">
        <is>
          <t>Cosine similarity</t>
        </is>
      </c>
      <c r="G15" s="18" t="inlineStr">
        <is>
          <t>Which measure tells how close in direction two vectors are?</t>
        </is>
      </c>
      <c r="H15" s="18" t="inlineStr">
        <is>
          <t>Core concept</t>
        </is>
      </c>
      <c r="I15" s="18" t="inlineStr">
        <is>
          <t>High</t>
        </is>
      </c>
      <c r="J15" s="18" t="n">
        <v>4</v>
      </c>
      <c r="K15" s="18" t="inlineStr">
        <is>
          <t>Meaning is in the direction of an embedding more than its length, so the angle between vectors is used to compare them.</t>
        </is>
      </c>
      <c r="L15" s="18" t="inlineStr">
        <is>
          <t>Use the distance type that the embedding model recommends.</t>
        </is>
      </c>
      <c r="M15" s="18" t="inlineStr">
        <is>
          <t>Cosine similarity asks whether two arrows point the same way.</t>
        </is>
      </c>
      <c r="N15" s="18" t="inlineStr">
        <is>
          <t>Two arrows with a small angle between them.</t>
        </is>
      </c>
      <c r="O15" s="18" t="inlineStr">
        <is>
          <t>The comfort of a simple measure.</t>
        </is>
      </c>
      <c r="P15" s="18" t="inlineStr">
        <is>
          <t>Cosine similarity is the cosine of the angle between two vectors, ranging from minus one to one, where values near one mean very similar direction and meaning.</t>
        </is>
      </c>
      <c r="Q15" s="17" t="n"/>
      <c r="R15" s="18" t="inlineStr">
        <is>
          <t>Cosine distance is one minus the similarity, so smaller is closer. For normalised vectors, cosine similarity equals the dot product, and Euclidean distance orders results the same way. Databases offer operators for each. The score values are relative, so thresholds need tuning, and scores differ across models.</t>
        </is>
      </c>
      <c r="S15" s="18" t="inlineStr">
        <is>
          <t>Closer direction means closer meaning, and scores should be tuned per model.</t>
        </is>
      </c>
      <c r="T15" s="18" t="inlineStr">
        <is>
          <t>Cosine similarity asks whether two arrows point the same way.</t>
        </is>
      </c>
      <c r="U15" s="18" t="inlineStr">
        <is>
          <t>cosine similarity = dot product ÷ (length × length).</t>
        </is>
      </c>
      <c r="V15" s="18" t="inlineStr">
        <is>
          <t>A similarity of 0.85 for related text.</t>
        </is>
      </c>
      <c r="W15" s="18" t="inlineStr">
        <is>
          <t>A similarity of 0.2 for unrelated text.</t>
        </is>
      </c>
      <c r="X15" s="18" t="inlineStr">
        <is>
          <t>Normalised vectors using the dot product.</t>
        </is>
      </c>
      <c r="Y15" s="18" t="inlineStr">
        <is>
          <t>vector search, embeddings, pgvector, top-k</t>
        </is>
      </c>
      <c r="Z15" s="18" t="inlineStr">
        <is>
          <t>cosine, dot product, distance, normalise, threshold</t>
        </is>
      </c>
      <c r="AA15" s="18" t="inlineStr">
        <is>
          <t>Retrieval | Clustering | Deduplication</t>
        </is>
      </c>
      <c r="AB15" s="18" t="inlineStr">
        <is>
          <t>A: What similarity score means relevant? | B: It depends on the model, so tune a threshold on examples.</t>
        </is>
      </c>
      <c r="AC15" s="18" t="inlineStr">
        <is>
          <t>✗ A fixed score such as 0.8 means relevant for every model → ✓ Score scales differ, so thresholds need tuning</t>
        </is>
      </c>
      <c r="AD15" s="18" t="inlineStr">
        <is>
          <t>Cosine vs Euclidean: angle versus straight-line distance.</t>
        </is>
      </c>
      <c r="AE15" s="18" t="inlineStr">
        <is>
          <t>Do not copy thresholds between models.</t>
        </is>
      </c>
      <c r="AF15" s="18" t="inlineStr">
        <is>
          <t>Same direction means same meaning.</t>
        </is>
      </c>
      <c r="AG15" s="18" t="inlineStr">
        <is>
          <t>Tuning a similarity threshold on examples removed weak matches from answers.</t>
        </is>
      </c>
      <c r="AH15" s="18" t="inlineStr">
        <is>
          <t>An interviewer may ask: What is cosine similarity?</t>
        </is>
      </c>
      <c r="AI15" s="18" t="inlineStr">
        <is>
          <t>It is like asking whether two arrows point the same way.</t>
        </is>
      </c>
      <c r="AJ15" s="18" t="inlineStr">
        <is>
          <t>What does a cosine similarity near one mean?</t>
        </is>
      </c>
      <c r="AK15" s="18" t="inlineStr">
        <is>
          <t>A) Different language B) Very similar direction C) Opposite meaning D) No data</t>
        </is>
      </c>
      <c r="AL15" s="18" t="inlineStr">
        <is>
          <t>B</t>
        </is>
      </c>
      <c r="AM15" s="18" t="inlineStr">
        <is>
          <t>Vectors point the same way.</t>
        </is>
      </c>
      <c r="AN15" s="18" t="inlineStr">
        <is>
          <t>Cosine distance equals one minus the ____ → similarity</t>
        </is>
      </c>
      <c r="AO15" s="18" t="inlineStr">
        <is>
          <t>You need to drop weak matches. What do you tune? → A similarity threshold</t>
        </is>
      </c>
      <c r="AP15" s="18" t="inlineStr">
        <is>
          <t>Explain cosine similarity in three lines.</t>
        </is>
      </c>
      <c r="AQ15" s="18" t="inlineStr">
        <is>
          <t>Describe how to pick a score threshold.</t>
        </is>
      </c>
      <c r="AR15" s="17">
        <f>IF(J15="","",REPT("★",J15)&amp;REPT("☆",5-J15)&amp;" ("&amp;J15&amp;"/5)")</f>
        <v/>
      </c>
      <c r="AS15" s="17">
        <f>IF(Q15="","","Meaning: "&amp;Q15&amp;"  =  ______   (Answer: "&amp;F15&amp;")")</f>
        <v/>
      </c>
      <c r="AT15" s="17" t="inlineStr">
        <is>
          <t>New</t>
        </is>
      </c>
      <c r="AU15" s="17" t="n"/>
      <c r="AV15" s="17" t="n"/>
      <c r="AW15" s="17" t="n"/>
      <c r="AX15" s="17" t="n"/>
      <c r="AY15" s="17" t="n"/>
      <c r="AZ15" s="17" t="n"/>
      <c r="BA15" s="17" t="n"/>
      <c r="BB15" s="17" t="n"/>
    </row>
    <row r="16" ht="108" customHeight="1">
      <c r="A16" s="17" t="inlineStr">
        <is>
          <t>RAG-019</t>
        </is>
      </c>
      <c r="B16" s="17" t="inlineStr">
        <is>
          <t>03 Retrieval</t>
        </is>
      </c>
      <c r="C16" s="17" t="inlineStr">
        <is>
          <t>Beginner</t>
        </is>
      </c>
      <c r="D16" s="17" t="n">
        <v>19</v>
      </c>
      <c r="E16" s="17" t="inlineStr">
        <is>
          <t>Claude knowledge</t>
        </is>
      </c>
      <c r="F16" s="18" t="inlineStr">
        <is>
          <t>Top-k</t>
        </is>
      </c>
      <c r="G16" s="18" t="inlineStr">
        <is>
          <t>How many chunks should you retrieve and pass to the model?</t>
        </is>
      </c>
      <c r="H16" s="18" t="inlineStr">
        <is>
          <t>Core concept</t>
        </is>
      </c>
      <c r="I16" s="18" t="inlineStr">
        <is>
          <t>Very high</t>
        </is>
      </c>
      <c r="J16" s="18" t="n">
        <v>5</v>
      </c>
      <c r="K16" s="18" t="inlineStr">
        <is>
          <t>Too few chunks miss evidence and too many add noise and cost, so the number retrieved is a tuned setting.</t>
        </is>
      </c>
      <c r="L16" s="18" t="inlineStr">
        <is>
          <t>Retrieve more candidates, then rerank down to a few for the prompt.</t>
        </is>
      </c>
      <c r="M16" s="18" t="inlineStr">
        <is>
          <t>Top-k is the number of library books you carry home.</t>
        </is>
      </c>
      <c r="N16" s="18" t="inlineStr">
        <is>
          <t>A ranked list cut off after k items.</t>
        </is>
      </c>
      <c r="O16" s="18" t="inlineStr">
        <is>
          <t>The balance between enough and too much.</t>
        </is>
      </c>
      <c r="P16" s="18" t="inlineStr">
        <is>
          <t>Top-k is the number of highest-scoring chunks returned by retrieval, and it affects recall, noise, cost and latency of the final answer.</t>
        </is>
      </c>
      <c r="Q16" s="17" t="n"/>
      <c r="R16" s="18" t="inlineStr">
        <is>
          <t>A small k may miss the needed chunk. A large k adds irrelevant text, raises tokens and can distract the model. A common pattern retrieves twenty to fifty candidates, reranks and keeps three to ten. Tune k with retrieval tests. Use score thresholds to avoid weak matches, and allow fewer results when little is relevant.</t>
        </is>
      </c>
      <c r="S16" s="18" t="inlineStr">
        <is>
          <t>Retrieve generously, rerank, and pass only a few good chunks.</t>
        </is>
      </c>
      <c r="T16" s="18" t="inlineStr">
        <is>
          <t>Top-k is the number of library books you carry home.</t>
        </is>
      </c>
      <c r="U16" s="18" t="inlineStr">
        <is>
          <t>Larger k = more recall, more noise and cost.</t>
        </is>
      </c>
      <c r="V16" s="18" t="inlineStr">
        <is>
          <t>Retrieve 30, rerank, keep 5.</t>
        </is>
      </c>
      <c r="W16" s="18" t="inlineStr">
        <is>
          <t>A threshold dropping weak matches.</t>
        </is>
      </c>
      <c r="X16" s="18" t="inlineStr">
        <is>
          <t>A question with only one relevant chunk.</t>
        </is>
      </c>
      <c r="Y16" s="18" t="inlineStr">
        <is>
          <t>reranking, evaluating retrieval, context limits, cost and latency</t>
        </is>
      </c>
      <c r="Z16" s="18" t="inlineStr">
        <is>
          <t>top-k, candidates, threshold, recall, noise</t>
        </is>
      </c>
      <c r="AA16" s="18" t="inlineStr">
        <is>
          <t>Tuning | Cost control | Evaluation</t>
        </is>
      </c>
      <c r="AB16" s="18" t="inlineStr">
        <is>
          <t>A: The model gets confused by too much context. | B: Reduce k or add reranking.</t>
        </is>
      </c>
      <c r="AC16" s="18" t="inlineStr">
        <is>
          <t>✗ A larger k is always safer → ✓ More chunks can distract the model and raise cost</t>
        </is>
      </c>
      <c r="AD16" s="18" t="inlineStr">
        <is>
          <t>Retrieved candidates vs final chunks: the first is wide, the second is trimmed.</t>
        </is>
      </c>
      <c r="AE16" s="18" t="inlineStr">
        <is>
          <t>Do not choose k without testing.</t>
        </is>
      </c>
      <c r="AF16" s="18" t="inlineStr">
        <is>
          <t>Fetch wide first, then keep few.</t>
        </is>
      </c>
      <c r="AG16" s="18" t="inlineStr">
        <is>
          <t>Reranking from thirty to five improved answers and cut token use.</t>
        </is>
      </c>
      <c r="AH16" s="18" t="inlineStr">
        <is>
          <t>An interviewer may ask: How do you choose k?</t>
        </is>
      </c>
      <c r="AI16" s="18" t="inlineStr">
        <is>
          <t>It is like deciding how many books to carry home.</t>
        </is>
      </c>
      <c r="AJ16" s="18" t="inlineStr">
        <is>
          <t>What does a larger k risk?</t>
        </is>
      </c>
      <c r="AK16" s="18" t="inlineStr">
        <is>
          <t>A) Faster answers B) Fewer tokens C) Better privacy D) Noise and cost</t>
        </is>
      </c>
      <c r="AL16" s="18" t="inlineStr">
        <is>
          <t>D</t>
        </is>
      </c>
      <c r="AM16" s="18" t="inlineStr">
        <is>
          <t>More irrelevant text enters the prompt.</t>
        </is>
      </c>
      <c r="AN16" s="18" t="inlineStr">
        <is>
          <t>A minimum score for results is a ____ → threshold</t>
        </is>
      </c>
      <c r="AO16" s="18" t="inlineStr">
        <is>
          <t>The prompt is stuffed with weak chunks. What do you do? → Rerank and keep fewer</t>
        </is>
      </c>
      <c r="AP16" s="18" t="inlineStr">
        <is>
          <t>Explain top-k in three lines.</t>
        </is>
      </c>
      <c r="AQ16" s="18" t="inlineStr">
        <is>
          <t>Design a small test that helps you choose k.</t>
        </is>
      </c>
      <c r="AR16" s="17">
        <f>IF(J16="","",REPT("★",J16)&amp;REPT("☆",5-J16)&amp;" ("&amp;J16&amp;"/5)")</f>
        <v/>
      </c>
      <c r="AS16" s="17">
        <f>IF(Q16="","","Meaning: "&amp;Q16&amp;"  =  ______   (Answer: "&amp;F16&amp;")")</f>
        <v/>
      </c>
      <c r="AT16" s="17" t="inlineStr">
        <is>
          <t>New</t>
        </is>
      </c>
      <c r="AU16" s="17" t="n"/>
      <c r="AV16" s="17" t="n"/>
      <c r="AW16" s="17" t="n"/>
      <c r="AX16" s="17" t="n"/>
      <c r="AY16" s="17" t="n"/>
      <c r="AZ16" s="17" t="n"/>
      <c r="BA16" s="17" t="n"/>
      <c r="BB16" s="17" t="n"/>
    </row>
    <row r="17" ht="108" customHeight="1">
      <c r="A17" s="17" t="inlineStr">
        <is>
          <t>RAG-022</t>
        </is>
      </c>
      <c r="B17" s="17" t="inlineStr">
        <is>
          <t>03 Retrieval</t>
        </is>
      </c>
      <c r="C17" s="17" t="inlineStr">
        <is>
          <t>Advanced</t>
        </is>
      </c>
      <c r="D17" s="17" t="n">
        <v>22</v>
      </c>
      <c r="E17" s="17" t="inlineStr">
        <is>
          <t>Claude knowledge</t>
        </is>
      </c>
      <c r="F17" s="18" t="inlineStr">
        <is>
          <t>Reranking</t>
        </is>
      </c>
      <c r="G17" s="18" t="inlineStr">
        <is>
          <t>How do you reorder retrieved candidates with a stronger relevance model?</t>
        </is>
      </c>
      <c r="H17" s="18" t="inlineStr">
        <is>
          <t>Core concept</t>
        </is>
      </c>
      <c r="I17" s="18" t="inlineStr">
        <is>
          <t>High</t>
        </is>
      </c>
      <c r="J17" s="18" t="n">
        <v>5</v>
      </c>
      <c r="K17" s="18" t="inlineStr">
        <is>
          <t>Fast retrieval is approximate, so a slower, more accurate model rescores a short list to put the best chunks first.</t>
        </is>
      </c>
      <c r="L17" s="18" t="inlineStr">
        <is>
          <t>Rerank twenty to fifty candidates down to a handful for the prompt.</t>
        </is>
      </c>
      <c r="M17" s="18" t="inlineStr">
        <is>
          <t>Reranking is a careful judge re-scoring the shortlist from the quick first round.</t>
        </is>
      </c>
      <c r="N17" s="18" t="inlineStr">
        <is>
          <t>A long candidate list passing through a model and coming out reordered.</t>
        </is>
      </c>
      <c r="O17" s="18" t="inlineStr">
        <is>
          <t>The satisfaction of the best evidence rising to the top.</t>
        </is>
      </c>
      <c r="P17" s="18" t="inlineStr">
        <is>
          <t>Reranking applies a cross-encoder or a model-based scorer to each query and candidate pair, producing a more accurate relevance score than vector similarity, and reorders the shortlist.</t>
        </is>
      </c>
      <c r="Q17" s="17" t="n"/>
      <c r="R17" s="18" t="inlineStr">
        <is>
          <t>First-stage retrieval is fast but coarse. A reranker reads the query and chunk together, so it judges relevance better, but costs more per pair, so it runs on a small set. It adds latency, so measure the trade-off. Rerankers can be hosted models or LLM-based scorers. Gains show in retrieval metrics and answer quality.</t>
        </is>
      </c>
      <c r="S17" s="18" t="inlineStr">
        <is>
          <t>Retrieve many cheaply, then rescore a shortlist with a better model.</t>
        </is>
      </c>
      <c r="T17" s="18" t="inlineStr">
        <is>
          <t>Reranking is a careful judge re-scoring the shortlist from the quick first round.</t>
        </is>
      </c>
      <c r="U17" s="18" t="inlineStr">
        <is>
          <t>Cheap wide search, then accurate narrow ranking.</t>
        </is>
      </c>
      <c r="V17" s="18" t="inlineStr">
        <is>
          <t>Thirty candidates reranked to five.</t>
        </is>
      </c>
      <c r="W17" s="18" t="inlineStr">
        <is>
          <t>A cross-encoder scoring query and chunk together.</t>
        </is>
      </c>
      <c r="X17" s="18" t="inlineStr">
        <is>
          <t>A noticeable latency increase that should be measured.</t>
        </is>
      </c>
      <c r="Y17" s="18" t="inlineStr">
        <is>
          <t>top-k, hybrid search, evaluating retrieval, cost and latency</t>
        </is>
      </c>
      <c r="Z17" s="18" t="inlineStr">
        <is>
          <t>reranker, cross-encoder, shortlist, relevance, latency</t>
        </is>
      </c>
      <c r="AA17" s="18" t="inlineStr">
        <is>
          <t>Quality tuning | Enterprise search | Support</t>
        </is>
      </c>
      <c r="AB17" s="18" t="inlineStr">
        <is>
          <t>A: The right chunk is retrieved but ranks tenth. | B: Add a reranker to bring it to the top.</t>
        </is>
      </c>
      <c r="AC17" s="18" t="inlineStr">
        <is>
          <t>✗ Reranking replaces the first retrieval stage → ✓ It refines a shortlist that retrieval must first provide</t>
        </is>
      </c>
      <c r="AD17" s="18" t="inlineStr">
        <is>
          <t>Retrieval vs reranking: retrieval finds candidates, reranking orders them.</t>
        </is>
      </c>
      <c r="AE17" s="18" t="inlineStr">
        <is>
          <t>Do not rerank huge candidate sets.</t>
        </is>
      </c>
      <c r="AF17" s="18" t="inlineStr">
        <is>
          <t>Retrieve wide first, then rerank narrow.</t>
        </is>
      </c>
      <c r="AG17" s="18" t="inlineStr">
        <is>
          <t>A reranker moved the correct chunk into the top three for many failing questions.</t>
        </is>
      </c>
      <c r="AH17" s="18" t="inlineStr">
        <is>
          <t>An interviewer may ask: What does a reranker add?</t>
        </is>
      </c>
      <c r="AI17" s="18" t="inlineStr">
        <is>
          <t>It is like a judge re-scoring a shortlist.</t>
        </is>
      </c>
      <c r="AJ17" s="18" t="inlineStr">
        <is>
          <t>What does reranking improve?</t>
        </is>
      </c>
      <c r="AK17" s="18" t="inlineStr">
        <is>
          <t>A) The file size B) The embeddings C) The prompt length only D) The order of candidates</t>
        </is>
      </c>
      <c r="AL17" s="18" t="inlineStr">
        <is>
          <t>D</t>
        </is>
      </c>
      <c r="AM17" s="18" t="inlineStr">
        <is>
          <t>Better scoring puts the best first.</t>
        </is>
      </c>
      <c r="AN17" s="18" t="inlineStr">
        <is>
          <t>A model that reads query and chunk together is a ____ → cross-encoder</t>
        </is>
      </c>
      <c r="AO17" s="18" t="inlineStr">
        <is>
          <t>The correct chunk is retrieved but ranked low. What do you add? → A reranker</t>
        </is>
      </c>
      <c r="AP17" s="18" t="inlineStr">
        <is>
          <t>Explain reranking in three lines.</t>
        </is>
      </c>
      <c r="AQ17" s="18" t="inlineStr">
        <is>
          <t>Plan a test of retrieval with and without reranking.</t>
        </is>
      </c>
      <c r="AR17" s="17">
        <f>IF(J17="","",REPT("★",J17)&amp;REPT("☆",5-J17)&amp;" ("&amp;J17&amp;"/5)")</f>
        <v/>
      </c>
      <c r="AS17" s="17">
        <f>IF(Q17="","","Meaning: "&amp;Q17&amp;"  =  ______   (Answer: "&amp;F17&amp;")")</f>
        <v/>
      </c>
      <c r="AT17" s="17" t="inlineStr">
        <is>
          <t>New</t>
        </is>
      </c>
      <c r="AU17" s="17" t="n"/>
      <c r="AV17" s="17" t="n"/>
      <c r="AW17" s="17" t="n"/>
      <c r="AX17" s="17" t="n"/>
      <c r="AY17" s="17" t="n"/>
      <c r="AZ17" s="17" t="n"/>
      <c r="BA17" s="17" t="n"/>
      <c r="BB17" s="17" t="n"/>
    </row>
    <row r="18" ht="94.5" customHeight="1">
      <c r="A18" s="17" t="inlineStr">
        <is>
          <t>RAG-023</t>
        </is>
      </c>
      <c r="B18" s="17" t="inlineStr">
        <is>
          <t>03 Retrieval</t>
        </is>
      </c>
      <c r="C18" s="17" t="inlineStr">
        <is>
          <t>Advanced</t>
        </is>
      </c>
      <c r="D18" s="17" t="n">
        <v>23</v>
      </c>
      <c r="E18" s="17" t="inlineStr">
        <is>
          <t>Claude knowledge</t>
        </is>
      </c>
      <c r="F18" s="18" t="inlineStr">
        <is>
          <t>Query rewriting</t>
        </is>
      </c>
      <c r="G18" s="18" t="inlineStr">
        <is>
          <t>How do you turn a messy question into a better search query?</t>
        </is>
      </c>
      <c r="H18" s="18" t="inlineStr">
        <is>
          <t>Core concept</t>
        </is>
      </c>
      <c r="I18" s="18" t="inlineStr">
        <is>
          <t>High</t>
        </is>
      </c>
      <c r="J18" s="18" t="n">
        <v>4</v>
      </c>
      <c r="K18" s="18" t="inlineStr">
        <is>
          <t>Users ask short, vague or follow-up questions, so the system rewrites them into standalone, specific queries for retrieval.</t>
        </is>
      </c>
      <c r="L18" s="18" t="inlineStr">
        <is>
          <t>Rewrite follow-up questions using chat history so they stand alone.</t>
        </is>
      </c>
      <c r="M18" s="18" t="inlineStr">
        <is>
          <t>Query rewriting is a librarian who clarifies your question before searching.</t>
        </is>
      </c>
      <c r="N18" s="18" t="inlineStr">
        <is>
          <t>A vague question becoming a precise search phrase.</t>
        </is>
      </c>
      <c r="O18" s="18" t="inlineStr">
        <is>
          <t>The relief of better results from the same user words.</t>
        </is>
      </c>
      <c r="P18" s="18" t="inlineStr">
        <is>
          <t>Query rewriting uses a model or rules to transform the user's question into one or more clearer queries, for example resolving pronouns from the conversation, expanding abbreviations or adding key terms.</t>
        </is>
      </c>
      <c r="Q18" s="17" t="n"/>
      <c r="R18" s="18" t="inlineStr">
        <is>
          <t>A follow-up such as what about the price needs the earlier topic, so the rewriter makes a full question. Expansions add synonyms or product names. Rewriting adds cost and can drift from the user's intent, so keep the original too and evaluate the effect. HyDE writes a hypothetical answer to search with.</t>
        </is>
      </c>
      <c r="S18" s="18" t="inlineStr">
        <is>
          <t>Make the question standalone and specific before searching.</t>
        </is>
      </c>
      <c r="T18" s="18" t="inlineStr">
        <is>
          <t>Query rewriting is a librarian who clarifies your question before searching.</t>
        </is>
      </c>
      <c r="U18" s="18" t="inlineStr">
        <is>
          <t>Resolve context, expand terms, search.</t>
        </is>
      </c>
      <c r="V18" s="18" t="inlineStr">
        <is>
          <t>What about the price? becomes What is the price of the pro plan?</t>
        </is>
      </c>
      <c r="W18" s="18" t="inlineStr">
        <is>
          <t>Expanding SSO to single sign-on.</t>
        </is>
      </c>
      <c r="X18" s="18" t="inlineStr">
        <is>
          <t>Searching with both the original and rewritten query.</t>
        </is>
      </c>
      <c r="Y18" s="18" t="inlineStr">
        <is>
          <t>multi-query, hybrid search, chat memory, evaluating retrieval</t>
        </is>
      </c>
      <c r="Z18" s="18" t="inlineStr">
        <is>
          <t>rewrite, expansion, standalone, HyDE, intent</t>
        </is>
      </c>
      <c r="AA18" s="18" t="inlineStr">
        <is>
          <t>Chat RAG | Search | Support</t>
        </is>
      </c>
      <c r="AB18" s="18" t="inlineStr">
        <is>
          <t>A: The follow-up question finds nothing. | B: Rewrite it with the chat context.</t>
        </is>
      </c>
      <c r="AC18" s="18" t="inlineStr">
        <is>
          <t>✗ Rewriting always improves results → ✓ It can drift from intent, so test it</t>
        </is>
      </c>
      <c r="AD18" s="18" t="inlineStr">
        <is>
          <t>Rewriting vs filtering: one changes the query, the other restricts the data.</t>
        </is>
      </c>
      <c r="AE18" s="18" t="inlineStr">
        <is>
          <t>Do not discard the original question.</t>
        </is>
      </c>
      <c r="AF18" s="18" t="inlineStr">
        <is>
          <t>Make it standalone, keep the original too.</t>
        </is>
      </c>
      <c r="AG18" s="18" t="inlineStr">
        <is>
          <t>Rewriting follow-up questions fixed failures in a multi-turn support bot.</t>
        </is>
      </c>
      <c r="AH18" s="18" t="inlineStr">
        <is>
          <t>An interviewer may ask: Why rewrite queries in a chat RAG?</t>
        </is>
      </c>
      <c r="AI18" s="18" t="inlineStr">
        <is>
          <t>It is like a librarian clarifying your question.</t>
        </is>
      </c>
      <c r="AJ18" s="18" t="inlineStr">
        <is>
          <t>Which problem does rewriting solve in chats?</t>
        </is>
      </c>
      <c r="AK18" s="18" t="inlineStr">
        <is>
          <t>A) Slow disks B) Large files C) Follow-ups that depend on earlier turns D) Wrong fonts</t>
        </is>
      </c>
      <c r="AL18" s="18" t="inlineStr">
        <is>
          <t>C</t>
        </is>
      </c>
      <c r="AM18" s="18" t="inlineStr">
        <is>
          <t>The rewritten query stands alone.</t>
        </is>
      </c>
      <c r="AN18" s="18" t="inlineStr">
        <is>
          <t>A question that makes sense without the chat history is ____ → standalone</t>
        </is>
      </c>
      <c r="AO18" s="18" t="inlineStr">
        <is>
          <t>A follow-up question returns nothing. What do you add? → Query rewriting with chat context</t>
        </is>
      </c>
      <c r="AP18" s="18" t="inlineStr">
        <is>
          <t>Explain query rewriting in three lines.</t>
        </is>
      </c>
      <c r="AQ18" s="18" t="inlineStr">
        <is>
          <t>Rewrite three follow-up questions into standalone ones.</t>
        </is>
      </c>
      <c r="AR18" s="17">
        <f>IF(J18="","",REPT("★",J18)&amp;REPT("☆",5-J18)&amp;" ("&amp;J18&amp;"/5)")</f>
        <v/>
      </c>
      <c r="AS18" s="17">
        <f>IF(Q18="","","Meaning: "&amp;Q18&amp;"  =  ______   (Answer: "&amp;F18&amp;")")</f>
        <v/>
      </c>
      <c r="AT18" s="17" t="inlineStr">
        <is>
          <t>New</t>
        </is>
      </c>
      <c r="AU18" s="17" t="n"/>
      <c r="AV18" s="17" t="n"/>
      <c r="AW18" s="17" t="n"/>
      <c r="AX18" s="17" t="n"/>
      <c r="AY18" s="17" t="n"/>
      <c r="AZ18" s="17" t="n"/>
      <c r="BA18" s="17" t="n"/>
      <c r="BB18" s="17" t="n"/>
    </row>
    <row r="19" ht="108" customHeight="1">
      <c r="A19" s="17" t="inlineStr">
        <is>
          <t>RAG-024</t>
        </is>
      </c>
      <c r="B19" s="17" t="inlineStr">
        <is>
          <t>03 Retrieval</t>
        </is>
      </c>
      <c r="C19" s="17" t="inlineStr">
        <is>
          <t>Advanced</t>
        </is>
      </c>
      <c r="D19" s="17" t="n">
        <v>24</v>
      </c>
      <c r="E19" s="17" t="inlineStr">
        <is>
          <t>Claude knowledge</t>
        </is>
      </c>
      <c r="F19" s="18" t="inlineStr">
        <is>
          <t>Multi-query retrieval</t>
        </is>
      </c>
      <c r="G19" s="18" t="inlineStr">
        <is>
          <t>How can several versions of a question improve recall?</t>
        </is>
      </c>
      <c r="H19" s="18" t="inlineStr">
        <is>
          <t>Core concept</t>
        </is>
      </c>
      <c r="I19" s="18" t="inlineStr">
        <is>
          <t>Medium</t>
        </is>
      </c>
      <c r="J19" s="18" t="n">
        <v>4</v>
      </c>
      <c r="K19" s="18" t="inlineStr">
        <is>
          <t>One phrasing may miss relevant text, so several variants are searched and merged.</t>
        </is>
      </c>
      <c r="L19" s="18" t="inlineStr">
        <is>
          <t>Limit variants to a few, and deduplicate the merged results.</t>
        </is>
      </c>
      <c r="M19" s="18" t="inlineStr">
        <is>
          <t>Multi-query is asking the same thing three ways to catch more answers.</t>
        </is>
      </c>
      <c r="N19" s="18" t="inlineStr">
        <is>
          <t>Several query variants feeding one merged result list.</t>
        </is>
      </c>
      <c r="O19" s="18" t="inlineStr">
        <is>
          <t>The assurance of fewer misses on hard questions.</t>
        </is>
      </c>
      <c r="P19" s="18" t="inlineStr">
        <is>
          <t>Multi-query retrieval generates several rephrasings or sub-questions of the user's question, retrieves for each, and merges and deduplicates the results.</t>
        </is>
      </c>
      <c r="Q19" s="17" t="n"/>
      <c r="R19" s="18" t="inlineStr">
        <is>
          <t>Variants capture different wording and aspects. Complex questions can be split into sub-questions, each retrieved separately, then answered together. Results are merged with rank fusion. Costs rise with the number of queries and the generation step, and latency increases unless run in parallel. Measure the recall gain.</t>
        </is>
      </c>
      <c r="S19" s="18" t="inlineStr">
        <is>
          <t>Search with a few variants and merge the results.</t>
        </is>
      </c>
      <c r="T19" s="18" t="inlineStr">
        <is>
          <t>Multi-query is asking the same thing three ways to catch more answers.</t>
        </is>
      </c>
      <c r="U19" s="18" t="inlineStr">
        <is>
          <t>Variants + retrieval each + merge + deduplicate.</t>
        </is>
      </c>
      <c r="V19" s="18" t="inlineStr">
        <is>
          <t>Three rephrasings of a refund question.</t>
        </is>
      </c>
      <c r="W19" s="18" t="inlineStr">
        <is>
          <t>A comparison question split into two lookups.</t>
        </is>
      </c>
      <c r="X19" s="18" t="inlineStr">
        <is>
          <t>Results merged by reciprocal rank fusion.</t>
        </is>
      </c>
      <c r="Y19" s="18" t="inlineStr">
        <is>
          <t>query rewriting, hybrid search, reranking, cost and latency</t>
        </is>
      </c>
      <c r="Z19" s="18" t="inlineStr">
        <is>
          <t>multi-query, sub-question, merge, deduplicate, fusion</t>
        </is>
      </c>
      <c r="AA19" s="18" t="inlineStr">
        <is>
          <t>Complex questions | Research tools | Support</t>
        </is>
      </c>
      <c r="AB19" s="18" t="inlineStr">
        <is>
          <t>A: Complex questions miss half the evidence. | B: Split them into sub-questions and retrieve for each.</t>
        </is>
      </c>
      <c r="AC19" s="18" t="inlineStr">
        <is>
          <t>✗ More query variants always help → ✓ They add cost and noise beyond a few</t>
        </is>
      </c>
      <c r="AD19" s="18" t="inlineStr">
        <is>
          <t>Multi-query vs rewriting: many variants versus one improved query.</t>
        </is>
      </c>
      <c r="AE19" s="18" t="inlineStr">
        <is>
          <t>Do not run many variants serially.</t>
        </is>
      </c>
      <c r="AF19" s="18" t="inlineStr">
        <is>
          <t>A few variants, merged and deduplicated.</t>
        </is>
      </c>
      <c r="AG19" s="18" t="inlineStr">
        <is>
          <t>Splitting comparison questions raised answer completeness in a product assistant.</t>
        </is>
      </c>
      <c r="AH19" s="18" t="inlineStr">
        <is>
          <t>An interviewer may ask: When is multi-query retrieval useful?</t>
        </is>
      </c>
      <c r="AI19" s="18" t="inlineStr">
        <is>
          <t>It is like asking the same thing three ways.</t>
        </is>
      </c>
      <c r="AJ19" s="18" t="inlineStr">
        <is>
          <t>What must be done with merged results?</t>
        </is>
      </c>
      <c r="AK19" s="18" t="inlineStr">
        <is>
          <t>A) Deduplicate them B) Hide them C) Sort alphabetically only D) Double them</t>
        </is>
      </c>
      <c r="AL19" s="18" t="inlineStr">
        <is>
          <t>A</t>
        </is>
      </c>
      <c r="AM19" s="18" t="inlineStr">
        <is>
          <t>The same chunk can appear several times.</t>
        </is>
      </c>
      <c r="AN19" s="18" t="inlineStr">
        <is>
          <t>A smaller question derived from a big one is a ____-question → sub</t>
        </is>
      </c>
      <c r="AO19" s="18" t="inlineStr">
        <is>
          <t>A question compares two products. How do you retrieve? → Retrieve for each product separately</t>
        </is>
      </c>
      <c r="AP19" s="18" t="inlineStr">
        <is>
          <t>Explain multi-query retrieval in three lines.</t>
        </is>
      </c>
      <c r="AQ19" s="18" t="inlineStr">
        <is>
          <t>Split one complex question into three clear sub-questions.</t>
        </is>
      </c>
      <c r="AR19" s="17">
        <f>IF(J19="","",REPT("★",J19)&amp;REPT("☆",5-J19)&amp;" ("&amp;J19&amp;"/5)")</f>
        <v/>
      </c>
      <c r="AS19" s="17">
        <f>IF(Q19="","","Meaning: "&amp;Q19&amp;"  =  ______   (Answer: "&amp;F19&amp;")")</f>
        <v/>
      </c>
      <c r="AT19" s="17" t="inlineStr">
        <is>
          <t>New</t>
        </is>
      </c>
      <c r="AU19" s="17" t="n"/>
      <c r="AV19" s="17" t="n"/>
      <c r="AW19" s="17" t="n"/>
      <c r="AX19" s="17" t="n"/>
      <c r="AY19" s="17" t="n"/>
      <c r="AZ19" s="17" t="n"/>
      <c r="BA19" s="17" t="n"/>
      <c r="BB19" s="17" t="n"/>
    </row>
    <row r="20" ht="108" customHeight="1">
      <c r="A20" s="17" t="inlineStr">
        <is>
          <t>RAG-026</t>
        </is>
      </c>
      <c r="B20" s="17" t="inlineStr">
        <is>
          <t>04 Generation</t>
        </is>
      </c>
      <c r="C20" s="17" t="inlineStr">
        <is>
          <t>Intermediate</t>
        </is>
      </c>
      <c r="D20" s="17" t="n">
        <v>26</v>
      </c>
      <c r="E20" s="17" t="inlineStr">
        <is>
          <t>Claude knowledge</t>
        </is>
      </c>
      <c r="F20" s="18" t="inlineStr">
        <is>
          <t>Citations</t>
        </is>
      </c>
      <c r="G20" s="18" t="inlineStr">
        <is>
          <t>How does the answer show which sources support each claim?</t>
        </is>
      </c>
      <c r="H20" s="18" t="inlineStr">
        <is>
          <t>Core concept</t>
        </is>
      </c>
      <c r="I20" s="18" t="inlineStr">
        <is>
          <t>Very high</t>
        </is>
      </c>
      <c r="J20" s="18" t="n">
        <v>5</v>
      </c>
      <c r="K20" s="18" t="inlineStr">
        <is>
          <t>Users and reviewers need to verify answers, so responses point back to the passages they used.</t>
        </is>
      </c>
      <c r="L20" s="18" t="inlineStr">
        <is>
          <t>Return ids and quotes, and check in code that each cited id exists and the quote appears in it.</t>
        </is>
      </c>
      <c r="M20" s="18" t="inlineStr">
        <is>
          <t>Citations are footnotes that let you check the book.</t>
        </is>
      </c>
      <c r="N20" s="18" t="inlineStr">
        <is>
          <t>An answer with bracketed numbers linked to source cards.</t>
        </is>
      </c>
      <c r="O20" s="18" t="inlineStr">
        <is>
          <t>The trust of answers you can verify.</t>
        </is>
      </c>
      <c r="P20" s="18" t="inlineStr">
        <is>
          <t>Citations attach references such as source ids, titles, links and quoted text to the claims in an answer, so readers can check them against the retrieved material.</t>
        </is>
      </c>
      <c r="Q20" s="17" t="n"/>
      <c r="R20" s="18" t="inlineStr">
        <is>
          <t>Ask the model to cite ids in a fixed format. Validate that ids exist and that quoted text really occurs in the source. Show readable links in the interface. Citations show where an answer came from, but do not prove that the claim is faithful, so combine with faithfulness checks. Missing citations can trigger a retry or a refusal.</t>
        </is>
      </c>
      <c r="S20" s="18" t="inlineStr">
        <is>
          <t>Require ids and quotes, and verify them in code.</t>
        </is>
      </c>
      <c r="T20" s="18" t="inlineStr">
        <is>
          <t>Citations are footnotes that let you check the book.</t>
        </is>
      </c>
      <c r="U20" s="18" t="inlineStr">
        <is>
          <t>Claim + source id + supporting quote.</t>
        </is>
      </c>
      <c r="V20" s="18" t="inlineStr">
        <is>
          <t>Refunds take seven days [1].</t>
        </is>
      </c>
      <c r="W20" s="18" t="inlineStr">
        <is>
          <t>A link to the policy page.</t>
        </is>
      </c>
      <c r="X20" s="18" t="inlineStr">
        <is>
          <t>A check that the quote appears in the source.</t>
        </is>
      </c>
      <c r="Y20" s="18" t="inlineStr">
        <is>
          <t>building the prompt, faithfulness, handling no answer, human review</t>
        </is>
      </c>
      <c r="Z20" s="18" t="inlineStr">
        <is>
          <t>citation, quote, source id, reference, verification</t>
        </is>
      </c>
      <c r="AA20" s="18" t="inlineStr">
        <is>
          <t>Support bots | Legal tools | Research assistants</t>
        </is>
      </c>
      <c r="AB20" s="18" t="inlineStr">
        <is>
          <t>A: How can I trust this answer? | B: Open the cited source and read the quote.</t>
        </is>
      </c>
      <c r="AC20" s="18" t="inlineStr">
        <is>
          <t>✗ A citation proves the answer is right → ✓ It only points to a source, and the claim must still match it</t>
        </is>
      </c>
      <c r="AD20" s="18" t="inlineStr">
        <is>
          <t>Citation vs faithfulness: a pointer versus a true match.</t>
        </is>
      </c>
      <c r="AE20" s="18" t="inlineStr">
        <is>
          <t>Do not accept citations without checking they exist.</t>
        </is>
      </c>
      <c r="AF20" s="18" t="inlineStr">
        <is>
          <t>Cite it, then check it.</t>
        </is>
      </c>
      <c r="AG20" s="18" t="inlineStr">
        <is>
          <t>Verifying quotes in code removed fake citations from answers.</t>
        </is>
      </c>
      <c r="AH20" s="18" t="inlineStr">
        <is>
          <t>An interviewer may ask: How do you verify RAG citations?</t>
        </is>
      </c>
      <c r="AI20" s="18" t="inlineStr">
        <is>
          <t>It is like footnotes in a book.</t>
        </is>
      </c>
      <c r="AJ20" s="18" t="inlineStr">
        <is>
          <t>What should code check about a citation?</t>
        </is>
      </c>
      <c r="AK20" s="18" t="inlineStr">
        <is>
          <t>A) That the id and quote exist in the source B) That it is blue C) That it is long D) That it is short</t>
        </is>
      </c>
      <c r="AL20" s="18" t="inlineStr">
        <is>
          <t>A</t>
        </is>
      </c>
      <c r="AM20" s="18" t="inlineStr">
        <is>
          <t>Models can invent citations.</t>
        </is>
      </c>
      <c r="AN20" s="18" t="inlineStr">
        <is>
          <t>A reference to a source in an answer is a ____ → citation</t>
        </is>
      </c>
      <c r="AO20" s="18" t="inlineStr">
        <is>
          <t>Answers contain fake references. What do you add? → Validation of ids and quotes</t>
        </is>
      </c>
      <c r="AP20" s="18" t="inlineStr">
        <is>
          <t>Explain citations in three lines.</t>
        </is>
      </c>
      <c r="AQ20" s="18" t="inlineStr">
        <is>
          <t>Design the citation format and checks for a policy bot.</t>
        </is>
      </c>
      <c r="AR20" s="17">
        <f>IF(J20="","",REPT("★",J20)&amp;REPT("☆",5-J20)&amp;" ("&amp;J20&amp;"/5)")</f>
        <v/>
      </c>
      <c r="AS20" s="17">
        <f>IF(Q20="","","Meaning: "&amp;Q20&amp;"  =  ______   (Answer: "&amp;F20&amp;")")</f>
        <v/>
      </c>
      <c r="AT20" s="17" t="inlineStr">
        <is>
          <t>New</t>
        </is>
      </c>
      <c r="AU20" s="17" t="n"/>
      <c r="AV20" s="17" t="n"/>
      <c r="AW20" s="17" t="n"/>
      <c r="AX20" s="17" t="n"/>
      <c r="AY20" s="17" t="n"/>
      <c r="AZ20" s="17" t="n"/>
      <c r="BA20" s="17" t="n"/>
      <c r="BB20" s="17" t="n"/>
    </row>
    <row r="21" ht="121.5" customHeight="1">
      <c r="A21" s="17" t="inlineStr">
        <is>
          <t>RAG-027</t>
        </is>
      </c>
      <c r="B21" s="17" t="inlineStr">
        <is>
          <t>04 Generation</t>
        </is>
      </c>
      <c r="C21" s="17" t="inlineStr">
        <is>
          <t>Intermediate</t>
        </is>
      </c>
      <c r="D21" s="17" t="n">
        <v>27</v>
      </c>
      <c r="E21" s="17" t="inlineStr">
        <is>
          <t>Claude knowledge</t>
        </is>
      </c>
      <c r="F21" s="18" t="inlineStr">
        <is>
          <t>Handling no answer</t>
        </is>
      </c>
      <c r="G21" s="18" t="inlineStr">
        <is>
          <t>What should the system do when the sources do not contain the answer?</t>
        </is>
      </c>
      <c r="H21" s="18" t="inlineStr">
        <is>
          <t>Core concept</t>
        </is>
      </c>
      <c r="I21" s="18" t="inlineStr">
        <is>
          <t>Very high</t>
        </is>
      </c>
      <c r="J21" s="18" t="n">
        <v>5</v>
      </c>
      <c r="K21" s="18" t="inlineStr">
        <is>
          <t>Models tend to answer anyway, so systems must make it safe and normal to say the answer was not found.</t>
        </is>
      </c>
      <c r="L21" s="18" t="inlineStr">
        <is>
          <t>Test with questions that have no answer, since they reveal hallucination.</t>
        </is>
      </c>
      <c r="M21" s="18" t="inlineStr">
        <is>
          <t>A good librarian says I could not find that, instead of making something up.</t>
        </is>
      </c>
      <c r="N21" s="18" t="inlineStr">
        <is>
          <t>A question with empty retrieval and a polite not found message.</t>
        </is>
      </c>
      <c r="O21" s="18" t="inlineStr">
        <is>
          <t>The comfort of answers that are honest.</t>
        </is>
      </c>
      <c r="P21" s="18" t="inlineStr">
        <is>
          <t>No-answer handling instructs and checks the model to say it cannot find the information when retrieved sources do not support an answer, and offers next steps such as rephrasing or contacting a person.</t>
        </is>
      </c>
      <c r="Q21" s="17" t="n"/>
      <c r="R21" s="18" t="inlineStr">
        <is>
          <t>Add a rule to the prompt, use retrieval score thresholds to detect weak evidence, and test with out-of-scope questions. The reply should be helpful, such as suggesting related topics or a human contact. Do not let the model fall back on its own memory for facts that must come from documents. Track the rate of no-answer results, since high rates reveal content gaps.</t>
        </is>
      </c>
      <c r="S21" s="18" t="inlineStr">
        <is>
          <t>Detect weak evidence, say so honestly, and offer next steps.</t>
        </is>
      </c>
      <c r="T21" s="18" t="inlineStr">
        <is>
          <t>A good librarian says I could not find that, instead of making something up.</t>
        </is>
      </c>
      <c r="U21" s="18" t="inlineStr">
        <is>
          <t>Weak evidence → honest not found plus help.</t>
        </is>
      </c>
      <c r="V21" s="18" t="inlineStr">
        <is>
          <t>I could not find that in the policy, but here is the support contact.</t>
        </is>
      </c>
      <c r="W21" s="18" t="inlineStr">
        <is>
          <t>A threshold below which no answer is attempted.</t>
        </is>
      </c>
      <c r="X21" s="18" t="inlineStr">
        <is>
          <t>A report of top unanswered questions.</t>
        </is>
      </c>
      <c r="Y21" s="18" t="inlineStr">
        <is>
          <t>hallucination, building the prompt, evaluating retrieval, human review</t>
        </is>
      </c>
      <c r="Z21" s="18" t="inlineStr">
        <is>
          <t>no answer, threshold, refusal, content gap, fallback</t>
        </is>
      </c>
      <c r="AA21" s="18" t="inlineStr">
        <is>
          <t>Support bots | Compliance | Knowledge bases</t>
        </is>
      </c>
      <c r="AB21" s="18" t="inlineStr">
        <is>
          <t>A: The bot answers questions outside our documents. | B: Add a rule and test out-of-scope questions.</t>
        </is>
      </c>
      <c r="AC21" s="18" t="inlineStr">
        <is>
          <t>✗ A helpful bot should always give some answer → ✓ A wrong answer is worse than an honest not found</t>
        </is>
      </c>
      <c r="AD21" s="18" t="inlineStr">
        <is>
          <t>Not found vs wrong answer: honest limits build trust, invented answers destroy it.</t>
        </is>
      </c>
      <c r="AE21" s="18" t="inlineStr">
        <is>
          <t>Do not let the model answer from memory when sources are empty.</t>
        </is>
      </c>
      <c r="AF21" s="18" t="inlineStr">
        <is>
          <t>Honest not found beats a confident guess.</t>
        </is>
      </c>
      <c r="AG21" s="18" t="inlineStr">
        <is>
          <t>Reporting unanswered questions showed which documents to add.</t>
        </is>
      </c>
      <c r="AH21" s="18" t="inlineStr">
        <is>
          <t>An interviewer may ask: How do you handle questions with no answer in the documents?</t>
        </is>
      </c>
      <c r="AI21" s="18" t="inlineStr">
        <is>
          <t>It is like a librarian who admits not finding a book.</t>
        </is>
      </c>
      <c r="AJ21" s="18" t="inlineStr">
        <is>
          <t>What reveals content gaps?</t>
        </is>
      </c>
      <c r="AK21" s="18" t="inlineStr">
        <is>
          <t>A) Shorter prompts B) A log of unanswered questions C) Faster servers D) Larger fonts</t>
        </is>
      </c>
      <c r="AL21" s="18" t="inlineStr">
        <is>
          <t>B</t>
        </is>
      </c>
      <c r="AM21" s="18" t="inlineStr">
        <is>
          <t>Repeated not found results show what is missing.</t>
        </is>
      </c>
      <c r="AN21" s="18" t="inlineStr">
        <is>
          <t>A minimum evidence score for answering is a ____ → threshold</t>
        </is>
      </c>
      <c r="AO21" s="18" t="inlineStr">
        <is>
          <t>A question has no support in the documents. What should the bot do? → Say it cannot find it and offer help</t>
        </is>
      </c>
      <c r="AP21" s="18" t="inlineStr">
        <is>
          <t>Explain no-answer handling in three lines.</t>
        </is>
      </c>
      <c r="AQ21" s="18" t="inlineStr">
        <is>
          <t>Write five out-of-scope questions to test the bot.</t>
        </is>
      </c>
      <c r="AR21" s="17">
        <f>IF(J21="","",REPT("★",J21)&amp;REPT("☆",5-J21)&amp;" ("&amp;J21&amp;"/5)")</f>
        <v/>
      </c>
      <c r="AS21" s="17">
        <f>IF(Q21="","","Meaning: "&amp;Q21&amp;"  =  ______   (Answer: "&amp;F21&amp;")")</f>
        <v/>
      </c>
      <c r="AT21" s="17" t="inlineStr">
        <is>
          <t>New</t>
        </is>
      </c>
      <c r="AU21" s="17" t="n"/>
      <c r="AV21" s="17" t="n"/>
      <c r="AW21" s="17" t="n"/>
      <c r="AX21" s="17" t="n"/>
      <c r="AY21" s="17" t="n"/>
      <c r="AZ21" s="17" t="n"/>
      <c r="BA21" s="17" t="n"/>
      <c r="BB21" s="17" t="n"/>
    </row>
    <row r="22" ht="94.5" customHeight="1">
      <c r="A22" s="17" t="inlineStr">
        <is>
          <t>RAG-028</t>
        </is>
      </c>
      <c r="B22" s="17" t="inlineStr">
        <is>
          <t>04 Generation</t>
        </is>
      </c>
      <c r="C22" s="17" t="inlineStr">
        <is>
          <t>Intermediate</t>
        </is>
      </c>
      <c r="D22" s="17" t="n">
        <v>28</v>
      </c>
      <c r="E22" s="17" t="inlineStr">
        <is>
          <t>Claude knowledge</t>
        </is>
      </c>
      <c r="F22" s="18" t="inlineStr">
        <is>
          <t>Context limits</t>
        </is>
      </c>
      <c r="G22" s="18" t="inlineStr">
        <is>
          <t>How do you fit evidence, history and instructions into the context window?</t>
        </is>
      </c>
      <c r="H22" s="18" t="inlineStr">
        <is>
          <t>Core concept</t>
        </is>
      </c>
      <c r="I22" s="18" t="inlineStr">
        <is>
          <t>High</t>
        </is>
      </c>
      <c r="J22" s="18" t="n">
        <v>4</v>
      </c>
      <c r="K22" s="18" t="inlineStr">
        <is>
          <t>The window is finite, so evidence competes with history and instructions for space.</t>
        </is>
      </c>
      <c r="L22" s="18" t="inlineStr">
        <is>
          <t>Budget tokens for each part, and drop the lowest-ranked evidence first.</t>
        </is>
      </c>
      <c r="M22" s="18" t="inlineStr">
        <is>
          <t>Context limits are the size of the table where you lay out evidence cards.</t>
        </is>
      </c>
      <c r="N22" s="18" t="inlineStr">
        <is>
          <t>A table divided into rules, history, sources and answer space.</t>
        </is>
      </c>
      <c r="O22" s="18" t="inlineStr">
        <is>
          <t>The discipline of fitting only what matters.</t>
        </is>
      </c>
      <c r="P22" s="18" t="inlineStr">
        <is>
          <t>Context limits require a token budget that divides the window between instructions, conversation history, retrieved chunks and reserved output space, and trimming rules when the total is too large.</t>
        </is>
      </c>
      <c r="Q22" s="17" t="n"/>
      <c r="R22" s="18" t="inlineStr">
        <is>
          <t>Count tokens for fixed parts, reserve room for the answer, and fill the rest with the best chunks. If chunks are large, fewer fit. Summarise history. Avoid padding with weak evidence. Longer contexts cost more and may reduce focus on details. Monitor the average prompt size and trim rate.</t>
        </is>
      </c>
      <c r="S22" s="18" t="inlineStr">
        <is>
          <t>Make a token budget, keep the best evidence, and trim the rest.</t>
        </is>
      </c>
      <c r="T22" s="18" t="inlineStr">
        <is>
          <t>Context limits are the size of the table where you lay out evidence cards.</t>
        </is>
      </c>
      <c r="U22" s="18" t="inlineStr">
        <is>
          <t>Window = rules + history + evidence + answer reserve.</t>
        </is>
      </c>
      <c r="V22" s="18" t="inlineStr">
        <is>
          <t>Ten chunks reduced to five to fit.</t>
        </is>
      </c>
      <c r="W22" s="18" t="inlineStr">
        <is>
          <t>History summarised to save space.</t>
        </is>
      </c>
      <c r="X22" s="18" t="inlineStr">
        <is>
          <t>A reserve of 1000 tokens for the answer.</t>
        </is>
      </c>
      <c r="Y22" s="18" t="inlineStr">
        <is>
          <t>context window, top-k, token budgeting, chat memory</t>
        </is>
      </c>
      <c r="Z22" s="18" t="inlineStr">
        <is>
          <t>budget, trim, reserve, window, priority</t>
        </is>
      </c>
      <c r="AA22" s="18" t="inlineStr">
        <is>
          <t>Prompt design | Cost control | Long chats</t>
        </is>
      </c>
      <c r="AB22" s="18" t="inlineStr">
        <is>
          <t>A: Requests fail with a context error on long chats. | B: Budget tokens and summarise old turns.</t>
        </is>
      </c>
      <c r="AC22" s="18" t="inlineStr">
        <is>
          <t>✗ Filling the window gives the best answers → ✓ Extra weak text can distract the model</t>
        </is>
      </c>
      <c r="AD22" s="18" t="inlineStr">
        <is>
          <t>Budget vs window: the window is the limit, the budget is the plan.</t>
        </is>
      </c>
      <c r="AE22" s="18" t="inlineStr">
        <is>
          <t>Do not forget to reserve output space.</t>
        </is>
      </c>
      <c r="AF22" s="18" t="inlineStr">
        <is>
          <t>Always reserve room for the answer first.</t>
        </is>
      </c>
      <c r="AG22" s="18" t="inlineStr">
        <is>
          <t>A token budget stopped context errors in a long support chat.</t>
        </is>
      </c>
      <c r="AH22" s="18" t="inlineStr">
        <is>
          <t>An interviewer may ask: How do you handle too much retrieved text?</t>
        </is>
      </c>
      <c r="AI22" s="18" t="inlineStr">
        <is>
          <t>It is like the size of a table.</t>
        </is>
      </c>
      <c r="AJ22" s="18" t="inlineStr">
        <is>
          <t>What is reserved in the budget?</t>
        </is>
      </c>
      <c r="AK22" s="18" t="inlineStr">
        <is>
          <t>A) Space for ads B) Nothing C) Space for the answer D) Space for passwords</t>
        </is>
      </c>
      <c r="AL22" s="18" t="inlineStr">
        <is>
          <t>C</t>
        </is>
      </c>
      <c r="AM22" s="18" t="inlineStr">
        <is>
          <t>The model needs room to write.</t>
        </is>
      </c>
      <c r="AN22" s="18" t="inlineStr">
        <is>
          <t>Removing the least important text to fit is ____ → trimming</t>
        </is>
      </c>
      <c r="AO22" s="18" t="inlineStr">
        <is>
          <t>Retrieved chunks do not fit the window. What do you drop? → The lowest-ranked ones</t>
        </is>
      </c>
      <c r="AP22" s="18" t="inlineStr">
        <is>
          <t>Explain context limits in RAG in three lines.</t>
        </is>
      </c>
      <c r="AQ22" s="18" t="inlineStr">
        <is>
          <t>Make a token budget for a 16 thousand token window.</t>
        </is>
      </c>
      <c r="AR22" s="17">
        <f>IF(J22="","",REPT("★",J22)&amp;REPT("☆",5-J22)&amp;" ("&amp;J22&amp;"/5)")</f>
        <v/>
      </c>
      <c r="AS22" s="17">
        <f>IF(Q22="","","Meaning: "&amp;Q22&amp;"  =  ______   (Answer: "&amp;F22&amp;")")</f>
        <v/>
      </c>
      <c r="AT22" s="17" t="inlineStr">
        <is>
          <t>New</t>
        </is>
      </c>
      <c r="AU22" s="17" t="n"/>
      <c r="AV22" s="17" t="n"/>
      <c r="AW22" s="17" t="n"/>
      <c r="AX22" s="17" t="n"/>
      <c r="AY22" s="17" t="n"/>
      <c r="AZ22" s="17" t="n"/>
      <c r="BA22" s="17" t="n"/>
      <c r="BB22" s="17" t="n"/>
    </row>
    <row r="23" ht="121.5" customHeight="1">
      <c r="A23" s="17" t="inlineStr">
        <is>
          <t>RAG-029</t>
        </is>
      </c>
      <c r="B23" s="17" t="inlineStr">
        <is>
          <t>04 Generation</t>
        </is>
      </c>
      <c r="C23" s="17" t="inlineStr">
        <is>
          <t>Advanced</t>
        </is>
      </c>
      <c r="D23" s="17" t="n">
        <v>29</v>
      </c>
      <c r="E23" s="17" t="inlineStr">
        <is>
          <t>Claude knowledge</t>
        </is>
      </c>
      <c r="F23" s="18" t="inlineStr">
        <is>
          <t>Faithfulness</t>
        </is>
      </c>
      <c r="G23" s="18" t="inlineStr">
        <is>
          <t>How do you check that the answer says only what the sources support?</t>
        </is>
      </c>
      <c r="H23" s="18" t="inlineStr">
        <is>
          <t>Core concept</t>
        </is>
      </c>
      <c r="I23" s="18" t="inlineStr">
        <is>
          <t>Very high</t>
        </is>
      </c>
      <c r="J23" s="18" t="n">
        <v>5</v>
      </c>
      <c r="K23" s="18" t="inlineStr">
        <is>
          <t>A fluent answer can add claims that are not in the sources, so faithfulness measures whether each claim is supported.</t>
        </is>
      </c>
      <c r="L23" s="18" t="inlineStr">
        <is>
          <t>Check claims one by one against the sources, using a judge model or rules plus human review.</t>
        </is>
      </c>
      <c r="M23" s="18" t="inlineStr">
        <is>
          <t>Faithfulness is checking every sentence of an answer against the cited pages.</t>
        </is>
      </c>
      <c r="N23" s="18" t="inlineStr">
        <is>
          <t>Claims in an answer linked to supporting passages or flagged.</t>
        </is>
      </c>
      <c r="O23" s="18" t="inlineStr">
        <is>
          <t>The assurance that nothing was invented.</t>
        </is>
      </c>
      <c r="P23" s="18" t="inlineStr">
        <is>
          <t>Faithfulness, also called groundedness, is the degree to which every claim in the generated answer is supported by the retrieved sources, and is measured by checking claims against the evidence.</t>
        </is>
      </c>
      <c r="Q23" s="17" t="n"/>
      <c r="R23" s="18" t="inlineStr">
        <is>
          <t>Methods split the answer into claims and ask whether each is entailed by the sources, using a judge model, natural language inference or manual review. Unsupported claims are flagged or blocked. Faithfulness differs from correctness, since sources may be wrong, and from relevance, since a faithful answer may not address the question. Track it in evaluation and monitoring.</t>
        </is>
      </c>
      <c r="S23" s="18" t="inlineStr">
        <is>
          <t>Break the answer into claims and check each against the sources.</t>
        </is>
      </c>
      <c r="T23" s="18" t="inlineStr">
        <is>
          <t>Faithfulness is checking every sentence of an answer against the cited pages.</t>
        </is>
      </c>
      <c r="U23" s="18" t="inlineStr">
        <is>
          <t>Supported claims ÷ total claims.</t>
        </is>
      </c>
      <c r="V23" s="18" t="inlineStr">
        <is>
          <t>An answer with one invented number flagged.</t>
        </is>
      </c>
      <c r="W23" s="18" t="inlineStr">
        <is>
          <t>A judge scoring support for each claim.</t>
        </is>
      </c>
      <c r="X23" s="18" t="inlineStr">
        <is>
          <t>A blocked answer with unsupported claims.</t>
        </is>
      </c>
      <c r="Y23" s="18" t="inlineStr">
        <is>
          <t>hallucination, citations, evaluation, human review</t>
        </is>
      </c>
      <c r="Z23" s="18" t="inlineStr">
        <is>
          <t>faithfulness, groundedness, entailment, claim, judge</t>
        </is>
      </c>
      <c r="AA23" s="18" t="inlineStr">
        <is>
          <t>Evaluation | Monitoring | Quality gates</t>
        </is>
      </c>
      <c r="AB23" s="18" t="inlineStr">
        <is>
          <t>A: The sources say seven days but the answer says ten. | B: That claim is unfaithful, so flag it.</t>
        </is>
      </c>
      <c r="AC23" s="18" t="inlineStr">
        <is>
          <t>✗ A faithful answer is always correct → ✓ It matches the sources, which may themselves be wrong or outdated</t>
        </is>
      </c>
      <c r="AD23" s="18" t="inlineStr">
        <is>
          <t>Faithfulness vs relevance: support versus answering the question.</t>
        </is>
      </c>
      <c r="AE23" s="18" t="inlineStr">
        <is>
          <t>Do not measure only whether an answer sounds good.</t>
        </is>
      </c>
      <c r="AF23" s="18" t="inlineStr">
        <is>
          <t>Every single claim needs real support.</t>
        </is>
      </c>
      <c r="AG23" s="18" t="inlineStr">
        <is>
          <t>Claim-level checks caught invented numbers that readers had missed.</t>
        </is>
      </c>
      <c r="AH23" s="18" t="inlineStr">
        <is>
          <t>An interviewer may ask: How do you measure faithfulness?</t>
        </is>
      </c>
      <c r="AI23" s="18" t="inlineStr">
        <is>
          <t>It is like checking every sentence against the page.</t>
        </is>
      </c>
      <c r="AJ23" s="18" t="inlineStr">
        <is>
          <t>What does faithfulness measure?</t>
        </is>
      </c>
      <c r="AK23" s="18" t="inlineStr">
        <is>
          <t>A) Support of claims by sources B) Length C) Speed D) Style</t>
        </is>
      </c>
      <c r="AL23" s="18" t="inlineStr">
        <is>
          <t>A</t>
        </is>
      </c>
      <c r="AM23" s="18" t="inlineStr">
        <is>
          <t>It checks grounding of claims.</t>
        </is>
      </c>
      <c r="AN23" s="18" t="inlineStr">
        <is>
          <t>Another word for faithfulness is ____ → groundedness</t>
        </is>
      </c>
      <c r="AO23" s="18" t="inlineStr">
        <is>
          <t>An answer includes a number absent from the sources. What do you flag? → An unfaithful claim</t>
        </is>
      </c>
      <c r="AP23" s="18" t="inlineStr">
        <is>
          <t>Explain faithfulness in three lines.</t>
        </is>
      </c>
      <c r="AQ23" s="18" t="inlineStr">
        <is>
          <t>List how you would test faithfulness on ten answers.</t>
        </is>
      </c>
      <c r="AR23" s="17">
        <f>IF(J23="","",REPT("★",J23)&amp;REPT("☆",5-J23)&amp;" ("&amp;J23&amp;"/5)")</f>
        <v/>
      </c>
      <c r="AS23" s="17">
        <f>IF(Q23="","","Meaning: "&amp;Q23&amp;"  =  ______   (Answer: "&amp;F23&amp;")")</f>
        <v/>
      </c>
      <c r="AT23" s="17" t="inlineStr">
        <is>
          <t>New</t>
        </is>
      </c>
      <c r="AU23" s="17" t="n"/>
      <c r="AV23" s="17" t="n"/>
      <c r="AW23" s="17" t="n"/>
      <c r="AX23" s="17" t="n"/>
      <c r="AY23" s="17" t="n"/>
      <c r="AZ23" s="17" t="n"/>
      <c r="BA23" s="17" t="n"/>
      <c r="BB23" s="17" t="n"/>
    </row>
    <row r="24" ht="94.5" customHeight="1">
      <c r="A24" s="17" t="inlineStr">
        <is>
          <t>RAG-030</t>
        </is>
      </c>
      <c r="B24" s="17" t="inlineStr">
        <is>
          <t>04 Generation</t>
        </is>
      </c>
      <c r="C24" s="17" t="inlineStr">
        <is>
          <t>Beginner</t>
        </is>
      </c>
      <c r="D24" s="17" t="n">
        <v>30</v>
      </c>
      <c r="E24" s="17" t="inlineStr">
        <is>
          <t>Claude knowledge</t>
        </is>
      </c>
      <c r="F24" s="18" t="inlineStr">
        <is>
          <t>Answer style</t>
        </is>
      </c>
      <c r="G24" s="18" t="inlineStr">
        <is>
          <t>How do you control tone, length and format of RAG answers?</t>
        </is>
      </c>
      <c r="H24" s="18" t="inlineStr">
        <is>
          <t>Core concept</t>
        </is>
      </c>
      <c r="I24" s="18" t="inlineStr">
        <is>
          <t>High</t>
        </is>
      </c>
      <c r="J24" s="18" t="n">
        <v>4</v>
      </c>
      <c r="K24" s="18" t="inlineStr">
        <is>
          <t>Users need answers that suit their situation, so style rules are part of the prompt.</t>
        </is>
      </c>
      <c r="L24" s="18" t="inlineStr">
        <is>
          <t>Write the style rules once in the system prompt and test them with examples.</t>
        </is>
      </c>
      <c r="M24" s="18" t="inlineStr">
        <is>
          <t>Answer style is the uniform and manner of the support agent.</t>
        </is>
      </c>
      <c r="N24" s="18" t="inlineStr">
        <is>
          <t>Two answers to one question, one short and plain, one long and formal.</t>
        </is>
      </c>
      <c r="O24" s="18" t="inlineStr">
        <is>
          <t>The polish of replies that stay consistent.</t>
        </is>
      </c>
      <c r="P24" s="18" t="inlineStr">
        <is>
          <t>Answer style rules specify tone, length, structure, language, level of detail and when to show sources, so responses are consistent and fit the audience.</t>
        </is>
      </c>
      <c r="Q24" s="17" t="n"/>
      <c r="R24" s="18" t="inlineStr">
        <is>
          <t>Typical rules are short answers first with details after, bullet steps for procedures, plain language for customers, and the user's language. Include citations in a fixed format. Offer follow-up options. Avoid revealing internal notes. Test with many question types and review samples for tone.</t>
        </is>
      </c>
      <c r="S24" s="18" t="inlineStr">
        <is>
          <t>Set tone, length and format rules, and test them on samples.</t>
        </is>
      </c>
      <c r="T24" s="18" t="inlineStr">
        <is>
          <t>Answer style is the uniform and manner of the support agent.</t>
        </is>
      </c>
      <c r="U24" s="18" t="inlineStr">
        <is>
          <t>Tone + length + structure + language.</t>
        </is>
      </c>
      <c r="V24" s="18" t="inlineStr">
        <is>
          <t>Answer in two sentences, then offer details.</t>
        </is>
      </c>
      <c r="W24" s="18" t="inlineStr">
        <is>
          <t>Steps as a numbered list.</t>
        </is>
      </c>
      <c r="X24" s="18" t="inlineStr">
        <is>
          <t>Reply in the user's language.</t>
        </is>
      </c>
      <c r="Y24" s="18" t="inlineStr">
        <is>
          <t>system prompts, output format, citations, evaluation</t>
        </is>
      </c>
      <c r="Z24" s="18" t="inlineStr">
        <is>
          <t>tone, format, length, language, audience</t>
        </is>
      </c>
      <c r="AA24" s="18" t="inlineStr">
        <is>
          <t>Customer bots | Internal assistants | Documentation tools</t>
        </is>
      </c>
      <c r="AB24" s="18" t="inlineStr">
        <is>
          <t>A: The answers are too long for chat. | B: Add a rule for two sentences first and offer details.</t>
        </is>
      </c>
      <c r="AC24" s="18" t="inlineStr">
        <is>
          <t>✗ Style does not affect trust → ✓ Clear, consistent style makes answers easier to trust and use</t>
        </is>
      </c>
      <c r="AD24" s="18" t="inlineStr">
        <is>
          <t>Content vs style: what is said versus how it is said.</t>
        </is>
      </c>
      <c r="AE24" s="18" t="inlineStr">
        <is>
          <t>Do not allow answers to expose internal notes.</t>
        </is>
      </c>
      <c r="AF24" s="18" t="inlineStr">
        <is>
          <t>Short first, details on request.</t>
        </is>
      </c>
      <c r="AG24" s="18" t="inlineStr">
        <is>
          <t>A short-first style rule raised satisfaction scores for a chat assistant.</t>
        </is>
      </c>
      <c r="AH24" s="18" t="inlineStr">
        <is>
          <t>An interviewer may ask: How do you keep RAG answers consistent?</t>
        </is>
      </c>
      <c r="AI24" s="18" t="inlineStr">
        <is>
          <t>It is like the manner of a support agent.</t>
        </is>
      </c>
      <c r="AJ24" s="18" t="inlineStr">
        <is>
          <t>Where should style rules be stored?</t>
        </is>
      </c>
      <c r="AK24" s="18" t="inlineStr">
        <is>
          <t>A) In the logs B) In the browser C) In the database only D) In the system prompt</t>
        </is>
      </c>
      <c r="AL24" s="18" t="inlineStr">
        <is>
          <t>D</t>
        </is>
      </c>
      <c r="AM24" s="18" t="inlineStr">
        <is>
          <t>They apply to every answer.</t>
        </is>
      </c>
      <c r="AN24" s="18" t="inlineStr">
        <is>
          <t>The way something is said is its ____ → style</t>
        </is>
      </c>
      <c r="AO24" s="18" t="inlineStr">
        <is>
          <t>Answers are too long for a chat window. What do you add? → A length and structure rule</t>
        </is>
      </c>
      <c r="AP24" s="18" t="inlineStr">
        <is>
          <t>Explain answer style in three lines.</t>
        </is>
      </c>
      <c r="AQ24" s="18" t="inlineStr">
        <is>
          <t>Write style rules for a customer support bot.</t>
        </is>
      </c>
      <c r="AR24" s="17">
        <f>IF(J24="","",REPT("★",J24)&amp;REPT("☆",5-J24)&amp;" ("&amp;J24&amp;"/5)")</f>
        <v/>
      </c>
      <c r="AS24" s="17">
        <f>IF(Q24="","","Meaning: "&amp;Q24&amp;"  =  ______   (Answer: "&amp;F24&amp;")")</f>
        <v/>
      </c>
      <c r="AT24" s="17" t="inlineStr">
        <is>
          <t>New</t>
        </is>
      </c>
      <c r="AU24" s="17" t="n"/>
      <c r="AV24" s="17" t="n"/>
      <c r="AW24" s="17" t="n"/>
      <c r="AX24" s="17" t="n"/>
      <c r="AY24" s="17" t="n"/>
      <c r="AZ24" s="17" t="n"/>
      <c r="BA24" s="17" t="n"/>
      <c r="BB24" s="17" t="n"/>
    </row>
    <row r="25" ht="108" customHeight="1">
      <c r="A25" s="17" t="inlineStr">
        <is>
          <t>RAG-031</t>
        </is>
      </c>
      <c r="B25" s="17" t="inlineStr">
        <is>
          <t>05 Operations</t>
        </is>
      </c>
      <c r="C25" s="17" t="inlineStr">
        <is>
          <t>Advanced</t>
        </is>
      </c>
      <c r="D25" s="17" t="n">
        <v>31</v>
      </c>
      <c r="E25" s="17" t="inlineStr">
        <is>
          <t>Claude knowledge</t>
        </is>
      </c>
      <c r="F25" s="18" t="inlineStr">
        <is>
          <t>Access control per user</t>
        </is>
      </c>
      <c r="G25" s="18" t="inlineStr">
        <is>
          <t>How do you make sure each user can retrieve only documents they may see?</t>
        </is>
      </c>
      <c r="H25" s="18" t="inlineStr">
        <is>
          <t>Core concept</t>
        </is>
      </c>
      <c r="I25" s="18" t="inlineStr">
        <is>
          <t>Very high</t>
        </is>
      </c>
      <c r="J25" s="18" t="n">
        <v>5</v>
      </c>
      <c r="K25" s="18" t="inlineStr">
        <is>
          <t>Enterprise documents have permissions, and a RAG system that ignores them can leak confidential content.</t>
        </is>
      </c>
      <c r="L25" s="18" t="inlineStr">
        <is>
          <t>Enforce permissions in retrieval using the user's identity, never in the prompt.</t>
        </is>
      </c>
      <c r="M25" s="18" t="inlineStr">
        <is>
          <t>Access control is a guard who checks each book's label against your badge before fetching it.</t>
        </is>
      </c>
      <c r="N25" s="18" t="inlineStr">
        <is>
          <t>A user badge matched against chunk permission labels.</t>
        </is>
      </c>
      <c r="O25" s="18" t="inlineStr">
        <is>
          <t>The responsibility of protecting confidential data.</t>
        </is>
      </c>
      <c r="P25" s="18" t="inlineStr">
        <is>
          <t>Per-user access control stores permission information with each chunk, such as allowed users, groups or tenants, and filters retrieval by the authenticated user's identity so unauthorised content is never fetched or shown.</t>
        </is>
      </c>
      <c r="Q25" s="17" t="n"/>
      <c r="R25" s="18" t="inlineStr">
        <is>
          <t>Copy permissions from the source system during ingestion and keep them updated. Filter inside the retrieval query using identity from the session. Do not rely on prompts to hide content, since the model has already seen it. Test with users of different rights. Permission changes must propagate quickly, and caches must be keyed by user or group.</t>
        </is>
      </c>
      <c r="S25" s="18" t="inlineStr">
        <is>
          <t>Store permissions with chunks, filter by the real user in the query, and test it.</t>
        </is>
      </c>
      <c r="T25" s="18" t="inlineStr">
        <is>
          <t>Access control is a guard who checks each book's label against your badge before fetching it.</t>
        </is>
      </c>
      <c r="U25" s="18" t="inlineStr">
        <is>
          <t>Identity from the session + permissions on chunks + filter in the query.</t>
        </is>
      </c>
      <c r="V25" s="18" t="inlineStr">
        <is>
          <t>A chunk labelled for the finance group only.</t>
        </is>
      </c>
      <c r="W25" s="18" t="inlineStr">
        <is>
          <t>Two users asking the same question and getting different evidence.</t>
        </is>
      </c>
      <c r="X25" s="18" t="inlineStr">
        <is>
          <t>A permission change reflected within minutes.</t>
        </is>
      </c>
      <c r="Y25" s="18" t="inlineStr">
        <is>
          <t>metadata, retrieval filters, multi-tenant data, caching</t>
        </is>
      </c>
      <c r="Z25" s="18" t="inlineStr">
        <is>
          <t>permission, identity, group, filter, ACL</t>
        </is>
      </c>
      <c r="AA25" s="18" t="inlineStr">
        <is>
          <t>Enterprise RAG | Confidential data | Compliance</t>
        </is>
      </c>
      <c r="AB25" s="18" t="inlineStr">
        <is>
          <t>A: Can the prompt tell the model not to show HR files? | B: No, filter them out in retrieval.</t>
        </is>
      </c>
      <c r="AC25" s="18" t="inlineStr">
        <is>
          <t>✗ Telling the model to hide restricted content is enough → ✓ Restricted content must never be retrieved</t>
        </is>
      </c>
      <c r="AD25" s="18" t="inlineStr">
        <is>
          <t>Prompt rule vs retrieval filter: one asks, the other enforces.</t>
        </is>
      </c>
      <c r="AE25" s="18" t="inlineStr">
        <is>
          <t>Do not put restricted text in the prompt.</t>
        </is>
      </c>
      <c r="AF25" s="18" t="inlineStr">
        <is>
          <t>Never retrieve what the user may not see.</t>
        </is>
      </c>
      <c r="AG25" s="18" t="inlineStr">
        <is>
          <t>Syncing source permissions into chunk metadata closed a leak found in testing.</t>
        </is>
      </c>
      <c r="AH25" s="18" t="inlineStr">
        <is>
          <t>An interviewer may ask: How do you enforce document permissions in RAG?</t>
        </is>
      </c>
      <c r="AI25" s="18" t="inlineStr">
        <is>
          <t>It is like a guard checking labels against your badge.</t>
        </is>
      </c>
      <c r="AJ25" s="18" t="inlineStr">
        <is>
          <t>Where are permissions enforced?</t>
        </is>
      </c>
      <c r="AK25" s="18" t="inlineStr">
        <is>
          <t>A) In the answer B) In the prompt text only C) In the retrieval query D) Nowhere</t>
        </is>
      </c>
      <c r="AL25" s="18" t="inlineStr">
        <is>
          <t>C</t>
        </is>
      </c>
      <c r="AM25" s="18" t="inlineStr">
        <is>
          <t>Unauthorised text must not enter the prompt.</t>
        </is>
      </c>
      <c r="AN25" s="18" t="inlineStr">
        <is>
          <t>A record of which users or groups may open an item is often called an ACL, short for access control ____ → list</t>
        </is>
      </c>
      <c r="AO25" s="18" t="inlineStr">
        <is>
          <t>Users must see only their department's files. What do you add? → Permission filters in retrieval</t>
        </is>
      </c>
      <c r="AP25" s="18" t="inlineStr">
        <is>
          <t>Explain access control in RAG in three lines.</t>
        </is>
      </c>
      <c r="AQ25" s="18" t="inlineStr">
        <is>
          <t>Design a permission test with three users.</t>
        </is>
      </c>
      <c r="AR25" s="17">
        <f>IF(J25="","",REPT("★",J25)&amp;REPT("☆",5-J25)&amp;" ("&amp;J25&amp;"/5)")</f>
        <v/>
      </c>
      <c r="AS25" s="17">
        <f>IF(Q25="","","Meaning: "&amp;Q25&amp;"  =  ______   (Answer: "&amp;F25&amp;")")</f>
        <v/>
      </c>
      <c r="AT25" s="17" t="inlineStr">
        <is>
          <t>New</t>
        </is>
      </c>
      <c r="AU25" s="17" t="n"/>
      <c r="AV25" s="17" t="n"/>
      <c r="AW25" s="17" t="n"/>
      <c r="AX25" s="17" t="n"/>
      <c r="AY25" s="17" t="n"/>
      <c r="AZ25" s="17" t="n"/>
      <c r="BA25" s="17" t="n"/>
      <c r="BB25" s="17" t="n"/>
    </row>
    <row r="26" ht="108" customHeight="1">
      <c r="A26" s="17" t="inlineStr">
        <is>
          <t>RAG-032</t>
        </is>
      </c>
      <c r="B26" s="17" t="inlineStr">
        <is>
          <t>05 Operations</t>
        </is>
      </c>
      <c r="C26" s="17" t="inlineStr">
        <is>
          <t>Advanced</t>
        </is>
      </c>
      <c r="D26" s="17" t="n">
        <v>32</v>
      </c>
      <c r="E26" s="17" t="inlineStr">
        <is>
          <t>Claude knowledge</t>
        </is>
      </c>
      <c r="F26" s="18" t="inlineStr">
        <is>
          <t>Multi-tenant data</t>
        </is>
      </c>
      <c r="G26" s="18" t="inlineStr">
        <is>
          <t>How do you serve many customers from one RAG system without mixing their data?</t>
        </is>
      </c>
      <c r="H26" s="18" t="inlineStr">
        <is>
          <t>Core concept</t>
        </is>
      </c>
      <c r="I26" s="18" t="inlineStr">
        <is>
          <t>High</t>
        </is>
      </c>
      <c r="J26" s="18" t="n">
        <v>5</v>
      </c>
      <c r="K26" s="18" t="inlineStr">
        <is>
          <t>SaaS products host many customers, and one leak between them can end a business relationship.</t>
        </is>
      </c>
      <c r="L26" s="18" t="inlineStr">
        <is>
          <t>Make the tenant id mandatory in every query path and test isolation automatically.</t>
        </is>
      </c>
      <c r="M26" s="18" t="inlineStr">
        <is>
          <t>Multi-tenancy is an apartment block where every flat has its own locked door.</t>
        </is>
      </c>
      <c r="N26" s="18" t="inlineStr">
        <is>
          <t>Several tenants' data in one system separated by walls.</t>
        </is>
      </c>
      <c r="O26" s="18" t="inlineStr">
        <is>
          <t>The seriousness of keeping customers strictly isolated.</t>
        </is>
      </c>
      <c r="P26" s="18" t="inlineStr">
        <is>
          <t>Multi-tenant RAG keeps each customer's documents, chunks, vectors and caches separated by a tenant id enforced in storage and queries, or by separate indexes or databases for stronger isolation.</t>
        </is>
      </c>
      <c r="Q26" s="17" t="n"/>
      <c r="R26" s="18" t="inlineStr">
        <is>
          <t>Options are shared tables with a tenant column and row-level security, separate schemas, separate databases or separate collections. Stronger isolation costs more. Every path, including caches, logs and background jobs, must carry the tenant. Test with cross-tenant queries expecting zero leakage. Deleting a tenant must remove everything.</t>
        </is>
      </c>
      <c r="S26" s="18" t="inlineStr">
        <is>
          <t>Tag everything with the tenant, enforce it everywhere, and test for leaks.</t>
        </is>
      </c>
      <c r="T26" s="18" t="inlineStr">
        <is>
          <t>Multi-tenancy is an apartment block where every flat has its own locked door.</t>
        </is>
      </c>
      <c r="U26" s="18" t="inlineStr">
        <is>
          <t>Tenant id everywhere, enforced by the database.</t>
        </is>
      </c>
      <c r="V26" s="18" t="inlineStr">
        <is>
          <t>Row-level security on the chunks table.</t>
        </is>
      </c>
      <c r="W26" s="18" t="inlineStr">
        <is>
          <t>A separate database for a regulated customer.</t>
        </is>
      </c>
      <c r="X26" s="18" t="inlineStr">
        <is>
          <t>An automated cross-tenant leak test.</t>
        </is>
      </c>
      <c r="Y26" s="18" t="inlineStr">
        <is>
          <t>metadata, access control per user, retrieval filters, deleting data</t>
        </is>
      </c>
      <c r="Z26" s="18" t="inlineStr">
        <is>
          <t>tenant, isolation, row-level security, schema, leak</t>
        </is>
      </c>
      <c r="AA26" s="18" t="inlineStr">
        <is>
          <t>SaaS | Enterprise platforms | Customer projects</t>
        </is>
      </c>
      <c r="AB26" s="18" t="inlineStr">
        <is>
          <t>A: Can customer A ever see customer B's chunks? | B: Not with row-level security and tests proving it.</t>
        </is>
      </c>
      <c r="AC26" s="18" t="inlineStr">
        <is>
          <t>✗ A tenant column in code is enough → ✓ Enforce isolation in the database and test it</t>
        </is>
      </c>
      <c r="AD26" s="18" t="inlineStr">
        <is>
          <t>Shared vs separate storage: cheaper versus stronger isolation.</t>
        </is>
      </c>
      <c r="AE26" s="18" t="inlineStr">
        <is>
          <t>Do not rely on every query remembering the filter.</t>
        </is>
      </c>
      <c r="AF26" s="18" t="inlineStr">
        <is>
          <t>The database enforces it, tests prove it.</t>
        </is>
      </c>
      <c r="AG26" s="18" t="inlineStr">
        <is>
          <t>Row-level security made a missing filter in code harmless.</t>
        </is>
      </c>
      <c r="AH26" s="18" t="inlineStr">
        <is>
          <t>An interviewer may ask: How do you isolate tenants in a shared vector database?</t>
        </is>
      </c>
      <c r="AI26" s="18" t="inlineStr">
        <is>
          <t>It is like flats with locked doors.</t>
        </is>
      </c>
      <c r="AJ26" s="18" t="inlineStr">
        <is>
          <t>What gives strong database-level isolation?</t>
        </is>
      </c>
      <c r="AK26" s="18" t="inlineStr">
        <is>
          <t>A) A larger LIMIT B) Row-level security C) A comment D) A longer name</t>
        </is>
      </c>
      <c r="AL26" s="18" t="inlineStr">
        <is>
          <t>B</t>
        </is>
      </c>
      <c r="AM26" s="18" t="inlineStr">
        <is>
          <t>The database enforces it regardless of code.</t>
        </is>
      </c>
      <c r="AN26" s="18" t="inlineStr">
        <is>
          <t>A database feature that restricts rows per user is row-level ____ → security</t>
        </is>
      </c>
      <c r="AO26" s="18" t="inlineStr">
        <is>
          <t>A regulated customer needs the strongest isolation. What do you use? → A separate database</t>
        </is>
      </c>
      <c r="AP26" s="18" t="inlineStr">
        <is>
          <t>Explain multi-tenant RAG in three lines.</t>
        </is>
      </c>
      <c r="AQ26" s="18" t="inlineStr">
        <is>
          <t>Write an automated cross-tenant leak test plan.</t>
        </is>
      </c>
      <c r="AR26" s="17">
        <f>IF(J26="","",REPT("★",J26)&amp;REPT("☆",5-J26)&amp;" ("&amp;J26&amp;"/5)")</f>
        <v/>
      </c>
      <c r="AS26" s="17">
        <f>IF(Q26="","","Meaning: "&amp;Q26&amp;"  =  ______   (Answer: "&amp;F26&amp;")")</f>
        <v/>
      </c>
      <c r="AT26" s="17" t="inlineStr">
        <is>
          <t>New</t>
        </is>
      </c>
      <c r="AU26" s="17" t="n"/>
      <c r="AV26" s="17" t="n"/>
      <c r="AW26" s="17" t="n"/>
      <c r="AX26" s="17" t="n"/>
      <c r="AY26" s="17" t="n"/>
      <c r="AZ26" s="17" t="n"/>
      <c r="BA26" s="17" t="n"/>
      <c r="BB26" s="17" t="n"/>
    </row>
    <row r="27" ht="94.5" customHeight="1">
      <c r="A27" s="17" t="inlineStr">
        <is>
          <t>RAG-033</t>
        </is>
      </c>
      <c r="B27" s="17" t="inlineStr">
        <is>
          <t>05 Operations</t>
        </is>
      </c>
      <c r="C27" s="17" t="inlineStr">
        <is>
          <t>Intermediate</t>
        </is>
      </c>
      <c r="D27" s="17" t="n">
        <v>33</v>
      </c>
      <c r="E27" s="17" t="inlineStr">
        <is>
          <t>Claude knowledge</t>
        </is>
      </c>
      <c r="F27" s="18" t="inlineStr">
        <is>
          <t>Freshness</t>
        </is>
      </c>
      <c r="G27" s="18" t="inlineStr">
        <is>
          <t>How do you make sure answers reflect the latest documents?</t>
        </is>
      </c>
      <c r="H27" s="18" t="inlineStr">
        <is>
          <t>Core concept</t>
        </is>
      </c>
      <c r="I27" s="18" t="inlineStr">
        <is>
          <t>High</t>
        </is>
      </c>
      <c r="J27" s="18" t="n">
        <v>5</v>
      </c>
      <c r="K27" s="18" t="inlineStr">
        <is>
          <t>Stale answers erode trust, so freshness is measured and managed as a property of the system.</t>
        </is>
      </c>
      <c r="L27" s="18" t="inlineStr">
        <is>
          <t>Show the document date in citations so users can judge currency.</t>
        </is>
      </c>
      <c r="M27" s="18" t="inlineStr">
        <is>
          <t>Freshness is the expiry date on the food you serve.</t>
        </is>
      </c>
      <c r="N27" s="18" t="inlineStr">
        <is>
          <t>A timeline from document change to index update.</t>
        </is>
      </c>
      <c r="O27" s="18" t="inlineStr">
        <is>
          <t>The trust of answers that are always up to date.</t>
        </is>
      </c>
      <c r="P27" s="18" t="inlineStr">
        <is>
          <t>Freshness is the delay between a change in a source document and the moment it is reflected in retrieval, along with the rule for preferring newer versions over older ones.</t>
        </is>
      </c>
      <c r="Q27" s="17" t="n"/>
      <c r="R27" s="18" t="inlineStr">
        <is>
          <t>Measure lag from the modified time to the indexed time. Use webhooks or frequent syncs for important sources. Prefer the latest version, and mark or exclude superseded ones. Cached answers must be invalidated. Show dates to users. Alert when sync jobs fail, since silent failure leads to stale answers.</t>
        </is>
      </c>
      <c r="S27" s="18" t="inlineStr">
        <is>
          <t>Keep the lag small, prefer the latest versions, and alert on failed syncs.</t>
        </is>
      </c>
      <c r="T27" s="18" t="inlineStr">
        <is>
          <t>Freshness is the expiry date on the food you serve.</t>
        </is>
      </c>
      <c r="U27" s="18" t="inlineStr">
        <is>
          <t>Freshness lag = indexed time minus modified time.</t>
        </is>
      </c>
      <c r="V27" s="18" t="inlineStr">
        <is>
          <t>A policy change searchable within ten minutes.</t>
        </is>
      </c>
      <c r="W27" s="18" t="inlineStr">
        <is>
          <t>An alert when the sync is more than a day late.</t>
        </is>
      </c>
      <c r="X27" s="18" t="inlineStr">
        <is>
          <t>A superseded document excluded.</t>
        </is>
      </c>
      <c r="Y27" s="18" t="inlineStr">
        <is>
          <t>updating the index, deleting data, caching, monitoring</t>
        </is>
      </c>
      <c r="Z27" s="18" t="inlineStr">
        <is>
          <t>freshness, lag, sync, version, superseded</t>
        </is>
      </c>
      <c r="AA27" s="18" t="inlineStr">
        <is>
          <t>Policies | Pricing | Support</t>
        </is>
      </c>
      <c r="AB27" s="18" t="inlineStr">
        <is>
          <t>A: The bot gave last year's price. | B: The sync failed, so check freshness lag.</t>
        </is>
      </c>
      <c r="AC27" s="18" t="inlineStr">
        <is>
          <t>✗ Once indexed, answers stay correct → ✓ Documents change, so the index must keep up</t>
        </is>
      </c>
      <c r="AD27" s="18" t="inlineStr">
        <is>
          <t>Fresh vs stale: current versus outdated content.</t>
        </is>
      </c>
      <c r="AE27" s="18" t="inlineStr">
        <is>
          <t>Do not ignore failed sync jobs.</t>
        </is>
      </c>
      <c r="AF27" s="18" t="inlineStr">
        <is>
          <t>Measure the lag, alert on the gap.</t>
        </is>
      </c>
      <c r="AG27" s="18" t="inlineStr">
        <is>
          <t>A freshness alert caught a failed sync before customers saw wrong prices.</t>
        </is>
      </c>
      <c r="AH27" s="18" t="inlineStr">
        <is>
          <t>An interviewer may ask: How do you keep RAG answers current?</t>
        </is>
      </c>
      <c r="AI27" s="18" t="inlineStr">
        <is>
          <t>It is like an expiry date on food.</t>
        </is>
      </c>
      <c r="AJ27" s="18" t="inlineStr">
        <is>
          <t>How is freshness lag measured?</t>
        </is>
      </c>
      <c r="AK27" s="18" t="inlineStr">
        <is>
          <t>A) Token count B) Page count C) File size D) Indexed time minus modified time</t>
        </is>
      </c>
      <c r="AL27" s="18" t="inlineStr">
        <is>
          <t>D</t>
        </is>
      </c>
      <c r="AM27" s="18" t="inlineStr">
        <is>
          <t>It is the delay until the change is searchable.</t>
        </is>
      </c>
      <c r="AN27" s="18" t="inlineStr">
        <is>
          <t>A document replaced by a newer one is ____ → superseded</t>
        </is>
      </c>
      <c r="AO27" s="18" t="inlineStr">
        <is>
          <t>Answers show an old price list. What do you check? → The sync and freshness lag</t>
        </is>
      </c>
      <c r="AP27" s="18" t="inlineStr">
        <is>
          <t>Explain freshness in three lines.</t>
        </is>
      </c>
      <c r="AQ27" s="18" t="inlineStr">
        <is>
          <t>Set a freshness target and alert for a pricing document.</t>
        </is>
      </c>
      <c r="AR27" s="17">
        <f>IF(J27="","",REPT("★",J27)&amp;REPT("☆",5-J27)&amp;" ("&amp;J27&amp;"/5)")</f>
        <v/>
      </c>
      <c r="AS27" s="17">
        <f>IF(Q27="","","Meaning: "&amp;Q27&amp;"  =  ______   (Answer: "&amp;F27&amp;")")</f>
        <v/>
      </c>
      <c r="AT27" s="17" t="inlineStr">
        <is>
          <t>New</t>
        </is>
      </c>
      <c r="AU27" s="17" t="n"/>
      <c r="AV27" s="17" t="n"/>
      <c r="AW27" s="17" t="n"/>
      <c r="AX27" s="17" t="n"/>
      <c r="AY27" s="17" t="n"/>
      <c r="AZ27" s="17" t="n"/>
      <c r="BA27" s="17" t="n"/>
      <c r="BB27" s="17" t="n"/>
    </row>
    <row r="28" ht="121.5" customHeight="1">
      <c r="A28" s="17" t="inlineStr">
        <is>
          <t>RAG-034</t>
        </is>
      </c>
      <c r="B28" s="17" t="inlineStr">
        <is>
          <t>05 Operations</t>
        </is>
      </c>
      <c r="C28" s="17" t="inlineStr">
        <is>
          <t>Advanced</t>
        </is>
      </c>
      <c r="D28" s="17" t="n">
        <v>34</v>
      </c>
      <c r="E28" s="17" t="inlineStr">
        <is>
          <t>Claude knowledge</t>
        </is>
      </c>
      <c r="F28" s="18" t="inlineStr">
        <is>
          <t>Caching in RAG</t>
        </is>
      </c>
      <c r="G28" s="18" t="inlineStr">
        <is>
          <t>Which results can you reuse to save time and money, and what are the risks?</t>
        </is>
      </c>
      <c r="H28" s="18" t="inlineStr">
        <is>
          <t>Core concept</t>
        </is>
      </c>
      <c r="I28" s="18" t="inlineStr">
        <is>
          <t>Medium</t>
        </is>
      </c>
      <c r="J28" s="18" t="n">
        <v>4</v>
      </c>
      <c r="K28" s="18" t="inlineStr">
        <is>
          <t>Many questions repeat, so reusing embeddings, retrievals and answers lowers latency and cost.</t>
        </is>
      </c>
      <c r="L28" s="18" t="inlineStr">
        <is>
          <t>Key caches by user permissions and document versions, and expire them on changes.</t>
        </is>
      </c>
      <c r="M28" s="18" t="inlineStr">
        <is>
          <t>A cache is a notebook of answers already worked out, valid only while the books are unchanged.</t>
        </is>
      </c>
      <c r="N28" s="18" t="inlineStr">
        <is>
          <t>Layers of caches for embeddings, retrieval and answers.</t>
        </is>
      </c>
      <c r="O28" s="18" t="inlineStr">
        <is>
          <t>The pleasure of instant repeat answers.</t>
        </is>
      </c>
      <c r="P28" s="18" t="inlineStr">
        <is>
          <t>RAG caching stores results at several levels, such as query embeddings, retrieval results, model prompts and final answers, to avoid repeating work, and must respect permissions and document changes.</t>
        </is>
      </c>
      <c r="Q28" s="17" t="n"/>
      <c r="R28" s="18" t="inlineStr">
        <is>
          <t>Embedding caches are safe and save calls. Retrieval and answer caches need keys that include tenant, permission group and index version, otherwise users may see content they should not. Invalidate when documents change or are deleted. Semantic caches reuse answers for similar questions but risk wrong matches, so use strict thresholds. Prompt caching at the provider reduces input cost.</t>
        </is>
      </c>
      <c r="S28" s="18" t="inlineStr">
        <is>
          <t>Cache carefully with permissions and versions in the key, and invalidate on changes.</t>
        </is>
      </c>
      <c r="T28" s="18" t="inlineStr">
        <is>
          <t>A cache is a notebook of answers already worked out, valid only while the books are unchanged.</t>
        </is>
      </c>
      <c r="U28" s="18" t="inlineStr">
        <is>
          <t>Cache key = question + tenant + permissions + index version.</t>
        </is>
      </c>
      <c r="V28" s="18" t="inlineStr">
        <is>
          <t>Caching query embeddings.</t>
        </is>
      </c>
      <c r="W28" s="18" t="inlineStr">
        <is>
          <t>A cached answer cleared after a document update.</t>
        </is>
      </c>
      <c r="X28" s="18" t="inlineStr">
        <is>
          <t>A semantic cache with a strict similarity threshold.</t>
        </is>
      </c>
      <c r="Y28" s="18" t="inlineStr">
        <is>
          <t>access control per user, freshness, cost and latency, deleting data</t>
        </is>
      </c>
      <c r="Z28" s="18" t="inlineStr">
        <is>
          <t>cache, key, invalidation, semantic cache, version</t>
        </is>
      </c>
      <c r="AA28" s="18" t="inlineStr">
        <is>
          <t>High-traffic bots | Cost control | Latency tuning</t>
        </is>
      </c>
      <c r="AB28" s="18" t="inlineStr">
        <is>
          <t>A: Two users saw the same answer including private data. | B: The cache key ignored permissions.</t>
        </is>
      </c>
      <c r="AC28" s="18" t="inlineStr">
        <is>
          <t>✗ Caching answers is always safe → ✓ Without permissions and versions in the key, it can leak or serve stale content</t>
        </is>
      </c>
      <c r="AD28" s="18" t="inlineStr">
        <is>
          <t>Embedding cache vs answer cache: low risk versus higher risk.</t>
        </is>
      </c>
      <c r="AE28" s="18" t="inlineStr">
        <is>
          <t>Do not cache across users with different permissions.</t>
        </is>
      </c>
      <c r="AF28" s="18" t="inlineStr">
        <is>
          <t>Key by user rights and index version.</t>
        </is>
      </c>
      <c r="AG28" s="18" t="inlineStr">
        <is>
          <t>Adding permissions to cache keys fixed a leak and kept the savings.</t>
        </is>
      </c>
      <c r="AH28" s="18" t="inlineStr">
        <is>
          <t>An interviewer may ask: What are the risks of caching RAG answers?</t>
        </is>
      </c>
      <c r="AI28" s="18" t="inlineStr">
        <is>
          <t>It is like a notebook of worked-out answers.</t>
        </is>
      </c>
      <c r="AJ28" s="18" t="inlineStr">
        <is>
          <t>What must a cache key include for private data?</t>
        </is>
      </c>
      <c r="AK28" s="18" t="inlineStr">
        <is>
          <t>A) Permission group B) Colour C) Date of birth D) Font</t>
        </is>
      </c>
      <c r="AL28" s="18" t="inlineStr">
        <is>
          <t>A</t>
        </is>
      </c>
      <c r="AM28" s="18" t="inlineStr">
        <is>
          <t>Different users may see different evidence.</t>
        </is>
      </c>
      <c r="AN28" s="18" t="inlineStr">
        <is>
          <t>Clearing outdated cache entries is ____ → invalidation</t>
        </is>
      </c>
      <c r="AO28" s="18" t="inlineStr">
        <is>
          <t>A document is updated. What happens to cached answers about it? → They are invalidated</t>
        </is>
      </c>
      <c r="AP28" s="18" t="inlineStr">
        <is>
          <t>Explain caching in RAG in three lines.</t>
        </is>
      </c>
      <c r="AQ28" s="18" t="inlineStr">
        <is>
          <t>Design cache keys for a multi-tenant bot.</t>
        </is>
      </c>
      <c r="AR28" s="17">
        <f>IF(J28="","",REPT("★",J28)&amp;REPT("☆",5-J28)&amp;" ("&amp;J28&amp;"/5)")</f>
        <v/>
      </c>
      <c r="AS28" s="17">
        <f>IF(Q28="","","Meaning: "&amp;Q28&amp;"  =  ______   (Answer: "&amp;F28&amp;")")</f>
        <v/>
      </c>
      <c r="AT28" s="17" t="inlineStr">
        <is>
          <t>New</t>
        </is>
      </c>
      <c r="AU28" s="17" t="n"/>
      <c r="AV28" s="17" t="n"/>
      <c r="AW28" s="17" t="n"/>
      <c r="AX28" s="17" t="n"/>
      <c r="AY28" s="17" t="n"/>
      <c r="AZ28" s="17" t="n"/>
      <c r="BA28" s="17" t="n"/>
      <c r="BB28" s="17" t="n"/>
    </row>
    <row r="29" ht="108" customHeight="1">
      <c r="A29" s="17" t="inlineStr">
        <is>
          <t>RAG-035</t>
        </is>
      </c>
      <c r="B29" s="17" t="inlineStr">
        <is>
          <t>05 Operations</t>
        </is>
      </c>
      <c r="C29" s="17" t="inlineStr">
        <is>
          <t>Intermediate</t>
        </is>
      </c>
      <c r="D29" s="17" t="n">
        <v>35</v>
      </c>
      <c r="E29" s="17" t="inlineStr">
        <is>
          <t>Claude knowledge</t>
        </is>
      </c>
      <c r="F29" s="18" t="inlineStr">
        <is>
          <t>Latency and cost</t>
        </is>
      </c>
      <c r="G29" s="18" t="inlineStr">
        <is>
          <t>Where do time and money go in a RAG request and how do you reduce them?</t>
        </is>
      </c>
      <c r="H29" s="18" t="inlineStr">
        <is>
          <t>Core concept</t>
        </is>
      </c>
      <c r="I29" s="18" t="inlineStr">
        <is>
          <t>Very high</t>
        </is>
      </c>
      <c r="J29" s="18" t="n">
        <v>5</v>
      </c>
      <c r="K29" s="18" t="inlineStr">
        <is>
          <t>Each stage adds delay and cost, so teams measure them to find what to optimise.</t>
        </is>
      </c>
      <c r="L29" s="18" t="inlineStr">
        <is>
          <t>Measure p95 latency per stage, and stream the answer to improve perceived speed.</t>
        </is>
      </c>
      <c r="M29" s="18" t="inlineStr">
        <is>
          <t>Latency is a relay race, and the slowest runner decides your time.</t>
        </is>
      </c>
      <c r="N29" s="18" t="inlineStr">
        <is>
          <t>A bar split into rewrite, embed, search, rerank and generate.</t>
        </is>
      </c>
      <c r="O29" s="18" t="inlineStr">
        <is>
          <t>The satisfaction of a faster, cheaper system.</t>
        </is>
      </c>
      <c r="P29" s="18" t="inlineStr">
        <is>
          <t>Latency and cost in RAG are the time and spend of each stage, including query rewriting, embedding, retrieval, reranking and generation, which together determine user experience and the bill.</t>
        </is>
      </c>
      <c r="Q29" s="17" t="n"/>
      <c r="R29" s="18" t="inlineStr">
        <is>
          <t>Generation is usually the slowest and costliest step, driven by prompt size and output length. Reduce by sending fewer, better chunks, using smaller models for easy questions, caching, streaming, parallelising retrieval and limiting output. Reranking and rewriting add delay, so use them where they pay off. Track p50 and p95 per stage.</t>
        </is>
      </c>
      <c r="S29" s="18" t="inlineStr">
        <is>
          <t>Measure each stage, trim the prompt, cache, stream and choose models wisely.</t>
        </is>
      </c>
      <c r="T29" s="18" t="inlineStr">
        <is>
          <t>Latency is a relay race, and the slowest runner decides your time.</t>
        </is>
      </c>
      <c r="U29" s="18" t="inlineStr">
        <is>
          <t>Total latency = sum of stage latencies.</t>
        </is>
      </c>
      <c r="V29" s="18" t="inlineStr">
        <is>
          <t>Reducing chunks from ten to five.</t>
        </is>
      </c>
      <c r="W29" s="18" t="inlineStr">
        <is>
          <t>Streaming the first words quickly.</t>
        </is>
      </c>
      <c r="X29" s="18" t="inlineStr">
        <is>
          <t>A small model for simple questions.</t>
        </is>
      </c>
      <c r="Y29" s="18" t="inlineStr">
        <is>
          <t>top-k, reranking, caching, cost control</t>
        </is>
      </c>
      <c r="Z29" s="18" t="inlineStr">
        <is>
          <t>latency, p95, stage, stream, budget</t>
        </is>
      </c>
      <c r="AA29" s="18" t="inlineStr">
        <is>
          <t>Production RAG | Cost reviews | UX tuning</t>
        </is>
      </c>
      <c r="AB29" s="18" t="inlineStr">
        <is>
          <t>A: Answers take eight seconds. | B: Measure each stage and look at prompt size first.</t>
        </is>
      </c>
      <c r="AC29" s="18" t="inlineStr">
        <is>
          <t>✗ Retrieval is the main source of delay → ✓ Generation usually dominates</t>
        </is>
      </c>
      <c r="AD29" s="18" t="inlineStr">
        <is>
          <t>Perceived vs real latency: streaming improves feel, not total time.</t>
        </is>
      </c>
      <c r="AE29" s="18" t="inlineStr">
        <is>
          <t>Do not optimise without per-stage timing.</t>
        </is>
      </c>
      <c r="AF29" s="18" t="inlineStr">
        <is>
          <t>Time each stage, trim the biggest.</t>
        </is>
      </c>
      <c r="AG29" s="18" t="inlineStr">
        <is>
          <t>Streaming the answer shortened the perceived wait for support agents.</t>
        </is>
      </c>
      <c r="AH29" s="18" t="inlineStr">
        <is>
          <t>An interviewer may ask: How would you speed up a RAG system?</t>
        </is>
      </c>
      <c r="AI29" s="18" t="inlineStr">
        <is>
          <t>It is like a relay race.</t>
        </is>
      </c>
      <c r="AJ29" s="18" t="inlineStr">
        <is>
          <t>Which stage is often the slowest?</t>
        </is>
      </c>
      <c r="AK29" s="18" t="inlineStr">
        <is>
          <t>A) Logging B) Parsing the query C) Generation D) Cleaning</t>
        </is>
      </c>
      <c r="AL29" s="18" t="inlineStr">
        <is>
          <t>C</t>
        </is>
      </c>
      <c r="AM29" s="18" t="inlineStr">
        <is>
          <t>Long prompts and outputs take time.</t>
        </is>
      </c>
      <c r="AN29" s="18" t="inlineStr">
        <is>
          <t>Sending text as it is generated is ____ → streaming</t>
        </is>
      </c>
      <c r="AO29" s="18" t="inlineStr">
        <is>
          <t>Answers feel slow. What do you measure first? → Latency per stage</t>
        </is>
      </c>
      <c r="AP29" s="18" t="inlineStr">
        <is>
          <t>Explain RAG latency and cost in three lines.</t>
        </is>
      </c>
      <c r="AQ29" s="18" t="inlineStr">
        <is>
          <t>Make a latency budget for a five second target.</t>
        </is>
      </c>
      <c r="AR29" s="17">
        <f>IF(J29="","",REPT("★",J29)&amp;REPT("☆",5-J29)&amp;" ("&amp;J29&amp;"/5)")</f>
        <v/>
      </c>
      <c r="AS29" s="17">
        <f>IF(Q29="","","Meaning: "&amp;Q29&amp;"  =  ______   (Answer: "&amp;F29&amp;")")</f>
        <v/>
      </c>
      <c r="AT29" s="17" t="inlineStr">
        <is>
          <t>New</t>
        </is>
      </c>
      <c r="AU29" s="17" t="n"/>
      <c r="AV29" s="17" t="n"/>
      <c r="AW29" s="17" t="n"/>
      <c r="AX29" s="17" t="n"/>
      <c r="AY29" s="17" t="n"/>
      <c r="AZ29" s="17" t="n"/>
      <c r="BA29" s="17" t="n"/>
      <c r="BB29" s="17" t="n"/>
    </row>
    <row r="30" ht="108" customHeight="1">
      <c r="A30" s="17" t="inlineStr">
        <is>
          <t>RAG-036</t>
        </is>
      </c>
      <c r="B30" s="17" t="inlineStr">
        <is>
          <t>05 Operations</t>
        </is>
      </c>
      <c r="C30" s="17" t="inlineStr">
        <is>
          <t>Intermediate</t>
        </is>
      </c>
      <c r="D30" s="17" t="n">
        <v>36</v>
      </c>
      <c r="E30" s="17" t="inlineStr">
        <is>
          <t>Claude knowledge</t>
        </is>
      </c>
      <c r="F30" s="18" t="inlineStr">
        <is>
          <t>Monitoring RAG</t>
        </is>
      </c>
      <c r="G30" s="18" t="inlineStr">
        <is>
          <t>Which signals show how a RAG system behaves in production?</t>
        </is>
      </c>
      <c r="H30" s="18" t="inlineStr">
        <is>
          <t>Core concept</t>
        </is>
      </c>
      <c r="I30" s="18" t="inlineStr">
        <is>
          <t>High</t>
        </is>
      </c>
      <c r="J30" s="18" t="n">
        <v>5</v>
      </c>
      <c r="K30" s="18" t="inlineStr">
        <is>
          <t>Quality can drift as documents and questions change, so production systems are watched continuously.</t>
        </is>
      </c>
      <c r="L30" s="18" t="inlineStr">
        <is>
          <t>Log queries, retrieved ids, scores and feedback with privacy controls.</t>
        </is>
      </c>
      <c r="M30" s="18" t="inlineStr">
        <is>
          <t>Monitoring is the dashboard of a car that tells you before the engine stops.</t>
        </is>
      </c>
      <c r="N30" s="18" t="inlineStr">
        <is>
          <t>A dashboard with latency, no-answer rate and feedback.</t>
        </is>
      </c>
      <c r="O30" s="18" t="inlineStr">
        <is>
          <t>The calm of watching quality, not guessing.</t>
        </is>
      </c>
      <c r="P30" s="18" t="inlineStr">
        <is>
          <t>RAG monitoring tracks latency, errors, cost, retrieval scores, no-answer rates, user feedback, citation checks and sampled quality reviews, to detect drift and failures.</t>
        </is>
      </c>
      <c r="Q30" s="17" t="n"/>
      <c r="R30" s="18" t="inlineStr">
        <is>
          <t>Useful signals are the share of questions with weak retrieval, the rate of no-answer, thumbs down, answer length, and costs. Sample conversations for human review. Compare against the evaluation set regularly. Alert on spikes. Keep logs safe, with masking and retention rules. Feed failures back into improvements.</t>
        </is>
      </c>
      <c r="S30" s="18" t="inlineStr">
        <is>
          <t>Watch speed, cost, retrieval quality and feedback, and review samples.</t>
        </is>
      </c>
      <c r="T30" s="18" t="inlineStr">
        <is>
          <t>Monitoring is the dashboard of a car.</t>
        </is>
      </c>
      <c r="U30" s="18" t="inlineStr">
        <is>
          <t>Metrics + feedback + sampled review.</t>
        </is>
      </c>
      <c r="V30" s="18" t="inlineStr">
        <is>
          <t>A rising no-answer rate showing content gaps.</t>
        </is>
      </c>
      <c r="W30" s="18" t="inlineStr">
        <is>
          <t>A drop in retrieval scores after a model change.</t>
        </is>
      </c>
      <c r="X30" s="18" t="inlineStr">
        <is>
          <t>A weekly review of thumbs-down answers.</t>
        </is>
      </c>
      <c r="Y30" s="18" t="inlineStr">
        <is>
          <t>logging calls safely, evaluating retrieval, failure analysis, alerts</t>
        </is>
      </c>
      <c r="Z30" s="18" t="inlineStr">
        <is>
          <t>monitoring, drift, feedback, sampling, dashboard</t>
        </is>
      </c>
      <c r="AA30" s="18" t="inlineStr">
        <is>
          <t>Production | Quality teams | Operations</t>
        </is>
      </c>
      <c r="AB30" s="18" t="inlineStr">
        <is>
          <t>A: Quality seems lower this month. | B: Check the no-answer rate and thumbs-down trend.</t>
        </is>
      </c>
      <c r="AC30" s="18" t="inlineStr">
        <is>
          <t>✗ If there are no errors, the system works well → ✓ Quality problems rarely raise errors</t>
        </is>
      </c>
      <c r="AD30" s="18" t="inlineStr">
        <is>
          <t>Errors vs quality signals: crashes versus bad answers.</t>
        </is>
      </c>
      <c r="AE30" s="18" t="inlineStr">
        <is>
          <t>Do not log raw private data without controls.</t>
        </is>
      </c>
      <c r="AF30" s="18" t="inlineStr">
        <is>
          <t>Watch quality, not only uptime.</t>
        </is>
      </c>
      <c r="AG30" s="18" t="inlineStr">
        <is>
          <t>A no-answer dashboard revealed missing documents that were then added.</t>
        </is>
      </c>
      <c r="AH30" s="18" t="inlineStr">
        <is>
          <t>An interviewer may ask: What do you monitor in RAG?</t>
        </is>
      </c>
      <c r="AI30" s="18" t="inlineStr">
        <is>
          <t>It is like a car dashboard.</t>
        </is>
      </c>
      <c r="AJ30" s="18" t="inlineStr">
        <is>
          <t>Which signal suggests content gaps?</t>
        </is>
      </c>
      <c r="AK30" s="18" t="inlineStr">
        <is>
          <t>A) Faster servers B) A rising no-answer rate C) More colours D) Shorter logs</t>
        </is>
      </c>
      <c r="AL30" s="18" t="inlineStr">
        <is>
          <t>B</t>
        </is>
      </c>
      <c r="AM30" s="18" t="inlineStr">
        <is>
          <t>Users ask things the documents lack.</t>
        </is>
      </c>
      <c r="AN30" s="18" t="inlineStr">
        <is>
          <t>Gradual decline in quality over time is ____ → drift</t>
        </is>
      </c>
      <c r="AO30" s="18" t="inlineStr">
        <is>
          <t>Thumbs-down feedback rises. What do you do? → Review samples and find the cause</t>
        </is>
      </c>
      <c r="AP30" s="18" t="inlineStr">
        <is>
          <t>Explain RAG monitoring in three lines.</t>
        </is>
      </c>
      <c r="AQ30" s="18" t="inlineStr">
        <is>
          <t>List five dashboard metrics for a RAG assistant.</t>
        </is>
      </c>
      <c r="AR30" s="17">
        <f>IF(J30="","",REPT("★",J30)&amp;REPT("☆",5-J30)&amp;" ("&amp;J30&amp;"/5)")</f>
        <v/>
      </c>
      <c r="AS30" s="17">
        <f>IF(Q30="","","Meaning: "&amp;Q30&amp;"  =  ______   (Answer: "&amp;F30&amp;")")</f>
        <v/>
      </c>
      <c r="AT30" s="17" t="inlineStr">
        <is>
          <t>New</t>
        </is>
      </c>
      <c r="AU30" s="17" t="n"/>
      <c r="AV30" s="17" t="n"/>
      <c r="AW30" s="17" t="n"/>
      <c r="AX30" s="17" t="n"/>
      <c r="AY30" s="17" t="n"/>
      <c r="AZ30" s="17" t="n"/>
      <c r="BA30" s="17" t="n"/>
      <c r="BB30" s="17" t="n"/>
    </row>
    <row r="31" ht="135" customHeight="1">
      <c r="A31" s="17" t="inlineStr">
        <is>
          <t>RAG-037</t>
        </is>
      </c>
      <c r="B31" s="17" t="inlineStr">
        <is>
          <t>05 Operations</t>
        </is>
      </c>
      <c r="C31" s="17" t="inlineStr">
        <is>
          <t>Advanced</t>
        </is>
      </c>
      <c r="D31" s="17" t="n">
        <v>37</v>
      </c>
      <c r="E31" s="17" t="inlineStr">
        <is>
          <t>Claude knowledge</t>
        </is>
      </c>
      <c r="F31" s="18" t="inlineStr">
        <is>
          <t>Evaluating retrieval</t>
        </is>
      </c>
      <c r="G31" s="18" t="inlineStr">
        <is>
          <t>Which metrics show whether retrieval finds the right chunks?</t>
        </is>
      </c>
      <c r="H31" s="18" t="inlineStr">
        <is>
          <t>Core concept</t>
        </is>
      </c>
      <c r="I31" s="18" t="inlineStr">
        <is>
          <t>Very high</t>
        </is>
      </c>
      <c r="J31" s="18" t="n">
        <v>5</v>
      </c>
      <c r="K31" s="18" t="inlineStr">
        <is>
          <t>Retrieval limits answer quality, so it is tested on its own with labelled questions before judging the whole system.</t>
        </is>
      </c>
      <c r="L31" s="18" t="inlineStr">
        <is>
          <t>Build a small set of real questions with the chunks that answer them.</t>
        </is>
      </c>
      <c r="M31" s="18" t="inlineStr">
        <is>
          <t>Evaluating retrieval is a quiz that checks whether the librarian fetches the right books.</t>
        </is>
      </c>
      <c r="N31" s="18" t="inlineStr">
        <is>
          <t>A table of questions, expected chunks and found ranks.</t>
        </is>
      </c>
      <c r="O31" s="18" t="inlineStr">
        <is>
          <t>The confidence of improvements that are measured.</t>
        </is>
      </c>
      <c r="P31" s="18" t="inlineStr">
        <is>
          <t>Retrieval evaluation compares retrieved results with labelled relevant chunks, using metrics such as recall at k, precision at k, mean reciprocal rank and nDCG.</t>
        </is>
      </c>
      <c r="Q31" s="17" t="n"/>
      <c r="R31" s="18" t="inlineStr">
        <is>
          <t>Recall at k is the share of relevant chunks found in the top k. A simpler hit rate counts the questions where at least one relevant chunk appears in the top k. Precision is the share of retrieved chunks that are relevant. Mean reciprocal rank rewards placing the first relevant result high. Labels can be made by experts or generated carefully and reviewed. Run the evaluation after each change of chunking, embeddings, filters or rerankers.</t>
        </is>
      </c>
      <c r="S31" s="18" t="inlineStr">
        <is>
          <t>Label questions with correct chunks, then measure recall and ranking after each change.</t>
        </is>
      </c>
      <c r="T31" s="18" t="inlineStr">
        <is>
          <t>Evaluating retrieval is a quiz that checks whether the librarian fetches the right books.</t>
        </is>
      </c>
      <c r="U31" s="18" t="inlineStr">
        <is>
          <t>Hit rate at k = questions with a hit in the top k ÷ all questions.</t>
        </is>
      </c>
      <c r="V31" s="18" t="inlineStr">
        <is>
          <t>Recall at 5 rising from 70 to 85 percent.</t>
        </is>
      </c>
      <c r="W31" s="18" t="inlineStr">
        <is>
          <t>MRR showing the right chunk is usually first.</t>
        </is>
      </c>
      <c r="X31" s="18" t="inlineStr">
        <is>
          <t>A failing question list.</t>
        </is>
      </c>
      <c r="Y31" s="18" t="inlineStr">
        <is>
          <t>when RAG fails, top-k, reranking, AI evaluation</t>
        </is>
      </c>
      <c r="Z31" s="18" t="inlineStr">
        <is>
          <t>recall, precision, MRR, nDCG, labelled set</t>
        </is>
      </c>
      <c r="AA31" s="18" t="inlineStr">
        <is>
          <t>Tuning | Release gates | Experiments</t>
        </is>
      </c>
      <c r="AB31" s="18" t="inlineStr">
        <is>
          <t>A: Did the new chunking help? | B: Compare recall at five on the question set.</t>
        </is>
      </c>
      <c r="AC31" s="18" t="inlineStr">
        <is>
          <t>✗ Answer quality alone shows retrieval quality → ✓ Retrieval should be measured separately</t>
        </is>
      </c>
      <c r="AD31" s="18" t="inlineStr">
        <is>
          <t>Recall vs precision: found relevant items versus how clean the results are.</t>
        </is>
      </c>
      <c r="AE31" s="18" t="inlineStr">
        <is>
          <t>Do not tune without a labelled set.</t>
        </is>
      </c>
      <c r="AF31" s="18" t="inlineStr">
        <is>
          <t>Measure recall first, then ranking.</t>
        </is>
      </c>
      <c r="AG31" s="18" t="inlineStr">
        <is>
          <t>A labelled set of eighty questions made chunking experiments objective.</t>
        </is>
      </c>
      <c r="AH31" s="18" t="inlineStr">
        <is>
          <t>An interviewer may ask: How do you evaluate retrieval?</t>
        </is>
      </c>
      <c r="AI31" s="18" t="inlineStr">
        <is>
          <t>It is like a quiz for the librarian.</t>
        </is>
      </c>
      <c r="AJ31" s="18" t="inlineStr">
        <is>
          <t>What does recall at k measure?</t>
        </is>
      </c>
      <c r="AK31" s="18" t="inlineStr">
        <is>
          <t>A) Style B) Cost C) Speed D) Whether a relevant chunk is in the top k</t>
        </is>
      </c>
      <c r="AL31" s="18" t="inlineStr">
        <is>
          <t>D</t>
        </is>
      </c>
      <c r="AM31" s="18" t="inlineStr">
        <is>
          <t>It checks coverage of relevant evidence.</t>
        </is>
      </c>
      <c r="AN31" s="18" t="inlineStr">
        <is>
          <t>A metric rewarding a high rank for the first relevant result is ____ → MRR</t>
        </is>
      </c>
      <c r="AO31" s="18" t="inlineStr">
        <is>
          <t>You change the chunking. How do you know it helped? → Compare recall on a labelled set</t>
        </is>
      </c>
      <c r="AP31" s="18" t="inlineStr">
        <is>
          <t>Explain retrieval evaluation in three lines.</t>
        </is>
      </c>
      <c r="AQ31" s="18" t="inlineStr">
        <is>
          <t>Build a ten question evaluation set outline.</t>
        </is>
      </c>
      <c r="AR31" s="17">
        <f>IF(J31="","",REPT("★",J31)&amp;REPT("☆",5-J31)&amp;" ("&amp;J31&amp;"/5)")</f>
        <v/>
      </c>
      <c r="AS31" s="17">
        <f>IF(Q31="","","Meaning: "&amp;Q31&amp;"  =  ______   (Answer: "&amp;F31&amp;")")</f>
        <v/>
      </c>
      <c r="AT31" s="17" t="inlineStr">
        <is>
          <t>New</t>
        </is>
      </c>
      <c r="AU31" s="17" t="n"/>
      <c r="AV31" s="17" t="n"/>
      <c r="AW31" s="17" t="n"/>
      <c r="AX31" s="17" t="n"/>
      <c r="AY31" s="17" t="n"/>
      <c r="AZ31" s="17" t="n"/>
      <c r="BA31" s="17" t="n"/>
      <c r="BB31" s="17" t="n"/>
    </row>
    <row r="32" ht="94.5" customHeight="1">
      <c r="A32" s="17" t="inlineStr">
        <is>
          <t>RAG-038</t>
        </is>
      </c>
      <c r="B32" s="17" t="inlineStr">
        <is>
          <t>05 Operations</t>
        </is>
      </c>
      <c r="C32" s="17" t="inlineStr">
        <is>
          <t>Advanced</t>
        </is>
      </c>
      <c r="D32" s="17" t="n">
        <v>38</v>
      </c>
      <c r="E32" s="17" t="inlineStr">
        <is>
          <t>Claude knowledge</t>
        </is>
      </c>
      <c r="F32" s="18" t="inlineStr">
        <is>
          <t>Failure analysis</t>
        </is>
      </c>
      <c r="G32" s="18" t="inlineStr">
        <is>
          <t>How do you study bad answers to find which stage failed and what to fix first?</t>
        </is>
      </c>
      <c r="H32" s="18" t="inlineStr">
        <is>
          <t>Core concept</t>
        </is>
      </c>
      <c r="I32" s="18" t="inlineStr">
        <is>
          <t>High</t>
        </is>
      </c>
      <c r="J32" s="18" t="n">
        <v>5</v>
      </c>
      <c r="K32" s="18" t="inlineStr">
        <is>
          <t>Random fixes waste time, so failures are classified by cause and fixed in order of impact.</t>
        </is>
      </c>
      <c r="L32" s="18" t="inlineStr">
        <is>
          <t>Review fifty failing examples and count causes before choosing a fix.</t>
        </is>
      </c>
      <c r="M32" s="18" t="inlineStr">
        <is>
          <t>Failure analysis is a doctor's chart review that looks for the commonest illness.</t>
        </is>
      </c>
      <c r="N32" s="18" t="inlineStr">
        <is>
          <t>A simple bar chart showing the counts of failure causes.</t>
        </is>
      </c>
      <c r="O32" s="18" t="inlineStr">
        <is>
          <t>The clarity of fixing what matters most.</t>
        </is>
      </c>
      <c r="P32" s="18" t="inlineStr">
        <is>
          <t>Failure analysis samples poor answers, traces each through the pipeline to classify the cause, such as parsing, chunking, retrieval, ranking, prompt or model, and prioritises fixes by frequency and impact.</t>
        </is>
      </c>
      <c r="Q32" s="17" t="n"/>
      <c r="R32" s="18" t="inlineStr">
        <is>
          <t>For each failure, check whether the evidence exists, whether it was retrieved, whether it was in the prompt and whether the model used it. Tally causes in a table. Fix the top cause, re-run the evaluation and repeat. Save failures as regression tests. Involve domain experts when answers are subtle.</t>
        </is>
      </c>
      <c r="S32" s="18" t="inlineStr">
        <is>
          <t>Classify failures by stage, fix the biggest group and test again.</t>
        </is>
      </c>
      <c r="T32" s="18" t="inlineStr">
        <is>
          <t>Failure analysis is a doctor's chart review that looks for the commonest illness.</t>
        </is>
      </c>
      <c r="U32" s="18" t="inlineStr">
        <is>
          <t>Sample, classify, rank causes, fix, re-test.</t>
        </is>
      </c>
      <c r="V32" s="18" t="inlineStr">
        <is>
          <t>Forty percent of failures due to parsing.</t>
        </is>
      </c>
      <c r="W32" s="18" t="inlineStr">
        <is>
          <t>A failing question saved as a regression test.</t>
        </is>
      </c>
      <c r="X32" s="18" t="inlineStr">
        <is>
          <t>A review with a domain expert.</t>
        </is>
      </c>
      <c r="Y32" s="18" t="inlineStr">
        <is>
          <t>when RAG fails, evaluating retrieval, monitoring RAG, human review</t>
        </is>
      </c>
      <c r="Z32" s="18" t="inlineStr">
        <is>
          <t>failure, cause, regression, sample, prioritise</t>
        </is>
      </c>
      <c r="AA32" s="18" t="inlineStr">
        <is>
          <t>Quality improvement | Reviews | Operations</t>
        </is>
      </c>
      <c r="AB32" s="18" t="inlineStr">
        <is>
          <t>A: Where should we spend effort first? | B: Count failure causes on fifty bad answers.</t>
        </is>
      </c>
      <c r="AC32" s="18" t="inlineStr">
        <is>
          <t>✗ Changing the prompt fixes most RAG problems → ✓ Failures often come from parsing or retrieval</t>
        </is>
      </c>
      <c r="AD32" s="18" t="inlineStr">
        <is>
          <t>Cause vs symptom: wrong answer versus the stage that failed.</t>
        </is>
      </c>
      <c r="AE32" s="18" t="inlineStr">
        <is>
          <t>Do not fix without counting causes.</t>
        </is>
      </c>
      <c r="AF32" s="18" t="inlineStr">
        <is>
          <t>Count the causes, fix the biggest.</t>
        </is>
      </c>
      <c r="AG32" s="18" t="inlineStr">
        <is>
          <t>Failure analysis showed parsing, not prompts, caused most errors.</t>
        </is>
      </c>
      <c r="AH32" s="18" t="inlineStr">
        <is>
          <t>An interviewer may ask: How do you decide what to improve in a RAG system?</t>
        </is>
      </c>
      <c r="AI32" s="18" t="inlineStr">
        <is>
          <t>It is like a chart review by a doctor.</t>
        </is>
      </c>
      <c r="AJ32" s="18" t="inlineStr">
        <is>
          <t>What do you do first in failure analysis?</t>
        </is>
      </c>
      <c r="AK32" s="18" t="inlineStr">
        <is>
          <t>A) Change the model B) Rewrite everything C) Sample failing answers and classify causes D) Buy more storage</t>
        </is>
      </c>
      <c r="AL32" s="18" t="inlineStr">
        <is>
          <t>C</t>
        </is>
      </c>
      <c r="AM32" s="18" t="inlineStr">
        <is>
          <t>Evidence tells where the problem is.</t>
        </is>
      </c>
      <c r="AN32" s="18" t="inlineStr">
        <is>
          <t>A saved failing case used to prevent repeats is a ____ test → regression</t>
        </is>
      </c>
      <c r="AO32" s="18" t="inlineStr">
        <is>
          <t>Many answers are wrong. What is your first step? → Classify the causes of a sample</t>
        </is>
      </c>
      <c r="AP32" s="18" t="inlineStr">
        <is>
          <t>Explain failure analysis in three lines.</t>
        </is>
      </c>
      <c r="AQ32" s="18" t="inlineStr">
        <is>
          <t>Make a table to tally failure causes.</t>
        </is>
      </c>
      <c r="AR32" s="17">
        <f>IF(J32="","",REPT("★",J32)&amp;REPT("☆",5-J32)&amp;" ("&amp;J32&amp;"/5)")</f>
        <v/>
      </c>
      <c r="AS32" s="17">
        <f>IF(Q32="","","Meaning: "&amp;Q32&amp;"  =  ______   (Answer: "&amp;F32&amp;")")</f>
        <v/>
      </c>
      <c r="AT32" s="17" t="inlineStr">
        <is>
          <t>New</t>
        </is>
      </c>
      <c r="AU32" s="17" t="n"/>
      <c r="AV32" s="17" t="n"/>
      <c r="AW32" s="17" t="n"/>
      <c r="AX32" s="17" t="n"/>
      <c r="AY32" s="17" t="n"/>
      <c r="AZ32" s="17" t="n"/>
      <c r="BA32" s="17" t="n"/>
      <c r="BB32" s="17" t="n"/>
    </row>
    <row r="33" ht="108" customHeight="1">
      <c r="A33" s="17" t="inlineStr">
        <is>
          <t>RAG-039</t>
        </is>
      </c>
      <c r="B33" s="17" t="inlineStr">
        <is>
          <t>05 Operations</t>
        </is>
      </c>
      <c r="C33" s="17" t="inlineStr">
        <is>
          <t>Advanced</t>
        </is>
      </c>
      <c r="D33" s="17" t="n">
        <v>39</v>
      </c>
      <c r="E33" s="17" t="inlineStr">
        <is>
          <t>Claude knowledge</t>
        </is>
      </c>
      <c r="F33" s="18" t="inlineStr">
        <is>
          <t>Agentic RAG</t>
        </is>
      </c>
      <c r="G33" s="18" t="inlineStr">
        <is>
          <t>How can a model decide when and how to search, instead of always retrieving once?</t>
        </is>
      </c>
      <c r="H33" s="18" t="inlineStr">
        <is>
          <t>Core concept</t>
        </is>
      </c>
      <c r="I33" s="18" t="inlineStr">
        <is>
          <t>Medium</t>
        </is>
      </c>
      <c r="J33" s="18" t="n">
        <v>4</v>
      </c>
      <c r="K33" s="18" t="inlineStr">
        <is>
          <t>Complex questions need several searches and checks, so the model is given retrieval as a tool and can plan its own steps.</t>
        </is>
      </c>
      <c r="L33" s="18" t="inlineStr">
        <is>
          <t>Use agentic RAG only when simple retrieval cannot handle the questions.</t>
        </is>
      </c>
      <c r="M33" s="18" t="inlineStr">
        <is>
          <t>Agentic RAG is a researcher who searches, reads, refines the question and searches again.</t>
        </is>
      </c>
      <c r="N33" s="18" t="inlineStr">
        <is>
          <t>A loop of plan, search, read and decide.</t>
        </is>
      </c>
      <c r="O33" s="18" t="inlineStr">
        <is>
          <t>The excitement of deeper answers and the caution of extra cost.</t>
        </is>
      </c>
      <c r="P33" s="18" t="inlineStr">
        <is>
          <t>Agentic RAG lets a model control retrieval through tools, deciding what to search, evaluating results, issuing follow-up searches, and stopping when it has enough evidence.</t>
        </is>
      </c>
      <c r="Q33" s="17" t="n"/>
      <c r="R33" s="18" t="inlineStr">
        <is>
          <t>It helps with multi-part questions, comparisons and exploratory research. It costs more, takes longer and is harder to test. Set step limits, log every search, validate tool arguments and keep permission filters in the tool, not the model. Compare against a simple pipeline, since many questions do not need it.</t>
        </is>
      </c>
      <c r="S33" s="18" t="inlineStr">
        <is>
          <t>Give the model a search tool and limits, and use it when one retrieval is not enough.</t>
        </is>
      </c>
      <c r="T33" s="18" t="inlineStr">
        <is>
          <t>Agentic RAG is a researcher who searches, reads, refines and searches again.</t>
        </is>
      </c>
      <c r="U33" s="18" t="inlineStr">
        <is>
          <t>Plan, search, assess, repeat within limits.</t>
        </is>
      </c>
      <c r="V33" s="18" t="inlineStr">
        <is>
          <t>A comparison question needing two searches.</t>
        </is>
      </c>
      <c r="W33" s="18" t="inlineStr">
        <is>
          <t>A follow-up search when evidence is thin.</t>
        </is>
      </c>
      <c r="X33" s="18" t="inlineStr">
        <is>
          <t>A step limit of five.</t>
        </is>
      </c>
      <c r="Y33" s="18" t="inlineStr">
        <is>
          <t>agents and loops, tool calling, multi-query retrieval, guardrails</t>
        </is>
      </c>
      <c r="Z33" s="18" t="inlineStr">
        <is>
          <t>agentic, loop, search tool, planning, step limit</t>
        </is>
      </c>
      <c r="AA33" s="18" t="inlineStr">
        <is>
          <t>Research assistants | Complex support | Analysis tools</t>
        </is>
      </c>
      <c r="AB33" s="18" t="inlineStr">
        <is>
          <t>A: Single search misses multi-part questions. | B: Try agentic retrieval with a step limit.</t>
        </is>
      </c>
      <c r="AC33" s="18" t="inlineStr">
        <is>
          <t>✗ Agentic RAG is always better than simple RAG → ✓ It is slower and costlier, and often unnecessary</t>
        </is>
      </c>
      <c r="AD33" s="18" t="inlineStr">
        <is>
          <t>Simple vs agentic RAG: one retrieval versus a planned loop.</t>
        </is>
      </c>
      <c r="AE33" s="18" t="inlineStr">
        <is>
          <t>Do not put permission checks in the model's hands.</t>
        </is>
      </c>
      <c r="AF33" s="18" t="inlineStr">
        <is>
          <t>Limit the loop, keep permissions in the tool.</t>
        </is>
      </c>
      <c r="AG33" s="18" t="inlineStr">
        <is>
          <t>A limited agentic loop answered comparison questions that single retrieval missed.</t>
        </is>
      </c>
      <c r="AH33" s="18" t="inlineStr">
        <is>
          <t>An interviewer may ask: When would you use agentic RAG?</t>
        </is>
      </c>
      <c r="AI33" s="18" t="inlineStr">
        <is>
          <t>It is like a researcher refining searches.</t>
        </is>
      </c>
      <c r="AJ33" s="18" t="inlineStr">
        <is>
          <t>Where should permission filters live in agentic RAG?</t>
        </is>
      </c>
      <c r="AK33" s="18" t="inlineStr">
        <is>
          <t>A) Nowhere B) In the search tool C) In the prompt only D) In the model's decision</t>
        </is>
      </c>
      <c r="AL33" s="18" t="inlineStr">
        <is>
          <t>B</t>
        </is>
      </c>
      <c r="AM33" s="18" t="inlineStr">
        <is>
          <t>Code enforces what the model cannot be trusted with.</t>
        </is>
      </c>
      <c r="AN33" s="18" t="inlineStr">
        <is>
          <t>A cap on loop iterations is a step ____ → limit</t>
        </is>
      </c>
      <c r="AO33" s="18" t="inlineStr">
        <is>
          <t>Questions need several linked searches. What approach? → Agentic RAG with limits</t>
        </is>
      </c>
      <c r="AP33" s="18" t="inlineStr">
        <is>
          <t>Explain agentic RAG in three lines.</t>
        </is>
      </c>
      <c r="AQ33" s="18" t="inlineStr">
        <is>
          <t>List risks of agentic RAG and a control for each.</t>
        </is>
      </c>
      <c r="AR33" s="17">
        <f>IF(J33="","",REPT("★",J33)&amp;REPT("☆",5-J33)&amp;" ("&amp;J33&amp;"/5)")</f>
        <v/>
      </c>
      <c r="AS33" s="17">
        <f>IF(Q33="","","Meaning: "&amp;Q33&amp;"  =  ______   (Answer: "&amp;F33&amp;")")</f>
        <v/>
      </c>
      <c r="AT33" s="17" t="inlineStr">
        <is>
          <t>New</t>
        </is>
      </c>
      <c r="AU33" s="17" t="n"/>
      <c r="AV33" s="17" t="n"/>
      <c r="AW33" s="17" t="n"/>
      <c r="AX33" s="17" t="n"/>
      <c r="AY33" s="17" t="n"/>
      <c r="AZ33" s="17" t="n"/>
      <c r="BA33" s="17" t="n"/>
      <c r="BB33" s="17" t="n"/>
    </row>
    <row r="34" ht="121.5" customHeight="1">
      <c r="A34" s="17" t="inlineStr">
        <is>
          <t>RAG-040</t>
        </is>
      </c>
      <c r="B34" s="17" t="inlineStr">
        <is>
          <t>05 Operations</t>
        </is>
      </c>
      <c r="C34" s="17" t="inlineStr">
        <is>
          <t>Advanced</t>
        </is>
      </c>
      <c r="D34" s="17" t="n">
        <v>40</v>
      </c>
      <c r="E34" s="17" t="inlineStr">
        <is>
          <t>Claude knowledge</t>
        </is>
      </c>
      <c r="F34" s="18" t="inlineStr">
        <is>
          <t>Graph-based retrieval</t>
        </is>
      </c>
      <c r="G34" s="18" t="inlineStr">
        <is>
          <t>How can a graph of entities and relations help answer connected questions?</t>
        </is>
      </c>
      <c r="H34" s="18" t="inlineStr">
        <is>
          <t>Core concept</t>
        </is>
      </c>
      <c r="I34" s="18" t="inlineStr">
        <is>
          <t>Medium</t>
        </is>
      </c>
      <c r="J34" s="18" t="n">
        <v>3</v>
      </c>
      <c r="K34" s="18" t="inlineStr">
        <is>
          <t>Some questions depend on relations across many documents, which similarity search alone handles poorly, so knowledge graphs link entities.</t>
        </is>
      </c>
      <c r="L34" s="18" t="inlineStr">
        <is>
          <t>Try hybrid and reranking before building a graph, since graphs add heavy upkeep.</t>
        </is>
      </c>
      <c r="M34" s="18" t="inlineStr">
        <is>
          <t>A knowledge graph is a map of people, places and links between them.</t>
        </is>
      </c>
      <c r="N34" s="18" t="inlineStr">
        <is>
          <t>Nodes for entities connected by labelled relations.</t>
        </is>
      </c>
      <c r="O34" s="18" t="inlineStr">
        <is>
          <t>The curiosity of questions that follow links.</t>
        </is>
      </c>
      <c r="P34" s="18" t="inlineStr">
        <is>
          <t>Graph-based retrieval builds a graph of entities and relationships extracted from documents, then retrieves by traversing connections and summaries, so questions about relations and themes can be answered with linked evidence.</t>
        </is>
      </c>
      <c r="Q34" s="17" t="n"/>
      <c r="R34" s="18" t="inlineStr">
        <is>
          <t>Extraction of entities and relations is done with models and is imperfect and costly. Queries can follow paths, such as which suppliers affect this product. Community summaries support broad questions across a whole corpus. Graphs need updates when documents change. They suit connected domains such as compliance, supply chains and research, but many problems do not need them.</t>
        </is>
      </c>
      <c r="S34" s="18" t="inlineStr">
        <is>
          <t>Extract entities and relations, then retrieve by following links.</t>
        </is>
      </c>
      <c r="T34" s="18" t="inlineStr">
        <is>
          <t>A knowledge graph is a map of people, places and links between them.</t>
        </is>
      </c>
      <c r="U34" s="18" t="inlineStr">
        <is>
          <t>Entities + relations + traversal + summaries.</t>
        </is>
      </c>
      <c r="V34" s="18" t="inlineStr">
        <is>
          <t>Finding all contracts linked to one supplier.</t>
        </is>
      </c>
      <c r="W34" s="18" t="inlineStr">
        <is>
          <t>A theme summary across a large corpus.</t>
        </is>
      </c>
      <c r="X34" s="18" t="inlineStr">
        <is>
          <t>A path from a product to its components.</t>
        </is>
      </c>
      <c r="Y34" s="18" t="inlineStr">
        <is>
          <t>vector search, hybrid search, agentic RAG, updating the index</t>
        </is>
      </c>
      <c r="Z34" s="18" t="inlineStr">
        <is>
          <t>graph, entity, relation, traversal, community summary</t>
        </is>
      </c>
      <c r="AA34" s="18" t="inlineStr">
        <is>
          <t>Compliance | Supply chains | Research</t>
        </is>
      </c>
      <c r="AB34" s="18" t="inlineStr">
        <is>
          <t>A: Questions about links across documents fail. | B: A graph of entities may help beyond similarity search.</t>
        </is>
      </c>
      <c r="AC34" s="18" t="inlineStr">
        <is>
          <t>✗ Graphs replace vector search → ✓ They complement it for relational questions</t>
        </is>
      </c>
      <c r="AD34" s="18" t="inlineStr">
        <is>
          <t>Graph vs vector retrieval: links versus similarity.</t>
        </is>
      </c>
      <c r="AE34" s="18" t="inlineStr">
        <is>
          <t>Do not build a graph before simpler methods are tried.</t>
        </is>
      </c>
      <c r="AF34" s="18" t="inlineStr">
        <is>
          <t>Vectors find similar, graphs follow links.</t>
        </is>
      </c>
      <c r="AG34" s="18" t="inlineStr">
        <is>
          <t>A small entity graph answered supplier impact questions that vector search could not.</t>
        </is>
      </c>
      <c r="AH34" s="18" t="inlineStr">
        <is>
          <t>An interviewer may ask: When would you add a knowledge graph to RAG?</t>
        </is>
      </c>
      <c r="AI34" s="18" t="inlineStr">
        <is>
          <t>It is like a map of connections.</t>
        </is>
      </c>
      <c r="AJ34" s="18" t="inlineStr">
        <is>
          <t>What does graph retrieval follow?</t>
        </is>
      </c>
      <c r="AK34" s="18" t="inlineStr">
        <is>
          <t>A) Relations between entities B) File dates only C) Random words D) Font sizes</t>
        </is>
      </c>
      <c r="AL34" s="18" t="inlineStr">
        <is>
          <t>A</t>
        </is>
      </c>
      <c r="AM34" s="18" t="inlineStr">
        <is>
          <t>It traverses links.</t>
        </is>
      </c>
      <c r="AN34" s="18" t="inlineStr">
        <is>
          <t>A linked item in a graph is a ____ → node</t>
        </is>
      </c>
      <c r="AO34" s="18" t="inlineStr">
        <is>
          <t>A question asks how suppliers connect to a product. What helps? → A graph of entities and relations</t>
        </is>
      </c>
      <c r="AP34" s="18" t="inlineStr">
        <is>
          <t>Explain graph-based retrieval in three lines.</t>
        </is>
      </c>
      <c r="AQ34" s="18" t="inlineStr">
        <is>
          <t>Sketch a small graph for suppliers, products and contracts.</t>
        </is>
      </c>
      <c r="AR34" s="17">
        <f>IF(J34="","",REPT("★",J34)&amp;REPT("☆",5-J34)&amp;" ("&amp;J34&amp;"/5)")</f>
        <v/>
      </c>
      <c r="AS34" s="17">
        <f>IF(Q34="","","Meaning: "&amp;Q34&amp;"  =  ______   (Answer: "&amp;F34&amp;")")</f>
        <v/>
      </c>
      <c r="AT34" s="17" t="inlineStr">
        <is>
          <t>New</t>
        </is>
      </c>
      <c r="AU34" s="17" t="n"/>
      <c r="AV34" s="17" t="n"/>
      <c r="AW34" s="17" t="n"/>
      <c r="AX34" s="17" t="n"/>
      <c r="AY34" s="17" t="n"/>
      <c r="AZ34" s="17" t="n"/>
      <c r="BA34" s="17" t="n"/>
      <c r="BB34" s="17" t="n"/>
    </row>
  </sheetData>
  <autoFilter ref="A2:BB34"/>
  <mergeCells count="6">
    <mergeCell ref="F1:O1"/>
    <mergeCell ref="AT1:BB1"/>
    <mergeCell ref="AR1:AS1"/>
    <mergeCell ref="A1:E1"/>
    <mergeCell ref="AJ1:AQ1"/>
    <mergeCell ref="P1:AI1"/>
  </mergeCells>
  <dataValidations count="2">
    <dataValidation sqref="AT3:AT34" showDropDown="0" showInputMessage="0" showErrorMessage="0" allowBlank="1" type="list">
      <formula1>"New,Learning,Known"</formula1>
    </dataValidation>
    <dataValidation sqref="BA3:BA34" showDropDown="0" showInputMessage="0" showErrorMessage="0" allowBlank="1" type="list">
      <formula1>"OK,Fix"</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Topic (56-pt) · card view</t>
        </is>
      </c>
    </row>
    <row r="2">
      <c r="A2" s="21" t="inlineStr">
        <is>
          <t>Card ID chuno ▸</t>
        </is>
      </c>
      <c r="B2" s="22" t="inlineStr">
        <is>
          <t>RAG-001</t>
        </is>
      </c>
    </row>
    <row r="4">
      <c r="A4" s="23" t="inlineStr">
        <is>
          <t>FRONT · Recognition (pehchano)</t>
        </is>
      </c>
    </row>
    <row r="5" ht="30" customHeight="1">
      <c r="A5" s="24" t="inlineStr">
        <is>
          <t>ID</t>
        </is>
      </c>
      <c r="B5" s="17">
        <f>INDEX('Topic (56-pt) cards'!$A$3:$BB$34,MATCH($B$2,'Topic (56-pt) cards'!$A$3:$A$34,0),MATCH("ID",'Topic (56-pt) cards'!$A$2:$BB$2,0))&amp;""</f>
        <v/>
      </c>
    </row>
    <row r="6" ht="30" customHeight="1">
      <c r="A6" s="24" t="inlineStr">
        <is>
          <t>Topic</t>
        </is>
      </c>
      <c r="B6" s="17">
        <f>INDEX('Topic (56-pt) cards'!$A$3:$BB$34,MATCH($B$2,'Topic (56-pt) cards'!$A$3:$A$34,0),MATCH("Topic",'Topic (56-pt) cards'!$A$2:$BB$2,0))&amp;""</f>
        <v/>
      </c>
    </row>
    <row r="7" ht="30" customHeight="1">
      <c r="A7" s="24" t="inlineStr">
        <is>
          <t>Level</t>
        </is>
      </c>
      <c r="B7" s="17">
        <f>INDEX('Topic (56-pt) cards'!$A$3:$BB$34,MATCH($B$2,'Topic (56-pt) cards'!$A$3:$A$34,0),MATCH("Level",'Topic (56-pt) cards'!$A$2:$BB$2,0))&amp;""</f>
        <v/>
      </c>
    </row>
    <row r="8" ht="30" customHeight="1">
      <c r="A8" s="24" t="inlineStr">
        <is>
          <t>Term / topic</t>
        </is>
      </c>
      <c r="B8" s="17">
        <f>INDEX('Topic (56-pt) cards'!$A$3:$BB$34,MATCH($B$2,'Topic (56-pt) cards'!$A$3:$A$34,0),MATCH("Term / topic",'Topic (56-pt) cards'!$A$2:$BB$2,0))&amp;""</f>
        <v/>
      </c>
    </row>
    <row r="9" ht="30" customHeight="1">
      <c r="A9" s="24" t="inlineStr">
        <is>
          <t>Recall cue</t>
        </is>
      </c>
      <c r="B9" s="17">
        <f>INDEX('Topic (56-pt) cards'!$A$3:$BB$34,MATCH($B$2,'Topic (56-pt) cards'!$A$3:$A$34,0),MATCH("Recall cue",'Topic (56-pt) cards'!$A$2:$BB$2,0))&amp;""</f>
        <v/>
      </c>
    </row>
    <row r="10" ht="30" customHeight="1">
      <c r="A10" s="24" t="inlineStr">
        <is>
          <t>Category</t>
        </is>
      </c>
      <c r="B10" s="17">
        <f>INDEX('Topic (56-pt) cards'!$A$3:$BB$34,MATCH($B$2,'Topic (56-pt) cards'!$A$3:$A$34,0),MATCH("Category",'Topic (56-pt) cards'!$A$2:$BB$2,0))&amp;""</f>
        <v/>
      </c>
    </row>
    <row r="11" ht="30" customHeight="1">
      <c r="A11" s="24" t="inlineStr">
        <is>
          <t>How often used</t>
        </is>
      </c>
      <c r="B11" s="17">
        <f>INDEX('Topic (56-pt) cards'!$A$3:$BB$34,MATCH($B$2,'Topic (56-pt) cards'!$A$3:$A$34,0),MATCH("How often used",'Topic (56-pt) cards'!$A$2:$BB$2,0))&amp;""</f>
        <v/>
      </c>
    </row>
    <row r="12" ht="30" customHeight="1">
      <c r="A12" s="24" t="inlineStr">
        <is>
          <t>Importance (1-5)</t>
        </is>
      </c>
      <c r="B12" s="17">
        <f>INDEX('Topic (56-pt) cards'!$A$3:$BB$34,MATCH($B$2,'Topic (56-pt) cards'!$A$3:$A$34,0),MATCH("Importance (1-5)",'Topic (56-pt) cards'!$A$2:$BB$2,0))&amp;""</f>
        <v/>
      </c>
    </row>
    <row r="13" ht="30" customHeight="1">
      <c r="A13" s="24" t="inlineStr">
        <is>
          <t>Origin / why it exists</t>
        </is>
      </c>
      <c r="B13" s="17">
        <f>INDEX('Topic (56-pt) cards'!$A$3:$BB$34,MATCH($B$2,'Topic (56-pt) cards'!$A$3:$A$34,0),MATCH("Origin / why it exists",'Topic (56-pt) cards'!$A$2:$BB$2,0))&amp;""</f>
        <v/>
      </c>
    </row>
    <row r="14" ht="30" customHeight="1">
      <c r="A14" s="24" t="inlineStr">
        <is>
          <t>Pro tip</t>
        </is>
      </c>
      <c r="B14" s="17">
        <f>INDEX('Topic (56-pt) cards'!$A$3:$BB$34,MATCH($B$2,'Topic (56-pt) cards'!$A$3:$A$34,0),MATCH("Pro tip",'Topic (56-pt) cards'!$A$2:$BB$2,0))&amp;""</f>
        <v/>
      </c>
    </row>
    <row r="15" ht="30" customHeight="1">
      <c r="A15" s="24" t="inlineStr">
        <is>
          <t>Memory story</t>
        </is>
      </c>
      <c r="B15" s="17">
        <f>INDEX('Topic (56-pt) cards'!$A$3:$BB$34,MATCH($B$2,'Topic (56-pt) cards'!$A$3:$A$34,0),MATCH("Memory story",'Topic (56-pt) cards'!$A$2:$BB$2,0))&amp;""</f>
        <v/>
      </c>
    </row>
    <row r="16" ht="30" customHeight="1">
      <c r="A16" s="24" t="inlineStr">
        <is>
          <t>Picture it</t>
        </is>
      </c>
      <c r="B16" s="17">
        <f>INDEX('Topic (56-pt) cards'!$A$3:$BB$34,MATCH($B$2,'Topic (56-pt) cards'!$A$3:$A$34,0),MATCH("Picture it",'Topic (56-pt) cards'!$A$2:$BB$2,0))&amp;""</f>
        <v/>
      </c>
    </row>
    <row r="17" ht="30" customHeight="1">
      <c r="A17" s="24" t="inlineStr">
        <is>
          <t>Emotion hook</t>
        </is>
      </c>
      <c r="B17" s="17">
        <f>INDEX('Topic (56-pt) cards'!$A$3:$BB$34,MATCH($B$2,'Topic (56-pt) cards'!$A$3:$A$34,0),MATCH("Emotion hook",'Topic (56-pt) cards'!$A$2:$BB$2,0))&amp;""</f>
        <v/>
      </c>
    </row>
    <row r="18" ht="30" customHeight="1">
      <c r="A18" s="24" t="inlineStr">
        <is>
          <t>Importance ★</t>
        </is>
      </c>
      <c r="B18" s="17">
        <f>INDEX('Topic (56-pt) cards'!$A$3:$BB$34,MATCH($B$2,'Topic (56-pt) cards'!$A$3:$A$34,0),MATCH("Importance ★",'Topic (56-pt) cards'!$A$2:$BB$2,0))&amp;""</f>
        <v/>
      </c>
    </row>
    <row r="19">
      <c r="A19" s="25" t="inlineStr">
        <is>
          <t>BACK · Understanding (samjho)</t>
        </is>
      </c>
    </row>
    <row r="20" ht="40.5" customHeight="1">
      <c r="A20" s="24" t="inlineStr">
        <is>
          <t>Definition (simple)</t>
        </is>
      </c>
      <c r="B20" s="17">
        <f>INDEX('Topic (56-pt) cards'!$A$3:$BB$34,MATCH($B$2,'Topic (56-pt) cards'!$A$3:$A$34,0),MATCH("Definition (simple)",'Topic (56-pt) cards'!$A$2:$BB$2,0))&amp;""</f>
        <v/>
      </c>
    </row>
    <row r="21" ht="30" customHeight="1">
      <c r="A21" s="24" t="inlineStr">
        <is>
          <t>Meaning in learner's language</t>
        </is>
      </c>
      <c r="B21" s="17">
        <f>INDEX('Topic (56-pt) cards'!$A$3:$BB$34,MATCH($B$2,'Topic (56-pt) cards'!$A$3:$A$34,0),MATCH("Meaning in learner's language",'Topic (56-pt) cards'!$A$2:$BB$2,0))&amp;""</f>
        <v/>
      </c>
    </row>
    <row r="22" ht="67.5" customHeight="1">
      <c r="A22" s="24" t="inlineStr">
        <is>
          <t>How / why it works</t>
        </is>
      </c>
      <c r="B22" s="17">
        <f>INDEX('Topic (56-pt) cards'!$A$3:$BB$34,MATCH($B$2,'Topic (56-pt) cards'!$A$3:$A$34,0),MATCH("How / why it works",'Topic (56-pt) cards'!$A$2:$BB$2,0))&amp;""</f>
        <v/>
      </c>
    </row>
    <row r="23" ht="30" customHeight="1">
      <c r="A23" s="24" t="inlineStr">
        <is>
          <t>Simple explanation (Hinglish)</t>
        </is>
      </c>
      <c r="B23" s="17">
        <f>INDEX('Topic (56-pt) cards'!$A$3:$BB$34,MATCH($B$2,'Topic (56-pt) cards'!$A$3:$A$34,0),MATCH("Simple explanation (Hinglish)",'Topic (56-pt) cards'!$A$2:$BB$2,0))&amp;""</f>
        <v/>
      </c>
    </row>
    <row r="24" ht="30" customHeight="1">
      <c r="A24" s="24" t="inlineStr">
        <is>
          <t>Real-life analogy</t>
        </is>
      </c>
      <c r="B24" s="17">
        <f>INDEX('Topic (56-pt) cards'!$A$3:$BB$34,MATCH($B$2,'Topic (56-pt) cards'!$A$3:$A$34,0),MATCH("Real-life analogy",'Topic (56-pt) cards'!$A$2:$BB$2,0))&amp;""</f>
        <v/>
      </c>
    </row>
    <row r="25" ht="30" customHeight="1">
      <c r="A25" s="24" t="inlineStr">
        <is>
          <t>Formula / rule</t>
        </is>
      </c>
      <c r="B25" s="17">
        <f>INDEX('Topic (56-pt) cards'!$A$3:$BB$34,MATCH($B$2,'Topic (56-pt) cards'!$A$3:$A$34,0),MATCH("Formula / rule",'Topic (56-pt) cards'!$A$2:$BB$2,0))&amp;""</f>
        <v/>
      </c>
    </row>
    <row r="26" ht="30" customHeight="1">
      <c r="A26" s="24" t="inlineStr">
        <is>
          <t>Example 1</t>
        </is>
      </c>
      <c r="B26" s="17">
        <f>INDEX('Topic (56-pt) cards'!$A$3:$BB$34,MATCH($B$2,'Topic (56-pt) cards'!$A$3:$A$34,0),MATCH("Example 1",'Topic (56-pt) cards'!$A$2:$BB$2,0))&amp;""</f>
        <v/>
      </c>
    </row>
    <row r="27" ht="30" customHeight="1">
      <c r="A27" s="24" t="inlineStr">
        <is>
          <t>Example 2</t>
        </is>
      </c>
      <c r="B27" s="17">
        <f>INDEX('Topic (56-pt) cards'!$A$3:$BB$34,MATCH($B$2,'Topic (56-pt) cards'!$A$3:$A$34,0),MATCH("Example 2",'Topic (56-pt) cards'!$A$2:$BB$2,0))&amp;""</f>
        <v/>
      </c>
    </row>
    <row r="28" ht="30" customHeight="1">
      <c r="A28" s="24" t="inlineStr">
        <is>
          <t>Example 3</t>
        </is>
      </c>
      <c r="B28" s="17">
        <f>INDEX('Topic (56-pt) cards'!$A$3:$BB$34,MATCH($B$2,'Topic (56-pt) cards'!$A$3:$A$34,0),MATCH("Example 3",'Topic (56-pt) cards'!$A$2:$BB$2,0))&amp;""</f>
        <v/>
      </c>
    </row>
    <row r="29" ht="30" customHeight="1">
      <c r="A29" s="24" t="inlineStr">
        <is>
          <t>Related concepts</t>
        </is>
      </c>
      <c r="B29" s="17">
        <f>INDEX('Topic (56-pt) cards'!$A$3:$BB$34,MATCH($B$2,'Topic (56-pt) cards'!$A$3:$A$34,0),MATCH("Related concepts",'Topic (56-pt) cards'!$A$2:$BB$2,0))&amp;""</f>
        <v/>
      </c>
    </row>
    <row r="30" ht="30" customHeight="1">
      <c r="A30" s="24" t="inlineStr">
        <is>
          <t>Family / group</t>
        </is>
      </c>
      <c r="B30" s="17">
        <f>INDEX('Topic (56-pt) cards'!$A$3:$BB$34,MATCH($B$2,'Topic (56-pt) cards'!$A$3:$A$34,0),MATCH("Family / group",'Topic (56-pt) cards'!$A$2:$BB$2,0))&amp;""</f>
        <v/>
      </c>
    </row>
    <row r="31" ht="30" customHeight="1">
      <c r="A31" s="24" t="inlineStr">
        <is>
          <t>Where it is used</t>
        </is>
      </c>
      <c r="B31" s="17">
        <f>INDEX('Topic (56-pt) cards'!$A$3:$BB$34,MATCH($B$2,'Topic (56-pt) cards'!$A$3:$A$34,0),MATCH("Where it is used",'Topic (56-pt) cards'!$A$2:$BB$2,0))&amp;""</f>
        <v/>
      </c>
    </row>
    <row r="32" ht="30" customHeight="1">
      <c r="A32" s="24" t="inlineStr">
        <is>
          <t>Mini conversation</t>
        </is>
      </c>
      <c r="B32" s="17">
        <f>INDEX('Topic (56-pt) cards'!$A$3:$BB$34,MATCH($B$2,'Topic (56-pt) cards'!$A$3:$A$34,0),MATCH("Mini conversation",'Topic (56-pt) cards'!$A$2:$BB$2,0))&amp;""</f>
        <v/>
      </c>
    </row>
    <row r="33" ht="30" customHeight="1">
      <c r="A33" s="24" t="inlineStr">
        <is>
          <t>Common mistake</t>
        </is>
      </c>
      <c r="B33" s="17">
        <f>INDEX('Topic (56-pt) cards'!$A$3:$BB$34,MATCH($B$2,'Topic (56-pt) cards'!$A$3:$A$34,0),MATCH("Common mistake",'Topic (56-pt) cards'!$A$2:$BB$2,0))&amp;""</f>
        <v/>
      </c>
    </row>
    <row r="34" ht="30" customHeight="1">
      <c r="A34" s="24" t="inlineStr">
        <is>
          <t>Don't confuse with</t>
        </is>
      </c>
      <c r="B34" s="17">
        <f>INDEX('Topic (56-pt) cards'!$A$3:$BB$34,MATCH($B$2,'Topic (56-pt) cards'!$A$3:$A$34,0),MATCH("Don't confuse with",'Topic (56-pt) cards'!$A$2:$BB$2,0))&amp;""</f>
        <v/>
      </c>
    </row>
    <row r="35" ht="30" customHeight="1">
      <c r="A35" s="24" t="inlineStr">
        <is>
          <t>Avoid / don't</t>
        </is>
      </c>
      <c r="B35" s="17">
        <f>INDEX('Topic (56-pt) cards'!$A$3:$BB$34,MATCH($B$2,'Topic (56-pt) cards'!$A$3:$A$34,0),MATCH("Avoid / don't",'Topic (56-pt) cards'!$A$2:$BB$2,0))&amp;""</f>
        <v/>
      </c>
    </row>
    <row r="36" ht="30" customHeight="1">
      <c r="A36" s="24" t="inlineStr">
        <is>
          <t>Memory trick</t>
        </is>
      </c>
      <c r="B36" s="17">
        <f>INDEX('Topic (56-pt) cards'!$A$3:$BB$34,MATCH($B$2,'Topic (56-pt) cards'!$A$3:$A$34,0),MATCH("Memory trick",'Topic (56-pt) cards'!$A$2:$BB$2,0))&amp;""</f>
        <v/>
      </c>
    </row>
    <row r="37" ht="30" customHeight="1">
      <c r="A37" s="24" t="inlineStr">
        <is>
          <t>Real life: project / work</t>
        </is>
      </c>
      <c r="B37" s="17">
        <f>INDEX('Topic (56-pt) cards'!$A$3:$BB$34,MATCH($B$2,'Topic (56-pt) cards'!$A$3:$A$34,0),MATCH("Real life: project / work",'Topic (56-pt) cards'!$A$2:$BB$2,0))&amp;""</f>
        <v/>
      </c>
    </row>
    <row r="38" ht="30" customHeight="1">
      <c r="A38" s="24" t="inlineStr">
        <is>
          <t>Real life: interview / exam</t>
        </is>
      </c>
      <c r="B38" s="17">
        <f>INDEX('Topic (56-pt) cards'!$A$3:$BB$34,MATCH($B$2,'Topic (56-pt) cards'!$A$3:$A$34,0),MATCH("Real life: interview / exam",'Topic (56-pt) cards'!$A$2:$BB$2,0))&amp;""</f>
        <v/>
      </c>
    </row>
    <row r="39" ht="30" customHeight="1">
      <c r="A39" s="24" t="inlineStr">
        <is>
          <t>Real life: daily life</t>
        </is>
      </c>
      <c r="B39" s="17">
        <f>INDEX('Topic (56-pt) cards'!$A$3:$BB$34,MATCH($B$2,'Topic (56-pt) cards'!$A$3:$A$34,0),MATCH("Real life: daily life",'Topic (56-pt) cards'!$A$2:$BB$2,0))&amp;""</f>
        <v/>
      </c>
    </row>
    <row r="40">
      <c r="A40" s="27" t="inlineStr">
        <is>
          <t>PRACTICE · Khud karo</t>
        </is>
      </c>
    </row>
    <row r="41" ht="30" customHeight="1">
      <c r="A41" s="24" t="inlineStr">
        <is>
          <t>MCQ question</t>
        </is>
      </c>
      <c r="B41" s="17">
        <f>INDEX('Topic (56-pt) cards'!$A$3:$BB$34,MATCH($B$2,'Topic (56-pt) cards'!$A$3:$A$34,0),MATCH("MCQ question",'Topic (56-pt) cards'!$A$2:$BB$2,0))&amp;""</f>
        <v/>
      </c>
    </row>
    <row r="42" ht="30" customHeight="1">
      <c r="A42" s="24" t="inlineStr">
        <is>
          <t>MCQ options</t>
        </is>
      </c>
      <c r="B42" s="17">
        <f>INDEX('Topic (56-pt) cards'!$A$3:$BB$34,MATCH($B$2,'Topic (56-pt) cards'!$A$3:$A$34,0),MATCH("MCQ options",'Topic (56-pt) cards'!$A$2:$BB$2,0))&amp;""</f>
        <v/>
      </c>
    </row>
    <row r="43" ht="30" customHeight="1">
      <c r="A43" s="24" t="inlineStr">
        <is>
          <t>MCQ answer</t>
        </is>
      </c>
      <c r="B43" s="17">
        <f>INDEX('Topic (56-pt) cards'!$A$3:$BB$34,MATCH($B$2,'Topic (56-pt) cards'!$A$3:$A$34,0),MATCH("MCQ answer",'Topic (56-pt) cards'!$A$2:$BB$2,0))&amp;""</f>
        <v/>
      </c>
    </row>
    <row r="44" ht="30" customHeight="1">
      <c r="A44" s="24" t="inlineStr">
        <is>
          <t>Why that answer</t>
        </is>
      </c>
      <c r="B44" s="17">
        <f>INDEX('Topic (56-pt) cards'!$A$3:$BB$34,MATCH($B$2,'Topic (56-pt) cards'!$A$3:$A$34,0),MATCH("Why that answer",'Topic (56-pt) cards'!$A$2:$BB$2,0))&amp;""</f>
        <v/>
      </c>
    </row>
    <row r="45" ht="30" customHeight="1">
      <c r="A45" s="24" t="inlineStr">
        <is>
          <t>Fill the blank</t>
        </is>
      </c>
      <c r="B45" s="17">
        <f>INDEX('Topic (56-pt) cards'!$A$3:$BB$34,MATCH($B$2,'Topic (56-pt) cards'!$A$3:$A$34,0),MATCH("Fill the blank",'Topic (56-pt) cards'!$A$2:$BB$2,0))&amp;""</f>
        <v/>
      </c>
    </row>
    <row r="46" ht="30" customHeight="1">
      <c r="A46" s="24" t="inlineStr">
        <is>
          <t>Apply it</t>
        </is>
      </c>
      <c r="B46" s="17">
        <f>INDEX('Topic (56-pt) cards'!$A$3:$BB$34,MATCH($B$2,'Topic (56-pt) cards'!$A$3:$A$34,0),MATCH("Apply it",'Topic (56-pt) cards'!$A$2:$BB$2,0))&amp;""</f>
        <v/>
      </c>
    </row>
    <row r="47" ht="30" customHeight="1">
      <c r="A47" s="24" t="inlineStr">
        <is>
          <t>Explain it yourself</t>
        </is>
      </c>
      <c r="B47" s="17">
        <f>INDEX('Topic (56-pt) cards'!$A$3:$BB$34,MATCH($B$2,'Topic (56-pt) cards'!$A$3:$A$34,0),MATCH("Explain it yourself",'Topic (56-pt) cards'!$A$2:$BB$2,0))&amp;""</f>
        <v/>
      </c>
    </row>
    <row r="48" ht="30" customHeight="1">
      <c r="A48" s="24" t="inlineStr">
        <is>
          <t>Write your own</t>
        </is>
      </c>
      <c r="B48" s="17">
        <f>INDEX('Topic (56-pt) cards'!$A$3:$BB$34,MATCH($B$2,'Topic (56-pt) cards'!$A$3:$A$34,0),MATCH("Write your own",'Topic (56-pt) cards'!$A$2:$BB$2,0))&amp;""</f>
        <v/>
      </c>
    </row>
    <row r="49" ht="30" customHeight="1">
      <c r="A49" s="24" t="inlineStr">
        <is>
          <t>Quick recall (reverse)</t>
        </is>
      </c>
      <c r="B49" s="17">
        <f>INDEX('Topic (56-pt) cards'!$A$3:$BB$34,MATCH($B$2,'Topic (56-pt) cards'!$A$3:$A$34,0),MATCH("Quick recall (reverse)",'Topic (56-pt) cards'!$A$2:$BB$2,0))&amp;""</f>
        <v/>
      </c>
    </row>
  </sheetData>
  <mergeCells count="3">
    <mergeCell ref="A4:B4"/>
    <mergeCell ref="A19:B19"/>
    <mergeCell ref="A40:B40"/>
  </mergeCells>
  <dataValidations count="1">
    <dataValidation sqref="B2" showDropDown="0" showInputMessage="0" showErrorMessage="0" allowBlank="0" type="list">
      <formula1>='Topic (56-pt) cards'!$A$3:$A$34</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8" t="inlineStr">
        <is>
          <t>Front</t>
        </is>
      </c>
      <c r="B1" s="28" t="inlineStr">
        <is>
          <t>Back</t>
        </is>
      </c>
      <c r="C1" s="28" t="inlineStr">
        <is>
          <t>Tags</t>
        </is>
      </c>
    </row>
    <row r="2" ht="409" customHeight="1">
      <c r="A2" s="29" t="inlineStr">
        <is>
          <t>What RAG is
Which pattern lets a model answer from your documents by retrieving relevant text first?</t>
        </is>
      </c>
      <c r="B2" s="29" t="inlineStr">
        <is>
          <t>DEFINITION (SIMPLE):
Retrieval-augmented generation retrieves relevant passages from a knowledge source for a user's question, adds them to the prompt, and has the model generate an answer grounded in them.
HOW / WHY IT WORKS:
The pipeline has two phases. Offline, documents are split, embedded and indexed. Online, the question is embedded, similar chunks are retrieved, a prompt is built with the chunks, and the model answers, often with citations. RAG keeps knowledge outside the model so it can be updated and access-controlled.
SIMPLE EXPLANATION (HINGLISH):
Search your documents first, then let the model answer using what was found.
REAL-LIFE ANALOGY:
RAG is a student who looks up the right pages before writing the answer.
FORMULA / RULE:
Retrieve, augment the prompt, generate.
EXAMPLE 1:
A support bot answering from the help centre.
EXAMPLE 2:
An assistant answering questions about internal policies.
EXAMPLE 3:
A contract search tool with cited clauses.
RELATED CONCEPTS:
embeddings, grounding, chunking, vector search
FAMILY / GROUP:
retrieval, generation, chunk, index, grounding
WHERE IT IS USED:
Knowledge assistants | Support | Enterprise search
MINI CONVERSATION:
A: The model does not know our new policy. | B: Use RAG so it reads the policy before answering.
COMMON MISTAKE:
✗ RAG trains the model on your documents → ✓ It only supplies relevant text at question time
DON'T CONFUSE WITH:
RAG vs fine-tuning: RAG supplies knowledge at run time, fine-tuning changes the model.
AVOID / DON'T:
Do not assume retrieval always finds the right passage.
MEMORY TRICK:
Look up first, then write.
REAL LIFE: PROJECT / WORK:
A RAG assistant answered from a customer's help centre with cited sources.
REAL LIFE: INTERVIEW / EXAM:
An interviewer may ask: How does RAG work?
REAL LIFE: DAILY LIFE:
It is like an open-book exam.</t>
        </is>
      </c>
      <c r="C2" s="29" t="inlineStr">
        <is>
          <t>01_Ideas_Beginner_RAG-001</t>
        </is>
      </c>
    </row>
    <row r="3" ht="409" customHeight="1">
      <c r="A3" s="29" t="inlineStr">
        <is>
          <t>RAG vs fine-tuning vs long context
Which three ways give a model your knowledge, and when does each fit?</t>
        </is>
      </c>
      <c r="B3" s="29" t="inlineStr">
        <is>
          <t>DEFINITION (SIMPLE):
Fine-tuning changes model behaviour with training data, long context places whole documents in the prompt, and RAG retrieves only relevant passages from a larger store at question time.
HOW / WHY IT WORKS:
Long context is simple for a few documents, but costly per call and may dilute attention. RAG scales to huge collections, supports updates, access control and citations. Fine-tuning suits style and format, not fresh facts. Hybrids are common, such as RAG with a lightly tuned model.
SIMPLE EXPLANATION (HINGLISH):
Small documents fit in context, large changing collections need RAG, and style needs fine-tuning.
REAL-LIFE ANALOGY:
Fine-tuning is teaching, long context is handing over the whole book, and RAG is handing over the right pages.
FORMULA / RULE:
Size and change decide: small = context, large and live = RAG.
EXAMPLE 1:
A ten page manual pasted into the prompt.
EXAMPLE 2:
Millions of tickets searched with RAG.
EXAMPLE 3:
A brand voice learned through fine-tuning.
RELATED CONCEPTS:
prompting vs fine-tuning, context window, cost control, pipeline overview
FAMILY / GROUP:
context, retrieval, fine-tuning, scale, freshness
WHERE IT IS USED:
Architecture decisions | Proposals | Cost planning
MINI CONVERSATION:
A: Can we just paste all documents in the prompt? | B: Not if there are thousands, so retrieve the relevant ones.
COMMON MISTAKE:
✗ A bigger context window makes RAG unnecessary → ✓ Large collections, cost, permissions and updates still favour retrieval
DON'T CONFUSE WITH:
RAG vs long context: retrieve selected pages versus supply everything.
AVOID / DON'T:
Do not paste huge collections into every call.
MEMORY TRICK:
Small book in context, big library by retrieval.
REAL LIFE: PROJECT / WORK:
Switching from pasting documents to retrieval cut cost and improved relevance.
REAL LIFE: INTERVIEW / EXAM:
An interviewer may ask: When would you use RAG instead of long context?
REAL LIFE: DAILY LIFE:
It is like handing over the right pages instead of the whole library.</t>
        </is>
      </c>
      <c r="C3" s="29" t="inlineStr">
        <is>
          <t>01_Ideas_Intermediate_RAG-002</t>
        </is>
      </c>
    </row>
    <row r="4" ht="409" customHeight="1">
      <c r="A4" s="29" t="inlineStr">
        <is>
          <t>Pipeline overview
Which stages make up a typical RAG system from documents to answer?</t>
        </is>
      </c>
      <c r="B4" s="29" t="inlineStr">
        <is>
          <t>DEFINITION (SIMPLE):
A RAG pipeline loads and cleans documents, chunks them, embeds and indexes the chunks, then at question time retrieves candidates, optionally reranks, builds a prompt and generates a cited answer.
HOW / WHY IT WORKS:
Quality depends on every stage. Poor parsing loses text, bad chunking splits ideas, weak retrieval misses evidence, and a weak prompt ignores it. Add evaluation, logging and access control around the pipeline. Updates must flow through ingestion. Each stage can be improved independently.
SIMPLE EXPLANATION (HINGLISH):
Load, chunk, embed, index, retrieve, rerank, prompt, answer, and measure each step.
REAL-LIFE ANALOGY:
The pipeline is a library: shelving books, finding the right ones, and writing the answer.
FORMULA / RULE:
Ingest → retrieve → generate → evaluate.
EXAMPLE 1:
A PDF parsed into text and chunked.
EXAMPLE 2:
A query retrieving ten chunks and reranking to five.
EXAMPLE 3:
A prompt with five chunks and a citation rule.
RELATED CONCEPTS:
loading documents, chunking, vector search, building the prompt
FAMILY / GROUP:
pipeline, ingestion, retrieval, generation, evaluation
WHERE IT IS USED:
Design | Debugging | Reviews
MINI CONVERSATION:
A: The answers are wrong. | B: First check whether retrieval found the right chunks.
COMMON MISTAKE:
✗ If the answer is wrong, the model is to blame → ✓ Often retrieval or parsing failed earlier
DON'T CONFUSE WITH:
Ingestion vs retrieval: preparing the knowledge versus finding it.
AVOID / DON'T:
Do not tune the prompt before checking retrieval.
MEMORY TRICK:
Check retrieval before blaming the model.
REAL LIFE: PROJECT / WORK:
Finding poor PDF parsing explained why answers missed table content.
REAL LIFE: INTERVIEW / EXAM:
An interviewer may ask: Walk me through a RAG pipeline.
REAL LIFE: DAILY LIFE:
It is like shelving books and finding the right ones.</t>
        </is>
      </c>
      <c r="C4" s="29" t="inlineStr">
        <is>
          <t>01_Ideas_Beginner_RAG-003</t>
        </is>
      </c>
    </row>
    <row r="5" ht="409" customHeight="1">
      <c r="A5" s="29" t="inlineStr">
        <is>
          <t>When RAG fails
Which problems make RAG answers wrong even with a good model?</t>
        </is>
      </c>
      <c r="B5" s="29" t="inlineStr">
        <is>
          <t>DEFINITION (SIMPLE):
Common RAG failures include missing or badly parsed content, chunks that split key information, retrieval that misses relevant text, too much irrelevant context, ignored or misread evidence, outdated data and questions that need reasoning across many documents.
HOW / WHY IT WORKS:
Diagnose by checking whether the evidence exists, whether it was retrieved, whether it was in the prompt, and whether the model used it. Fixes include better parsing, new chunking, hybrid search, reranking, query rewriting, shorter context and clearer instructions. Some questions need aggregation or multi-step retrieval.
SIMPLE EXPLANATION (HINGLISH):
Check exists, retrieved, in prompt, and used, to find the broken link.
REAL-LIFE ANALOGY:
RAG failures are broken links in a chain.
FORMULA / RULE:
Exists? Retrieved? In the prompt? Used?
EXAMPLE 1:
A table that the parser dropped.
EXAMPLE 2:
An answer split across two chunks.
EXAMPLE 3:
A model ignoring a retrieved passage.
RELATED CONCEPTS:
pipeline overview, evaluating retrieval, failure analysis, reranking
FAMILY / GROUP:
failure, recall, noise, parsing, aggregation
WHERE IT IS USED:
Debugging | Quality reviews | Operations
MINI CONVERSATION:
A: The answer is in the document but the bot says it does not know. | B: Check whether that chunk was retrieved.
COMMON MISTAKE:
✗ More retrieved chunks always help → ✓ Irrelevant context can distract the model
DON'T CONFUSE WITH:
Retrieval failure vs generation failure: wrong evidence versus misused evidence.
AVOID / DON'T:
Do not guess the cause without checking each stage.
MEMORY TRICK:
Four questions find the failing stage.
REAL LIFE: PROJECT / WORK:
Classifying failures showed that most errors came from parsing, not the model.
REAL LIFE: INTERVIEW / EXAM:
An interviewer may ask: How do you debug a wrong RAG answer?
REAL LIFE: DAILY LIFE:
It is like finding the broken link in a chain.</t>
        </is>
      </c>
      <c r="C5" s="29" t="inlineStr">
        <is>
          <t>01_Ideas_Intermediate_RAG-004</t>
        </is>
      </c>
    </row>
    <row r="6" ht="409" customHeight="1">
      <c r="A6" s="29" t="inlineStr">
        <is>
          <t>Build vs buy
Should you build RAG yourself or use a managed service?</t>
        </is>
      </c>
      <c r="B6" s="29" t="inlineStr">
        <is>
          <t>DEFINITION (SIMPLE):
Build versus buy compares assembling your own pipeline from libraries and databases with using a managed retrieval or RAG platform that handles parsing, indexing and search.
HOW / WHY IT WORKS:
Managed services give speed, but may limit control over parsing, chunking, ranking, data location and cost. Building gives control, but needs engineering, evaluation and maintenance. Consider data sensitivity, scale, team skills, vendor lock-in and exit plans. A common path is to start managed and replace pieces as needs grow.
SIMPLE EXPLANATION (HINGLISH):
Buy for speed, build for control, and start simple.
REAL-LIFE ANALOGY:
Build or buy is cooking from scratch versus a meal kit.
FORMULA / RULE:
Speed and cost versus control and fit.
EXAMPLE 1:
A managed vector search for a prototype.
EXAMPLE 2:
Custom parsing for complex contracts.
EXAMPLE 3:
A move from managed to self-hosted later.
RELATED CONCEPTS:
pipeline overview, pgvector, cost and latency, access control
FAMILY / GROUP:
managed, self-hosted, lock-in, control, prototype
WHERE IT IS USED:
Proposals | Architecture | Procurement
MINI CONVERSATION:
A: Should we build our own pipeline? | B: Prototype with a managed service, then see what needs control.
COMMON MISTAKE:
✗ Building is always cheaper in the long run → ✓ Maintenance and evaluation cost real effort
DON'T CONFUSE WITH:
Managed vs custom: faster start versus deeper control.
AVOID / DON'T:
Do not choose a platform without checking data handling terms.
MEMORY TRICK:
Start managed, own what matters.
REAL LIFE: PROJECT / WORK:
A managed prototype validated demand before investing in custom parsing.
REAL LIFE: INTERVIEW / EXAM:
An interviewer may ask: How do you decide whether to build RAG?
REAL LIFE: DAILY LIFE:
It is like a meal kit versus cooking from scratch.</t>
        </is>
      </c>
      <c r="C6" s="29" t="inlineStr">
        <is>
          <t>01_Ideas_Intermediate_RAG-005</t>
        </is>
      </c>
    </row>
    <row r="7" ht="409" customHeight="1">
      <c r="A7" s="29" t="inlineStr">
        <is>
          <t>Loading documents
How do you bring documents from many sources into the pipeline?</t>
        </is>
      </c>
      <c r="B7" s="29" t="inlineStr">
        <is>
          <t>DEFINITION (SIMPLE):
Document loading uses connectors or scripts to read content from sources such as files, wikis, help desks, drives and databases, along with metadata like source, author, permissions and modified time.
HOW / WHY IT WORKS:
Decide which sources are authoritative. Respect permissions and licences. Capture metadata for citations and filters. Detect changes so updates are incremental. Handle formats such as HTML, Word, PDF and spreadsheets. Remove duplicates and stale versions. Log what was loaded and what failed.
SIMPLE EXPLANATION (HINGLISH):
Collect from trusted sources with metadata, permissions and change tracking.
REAL-LIFE ANALOGY:
Loading is collecting books from many shelves into one reading room.
FORMULA / RULE:
Content + metadata + permissions + change tracking.
EXAMPLE 1:
A connector for a wiki.
EXAMPLE 2:
A scheduled sync of a shared drive.
EXAMPLE 3:
A record of source URL and modified time.
RELATED CONCEPTS:
parsing PDFs and OCR, metadata, updating the index, access control
FAMILY / GROUP:
connector, source, sync, permissions, metadata
WHERE IT IS USED:
Enterprise search | Knowledge bases | Support tools
MINI CONVERSATION:
A: Which version of the policy is current? | B: Load the latest modified one and mark older ones stale.
COMMON MISTAKE:
✗ Loading everything available improves answers → ✓ Duplicates and outdated files lower quality
DON'T CONFUSE WITH:
Full vs incremental load: everything each time versus only changes.
AVOID / DON'T:
Do not ignore permissions when loading.
MEMORY TRICK:
Authoritative sources only, with metadata.
REAL LIFE: PROJECT / WORK:
Excluding outdated drafts raised answer accuracy in a policy assistant.
REAL LIFE: INTERVIEW / EXAM:
An interviewer may ask: What metadata do you keep when loading documents?
REAL LIFE: DAILY LIFE:
It is like collecting books into one reading room.</t>
        </is>
      </c>
      <c r="C7" s="29" t="inlineStr">
        <is>
          <t>02_Ingestion_Beginner_RAG-006</t>
        </is>
      </c>
    </row>
    <row r="8" ht="409" customHeight="1">
      <c r="A8" s="29" t="inlineStr">
        <is>
          <t>Parsing PDFs and OCR
How do you turn PDFs and scans into clean text?</t>
        </is>
      </c>
      <c r="B8" s="29" t="inlineStr">
        <is>
          <t>DEFINITION (SIMPLE):
Parsing extracts text and structure from files such as PDFs, and OCR converts images of text into characters, while layout-aware tools preserve columns, headings and tables.
HOW / WHY IT WORKS:
Simple PDFs have a text layer, but multi-column layouts can come out scrambled. Scans need OCR, which makes errors on poor images. Tables need special handling, such as converting to markdown or rows. Headers and footers should be removed. Vision models can read pages directly. Always sample outputs and compare with the original.
SIMPLE EXPLANATION (HINGLISH):
Use layout-aware parsing or OCR, keep tables and headings, and check the results by eye.
REAL-LIFE ANALOGY:
Parsing a PDF is copying text from a photograph of a page.
FORMULA / RULE:
Text layer or OCR, then structure, then inspection.
EXAMPLE 1:
A two-column paper read in the wrong order.
EXAMPLE 2:
A scanned form needing OCR.
EXAMPLE 3:
A table converted to rows.
RELATED CONCEPTS:
loading documents, cleaning, chunking, multimodal input
FAMILY / GROUP:
parsing, OCR, layout, table, text layer
WHERE IT IS USED:
Document pipelines | Contracts | Reports
MINI CONVERSATION:
A: The bot cannot answer from the tables. | B: The parser dropped them, so use a table-aware parser.
COMMON MISTAKE:
✗ Any PDF library gives clean text → ✓ Layouts, scans and tables often break simple extraction
DON'T CONFUSE WITH:
Text layer vs OCR: embedded text versus recognised images.
AVOID / DON'T:
Do not trust parsed text without sampling.
MEMORY TRICK:
Look at the parsed text yourself.
REAL LIFE: PROJECT / WORK:
Switching to a layout-aware parser recovered table data that answers needed.
REAL LIFE: INTERVIEW / EXAM:
An interviewer may ask: What problems do PDFs cause in RAG?
REAL LIFE: DAILY LIFE:
It is like copying text from a photograph.</t>
        </is>
      </c>
      <c r="C8" s="29" t="inlineStr">
        <is>
          <t>02_Ingestion_Intermediate_RAG-007</t>
        </is>
      </c>
    </row>
    <row r="9" ht="409" customHeight="1">
      <c r="A9" s="29" t="inlineStr">
        <is>
          <t>Cleaning text for RAG
Which cleanup steps remove noise before indexing?</t>
        </is>
      </c>
      <c r="B9" s="29" t="inlineStr">
        <is>
          <t>DEFINITION (SIMPLE):
Cleaning removes or normalises noise such as navigation text, headers, footers, page numbers, repeated boilerplate, odd characters and duplicate content, while preserving headings and meaning.
HOW / WHY IT WORKS:
Noise lowers search precision and wastes prompt space. Normalise whitespace and encodings. Deduplicate near-identical pages. Keep structure such as titles and section names, since they help retrieval and citations. Be careful not to delete meaningful content, such as legal notes. Test the effect on retrieval.
SIMPLE EXPLANATION (HINGLISH):
Strip repeated noise, keep structure and meaning, and test the effect.
REAL-LIFE ANALOGY:
Cleaning is removing the packaging before weighing the goods.
FORMULA / RULE:
Remove noise, keep structure.
EXAMPLE 1:
Deleting repeated page footers.
EXAMPLE 2:
Removing cookie banners from scraped pages.
EXAMPLE 3:
Merging duplicate versions of an article.
RELATED CONCEPTS:
parsing PDFs, chunking, metadata, evaluating retrieval
FAMILY / GROUP:
cleaning, boilerplate, noise, normalise, duplicate
WHERE IT IS USED:
Ingestion | Scraping | Knowledge bases
MINI CONVERSATION:
A: Every result starts with the same legal footer. | B: Remove the footer before indexing.
COMMON MISTAKE:
✗ The more text indexed, the better → ✓ Noise reduces precision and wastes space
DON'T CONFUSE WITH:
Noise vs structure: remove noise, keep headings.
AVOID / DON'T:
Do not strip headings that give context.
MEMORY TRICK:
Delete the noise, keep the headings.
REAL LIFE: PROJECT / WORK:
Removing repeated footers improved top results for short questions.
REAL LIFE: INTERVIEW / EXAM:
An interviewer may ask: Why clean documents before indexing?
REAL LIFE: DAILY LIFE:
It is like removing packaging before weighing goods.</t>
        </is>
      </c>
      <c r="C9" s="29" t="inlineStr">
        <is>
          <t>02_Ingestion_Beginner_RAG-008</t>
        </is>
      </c>
    </row>
    <row r="10" ht="409" customHeight="1">
      <c r="A10" s="29" t="inlineStr">
        <is>
          <t>Chunking
How do you split long documents into pieces that can be retrieved?
-- a chunks table for ingestion
CREATE TABLE chunks (
  id BIGSERIAL PRIMARY KEY,
  doc_id TEXT NOT NULL,
  section_path TEXT,
  chunk_index INT NOT NULL,
  content TEXT NOT NULL,
  token_count INT,
  source_url TEXT,
  updated_at TIMESTAMPTZ
);
-- python-style idea (not run): split by headings, then merge small paragraphs up to about 400 tokens</t>
        </is>
      </c>
      <c r="B10" s="29" t="inlineStr">
        <is>
          <t>MEANING (SHORT):
Chunking divides documents into smaller passages, ideally along semantic boundaries such as headings and paragraphs, each carrying its title path and metadata.
CODE:
-- a chunks table for ingestion
CREATE TABLE chunks (
  id BIGSERIAL PRIMARY KEY,
  doc_id TEXT NOT NULL,
  section_path TEXT,
  chunk_index INT NOT NULL,
  content TEXT NOT NULL,
  token_count INT,
  source_url TEXT,
  updated_at TIMESTAMPTZ
);
-- python-style idea (not run): split by headings, then merge small paragraphs up to about 400 tokens
OUTPUT:
Each chunk is stored with its document, section path and position, ready to embed and cite.
EXPLANATION:
Too large chunks mix topics and dilute matches. Too small chunks lose context. Prepend the document title and section path to each chunk's text. Respect tables and code blocks. Overlap and size are tuned using evaluation. Keep a link back to the source for citations. Re-chunk when the strategy changes.
SIMPLE EXPLANATION (HINGLISH):
Split on structure, keep chunks self-contained, and attach titles and metadata.
REAL-LIFE ANALOGY:
Chunking is cutting a long scroll at the paragraph breaks into index cards.
SYNTAX PATTERN:
split by heading, merge up to target size, add section path
ANATOMY:
chunk = passage | section_path = where it lives | token_count = size | source_url = for citation
EXAMPLE 1:
A chunk titled Returns &gt; Refund timeline.
EXAMPLE 2:
A table kept together in one chunk.
EXAMPLE 3:
Chunk index used to fetch neighbours.
VARIATION:
parent and child chunks   // retrieve small, return the larger parent
USED WITH:
embeddings, metadata, evaluation
RELATED CONCEPTS:
chunk size and overlap, metadata, embeddings, parsing PDFs
ALTERNATIVES:
Fixed-size splitting | semantic splitting
WHERE IT IS USED:
Every RAG system | Search | Document Q and A
MINI CONVERSATION:
A: The answer was cut between two chunks. | B: Use structure-based chunks and some overlap.
COMMON MISTAKE:
✗ Fixed 500-word chunks work for all documents → ✓ Structure-aware chunking usually works better
COMMONLY CONFUSED WITH:
Chunk vs document: a chunk is a retrievable passage, the document is the whole source.
AVOID / DON'T:
Do not split in the middle of tables.
WRONG CODE:
-- split every 500 characters regardless of structure
RIGHT CODE:
-- split by headings, then merge to a target token size
MEMORY TRICK:
Cut at meaning, not at counts.
REAL LIFE: PROJECT / WORK:
Heading-based chunks with titles improved retrieval of policy clauses.
REAL LIFE: INTERVIEW / EXAM:
An interviewer may ask: How do you choose chunking strategy?
REAL LIFE: DAILY LIFE:
It is like cutting a scroll into index cards.</t>
        </is>
      </c>
      <c r="C10" s="29" t="inlineStr">
        <is>
          <t>02_Ingestion_Intermediate_RAG-009</t>
        </is>
      </c>
    </row>
    <row r="11" ht="409" customHeight="1">
      <c r="A11" s="29" t="inlineStr">
        <is>
          <t>Chunk size and overlap
How big should chunks be and how much should neighbours share?</t>
        </is>
      </c>
      <c r="B11" s="29" t="inlineStr">
        <is>
          <t>DEFINITION (SIMPLE):
Chunk size is the target length of each passage, and overlap is the amount of text repeated between consecutive chunks so that information at boundaries is not lost.
HOW / WHY IT WORKS:
Small chunks give precise matches but less context. Large chunks give context but retrieve more noise and cost more tokens. Overlap of around ten to twenty percent is a common starting point; it helps boundary cases but increases index size and duplicates in results. Optimal values depend on documents and questions, so measure recall and answer quality on a test set.
SIMPLE EXPLANATION (HINGLISH):
Choose a size and small overlap, then tune with tests.
REAL-LIFE ANALOGY:
Chunk size is the size of the index card, and overlap is the line copied onto the next card.
FORMULA / RULE:
Smaller = precise, larger = contextual, overlap = boundary safety.
EXAMPLE 1:
Chunks of about 300 tokens with 30 tokens overlap.
EXAMPLE 2:
Larger chunks for narrative text.
EXAMPLE 3:
Smaller chunks for FAQs.
RELATED CONCEPTS:
chunking, evaluating retrieval, top-k, cost and latency
FAMILY / GROUP:
chunk size, overlap, tokens, boundary, tuning
WHERE IT IS USED:
Tuning | Evaluation | Cost control
MINI CONVERSATION:
A: Should chunks be 1000 tokens? | B: Test a few sizes and compare recall.
COMMON MISTAKE:
✗ There is one best chunk size → ✓ It depends on content and questions, so test
DON'T CONFUSE WITH:
Overlap vs no overlap: overlap protects boundaries but adds duplicates.
AVOID / DON'T:
Do not tune by feel alone.
MEMORY TRICK:
Measure, then pick the size.
REAL LIFE: PROJECT / WORK:
Smaller, better-split chunks improved recall for a help centre of FAQs.
REAL LIFE: INTERVIEW / EXAM:
An interviewer may ask: How do you tune chunk size?
REAL LIFE: DAILY LIFE:
It is like the size of an index card.</t>
        </is>
      </c>
      <c r="C11" s="29" t="inlineStr">
        <is>
          <t>02_Ingestion_Intermediate_RAG-010</t>
        </is>
      </c>
    </row>
    <row r="12" ht="409" customHeight="1">
      <c r="A12" s="29" t="inlineStr">
        <is>
          <t>Metadata
Which extra fields attach context to chunks for filtering and citation?
ALTER TABLE chunks ADD COLUMN tenant_id TEXT NOT NULL DEFAULT 'public';
ALTER TABLE chunks ADD COLUMN lang TEXT;
ALTER TABLE chunks ADD COLUMN product TEXT;
CREATE INDEX chunks_tenant_product_idx ON chunks (tenant_id, product);
SELECT id, content FROM chunks
WHERE tenant_id = 'acme' AND product = 'billing' AND lang = 'en';</t>
        </is>
      </c>
      <c r="B12" s="29" t="inlineStr">
        <is>
          <t>MEANING (SHORT):
Metadata fields such as source URL, title, section, author, language, product, version, updated time and access group are stored with each chunk for filtering, ranking, citing and permissions.
CODE:
ALTER TABLE chunks ADD COLUMN tenant_id TEXT NOT NULL DEFAULT 'public';
ALTER TABLE chunks ADD COLUMN lang TEXT;
ALTER TABLE chunks ADD COLUMN product TEXT;
CREATE INDEX chunks_tenant_product_idx ON chunks (tenant_id, product);
SELECT id, content FROM chunks
WHERE tenant_id = 'acme' AND product = 'billing' AND lang = 'en';
OUTPUT:
Only English billing chunks belonging to the tenant acme are candidates for search.
EXPLANATION:
Filters narrow search before or during vector search, which raises precision and enforces permissions. Dates support freshness rules. Source and section support citations. Metadata must be accurate and updated with the content. Plan fields early, since adding them later means re-ingesting. Tenant fields are critical for isolation.
SIMPLE EXPLANATION (HINGLISH):
Attach source, permissions and filter fields to every chunk.
REAL-LIFE ANALOGY:
Metadata is the label on each index card saying whose it is and where it came from.
SYNTAX PATTERN:
WHERE tenant_id = :tenant AND product = :product
ANATOMY:
tenant_id = who may see | lang = language | updated_at = freshness | source_url = citation
EXAMPLE 1:
WHERE updated_at &gt; now() - interval '1 year'
EXAMPLE 2:
WHERE access_group IN ('staff')
EXAMPLE 3:
SELECT source_url FROM chunks WHERE id = 42
VARIATION:
metadata filters inside the vector database   // the same idea
USED WITH:
filters, access control, citations
RELATED CONCEPTS:
filters, access control per user, loading documents, citations
ALTERNATIVES:
Separate indexes per tenant
WHERE IT IS USED:
Multi-tenant apps | Enterprise search | Support
MINI CONVERSATION:
A: Users of one customer see another's documents. | B: Filter by tenant id on every search.
COMMON MISTAKE:
✗ Metadata is optional decoration → ✓ It enforces permissions and improves precision
COMMONLY CONFUSED WITH:
Metadata vs content: metadata describes, content is searched.
AVOID / DON'T:
Do not search without a tenant filter.
WRONG CODE:
SELECT content FROM chunks ORDER BY embedding &lt;=&gt; :q LIMIT 5;   -- no tenant filter
RIGHT CODE:
SELECT content FROM chunks WHERE tenant_id = :tenant ORDER BY embedding &lt;=&gt; :q LIMIT 5;
MEMORY TRICK:
Without a filter there is no safety.
REAL LIFE: PROJECT / WORK:
A mandatory tenant filter closed a cross-customer leak found in testing.
REAL LIFE: INTERVIEW / EXAM:
An interviewer may ask: Why is metadata important in RAG?
REAL LIFE: DAILY LIFE:
It is like a label on each card.</t>
        </is>
      </c>
      <c r="C12" s="29" t="inlineStr">
        <is>
          <t>02_Ingestion_Intermediate_RAG-011</t>
        </is>
      </c>
    </row>
    <row r="13" ht="409" customHeight="1">
      <c r="A13" s="29" t="inlineStr">
        <is>
          <t>Embedding chunks
How do chunks become vectors stored for search?
CREATE EXTENSION IF NOT EXISTS vector;
ALTER TABLE chunks ADD COLUMN embedding vector(1024);
ALTER TABLE chunks ADD COLUMN embed_model TEXT;
-- application code (not run): batch chunks, call the embedding API, then
UPDATE chunks SET embedding = :vec, embed_model = 'EMBED_MODEL_V1' WHERE id = :id;</t>
        </is>
      </c>
      <c r="B13" s="29" t="inlineStr">
        <is>
          <t>MEANING (SHORT):
Each chunk's text is sent to an embedding model, usually in batches, and the returned vector is stored in a vector column along with the model version.
CODE:
CREATE EXTENSION IF NOT EXISTS vector;
ALTER TABLE chunks ADD COLUMN embedding vector(1024);
ALTER TABLE chunks ADD COLUMN embed_model TEXT;
-- application code (not run): batch chunks, call the embedding API, then
UPDATE chunks SET embedding = :vec, embed_model = 'EMBED_MODEL_V1' WHERE id = :id;
OUTPUT:
Each chunk has a stored vector and a record of the model that produced it.
EXPLANATION:
The vector size must match the model. Embeddings should come from the same model for chunks and queries. Changing models requires re-embedding everything. Batch calls to save time and respect rate limits. Retry failures and track which chunks are missing vectors. Embedding costs scale with total tokens.
SIMPLE EXPLANATION (HINGLISH):
Embed in batches, store the vector with the model name, and re-embed when the model changes.
REAL-LIFE ANALOGY:
Embedding chunks is giving each index card map coordinates for meaning.
SYNTAX PATTERN:
embedding vector(N) with N matching the model
ANATOMY:
vector(1024) = dimensions | embed_model = provenance | batch = efficient calls
EXAMPLE 1:
Embedding 100 chunks per request.
EXAMPLE 2:
A job listing chunks without vectors.
EXAMPLE 3:
Storing the model name per row.
VARIATION:
separate table for vectors   // keep the content table lean
USED WITH:
pgvector, batch jobs, rate limits
RELATED CONCEPTS:
embeddings, vector search, updating the index, rate limits
ALTERNATIVES:
Managed vector databases
WHERE IT IS USED:
Every RAG system | Search | Recommendations
MINI CONVERSATION:
A: Search results got strange after the upgrade. | B: Queries use a new embedding model while stored vectors use the old one.
COMMON MISTAKE:
✗ Vectors from different models can be mixed → ✓ They live in different spaces and must not be compared
COMMONLY CONFUSED WITH:
Document vs query embedding: both must use the same model.
AVOID / DON'T:
Do not change the embedding model without re-embedding.
WRONG CODE:
-- query embedded with model B, chunks with model A
RIGHT CODE:
-- both embedded with the same model version
MEMORY TRICK:
One model for both sides.
REAL LIFE: PROJECT / WORK:
Tracking the model name per row made a safe migration to a new embedding model possible.
REAL LIFE: INTERVIEW / EXAM:
An interviewer may ask: What happens if you change the embedding model?
REAL LIFE: DAILY LIFE:
It is like giving each card map coordinates.</t>
        </is>
      </c>
      <c r="C13" s="29" t="inlineStr">
        <is>
          <t>02_Ingestion_Intermediate_RAG-012</t>
        </is>
      </c>
    </row>
    <row r="14" ht="409" customHeight="1">
      <c r="A14" s="29" t="inlineStr">
        <is>
          <t>Updating the index
How do you keep the index in step with changing documents?</t>
        </is>
      </c>
      <c r="B14" s="29" t="inlineStr">
        <is>
          <t>DEFINITION (SIMPLE):
Index updating detects new, changed and removed documents, re-parses and re-chunks the changed ones, replaces their old chunks and vectors, and records the run.
HOW / WHY IT WORKS:
Use modified times or content hashes to find changes. Replace all chunks of a changed document atomically, so old and new versions do not mix. Schedule syncs or react to webhooks. Handle renames and moved files. Monitor freshness lag. Keep the process idempotent so reruns are safe.
SIMPLE EXPLANATION (HINGLISH):
Detect changes by hash, replace the document's chunks, and make reruns safe.
REAL-LIFE ANALOGY:
Updating the index is refreshing the library catalogue when books are replaced.
FORMULA / RULE:
Detect change, replace all its chunks, record it.
EXAMPLE 1:
A policy edited and re-indexed within minutes.
EXAMPLE 2:
A deleted page removed from the index.
EXAMPLE 3:
A content hash comparison.
RELATED CONCEPTS:
loading documents, deleting data, freshness, idempotency
FAMILY / GROUP:
sync, hash, replace, freshness, webhook
WHERE IT IS USED:
Operations | Knowledge bases | Support
MINI CONVERSATION:
A: The bot quotes the old price list. | B: The update job missed that file, so check the sync.
COMMON MISTAKE:
✗ Adding new chunks is enough when documents change → ✓ Old chunks must be removed, or stale content stays searchable
DON'T CONFUSE WITH:
Append vs replace: appending keeps stale chunks, replacing removes them.
AVOID / DON'T:
Do not leave old chunks of a changed document.
MEMORY TRICK:
Replace the whole document, not a piece.
REAL LIFE: PROJECT / WORK:
Replacing chunks per document ended stale price answers after updates.
REAL LIFE: INTERVIEW / EXAM:
An interviewer may ask: How do you keep a RAG index fresh?
REAL LIFE: DAILY LIFE:
It is like refreshing a library catalogue.</t>
        </is>
      </c>
      <c r="C14" s="29" t="inlineStr">
        <is>
          <t>02_Ingestion_Intermediate_RAG-013</t>
        </is>
      </c>
    </row>
    <row r="15" ht="409" customHeight="1">
      <c r="A15" s="29" t="inlineStr">
        <is>
          <t>Deleting data
How do you remove documents completely, including from vectors and caches?</t>
        </is>
      </c>
      <c r="B15" s="29" t="inlineStr">
        <is>
          <t>DEFINITION (SIMPLE):
Deletion removes a document and all derived data, such as chunks, embeddings, cached answers and backups where required, and verifies that it can no longer be retrieved.
HOW / WHY IT WORKS:
Keep a mapping from documents to chunks and caches. Delete in the store and the search index, and invalidate cached answers. Logs and backups follow retention rules. For personal data requests, record when and what was deleted. Test by searching for the removed content. Soft delete flags can hide content first, but are not enough where erasure is required.
SIMPLE EXPLANATION (HINGLISH):
Delete the document, its chunks, vectors and caches, and test that it is gone.
REAL-LIFE ANALOGY:
Deleting is pulling every page of a book out of every copy of the catalogue.
FORMULA / RULE:
Document → chunks → vectors → caches → verify.
EXAMPLE 1:
Removing a retired policy.
EXAMPLE 2:
Honouring an erasure request.
EXAMPLE 3:
A test that searches for deleted text.
RELATED CONCEPTS:
updating the index, access control, data privacy, caching
FAMILY / GROUP:
deletion, erasure, derived data, cache, verification
WHERE IT IS USED:
Compliance | Privacy | Operations
MINI CONVERSATION:
A: The customer asked us to delete their file. | B: Remove its chunks and vectors, clear caches and verify.
COMMON MISTAKE:
✗ Deleting the source file removes it from search → ✓ Derived chunks and vectors remain until deleted
DON'T CONFUSE WITH:
Soft vs hard delete: hidden versus removed.
AVOID / DON'T:
Do not forget caches and derived stores.
MEMORY TRICK:
Delete the source and everything derived.
REAL LIFE: PROJECT / WORK:
A deletion test caught chunks that remained after a document was removed.
REAL LIFE: INTERVIEW / EXAM:
An interviewer may ask: How do you delete data from a RAG system?
REAL LIFE: DAILY LIFE:
It is like pulling a book from every catalogue copy.</t>
        </is>
      </c>
      <c r="C15" s="29" t="inlineStr">
        <is>
          <t>02_Ingestion_Advanced_RAG-014</t>
        </is>
      </c>
    </row>
    <row r="16" ht="409" customHeight="1">
      <c r="A16" s="29" t="inlineStr">
        <is>
          <t>Vector search
How do you find chunks whose meaning is closest to the question?</t>
        </is>
      </c>
      <c r="B16" s="29" t="inlineStr">
        <is>
          <t>DEFINITION (SIMPLE):
Vector search embeds the query, then finds the stored vectors nearest to it by a distance or similarity measure, returning the most similar chunks.
HOW / WHY IT WORKS:
Exact nearest neighbour search compares with every vector, which is slow at scale, so approximate indexes speed it up with a small accuracy trade-off. Results depend on embedding quality, chunk quality and the query wording. Vector search can miss exact terms such as codes and names, which is why hybrid search exists.
SIMPLE EXPLANATION (HINGLISH):
Embed the question, find the nearest vectors, and return their chunks.
REAL-LIFE ANALOGY:
Vector search is finding the nearest neighbours of your question on the map of meaning.
FORMULA / RULE:
Query vector → nearest chunk vectors.
EXAMPLE 1:
A question about refunds matching a chunk about returns.
EXAMPLE 2:
Searching with paraphrased wording.
EXAMPLE 3:
Missing an exact product code.
RELATED CONCEPTS:
embeddings, cosine similarity, pgvector, hybrid search
FAMILY / GROUP:
vector search, nearest neighbour, similarity, approximate, index
WHERE IT IS USED:
RAG | Semantic search | Recommendations
MINI CONVERSATION:
A: Search misses the exact error code. | B: Add keyword search, since vectors blur exact strings.
COMMON MISTAKE:
✗ Vector search always beats keyword search → ✓ Each has strengths, so combine them
DON'T CONFUSE WITH:
Vector vs keyword search: meaning versus exact terms.
AVOID / DON'T:
Do not rely on vectors alone for codes and names.
MEMORY TRICK:
Vectors for meaning, keywords for exact.
REAL LIFE: PROJECT / WORK:
Adding vector search let users find answers phrased differently from the documents.
REAL LIFE: INTERVIEW / EXAM:
An interviewer may ask: What are the limits of vector search?
REAL LIFE: DAILY LIFE:
It is like finding nearest neighbours on a map.</t>
        </is>
      </c>
      <c r="C16" s="29" t="inlineStr">
        <is>
          <t>03_Retrieval_Beginner_RAG-015</t>
        </is>
      </c>
    </row>
    <row r="17" ht="409" customHeight="1">
      <c r="A17" s="29" t="inlineStr">
        <is>
          <t>Cosine similarity
Which measure tells how close in direction two vectors are?</t>
        </is>
      </c>
      <c r="B17" s="29" t="inlineStr">
        <is>
          <t>DEFINITION (SIMPLE):
Cosine similarity is the cosine of the angle between two vectors, ranging from minus one to one, where values near one mean very similar direction and meaning.
HOW / WHY IT WORKS:
Cosine distance is one minus the similarity, so smaller is closer. For normalised vectors, cosine similarity equals the dot product, and Euclidean distance orders results the same way. Databases offer operators for each. The score values are relative, so thresholds need tuning, and scores differ across models.
SIMPLE EXPLANATION (HINGLISH):
Closer direction means closer meaning, and scores should be tuned per model.
REAL-LIFE ANALOGY:
Cosine similarity asks whether two arrows point the same way.
FORMULA / RULE:
cosine similarity = dot product ÷ (length × length).
EXAMPLE 1:
A similarity of 0.85 for related text.
EXAMPLE 2:
A similarity of 0.2 for unrelated text.
EXAMPLE 3:
Normalised vectors using the dot product.
RELATED CONCEPTS:
vector search, embeddings, pgvector, top-k
FAMILY / GROUP:
cosine, dot product, distance, normalise, threshold
WHERE IT IS USED:
Retrieval | Clustering | Deduplication
MINI CONVERSATION:
A: What similarity score means relevant? | B: It depends on the model, so tune a threshold on examples.
COMMON MISTAKE:
✗ A fixed score such as 0.8 means relevant for every model → ✓ Score scales differ, so thresholds need tuning
DON'T CONFUSE WITH:
Cosine vs Euclidean: angle versus straight-line distance.
AVOID / DON'T:
Do not copy thresholds between models.
MEMORY TRICK:
Same direction means same meaning.
REAL LIFE: PROJECT / WORK:
Tuning a similarity threshold on examples removed weak matches from answers.
REAL LIFE: INTERVIEW / EXAM:
An interviewer may ask: What is cosine similarity?
REAL LIFE: DAILY LIFE:
It is like asking whether two arrows point the same way.</t>
        </is>
      </c>
      <c r="C17" s="29" t="inlineStr">
        <is>
          <t>03_Retrieval_Intermediate_RAG-016</t>
        </is>
      </c>
    </row>
    <row r="18" ht="409" customHeight="1">
      <c r="A18" s="29" t="inlineStr">
        <is>
          <t>pgvector
Which PostgreSQL extension stores vectors and searches them with SQL?
CREATE EXTENSION IF NOT EXISTS vector;
CREATE TABLE chunks (id BIGSERIAL PRIMARY KEY, tenant_id TEXT, content TEXT, embedding vector(1024));
-- nearest five by cosine distance
SELECT id, content, 1 - (embedding &lt;=&gt; :query_vec) AS similarity
FROM chunks
WHERE tenant_id = :tenant
ORDER BY embedding &lt;=&gt; :query_vec
LIMIT 5;</t>
        </is>
      </c>
      <c r="B18" s="29" t="inlineStr">
        <is>
          <t>MEANING (SHORT):
pgvector adds a vector column type and distance operators to PostgreSQL, so similarity search, filters and joins can be done in SQL.
CODE:
CREATE EXTENSION IF NOT EXISTS vector;
CREATE TABLE chunks (id BIGSERIAL PRIMARY KEY, tenant_id TEXT, content TEXT, embedding vector(1024));
-- nearest five by cosine distance
SELECT id, content, 1 - (embedding &lt;=&gt; :query_vec) AS similarity
FROM chunks
WHERE tenant_id = :tenant
ORDER BY embedding &lt;=&gt; :query_vec
LIMIT 5;
OUTPUT:
The five chunks closest in meaning to the query, with their similarity scores, within one tenant.
EXPLANATION:
The operator for cosine distance is the angle brackets with an equals form. Other operators give Euclidean and inner product distance. Without an index, search scans all rows, which is fine for small tables. Combined with WHERE clauses, you get filtered search. It is easy for small and medium collections, and large ones may need tuning or a dedicated engine.
SIMPLE EXPLANATION (HINGLISH):
Add a vector column, order by distance to the query vector, and limit the results.
REAL-LIFE ANALOGY:
pgvector gives your normal database a drawer for map coordinates.
SYNTAX PATTERN:
ORDER BY embedding &lt;=&gt; :query LIMIT k
ANATOMY:
vector(N) = column | &lt;=&gt; = cosine distance | LIMIT = top-k | WHERE = filters
EXAMPLE 1:
SELECT ... ORDER BY embedding &lt;-&gt; :q LIMIT 3;
EXAMPLE 2:
SELECT ... WHERE lang = 'en' ORDER BY embedding &lt;=&gt; :q LIMIT 5;
EXAMPLE 3:
SELECT count(*) FROM chunks WHERE embedding IS NULL;
VARIATION:
managed vector databases   // an alternative at large scale
USED WITH:
PostgreSQL, Supabase, filters
RELATED CONCEPTS:
vector search, indexes (HNSW), filters, Supabase
ALTERNATIVES:
Dedicated vector databases
WHERE IT IS USED:
Small and medium RAG | Supabase projects | Prototypes
MINI CONVERSATION:
A: Do we need a separate vector database? | B: Start with pgvector in our existing database.
COMMON MISTAKE:
✗ pgvector cannot be used in production → ✓ It works well for many production workloads with proper indexes
COMMONLY CONFUSED WITH:
&lt;=&gt; vs &lt;-&gt;: cosine distance versus Euclidean distance.
AVOID / DON'T:
Do not search a large table without an index.
WRONG CODE:
SELECT * FROM chunks ORDER BY embedding LIMIT 5;
RIGHT CODE:
SELECT * FROM chunks ORDER BY embedding &lt;=&gt; :q LIMIT 5;
MEMORY TRICK:
Order by distance, limit to k.
REAL LIFE: PROJECT / WORK:
pgvector in the existing database kept filters and permissions simple.
REAL LIFE: INTERVIEW / EXAM:
An interviewer may ask: Why use pgvector?
REAL LIFE: DAILY LIFE:
It is like a drawer for map coordinates.</t>
        </is>
      </c>
      <c r="C18" s="29" t="inlineStr">
        <is>
          <t>03_Retrieval_Intermediate_RAG-017</t>
        </is>
      </c>
    </row>
    <row r="19" ht="409" customHeight="1">
      <c r="A19" s="29" t="inlineStr">
        <is>
          <t>Vector indexes: HNSW
Which index makes nearest neighbour search fast on large collections?
CREATE INDEX chunks_embedding_hnsw
  ON chunks USING hnsw (embedding vector_cosine_ops)
  WITH (m = 16, ef_construction = 64);
SET hnsw.ef_search = 100;
SELECT id FROM chunks ORDER BY embedding &lt;=&gt; :q LIMIT 10;</t>
        </is>
      </c>
      <c r="B19" s="29" t="inlineStr">
        <is>
          <t>MEANING (SHORT):
HNSW is a graph index that connects each vector to near neighbours across layers, so search can jump quickly to the right region, and pgvector offers it with parameters for build effort and search effort.
CODE:
CREATE INDEX chunks_embedding_hnsw
  ON chunks USING hnsw (embedding vector_cosine_ops)
  WITH (m = 16, ef_construction = 64);
SET hnsw.ef_search = 100;
SELECT id FROM chunks ORDER BY embedding &lt;=&gt; :q LIMIT 10;
OUTPUT:
The query uses the graph index and returns approximate nearest neighbours quickly.
EXPLANATION:
m sets connections per node and ef_construction sets build effort, trading build time and memory for recall. ef_search sets search effort at query time. The operator class must match the distance used. Results are approximate, so measure recall against exact search. IVFFlat is another index with different trade-offs. Filters can reduce recall, so test them.
SIMPLE EXPLANATION (HINGLISH):
Create an HNSW index with the right operator class, and tune effort to balance speed and recall.
REAL-LIFE ANALOGY:
HNSW is a road network with highways on top and local streets below.
SYNTAX PATTERN:
CREATE INDEX ... USING hnsw (embedding vector_cosine_ops)
ANATOMY:
m = connections | ef_construction = build effort | ef_search = query effort | ops = distance type
EXAMPLE 1:
SET hnsw.ef_search = 200;
EXAMPLE 2:
vector_l2_ops for Euclidean distance
EXAMPLE 3:
A recall test against exact search
VARIATION:
IVFFlat index   // clusters vectors, needs training data
USED WITH:
pgvector, tuning, filters
RELATED CONCEPTS:
pgvector, vector search, top-k, filters
ALTERNATIVES:
IVFFlat | exact search for small tables
WHERE IT IS USED:
Large collections | Production RAG | Search tuning
MINI CONVERSATION:
A: Queries take seconds on a million rows. | B: Add an HNSW index with the cosine operator class.
COMMON MISTAKE:
✗ An ANN index returns exactly the true nearest neighbours → ✓ It returns approximate results, with recall to be measured
COMMONLY CONFUSED WITH:
Exact search vs ANN index: exact checks all rows, ANN trades a little accuracy for speed.
AVOID / DON'T:
Do not use an operator class that differs from your query operator.
WRONG CODE:
USING hnsw (embedding vector_l2_ops)   -- but queries use &lt;=&gt;
RIGHT CODE:
USING hnsw (embedding vector_cosine_ops)
MEMORY TRICK:
Index operator must match query operator.
REAL LIFE: PROJECT / WORK:
An HNSW index made search much faster on a large corpus.
REAL LIFE: INTERVIEW / EXAM:
An interviewer may ask: What does HNSW trade off?
REAL LIFE: DAILY LIFE:
It is like highways over local streets.</t>
        </is>
      </c>
      <c r="C19" s="29" t="inlineStr">
        <is>
          <t>03_Retrieval_Advanced_RAG-018</t>
        </is>
      </c>
    </row>
    <row r="20" ht="409" customHeight="1">
      <c r="A20" s="29" t="inlineStr">
        <is>
          <t>Top-k
How many chunks should you retrieve and pass to the model?</t>
        </is>
      </c>
      <c r="B20" s="29" t="inlineStr">
        <is>
          <t>DEFINITION (SIMPLE):
Top-k is the number of highest-scoring chunks returned by retrieval, and it affects recall, noise, cost and latency of the final answer.
HOW / WHY IT WORKS:
A small k may miss the needed chunk. A large k adds irrelevant text, raises tokens and can distract the model. A common pattern retrieves twenty to fifty candidates, reranks and keeps three to ten. Tune k with retrieval tests. Use score thresholds to avoid weak matches, and allow fewer results when little is relevant.
SIMPLE EXPLANATION (HINGLISH):
Retrieve generously, rerank, and pass only a few good chunks.
REAL-LIFE ANALOGY:
Top-k is the number of library books you carry home.
FORMULA / RULE:
Larger k = more recall, more noise and cost.
EXAMPLE 1:
Retrieve 30, rerank, keep 5.
EXAMPLE 2:
A threshold dropping weak matches.
EXAMPLE 3:
A question with only one relevant chunk.
RELATED CONCEPTS:
reranking, evaluating retrieval, context limits, cost and latency
FAMILY / GROUP:
top-k, candidates, threshold, recall, noise
WHERE IT IS USED:
Tuning | Cost control | Evaluation
MINI CONVERSATION:
A: The model gets confused by too much context. | B: Reduce k or add reranking.
COMMON MISTAKE:
✗ A larger k is always safer → ✓ More chunks can distract the model and raise cost
DON'T CONFUSE WITH:
Retrieved candidates vs final chunks: the first is wide, the second is trimmed.
AVOID / DON'T:
Do not choose k without testing.
MEMORY TRICK:
Fetch wide first, then keep few.
REAL LIFE: PROJECT / WORK:
Reranking from thirty to five improved answers and cut token use.
REAL LIFE: INTERVIEW / EXAM:
An interviewer may ask: How do you choose k?
REAL LIFE: DAILY LIFE:
It is like deciding how many books to carry home.</t>
        </is>
      </c>
      <c r="C20" s="29" t="inlineStr">
        <is>
          <t>03_Retrieval_Beginner_RAG-019</t>
        </is>
      </c>
    </row>
    <row r="21" ht="409" customHeight="1">
      <c r="A21" s="29" t="inlineStr">
        <is>
          <t>Retrieval filters
How do you restrict search to the right customer, language, product or time?
SELECT id, content
FROM chunks
WHERE tenant_id = :tenant
  AND lang = :lang
  AND (product = :product OR product IS NULL)
  AND updated_at &gt;= :min_date
ORDER BY embedding &lt;=&gt; :q
LIMIT 20;</t>
        </is>
      </c>
      <c r="B21" s="29" t="inlineStr">
        <is>
          <t>MEANING (SHORT):
Metadata filters add conditions on fields such as tenant, language, product, version and date to the retrieval query, so only matching chunks compete.
CODE:
SELECT id, content
FROM chunks
WHERE tenant_id = :tenant
  AND lang = :lang
  AND (product = :product OR product IS NULL)
  AND updated_at &gt;= :min_date
ORDER BY embedding &lt;=&gt; :q
LIMIT 20;
OUTPUT:
The twenty nearest chunks among those that the user may see in the right language and product.
EXPLANATION:
Filtering after retrieval can return too few or zero results, because the top results may all be disallowed, and it risks leaking data in logs. Filtering in the query is safer. Strong filters can lower recall in approximate indexes, so test. Derive filters from the user's session, not from the model.
SIMPLE EXPLANATION (HINGLISH):
Put permission and relevance filters in the retrieval query itself.
REAL-LIFE ANALOGY:
Filters are the shelf labels that stop you searching the wrong aisle.
SYNTAX PATTERN:
WHERE tenant_id = :tenant AND lang = :lang
ANATOMY:
tenant = permission | lang = language | product = scope | date = freshness
EXAMPLE 1:
WHERE doc_version = 'v3'
EXAMPLE 2:
WHERE access_group = ANY(:groups)
EXAMPLE 3:
WHERE updated_at &gt; now() - interval '2 years'
VARIATION:
partitioned tables per tenant   // stronger isolation
USED WITH:
metadata, access control, pgvector
RELATED CONCEPTS:
metadata, access control, hybrid search, vector indexes
ALTERNATIVES:
Separate indexes per tenant
WHERE IT IS USED:
Multi-tenant RAG | Enterprise search | Compliance
MINI CONVERSATION:
A: Results often contain another customer's data. | B: Filter by tenant inside the query.
COMMON MISTAKE:
✗ Filtering the results after retrieval is equivalent → ✓ It can return too few results and may leak data
COMMONLY CONFUSED WITH:
Pre-filter vs post-filter: before ranking versus after.
AVOID / DON'T:
Do not take permission filters from model output.
WRONG CODE:
results = search(q); results = [r for r in results if r.tenant == t]
RIGHT CODE:
WHERE tenant_id = :tenant ORDER BY embedding &lt;=&gt; :q
MEMORY TRICK:
Filter in the query, not after.
REAL LIFE: PROJECT / WORK:
Moving the tenant filter into the query ended empty results for small customers.
REAL LIFE: INTERVIEW / EXAM:
An interviewer may ask: Why filter before ranking?
REAL LIFE: DAILY LIFE:
It is like labels on library shelves.</t>
        </is>
      </c>
      <c r="C21" s="29" t="inlineStr">
        <is>
          <t>03_Retrieval_Intermediate_RAG-020</t>
        </is>
      </c>
    </row>
    <row r="22" ht="409" customHeight="1">
      <c r="A22" s="29" t="inlineStr">
        <is>
          <t>Hybrid search
How do you combine keyword and vector search for better recall?
WITH kw AS (
  SELECT id, ROW_NUMBER() OVER (ORDER BY ts_rank(tsv, plainto_tsquery('english', :q)) DESC) AS r
  FROM chunks WHERE tsv @@ plainto_tsquery('english', :q) ORDER BY r LIMIT 30
), vec AS (
  SELECT id, ROW_NUMBER() OVER (ORDER BY embedding &lt;=&gt; :qv) AS r
  FROM chunks ORDER BY embedding &lt;=&gt; :qv LIMIT 30
)
SELECT id, SUM(1.0 / (60 + r)) AS score
FROM (SELECT * FROM kw UNION ALL SELECT * FROM vec) x
GROUP BY id ORDER BY score DESC LIMIT 10;</t>
        </is>
      </c>
      <c r="B22" s="29" t="inlineStr">
        <is>
          <t>MEANING (SHORT):
Hybrid search runs full-text keyword search and vector search separately, then fuses their ranked results into one list, often with reciprocal rank fusion.
CODE:
WITH kw AS (
  SELECT id, ROW_NUMBER() OVER (ORDER BY ts_rank(tsv, plainto_tsquery('english', :q)) DESC) AS r
  FROM chunks WHERE tsv @@ plainto_tsquery('english', :q) ORDER BY r LIMIT 30
), vec AS (
  SELECT id, ROW_NUMBER() OVER (ORDER BY embedding &lt;=&gt; :qv) AS r
  FROM chunks ORDER BY embedding &lt;=&gt; :qv LIMIT 30
)
SELECT id, SUM(1.0 / (60 + r)) AS score
FROM (SELECT * FROM kw UNION ALL SELECT * FROM vec) x
GROUP BY id ORDER BY score DESC LIMIT 10;
OUTPUT:
One merged list where chunks found by both methods rise to the top.
EXPLANATION:
Keyword search with full-text indexes or BM25 handles exact words, codes and names. Vector search handles paraphrase. Reciprocal rank fusion adds one over rank plus a constant from each list, so scores do not need to be compared. Weights can favour one side. Test on your questions, since gains vary.
SIMPLE EXPLANATION (HINGLISH):
Run both searches and then merge the lists by rank.
REAL-LIFE ANALOGY:
Hybrid search is asking a librarian who knows meanings and one who knows exact titles.
SYNTAX PATTERN:
score = sum(1 / (k + rank))
ANATOMY:
keyword list = exact terms | vector list = meaning | fusion = combined rank
EXAMPLE 1:
An error code found by keywords.
EXAMPLE 2:
A paraphrased question found by vectors.
EXAMPLE 3:
A chunk found by both ranking first.
VARIATION:
weighted fusion   // favour vector or keyword results
USED WITH:
full-text search, pgvector, reranking
RELATED CONCEPTS:
vector search, reranking, query rewriting, evaluating retrieval
ALTERNATIVES:
Vector only | keyword only
WHERE IT IS USED:
Enterprise search | Technical docs | Support
MINI CONVERSATION:
A: Searching for error E1042 finds nothing useful. | B: Add keyword search through hybrid retrieval.
COMMON MISTAKE:
✗ Hybrid search always beats either alone → ✓ It usually helps, but should be tested
COMMONLY CONFUSED WITH:
Hybrid search vs reranking: one merges candidate lists, the other reorders them.
AVOID / DON'T:
Do not combine raw scores from different systems.
WRONG CODE:
score = vector_score + keyword_score
RIGHT CODE:
score = SUM(1.0 / (60 + rank))
MEMORY TRICK:
Merge by rank, not by raw score.
REAL LIFE: PROJECT / WORK:
Hybrid retrieval fixed misses on product codes in a technical support index.
REAL LIFE: INTERVIEW / EXAM:
An interviewer may ask: Why use hybrid search?
REAL LIFE: DAILY LIFE:
It is like asking two librarians.</t>
        </is>
      </c>
      <c r="C22" s="29" t="inlineStr">
        <is>
          <t>03_Retrieval_Advanced_RAG-021</t>
        </is>
      </c>
    </row>
    <row r="23" ht="409" customHeight="1">
      <c r="A23" s="29" t="inlineStr">
        <is>
          <t>Reranking
How do you reorder retrieved candidates with a stronger relevance model?</t>
        </is>
      </c>
      <c r="B23" s="29" t="inlineStr">
        <is>
          <t>DEFINITION (SIMPLE):
Reranking applies a cross-encoder or a model-based scorer to each query and candidate pair, producing a more accurate relevance score than vector similarity, and reorders the shortlist.
HOW / WHY IT WORKS:
First-stage retrieval is fast but coarse. A reranker reads the query and chunk together, so it judges relevance better, but costs more per pair, so it runs on a small set. It adds latency, so measure the trade-off. Rerankers can be hosted models or LLM-based scorers. Gains show in retrieval metrics and answer quality.
SIMPLE EXPLANATION (HINGLISH):
Retrieve many cheaply, then rescore a shortlist with a better model.
REAL-LIFE ANALOGY:
Reranking is a careful judge re-scoring the shortlist from the quick first round.
FORMULA / RULE:
Cheap wide search, then accurate narrow ranking.
EXAMPLE 1:
Thirty candidates reranked to five.
EXAMPLE 2:
A cross-encoder scoring query and chunk together.
EXAMPLE 3:
A noticeable latency increase that should be measured.
RELATED CONCEPTS:
top-k, hybrid search, evaluating retrieval, cost and latency
FAMILY / GROUP:
reranker, cross-encoder, shortlist, relevance, latency
WHERE IT IS USED:
Quality tuning | Enterprise search | Support
MINI CONVERSATION:
A: The right chunk is retrieved but ranks tenth. | B: Add a reranker to bring it to the top.
COMMON MISTAKE:
✗ Reranking replaces the first retrieval stage → ✓ It refines a shortlist that retrieval must first provide
DON'T CONFUSE WITH:
Retrieval vs reranking: retrieval finds candidates, reranking orders them.
AVOID / DON'T:
Do not rerank huge candidate sets.
MEMORY TRICK:
Retrieve wide first, then rerank narrow.
REAL LIFE: PROJECT / WORK:
A reranker moved the correct chunk into the top three for many failing questions.
REAL LIFE: INTERVIEW / EXAM:
An interviewer may ask: What does a reranker add?
REAL LIFE: DAILY LIFE:
It is like a judge re-scoring a shortlist.</t>
        </is>
      </c>
      <c r="C23" s="29" t="inlineStr">
        <is>
          <t>03_Retrieval_Advanced_RAG-022</t>
        </is>
      </c>
    </row>
    <row r="24" ht="409" customHeight="1">
      <c r="A24" s="29" t="inlineStr">
        <is>
          <t>Query rewriting
How do you turn a messy question into a better search query?</t>
        </is>
      </c>
      <c r="B24" s="29" t="inlineStr">
        <is>
          <t>DEFINITION (SIMPLE):
Query rewriting uses a model or rules to transform the user's question into one or more clearer queries, for example resolving pronouns from the conversation, expanding abbreviations or adding key terms.
HOW / WHY IT WORKS:
A follow-up such as what about the price needs the earlier topic, so the rewriter makes a full question. Expansions add synonyms or product names. Rewriting adds cost and can drift from the user's intent, so keep the original too and evaluate the effect. HyDE writes a hypothetical answer to search with.
SIMPLE EXPLANATION (HINGLISH):
Make the question standalone and specific before searching.
REAL-LIFE ANALOGY:
Query rewriting is a librarian who clarifies your question before searching.
FORMULA / RULE:
Resolve context, expand terms, search.
EXAMPLE 1:
What about the price? becomes What is the price of the pro plan?
EXAMPLE 2:
Expanding SSO to single sign-on.
EXAMPLE 3:
Searching with both the original and rewritten query.
RELATED CONCEPTS:
multi-query, hybrid search, chat memory, evaluating retrieval
FAMILY / GROUP:
rewrite, expansion, standalone, HyDE, intent
WHERE IT IS USED:
Chat RAG | Search | Support
MINI CONVERSATION:
A: The follow-up question finds nothing. | B: Rewrite it with the chat context.
COMMON MISTAKE:
✗ Rewriting always improves results → ✓ It can drift from intent, so test it
DON'T CONFUSE WITH:
Rewriting vs filtering: one changes the query, the other restricts the data.
AVOID / DON'T:
Do not discard the original question.
MEMORY TRICK:
Make it standalone, keep the original too.
REAL LIFE: PROJECT / WORK:
Rewriting follow-up questions fixed failures in a multi-turn support bot.
REAL LIFE: INTERVIEW / EXAM:
An interviewer may ask: Why rewrite queries in a chat RAG?
REAL LIFE: DAILY LIFE:
It is like a librarian clarifying your question.</t>
        </is>
      </c>
      <c r="C24" s="29" t="inlineStr">
        <is>
          <t>03_Retrieval_Advanced_RAG-023</t>
        </is>
      </c>
    </row>
    <row r="25" ht="409" customHeight="1">
      <c r="A25" s="29" t="inlineStr">
        <is>
          <t>Multi-query retrieval
How can several versions of a question improve recall?</t>
        </is>
      </c>
      <c r="B25" s="29" t="inlineStr">
        <is>
          <t>DEFINITION (SIMPLE):
Multi-query retrieval generates several rephrasings or sub-questions of the user's question, retrieves for each, and merges and deduplicates the results.
HOW / WHY IT WORKS:
Variants capture different wording and aspects. Complex questions can be split into sub-questions, each retrieved separately, then answered together. Results are merged with rank fusion. Costs rise with the number of queries and the generation step, and latency increases unless run in parallel. Measure the recall gain.
SIMPLE EXPLANATION (HINGLISH):
Search with a few variants and merge the results.
REAL-LIFE ANALOGY:
Multi-query is asking the same thing three ways to catch more answers.
FORMULA / RULE:
Variants + retrieval each + merge + deduplicate.
EXAMPLE 1:
Three rephrasings of a refund question.
EXAMPLE 2:
A comparison question split into two lookups.
EXAMPLE 3:
Results merged by reciprocal rank fusion.
RELATED CONCEPTS:
query rewriting, hybrid search, reranking, cost and latency
FAMILY / GROUP:
multi-query, sub-question, merge, deduplicate, fusion
WHERE IT IS USED:
Complex questions | Research tools | Support
MINI CONVERSATION:
A: Complex questions miss half the evidence. | B: Split them into sub-questions and retrieve for each.
COMMON MISTAKE:
✗ More query variants always help → ✓ They add cost and noise beyond a few
DON'T CONFUSE WITH:
Multi-query vs rewriting: many variants versus one improved query.
AVOID / DON'T:
Do not run many variants serially.
MEMORY TRICK:
A few variants, merged and deduplicated.
REAL LIFE: PROJECT / WORK:
Splitting comparison questions raised answer completeness in a product assistant.
REAL LIFE: INTERVIEW / EXAM:
An interviewer may ask: When is multi-query retrieval useful?
REAL LIFE: DAILY LIFE:
It is like asking the same thing three ways.</t>
        </is>
      </c>
      <c r="C25" s="29" t="inlineStr">
        <is>
          <t>03_Retrieval_Advanced_RAG-024</t>
        </is>
      </c>
    </row>
    <row r="26" ht="409" customHeight="1">
      <c r="A26" s="29" t="inlineStr">
        <is>
          <t>Building the prompt
How do you place retrieved chunks and rules into the final prompt?
SYSTEM: You answer questions using only the sources. Cite source ids in square brackets. If the sources do not contain the answer, say you do not know.
&lt;sources&gt;
&lt;source id="1" title="Refund policy" updated="2026-08-01"&gt;Refunds are issued within 7 days ...&lt;/source&gt;
&lt;source id="2" title="Shipping" updated="2026-06-10"&gt;Orders ship in 2 days ...&lt;/source&gt;
&lt;/sources&gt;
&lt;question&gt;How long do refunds take?&lt;/question&gt;</t>
        </is>
      </c>
      <c r="B26" s="29" t="inlineStr">
        <is>
          <t>MEANING (SHORT):
The prompt includes instructions, numbered source passages with ids and metadata, rules for answering only from them and citing, and finally the user's question.
CODE:
SYSTEM: You answer questions using only the sources. Cite source ids in square brackets. If the sources do not contain the answer, say you do not know.
&lt;sources&gt;
&lt;source id="1" title="Refund policy" updated="2026-08-01"&gt;Refunds are issued within 7 days ...&lt;/source&gt;
&lt;source id="2" title="Shipping" updated="2026-06-10"&gt;Orders ship in 2 days ...&lt;/source&gt;
&lt;/sources&gt;
&lt;question&gt;How long do refunds take?&lt;/question&gt;
OUTPUT:
A structured prompt in which the model can quote and cite numbered sources.
EXPLANATION:
Tags separate sources from instructions, which also helps against injected text. Ids make citations checkable. Include dates and titles so conflicts can be handled. Order matters, since long contexts may weaken attention to the middle. Trim chunks to fit the budget, dropping the lowest ranked first.
SIMPLE EXPLANATION (HINGLISH):
Number the sources, state the rules, and put the question at the end.
REAL-LIFE ANALOGY:
Building the prompt is laying numbered evidence cards on a table before asking the question.
SYNTAX PATTERN:
&lt;source id="n"&gt;text&lt;/source&gt; then &lt;question&gt;
ANATOMY:
system rules = behaviour | sources = evidence | ids = citations | question = last
EXAMPLE 1:
Dates included to settle conflicts.
EXAMPLE 2:
Lowest ranked chunks dropped first.
EXAMPLE 3:
A rule to say I do not know.
VARIATION:
parent chunks inserted instead of small ones   // more context per hit
USED WITH:
citations, context limits, delimiters
RELATED CONCEPTS:
citations, handling no answer, context limits, structure with delimiters
ALTERNATIVES:
Plain concatenated text
WHERE IT IS USED:
Every RAG system | Support bots | Knowledge tools
MINI CONVERSATION:
A: The model mixes up sources. | B: Label each source with an id and require citations.
COMMON MISTAKE:
✗ Dumping chunks without structure works as well → ✓ Labels and rules make evidence usable and checkable
COMMONLY CONFUSED WITH:
System rules vs sources: rules say how to behave, sources provide facts.
AVOID / DON'T:
Do not mix untrusted source text with instructions unlabelled.
WRONG CODE:
Here is some text: ... answer the question.
RIGHT CODE:
&lt;sources&gt;&lt;source id="1"&gt;...&lt;/source&gt;&lt;/sources&gt;&lt;question&gt;...&lt;/question&gt;
MEMORY TRICK:
Rules, numbered sources, question last.
REAL LIFE: PROJECT / WORK:
Numbered sources made citations verifiable and answers easier to review.
REAL LIFE: INTERVIEW / EXAM:
An interviewer may ask: How do you structure a RAG prompt?
REAL LIFE: DAILY LIFE:
It is like evidence cards on a table.</t>
        </is>
      </c>
      <c r="C26" s="29" t="inlineStr">
        <is>
          <t>04_Generation_Intermediate_RAG-025</t>
        </is>
      </c>
    </row>
    <row r="27" ht="409" customHeight="1">
      <c r="A27" s="29" t="inlineStr">
        <is>
          <t>Citations
How does the answer show which sources support each claim?</t>
        </is>
      </c>
      <c r="B27" s="29" t="inlineStr">
        <is>
          <t>DEFINITION (SIMPLE):
Citations attach references such as source ids, titles, links and quoted text to the claims in an answer, so readers can check them against the retrieved material.
HOW / WHY IT WORKS:
Ask the model to cite ids in a fixed format. Validate that ids exist and that quoted text really occurs in the source. Show readable links in the interface. Citations show where an answer came from, but do not prove that the claim is faithful, so combine with faithfulness checks. Missing citations can trigger a retry or a refusal.
SIMPLE EXPLANATION (HINGLISH):
Require ids and quotes, and verify them in code.
REAL-LIFE ANALOGY:
Citations are footnotes that let you check the book.
FORMULA / RULE:
Claim + source id + supporting quote.
EXAMPLE 1:
Refunds take seven days [1].
EXAMPLE 2:
A link to the policy page.
EXAMPLE 3:
A check that the quote appears in the source.
RELATED CONCEPTS:
building the prompt, faithfulness, handling no answer, human review
FAMILY / GROUP:
citation, quote, source id, reference, verification
WHERE IT IS USED:
Support bots | Legal tools | Research assistants
MINI CONVERSATION:
A: How can I trust this answer? | B: Open the cited source and read the quote.
COMMON MISTAKE:
✗ A citation proves the answer is right → ✓ It only points to a source, and the claim must still match it
DON'T CONFUSE WITH:
Citation vs faithfulness: a pointer versus a true match.
AVOID / DON'T:
Do not accept citations without checking they exist.
MEMORY TRICK:
Cite it, then check it.
REAL LIFE: PROJECT / WORK:
Verifying quotes in code removed fake citations from answers.
REAL LIFE: INTERVIEW / EXAM:
An interviewer may ask: How do you verify RAG citations?
REAL LIFE: DAILY LIFE:
It is like footnotes in a book.</t>
        </is>
      </c>
      <c r="C27" s="29" t="inlineStr">
        <is>
          <t>04_Generation_Intermediate_RAG-026</t>
        </is>
      </c>
    </row>
    <row r="28" ht="409" customHeight="1">
      <c r="A28" s="29" t="inlineStr">
        <is>
          <t>Handling no answer
What should the system do when the sources do not contain the answer?</t>
        </is>
      </c>
      <c r="B28" s="29" t="inlineStr">
        <is>
          <t>DEFINITION (SIMPLE):
No-answer handling instructs and checks the model to say it cannot find the information when retrieved sources do not support an answer, and offers next steps such as rephrasing or contacting a person.
HOW / WHY IT WORKS:
Add a rule to the prompt, use retrieval score thresholds to detect weak evidence, and test with out-of-scope questions. The reply should be helpful, such as suggesting related topics or a human contact. Do not let the model fall back on its own memory for facts that must come from documents. Track the rate of no-answer results, since high rates reveal content gaps.
SIMPLE EXPLANATION (HINGLISH):
Detect weak evidence, say so honestly, and offer next steps.
REAL-LIFE ANALOGY:
A good librarian says I could not find that, instead of making something up.
FORMULA / RULE:
Weak evidence → honest not found plus help.
EXAMPLE 1:
I could not find that in the policy, but here is the support contact.
EXAMPLE 2:
A threshold below which no answer is attempted.
EXAMPLE 3:
A report of top unanswered questions.
RELATED CONCEPTS:
hallucination, building the prompt, evaluating retrieval, human review
FAMILY / GROUP:
no answer, threshold, refusal, content gap, fallback
WHERE IT IS USED:
Support bots | Compliance | Knowledge bases
MINI CONVERSATION:
A: The bot answers questions outside our documents. | B: Add a rule and test out-of-scope questions.
COMMON MISTAKE:
✗ A helpful bot should always give some answer → ✓ A wrong answer is worse than an honest not found
DON'T CONFUSE WITH:
Not found vs wrong answer: honest limits build trust, invented answers destroy it.
AVOID / DON'T:
Do not let the model answer from memory when sources are empty.
MEMORY TRICK:
Honest not found beats a confident guess.
REAL LIFE: PROJECT / WORK:
Reporting unanswered questions showed which documents to add.
REAL LIFE: INTERVIEW / EXAM:
An interviewer may ask: How do you handle questions with no answer in the documents?
REAL LIFE: DAILY LIFE:
It is like a librarian who admits not finding a book.</t>
        </is>
      </c>
      <c r="C28" s="29" t="inlineStr">
        <is>
          <t>04_Generation_Intermediate_RAG-027</t>
        </is>
      </c>
    </row>
    <row r="29" ht="409" customHeight="1">
      <c r="A29" s="29" t="inlineStr">
        <is>
          <t>Context limits
How do you fit evidence, history and instructions into the context window?</t>
        </is>
      </c>
      <c r="B29" s="29" t="inlineStr">
        <is>
          <t>DEFINITION (SIMPLE):
Context limits require a token budget that divides the window between instructions, conversation history, retrieved chunks and reserved output space, and trimming rules when the total is too large.
HOW / WHY IT WORKS:
Count tokens for fixed parts, reserve room for the answer, and fill the rest with the best chunks. If chunks are large, fewer fit. Summarise history. Avoid padding with weak evidence. Longer contexts cost more and may reduce focus on details. Monitor the average prompt size and trim rate.
SIMPLE EXPLANATION (HINGLISH):
Make a token budget, keep the best evidence, and trim the rest.
REAL-LIFE ANALOGY:
Context limits are the size of the table where you lay out evidence cards.
FORMULA / RULE:
Window = rules + history + evidence + answer reserve.
EXAMPLE 1:
Ten chunks reduced to five to fit.
EXAMPLE 2:
History summarised to save space.
EXAMPLE 3:
A reserve of 1000 tokens for the answer.
RELATED CONCEPTS:
context window, top-k, token budgeting, chat memory
FAMILY / GROUP:
budget, trim, reserve, window, priority
WHERE IT IS USED:
Prompt design | Cost control | Long chats
MINI CONVERSATION:
A: Requests fail with a context error on long chats. | B: Budget tokens and summarise old turns.
COMMON MISTAKE:
✗ Filling the window gives the best answers → ✓ Extra weak text can distract the model
DON'T CONFUSE WITH:
Budget vs window: the window is the limit, the budget is the plan.
AVOID / DON'T:
Do not forget to reserve output space.
MEMORY TRICK:
Always reserve room for the answer first.
REAL LIFE: PROJECT / WORK:
A token budget stopped context errors in a long support chat.
REAL LIFE: INTERVIEW / EXAM:
An interviewer may ask: How do you handle too much retrieved text?
REAL LIFE: DAILY LIFE:
It is like the size of a table.</t>
        </is>
      </c>
      <c r="C29" s="29" t="inlineStr">
        <is>
          <t>04_Generation_Intermediate_RAG-028</t>
        </is>
      </c>
    </row>
    <row r="30" ht="409" customHeight="1">
      <c r="A30" s="29" t="inlineStr">
        <is>
          <t>Faithfulness
How do you check that the answer says only what the sources support?</t>
        </is>
      </c>
      <c r="B30" s="29" t="inlineStr">
        <is>
          <t>DEFINITION (SIMPLE):
Faithfulness, also called groundedness, is the degree to which every claim in the generated answer is supported by the retrieved sources, and is measured by checking claims against the evidence.
HOW / WHY IT WORKS:
Methods split the answer into claims and ask whether each is entailed by the sources, using a judge model, natural language inference or manual review. Unsupported claims are flagged or blocked. Faithfulness differs from correctness, since sources may be wrong, and from relevance, since a faithful answer may not address the question. Track it in evaluation and monitoring.
SIMPLE EXPLANATION (HINGLISH):
Break the answer into claims and check each against the sources.
REAL-LIFE ANALOGY:
Faithfulness is checking every sentence of an answer against the cited pages.
FORMULA / RULE:
Supported claims ÷ total claims.
EXAMPLE 1:
An answer with one invented number flagged.
EXAMPLE 2:
A judge scoring support for each claim.
EXAMPLE 3:
A blocked answer with unsupported claims.
RELATED CONCEPTS:
hallucination, citations, evaluation, human review
FAMILY / GROUP:
faithfulness, groundedness, entailment, claim, judge
WHERE IT IS USED:
Evaluation | Monitoring | Quality gates
MINI CONVERSATION:
A: The sources say seven days but the answer says ten. | B: That claim is unfaithful, so flag it.
COMMON MISTAKE:
✗ A faithful answer is always correct → ✓ It matches the sources, which may themselves be wrong or outdated
DON'T CONFUSE WITH:
Faithfulness vs relevance: support versus answering the question.
AVOID / DON'T:
Do not measure only whether an answer sounds good.
MEMORY TRICK:
Every single claim needs real support.
REAL LIFE: PROJECT / WORK:
Claim-level checks caught invented numbers that readers had missed.
REAL LIFE: INTERVIEW / EXAM:
An interviewer may ask: How do you measure faithfulness?
REAL LIFE: DAILY LIFE:
It is like checking every sentence against the page.</t>
        </is>
      </c>
      <c r="C30" s="29" t="inlineStr">
        <is>
          <t>04_Generation_Advanced_RAG-029</t>
        </is>
      </c>
    </row>
    <row r="31" ht="409" customHeight="1">
      <c r="A31" s="29" t="inlineStr">
        <is>
          <t>Answer style
How do you control tone, length and format of RAG answers?</t>
        </is>
      </c>
      <c r="B31" s="29" t="inlineStr">
        <is>
          <t>DEFINITION (SIMPLE):
Answer style rules specify tone, length, structure, language, level of detail and when to show sources, so responses are consistent and fit the audience.
HOW / WHY IT WORKS:
Typical rules are short answers first with details after, bullet steps for procedures, plain language for customers, and the user's language. Include citations in a fixed format. Offer follow-up options. Avoid revealing internal notes. Test with many question types and review samples for tone.
SIMPLE EXPLANATION (HINGLISH):
Set tone, length and format rules, and test them on samples.
REAL-LIFE ANALOGY:
Answer style is the uniform and manner of the support agent.
FORMULA / RULE:
Tone + length + structure + language.
EXAMPLE 1:
Answer in two sentences, then offer details.
EXAMPLE 2:
Steps as a numbered list.
EXAMPLE 3:
Reply in the user's language.
RELATED CONCEPTS:
system prompts, output format, citations, evaluation
FAMILY / GROUP:
tone, format, length, language, audience
WHERE IT IS USED:
Customer bots | Internal assistants | Documentation tools
MINI CONVERSATION:
A: The answers are too long for chat. | B: Add a rule for two sentences first and offer details.
COMMON MISTAKE:
✗ Style does not affect trust → ✓ Clear, consistent style makes answers easier to trust and use
DON'T CONFUSE WITH:
Content vs style: what is said versus how it is said.
AVOID / DON'T:
Do not allow answers to expose internal notes.
MEMORY TRICK:
Short first, details on request.
REAL LIFE: PROJECT / WORK:
A short-first style rule raised satisfaction scores for a chat assistant.
REAL LIFE: INTERVIEW / EXAM:
An interviewer may ask: How do you keep RAG answers consistent?
REAL LIFE: DAILY LIFE:
It is like the manner of a support agent.</t>
        </is>
      </c>
      <c r="C31" s="29" t="inlineStr">
        <is>
          <t>04_Generation_Beginner_RAG-030</t>
        </is>
      </c>
    </row>
    <row r="32" ht="409" customHeight="1">
      <c r="A32" s="29" t="inlineStr">
        <is>
          <t>Access control per user
How do you make sure each user can retrieve only documents they may see?</t>
        </is>
      </c>
      <c r="B32" s="29" t="inlineStr">
        <is>
          <t>DEFINITION (SIMPLE):
Per-user access control stores permission information with each chunk, such as allowed users, groups or tenants, and filters retrieval by the authenticated user's identity so unauthorised content is never fetched or shown.
HOW / WHY IT WORKS:
Copy permissions from the source system during ingestion and keep them updated. Filter inside the retrieval query using identity from the session. Do not rely on prompts to hide content, since the model has already seen it. Test with users of different rights. Permission changes must propagate quickly, and caches must be keyed by user or group.
SIMPLE EXPLANATION (HINGLISH):
Store permissions with chunks, filter by the real user in the query, and test it.
REAL-LIFE ANALOGY:
Access control is a guard who checks each book's label against your badge before fetching it.
FORMULA / RULE:
Identity from the session + permissions on chunks + filter in the query.
EXAMPLE 1:
A chunk labelled for the finance group only.
EXAMPLE 2:
Two users asking the same question and getting different evidence.
EXAMPLE 3:
A permission change reflected within minutes.
RELATED CONCEPTS:
metadata, retrieval filters, multi-tenant data, caching
FAMILY / GROUP:
permission, identity, group, filter, ACL
WHERE IT IS USED:
Enterprise RAG | Confidential data | Compliance
MINI CONVERSATION:
A: Can the prompt tell the model not to show HR files? | B: No, filter them out in retrieval.
COMMON MISTAKE:
✗ Telling the model to hide restricted content is enough → ✓ Restricted content must never be retrieved
DON'T CONFUSE WITH:
Prompt rule vs retrieval filter: one asks, the other enforces.
AVOID / DON'T:
Do not put restricted text in the prompt.
MEMORY TRICK:
Never retrieve what the user may not see.
REAL LIFE: PROJECT / WORK:
Syncing source permissions into chunk metadata closed a leak found in testing.
REAL LIFE: INTERVIEW / EXAM:
An interviewer may ask: How do you enforce document permissions in RAG?
REAL LIFE: DAILY LIFE:
It is like a guard checking labels against your badge.</t>
        </is>
      </c>
      <c r="C32" s="29" t="inlineStr">
        <is>
          <t>05_Operations_Advanced_RAG-031</t>
        </is>
      </c>
    </row>
    <row r="33" ht="409" customHeight="1">
      <c r="A33" s="29" t="inlineStr">
        <is>
          <t>Multi-tenant data
How do you serve many customers from one RAG system without mixing their data?</t>
        </is>
      </c>
      <c r="B33" s="29" t="inlineStr">
        <is>
          <t>DEFINITION (SIMPLE):
Multi-tenant RAG keeps each customer's documents, chunks, vectors and caches separated by a tenant id enforced in storage and queries, or by separate indexes or databases for stronger isolation.
HOW / WHY IT WORKS:
Options are shared tables with a tenant column and row-level security, separate schemas, separate databases or separate collections. Stronger isolation costs more. Every path, including caches, logs and background jobs, must carry the tenant. Test with cross-tenant queries expecting zero leakage. Deleting a tenant must remove everything.
SIMPLE EXPLANATION (HINGLISH):
Tag everything with the tenant, enforce it everywhere, and test for leaks.
REAL-LIFE ANALOGY:
Multi-tenancy is an apartment block where every flat has its own locked door.
FORMULA / RULE:
Tenant id everywhere, enforced by the database.
EXAMPLE 1:
Row-level security on the chunks table.
EXAMPLE 2:
A separate database for a regulated customer.
EXAMPLE 3:
An automated cross-tenant leak test.
RELATED CONCEPTS:
metadata, access control per user, retrieval filters, deleting data
FAMILY / GROUP:
tenant, isolation, row-level security, schema, leak
WHERE IT IS USED:
SaaS | Enterprise platforms | Customer projects
MINI CONVERSATION:
A: Can customer A ever see customer B's chunks? | B: Not with row-level security and tests proving it.
COMMON MISTAKE:
✗ A tenant column in code is enough → ✓ Enforce isolation in the database and test it
DON'T CONFUSE WITH:
Shared vs separate storage: cheaper versus stronger isolation.
AVOID / DON'T:
Do not rely on every query remembering the filter.
MEMORY TRICK:
The database enforces it, tests prove it.
REAL LIFE: PROJECT / WORK:
Row-level security made a missing filter in code harmless.
REAL LIFE: INTERVIEW / EXAM:
An interviewer may ask: How do you isolate tenants in a shared vector database?
REAL LIFE: DAILY LIFE:
It is like flats with locked doors.</t>
        </is>
      </c>
      <c r="C33" s="29" t="inlineStr">
        <is>
          <t>05_Operations_Advanced_RAG-032</t>
        </is>
      </c>
    </row>
    <row r="34" ht="409" customHeight="1">
      <c r="A34" s="29" t="inlineStr">
        <is>
          <t>Freshness
How do you make sure answers reflect the latest documents?</t>
        </is>
      </c>
      <c r="B34" s="29" t="inlineStr">
        <is>
          <t>DEFINITION (SIMPLE):
Freshness is the delay between a change in a source document and the moment it is reflected in retrieval, along with the rule for preferring newer versions over older ones.
HOW / WHY IT WORKS:
Measure lag from the modified time to the indexed time. Use webhooks or frequent syncs for important sources. Prefer the latest version, and mark or exclude superseded ones. Cached answers must be invalidated. Show dates to users. Alert when sync jobs fail, since silent failure leads to stale answers.
SIMPLE EXPLANATION (HINGLISH):
Keep the lag small, prefer the latest versions, and alert on failed syncs.
REAL-LIFE ANALOGY:
Freshness is the expiry date on the food you serve.
FORMULA / RULE:
Freshness lag = indexed time minus modified time.
EXAMPLE 1:
A policy change searchable within ten minutes.
EXAMPLE 2:
An alert when the sync is more than a day late.
EXAMPLE 3:
A superseded document excluded.
RELATED CONCEPTS:
updating the index, deleting data, caching, monitoring
FAMILY / GROUP:
freshness, lag, sync, version, superseded
WHERE IT IS USED:
Policies | Pricing | Support
MINI CONVERSATION:
A: The bot gave last year's price. | B: The sync failed, so check freshness lag.
COMMON MISTAKE:
✗ Once indexed, answers stay correct → ✓ Documents change, so the index must keep up
DON'T CONFUSE WITH:
Fresh vs stale: current versus outdated content.
AVOID / DON'T:
Do not ignore failed sync jobs.
MEMORY TRICK:
Measure the lag, alert on the gap.
REAL LIFE: PROJECT / WORK:
A freshness alert caught a failed sync before customers saw wrong prices.
REAL LIFE: INTERVIEW / EXAM:
An interviewer may ask: How do you keep RAG answers current?
REAL LIFE: DAILY LIFE:
It is like an expiry date on food.</t>
        </is>
      </c>
      <c r="C34" s="29" t="inlineStr">
        <is>
          <t>05_Operations_Intermediate_RAG-033</t>
        </is>
      </c>
    </row>
    <row r="35" ht="409" customHeight="1">
      <c r="A35" s="29" t="inlineStr">
        <is>
          <t>Caching in RAG
Which results can you reuse to save time and money, and what are the risks?</t>
        </is>
      </c>
      <c r="B35" s="29" t="inlineStr">
        <is>
          <t>DEFINITION (SIMPLE):
RAG caching stores results at several levels, such as query embeddings, retrieval results, model prompts and final answers, to avoid repeating work, and must respect permissions and document changes.
HOW / WHY IT WORKS:
Embedding caches are safe and save calls. Retrieval and answer caches need keys that include tenant, permission group and index version, otherwise users may see content they should not. Invalidate when documents change or are deleted. Semantic caches reuse answers for similar questions but risk wrong matches, so use strict thresholds. Prompt caching at the provider reduces input cost.
SIMPLE EXPLANATION (HINGLISH):
Cache carefully with permissions and versions in the key, and invalidate on changes.
REAL-LIFE ANALOGY:
A cache is a notebook of answers already worked out, valid only while the books are unchanged.
FORMULA / RULE:
Cache key = question + tenant + permissions + index version.
EXAMPLE 1:
Caching query embeddings.
EXAMPLE 2:
A cached answer cleared after a document update.
EXAMPLE 3:
A semantic cache with a strict similarity threshold.
RELATED CONCEPTS:
access control per user, freshness, cost and latency, deleting data
FAMILY / GROUP:
cache, key, invalidation, semantic cache, version
WHERE IT IS USED:
High-traffic bots | Cost control | Latency tuning
MINI CONVERSATION:
A: Two users saw the same answer including private data. | B: The cache key ignored permissions.
COMMON MISTAKE:
✗ Caching answers is always safe → ✓ Without permissions and versions in the key, it can leak or serve stale content
DON'T CONFUSE WITH:
Embedding cache vs answer cache: low risk versus higher risk.
AVOID / DON'T:
Do not cache across users with different permissions.
MEMORY TRICK:
Key by user rights and index version.
REAL LIFE: PROJECT / WORK:
Adding permissions to cache keys fixed a leak and kept the savings.
REAL LIFE: INTERVIEW / EXAM:
An interviewer may ask: What are the risks of caching RAG answers?
REAL LIFE: DAILY LIFE:
It is like a notebook of worked-out answers.</t>
        </is>
      </c>
      <c r="C35" s="29" t="inlineStr">
        <is>
          <t>05_Operations_Advanced_RAG-034</t>
        </is>
      </c>
    </row>
    <row r="36" ht="409" customHeight="1">
      <c r="A36" s="29" t="inlineStr">
        <is>
          <t>Latency and cost
Where do time and money go in a RAG request and how do you reduce them?</t>
        </is>
      </c>
      <c r="B36" s="29" t="inlineStr">
        <is>
          <t>DEFINITION (SIMPLE):
Latency and cost in RAG are the time and spend of each stage, including query rewriting, embedding, retrieval, reranking and generation, which together determine user experience and the bill.
HOW / WHY IT WORKS:
Generation is usually the slowest and costliest step, driven by prompt size and output length. Reduce by sending fewer, better chunks, using smaller models for easy questions, caching, streaming, parallelising retrieval and limiting output. Reranking and rewriting add delay, so use them where they pay off. Track p50 and p95 per stage.
SIMPLE EXPLANATION (HINGLISH):
Measure each stage, trim the prompt, cache, stream and choose models wisely.
REAL-LIFE ANALOGY:
Latency is a relay race, and the slowest runner decides your time.
FORMULA / RULE:
Total latency = sum of stage latencies.
EXAMPLE 1:
Reducing chunks from ten to five.
EXAMPLE 2:
Streaming the first words quickly.
EXAMPLE 3:
A small model for simple questions.
RELATED CONCEPTS:
top-k, reranking, caching, cost control
FAMILY / GROUP:
latency, p95, stage, stream, budget
WHERE IT IS USED:
Production RAG | Cost reviews | UX tuning
MINI CONVERSATION:
A: Answers take eight seconds. | B: Measure each stage and look at prompt size first.
COMMON MISTAKE:
✗ Retrieval is the main source of delay → ✓ Generation usually dominates
DON'T CONFUSE WITH:
Perceived vs real latency: streaming improves feel, not total time.
AVOID / DON'T:
Do not optimise without per-stage timing.
MEMORY TRICK:
Time each stage, trim the biggest.
REAL LIFE: PROJECT / WORK:
Streaming the answer shortened the perceived wait for support agents.
REAL LIFE: INTERVIEW / EXAM:
An interviewer may ask: How would you speed up a RAG system?
REAL LIFE: DAILY LIFE:
It is like a relay race.</t>
        </is>
      </c>
      <c r="C36" s="29" t="inlineStr">
        <is>
          <t>05_Operations_Intermediate_RAG-035</t>
        </is>
      </c>
    </row>
    <row r="37" ht="409" customHeight="1">
      <c r="A37" s="29" t="inlineStr">
        <is>
          <t>Monitoring RAG
Which signals show how a RAG system behaves in production?</t>
        </is>
      </c>
      <c r="B37" s="29" t="inlineStr">
        <is>
          <t>DEFINITION (SIMPLE):
RAG monitoring tracks latency, errors, cost, retrieval scores, no-answer rates, user feedback, citation checks and sampled quality reviews, to detect drift and failures.
HOW / WHY IT WORKS:
Useful signals are the share of questions with weak retrieval, the rate of no-answer, thumbs down, answer length, and costs. Sample conversations for human review. Compare against the evaluation set regularly. Alert on spikes. Keep logs safe, with masking and retention rules. Feed failures back into improvements.
SIMPLE EXPLANATION (HINGLISH):
Watch speed, cost, retrieval quality and feedback, and review samples.
REAL-LIFE ANALOGY:
Monitoring is the dashboard of a car.
FORMULA / RULE:
Metrics + feedback + sampled review.
EXAMPLE 1:
A rising no-answer rate showing content gaps.
EXAMPLE 2:
A drop in retrieval scores after a model change.
EXAMPLE 3:
A weekly review of thumbs-down answers.
RELATED CONCEPTS:
logging calls safely, evaluating retrieval, failure analysis, alerts
FAMILY / GROUP:
monitoring, drift, feedback, sampling, dashboard
WHERE IT IS USED:
Production | Quality teams | Operations
MINI CONVERSATION:
A: Quality seems lower this month. | B: Check the no-answer rate and thumbs-down trend.
COMMON MISTAKE:
✗ If there are no errors, the system works well → ✓ Quality problems rarely raise errors
DON'T CONFUSE WITH:
Errors vs quality signals: crashes versus bad answers.
AVOID / DON'T:
Do not log raw private data without controls.
MEMORY TRICK:
Watch quality, not only uptime.
REAL LIFE: PROJECT / WORK:
A no-answer dashboard revealed missing documents that were then added.
REAL LIFE: INTERVIEW / EXAM:
An interviewer may ask: What do you monitor in RAG?
REAL LIFE: DAILY LIFE:
It is like a car dashboard.</t>
        </is>
      </c>
      <c r="C37" s="29" t="inlineStr">
        <is>
          <t>05_Operations_Intermediate_RAG-036</t>
        </is>
      </c>
    </row>
    <row r="38" ht="409" customHeight="1">
      <c r="A38" s="29" t="inlineStr">
        <is>
          <t>Evaluating retrieval
Which metrics show whether retrieval finds the right chunks?</t>
        </is>
      </c>
      <c r="B38" s="29" t="inlineStr">
        <is>
          <t>DEFINITION (SIMPLE):
Retrieval evaluation compares retrieved results with labelled relevant chunks, using metrics such as recall at k, precision at k, mean reciprocal rank and nDCG.
HOW / WHY IT WORKS:
Recall at k is the share of relevant chunks found in the top k. A simpler hit rate counts the questions where at least one relevant chunk appears in the top k. Precision is the share of retrieved chunks that are relevant. Mean reciprocal rank rewards placing the first relevant result high. Labels can be made by experts or generated carefully and reviewed. Run the evaluation after each change of chunking, embeddings, filters or rerankers.
SIMPLE EXPLANATION (HINGLISH):
Label questions with correct chunks, then measure recall and ranking after each change.
REAL-LIFE ANALOGY:
Evaluating retrieval is a quiz that checks whether the librarian fetches the right books.
FORMULA / RULE:
Hit rate at k = questions with a hit in the top k ÷ all questions.
EXAMPLE 1:
Recall at 5 rising from 70 to 85 percent.
EXAMPLE 2:
MRR showing the right chunk is usually first.
EXAMPLE 3:
A failing question list.
RELATED CONCEPTS:
when RAG fails, top-k, reranking, AI evaluation
FAMILY / GROUP:
recall, precision, MRR, nDCG, labelled set
WHERE IT IS USED:
Tuning | Release gates | Experiments
MINI CONVERSATION:
A: Did the new chunking help? | B: Compare recall at five on the question set.
COMMON MISTAKE:
✗ Answer quality alone shows retrieval quality → ✓ Retrieval should be measured separately
DON'T CONFUSE WITH:
Recall vs precision: found relevant items versus how clean the results are.
AVOID / DON'T:
Do not tune without a labelled set.
MEMORY TRICK:
Measure recall first, then ranking.
REAL LIFE: PROJECT / WORK:
A labelled set of eighty questions made chunking experiments objective.
REAL LIFE: INTERVIEW / EXAM:
An interviewer may ask: How do you evaluate retrieval?
REAL LIFE: DAILY LIFE:
It is like a quiz for the librarian.</t>
        </is>
      </c>
      <c r="C38" s="29" t="inlineStr">
        <is>
          <t>05_Operations_Advanced_RAG-037</t>
        </is>
      </c>
    </row>
    <row r="39" ht="409" customHeight="1">
      <c r="A39" s="29" t="inlineStr">
        <is>
          <t>Failure analysis
How do you study bad answers to find which stage failed and what to fix first?</t>
        </is>
      </c>
      <c r="B39" s="29" t="inlineStr">
        <is>
          <t>DEFINITION (SIMPLE):
Failure analysis samples poor answers, traces each through the pipeline to classify the cause, such as parsing, chunking, retrieval, ranking, prompt or model, and prioritises fixes by frequency and impact.
HOW / WHY IT WORKS:
For each failure, check whether the evidence exists, whether it was retrieved, whether it was in the prompt and whether the model used it. Tally causes in a table. Fix the top cause, re-run the evaluation and repeat. Save failures as regression tests. Involve domain experts when answers are subtle.
SIMPLE EXPLANATION (HINGLISH):
Classify failures by stage, fix the biggest group and test again.
REAL-LIFE ANALOGY:
Failure analysis is a doctor's chart review that looks for the commonest illness.
FORMULA / RULE:
Sample, classify, rank causes, fix, re-test.
EXAMPLE 1:
Forty percent of failures due to parsing.
EXAMPLE 2:
A failing question saved as a regression test.
EXAMPLE 3:
A review with a domain expert.
RELATED CONCEPTS:
when RAG fails, evaluating retrieval, monitoring RAG, human review
FAMILY / GROUP:
failure, cause, regression, sample, prioritise
WHERE IT IS USED:
Quality improvement | Reviews | Operations
MINI CONVERSATION:
A: Where should we spend effort first? | B: Count failure causes on fifty bad answers.
COMMON MISTAKE:
✗ Changing the prompt fixes most RAG problems → ✓ Failures often come from parsing or retrieval
DON'T CONFUSE WITH:
Cause vs symptom: wrong answer versus the stage that failed.
AVOID / DON'T:
Do not fix without counting causes.
MEMORY TRICK:
Count the causes, fix the biggest.
REAL LIFE: PROJECT / WORK:
Failure analysis showed parsing, not prompts, caused most errors.
REAL LIFE: INTERVIEW / EXAM:
An interviewer may ask: How do you decide what to improve in a RAG system?
REAL LIFE: DAILY LIFE:
It is like a chart review by a doctor.</t>
        </is>
      </c>
      <c r="C39" s="29" t="inlineStr">
        <is>
          <t>05_Operations_Advanced_RAG-038</t>
        </is>
      </c>
    </row>
    <row r="40" ht="409" customHeight="1">
      <c r="A40" s="29" t="inlineStr">
        <is>
          <t>Agentic RAG
How can a model decide when and how to search, instead of always retrieving once?</t>
        </is>
      </c>
      <c r="B40" s="29" t="inlineStr">
        <is>
          <t>DEFINITION (SIMPLE):
Agentic RAG lets a model control retrieval through tools, deciding what to search, evaluating results, issuing follow-up searches, and stopping when it has enough evidence.
HOW / WHY IT WORKS:
It helps with multi-part questions, comparisons and exploratory research. It costs more, takes longer and is harder to test. Set step limits, log every search, validate tool arguments and keep permission filters in the tool, not the model. Compare against a simple pipeline, since many questions do not need it.
SIMPLE EXPLANATION (HINGLISH):
Give the model a search tool and limits, and use it when one retrieval is not enough.
REAL-LIFE ANALOGY:
Agentic RAG is a researcher who searches, reads, refines and searches again.
FORMULA / RULE:
Plan, search, assess, repeat within limits.
EXAMPLE 1:
A comparison question needing two searches.
EXAMPLE 2:
A follow-up search when evidence is thin.
EXAMPLE 3:
A step limit of five.
RELATED CONCEPTS:
agents and loops, tool calling, multi-query retrieval, guardrails
FAMILY / GROUP:
agentic, loop, search tool, planning, step limit
WHERE IT IS USED:
Research assistants | Complex support | Analysis tools
MINI CONVERSATION:
A: Single search misses multi-part questions. | B: Try agentic retrieval with a step limit.
COMMON MISTAKE:
✗ Agentic RAG is always better than simple RAG → ✓ It is slower and costlier, and often unnecessary
DON'T CONFUSE WITH:
Simple vs agentic RAG: one retrieval versus a planned loop.
AVOID / DON'T:
Do not put permission checks in the model's hands.
MEMORY TRICK:
Limit the loop, keep permissions in the tool.
REAL LIFE: PROJECT / WORK:
A limited agentic loop answered comparison questions that single retrieval missed.
REAL LIFE: INTERVIEW / EXAM:
An interviewer may ask: When would you use agentic RAG?
REAL LIFE: DAILY LIFE:
It is like a researcher refining searches.</t>
        </is>
      </c>
      <c r="C40" s="29" t="inlineStr">
        <is>
          <t>05_Operations_Advanced_RAG-039</t>
        </is>
      </c>
    </row>
    <row r="41" ht="409" customHeight="1">
      <c r="A41" s="29" t="inlineStr">
        <is>
          <t>Graph-based retrieval
How can a graph of entities and relations help answer connected questions?</t>
        </is>
      </c>
      <c r="B41" s="29" t="inlineStr">
        <is>
          <t>DEFINITION (SIMPLE):
Graph-based retrieval builds a graph of entities and relationships extracted from documents, then retrieves by traversing connections and summaries, so questions about relations and themes can be answered with linked evidence.
HOW / WHY IT WORKS:
Extraction of entities and relations is done with models and is imperfect and costly. Queries can follow paths, such as which suppliers affect this product. Community summaries support broad questions across a whole corpus. Graphs need updates when documents change. They suit connected domains such as compliance, supply chains and research, but many problems do not need them.
SIMPLE EXPLANATION (HINGLISH):
Extract entities and relations, then retrieve by following links.
REAL-LIFE ANALOGY:
A knowledge graph is a map of people, places and links between them.
FORMULA / RULE:
Entities + relations + traversal + summaries.
EXAMPLE 1:
Finding all contracts linked to one supplier.
EXAMPLE 2:
A theme summary across a large corpus.
EXAMPLE 3:
A path from a product to its components.
RELATED CONCEPTS:
vector search, hybrid search, agentic RAG, updating the index
FAMILY / GROUP:
graph, entity, relation, traversal, community summary
WHERE IT IS USED:
Compliance | Supply chains | Research
MINI CONVERSATION:
A: Questions about links across documents fail. | B: A graph of entities may help beyond similarity search.
COMMON MISTAKE:
✗ Graphs replace vector search → ✓ They complement it for relational questions
DON'T CONFUSE WITH:
Graph vs vector retrieval: links versus similarity.
AVOID / DON'T:
Do not build a graph before simpler methods are tried.
MEMORY TRICK:
Vectors find similar, graphs follow links.
REAL LIFE: PROJECT / WORK:
A small entity graph answered supplier impact questions that vector search could not.
REAL LIFE: INTERVIEW / EXAM:
An interviewer may ask: When would you add a knowledge graph to RAG?
REAL LIFE: DAILY LIFE:
It is like a map of connections.</t>
        </is>
      </c>
      <c r="C41" s="29" t="inlineStr">
        <is>
          <t>05_Operations_Advanced_RAG-040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8" t="inlineStr">
        <is>
          <t>Front</t>
        </is>
      </c>
      <c r="B1" s="28" t="inlineStr">
        <is>
          <t>Back</t>
        </is>
      </c>
      <c r="C1" s="28" t="inlineStr">
        <is>
          <t>Tags</t>
        </is>
      </c>
    </row>
    <row r="2" ht="121.5" customHeight="1">
      <c r="A2" s="29" t="inlineStr">
        <is>
          <t>MCQ: When does RAG add the knowledge?
A) Never B) At deployment only C) At question time D) During model training
FILL: Supplying retrieved text to ground the answer is the ____ part of RAG
APPLY: A model must answer from private documents that change often. What do you build?</t>
        </is>
      </c>
      <c r="B2" s="29" t="inlineStr">
        <is>
          <t>MCQ answer: C  Passages are retrieved per question.
Fill answer: augmentation
Apply: A RAG system</t>
        </is>
      </c>
      <c r="C2" s="29" t="inlineStr">
        <is>
          <t>01_Ideas_Beginner_RAG-001_quiz</t>
        </is>
      </c>
    </row>
    <row r="3" ht="94.5" customHeight="1">
      <c r="A3" s="29" t="inlineStr">
        <is>
          <t>MCQ: Which fits a huge, changing document store?
A) RAG B) Fine-tuning only C) Nothing D) A short prompt
FILL: Behaviour and style changes suit ____
APPLY: A single short policy must be applied to every call. What fits?</t>
        </is>
      </c>
      <c r="B3" s="29" t="inlineStr">
        <is>
          <t>MCQ answer: A  Retrieval scales and updates easily.
Fill answer: fine-tuning
Apply: Put it in the prompt</t>
        </is>
      </c>
      <c r="C3" s="29" t="inlineStr">
        <is>
          <t>01_Ideas_Intermediate_RAG-002_quiz</t>
        </is>
      </c>
    </row>
    <row r="4" ht="94.5" customHeight="1">
      <c r="A4" s="29" t="inlineStr">
        <is>
          <t>MCQ: Which stage runs before retrieval?
A) Evaluation only B) Ingestion and indexing C) Answer generation D) Citation
FILL: Preparing and indexing documents is called ____
APPLY: Answers are wrong. What do you check first?</t>
        </is>
      </c>
      <c r="B4" s="29" t="inlineStr">
        <is>
          <t>MCQ answer: B  Content must be indexed first.
Fill answer: ingestion
Apply: Whether the right chunks were retrieved</t>
        </is>
      </c>
      <c r="C4" s="29" t="inlineStr">
        <is>
          <t>01_Ideas_Beginner_RAG-003_quiz</t>
        </is>
      </c>
    </row>
    <row r="5" ht="94.5" customHeight="1">
      <c r="A5" s="29" t="inlineStr">
        <is>
          <t>MCQ: What do you check first when the answer is missing?
A) The logo B) The font C) The colour D) Whether the evidence was retrieved
FILL: The share of relevant passages found is called ____
APPLY: A relevant chunk never appears in results. What stage failed?</t>
        </is>
      </c>
      <c r="B5" s="29" t="inlineStr">
        <is>
          <t>MCQ answer: D  Missing retrieval is the common cause.
Fill answer: recall
Apply: Retrieval</t>
        </is>
      </c>
      <c r="C5" s="29" t="inlineStr">
        <is>
          <t>01_Ideas_Intermediate_RAG-004_quiz</t>
        </is>
      </c>
    </row>
    <row r="6" ht="94.5" customHeight="1">
      <c r="A6" s="29" t="inlineStr">
        <is>
          <t>MCQ: What does a managed RAG service give first?
A) Total control B) Speed to a working system C) Zero cost D) No data
FILL: Dependence on one vendor is ____
APPLY: A team needs a quick pilot. What approach?</t>
        </is>
      </c>
      <c r="B6" s="29" t="inlineStr">
        <is>
          <t>MCQ answer: B  It handles the plumbing.
Fill answer: lock-in
Apply: Start with a managed service</t>
        </is>
      </c>
      <c r="C6" s="29" t="inlineStr">
        <is>
          <t>01_Ideas_Intermediate_RAG-005_quiz</t>
        </is>
      </c>
    </row>
    <row r="7" ht="81" customHeight="1">
      <c r="A7" s="29" t="inlineStr">
        <is>
          <t>MCQ: Which should be kept with each document?
A) Only the text B) Nothing C) Source and modified time D) The font
FILL: A tool that reads a source system is a ____
APPLY: Old drafts pollute answers. What do you do?</t>
        </is>
      </c>
      <c r="B7" s="29" t="inlineStr">
        <is>
          <t>MCQ answer: C  Citations and updates need it.
Fill answer: connector
Apply: Exclude or mark them stale</t>
        </is>
      </c>
      <c r="C7" s="29" t="inlineStr">
        <is>
          <t>02_Ingestion_Beginner_RAG-006_quiz</t>
        </is>
      </c>
    </row>
    <row r="8" ht="81" customHeight="1">
      <c r="A8" s="29" t="inlineStr">
        <is>
          <t>MCQ: What do scanned pages need?
A) Encryption B) Compression C) Deletion D) OCR
FILL: Converting images of text to characters is ____
APPLY: Answers miss data inside tables. What do you improve?</t>
        </is>
      </c>
      <c r="B8" s="29" t="inlineStr">
        <is>
          <t>MCQ answer: D  They contain images, not text.
Fill answer: OCR
Apply: Table-aware parsing</t>
        </is>
      </c>
      <c r="C8" s="29" t="inlineStr">
        <is>
          <t>02_Ingestion_Intermediate_RAG-007_quiz</t>
        </is>
      </c>
    </row>
    <row r="9" ht="94.5" customHeight="1">
      <c r="A9" s="29" t="inlineStr">
        <is>
          <t>MCQ: What should cleaning keep?
A) Headings and meaning B) Cookie banners C) Page numbers D) Repeated footers
FILL: Repeated text appearing on every page is ____
APPLY: Search results all show the same footer. What do you do?</t>
        </is>
      </c>
      <c r="B9" s="29" t="inlineStr">
        <is>
          <t>MCQ answer: A  Structure helps retrieval.
Fill answer: boilerplate
Apply: Remove it during cleaning</t>
        </is>
      </c>
      <c r="C9" s="29" t="inlineStr">
        <is>
          <t>02_Ingestion_Beginner_RAG-008_quiz</t>
        </is>
      </c>
    </row>
    <row r="10" ht="108" customHeight="1">
      <c r="A10" s="29" t="inlineStr">
        <is>
          <t>MCQ: What should chunks respect?
A) Only length B) Natural structure C) Random positions D) Colours
FILL: Prepending the section title to chunk text adds ____
HINDI TO TASK: Store the section path with each chunk.
PRACTICE QUESTION: Why keep a link to the source?</t>
        </is>
      </c>
      <c r="B10" s="29" t="inlineStr">
        <is>
          <t>MCQ answer: B  Coherent passages retrieve better.
Fill answer: context
Task answer:
section_path TEXT
Practice answer:
It supports citations and updates.</t>
        </is>
      </c>
      <c r="C10" s="29" t="inlineStr">
        <is>
          <t>02_Ingestion_Intermediate_RAG-009_quiz</t>
        </is>
      </c>
    </row>
    <row r="11" ht="81" customHeight="1">
      <c r="A11" s="29" t="inlineStr">
        <is>
          <t>MCQ: What does overlap protect?
A) Information at chunk boundaries B) Speed C) Passwords D) Storage
FILL: Repeated text between neighbouring chunks is ____
APPLY: Answers are lost between chunks. What do you try?</t>
        </is>
      </c>
      <c r="B11" s="29" t="inlineStr">
        <is>
          <t>MCQ answer: A  Shared text keeps cross-boundary meaning.
Fill answer: overlap
Apply: Add overlap or change the splitting rules</t>
        </is>
      </c>
      <c r="C11" s="29" t="inlineStr">
        <is>
          <t>02_Ingestion_Intermediate_RAG-010_quiz</t>
        </is>
      </c>
    </row>
    <row r="12" ht="108" customHeight="1">
      <c r="A12" s="29" t="inlineStr">
        <is>
          <t>MCQ: Which field enforces data isolation between customers?
A) token_count B) chunk_index C) lang D) tenant_id
FILL: Restricting search by fields is ____
HINDI TO TASK: Search only the chunks of tenant acme.
PRACTICE QUESTION: Why plan metadata early?</t>
        </is>
      </c>
      <c r="B12" s="29" t="inlineStr">
        <is>
          <t>MCQ answer: D  It restricts search to one customer.
Fill answer: filtering
Task answer:
WHERE tenant_id = 'acme'
Practice answer:
Adding fields later may need re-ingestion.</t>
        </is>
      </c>
      <c r="C12" s="29" t="inlineStr">
        <is>
          <t>02_Ingestion_Intermediate_RAG-011_quiz</t>
        </is>
      </c>
    </row>
    <row r="13" ht="121.5" customHeight="1">
      <c r="A13" s="29" t="inlineStr">
        <is>
          <t>MCQ: What must match between chunks and queries?
A) The file name B) The font C) The embedding model D) The language only
FILL: The size of a vector is its number of ____
HINDI TO TASK: Add a vector column of 1024 dimensions.
PRACTICE QUESTION: Why store the model name with each vector?</t>
        </is>
      </c>
      <c r="B13" s="29" t="inlineStr">
        <is>
          <t>MCQ answer: C  Different models give incompatible vectors.
Fill answer: dimensions
Task answer:
ALTER TABLE chunks ADD COLUMN embedding vector(1024);
Practice answer:
It makes safe migrations and debugging possible.</t>
        </is>
      </c>
      <c r="C13" s="29" t="inlineStr">
        <is>
          <t>02_Ingestion_Intermediate_RAG-012_quiz</t>
        </is>
      </c>
    </row>
    <row r="14" ht="108" customHeight="1">
      <c r="A14" s="29" t="inlineStr">
        <is>
          <t>MCQ: What must happen to old chunks of a changed document?
A) They are ignored B) They are doubled C) They are replaced or removed D) They stay forever
FILL: A fingerprint of content used to detect change is a ____
APPLY: A document was edited but old text is still returned. What do you check?</t>
        </is>
      </c>
      <c r="B14" s="29" t="inlineStr">
        <is>
          <t>MCQ answer: C  Stale content would still be retrieved.
Fill answer: hash
Apply: That its old chunks were removed</t>
        </is>
      </c>
      <c r="C14" s="29" t="inlineStr">
        <is>
          <t>02_Ingestion_Intermediate_RAG-013_quiz</t>
        </is>
      </c>
    </row>
    <row r="15" ht="81" customHeight="1">
      <c r="A15" s="29" t="inlineStr">
        <is>
          <t>MCQ: What must also be deleted besides the file?
A) Chunks, vectors and caches B) The logo C) The server D) Nothing
FILL: Data created from a source is ____ data
APPLY: A user requests erasure. What do you verify afterwards?</t>
        </is>
      </c>
      <c r="B15" s="29" t="inlineStr">
        <is>
          <t>MCQ answer: A  They can still reveal content.
Fill answer: derived
Apply: That the content can no longer be retrieved</t>
        </is>
      </c>
      <c r="C15" s="29" t="inlineStr">
        <is>
          <t>02_Ingestion_Advanced_RAG-014_quiz</t>
        </is>
      </c>
    </row>
    <row r="16" ht="94.5" customHeight="1">
      <c r="A16" s="29" t="inlineStr">
        <is>
          <t>MCQ: What does vector search compare?
A) File names B) Passwords C) Fonts D) Embedding vectors
FILL: Fast search that trades a little accuracy is ____
APPLY: Users search with different words than the documents. What helps?</t>
        </is>
      </c>
      <c r="B16" s="29" t="inlineStr">
        <is>
          <t>MCQ answer: D  Meaning is encoded in vectors.
Fill answer: approximate
Apply: Vector search</t>
        </is>
      </c>
      <c r="C16" s="29" t="inlineStr">
        <is>
          <t>03_Retrieval_Beginner_RAG-015_quiz</t>
        </is>
      </c>
    </row>
    <row r="17" ht="94.5" customHeight="1">
      <c r="A17" s="29" t="inlineStr">
        <is>
          <t>MCQ: What does a cosine similarity near one mean?
A) Different language B) Very similar direction C) Opposite meaning D) No data
FILL: Cosine distance equals one minus the ____
APPLY: You need to drop weak matches. What do you tune?</t>
        </is>
      </c>
      <c r="B17" s="29" t="inlineStr">
        <is>
          <t>MCQ answer: B  Vectors point the same way.
Fill answer: similarity
Apply: A similarity threshold</t>
        </is>
      </c>
      <c r="C17" s="29" t="inlineStr">
        <is>
          <t>03_Retrieval_Intermediate_RAG-016_quiz</t>
        </is>
      </c>
    </row>
    <row r="18" ht="135" customHeight="1">
      <c r="A18" s="29" t="inlineStr">
        <is>
          <t>MCQ: Which clause returns the top results?
A) HAVING only B) DROP C) ORDER BY distance with LIMIT D) GROUP BY only
FILL: Before using vector columns you must run CREATE ____ IF NOT EXISTS vector
HINDI TO TASK: Get the five nearest chunks to a query vector.
PRACTICE QUESTION: What happens without an index?</t>
        </is>
      </c>
      <c r="B18" s="29" t="inlineStr">
        <is>
          <t>MCQ answer: C  Nearest first, then cut to k.
Fill answer: EXTENSION
Task answer:
SELECT * FROM chunks ORDER BY embedding &lt;=&gt; :q LIMIT 5;
Practice answer:
The database scans every row.</t>
        </is>
      </c>
      <c r="C18" s="29" t="inlineStr">
        <is>
          <t>03_Retrieval_Intermediate_RAG-017_quiz</t>
        </is>
      </c>
    </row>
    <row r="19" ht="135" customHeight="1">
      <c r="A19" s="29" t="inlineStr">
        <is>
          <t>MCQ: What must match between index and query?
A) The distance operator B) The column colour C) The table name D) The user
FILL: A larger ef_search usually raises ____
HINDI TO TASK: Create an HNSW index for cosine search.
PRACTICE QUESTION: Why can an ANN index return slightly different results from exact search?</t>
        </is>
      </c>
      <c r="B19" s="29" t="inlineStr">
        <is>
          <t>MCQ answer: A  Otherwise the index is not used.
Fill answer: recall
Task answer:
CREATE INDEX ON chunks USING hnsw (embedding vector_cosine_ops);
Practice answer:
It is approximate, trading a little accuracy for speed.</t>
        </is>
      </c>
      <c r="C19" s="29" t="inlineStr">
        <is>
          <t>03_Retrieval_Advanced_RAG-018_quiz</t>
        </is>
      </c>
    </row>
    <row r="20" ht="94.5" customHeight="1">
      <c r="A20" s="29" t="inlineStr">
        <is>
          <t>MCQ: What does a larger k risk?
A) Faster answers B) Fewer tokens C) Better privacy D) Noise and cost
FILL: A minimum score for results is a ____
APPLY: The prompt is stuffed with weak chunks. What do you do?</t>
        </is>
      </c>
      <c r="B20" s="29" t="inlineStr">
        <is>
          <t>MCQ answer: D  More irrelevant text enters the prompt.
Fill answer: threshold
Apply: Rerank and keep fewer</t>
        </is>
      </c>
      <c r="C20" s="29" t="inlineStr">
        <is>
          <t>03_Retrieval_Beginner_RAG-019_quiz</t>
        </is>
      </c>
    </row>
    <row r="21" ht="121.5" customHeight="1">
      <c r="A21" s="29" t="inlineStr">
        <is>
          <t>MCQ: Where should permission filters be applied?
A) Nowhere B) In the retrieval query C) In the prompt only D) After the model answers
FILL: Applying conditions before ranking is ____ filtering
HINDI TO TASK: Restrict a search to one tenant and one language.
PRACTICE QUESTION: Why apply filters inside the query?</t>
        </is>
      </c>
      <c r="B21" s="29" t="inlineStr">
        <is>
          <t>MCQ answer: B  Disallowed data must never be retrieved.
Fill answer: pre
Task answer:
WHERE tenant_id = :tenant AND lang = :lang
Practice answer:
Post-filtering can return too few results and may leak data.</t>
        </is>
      </c>
      <c r="C21" s="29" t="inlineStr">
        <is>
          <t>03_Retrieval_Intermediate_RAG-020_quiz</t>
        </is>
      </c>
    </row>
    <row r="22" ht="121.5" customHeight="1">
      <c r="A22" s="29" t="inlineStr">
        <is>
          <t>MCQ: Which method merges ranked lists without scaling scores?
A) Raw score addition B) Reciprocal rank fusion C) Alphabetical order D) Random pick
FILL: A classic keyword ranking function is ____
HINDI TO TASK: Merge two ranked lists by reciprocal rank.
PRACTICE QUESTION: Why not add raw scores?</t>
        </is>
      </c>
      <c r="B22" s="29" t="inlineStr">
        <is>
          <t>MCQ answer: B  It uses ranks only.
Fill answer: BM25
Task answer:
SUM(1.0 / (60 + rank))
Practice answer:
Scores from different systems have different scales.</t>
        </is>
      </c>
      <c r="C22" s="29" t="inlineStr">
        <is>
          <t>03_Retrieval_Advanced_RAG-021_quiz</t>
        </is>
      </c>
    </row>
    <row r="23" ht="108" customHeight="1">
      <c r="A23" s="29" t="inlineStr">
        <is>
          <t>MCQ: What does reranking improve?
A) The file size B) The embeddings C) The prompt length only D) The order of candidates
FILL: A model that reads query and chunk together is a ____
APPLY: The correct chunk is retrieved but ranked low. What do you add?</t>
        </is>
      </c>
      <c r="B23" s="29" t="inlineStr">
        <is>
          <t>MCQ answer: D  Better scoring puts the best first.
Fill answer: cross-encoder
Apply: A reranker</t>
        </is>
      </c>
      <c r="C23" s="29" t="inlineStr">
        <is>
          <t>03_Retrieval_Advanced_RAG-022_quiz</t>
        </is>
      </c>
    </row>
    <row r="24" ht="94.5" customHeight="1">
      <c r="A24" s="29" t="inlineStr">
        <is>
          <t>MCQ: Which problem does rewriting solve in chats?
A) Slow disks B) Large files C) Follow-ups that depend on earlier turns D) Wrong fonts
FILL: A question that makes sense without the chat history is ____
APPLY: A follow-up question returns nothing. What do you add?</t>
        </is>
      </c>
      <c r="B24" s="29" t="inlineStr">
        <is>
          <t>MCQ answer: C  The rewritten query stands alone.
Fill answer: standalone
Apply: Query rewriting with chat context</t>
        </is>
      </c>
      <c r="C24" s="29" t="inlineStr">
        <is>
          <t>03_Retrieval_Advanced_RAG-023_quiz</t>
        </is>
      </c>
    </row>
    <row r="25" ht="94.5" customHeight="1">
      <c r="A25" s="29" t="inlineStr">
        <is>
          <t>MCQ: What must be done with merged results?
A) Deduplicate them B) Hide them C) Sort alphabetically only D) Double them
FILL: A smaller question derived from a big one is a ____-question
APPLY: A question compares two products. How do you retrieve?</t>
        </is>
      </c>
      <c r="B25" s="29" t="inlineStr">
        <is>
          <t>MCQ answer: A  The same chunk can appear several times.
Fill answer: sub
Apply: Retrieve for each product separately</t>
        </is>
      </c>
      <c r="C25" s="29" t="inlineStr">
        <is>
          <t>03_Retrieval_Advanced_RAG-024_quiz</t>
        </is>
      </c>
    </row>
    <row r="26" ht="121.5" customHeight="1">
      <c r="A26" s="29" t="inlineStr">
        <is>
          <t>MCQ: Why number the sources?
A) To hide text B) To save tokens C) To lengthen the prompt D) So citations can be checked
FILL: Wrapping sources in tags uses ____
HINDI TO TASK: Wrap a source with id 3 in tags.
PRACTICE QUESTION: Where should the question go in a long prompt?</t>
        </is>
      </c>
      <c r="B26" s="29" t="inlineStr">
        <is>
          <t>MCQ answer: D  Ids link claims to evidence.
Fill answer: delimiters
Task answer:
&lt;source id="3"&gt;text&lt;/source&gt;
Practice answer:
At the end, after the sources.</t>
        </is>
      </c>
      <c r="C26" s="29" t="inlineStr">
        <is>
          <t>04_Generation_Intermediate_RAG-025_quiz</t>
        </is>
      </c>
    </row>
    <row r="27" ht="94.5" customHeight="1">
      <c r="A27" s="29" t="inlineStr">
        <is>
          <t>MCQ: What should code check about a citation?
A) That the id and quote exist in the source B) That it is blue C) That it is long D) That it is short
FILL: A reference to a source in an answer is a ____
APPLY: Answers contain fake references. What do you add?</t>
        </is>
      </c>
      <c r="B27" s="29" t="inlineStr">
        <is>
          <t>MCQ answer: A  Models can invent citations.
Fill answer: citation
Apply: Validation of ids and quotes</t>
        </is>
      </c>
      <c r="C27" s="29" t="inlineStr">
        <is>
          <t>04_Generation_Intermediate_RAG-026_quiz</t>
        </is>
      </c>
    </row>
    <row r="28" ht="108" customHeight="1">
      <c r="A28" s="29" t="inlineStr">
        <is>
          <t>MCQ: What reveals content gaps?
A) Shorter prompts B) A log of unanswered questions C) Faster servers D) Larger fonts
FILL: A minimum evidence score for answering is a ____
APPLY: A question has no support in the documents. What should the bot do?</t>
        </is>
      </c>
      <c r="B28" s="29" t="inlineStr">
        <is>
          <t>MCQ answer: B  Repeated not found results show what is missing.
Fill answer: threshold
Apply: Say it cannot find it and offer help</t>
        </is>
      </c>
      <c r="C28" s="29" t="inlineStr">
        <is>
          <t>04_Generation_Intermediate_RAG-027_quiz</t>
        </is>
      </c>
    </row>
    <row r="29" ht="94.5" customHeight="1">
      <c r="A29" s="29" t="inlineStr">
        <is>
          <t>MCQ: What is reserved in the budget?
A) Space for ads B) Nothing C) Space for the answer D) Space for passwords
FILL: Removing the least important text to fit is ____
APPLY: Retrieved chunks do not fit the window. What do you drop?</t>
        </is>
      </c>
      <c r="B29" s="29" t="inlineStr">
        <is>
          <t>MCQ answer: C  The model needs room to write.
Fill answer: trimming
Apply: The lowest-ranked ones</t>
        </is>
      </c>
      <c r="C29" s="29" t="inlineStr">
        <is>
          <t>04_Generation_Intermediate_RAG-028_quiz</t>
        </is>
      </c>
    </row>
    <row r="30" ht="94.5" customHeight="1">
      <c r="A30" s="29" t="inlineStr">
        <is>
          <t>MCQ: What does faithfulness measure?
A) Support of claims by sources B) Length C) Speed D) Style
FILL: Another word for faithfulness is ____
APPLY: An answer includes a number absent from the sources. What do you flag?</t>
        </is>
      </c>
      <c r="B30" s="29" t="inlineStr">
        <is>
          <t>MCQ answer: A  It checks grounding of claims.
Fill answer: groundedness
Apply: An unfaithful claim</t>
        </is>
      </c>
      <c r="C30" s="29" t="inlineStr">
        <is>
          <t>04_Generation_Advanced_RAG-029_quiz</t>
        </is>
      </c>
    </row>
    <row r="31" ht="94.5" customHeight="1">
      <c r="A31" s="29" t="inlineStr">
        <is>
          <t>MCQ: Where should style rules be stored?
A) In the logs B) In the browser C) In the database only D) In the system prompt
FILL: The way something is said is its ____
APPLY: Answers are too long for a chat window. What do you add?</t>
        </is>
      </c>
      <c r="B31" s="29" t="inlineStr">
        <is>
          <t>MCQ answer: D  They apply to every answer.
Fill answer: style
Apply: A length and structure rule</t>
        </is>
      </c>
      <c r="C31" s="29" t="inlineStr">
        <is>
          <t>04_Generation_Beginner_RAG-030_quiz</t>
        </is>
      </c>
    </row>
    <row r="32" ht="121.5" customHeight="1">
      <c r="A32" s="29" t="inlineStr">
        <is>
          <t>MCQ: Where are permissions enforced?
A) In the answer B) In the prompt text only C) In the retrieval query D) Nowhere
FILL: A record of which users or groups may open an item is often called an ACL, short for access control ____
APPLY: Users must see only their department's files. What do you add?</t>
        </is>
      </c>
      <c r="B32" s="29" t="inlineStr">
        <is>
          <t>MCQ answer: C  Unauthorised text must not enter the prompt.
Fill answer: list
Apply: Permission filters in retrieval</t>
        </is>
      </c>
      <c r="C32" s="29" t="inlineStr">
        <is>
          <t>05_Operations_Advanced_RAG-031_quiz</t>
        </is>
      </c>
    </row>
    <row r="33" ht="121.5" customHeight="1">
      <c r="A33" s="29" t="inlineStr">
        <is>
          <t>MCQ: What gives strong database-level isolation?
A) A larger LIMIT B) Row-level security C) A comment D) A longer name
FILL: A database feature that restricts rows per user is row-level ____
APPLY: A regulated customer needs the strongest isolation. What do you use?</t>
        </is>
      </c>
      <c r="B33" s="29" t="inlineStr">
        <is>
          <t>MCQ answer: B  The database enforces it regardless of code.
Fill answer: security
Apply: A separate database</t>
        </is>
      </c>
      <c r="C33" s="29" t="inlineStr">
        <is>
          <t>05_Operations_Advanced_RAG-032_quiz</t>
        </is>
      </c>
    </row>
    <row r="34" ht="94.5" customHeight="1">
      <c r="A34" s="29" t="inlineStr">
        <is>
          <t>MCQ: How is freshness lag measured?
A) Token count B) Page count C) File size D) Indexed time minus modified time
FILL: A document replaced by a newer one is ____
APPLY: Answers show an old price list. What do you check?</t>
        </is>
      </c>
      <c r="B34" s="29" t="inlineStr">
        <is>
          <t>MCQ answer: D  It is the delay until the change is searchable.
Fill answer: superseded
Apply: The sync and freshness lag</t>
        </is>
      </c>
      <c r="C34" s="29" t="inlineStr">
        <is>
          <t>05_Operations_Intermediate_RAG-033_quiz</t>
        </is>
      </c>
    </row>
    <row r="35" ht="94.5" customHeight="1">
      <c r="A35" s="29" t="inlineStr">
        <is>
          <t>MCQ: What must a cache key include for private data?
A) Permission group B) Colour C) Date of birth D) Font
FILL: Clearing outdated cache entries is ____
APPLY: A document is updated. What happens to cached answers about it?</t>
        </is>
      </c>
      <c r="B35" s="29" t="inlineStr">
        <is>
          <t>MCQ answer: A  Different users may see different evidence.
Fill answer: invalidation
Apply: They are invalidated</t>
        </is>
      </c>
      <c r="C35" s="29" t="inlineStr">
        <is>
          <t>05_Operations_Advanced_RAG-034_quiz</t>
        </is>
      </c>
    </row>
    <row r="36" ht="81" customHeight="1">
      <c r="A36" s="29" t="inlineStr">
        <is>
          <t>MCQ: Which stage is often the slowest?
A) Logging B) Parsing the query C) Generation D) Cleaning
FILL: Sending text as it is generated is ____
APPLY: Answers feel slow. What do you measure first?</t>
        </is>
      </c>
      <c r="B36" s="29" t="inlineStr">
        <is>
          <t>MCQ answer: C  Long prompts and outputs take time.
Fill answer: streaming
Apply: Latency per stage</t>
        </is>
      </c>
      <c r="C36" s="29" t="inlineStr">
        <is>
          <t>05_Operations_Intermediate_RAG-035_quiz</t>
        </is>
      </c>
    </row>
    <row r="37" ht="94.5" customHeight="1">
      <c r="A37" s="29" t="inlineStr">
        <is>
          <t>MCQ: Which signal suggests content gaps?
A) Faster servers B) A rising no-answer rate C) More colours D) Shorter logs
FILL: Gradual decline in quality over time is ____
APPLY: Thumbs-down feedback rises. What do you do?</t>
        </is>
      </c>
      <c r="B37" s="29" t="inlineStr">
        <is>
          <t>MCQ answer: B  Users ask things the documents lack.
Fill answer: drift
Apply: Review samples and find the cause</t>
        </is>
      </c>
      <c r="C37" s="29" t="inlineStr">
        <is>
          <t>05_Operations_Intermediate_RAG-036_quiz</t>
        </is>
      </c>
    </row>
    <row r="38" ht="108" customHeight="1">
      <c r="A38" s="29" t="inlineStr">
        <is>
          <t>MCQ: What does recall at k measure?
A) Style B) Cost C) Speed D) Whether a relevant chunk is in the top k
FILL: A metric rewarding a high rank for the first relevant result is ____
APPLY: You change the chunking. How do you know it helped?</t>
        </is>
      </c>
      <c r="B38" s="29" t="inlineStr">
        <is>
          <t>MCQ answer: D  It checks coverage of relevant evidence.
Fill answer: MRR
Apply: Compare recall on a labelled set</t>
        </is>
      </c>
      <c r="C38" s="29" t="inlineStr">
        <is>
          <t>05_Operations_Advanced_RAG-037_quiz</t>
        </is>
      </c>
    </row>
    <row r="39" ht="94.5" customHeight="1">
      <c r="A39" s="29" t="inlineStr">
        <is>
          <t>MCQ: What do you do first in failure analysis?
A) Change the model B) Rewrite everything C) Sample failing answers and classify causes D) Buy more storage
FILL: A saved failing case used to prevent repeats is a ____ test
APPLY: Many answers are wrong. What is your first step?</t>
        </is>
      </c>
      <c r="B39" s="29" t="inlineStr">
        <is>
          <t>MCQ answer: C  Evidence tells where the problem is.
Fill answer: regression
Apply: Classify the causes of a sample</t>
        </is>
      </c>
      <c r="C39" s="29" t="inlineStr">
        <is>
          <t>05_Operations_Advanced_RAG-038_quiz</t>
        </is>
      </c>
    </row>
    <row r="40" ht="94.5" customHeight="1">
      <c r="A40" s="29" t="inlineStr">
        <is>
          <t>MCQ: Where should permission filters live in agentic RAG?
A) Nowhere B) In the search tool C) In the prompt only D) In the model's decision
FILL: A cap on loop iterations is a step ____
APPLY: Questions need several linked searches. What approach?</t>
        </is>
      </c>
      <c r="B40" s="29" t="inlineStr">
        <is>
          <t>MCQ answer: B  Code enforces what the model cannot be trusted with.
Fill answer: limit
Apply: Agentic RAG with limits</t>
        </is>
      </c>
      <c r="C40" s="29" t="inlineStr">
        <is>
          <t>05_Operations_Advanced_RAG-039_quiz</t>
        </is>
      </c>
    </row>
    <row r="41" ht="108" customHeight="1">
      <c r="A41" s="29" t="inlineStr">
        <is>
          <t>MCQ: What does graph retrieval follow?
A) Relations between entities B) File dates only C) Random words D) Font sizes
FILL: A linked item in a graph is a ____
APPLY: A question asks how suppliers connect to a product. What helps?</t>
        </is>
      </c>
      <c r="B41" s="29" t="inlineStr">
        <is>
          <t>MCQ answer: A  It traverses links.
Fill answer: node
Apply: A graph of entities and relations</t>
        </is>
      </c>
      <c r="C41" s="29" t="inlineStr">
        <is>
          <t>05_Operations_Advanced_RAG-040_quiz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90" customWidth="1" min="1" max="1"/>
    <col width="10" customWidth="1" min="2" max="2"/>
  </cols>
  <sheetData>
    <row r="1">
      <c r="A1" s="21" t="inlineStr">
        <is>
          <t>Cards by type</t>
        </is>
      </c>
    </row>
    <row r="2">
      <c r="A2" t="inlineStr">
        <is>
          <t>Topic (56-pt)</t>
        </is>
      </c>
      <c r="B2" t="n">
        <v>32</v>
      </c>
    </row>
    <row r="3">
      <c r="A3" t="inlineStr">
        <is>
          <t>Code concept (56-pt)</t>
        </is>
      </c>
      <c r="B3" t="n">
        <v>8</v>
      </c>
    </row>
    <row r="5">
      <c r="A5" s="21" t="inlineStr">
        <is>
          <t>Cards by topic</t>
        </is>
      </c>
    </row>
    <row r="6">
      <c r="A6" t="inlineStr">
        <is>
          <t>03 Retrieval</t>
        </is>
      </c>
      <c r="B6" t="n">
        <v>10</v>
      </c>
    </row>
    <row r="7">
      <c r="A7" t="inlineStr">
        <is>
          <t>05 Operations</t>
        </is>
      </c>
      <c r="B7" t="n">
        <v>10</v>
      </c>
    </row>
    <row r="8">
      <c r="A8" t="inlineStr">
        <is>
          <t>02 Ingestion</t>
        </is>
      </c>
      <c r="B8" t="n">
        <v>9</v>
      </c>
    </row>
    <row r="9">
      <c r="A9" t="inlineStr">
        <is>
          <t>04 Generation</t>
        </is>
      </c>
      <c r="B9" t="n">
        <v>6</v>
      </c>
    </row>
    <row r="10">
      <c r="A10" t="inlineStr">
        <is>
          <t>01 Ideas</t>
        </is>
      </c>
      <c r="B10" t="n">
        <v>5</v>
      </c>
    </row>
    <row r="12">
      <c r="A12" s="21" t="inlineStr">
        <is>
          <t>Cards by level</t>
        </is>
      </c>
    </row>
    <row r="13">
      <c r="A13" t="inlineStr">
        <is>
          <t>Intermediate</t>
        </is>
      </c>
      <c r="B13" t="n">
        <v>19</v>
      </c>
    </row>
    <row r="14">
      <c r="A14" t="inlineStr">
        <is>
          <t>Advanced</t>
        </is>
      </c>
      <c r="B14" t="n">
        <v>14</v>
      </c>
    </row>
    <row r="15">
      <c r="A15" t="inlineStr">
        <is>
          <t>Beginner</t>
        </is>
      </c>
      <c r="B15" t="n">
        <v>7</v>
      </c>
    </row>
    <row r="17">
      <c r="A17" s="21" t="inlineStr">
        <is>
          <t>Cards by source</t>
        </is>
      </c>
    </row>
    <row r="18">
      <c r="A18" t="inlineStr">
        <is>
          <t>Claude knowledge</t>
        </is>
      </c>
      <c r="B18" t="n">
        <v>40</v>
      </c>
    </row>
    <row r="20">
      <c r="A20" s="21" t="inlineStr">
        <is>
          <t>Error check</t>
        </is>
      </c>
    </row>
    <row r="21">
      <c r="A21"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2026-10-07T12:21:48Z</dcterms:created>
  <dcterms:modified xmlns:dcterms="http://purl.org/dc/terms/" xmlns:xsi="http://www.w3.org/2001/XMLSchema-instance" xsi:type="dcterms:W3CDTF">2026-10-07T12:21:48Z</dcterms:modified>
</cp:coreProperties>
</file>