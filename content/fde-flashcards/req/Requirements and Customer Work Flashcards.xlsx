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opic (56-pt) cards" sheetId="2" state="visible" r:id="rId2"/>
    <sheet xmlns:r="http://schemas.openxmlformats.org/officeDocument/2006/relationships" name="Topic card view" sheetId="3" state="visible" r:id="rId3"/>
    <sheet xmlns:r="http://schemas.openxmlformats.org/officeDocument/2006/relationships" name="Anki Import" sheetId="4" state="visible" r:id="rId4"/>
    <sheet xmlns:r="http://schemas.openxmlformats.org/officeDocument/2006/relationships" name="Anki Quiz" sheetId="5" state="visible" r:id="rId5"/>
    <sheet xmlns:r="http://schemas.openxmlformats.org/officeDocument/2006/relationships" name="Summary" sheetId="6" state="visible" r:id="rId6"/>
  </sheets>
  <definedNames>
    <definedName name="_xlnm._FilterDatabase" localSheetId="1" hidden="1">'Topic (56-pt) cards'!$A$2:$BB$32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4"/>
    </font>
    <font>
      <sz val="11"/>
    </font>
    <font>
      <b val="1"/>
      <sz val="11"/>
    </font>
    <font>
      <b val="1"/>
      <color rgb="00FFFFFF"/>
    </font>
    <font>
      <b val="1"/>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0" borderId="0" pivotButton="0" quotePrefix="0" xfId="0"/>
    <xf numFmtId="0" fontId="5" fillId="0" borderId="0" pivotButton="0" quotePrefix="0" xfId="0"/>
    <xf numFmtId="0" fontId="7" fillId="15" borderId="1" pivotButton="0" quotePrefix="0" xfId="0"/>
    <xf numFmtId="0" fontId="8" fillId="16" borderId="0" applyAlignment="1" pivotButton="0" quotePrefix="0" xfId="0">
      <alignment horizontal="center"/>
    </xf>
    <xf numFmtId="0" fontId="9" fillId="17" borderId="1" applyAlignment="1" pivotButton="0" quotePrefix="0" xfId="0">
      <alignment vertical="top" wrapText="1"/>
    </xf>
    <xf numFmtId="0" fontId="8" fillId="18" borderId="0" applyAlignment="1" pivotButton="0" quotePrefix="0" xfId="0">
      <alignment horizontal="center"/>
    </xf>
    <xf numFmtId="0" fontId="8"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Requirements, Documentation and Customer Work – Beginner to Advanced Flashcards</t>
        </is>
      </c>
    </row>
    <row r="2">
      <c r="A2" s="2" t="inlineStr">
        <is>
          <t>Subject: Customer-facing engineering skills for a forward deployed engineer   ·   Learner: Self learner, English   ·   Cards: 30</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3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108" customHeight="1">
      <c r="A3" s="17" t="inlineStr">
        <is>
          <t>REQ-001</t>
        </is>
      </c>
      <c r="B3" s="17" t="inlineStr">
        <is>
          <t>01 The role</t>
        </is>
      </c>
      <c r="C3" s="17" t="inlineStr">
        <is>
          <t>Beginner</t>
        </is>
      </c>
      <c r="D3" s="17" t="n">
        <v>1</v>
      </c>
      <c r="E3" s="17" t="inlineStr">
        <is>
          <t>Claude knowledge</t>
        </is>
      </c>
      <c r="F3" s="18" t="inlineStr">
        <is>
          <t>What a forward deployed engineer does</t>
        </is>
      </c>
      <c r="G3" s="18" t="inlineStr">
        <is>
          <t>Which engineer works directly with customers to make a product succeed in their setting?</t>
        </is>
      </c>
      <c r="H3" s="18" t="inlineStr">
        <is>
          <t>Core concept</t>
        </is>
      </c>
      <c r="I3" s="18" t="inlineStr">
        <is>
          <t>Very high</t>
        </is>
      </c>
      <c r="J3" s="18" t="n">
        <v>5</v>
      </c>
      <c r="K3" s="18" t="inlineStr">
        <is>
          <t>Complex products often fail not because of the code but because of the customer's data, systems and people, so some engineers work inside the customer's context.</t>
        </is>
      </c>
      <c r="L3" s="18" t="inlineStr">
        <is>
          <t>Think of the role as part engineer, part consultant, and always accountable for the customer's outcome.</t>
        </is>
      </c>
      <c r="M3" s="18" t="inlineStr">
        <is>
          <t>A forward deployed engineer is the builder who moves onto the customer's street to finish the house.</t>
        </is>
      </c>
      <c r="N3" s="18" t="inlineStr">
        <is>
          <t>An engineer sitting between a customer team and the product team.</t>
        </is>
      </c>
      <c r="O3" s="18" t="inlineStr">
        <is>
          <t>The pride of seeing a customer's problem actually solved.</t>
        </is>
      </c>
      <c r="P3" s="18" t="inlineStr">
        <is>
          <t>A forward deployed engineer is a software engineer embedded with customers who configures, integrates and extends a product to solve the customer's real problem, and brings what they learn back to the product team.</t>
        </is>
      </c>
      <c r="Q3" s="17" t="n"/>
      <c r="R3" s="18" t="inlineStr">
        <is>
          <t>The work mixes technical tasks, such as integrations, data pipelines and prototypes, with customer tasks, such as discovery, demos and status updates. Success is measured by customer outcomes, not by lines of code. Titles and exact duties differ between companies, so always ask what the role owns in your team.</t>
        </is>
      </c>
      <c r="S3" s="18" t="inlineStr">
        <is>
          <t>You build and fix things inside the customer's world so the product works for them.</t>
        </is>
      </c>
      <c r="T3" s="18" t="inlineStr">
        <is>
          <t>A forward deployed engineer is the builder who moves onto the customer's street to finish the house.</t>
        </is>
      </c>
      <c r="U3" s="18" t="inlineStr">
        <is>
          <t>Understand the customer, build the fix, prove the outcome, feed it back.</t>
        </is>
      </c>
      <c r="V3" s="18" t="inlineStr">
        <is>
          <t>Connecting a customer's database to the product.</t>
        </is>
      </c>
      <c r="W3" s="18" t="inlineStr">
        <is>
          <t>Building a quick prototype for a new use case.</t>
        </is>
      </c>
      <c r="X3" s="18" t="inlineStr">
        <is>
          <t>Running a workshop to teach a customer team.</t>
        </is>
      </c>
      <c r="Y3" s="18" t="inlineStr">
        <is>
          <t>success measures, discovery calls, stakeholder map, demos</t>
        </is>
      </c>
      <c r="Z3" s="18" t="inlineStr">
        <is>
          <t>embedded, customer, integration, outcome, deployment</t>
        </is>
      </c>
      <c r="AA3" s="18" t="inlineStr">
        <is>
          <t>Enterprise software | AI products | Data platforms</t>
        </is>
      </c>
      <c r="AB3" s="18" t="inlineStr">
        <is>
          <t>A: The product works in our demo but not at the customer. | B: That is where the forward deployed engineer steps in.</t>
        </is>
      </c>
      <c r="AC3" s="18" t="inlineStr">
        <is>
          <t>✗ The role is only technical support → ✓ It includes building, scoping and owning outcomes</t>
        </is>
      </c>
      <c r="AD3" s="18" t="inlineStr">
        <is>
          <t>Forward deployed engineer vs support: building and owning the outcome versus answering and fixing tickets.</t>
        </is>
      </c>
      <c r="AE3" s="18" t="inlineStr">
        <is>
          <t>Do not promise features that only the product team can build.</t>
        </is>
      </c>
      <c r="AF3" s="18" t="inlineStr">
        <is>
          <t>Build where the customer lives.</t>
        </is>
      </c>
      <c r="AG3" s="18" t="inlineStr">
        <is>
          <t>An embedded engineer connected a client's old database and got a stalled rollout moving.</t>
        </is>
      </c>
      <c r="AH3" s="18" t="inlineStr">
        <is>
          <t>An interviewer may ask: How is this role different from a normal software engineer?</t>
        </is>
      </c>
      <c r="AI3" s="18" t="inlineStr">
        <is>
          <t>It is like a builder who works on the customer's site instead of in a distant factory.</t>
        </is>
      </c>
      <c r="AJ3" s="18" t="inlineStr">
        <is>
          <t>What mainly measures success in this role?</t>
        </is>
      </c>
      <c r="AK3" s="18" t="inlineStr">
        <is>
          <t>A) Lines of code B) Number of emails C) Hours in meetings D) Customer outcomes</t>
        </is>
      </c>
      <c r="AL3" s="18" t="inlineStr">
        <is>
          <t>D</t>
        </is>
      </c>
      <c r="AM3" s="18" t="inlineStr">
        <is>
          <t>The role exists to make the product succeed for the customer.</t>
        </is>
      </c>
      <c r="AN3" s="18" t="inlineStr">
        <is>
          <t>An engineer placed inside the customer's setting is called a forward ____ engineer → deployed</t>
        </is>
      </c>
      <c r="AO3" s="18" t="inlineStr">
        <is>
          <t>A product works in the demo but fails on a customer's messy data. Who investigates on site? → The forward deployed engineer</t>
        </is>
      </c>
      <c r="AP3" s="18" t="inlineStr">
        <is>
          <t>Explain this role to a friend in three lines.</t>
        </is>
      </c>
      <c r="AQ3" s="18" t="inlineStr">
        <is>
          <t>Write what you would want a customer to say about your work after three months.</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94.5" customHeight="1">
      <c r="A4" s="17" t="inlineStr">
        <is>
          <t>REQ-002</t>
        </is>
      </c>
      <c r="B4" s="17" t="inlineStr">
        <is>
          <t>01 The role</t>
        </is>
      </c>
      <c r="C4" s="17" t="inlineStr">
        <is>
          <t>Beginner</t>
        </is>
      </c>
      <c r="D4" s="17" t="n">
        <v>2</v>
      </c>
      <c r="E4" s="17" t="inlineStr">
        <is>
          <t>Claude knowledge</t>
        </is>
      </c>
      <c r="F4" s="18" t="inlineStr">
        <is>
          <t>FDE vs solutions engineer vs support</t>
        </is>
      </c>
      <c r="G4" s="18" t="inlineStr">
        <is>
          <t>How do three customer-facing technical roles differ?</t>
        </is>
      </c>
      <c r="H4" s="18" t="inlineStr">
        <is>
          <t>Comparison</t>
        </is>
      </c>
      <c r="I4" s="18" t="inlineStr">
        <is>
          <t>High</t>
        </is>
      </c>
      <c r="J4" s="18" t="n">
        <v>4</v>
      </c>
      <c r="K4" s="18" t="inlineStr">
        <is>
          <t>Teams use similar titles for different jobs, so knowing the usual split avoids confusion about ownership.</t>
        </is>
      </c>
      <c r="L4" s="18" t="inlineStr">
        <is>
          <t>Ask which role owns the build, the sale and the ticket before the project starts.</t>
        </is>
      </c>
      <c r="M4" s="18" t="inlineStr">
        <is>
          <t>Support fixes the leak, the solutions engineer shows the house, and the forward deployed engineer builds the extension.</t>
        </is>
      </c>
      <c r="N4" s="18" t="inlineStr">
        <is>
          <t>Three people on a line from pre-sale to long-term build.</t>
        </is>
      </c>
      <c r="O4" s="18" t="inlineStr">
        <is>
          <t>The clarity of knowing who owns what.</t>
        </is>
      </c>
      <c r="P4" s="18" t="inlineStr">
        <is>
          <t>Support answers and resolves issues, a solutions engineer helps customers choose and evaluate the product before and during the sale, and a forward deployed engineer builds and deploys custom work for the customer after and around the sale.</t>
        </is>
      </c>
      <c r="Q4" s="17" t="n"/>
      <c r="R4" s="18" t="inlineStr">
        <is>
          <t>Boundaries overlap and vary by company. Support is reactive and ticket driven. Solutions engineering is mostly pre-sale demos, proofs of concept and technical answers. Forward deployed work is longer, more hands-on and closer to production. Agree who does what in writing so customers are not passed around.</t>
        </is>
      </c>
      <c r="S4" s="18" t="inlineStr">
        <is>
          <t>Support fixes, solutions engineers show, and forward deployed engineers build and deploy.</t>
        </is>
      </c>
      <c r="T4" s="18" t="inlineStr">
        <is>
          <t>Support fixes the leak, the solutions engineer shows the house, and the forward deployed engineer builds the extension.</t>
        </is>
      </c>
      <c r="U4" s="18" t="inlineStr">
        <is>
          <t>Reactive fix, pre-sale proof, hands-on delivery.</t>
        </is>
      </c>
      <c r="V4" s="18" t="inlineStr">
        <is>
          <t>A support engineer resolving a login ticket.</t>
        </is>
      </c>
      <c r="W4" s="18" t="inlineStr">
        <is>
          <t>A solutions engineer running a proof of concept before purchase.</t>
        </is>
      </c>
      <c r="X4" s="18" t="inlineStr">
        <is>
          <t>A forward deployed engineer building an integration for go-live.</t>
        </is>
      </c>
      <c r="Y4" s="18" t="inlineStr">
        <is>
          <t>what an FDE does, stakeholder map, success measures, scoping</t>
        </is>
      </c>
      <c r="Z4" s="18" t="inlineStr">
        <is>
          <t>support, pre-sale, delivery, ownership, handoff</t>
        </is>
      </c>
      <c r="AA4" s="18" t="inlineStr">
        <is>
          <t>Team design | Hiring | Customer projects</t>
        </is>
      </c>
      <c r="AB4" s="18" t="inlineStr">
        <is>
          <t>A: Who builds the custom connector? | B: That is delivery work for the forward deployed engineer.</t>
        </is>
      </c>
      <c r="AC4" s="18" t="inlineStr">
        <is>
          <t>✗ All customer-facing engineers do the same job → ✓ The scope, timing and ownership differ</t>
        </is>
      </c>
      <c r="AD4" s="18" t="inlineStr">
        <is>
          <t>Solutions engineer vs FDE: pre-sale proof versus post-sale build and deployment.</t>
        </is>
      </c>
      <c r="AE4" s="18" t="inlineStr">
        <is>
          <t>Do not take on another role's work without agreeing ownership.</t>
        </is>
      </c>
      <c r="AF4" s="18" t="inlineStr">
        <is>
          <t>Support fixes, sales engineers show, FDEs build.</t>
        </is>
      </c>
      <c r="AG4" s="18" t="inlineStr">
        <is>
          <t>A written split of roles stopped a customer being bounced between three teams.</t>
        </is>
      </c>
      <c r="AH4" s="18" t="inlineStr">
        <is>
          <t>An interviewer may ask: How does your role differ from support?</t>
        </is>
      </c>
      <c r="AI4" s="18" t="inlineStr">
        <is>
          <t>It is like a plumber, a showroom guide and a builder working on one home.</t>
        </is>
      </c>
      <c r="AJ4" s="18" t="inlineStr">
        <is>
          <t>Which role mainly runs pre-sale proofs of concept?</t>
        </is>
      </c>
      <c r="AK4" s="18" t="inlineStr">
        <is>
          <t>A) Solutions engineer B) Support agent C) Auditor D) Accountant</t>
        </is>
      </c>
      <c r="AL4" s="18" t="inlineStr">
        <is>
          <t>A</t>
        </is>
      </c>
      <c r="AM4" s="18" t="inlineStr">
        <is>
          <t>Pre-sale technical evaluation is their core job.</t>
        </is>
      </c>
      <c r="AN4" s="18" t="inlineStr">
        <is>
          <t>A role that mostly answers tickets after launch is ____ → support</t>
        </is>
      </c>
      <c r="AO4" s="18" t="inlineStr">
        <is>
          <t>A customer needs a custom connector built before go-live. Which role owns it? → Forward deployed engineer</t>
        </is>
      </c>
      <c r="AP4" s="18" t="inlineStr">
        <is>
          <t>Explain the three roles and where they overlap.</t>
        </is>
      </c>
      <c r="AQ4" s="18" t="inlineStr">
        <is>
          <t>Draw a simple line from pre-sale to long-term and place each role on it.</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21.5" customHeight="1">
      <c r="A5" s="17" t="inlineStr">
        <is>
          <t>REQ-003</t>
        </is>
      </c>
      <c r="B5" s="17" t="inlineStr">
        <is>
          <t>01 The role</t>
        </is>
      </c>
      <c r="C5" s="17" t="inlineStr">
        <is>
          <t>Beginner</t>
        </is>
      </c>
      <c r="D5" s="17" t="n">
        <v>3</v>
      </c>
      <c r="E5" s="17" t="inlineStr">
        <is>
          <t>Claude knowledge</t>
        </is>
      </c>
      <c r="F5" s="18" t="inlineStr">
        <is>
          <t>Success measures</t>
        </is>
      </c>
      <c r="G5" s="18" t="inlineStr">
        <is>
          <t>How do you know a customer project is actually going well?</t>
        </is>
      </c>
      <c r="H5" s="18" t="inlineStr">
        <is>
          <t>Core concept</t>
        </is>
      </c>
      <c r="I5" s="18" t="inlineStr">
        <is>
          <t>High</t>
        </is>
      </c>
      <c r="J5" s="18" t="n">
        <v>5</v>
      </c>
      <c r="K5" s="18" t="inlineStr">
        <is>
          <t>Without agreed measures, a project can look busy yet fail to change anything for the customer.</t>
        </is>
      </c>
      <c r="L5" s="18" t="inlineStr">
        <is>
          <t>Agree two or three measures with the customer at the start, and check them on a regular rhythm.</t>
        </is>
      </c>
      <c r="M5" s="18" t="inlineStr">
        <is>
          <t>Success measures are the scoreboard that both teams agree to read.</t>
        </is>
      </c>
      <c r="N5" s="18" t="inlineStr">
        <is>
          <t>A small dashboard of three numbers with targets.</t>
        </is>
      </c>
      <c r="O5" s="18" t="inlineStr">
        <is>
          <t>The satisfaction of progress you can point to.</t>
        </is>
      </c>
      <c r="P5" s="18" t="inlineStr">
        <is>
          <t>Success measures are agreed, observable indicators, such as time saved, errors removed, adoption or revenue protected, that show whether the customer's problem is solved.</t>
        </is>
      </c>
      <c r="Q5" s="17" t="n"/>
      <c r="R5" s="18" t="inlineStr">
        <is>
          <t>Good measures link to the customer's goal, have a baseline and a target, and can be checked without argument. Activity counts like meetings held are not outcomes. Leading indicators, such as weekly active users, warn early, while lagging ones, such as renewals, confirm results later. Review them with the customer, and change them in writing if goals change.</t>
        </is>
      </c>
      <c r="S5" s="18" t="inlineStr">
        <is>
          <t>Agree up front which numbers show that the project worked.</t>
        </is>
      </c>
      <c r="T5" s="18" t="inlineStr">
        <is>
          <t>Success measures are the scoreboard that both teams agree to read.</t>
        </is>
      </c>
      <c r="U5" s="18" t="inlineStr">
        <is>
          <t>Baseline, target, owner, date.</t>
        </is>
      </c>
      <c r="V5" s="18" t="inlineStr">
        <is>
          <t>Reducing invoice processing time from four days to one.</t>
        </is>
      </c>
      <c r="W5" s="18" t="inlineStr">
        <is>
          <t>Seventy percent of the support team using the tool weekly.</t>
        </is>
      </c>
      <c r="X5" s="18" t="inlineStr">
        <is>
          <t>Cutting data errors in a weekly report by half.</t>
        </is>
      </c>
      <c r="Y5" s="18" t="inlineStr">
        <is>
          <t>success criteria, scoping, status updates, MVP</t>
        </is>
      </c>
      <c r="Z5" s="18" t="inlineStr">
        <is>
          <t>measure, baseline, target, outcome, metric</t>
        </is>
      </c>
      <c r="AA5" s="18" t="inlineStr">
        <is>
          <t>Kick-off | Reviews | Renewals</t>
        </is>
      </c>
      <c r="AB5" s="18" t="inlineStr">
        <is>
          <t>A: We delivered everything on the list. | B: Did the invoice time actually drop?</t>
        </is>
      </c>
      <c r="AC5" s="18" t="inlineStr">
        <is>
          <t>✗ Finishing all tasks means the project succeeded → ✓ Only the agreed outcome shows success</t>
        </is>
      </c>
      <c r="AD5" s="18" t="inlineStr">
        <is>
          <t>Outputs vs outcomes: things delivered versus changes the customer sees.</t>
        </is>
      </c>
      <c r="AE5" s="18" t="inlineStr">
        <is>
          <t>Do not measure success by the number of meetings or messages.</t>
        </is>
      </c>
      <c r="AF5" s="18" t="inlineStr">
        <is>
          <t>Baseline first, target second, review always.</t>
        </is>
      </c>
      <c r="AG5" s="18" t="inlineStr">
        <is>
          <t>A client's four-day invoice process, measured at the start, became a clear one-day win.</t>
        </is>
      </c>
      <c r="AH5" s="18" t="inlineStr">
        <is>
          <t>An interviewer may ask: How do you measure a customer project?</t>
        </is>
      </c>
      <c r="AI5" s="18" t="inlineStr">
        <is>
          <t>It is like checking a fitness goal against the scale and the tape measure.</t>
        </is>
      </c>
      <c r="AJ5" s="18" t="inlineStr">
        <is>
          <t>Which item is an outcome measure?</t>
        </is>
      </c>
      <c r="AK5" s="18" t="inlineStr">
        <is>
          <t>A) Slides made B) Time saved per invoice C) Emails sent D) Meetings held</t>
        </is>
      </c>
      <c r="AL5" s="18" t="inlineStr">
        <is>
          <t>B</t>
        </is>
      </c>
      <c r="AM5" s="18" t="inlineStr">
        <is>
          <t>It shows a real change for the customer.</t>
        </is>
      </c>
      <c r="AN5" s="18" t="inlineStr">
        <is>
          <t>A starting value measured before any change is the ____ → baseline</t>
        </is>
      </c>
      <c r="AO5" s="18" t="inlineStr">
        <is>
          <t>A customer says the tool should make reports faster. What do you agree first? → A baseline and a target time</t>
        </is>
      </c>
      <c r="AP5" s="18" t="inlineStr">
        <is>
          <t>Explain the difference between outputs and outcomes.</t>
        </is>
      </c>
      <c r="AQ5" s="18" t="inlineStr">
        <is>
          <t>Write three success measures for a data cleaning project with baselines.</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08" customHeight="1">
      <c r="A6" s="17" t="inlineStr">
        <is>
          <t>REQ-004</t>
        </is>
      </c>
      <c r="B6" s="17" t="inlineStr">
        <is>
          <t>01 The role</t>
        </is>
      </c>
      <c r="C6" s="17" t="inlineStr">
        <is>
          <t>Intermediate</t>
        </is>
      </c>
      <c r="D6" s="17" t="n">
        <v>4</v>
      </c>
      <c r="E6" s="17" t="inlineStr">
        <is>
          <t>Claude knowledge</t>
        </is>
      </c>
      <c r="F6" s="18" t="inlineStr">
        <is>
          <t>Working with product and engineering teams</t>
        </is>
      </c>
      <c r="G6" s="18" t="inlineStr">
        <is>
          <t>How does an FDE connect the customer to the people who build the product?</t>
        </is>
      </c>
      <c r="H6" s="18" t="inlineStr">
        <is>
          <t>Teamwork</t>
        </is>
      </c>
      <c r="I6" s="18" t="inlineStr">
        <is>
          <t>High</t>
        </is>
      </c>
      <c r="J6" s="18" t="n">
        <v>4</v>
      </c>
      <c r="K6" s="18" t="inlineStr">
        <is>
          <t>The FDE sees real customer needs first, and that knowledge only helps if it reaches the people who can change the product.</t>
        </is>
      </c>
      <c r="L6" s="18" t="inlineStr">
        <is>
          <t>Bring product teams evidence, such as a clear problem, an example and the impact, not just a feature request.</t>
        </is>
      </c>
      <c r="M6" s="18" t="inlineStr">
        <is>
          <t>The forward deployed engineer is the bridge that carries customer evidence back across the river.</t>
        </is>
      </c>
      <c r="N6" s="18" t="inlineStr">
        <is>
          <t>Arrows from the customer through the FDE to the product team and back.</t>
        </is>
      </c>
      <c r="O6" s="18" t="inlineStr">
        <is>
          <t>The satisfaction of a customer problem turned into a product fix.</t>
        </is>
      </c>
      <c r="P6" s="18" t="inlineStr">
        <is>
          <t>Working with product and engineering means sharing structured customer evidence, asking for changes with context and impact, and agreeing what is a custom workaround versus a product change.</t>
        </is>
      </c>
      <c r="Q6" s="17" t="n"/>
      <c r="R6" s="18" t="inlineStr">
        <is>
          <t>A good request states the customer problem, the current workaround, how many customers share it and the cost of waiting. Keep custom work separated from product code where possible so it does not become a hidden fork. Close the loop by telling the customer what was decided. Respect that product teams must prioritise across many customers.</t>
        </is>
      </c>
      <c r="S6" s="18" t="inlineStr">
        <is>
          <t>Give the product team clear evidence and keep the customer informed about the decision.</t>
        </is>
      </c>
      <c r="T6" s="18" t="inlineStr">
        <is>
          <t>The forward deployed engineer is the bridge that carries customer evidence back across the river.</t>
        </is>
      </c>
      <c r="U6" s="18" t="inlineStr">
        <is>
          <t>Problem, evidence, impact, workaround, ask.</t>
        </is>
      </c>
      <c r="V6" s="18" t="inlineStr">
        <is>
          <t>A short write-up showing three customers need the same export.</t>
        </is>
      </c>
      <c r="W6" s="18" t="inlineStr">
        <is>
          <t>A custom script kept outside the main product code.</t>
        </is>
      </c>
      <c r="X6" s="18" t="inlineStr">
        <is>
          <t>Telling a customer that a request was scheduled for later.</t>
        </is>
      </c>
      <c r="Y6" s="18" t="inlineStr">
        <is>
          <t>what an FDE does, decision log, saying no, change requests</t>
        </is>
      </c>
      <c r="Z6" s="18" t="inlineStr">
        <is>
          <t>feedback, roadmap, workaround, priority, escalation</t>
        </is>
      </c>
      <c r="AA6" s="18" t="inlineStr">
        <is>
          <t>Product reviews | Escalations | Planning</t>
        </is>
      </c>
      <c r="AB6" s="18" t="inlineStr">
        <is>
          <t>A: Can we add this button for one customer? | B: Show the evidence from other customers so we can prioritise it.</t>
        </is>
      </c>
      <c r="AC6" s="18" t="inlineStr">
        <is>
          <t>✗ A customer request is the same as a product requirement → ✓ It needs evidence, impact and priority first</t>
        </is>
      </c>
      <c r="AD6" s="18" t="inlineStr">
        <is>
          <t>Custom work vs product change: one customer's workaround versus a feature for many.</t>
        </is>
      </c>
      <c r="AE6" s="18" t="inlineStr">
        <is>
          <t>Do not hide long-term custom forks that nobody else knows about.</t>
        </is>
      </c>
      <c r="AF6" s="18" t="inlineStr">
        <is>
          <t>Bring evidence, not just wishes.</t>
        </is>
      </c>
      <c r="AG6" s="18" t="inlineStr">
        <is>
          <t>Evidence from three customers got a missing export prioritised in one planning cycle.</t>
        </is>
      </c>
      <c r="AH6" s="18" t="inlineStr">
        <is>
          <t>An interviewer may ask: How do you pass customer feedback to the product team?</t>
        </is>
      </c>
      <c r="AI6" s="18" t="inlineStr">
        <is>
          <t>It is like a messenger who brings facts, not rumours, to the decision makers.</t>
        </is>
      </c>
      <c r="AJ6" s="18" t="inlineStr">
        <is>
          <t>What makes a feature request strong?</t>
        </is>
      </c>
      <c r="AK6" s="18" t="inlineStr">
        <is>
          <t>A) Loud wording B) A late-night message C) Evidence and impact D) A long email</t>
        </is>
      </c>
      <c r="AL6" s="18" t="inlineStr">
        <is>
          <t>C</t>
        </is>
      </c>
      <c r="AM6" s="18" t="inlineStr">
        <is>
          <t>Teams prioritise on problems and measurable impact.</t>
        </is>
      </c>
      <c r="AN6" s="18" t="inlineStr">
        <is>
          <t>A temporary fix used until the product changes is a ____ → workaround</t>
        </is>
      </c>
      <c r="AO6" s="18" t="inlineStr">
        <is>
          <t>Three customers ask for the same export. What do you bring the product team? → A short evidence write-up with impact</t>
        </is>
      </c>
      <c r="AP6" s="18" t="inlineStr">
        <is>
          <t>Explain how you would escalate a customer need.</t>
        </is>
      </c>
      <c r="AQ6" s="18" t="inlineStr">
        <is>
          <t>Write a five-line template for a product feedback request.</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REQ-005</t>
        </is>
      </c>
      <c r="B7" s="17" t="inlineStr">
        <is>
          <t>02 Discovery</t>
        </is>
      </c>
      <c r="C7" s="17" t="inlineStr">
        <is>
          <t>Beginner</t>
        </is>
      </c>
      <c r="D7" s="17" t="n">
        <v>5</v>
      </c>
      <c r="E7" s="17" t="inlineStr">
        <is>
          <t>Claude knowledge</t>
        </is>
      </c>
      <c r="F7" s="18" t="inlineStr">
        <is>
          <t>Discovery calls</t>
        </is>
      </c>
      <c r="G7" s="18" t="inlineStr">
        <is>
          <t>What is the first structured conversation with a customer for?</t>
        </is>
      </c>
      <c r="H7" s="18" t="inlineStr">
        <is>
          <t>Core concept</t>
        </is>
      </c>
      <c r="I7" s="18" t="inlineStr">
        <is>
          <t>Very high</t>
        </is>
      </c>
      <c r="J7" s="18" t="n">
        <v>5</v>
      </c>
      <c r="K7" s="18" t="inlineStr">
        <is>
          <t>Building before understanding the problem wastes time, so the first meetings are for learning, not pitching.</t>
        </is>
      </c>
      <c r="L7" s="18" t="inlineStr">
        <is>
          <t>Spend most of the call listening, and write down the customer's own words.</t>
        </is>
      </c>
      <c r="M7" s="18" t="inlineStr">
        <is>
          <t>A discovery call is a doctor's first visit, where questions come before treatment.</t>
        </is>
      </c>
      <c r="N7" s="18" t="inlineStr">
        <is>
          <t>A notepad with questions on the left and customer answers on the right.</t>
        </is>
      </c>
      <c r="O7" s="18" t="inlineStr">
        <is>
          <t>The curiosity of really understanding someone's problem.</t>
        </is>
      </c>
      <c r="P7" s="18" t="inlineStr">
        <is>
          <t>A discovery call is a structured conversation where you learn the customer's goals, current process, pain points, constraints and who decides, before proposing any solution.</t>
        </is>
      </c>
      <c r="Q7" s="17" t="n"/>
      <c r="R7" s="18" t="inlineStr">
        <is>
          <t>Prepare by reading what you know about the customer, then agree an agenda at the start. Ask about the current way of working, what hurts, what has been tried and what success looks like. Summarise what you heard at the end and send it afterwards for correction. Avoid jumping to solutions before the problem is clear.</t>
        </is>
      </c>
      <c r="S7" s="18" t="inlineStr">
        <is>
          <t>Ask and listen first, so you know the real problem before suggesting anything.</t>
        </is>
      </c>
      <c r="T7" s="18" t="inlineStr">
        <is>
          <t>A discovery call is a doctor's first visit, where questions come before treatment.</t>
        </is>
      </c>
      <c r="U7" s="18" t="inlineStr">
        <is>
          <t>Prepare, ask, listen, summarise, confirm.</t>
        </is>
      </c>
      <c r="V7" s="18" t="inlineStr">
        <is>
          <t>Asking how reports are made today.</t>
        </is>
      </c>
      <c r="W7" s="18" t="inlineStr">
        <is>
          <t>Asking who must approve a new tool.</t>
        </is>
      </c>
      <c r="X7" s="18" t="inlineStr">
        <is>
          <t>Sending a recap email with open questions.</t>
        </is>
      </c>
      <c r="Y7" s="18" t="inlineStr">
        <is>
          <t>good questions, five whys, stakeholder map, scoping</t>
        </is>
      </c>
      <c r="Z7" s="18" t="inlineStr">
        <is>
          <t>discovery, agenda, pain point, recap, listening</t>
        </is>
      </c>
      <c r="AA7" s="18" t="inlineStr">
        <is>
          <t>Kick-off | Sales support | Project start</t>
        </is>
      </c>
      <c r="AB7" s="18" t="inlineStr">
        <is>
          <t>A: Should I demo the tool in the first call? | B: First learn the problem, then show what fits.</t>
        </is>
      </c>
      <c r="AC7" s="18" t="inlineStr">
        <is>
          <t>✗ Discovery is a sales pitch → ✓ It is a listening exercise to understand the problem</t>
        </is>
      </c>
      <c r="AD7" s="18" t="inlineStr">
        <is>
          <t>Discovery vs demo: learning the problem versus showing the product.</t>
        </is>
      </c>
      <c r="AE7" s="18" t="inlineStr">
        <is>
          <t>Do not start proposing solutions in the first ten minutes.</t>
        </is>
      </c>
      <c r="AF7" s="18" t="inlineStr">
        <is>
          <t>Ask first, listen well, show later.</t>
        </is>
      </c>
      <c r="AG7" s="18" t="inlineStr">
        <is>
          <t>A listening-first call revealed that the real pain was a manual export, not the dashboard.</t>
        </is>
      </c>
      <c r="AH7" s="18" t="inlineStr">
        <is>
          <t>An interviewer may ask: How do you run a first customer call?</t>
        </is>
      </c>
      <c r="AI7" s="18" t="inlineStr">
        <is>
          <t>It is like a doctor asking questions before writing the prescription.</t>
        </is>
      </c>
      <c r="AJ7" s="18" t="inlineStr">
        <is>
          <t>What is the main goal of a discovery call?</t>
        </is>
      </c>
      <c r="AK7" s="18" t="inlineStr">
        <is>
          <t>A) Understand the problem B) Show every feature C) Collect payment D) Close the sale</t>
        </is>
      </c>
      <c r="AL7" s="18" t="inlineStr">
        <is>
          <t>A</t>
        </is>
      </c>
      <c r="AM7" s="18" t="inlineStr">
        <is>
          <t>A proper solution depends on a clear problem.</t>
        </is>
      </c>
      <c r="AN7" s="18" t="inlineStr">
        <is>
          <t>A short email sent after the call to confirm what was heard is a ____ → recap</t>
        </is>
      </c>
      <c r="AO7" s="18" t="inlineStr">
        <is>
          <t>A customer starts describing a vague issue. What do you do first? → Ask questions and listen</t>
        </is>
      </c>
      <c r="AP7" s="18" t="inlineStr">
        <is>
          <t>Explain how you would structure a first call.</t>
        </is>
      </c>
      <c r="AQ7" s="18" t="inlineStr">
        <is>
          <t>Write a six-point agenda for a thirty-minute discovery call.</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108" customHeight="1">
      <c r="A8" s="17" t="inlineStr">
        <is>
          <t>REQ-006</t>
        </is>
      </c>
      <c r="B8" s="17" t="inlineStr">
        <is>
          <t>02 Discovery</t>
        </is>
      </c>
      <c r="C8" s="17" t="inlineStr">
        <is>
          <t>Beginner</t>
        </is>
      </c>
      <c r="D8" s="17" t="n">
        <v>6</v>
      </c>
      <c r="E8" s="17" t="inlineStr">
        <is>
          <t>Claude knowledge</t>
        </is>
      </c>
      <c r="F8" s="18" t="inlineStr">
        <is>
          <t>Good questions</t>
        </is>
      </c>
      <c r="G8" s="18" t="inlineStr">
        <is>
          <t>Which kinds of questions uncover what a customer really needs?</t>
        </is>
      </c>
      <c r="H8" s="18" t="inlineStr">
        <is>
          <t>Skill</t>
        </is>
      </c>
      <c r="I8" s="18" t="inlineStr">
        <is>
          <t>Very high</t>
        </is>
      </c>
      <c r="J8" s="18" t="n">
        <v>5</v>
      </c>
      <c r="K8" s="18" t="inlineStr">
        <is>
          <t>Customers often state a solution, not the problem, so skilled questions are needed to find the need behind it.</t>
        </is>
      </c>
      <c r="L8" s="18" t="inlineStr">
        <is>
          <t>Prefer open questions that begin with what, how and why, and follow up on every vague answer.</t>
        </is>
      </c>
      <c r="M8" s="18" t="inlineStr">
        <is>
          <t>Good questions are keys that open rooms the customer did not know to mention.</t>
        </is>
      </c>
      <c r="N8" s="18" t="inlineStr">
        <is>
          <t>A question mark opening a door to a hidden room.</t>
        </is>
      </c>
      <c r="O8" s="18" t="inlineStr">
        <is>
          <t>The thrill of finding the hidden need.</t>
        </is>
      </c>
      <c r="P8" s="18" t="inlineStr">
        <is>
          <t>Good discovery questions are open, specific and neutral, so they draw out facts, examples and feelings without leading the customer toward an answer.</t>
        </is>
      </c>
      <c r="Q8" s="17" t="n"/>
      <c r="R8" s="18" t="inlineStr">
        <is>
          <t>Open questions such as what happens today invite explanation. Specific follow-ups such as can you show me the last time it happened give real examples. Neutral wording avoids hinting at the answer you want. Ask about numbers, frequency and cost, and confirm by repeating back. Closed questions are useful at the end to check a detail.</t>
        </is>
      </c>
      <c r="S8" s="18" t="inlineStr">
        <is>
          <t>Ask open questions, ask for examples, and do not hint at the answer.</t>
        </is>
      </c>
      <c r="T8" s="18" t="inlineStr">
        <is>
          <t>Good questions are keys that open rooms the customer did not know to mention.</t>
        </is>
      </c>
      <c r="U8" s="18" t="inlineStr">
        <is>
          <t>Open, specific, neutral, then confirm.</t>
        </is>
      </c>
      <c r="V8" s="18" t="inlineStr">
        <is>
          <t>What happens when a report is late?</t>
        </is>
      </c>
      <c r="W8" s="18" t="inlineStr">
        <is>
          <t>Can you show me the last time that happened?</t>
        </is>
      </c>
      <c r="X8" s="18" t="inlineStr">
        <is>
          <t>How often does this cost you time each week?</t>
        </is>
      </c>
      <c r="Y8" s="18" t="inlineStr">
        <is>
          <t>discovery calls, five whys, stakeholder map, success criteria</t>
        </is>
      </c>
      <c r="Z8" s="18" t="inlineStr">
        <is>
          <t>open question, closed question, follow-up, probing, neutral</t>
        </is>
      </c>
      <c r="AA8" s="18" t="inlineStr">
        <is>
          <t>Calls | Workshops | Interviews</t>
        </is>
      </c>
      <c r="AB8" s="18" t="inlineStr">
        <is>
          <t>A: They said they need a dashboard. | B: Ask what decision the dashboard would help them make.</t>
        </is>
      </c>
      <c r="AC8" s="18" t="inlineStr">
        <is>
          <t>✗ The first answer is the real requirement → ✓ It is often a solution idea that hides the real need</t>
        </is>
      </c>
      <c r="AD8" s="18" t="inlineStr">
        <is>
          <t>Open vs closed questions: invite explanation versus allow only yes or no.</t>
        </is>
      </c>
      <c r="AE8" s="18" t="inlineStr">
        <is>
          <t>Do not ask leading questions such as You want it faster, right.</t>
        </is>
      </c>
      <c r="AF8" s="18" t="inlineStr">
        <is>
          <t>What, how, why, then show me.</t>
        </is>
      </c>
      <c r="AG8" s="18" t="inlineStr">
        <is>
          <t>Asking what decision the dashboard supported revealed a simple alert was enough.</t>
        </is>
      </c>
      <c r="AH8" s="18" t="inlineStr">
        <is>
          <t>An interviewer may ask: How do you find out what a customer truly needs?</t>
        </is>
      </c>
      <c r="AI8" s="18" t="inlineStr">
        <is>
          <t>It is like asking why someone is thirsty before handing them a drink.</t>
        </is>
      </c>
      <c r="AJ8" s="18" t="inlineStr">
        <is>
          <t>Which is an open question?</t>
        </is>
      </c>
      <c r="AK8" s="18" t="inlineStr">
        <is>
          <t>A) Is the report late? B) Is it fine? C) What happens today when a report is late? D) Do you like it?</t>
        </is>
      </c>
      <c r="AL8" s="18" t="inlineStr">
        <is>
          <t>C</t>
        </is>
      </c>
      <c r="AM8" s="18" t="inlineStr">
        <is>
          <t>It invites explanation instead of a yes or no.</t>
        </is>
      </c>
      <c r="AN8" s="18" t="inlineStr">
        <is>
          <t>A question that hints at the answer you want is a ____ question → leading</t>
        </is>
      </c>
      <c r="AO8" s="18" t="inlineStr">
        <is>
          <t>A customer asks for a dashboard. What do you ask next? → What decision will it help you make</t>
        </is>
      </c>
      <c r="AP8" s="18" t="inlineStr">
        <is>
          <t>Explain why open questions work better in discovery.</t>
        </is>
      </c>
      <c r="AQ8" s="18" t="inlineStr">
        <is>
          <t>Rewrite three closed questions as open questions about a reporting problem.</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108" customHeight="1">
      <c r="A9" s="17" t="inlineStr">
        <is>
          <t>REQ-007</t>
        </is>
      </c>
      <c r="B9" s="17" t="inlineStr">
        <is>
          <t>02 Discovery</t>
        </is>
      </c>
      <c r="C9" s="17" t="inlineStr">
        <is>
          <t>Intermediate</t>
        </is>
      </c>
      <c r="D9" s="17" t="n">
        <v>7</v>
      </c>
      <c r="E9" s="17" t="inlineStr">
        <is>
          <t>Claude knowledge</t>
        </is>
      </c>
      <c r="F9" s="18" t="inlineStr">
        <is>
          <t>The five whys</t>
        </is>
      </c>
      <c r="G9" s="18" t="inlineStr">
        <is>
          <t>Which technique digs from a symptom down to its root cause?</t>
        </is>
      </c>
      <c r="H9" s="18" t="inlineStr">
        <is>
          <t>Technique</t>
        </is>
      </c>
      <c r="I9" s="18" t="inlineStr">
        <is>
          <t>High</t>
        </is>
      </c>
      <c r="J9" s="18" t="n">
        <v>4</v>
      </c>
      <c r="K9" s="18" t="inlineStr">
        <is>
          <t>The first explanation of a problem is usually only a symptom, so repeated why questions help reach the cause.</t>
        </is>
      </c>
      <c r="L9" s="18" t="inlineStr">
        <is>
          <t>Stop when you reach a cause the team can actually act on, which may take fewer or more than five questions.</t>
        </is>
      </c>
      <c r="M9" s="18" t="inlineStr">
        <is>
          <t>The five whys peel the onion until you reach the core.</t>
        </is>
      </c>
      <c r="N9" s="18" t="inlineStr">
        <is>
          <t>A chain of why boxes ending in a root cause.</t>
        </is>
      </c>
      <c r="O9" s="18" t="inlineStr">
        <is>
          <t>The satisfaction of finding the real reason.</t>
        </is>
      </c>
      <c r="P9" s="18" t="inlineStr">
        <is>
          <t>The five whys is a method of asking why repeatedly, each time about the previous answer, until the underlying cause of a problem is found rather than its visible symptom.</t>
        </is>
      </c>
      <c r="Q9" s="17" t="n"/>
      <c r="R9" s="18" t="inlineStr">
        <is>
          <t>Start with the problem in plain words and ask why it happens, then ask why about that answer, and continue. The number five is a guide, not a rule. Keep to facts rather than blame, and check each answer with evidence. Real problems may have several causes, so branch where needed. Use it for process problems, incidents and unclear requests.</t>
        </is>
      </c>
      <c r="S9" s="18" t="inlineStr">
        <is>
          <t>Keep asking why about each answer until you reach the real cause.</t>
        </is>
      </c>
      <c r="T9" s="18" t="inlineStr">
        <is>
          <t>The five whys peel the onion until you reach the core.</t>
        </is>
      </c>
      <c r="U9" s="18" t="inlineStr">
        <is>
          <t>Problem, why, why, why, until you can act.</t>
        </is>
      </c>
      <c r="V9" s="18" t="inlineStr">
        <is>
          <t>Why are reports late, because data arrives late, because the export is manual.</t>
        </is>
      </c>
      <c r="W9" s="18" t="inlineStr">
        <is>
          <t>Why did the job fail, because the disk was full.</t>
        </is>
      </c>
      <c r="X9" s="18" t="inlineStr">
        <is>
          <t>Why do users avoid the tool, because it takes too many clicks.</t>
        </is>
      </c>
      <c r="Y9" s="18" t="inlineStr">
        <is>
          <t>good questions, discovery calls, runbook, postmortems</t>
        </is>
      </c>
      <c r="Z9" s="18" t="inlineStr">
        <is>
          <t>root cause, symptom, chain, evidence, blame</t>
        </is>
      </c>
      <c r="AA9" s="18" t="inlineStr">
        <is>
          <t>Discovery | Incidents | Process review</t>
        </is>
      </c>
      <c r="AB9" s="18" t="inlineStr">
        <is>
          <t>A: Reports are always late. | B: Why, and why is that step slow.</t>
        </is>
      </c>
      <c r="AC9" s="18" t="inlineStr">
        <is>
          <t>✗ There is exactly one cause for each problem → ✓ Problems often have several causes</t>
        </is>
      </c>
      <c r="AD9" s="18" t="inlineStr">
        <is>
          <t>Symptom vs root cause: what you see versus why it happens.</t>
        </is>
      </c>
      <c r="AE9" s="18" t="inlineStr">
        <is>
          <t>Do not use whys to blame people instead of finding causes.</t>
        </is>
      </c>
      <c r="AF9" s="18" t="inlineStr">
        <is>
          <t>Keep peeling until you can act.</t>
        </is>
      </c>
      <c r="AG9" s="18" t="inlineStr">
        <is>
          <t>Five whys traced a late weekly report to one manual export step that was easy to automate.</t>
        </is>
      </c>
      <c r="AH9" s="18" t="inlineStr">
        <is>
          <t>An interviewer may ask: How do you find the root cause of a customer problem?</t>
        </is>
      </c>
      <c r="AI9" s="18" t="inlineStr">
        <is>
          <t>It is like asking a child why until the real reason appears.</t>
        </is>
      </c>
      <c r="AJ9" s="18" t="inlineStr">
        <is>
          <t>What is the aim of the five whys?</t>
        </is>
      </c>
      <c r="AK9" s="18" t="inlineStr">
        <is>
          <t>A) Shorten a meeting B) Fill a form C) Assign blame D) Find the root cause</t>
        </is>
      </c>
      <c r="AL9" s="18" t="inlineStr">
        <is>
          <t>D</t>
        </is>
      </c>
      <c r="AM9" s="18" t="inlineStr">
        <is>
          <t>Repeated whys move from symptom to underlying cause.</t>
        </is>
      </c>
      <c r="AN9" s="18" t="inlineStr">
        <is>
          <t>The visible problem, as opposed to its cause, is the ____ → symptom</t>
        </is>
      </c>
      <c r="AO9" s="18" t="inlineStr">
        <is>
          <t>Reports are late every week. What do you ask next? → Why they are late, then why again</t>
        </is>
      </c>
      <c r="AP9" s="18" t="inlineStr">
        <is>
          <t>Explain the five whys with an example.</t>
        </is>
      </c>
      <c r="AQ9" s="18" t="inlineStr">
        <is>
          <t>Run a five whys on one problem from your own work and write the chain.</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08" customHeight="1">
      <c r="A10" s="17" t="inlineStr">
        <is>
          <t>REQ-008</t>
        </is>
      </c>
      <c r="B10" s="17" t="inlineStr">
        <is>
          <t>02 Discovery</t>
        </is>
      </c>
      <c r="C10" s="17" t="inlineStr">
        <is>
          <t>Intermediate</t>
        </is>
      </c>
      <c r="D10" s="17" t="n">
        <v>8</v>
      </c>
      <c r="E10" s="17" t="inlineStr">
        <is>
          <t>Claude knowledge</t>
        </is>
      </c>
      <c r="F10" s="18" t="inlineStr">
        <is>
          <t>Stakeholder map</t>
        </is>
      </c>
      <c r="G10" s="18" t="inlineStr">
        <is>
          <t>How do you keep track of who matters in a customer project?</t>
        </is>
      </c>
      <c r="H10" s="18" t="inlineStr">
        <is>
          <t>Technique</t>
        </is>
      </c>
      <c r="I10" s="18" t="inlineStr">
        <is>
          <t>High</t>
        </is>
      </c>
      <c r="J10" s="18" t="n">
        <v>4</v>
      </c>
      <c r="K10" s="18" t="inlineStr">
        <is>
          <t>Projects stall when a decision maker, a blocker or a daily user is missed, so people need to be mapped early.</t>
        </is>
      </c>
      <c r="L10" s="18" t="inlineStr">
        <is>
          <t>Include users, approvers, technical owners and people who can say no, and update the map as you learn.</t>
        </is>
      </c>
      <c r="M10" s="18" t="inlineStr">
        <is>
          <t>A stakeholder map is a seating chart for everyone who touches the project.</t>
        </is>
      </c>
      <c r="N10" s="18" t="inlineStr">
        <is>
          <t>A grid of people sorted by influence and interest.</t>
        </is>
      </c>
      <c r="O10" s="18" t="inlineStr">
        <is>
          <t>The confidence of knowing who to talk to.</t>
        </is>
      </c>
      <c r="P10" s="18" t="inlineStr">
        <is>
          <t>A stakeholder map lists the people and groups affected by or able to influence a project, with their role, interests, level of influence and how to keep them informed.</t>
        </is>
      </c>
      <c r="Q10" s="17" t="n"/>
      <c r="R10" s="18" t="inlineStr">
        <is>
          <t>Typical roles are sponsor, decision maker, daily users, technical owners, security or legal reviewers and sceptics. A simple grid of high or low influence against high or low interest suggests who to keep close and who to inform. Update it after every meeting. Store only business information, and respect privacy when noting personal details.</t>
        </is>
      </c>
      <c r="S10" s="18" t="inlineStr">
        <is>
          <t>Write down who is involved, what they care about and how much say they have.</t>
        </is>
      </c>
      <c r="T10" s="18" t="inlineStr">
        <is>
          <t>A stakeholder map is a seating chart for everyone who touches the project.</t>
        </is>
      </c>
      <c r="U10" s="18" t="inlineStr">
        <is>
          <t>Who, role, interest, influence, plan.</t>
        </is>
      </c>
      <c r="V10" s="18" t="inlineStr">
        <is>
          <t>A sponsor who funds and approves the project.</t>
        </is>
      </c>
      <c r="W10" s="18" t="inlineStr">
        <is>
          <t>A security reviewer who can block go-live.</t>
        </is>
      </c>
      <c r="X10" s="18" t="inlineStr">
        <is>
          <t>Daily users who decide whether the tool is adopted.</t>
        </is>
      </c>
      <c r="Y10" s="18" t="inlineStr">
        <is>
          <t>discovery calls, scoping, security and data questions, status updates</t>
        </is>
      </c>
      <c r="Z10" s="18" t="inlineStr">
        <is>
          <t>stakeholder, sponsor, influence, owner, sceptic</t>
        </is>
      </c>
      <c r="AA10" s="18" t="inlineStr">
        <is>
          <t>Kick-off | Planning | Escalations</t>
        </is>
      </c>
      <c r="AB10" s="18" t="inlineStr">
        <is>
          <t>A: Who signs off the data access? | B: Add the security lead to the map and meet them early.</t>
        </is>
      </c>
      <c r="AC10" s="18" t="inlineStr">
        <is>
          <t>✗ Only the person who pays matters → ✓ Users, owners and reviewers can all make or break the project</t>
        </is>
      </c>
      <c r="AD10" s="18" t="inlineStr">
        <is>
          <t>Sponsor vs user: the person who approves versus the person who uses it daily.</t>
        </is>
      </c>
      <c r="AE10" s="18" t="inlineStr">
        <is>
          <t>Do not ignore the daily users until launch.</t>
        </is>
      </c>
      <c r="AF10" s="18" t="inlineStr">
        <is>
          <t>Everyone with a say gets a seat.</t>
        </is>
      </c>
      <c r="AG10" s="18" t="inlineStr">
        <is>
          <t>A late-added security reviewer on the map saved weeks of rework on data access.</t>
        </is>
      </c>
      <c r="AH10" s="18" t="inlineStr">
        <is>
          <t>An interviewer may ask: How do you make sure you do not miss an important person on a project?</t>
        </is>
      </c>
      <c r="AI10" s="18" t="inlineStr">
        <is>
          <t>It is like a seating chart for a wedding where everyone must feel included.</t>
        </is>
      </c>
      <c r="AJ10" s="18" t="inlineStr">
        <is>
          <t>Who should be on a stakeholder map?</t>
        </is>
      </c>
      <c r="AK10" s="18" t="inlineStr">
        <is>
          <t>A) Only managers B) Anyone who can influence or is affected C) Only engineers D) Only the payer</t>
        </is>
      </c>
      <c r="AL10" s="18" t="inlineStr">
        <is>
          <t>B</t>
        </is>
      </c>
      <c r="AM10" s="18" t="inlineStr">
        <is>
          <t>Missing people often cause delays or failed adoption.</t>
        </is>
      </c>
      <c r="AN10" s="18" t="inlineStr">
        <is>
          <t>The person who funds and champions the project is the ____ → sponsor</t>
        </is>
      </c>
      <c r="AO10" s="18" t="inlineStr">
        <is>
          <t>A project stalls on data access. Whom do you look for on the map? → The security reviewer</t>
        </is>
      </c>
      <c r="AP10" s="18" t="inlineStr">
        <is>
          <t>Explain what a stakeholder map is and how you would use it.</t>
        </is>
      </c>
      <c r="AQ10" s="18" t="inlineStr">
        <is>
          <t>Make a stakeholder map of six roles for one imagined customer project.</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21.5" customHeight="1">
      <c r="A11" s="17" t="inlineStr">
        <is>
          <t>REQ-009</t>
        </is>
      </c>
      <c r="B11" s="17" t="inlineStr">
        <is>
          <t>02 Discovery</t>
        </is>
      </c>
      <c r="C11" s="17" t="inlineStr">
        <is>
          <t>Intermediate</t>
        </is>
      </c>
      <c r="D11" s="17" t="n">
        <v>9</v>
      </c>
      <c r="E11" s="17" t="inlineStr">
        <is>
          <t>Claude knowledge</t>
        </is>
      </c>
      <c r="F11" s="18" t="inlineStr">
        <is>
          <t>Scoping</t>
        </is>
      </c>
      <c r="G11" s="18" t="inlineStr">
        <is>
          <t>How do you decide what is in and out of a project?</t>
        </is>
      </c>
      <c r="H11" s="18" t="inlineStr">
        <is>
          <t>Core concept</t>
        </is>
      </c>
      <c r="I11" s="18" t="inlineStr">
        <is>
          <t>Very high</t>
        </is>
      </c>
      <c r="J11" s="18" t="n">
        <v>5</v>
      </c>
      <c r="K11" s="18" t="inlineStr">
        <is>
          <t>Projects without clear boundaries grow without limit, and every new request quietly adds time and risk.</t>
        </is>
      </c>
      <c r="L11" s="18" t="inlineStr">
        <is>
          <t>Write down what is out of scope as clearly as what is in scope.</t>
        </is>
      </c>
      <c r="M11" s="18" t="inlineStr">
        <is>
          <t>Scoping is drawing the fence before you start digging the garden.</t>
        </is>
      </c>
      <c r="N11" s="18" t="inlineStr">
        <is>
          <t>A fence around a list of included tasks, with other tasks outside it.</t>
        </is>
      </c>
      <c r="O11" s="18" t="inlineStr">
        <is>
          <t>The relief of knowing where the work ends.</t>
        </is>
      </c>
      <c r="P11" s="18" t="inlineStr">
        <is>
          <t>Scoping is agreeing and writing down what will be delivered, what will not, the assumptions behind it, and what the customer must provide.</t>
        </is>
      </c>
      <c r="Q11" s="17" t="n"/>
      <c r="R11" s="18" t="inlineStr">
        <is>
          <t>A scope statement lists goals, deliverables, exclusions, dependencies, responsibilities of both sides and acceptance rules. It protects both parties from vague expectations. Review it with the customer and have it confirmed in writing. When new requests appear, compare them with the scope and handle them as a change request instead of absorbing them silently.</t>
        </is>
      </c>
      <c r="S11" s="18" t="inlineStr">
        <is>
          <t>Write down what you will do, what you will not, and what you need from the customer.</t>
        </is>
      </c>
      <c r="T11" s="18" t="inlineStr">
        <is>
          <t>Scoping is drawing the fence before you start digging the garden.</t>
        </is>
      </c>
      <c r="U11" s="18" t="inlineStr">
        <is>
          <t>In, out, assumptions, dependencies, acceptance.</t>
        </is>
      </c>
      <c r="V11" s="18" t="inlineStr">
        <is>
          <t>Including a data import but excluding a custom dashboard.</t>
        </is>
      </c>
      <c r="W11" s="18" t="inlineStr">
        <is>
          <t>Stating that the customer provides test accounts.</t>
        </is>
      </c>
      <c r="X11" s="18" t="inlineStr">
        <is>
          <t>Listing what counts as done for the integration.</t>
        </is>
      </c>
      <c r="Y11" s="18" t="inlineStr">
        <is>
          <t>MVP, success criteria, change requests, estimating</t>
        </is>
      </c>
      <c r="Z11" s="18" t="inlineStr">
        <is>
          <t>scope, exclusion, deliverable, dependency, boundary</t>
        </is>
      </c>
      <c r="AA11" s="18" t="inlineStr">
        <is>
          <t>Proposals | Kick-off | Contracts</t>
        </is>
      </c>
      <c r="AB11" s="18" t="inlineStr">
        <is>
          <t>A: Can you also add reporting for finance? | B: That is outside our agreed scope, so let us raise it as a change.</t>
        </is>
      </c>
      <c r="AC11" s="18" t="inlineStr">
        <is>
          <t>✗ A flexible scope keeps the customer happier → ✓ An unclear scope usually causes disputes and delays</t>
        </is>
      </c>
      <c r="AD11" s="18" t="inlineStr">
        <is>
          <t>In scope vs out of scope: agreed work versus requests needing a change.</t>
        </is>
      </c>
      <c r="AE11" s="18" t="inlineStr">
        <is>
          <t>Do not accept extra work verbally without recording it.</t>
        </is>
      </c>
      <c r="AF11" s="18" t="inlineStr">
        <is>
          <t>Draw the fence before you dig.</t>
        </is>
      </c>
      <c r="AG11" s="18" t="inlineStr">
        <is>
          <t>A written exclusion list kept an integration project on time when new asks arrived.</t>
        </is>
      </c>
      <c r="AH11" s="18" t="inlineStr">
        <is>
          <t>An interviewer may ask: How do you stop scope creep?</t>
        </is>
      </c>
      <c r="AI11" s="18" t="inlineStr">
        <is>
          <t>It is like agreeing the shopping list before entering the shop.</t>
        </is>
      </c>
      <c r="AJ11" s="18" t="inlineStr">
        <is>
          <t>What should a scope statement include besides deliverables?</t>
        </is>
      </c>
      <c r="AK11" s="18" t="inlineStr">
        <is>
          <t>A) Passwords B) Exclusions and assumptions C) Personal opinions D) Jokes</t>
        </is>
      </c>
      <c r="AL11" s="18" t="inlineStr">
        <is>
          <t>B</t>
        </is>
      </c>
      <c r="AM11" s="18" t="inlineStr">
        <is>
          <t>Boundaries and assumptions prevent later disputes.</t>
        </is>
      </c>
      <c r="AN11" s="18" t="inlineStr">
        <is>
          <t>Gradual unplanned growth of the work is called scope ____ → creep</t>
        </is>
      </c>
      <c r="AO11" s="18" t="inlineStr">
        <is>
          <t>A customer adds a new report halfway through. What do you do? → Compare it with the scope and raise a change request</t>
        </is>
      </c>
      <c r="AP11" s="18" t="inlineStr">
        <is>
          <t>Explain why exclusions matter in a scope.</t>
        </is>
      </c>
      <c r="AQ11" s="18" t="inlineStr">
        <is>
          <t>Write a five-line scope with two exclusions for a data import project.</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108" customHeight="1">
      <c r="A12" s="17" t="inlineStr">
        <is>
          <t>REQ-010</t>
        </is>
      </c>
      <c r="B12" s="17" t="inlineStr">
        <is>
          <t>02 Discovery</t>
        </is>
      </c>
      <c r="C12" s="17" t="inlineStr">
        <is>
          <t>Intermediate</t>
        </is>
      </c>
      <c r="D12" s="17" t="n">
        <v>10</v>
      </c>
      <c r="E12" s="17" t="inlineStr">
        <is>
          <t>Claude knowledge</t>
        </is>
      </c>
      <c r="F12" s="18" t="inlineStr">
        <is>
          <t>MVP</t>
        </is>
      </c>
      <c r="G12" s="18" t="inlineStr">
        <is>
          <t>What is the smallest useful version you can deliver and learn from?</t>
        </is>
      </c>
      <c r="H12" s="18" t="inlineStr">
        <is>
          <t>Core concept</t>
        </is>
      </c>
      <c r="I12" s="18" t="inlineStr">
        <is>
          <t>High</t>
        </is>
      </c>
      <c r="J12" s="18" t="n">
        <v>4</v>
      </c>
      <c r="K12" s="18" t="inlineStr">
        <is>
          <t>Large plans fail on unproven assumptions, so teams ship a small working version first to test the idea with real use.</t>
        </is>
      </c>
      <c r="L12" s="18" t="inlineStr">
        <is>
          <t>Choose the thinnest slice that still solves one real problem end to end.</t>
        </is>
      </c>
      <c r="M12" s="18" t="inlineStr">
        <is>
          <t>An MVP is a first bicycle that already rolls, not a half-built car.</t>
        </is>
      </c>
      <c r="N12" s="18" t="inlineStr">
        <is>
          <t>A thin slice cut through a layered cake showing every layer.</t>
        </is>
      </c>
      <c r="O12" s="18" t="inlineStr">
        <is>
          <t>The excitement of getting something real into hands quickly.</t>
        </is>
      </c>
      <c r="P12" s="18" t="inlineStr">
        <is>
          <t>A minimum viable product is the smallest version of a solution that delivers real value to real users and teaches you whether the idea is right.</t>
        </is>
      </c>
      <c r="Q12" s="17" t="n"/>
      <c r="R12" s="18" t="inlineStr">
        <is>
          <t>An MVP is a complete thin slice, not a broken full version. It should cover one important workflow from start to finish, be usable by real people, and have a clear question it tests. Agree with the customer what is deliberately left out and when the next step will be decided. In customer work, an MVP often means a pilot with one team.</t>
        </is>
      </c>
      <c r="S12" s="18" t="inlineStr">
        <is>
          <t>Build the smallest thing that really works and learn from using it.</t>
        </is>
      </c>
      <c r="T12" s="18" t="inlineStr">
        <is>
          <t>An MVP is a first bicycle that already rolls, not a half-built car.</t>
        </is>
      </c>
      <c r="U12" s="18" t="inlineStr">
        <is>
          <t>One workflow, end to end, real users, a question to answer.</t>
        </is>
      </c>
      <c r="V12" s="18" t="inlineStr">
        <is>
          <t>A pilot with one support team before a company-wide rollout.</t>
        </is>
      </c>
      <c r="W12" s="18" t="inlineStr">
        <is>
          <t>Automating one weekly report before the whole reporting suite.</t>
        </is>
      </c>
      <c r="X12" s="18" t="inlineStr">
        <is>
          <t>A prototype that uses a sample of the data.</t>
        </is>
      </c>
      <c r="Y12" s="18" t="inlineStr">
        <is>
          <t>scoping, success criteria, prioritising, demos</t>
        </is>
      </c>
      <c r="Z12" s="18" t="inlineStr">
        <is>
          <t>MVP, pilot, thin slice, prototype, iteration</t>
        </is>
      </c>
      <c r="AA12" s="18" t="inlineStr">
        <is>
          <t>Proposals | Pilots | Product work</t>
        </is>
      </c>
      <c r="AB12" s="18" t="inlineStr">
        <is>
          <t>A: Should we build all five reports first? | B: Start with the one that saves the most time and learn from it.</t>
        </is>
      </c>
      <c r="AC12" s="18" t="inlineStr">
        <is>
          <t>✗ An MVP is a low-quality product → ✓ It is a small but complete and useful version</t>
        </is>
      </c>
      <c r="AD12" s="18" t="inlineStr">
        <is>
          <t>MVP vs prototype: a usable first version versus a model for testing an idea.</t>
        </is>
      </c>
      <c r="AE12" s="18" t="inlineStr">
        <is>
          <t>Do not call a half-working demo an MVP.</t>
        </is>
      </c>
      <c r="AF12" s="18" t="inlineStr">
        <is>
          <t>Small, whole, useful, and tested by real users.</t>
        </is>
      </c>
      <c r="AG12" s="18" t="inlineStr">
        <is>
          <t>A one-team pilot proved value and unlocked budget for the full rollout.</t>
        </is>
      </c>
      <c r="AH12" s="18" t="inlineStr">
        <is>
          <t>An interviewer may ask: What would you include in an MVP?</t>
        </is>
      </c>
      <c r="AI12" s="18" t="inlineStr">
        <is>
          <t>It is like opening one stall before building the whole market.</t>
        </is>
      </c>
      <c r="AJ12" s="18" t="inlineStr">
        <is>
          <t>What describes a good MVP?</t>
        </is>
      </c>
      <c r="AK12" s="18" t="inlineStr">
        <is>
          <t>A) A small complete workflow B) A broken demo C) A giant plan D) A slide deck only</t>
        </is>
      </c>
      <c r="AL12" s="18" t="inlineStr">
        <is>
          <t>A</t>
        </is>
      </c>
      <c r="AM12" s="18" t="inlineStr">
        <is>
          <t>It delivers real value end to end on a small scale.</t>
        </is>
      </c>
      <c r="AN12" s="18" t="inlineStr">
        <is>
          <t>A small trial with one team before a wider rollout is a ____ → pilot</t>
        </is>
      </c>
      <c r="AO12" s="18" t="inlineStr">
        <is>
          <t>A customer wants five reports at once. How do you start? → Deliver one report end to end as a pilot</t>
        </is>
      </c>
      <c r="AP12" s="18" t="inlineStr">
        <is>
          <t>Explain an MVP in plain words.</t>
        </is>
      </c>
      <c r="AQ12" s="18" t="inlineStr">
        <is>
          <t>Choose one workflow from a project you know and define its MVP in four lines.</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121.5" customHeight="1">
      <c r="A13" s="17" t="inlineStr">
        <is>
          <t>REQ-011</t>
        </is>
      </c>
      <c r="B13" s="17" t="inlineStr">
        <is>
          <t>02 Discovery</t>
        </is>
      </c>
      <c r="C13" s="17" t="inlineStr">
        <is>
          <t>Intermediate</t>
        </is>
      </c>
      <c r="D13" s="17" t="n">
        <v>11</v>
      </c>
      <c r="E13" s="17" t="inlineStr">
        <is>
          <t>Claude knowledge</t>
        </is>
      </c>
      <c r="F13" s="18" t="inlineStr">
        <is>
          <t>Success criteria</t>
        </is>
      </c>
      <c r="G13" s="18" t="inlineStr">
        <is>
          <t>How do you agree in advance what done means?</t>
        </is>
      </c>
      <c r="H13" s="18" t="inlineStr">
        <is>
          <t>Core concept</t>
        </is>
      </c>
      <c r="I13" s="18" t="inlineStr">
        <is>
          <t>High</t>
        </is>
      </c>
      <c r="J13" s="18" t="n">
        <v>5</v>
      </c>
      <c r="K13" s="18" t="inlineStr">
        <is>
          <t>Disagreements at the end of a project usually come from different pictures of done, so the picture must be agreed at the start.</t>
        </is>
      </c>
      <c r="L13" s="18" t="inlineStr">
        <is>
          <t>Write each criterion so that two people could check it and reach the same answer.</t>
        </is>
      </c>
      <c r="M13" s="18" t="inlineStr">
        <is>
          <t>Success criteria are the finish line painted on the track before the race.</t>
        </is>
      </c>
      <c r="N13" s="18" t="inlineStr">
        <is>
          <t>A checklist where each line has a clear tick or cross.</t>
        </is>
      </c>
      <c r="O13" s="18" t="inlineStr">
        <is>
          <t>The relief of an unarguable finish line.</t>
        </is>
      </c>
      <c r="P13" s="18" t="inlineStr">
        <is>
          <t>Success criteria are specific, testable conditions that must be true for the customer to accept the work as complete.</t>
        </is>
      </c>
      <c r="Q13" s="17" t="n"/>
      <c r="R13" s="18" t="inlineStr">
        <is>
          <t>Each criterion should be measurable, such as the import completes in under ten minutes for a given file, rather than vague, such as fast. Link them to the customer's goal and to the acceptance step. Agree who checks them and how. Change them only through a written, agreed update. They differ from success measures in that they judge a delivery, while measures judge the long-term outcome.</t>
        </is>
      </c>
      <c r="S13" s="18" t="inlineStr">
        <is>
          <t>Write clear checks that everyone agrees mean the work is finished.</t>
        </is>
      </c>
      <c r="T13" s="18" t="inlineStr">
        <is>
          <t>Success criteria are the finish line painted on the track before the race.</t>
        </is>
      </c>
      <c r="U13" s="18" t="inlineStr">
        <is>
          <t>Specific, testable, agreed, checked by someone named.</t>
        </is>
      </c>
      <c r="V13" s="18" t="inlineStr">
        <is>
          <t>The import handles a file of one hundred thousand rows.</t>
        </is>
      </c>
      <c r="W13" s="18" t="inlineStr">
        <is>
          <t>Three named users can log in with single sign-on.</t>
        </is>
      </c>
      <c r="X13" s="18" t="inlineStr">
        <is>
          <t>The report matches the finance team's manual total.</t>
        </is>
      </c>
      <c r="Y13" s="18" t="inlineStr">
        <is>
          <t>success measures, acceptance criteria, scoping, MVP</t>
        </is>
      </c>
      <c r="Z13" s="18" t="inlineStr">
        <is>
          <t>criteria, testable, acceptance, done, checkpoint</t>
        </is>
      </c>
      <c r="AA13" s="18" t="inlineStr">
        <is>
          <t>Contracts | Kick-off | Handover</t>
        </is>
      </c>
      <c r="AB13" s="18" t="inlineStr">
        <is>
          <t>A: Is the integration done? | B: Check it against the criteria we agreed in the scope.</t>
        </is>
      </c>
      <c r="AC13" s="18" t="inlineStr">
        <is>
          <t>✗ Everyone naturally agrees on what done means → ✓ Without written criteria, people often disagree at the end</t>
        </is>
      </c>
      <c r="AD13" s="18" t="inlineStr">
        <is>
          <t>Success criteria vs success measures: judging a delivery versus judging a long-term outcome.</t>
        </is>
      </c>
      <c r="AE13" s="18" t="inlineStr">
        <is>
          <t>Do not use vague words like fast, easy or better as criteria.</t>
        </is>
      </c>
      <c r="AF13" s="18" t="inlineStr">
        <is>
          <t>Paint the finish line before the race starts.</t>
        </is>
      </c>
      <c r="AG13" s="18" t="inlineStr">
        <is>
          <t>Written criteria for an import let both teams accept the work in one meeting.</t>
        </is>
      </c>
      <c r="AH13" s="18" t="inlineStr">
        <is>
          <t>An interviewer may ask: How do you define done for a customer project?</t>
        </is>
      </c>
      <c r="AI13" s="18" t="inlineStr">
        <is>
          <t>It is like agreeing the exact photo of a finished room before painting.</t>
        </is>
      </c>
      <c r="AJ13" s="18" t="inlineStr">
        <is>
          <t>Which success criterion is best?</t>
        </is>
      </c>
      <c r="AK13" s="18" t="inlineStr">
        <is>
          <t>A) The import feels smooth B) The import is good C) The import finishes under ten minutes for the sample file D) The import is fast</t>
        </is>
      </c>
      <c r="AL13" s="18" t="inlineStr">
        <is>
          <t>C</t>
        </is>
      </c>
      <c r="AM13" s="18" t="inlineStr">
        <is>
          <t>It can be tested with a clear pass or fail.</t>
        </is>
      </c>
      <c r="AN13" s="18" t="inlineStr">
        <is>
          <t>A condition that two people could check and agree on is ____ → testable</t>
        </is>
      </c>
      <c r="AO13" s="18" t="inlineStr">
        <is>
          <t>A customer wants the tool to be fast. What do you write down? → A measurable time for a defined task</t>
        </is>
      </c>
      <c r="AP13" s="18" t="inlineStr">
        <is>
          <t>Explain how success criteria prevent disputes.</t>
        </is>
      </c>
      <c r="AQ13" s="18" t="inlineStr">
        <is>
          <t>Rewrite three vague goals as testable success criteria.</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08" customHeight="1">
      <c r="A14" s="17" t="inlineStr">
        <is>
          <t>REQ-012</t>
        </is>
      </c>
      <c r="B14" s="17" t="inlineStr">
        <is>
          <t>03 Requirements</t>
        </is>
      </c>
      <c r="C14" s="17" t="inlineStr">
        <is>
          <t>Beginner</t>
        </is>
      </c>
      <c r="D14" s="17" t="n">
        <v>12</v>
      </c>
      <c r="E14" s="17" t="inlineStr">
        <is>
          <t>Claude knowledge</t>
        </is>
      </c>
      <c r="F14" s="18" t="inlineStr">
        <is>
          <t>User stories</t>
        </is>
      </c>
      <c r="G14" s="18" t="inlineStr">
        <is>
          <t>Which short format captures a need from the user's point of view?</t>
        </is>
      </c>
      <c r="H14" s="18" t="inlineStr">
        <is>
          <t>Format</t>
        </is>
      </c>
      <c r="I14" s="18" t="inlineStr">
        <is>
          <t>Very high</t>
        </is>
      </c>
      <c r="J14" s="18" t="n">
        <v>5</v>
      </c>
      <c r="K14" s="18" t="inlineStr">
        <is>
          <t>Long requirement documents were often misread, so short stories keep the user and the reason at the centre.</t>
        </is>
      </c>
      <c r="L14" s="18" t="inlineStr">
        <is>
          <t>Always include the why, because it lets the team choose a better solution.</t>
        </is>
      </c>
      <c r="M14" s="18" t="inlineStr">
        <is>
          <t>A user story is a sticky note that says who, what and why in one line.</t>
        </is>
      </c>
      <c r="N14" s="18" t="inlineStr">
        <is>
          <t>A sticky note with as a, I want and so that lines.</t>
        </is>
      </c>
      <c r="O14" s="18" t="inlineStr">
        <is>
          <t>The empathy of seeing through the user's eyes.</t>
        </is>
      </c>
      <c r="P14" s="18" t="inlineStr">
        <is>
          <t>A user story is a short description of a need in the form as a type of user, I want a capability, so that I get a benefit.</t>
        </is>
      </c>
      <c r="Q14" s="17" t="n"/>
      <c r="R14" s="18" t="inlineStr">
        <is>
          <t>The format keeps the focus on who needs something and why. Stories should be small enough to finish in one iteration and independent enough to be reordered. Details are added through acceptance criteria and conversation. A story is a promise to discuss, not a full specification. Avoid writing technical tasks as stories.</t>
        </is>
      </c>
      <c r="S14" s="18" t="inlineStr">
        <is>
          <t>Say who needs what, and why, in one sentence.</t>
        </is>
      </c>
      <c r="T14" s="18" t="inlineStr">
        <is>
          <t>A user story is a sticky note that says who, what and why in one line.</t>
        </is>
      </c>
      <c r="U14" s="18" t="inlineStr">
        <is>
          <t>As a who, I want what, so that why.</t>
        </is>
      </c>
      <c r="V14" s="18" t="inlineStr">
        <is>
          <t>As an analyst, I want to export the report so that I can share it with finance.</t>
        </is>
      </c>
      <c r="W14" s="18" t="inlineStr">
        <is>
          <t>As an admin, I want to reset a password so that users are not locked out.</t>
        </is>
      </c>
      <c r="X14" s="18" t="inlineStr">
        <is>
          <t>As a manager, I want a weekly summary so that I can spot delays.</t>
        </is>
      </c>
      <c r="Y14" s="18" t="inlineStr">
        <is>
          <t>acceptance criteria, prioritising, estimating, change requests</t>
        </is>
      </c>
      <c r="Z14" s="18" t="inlineStr">
        <is>
          <t>story, persona, benefit, backlog, iteration</t>
        </is>
      </c>
      <c r="AA14" s="18" t="inlineStr">
        <is>
          <t>Backlogs | Planning | Workshops</t>
        </is>
      </c>
      <c r="AB14" s="18" t="inlineStr">
        <is>
          <t>A: Add a filter to the page. | B: Who needs it and why, so we can write the story.</t>
        </is>
      </c>
      <c r="AC14" s="18" t="inlineStr">
        <is>
          <t>✗ A user story is a complete specification → ✓ It starts a conversation that needs detail added</t>
        </is>
      </c>
      <c r="AD14" s="18" t="inlineStr">
        <is>
          <t>User story vs task: a user need versus a piece of technical work.</t>
        </is>
      </c>
      <c r="AE14" s="18" t="inlineStr">
        <is>
          <t>Do not write stories with no user and no reason.</t>
        </is>
      </c>
      <c r="AF14" s="18" t="inlineStr">
        <is>
          <t>Who, what, why on one note.</t>
        </is>
      </c>
      <c r="AG14" s="18" t="inlineStr">
        <is>
          <t>Rewriting requests as stories showed that two requests had the same real need.</t>
        </is>
      </c>
      <c r="AH14" s="18" t="inlineStr">
        <is>
          <t>An interviewer may ask: How do you write a good user story?</t>
        </is>
      </c>
      <c r="AI14" s="18" t="inlineStr">
        <is>
          <t>It is like a note that says who wants what and why before shopping.</t>
        </is>
      </c>
      <c r="AJ14" s="18" t="inlineStr">
        <is>
          <t>Which part of a user story states the benefit?</t>
        </is>
      </c>
      <c r="AK14" s="18" t="inlineStr">
        <is>
          <t>A) As a B) The title C) I want D) So that</t>
        </is>
      </c>
      <c r="AL14" s="18" t="inlineStr">
        <is>
          <t>D</t>
        </is>
      </c>
      <c r="AM14" s="18" t="inlineStr">
        <is>
          <t>The so that clause gives the reason.</t>
        </is>
      </c>
      <c r="AN14" s="18" t="inlineStr">
        <is>
          <t>A story begins with As a ____ → user</t>
        </is>
      </c>
      <c r="AO14" s="18" t="inlineStr">
        <is>
          <t>A customer says Add an export button. How do you reshape it? → As an analyst, I want to export so that I can share results</t>
        </is>
      </c>
      <c r="AP14" s="18" t="inlineStr">
        <is>
          <t>Explain the three parts of a user story.</t>
        </is>
      </c>
      <c r="AQ14" s="18" t="inlineStr">
        <is>
          <t>Write three user stories for a weekly reporting tool.</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81" customHeight="1">
      <c r="A15" s="17" t="inlineStr">
        <is>
          <t>REQ-013</t>
        </is>
      </c>
      <c r="B15" s="17" t="inlineStr">
        <is>
          <t>03 Requirements</t>
        </is>
      </c>
      <c r="C15" s="17" t="inlineStr">
        <is>
          <t>Beginner</t>
        </is>
      </c>
      <c r="D15" s="17" t="n">
        <v>13</v>
      </c>
      <c r="E15" s="17" t="inlineStr">
        <is>
          <t>Claude knowledge</t>
        </is>
      </c>
      <c r="F15" s="18" t="inlineStr">
        <is>
          <t>Acceptance criteria</t>
        </is>
      </c>
      <c r="G15" s="18" t="inlineStr">
        <is>
          <t>Which checks decide whether a story is really finished?</t>
        </is>
      </c>
      <c r="H15" s="18" t="inlineStr">
        <is>
          <t>Format</t>
        </is>
      </c>
      <c r="I15" s="18" t="inlineStr">
        <is>
          <t>Very high</t>
        </is>
      </c>
      <c r="J15" s="18" t="n">
        <v>5</v>
      </c>
      <c r="K15" s="18" t="inlineStr">
        <is>
          <t>A story alone leaves room for different readings, so acceptance criteria state the exact conditions for done.</t>
        </is>
      </c>
      <c r="L15" s="18" t="inlineStr">
        <is>
          <t>Write criteria as examples, such as given, when and then, so they can be tested directly.</t>
        </is>
      </c>
      <c r="M15" s="18" t="inlineStr">
        <is>
          <t>Acceptance criteria are the exam questions the story must pass.</t>
        </is>
      </c>
      <c r="N15" s="18" t="inlineStr">
        <is>
          <t>A story card with a checklist of passing conditions below it.</t>
        </is>
      </c>
      <c r="O15" s="18" t="inlineStr">
        <is>
          <t>The comfort of knowing exactly what passing looks like.</t>
        </is>
      </c>
      <c r="P15" s="18" t="inlineStr">
        <is>
          <t>Acceptance criteria are the specific, testable conditions that a story must meet to be accepted, often written as given a situation, when an action, then a result.</t>
        </is>
      </c>
      <c r="Q15" s="17" t="n"/>
      <c r="R15" s="18" t="inlineStr">
        <is>
          <t>Criteria cover the main path, important edge cases and errors. Each should be a clear pass or fail. Writing them before building avoids debate afterwards and gives testers something concrete. Keep them about behaviour the user sees, not about the internal design.</t>
        </is>
      </c>
      <c r="S15" s="18" t="inlineStr">
        <is>
          <t>List the exact conditions that must pass for the story to count as done.</t>
        </is>
      </c>
      <c r="T15" s="18" t="inlineStr">
        <is>
          <t>Acceptance criteria are the exam questions the story must pass.</t>
        </is>
      </c>
      <c r="U15" s="18" t="inlineStr">
        <is>
          <t>Given, when, then.</t>
        </is>
      </c>
      <c r="V15" s="18" t="inlineStr">
        <is>
          <t>Given a file with errors, when imported, then a clear error list is shown.</t>
        </is>
      </c>
      <c r="W15" s="18" t="inlineStr">
        <is>
          <t>Given a valid file, when imported, then all rows appear in the table.</t>
        </is>
      </c>
      <c r="X15" s="18" t="inlineStr">
        <is>
          <t>Given no permission, when exporting, then access is refused with a message.</t>
        </is>
      </c>
      <c r="Y15" s="18" t="inlineStr">
        <is>
          <t>user stories, success criteria, estimating, change requests</t>
        </is>
      </c>
      <c r="Z15" s="18" t="inlineStr">
        <is>
          <t>criteria, given when then, pass, edge case, behaviour</t>
        </is>
      </c>
      <c r="AA15" s="18" t="inlineStr">
        <is>
          <t>Backlogs | Testing | Sign-off</t>
        </is>
      </c>
      <c r="AB15" s="18" t="inlineStr">
        <is>
          <t>A: How do we know the export story is done? | B: Check each acceptance criterion on the card.</t>
        </is>
      </c>
      <c r="AC15" s="18" t="inlineStr">
        <is>
          <t>✗ Acceptance criteria describe how to build it → ✓ They describe what the user sees when it works</t>
        </is>
      </c>
      <c r="AD15" s="18" t="inlineStr">
        <is>
          <t>Acceptance criteria vs success criteria: one story's checks versus the project's overall conditions.</t>
        </is>
      </c>
      <c r="AE15" s="18" t="inlineStr">
        <is>
          <t>Do not leave stories without any testable condition.</t>
        </is>
      </c>
      <c r="AF15" s="18" t="inlineStr">
        <is>
          <t>Given, when, then, pass or fail.</t>
        </is>
      </c>
      <c r="AG15" s="18" t="inlineStr">
        <is>
          <t>Criteria with edge cases caught a missing error message before the customer test.</t>
        </is>
      </c>
      <c r="AH15" s="18" t="inlineStr">
        <is>
          <t>An interviewer may ask: What are acceptance criteria and who writes them?</t>
        </is>
      </c>
      <c r="AI15" s="18" t="inlineStr">
        <is>
          <t>It is like a checklist of what a finished room must have.</t>
        </is>
      </c>
      <c r="AJ15" s="18" t="inlineStr">
        <is>
          <t>Which format is common for acceptance criteria?</t>
        </is>
      </c>
      <c r="AK15" s="18" t="inlineStr">
        <is>
          <t>A) Start, stop, wait B) Given, when, then C) Hope, try, see D) Maybe, perhaps, later</t>
        </is>
      </c>
      <c r="AL15" s="18" t="inlineStr">
        <is>
          <t>B</t>
        </is>
      </c>
      <c r="AM15" s="18" t="inlineStr">
        <is>
          <t>It states a situation, an action and an expected result.</t>
        </is>
      </c>
      <c r="AN15" s="18" t="inlineStr">
        <is>
          <t>Each criterion should give a clear pass or ____ → fail</t>
        </is>
      </c>
      <c r="AO15" s="18" t="inlineStr">
        <is>
          <t>A story says users can import files. What do you add? → Criteria for valid files, errors and edge cases</t>
        </is>
      </c>
      <c r="AP15" s="18" t="inlineStr">
        <is>
          <t>Explain how criteria make testing easier.</t>
        </is>
      </c>
      <c r="AQ15" s="18" t="inlineStr">
        <is>
          <t>Write four acceptance criteria for a password reset story.</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108" customHeight="1">
      <c r="A16" s="17" t="inlineStr">
        <is>
          <t>REQ-014</t>
        </is>
      </c>
      <c r="B16" s="17" t="inlineStr">
        <is>
          <t>03 Requirements</t>
        </is>
      </c>
      <c r="C16" s="17" t="inlineStr">
        <is>
          <t>Intermediate</t>
        </is>
      </c>
      <c r="D16" s="17" t="n">
        <v>14</v>
      </c>
      <c r="E16" s="17" t="inlineStr">
        <is>
          <t>Claude knowledge</t>
        </is>
      </c>
      <c r="F16" s="18" t="inlineStr">
        <is>
          <t>Prioritising with MoSCoW</t>
        </is>
      </c>
      <c r="G16" s="18" t="inlineStr">
        <is>
          <t>Which method sorts requirements into must, should, could and will not?</t>
        </is>
      </c>
      <c r="H16" s="18" t="inlineStr">
        <is>
          <t>Technique</t>
        </is>
      </c>
      <c r="I16" s="18" t="inlineStr">
        <is>
          <t>High</t>
        </is>
      </c>
      <c r="J16" s="18" t="n">
        <v>4</v>
      </c>
      <c r="K16" s="18" t="inlineStr">
        <is>
          <t>When everything is urgent, nothing is, so teams need a shared way to rank requests against limited time.</t>
        </is>
      </c>
      <c r="L16" s="18" t="inlineStr">
        <is>
          <t>Keep the Must group small, and test it by asking what happens if it is missing.</t>
        </is>
      </c>
      <c r="M16" s="18" t="inlineStr">
        <is>
          <t>MoSCoW is a packing list that says what must go in the bag and what can stay at home.</t>
        </is>
      </c>
      <c r="N16" s="18" t="inlineStr">
        <is>
          <t>Four boxes labelled must, should, could and will not.</t>
        </is>
      </c>
      <c r="O16" s="18" t="inlineStr">
        <is>
          <t>The relief of an honest ranking.</t>
        </is>
      </c>
      <c r="P16" s="18" t="inlineStr">
        <is>
          <t>MoSCoW sorts requirements into Must have, Should have, Could have and Will not have this time, so the team agrees what is essential for the deadline.</t>
        </is>
      </c>
      <c r="Q16" s="17" t="n"/>
      <c r="R16" s="18" t="inlineStr">
        <is>
          <t>Must items are needed for the release to work or be legal. Should items are important but there are workarounds. Could items are nice to have if time allows. Will not items are agreed as out for now, and are not rejected forever. Review the groups with the customer, and be ready to move items when time or facts change.</t>
        </is>
      </c>
      <c r="S16" s="18" t="inlineStr">
        <is>
          <t>Sort every request into must, should, could or will not for this release.</t>
        </is>
      </c>
      <c r="T16" s="18" t="inlineStr">
        <is>
          <t>MoSCoW is a packing list that says what must go in the bag and what can stay at home.</t>
        </is>
      </c>
      <c r="U16" s="18" t="inlineStr">
        <is>
          <t>Must, Should, Could, Will not.</t>
        </is>
      </c>
      <c r="V16" s="18" t="inlineStr">
        <is>
          <t>Login is a Must for a secure tool.</t>
        </is>
      </c>
      <c r="W16" s="18" t="inlineStr">
        <is>
          <t>An export to spreadsheet is a Should.</t>
        </is>
      </c>
      <c r="X16" s="18" t="inlineStr">
        <is>
          <t>A dark theme is a Could.</t>
        </is>
      </c>
      <c r="Y16" s="18" t="inlineStr">
        <is>
          <t>scoping, MVP, estimating, change requests</t>
        </is>
      </c>
      <c r="Z16" s="18" t="inlineStr">
        <is>
          <t>priority, must, should, could, trade-off</t>
        </is>
      </c>
      <c r="AA16" s="18" t="inlineStr">
        <is>
          <t>Planning | Workshops | Release decisions</t>
        </is>
      </c>
      <c r="AB16" s="18" t="inlineStr">
        <is>
          <t>A: Everything is a must. | B: Ask what breaks if each item is missing.</t>
        </is>
      </c>
      <c r="AC16" s="18" t="inlineStr">
        <is>
          <t>✗ Everything can be a Must → ✓ If everything is a Must, nothing is prioritised</t>
        </is>
      </c>
      <c r="AD16" s="18" t="inlineStr">
        <is>
          <t>Must vs Should: the release fails without it versus important but has a workaround.</t>
        </is>
      </c>
      <c r="AE16" s="18" t="inlineStr">
        <is>
          <t>Do not let every item become a Must.</t>
        </is>
      </c>
      <c r="AF16" s="18" t="inlineStr">
        <is>
          <t>Ask what breaks if it is missing.</t>
        </is>
      </c>
      <c r="AG16" s="18" t="inlineStr">
        <is>
          <t>A MoSCoW session cut a long list to a short Must group and saved time.</t>
        </is>
      </c>
      <c r="AH16" s="18" t="inlineStr">
        <is>
          <t>An interviewer may ask: How do you prioritise customer requests?</t>
        </is>
      </c>
      <c r="AI16" s="18" t="inlineStr">
        <is>
          <t>It is like deciding what goes in a small suitcase.</t>
        </is>
      </c>
      <c r="AJ16" s="18" t="inlineStr">
        <is>
          <t>Which group is for items agreed as out for this release?</t>
        </is>
      </c>
      <c r="AK16" s="18" t="inlineStr">
        <is>
          <t>A) Will not have B) Could have C) Must have D) Should have</t>
        </is>
      </c>
      <c r="AL16" s="18" t="inlineStr">
        <is>
          <t>A</t>
        </is>
      </c>
      <c r="AM16" s="18" t="inlineStr">
        <is>
          <t>It records what is deliberately left out for now.</t>
        </is>
      </c>
      <c r="AN16" s="18" t="inlineStr">
        <is>
          <t>Items needed for the release to work are the ____ group → must</t>
        </is>
      </c>
      <c r="AO16" s="18" t="inlineStr">
        <is>
          <t>Everything on a list is called urgent. What do you ask for each item? → What breaks if it is missing</t>
        </is>
      </c>
      <c r="AP16" s="18" t="inlineStr">
        <is>
          <t>Explain the four MoSCoW groups.</t>
        </is>
      </c>
      <c r="AQ16" s="18" t="inlineStr">
        <is>
          <t>Sort ten imagined requests into the four groups and defend your Must list.</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108" customHeight="1">
      <c r="A17" s="17" t="inlineStr">
        <is>
          <t>REQ-015</t>
        </is>
      </c>
      <c r="B17" s="17" t="inlineStr">
        <is>
          <t>03 Requirements</t>
        </is>
      </c>
      <c r="C17" s="17" t="inlineStr">
        <is>
          <t>Intermediate</t>
        </is>
      </c>
      <c r="D17" s="17" t="n">
        <v>15</v>
      </c>
      <c r="E17" s="17" t="inlineStr">
        <is>
          <t>Claude knowledge</t>
        </is>
      </c>
      <c r="F17" s="18" t="inlineStr">
        <is>
          <t>Assumptions and risks</t>
        </is>
      </c>
      <c r="G17" s="18" t="inlineStr">
        <is>
          <t>How do you record what you are guessing and what could go wrong?</t>
        </is>
      </c>
      <c r="H17" s="18" t="inlineStr">
        <is>
          <t>Technique</t>
        </is>
      </c>
      <c r="I17" s="18" t="inlineStr">
        <is>
          <t>High</t>
        </is>
      </c>
      <c r="J17" s="18" t="n">
        <v>5</v>
      </c>
      <c r="K17" s="18" t="inlineStr">
        <is>
          <t>Plans rest on things nobody has checked yet, and unwritten assumptions turn into surprises at the worst moment.</t>
        </is>
      </c>
      <c r="L17" s="18" t="inlineStr">
        <is>
          <t>Give each assumption an owner and a date by which it will be checked.</t>
        </is>
      </c>
      <c r="M17" s="18" t="inlineStr">
        <is>
          <t>Assumptions are the loose planks in a bridge, and a risk list tells you where to test them.</t>
        </is>
      </c>
      <c r="N17" s="18" t="inlineStr">
        <is>
          <t>A table with assumption, owner, check date and a risk rating.</t>
        </is>
      </c>
      <c r="O17" s="18" t="inlineStr">
        <is>
          <t>The calm of surprises named early.</t>
        </is>
      </c>
      <c r="P17" s="18" t="inlineStr">
        <is>
          <t>An assumption is something treated as true without proof, and a risk is an uncertain event that could harm the project, and both are recorded with an owner and a plan.</t>
        </is>
      </c>
      <c r="Q17" s="17" t="n"/>
      <c r="R17" s="18" t="inlineStr">
        <is>
          <t>Typical assumptions are that data will be available by a date, that test accounts exist or that an API can handle the load. Risks are rated by likelihood and impact, with an action to reduce them. Review the list at every status meeting. An assumption that turns out false becomes an issue and may trigger a change request.</t>
        </is>
      </c>
      <c r="S17" s="18" t="inlineStr">
        <is>
          <t>Write down what you are guessing and what could go wrong, and check them early.</t>
        </is>
      </c>
      <c r="T17" s="18" t="inlineStr">
        <is>
          <t>Assumptions are the loose planks in a bridge, and a risk list tells you where to test them.</t>
        </is>
      </c>
      <c r="U17" s="18" t="inlineStr">
        <is>
          <t>Assumption, owner, check date; risk, likelihood, impact, action.</t>
        </is>
      </c>
      <c r="V17" s="18" t="inlineStr">
        <is>
          <t>Assuming the customer will provide sample data by Friday.</t>
        </is>
      </c>
      <c r="W17" s="18" t="inlineStr">
        <is>
          <t>A risk that the security review takes longer than planned.</t>
        </is>
      </c>
      <c r="X17" s="18" t="inlineStr">
        <is>
          <t>An assumption that the existing API allows bulk export.</t>
        </is>
      </c>
      <c r="Y17" s="18" t="inlineStr">
        <is>
          <t>scoping, estimating, change requests, status updates</t>
        </is>
      </c>
      <c r="Z17" s="18" t="inlineStr">
        <is>
          <t>assumption, risk, issue, likelihood, mitigation</t>
        </is>
      </c>
      <c r="AA17" s="18" t="inlineStr">
        <is>
          <t>Proposals | Planning | Status meetings</t>
        </is>
      </c>
      <c r="AB17" s="18" t="inlineStr">
        <is>
          <t>A: We assumed the data would be clean. | B: That should have been on the risk list with a check date.</t>
        </is>
      </c>
      <c r="AC17" s="18" t="inlineStr">
        <is>
          <t>✗ Risks are only worth listing if they are likely → ✓ High-impact risks matter even when unlikely</t>
        </is>
      </c>
      <c r="AD17" s="18" t="inlineStr">
        <is>
          <t>Risk vs issue: something that might happen versus something that already has.</t>
        </is>
      </c>
      <c r="AE17" s="18" t="inlineStr">
        <is>
          <t>Do not leave assumptions unwritten and unchecked.</t>
        </is>
      </c>
      <c r="AF17" s="18" t="inlineStr">
        <is>
          <t>Name it, own it, check it early.</t>
        </is>
      </c>
      <c r="AG17" s="18" t="inlineStr">
        <is>
          <t>Checking a data assumption in week one prevented a month of rework.</t>
        </is>
      </c>
      <c r="AH17" s="18" t="inlineStr">
        <is>
          <t>An interviewer may ask: How do you manage project risks?</t>
        </is>
      </c>
      <c r="AI17" s="18" t="inlineStr">
        <is>
          <t>It is like checking the weather forecast before a trip.</t>
        </is>
      </c>
      <c r="AJ17" s="18" t="inlineStr">
        <is>
          <t>What should each assumption have?</t>
        </is>
      </c>
      <c r="AK17" s="18" t="inlineStr">
        <is>
          <t>A) A colour B) A price C) A nickname D) An owner and a check date</t>
        </is>
      </c>
      <c r="AL17" s="18" t="inlineStr">
        <is>
          <t>D</t>
        </is>
      </c>
      <c r="AM17" s="18" t="inlineStr">
        <is>
          <t>Without an owner and date, assumptions are never verified.</t>
        </is>
      </c>
      <c r="AN17" s="18" t="inlineStr">
        <is>
          <t>A risk that has already happened becomes an ____ → issue</t>
        </is>
      </c>
      <c r="AO17" s="18" t="inlineStr">
        <is>
          <t>A plan relies on data arriving Friday. What do you record? → An assumption with an owner and a check date</t>
        </is>
      </c>
      <c r="AP17" s="18" t="inlineStr">
        <is>
          <t>Explain the difference between an assumption, a risk and an issue.</t>
        </is>
      </c>
      <c r="AQ17" s="18" t="inlineStr">
        <is>
          <t>Write five assumptions and two risks for an integration project.</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108" customHeight="1">
      <c r="A18" s="17" t="inlineStr">
        <is>
          <t>REQ-016</t>
        </is>
      </c>
      <c r="B18" s="17" t="inlineStr">
        <is>
          <t>03 Requirements</t>
        </is>
      </c>
      <c r="C18" s="17" t="inlineStr">
        <is>
          <t>Intermediate</t>
        </is>
      </c>
      <c r="D18" s="17" t="n">
        <v>16</v>
      </c>
      <c r="E18" s="17" t="inlineStr">
        <is>
          <t>Claude knowledge</t>
        </is>
      </c>
      <c r="F18" s="18" t="inlineStr">
        <is>
          <t>Change requests</t>
        </is>
      </c>
      <c r="G18" s="18" t="inlineStr">
        <is>
          <t>How do you handle new asks after the scope is agreed?</t>
        </is>
      </c>
      <c r="H18" s="18" t="inlineStr">
        <is>
          <t>Process</t>
        </is>
      </c>
      <c r="I18" s="18" t="inlineStr">
        <is>
          <t>High</t>
        </is>
      </c>
      <c r="J18" s="18" t="n">
        <v>4</v>
      </c>
      <c r="K18" s="18" t="inlineStr">
        <is>
          <t>Requirements always change, so a light process is needed to judge each change on cost, time and value.</t>
        </is>
      </c>
      <c r="L18" s="18" t="inlineStr">
        <is>
          <t>Treat a change as a normal event, and respond with options rather than a flat refusal.</t>
        </is>
      </c>
      <c r="M18" s="18" t="inlineStr">
        <is>
          <t>A change request is a toll gate where new work is weighed before entering the road.</t>
        </is>
      </c>
      <c r="N18" s="18" t="inlineStr">
        <is>
          <t>A form with change, reason, effort, impact and decision.</t>
        </is>
      </c>
      <c r="O18" s="18" t="inlineStr">
        <is>
          <t>The fairness of a transparent trade-off.</t>
        </is>
      </c>
      <c r="P18" s="18" t="inlineStr">
        <is>
          <t>A change request is a recorded proposal to alter agreed scope, which is assessed for effort, risk and value, then approved, rejected or scheduled.</t>
        </is>
      </c>
      <c r="Q18" s="17" t="n"/>
      <c r="R18" s="18" t="inlineStr">
        <is>
          <t>Record what is asked, why, who asked and the effect on time, cost and other work. Offer options, such as swapping it with another item, moving the date, or adding it later. Get a decision from someone with authority and write it down. Small changes may need only a quick note, while large ones need formal agreement.</t>
        </is>
      </c>
      <c r="S18" s="18" t="inlineStr">
        <is>
          <t>Write down each new ask, show what it costs, and get a clear decision.</t>
        </is>
      </c>
      <c r="T18" s="18" t="inlineStr">
        <is>
          <t>A change request is a toll gate where new work is weighed before entering the road.</t>
        </is>
      </c>
      <c r="U18" s="18" t="inlineStr">
        <is>
          <t>Record, assess, offer options, decide, update the plan.</t>
        </is>
      </c>
      <c r="V18" s="18" t="inlineStr">
        <is>
          <t>A customer asks for an extra report after kick-off.</t>
        </is>
      </c>
      <c r="W18" s="18" t="inlineStr">
        <is>
          <t>Swapping a low-value feature for a new request.</t>
        </is>
      </c>
      <c r="X18" s="18" t="inlineStr">
        <is>
          <t>Moving a go-live date to include extra security checks.</t>
        </is>
      </c>
      <c r="Y18" s="18" t="inlineStr">
        <is>
          <t>scoping, estimating, saying no, decision log</t>
        </is>
      </c>
      <c r="Z18" s="18" t="inlineStr">
        <is>
          <t>change, impact, approval, trade-off, baseline</t>
        </is>
      </c>
      <c r="AA18" s="18" t="inlineStr">
        <is>
          <t>Delivery | Contracts | Status meetings</t>
        </is>
      </c>
      <c r="AB18" s="18" t="inlineStr">
        <is>
          <t>A: Can you add this by next week? | B: We can, if we swap it with another item or move the date.</t>
        </is>
      </c>
      <c r="AC18" s="18" t="inlineStr">
        <is>
          <t>✗ Saying yes to every change keeps customers happy → ✓ Unmanaged changes often lead to late, poor delivery</t>
        </is>
      </c>
      <c r="AD18" s="18" t="inlineStr">
        <is>
          <t>Change request vs bug: new wanted behaviour versus a mistake against the agreement.</t>
        </is>
      </c>
      <c r="AE18" s="18" t="inlineStr">
        <is>
          <t>Do not accept scope changes in hallway conversations.</t>
        </is>
      </c>
      <c r="AF18" s="18" t="inlineStr">
        <is>
          <t>Record it, price it, decide it, update it.</t>
        </is>
      </c>
      <c r="AG18" s="18" t="inlineStr">
        <is>
          <t>A written trade-off kept an on-time launch when a late request arrived.</t>
        </is>
      </c>
      <c r="AH18" s="18" t="inlineStr">
        <is>
          <t>An interviewer may ask: How do you manage scope changes?</t>
        </is>
      </c>
      <c r="AI18" s="18" t="inlineStr">
        <is>
          <t>It is like adding a stop to a trip and checking the time and fuel.</t>
        </is>
      </c>
      <c r="AJ18" s="18" t="inlineStr">
        <is>
          <t>What should you do with a new request after scope is agreed?</t>
        </is>
      </c>
      <c r="AK18" s="18" t="inlineStr">
        <is>
          <t>A) Delete the plan B) Accept it secretly C) Assess it and record a decision D) Ignore it</t>
        </is>
      </c>
      <c r="AL18" s="18" t="inlineStr">
        <is>
          <t>C</t>
        </is>
      </c>
      <c r="AM18" s="18" t="inlineStr">
        <is>
          <t>A recorded decision protects the plan and the relationship.</t>
        </is>
      </c>
      <c r="AN18" s="18" t="inlineStr">
        <is>
          <t>Offering to swap a new item for an old one is a ____ → trade-off</t>
        </is>
      </c>
      <c r="AO18" s="18" t="inlineStr">
        <is>
          <t>A customer wants an extra report next week without moving the date. What do you offer? → A trade-off, such as swapping another item</t>
        </is>
      </c>
      <c r="AP18" s="18" t="inlineStr">
        <is>
          <t>Explain a simple change request process.</t>
        </is>
      </c>
      <c r="AQ18" s="18" t="inlineStr">
        <is>
          <t>Draw a one-page change request form with five fields.</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108" customHeight="1">
      <c r="A19" s="17" t="inlineStr">
        <is>
          <t>REQ-017</t>
        </is>
      </c>
      <c r="B19" s="17" t="inlineStr">
        <is>
          <t>03 Requirements</t>
        </is>
      </c>
      <c r="C19" s="17" t="inlineStr">
        <is>
          <t>Intermediate</t>
        </is>
      </c>
      <c r="D19" s="17" t="n">
        <v>17</v>
      </c>
      <c r="E19" s="17" t="inlineStr">
        <is>
          <t>Claude knowledge</t>
        </is>
      </c>
      <c r="F19" s="18" t="inlineStr">
        <is>
          <t>Estimating</t>
        </is>
      </c>
      <c r="G19" s="18" t="inlineStr">
        <is>
          <t>How do you give a realistic time or effort for work you have not done yet?</t>
        </is>
      </c>
      <c r="H19" s="18" t="inlineStr">
        <is>
          <t>Technique</t>
        </is>
      </c>
      <c r="I19" s="18" t="inlineStr">
        <is>
          <t>High</t>
        </is>
      </c>
      <c r="J19" s="18" t="n">
        <v>5</v>
      </c>
      <c r="K19" s="18" t="inlineStr">
        <is>
          <t>Customers need dates, but early estimates are uncertain, so estimates must be honest about what is known and unknown.</t>
        </is>
      </c>
      <c r="L19" s="18" t="inlineStr">
        <is>
          <t>Give a range with the assumptions behind it, and refine as facts arrive.</t>
        </is>
      </c>
      <c r="M19" s="18" t="inlineStr">
        <is>
          <t>An estimate is a weather forecast, a range with confidence, not a promise.</t>
        </is>
      </c>
      <c r="N19" s="18" t="inlineStr">
        <is>
          <t>A bar showing a range from best case to worst case.</t>
        </is>
      </c>
      <c r="O19" s="18" t="inlineStr">
        <is>
          <t>The honesty of admitting uncertainty without losing trust.</t>
        </is>
      </c>
      <c r="P19" s="18" t="inlineStr">
        <is>
          <t>Estimating is predicting the effort or time needed for work, usually as a range with stated assumptions, and improving the estimate as more is learned.</t>
        </is>
      </c>
      <c r="Q19" s="17" t="n"/>
      <c r="R19" s="18" t="inlineStr">
        <is>
          <t>Break the work into small pieces, estimate each, and add time for testing, reviews, waiting on others and surprises. Use past similar work as evidence. State what the estimate assumes and what would change it. Estimates are not commitments, but dates agreed with a customer become expectations, so communicate the uncertainty plainly.</t>
        </is>
      </c>
      <c r="S19" s="18" t="inlineStr">
        <is>
          <t>Give a range, say what you assumed, and update it as you learn.</t>
        </is>
      </c>
      <c r="T19" s="18" t="inlineStr">
        <is>
          <t>An estimate is a weather forecast, a range with confidence, not a promise.</t>
        </is>
      </c>
      <c r="U19" s="18" t="inlineStr">
        <is>
          <t>Break down, range, assumptions, buffer, refine.</t>
        </is>
      </c>
      <c r="V19" s="18" t="inlineStr">
        <is>
          <t>Two to four days for an integration, assuming test access.</t>
        </is>
      </c>
      <c r="W19" s="18" t="inlineStr">
        <is>
          <t>Adding review and testing time to a build estimate.</t>
        </is>
      </c>
      <c r="X19" s="18" t="inlineStr">
        <is>
          <t>Re-estimating after the first sample of data arrives.</t>
        </is>
      </c>
      <c r="Y19" s="18" t="inlineStr">
        <is>
          <t>scoping, assumptions and risks, change requests, status updates</t>
        </is>
      </c>
      <c r="Z19" s="18" t="inlineStr">
        <is>
          <t>estimate, range, buffer, assumption, uncertainty</t>
        </is>
      </c>
      <c r="AA19" s="18" t="inlineStr">
        <is>
          <t>Proposals | Planning | Status updates</t>
        </is>
      </c>
      <c r="AB19" s="18" t="inlineStr">
        <is>
          <t>A: How long will the integration take? | B: Two to four days, if test access arrives by Monday.</t>
        </is>
      </c>
      <c r="AC19" s="18" t="inlineStr">
        <is>
          <t>✗ An estimate is a promise → ✓ It is a forecast with stated assumptions</t>
        </is>
      </c>
      <c r="AD19" s="18" t="inlineStr">
        <is>
          <t>Estimate vs commitment: a forecast versus an agreed delivery date.</t>
        </is>
      </c>
      <c r="AE19" s="18" t="inlineStr">
        <is>
          <t>Do not give a single number without assumptions.</t>
        </is>
      </c>
      <c r="AF19" s="18" t="inlineStr">
        <is>
          <t>Give a range, state the assumptions, refine.</t>
        </is>
      </c>
      <c r="AG19" s="18" t="inlineStr">
        <is>
          <t>A range with clear assumptions kept trust when test access arrived late.</t>
        </is>
      </c>
      <c r="AH19" s="18" t="inlineStr">
        <is>
          <t>An interviewer may ask: How do you estimate unfamiliar work?</t>
        </is>
      </c>
      <c r="AI19" s="18" t="inlineStr">
        <is>
          <t>It is like forecasting a journey time with traffic.</t>
        </is>
      </c>
      <c r="AJ19" s="18" t="inlineStr">
        <is>
          <t>What makes an estimate more honest?</t>
        </is>
      </c>
      <c r="AK19" s="18" t="inlineStr">
        <is>
          <t>A) A range with assumptions B) A promise C) One exact number D) A secret date</t>
        </is>
      </c>
      <c r="AL19" s="18" t="inlineStr">
        <is>
          <t>A</t>
        </is>
      </c>
      <c r="AM19" s="18" t="inlineStr">
        <is>
          <t>It shows uncertainty and what could change the answer.</t>
        </is>
      </c>
      <c r="AN19" s="18" t="inlineStr">
        <is>
          <t>Extra time added for surprises is called a ____ → buffer</t>
        </is>
      </c>
      <c r="AO19" s="18" t="inlineStr">
        <is>
          <t>A customer asks for a date on unfamiliar work. What do you give? → A range with assumptions</t>
        </is>
      </c>
      <c r="AP19" s="18" t="inlineStr">
        <is>
          <t>Explain how to give an honest estimate.</t>
        </is>
      </c>
      <c r="AQ19" s="18" t="inlineStr">
        <is>
          <t>Estimate a small task as a range, and list its three assumptions.</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108" customHeight="1">
      <c r="A20" s="17" t="inlineStr">
        <is>
          <t>REQ-018</t>
        </is>
      </c>
      <c r="B20" s="17" t="inlineStr">
        <is>
          <t>04 Documentation</t>
        </is>
      </c>
      <c r="C20" s="17" t="inlineStr">
        <is>
          <t>Beginner</t>
        </is>
      </c>
      <c r="D20" s="17" t="n">
        <v>18</v>
      </c>
      <c r="E20" s="17" t="inlineStr">
        <is>
          <t>Claude knowledge</t>
        </is>
      </c>
      <c r="F20" s="18" t="inlineStr">
        <is>
          <t>README</t>
        </is>
      </c>
      <c r="G20" s="18" t="inlineStr">
        <is>
          <t>Which file tells a newcomer what a project is and how to start?</t>
        </is>
      </c>
      <c r="H20" s="18" t="inlineStr">
        <is>
          <t>Document</t>
        </is>
      </c>
      <c r="I20" s="18" t="inlineStr">
        <is>
          <t>Very high</t>
        </is>
      </c>
      <c r="J20" s="18" t="n">
        <v>5</v>
      </c>
      <c r="K20" s="18" t="inlineStr">
        <is>
          <t>People arrive at a repository without context, so a front-door file explains what it is, how to run it and where to get help.</t>
        </is>
      </c>
      <c r="L20" s="18" t="inlineStr">
        <is>
          <t>Test the README by asking a colleague to follow it without your help.</t>
        </is>
      </c>
      <c r="M20" s="18" t="inlineStr">
        <is>
          <t>A README is the front door sign and the welcome mat of a project.</t>
        </is>
      </c>
      <c r="N20" s="18" t="inlineStr">
        <is>
          <t>A file with sections for what, setup, usage and contacts.</t>
        </is>
      </c>
      <c r="O20" s="18" t="inlineStr">
        <is>
          <t>The welcome of clear first steps.</t>
        </is>
      </c>
      <c r="P20" s="18" t="inlineStr">
        <is>
          <t>A README is the first file a reader sees in a project, explaining its purpose, how to install and run it, how to use it, and who to contact.</t>
        </is>
      </c>
      <c r="Q20" s="17" t="n"/>
      <c r="R20" s="18" t="inlineStr">
        <is>
          <t>A good README starts with one clear sentence on purpose, then gives setup steps in order, a small usage example, configuration notes without secrets, and links to deeper documents. Keep it short and current. Out-of-date setup steps are worse than none. Update it whenever setup changes, and treat it as part of the code review.</t>
        </is>
      </c>
      <c r="S20" s="18" t="inlineStr">
        <is>
          <t>It is the first page that tells people what the project is and how to run it.</t>
        </is>
      </c>
      <c r="T20" s="18" t="inlineStr">
        <is>
          <t>A README is the front door sign and the welcome mat of a project.</t>
        </is>
      </c>
      <c r="U20" s="18" t="inlineStr">
        <is>
          <t>What, setup, usage, config, contacts.</t>
        </is>
      </c>
      <c r="V20" s="18" t="inlineStr">
        <is>
          <t>A one-line purpose at the top.</t>
        </is>
      </c>
      <c r="W20" s="18" t="inlineStr">
        <is>
          <t>Numbered setup steps that work on a fresh machine.</t>
        </is>
      </c>
      <c r="X20" s="18" t="inlineStr">
        <is>
          <t>A link to the runbook for operations.</t>
        </is>
      </c>
      <c r="Y20" s="18" t="inlineStr">
        <is>
          <t>technical spec, runbook, handover document, decision log</t>
        </is>
      </c>
      <c r="Z20" s="18" t="inlineStr">
        <is>
          <t>README, setup, usage, onboarding, markdown</t>
        </is>
      </c>
      <c r="AA20" s="18" t="inlineStr">
        <is>
          <t>Repositories | Customer handover | Onboarding</t>
        </is>
      </c>
      <c r="AB20" s="18" t="inlineStr">
        <is>
          <t>A: How do I run this? | B: Follow the README, and tell me if any step fails.</t>
        </is>
      </c>
      <c r="AC20" s="18" t="inlineStr">
        <is>
          <t>✗ Documentation can wait until the end → ✓ A short README helps from the first day</t>
        </is>
      </c>
      <c r="AD20" s="18" t="inlineStr">
        <is>
          <t>README vs technical spec: how to start versus how it is designed.</t>
        </is>
      </c>
      <c r="AE20" s="18" t="inlineStr">
        <is>
          <t>Do not put passwords or keys in a README.</t>
        </is>
      </c>
      <c r="AF20" s="18" t="inlineStr">
        <is>
          <t>Purpose first, steps next, secrets never.</t>
        </is>
      </c>
      <c r="AG20" s="18" t="inlineStr">
        <is>
          <t>A tested README let a customer's engineer run the integration without a call.</t>
        </is>
      </c>
      <c r="AH20" s="18" t="inlineStr">
        <is>
          <t>An interviewer may ask: What belongs in a good README?</t>
        </is>
      </c>
      <c r="AI20" s="18" t="inlineStr">
        <is>
          <t>It is like the instructions on the box of a flat-pack cabinet.</t>
        </is>
      </c>
      <c r="AJ20" s="18" t="inlineStr">
        <is>
          <t>What should a README never contain?</t>
        </is>
      </c>
      <c r="AK20" s="18" t="inlineStr">
        <is>
          <t>A) Contacts B) Setup steps C) Secrets and keys D) A purpose line</t>
        </is>
      </c>
      <c r="AL20" s="18" t="inlineStr">
        <is>
          <t>C</t>
        </is>
      </c>
      <c r="AM20" s="18" t="inlineStr">
        <is>
          <t>Files are shared and stored widely, so secrets must stay out.</t>
        </is>
      </c>
      <c r="AN20" s="18" t="inlineStr">
        <is>
          <t>A good README begins with the project's ____ → purpose</t>
        </is>
      </c>
      <c r="AO20" s="18" t="inlineStr">
        <is>
          <t>A new engineer cannot start the project. Which file should have helped? → The README</t>
        </is>
      </c>
      <c r="AP20" s="18" t="inlineStr">
        <is>
          <t>Explain what a good README contains.</t>
        </is>
      </c>
      <c r="AQ20" s="18" t="inlineStr">
        <is>
          <t>Write a README outline of six headings for a small integration.</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108" customHeight="1">
      <c r="A21" s="17" t="inlineStr">
        <is>
          <t>REQ-019</t>
        </is>
      </c>
      <c r="B21" s="17" t="inlineStr">
        <is>
          <t>04 Documentation</t>
        </is>
      </c>
      <c r="C21" s="17" t="inlineStr">
        <is>
          <t>Intermediate</t>
        </is>
      </c>
      <c r="D21" s="17" t="n">
        <v>19</v>
      </c>
      <c r="E21" s="17" t="inlineStr">
        <is>
          <t>Claude knowledge</t>
        </is>
      </c>
      <c r="F21" s="18" t="inlineStr">
        <is>
          <t>Technical spec</t>
        </is>
      </c>
      <c r="G21" s="18" t="inlineStr">
        <is>
          <t>Which document explains how a solution will be built and why?</t>
        </is>
      </c>
      <c r="H21" s="18" t="inlineStr">
        <is>
          <t>Document</t>
        </is>
      </c>
      <c r="I21" s="18" t="inlineStr">
        <is>
          <t>High</t>
        </is>
      </c>
      <c r="J21" s="18" t="n">
        <v>4</v>
      </c>
      <c r="K21" s="18" t="inlineStr">
        <is>
          <t>Before building, teams need a shared plan that others can review, so mistakes are caught on paper instead of in code.</t>
        </is>
      </c>
      <c r="L21" s="18" t="inlineStr">
        <is>
          <t>Keep it short and focus on decisions, interfaces and risks, not every detail.</t>
        </is>
      </c>
      <c r="M21" s="18" t="inlineStr">
        <is>
          <t>A technical spec is the blueprint that is reviewed before the walls go up.</t>
        </is>
      </c>
      <c r="N21" s="18" t="inlineStr">
        <is>
          <t>A document with goal, design, interfaces, risks and open questions.</t>
        </is>
      </c>
      <c r="O21" s="18" t="inlineStr">
        <is>
          <t>The clarity of a plan everyone has read.</t>
        </is>
      </c>
      <c r="P21" s="18" t="inlineStr">
        <is>
          <t>A technical specification describes the goal, the proposed design, key interfaces and data flows, alternatives considered, risks, and open questions for a piece of work.</t>
        </is>
      </c>
      <c r="Q21" s="17" t="n"/>
      <c r="R21" s="18" t="inlineStr">
        <is>
          <t>A spec lets reviewers challenge the design before effort is spent. It should name what is out of scope, show how components connect, and state how the result will be tested. Alternatives and the reason for the choice help future readers. Keep it versioned and update it when the design changes, or label it as the original plan.</t>
        </is>
      </c>
      <c r="S21" s="18" t="inlineStr">
        <is>
          <t>Write down how you plan to build it so others can check the plan first.</t>
        </is>
      </c>
      <c r="T21" s="18" t="inlineStr">
        <is>
          <t>A technical spec is the blueprint that is reviewed before the walls go up.</t>
        </is>
      </c>
      <c r="U21" s="18" t="inlineStr">
        <is>
          <t>Goal, design, interfaces, alternatives, risks, tests.</t>
        </is>
      </c>
      <c r="V21" s="18" t="inlineStr">
        <is>
          <t>A diagram of data moving from the customer system to the product.</t>
        </is>
      </c>
      <c r="W21" s="18" t="inlineStr">
        <is>
          <t>A list of API calls and expected responses.</t>
        </is>
      </c>
      <c r="X21" s="18" t="inlineStr">
        <is>
          <t>A section on options considered and why one was chosen.</t>
        </is>
      </c>
      <c r="Y21" s="18" t="inlineStr">
        <is>
          <t>README, decision log, scoping, estimating</t>
        </is>
      </c>
      <c r="Z21" s="18" t="inlineStr">
        <is>
          <t>spec, design, interface, alternative, review</t>
        </is>
      </c>
      <c r="AA21" s="18" t="inlineStr">
        <is>
          <t>Design reviews | Integrations | Onboarding</t>
        </is>
      </c>
      <c r="AB21" s="18" t="inlineStr">
        <is>
          <t>A: Should we start coding now? | B: Share a short spec first so the customer's engineers can check it.</t>
        </is>
      </c>
      <c r="AC21" s="18" t="inlineStr">
        <is>
          <t>✗ A spec must be long to be useful → ✓ A short, clear spec is easier to review</t>
        </is>
      </c>
      <c r="AD21" s="18" t="inlineStr">
        <is>
          <t>Spec vs README: a design plan versus a how to run guide.</t>
        </is>
      </c>
      <c r="AE21" s="18" t="inlineStr">
        <is>
          <t>Do not leave a spec out of date without saying so.</t>
        </is>
      </c>
      <c r="AF21" s="18" t="inlineStr">
        <is>
          <t>Plan on paper, review, then build.</t>
        </is>
      </c>
      <c r="AG21" s="18" t="inlineStr">
        <is>
          <t>A two-page spec exposed a wrong data assumption before any code was written.</t>
        </is>
      </c>
      <c r="AH21" s="18" t="inlineStr">
        <is>
          <t>An interviewer may ask: What goes into a technical design document?</t>
        </is>
      </c>
      <c r="AI21" s="18" t="inlineStr">
        <is>
          <t>It is like a floor plan reviewed before construction.</t>
        </is>
      </c>
      <c r="AJ21" s="18" t="inlineStr">
        <is>
          <t>What helps future readers understand a design choice?</t>
        </is>
      </c>
      <c r="AK21" s="18" t="inlineStr">
        <is>
          <t>A) A logo B) Alternatives considered C) Bigger fonts D) A longer title</t>
        </is>
      </c>
      <c r="AL21" s="18" t="inlineStr">
        <is>
          <t>B</t>
        </is>
      </c>
      <c r="AM21" s="18" t="inlineStr">
        <is>
          <t>It shows why the chosen design beat the others.</t>
        </is>
      </c>
      <c r="AN21" s="18" t="inlineStr">
        <is>
          <t>A short, reviewed design plan is called a technical ____ → spec</t>
        </is>
      </c>
      <c r="AO21" s="18" t="inlineStr">
        <is>
          <t>You plan a custom integration. What do you write before coding? → A short technical spec</t>
        </is>
      </c>
      <c r="AP21" s="18" t="inlineStr">
        <is>
          <t>Explain what belongs in a technical spec.</t>
        </is>
      </c>
      <c r="AQ21" s="18" t="inlineStr">
        <is>
          <t>Outline a one-page spec for moving a customer's weekly report to automation.</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108" customHeight="1">
      <c r="A22" s="17" t="inlineStr">
        <is>
          <t>REQ-020</t>
        </is>
      </c>
      <c r="B22" s="17" t="inlineStr">
        <is>
          <t>04 Documentation</t>
        </is>
      </c>
      <c r="C22" s="17" t="inlineStr">
        <is>
          <t>Intermediate</t>
        </is>
      </c>
      <c r="D22" s="17" t="n">
        <v>20</v>
      </c>
      <c r="E22" s="17" t="inlineStr">
        <is>
          <t>Claude knowledge</t>
        </is>
      </c>
      <c r="F22" s="18" t="inlineStr">
        <is>
          <t>Runbook</t>
        </is>
      </c>
      <c r="G22" s="18" t="inlineStr">
        <is>
          <t>Which document tells someone exactly what to do when something goes wrong?</t>
        </is>
      </c>
      <c r="H22" s="18" t="inlineStr">
        <is>
          <t>Document</t>
        </is>
      </c>
      <c r="I22" s="18" t="inlineStr">
        <is>
          <t>High</t>
        </is>
      </c>
      <c r="J22" s="18" t="n">
        <v>5</v>
      </c>
      <c r="K22" s="18" t="inlineStr">
        <is>
          <t>Problems often happen at night or when the builder is away, so steps must be written for a person who did not build the system.</t>
        </is>
      </c>
      <c r="L22" s="18" t="inlineStr">
        <is>
          <t>Write each step so a tired person at three in the morning could follow it.</t>
        </is>
      </c>
      <c r="M22" s="18" t="inlineStr">
        <is>
          <t>A runbook is the emergency card in the aeroplane seat pocket.</t>
        </is>
      </c>
      <c r="N22" s="18" t="inlineStr">
        <is>
          <t>A numbered page of symptoms, checks and fixes.</t>
        </is>
      </c>
      <c r="O22" s="18" t="inlineStr">
        <is>
          <t>The calm of knowing what to do under pressure.</t>
        </is>
      </c>
      <c r="P22" s="18" t="inlineStr">
        <is>
          <t>A runbook is a step-by-step guide for operating a system and handling known problems, listing symptoms, checks, fixes, escalation contacts and how to confirm recovery.</t>
        </is>
      </c>
      <c r="Q22" s="17" t="n"/>
      <c r="R22" s="18" t="inlineStr">
        <is>
          <t>Organise by symptom, such as job did not run, then give the checks in order, the fix, and how to confirm it worked. Include who to contact if the steps fail and where logs are. Keep commands copy-ready, and test the runbook in a calm moment. Review it after every incident, and mark owners and last-reviewed dates.</t>
        </is>
      </c>
      <c r="S22" s="18" t="inlineStr">
        <is>
          <t>Write the exact steps to follow when the system has a known problem.</t>
        </is>
      </c>
      <c r="T22" s="18" t="inlineStr">
        <is>
          <t>A runbook is the emergency card in the aeroplane seat pocket.</t>
        </is>
      </c>
      <c r="U22" s="18" t="inlineStr">
        <is>
          <t>Symptom, checks, fix, confirm, escalate.</t>
        </is>
      </c>
      <c r="V22" s="18" t="inlineStr">
        <is>
          <t>Steps to restart a failed nightly job.</t>
        </is>
      </c>
      <c r="W22" s="18" t="inlineStr">
        <is>
          <t>How to check where logs are for an integration.</t>
        </is>
      </c>
      <c r="X22" s="18" t="inlineStr">
        <is>
          <t>Who to call if the fix does not work.</t>
        </is>
      </c>
      <c r="Y22" s="18" t="inlineStr">
        <is>
          <t>README, handover document, postmortems, five whys</t>
        </is>
      </c>
      <c r="Z22" s="18" t="inlineStr">
        <is>
          <t>runbook, symptom, escalation, recovery, owner</t>
        </is>
      </c>
      <c r="AA22" s="18" t="inlineStr">
        <is>
          <t>Operations | Handover | On-call</t>
        </is>
      </c>
      <c r="AB22" s="18" t="inlineStr">
        <is>
          <t>A: The nightly job failed again. | B: Check the runbook entry for it before you escalate.</t>
        </is>
      </c>
      <c r="AC22" s="18" t="inlineStr">
        <is>
          <t>✗ Only the builder needs to know how to fix things → ✓ Others must be able to recover the system from written steps</t>
        </is>
      </c>
      <c r="AD22" s="18" t="inlineStr">
        <is>
          <t>Runbook vs README: operating and fixing versus setup and use.</t>
        </is>
      </c>
      <c r="AE22" s="18" t="inlineStr">
        <is>
          <t>Do not write steps that need hidden knowledge.</t>
        </is>
      </c>
      <c r="AF22" s="18" t="inlineStr">
        <is>
          <t>Symptom, check, fix, confirm, escalate.</t>
        </is>
      </c>
      <c r="AG22" s="18" t="inlineStr">
        <is>
          <t>A runbook let the customer's team restart a failed job without calling anyone.</t>
        </is>
      </c>
      <c r="AH22" s="18" t="inlineStr">
        <is>
          <t>An interviewer may ask: What would you put in a runbook?</t>
        </is>
      </c>
      <c r="AI22" s="18" t="inlineStr">
        <is>
          <t>It is like an emergency card with the exact steps to follow.</t>
        </is>
      </c>
      <c r="AJ22" s="18" t="inlineStr">
        <is>
          <t>How is a runbook best organised?</t>
        </is>
      </c>
      <c r="AK22" s="18" t="inlineStr">
        <is>
          <t>A) By author B) By alphabet only C) By colour D) By symptom</t>
        </is>
      </c>
      <c r="AL22" s="18" t="inlineStr">
        <is>
          <t>D</t>
        </is>
      </c>
      <c r="AM22" s="18" t="inlineStr">
        <is>
          <t>People start from what they see going wrong.</t>
        </is>
      </c>
      <c r="AN22" s="18" t="inlineStr">
        <is>
          <t>The step that checks that a fix really worked is the ____ step → confirm</t>
        </is>
      </c>
      <c r="AO22" s="18" t="inlineStr">
        <is>
          <t>A job fails at night and the builder is away. What helps the on-call person? → A runbook</t>
        </is>
      </c>
      <c r="AP22" s="18" t="inlineStr">
        <is>
          <t>Explain what a good runbook entry contains.</t>
        </is>
      </c>
      <c r="AQ22" s="18" t="inlineStr">
        <is>
          <t>Write a runbook entry for a failed nightly import in six steps.</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108" customHeight="1">
      <c r="A23" s="17" t="inlineStr">
        <is>
          <t>REQ-021</t>
        </is>
      </c>
      <c r="B23" s="17" t="inlineStr">
        <is>
          <t>04 Documentation</t>
        </is>
      </c>
      <c r="C23" s="17" t="inlineStr">
        <is>
          <t>Intermediate</t>
        </is>
      </c>
      <c r="D23" s="17" t="n">
        <v>21</v>
      </c>
      <c r="E23" s="17" t="inlineStr">
        <is>
          <t>Claude knowledge</t>
        </is>
      </c>
      <c r="F23" s="18" t="inlineStr">
        <is>
          <t>Decision log</t>
        </is>
      </c>
      <c r="G23" s="18" t="inlineStr">
        <is>
          <t>Which record keeps a history of what was decided and why?</t>
        </is>
      </c>
      <c r="H23" s="18" t="inlineStr">
        <is>
          <t>Document</t>
        </is>
      </c>
      <c r="I23" s="18" t="inlineStr">
        <is>
          <t>High</t>
        </is>
      </c>
      <c r="J23" s="18" t="n">
        <v>4</v>
      </c>
      <c r="K23" s="18" t="inlineStr">
        <is>
          <t>Months later nobody remembers why a choice was made, so decisions are written down with their reasons.</t>
        </is>
      </c>
      <c r="L23" s="18" t="inlineStr">
        <is>
          <t>Record the date, the decision, the reason, the alternatives and who agreed.</t>
        </is>
      </c>
      <c r="M23" s="18" t="inlineStr">
        <is>
          <t>A decision log is the ship's logbook of choices made at sea.</t>
        </is>
      </c>
      <c r="N23" s="18" t="inlineStr">
        <is>
          <t>A table with date, decision, reason, alternatives and owner.</t>
        </is>
      </c>
      <c r="O23" s="18" t="inlineStr">
        <is>
          <t>The comfort of a clear paper trail.</t>
        </is>
      </c>
      <c r="P23" s="18" t="inlineStr">
        <is>
          <t>A decision log is a dated list of important decisions, each with its reason, alternatives considered, owner and status, so later readers know why things are as they are.</t>
        </is>
      </c>
      <c r="Q23" s="17" t="n"/>
      <c r="R23" s="18" t="inlineStr">
        <is>
          <t>Log decisions that affect scope, design, cost or risk. When a decision changes, mark the old entry as superseded and link to the new one, rather than deleting it. This avoids repeating old debates and helps new team members. Share the log with the customer where decisions involve them, so there is agreement on what was chosen.</t>
        </is>
      </c>
      <c r="S23" s="18" t="inlineStr">
        <is>
          <t>Write down what was decided, why, and by whom.</t>
        </is>
      </c>
      <c r="T23" s="18" t="inlineStr">
        <is>
          <t>A decision log is the ship's logbook of choices made at sea.</t>
        </is>
      </c>
      <c r="U23" s="18" t="inlineStr">
        <is>
          <t>Date, decision, reason, alternatives, owner, status.</t>
        </is>
      </c>
      <c r="V23" s="18" t="inlineStr">
        <is>
          <t>Choosing a nightly import over a live feed, with the reason.</t>
        </is>
      </c>
      <c r="W23" s="18" t="inlineStr">
        <is>
          <t>Marking an earlier choice as superseded.</t>
        </is>
      </c>
      <c r="X23" s="18" t="inlineStr">
        <is>
          <t>Recording that the customer approved a data retention period.</t>
        </is>
      </c>
      <c r="Y23" s="18" t="inlineStr">
        <is>
          <t>technical spec, change requests, meeting notes, handover document</t>
        </is>
      </c>
      <c r="Z23" s="18" t="inlineStr">
        <is>
          <t>decision, rationale, superseded, owner, history</t>
        </is>
      </c>
      <c r="AA23" s="18" t="inlineStr">
        <is>
          <t>Projects | Handover | Audits</t>
        </is>
      </c>
      <c r="AB23" s="18" t="inlineStr">
        <is>
          <t>A: Why did we choose the nightly import? | B: It is in the decision log with the alternatives.</t>
        </is>
      </c>
      <c r="AC23" s="18" t="inlineStr">
        <is>
          <t>✗ Decisions are obvious and need no record → ✓ They are forgotten or disputed without a record</t>
        </is>
      </c>
      <c r="AD23" s="18" t="inlineStr">
        <is>
          <t>Decision log vs meeting notes: final choices versus a record of discussion.</t>
        </is>
      </c>
      <c r="AE23" s="18" t="inlineStr">
        <is>
          <t>Do not delete old decisions when they change.</t>
        </is>
      </c>
      <c r="AF23" s="18" t="inlineStr">
        <is>
          <t>Log the choice and the reason.</t>
        </is>
      </c>
      <c r="AG23" s="18" t="inlineStr">
        <is>
          <t>A decision log ended a repeated argument about a data retention period.</t>
        </is>
      </c>
      <c r="AH23" s="18" t="inlineStr">
        <is>
          <t>An interviewer may ask: Why keep a decision log?</t>
        </is>
      </c>
      <c r="AI23" s="18" t="inlineStr">
        <is>
          <t>It is like a diary of why you chose each route.</t>
        </is>
      </c>
      <c r="AJ23" s="18" t="inlineStr">
        <is>
          <t>How should a changed decision be handled?</t>
        </is>
      </c>
      <c r="AK23" s="18" t="inlineStr">
        <is>
          <t>A) Hide it B) Delete it C) Ignore it D) Mark it superseded and add the new one</t>
        </is>
      </c>
      <c r="AL23" s="18" t="inlineStr">
        <is>
          <t>D</t>
        </is>
      </c>
      <c r="AM23" s="18" t="inlineStr">
        <is>
          <t>The history shows how and why choices changed.</t>
        </is>
      </c>
      <c r="AN23" s="18" t="inlineStr">
        <is>
          <t>An old decision replaced by a new one is marked ____ → superseded</t>
        </is>
      </c>
      <c r="AO23" s="18" t="inlineStr">
        <is>
          <t>A customer asks why you chose a nightly import. Where do you look? → The decision log</t>
        </is>
      </c>
      <c r="AP23" s="18" t="inlineStr">
        <is>
          <t>Explain what each decision log entry should contain.</t>
        </is>
      </c>
      <c r="AQ23" s="18" t="inlineStr">
        <is>
          <t>Write three decision log entries for a customer project you know.</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108" customHeight="1">
      <c r="A24" s="17" t="inlineStr">
        <is>
          <t>REQ-022</t>
        </is>
      </c>
      <c r="B24" s="17" t="inlineStr">
        <is>
          <t>04 Documentation</t>
        </is>
      </c>
      <c r="C24" s="17" t="inlineStr">
        <is>
          <t>Beginner</t>
        </is>
      </c>
      <c r="D24" s="17" t="n">
        <v>22</v>
      </c>
      <c r="E24" s="17" t="inlineStr">
        <is>
          <t>Claude knowledge</t>
        </is>
      </c>
      <c r="F24" s="18" t="inlineStr">
        <is>
          <t>Meeting notes</t>
        </is>
      </c>
      <c r="G24" s="18" t="inlineStr">
        <is>
          <t>How do you turn a meeting into a useful written record?</t>
        </is>
      </c>
      <c r="H24" s="18" t="inlineStr">
        <is>
          <t>Document</t>
        </is>
      </c>
      <c r="I24" s="18" t="inlineStr">
        <is>
          <t>Very high</t>
        </is>
      </c>
      <c r="J24" s="18" t="n">
        <v>4</v>
      </c>
      <c r="K24" s="18" t="inlineStr">
        <is>
          <t>Verbal agreements fade and are remembered differently, so notes make decisions and actions visible to everyone.</t>
        </is>
      </c>
      <c r="L24" s="18" t="inlineStr">
        <is>
          <t>Send the notes within a day, and highlight decisions and actions with owners and dates.</t>
        </is>
      </c>
      <c r="M24" s="18" t="inlineStr">
        <is>
          <t>Meeting notes are the receipt that proves what was agreed.</t>
        </is>
      </c>
      <c r="N24" s="18" t="inlineStr">
        <is>
          <t>A page with attendees, decisions, actions and dates.</t>
        </is>
      </c>
      <c r="O24" s="18" t="inlineStr">
        <is>
          <t>The reassurance of an agreed record.</t>
        </is>
      </c>
      <c r="P24" s="18" t="inlineStr">
        <is>
          <t>Meeting notes are a short written record of who attended, what was discussed, which decisions were made, and which actions are owned by whom and due when.</t>
        </is>
      </c>
      <c r="Q24" s="17" t="n"/>
      <c r="R24" s="18" t="inlineStr">
        <is>
          <t>Capture decisions and actions first, then key points and open questions. Use names and dates for every action. Send the notes soon after, and invite corrections. Do not record sensitive remarks that do not belong in a shared document. For customer meetings, notes also serve as confirmation of scope and expectations.</t>
        </is>
      </c>
      <c r="S24" s="18" t="inlineStr">
        <is>
          <t>Write down decisions and actions, with names and dates, and send them quickly.</t>
        </is>
      </c>
      <c r="T24" s="18" t="inlineStr">
        <is>
          <t>Meeting notes are the receipt that proves what was agreed.</t>
        </is>
      </c>
      <c r="U24" s="18" t="inlineStr">
        <is>
          <t>Attendees, decisions, actions with owner and date, open questions.</t>
        </is>
      </c>
      <c r="V24" s="18" t="inlineStr">
        <is>
          <t>A list of actions with names and due dates.</t>
        </is>
      </c>
      <c r="W24" s="18" t="inlineStr">
        <is>
          <t>A decision to use a nightly import.</t>
        </is>
      </c>
      <c r="X24" s="18" t="inlineStr">
        <is>
          <t>An open question about data access.</t>
        </is>
      </c>
      <c r="Y24" s="18" t="inlineStr">
        <is>
          <t>decision log, status updates, handover document, expectation setting</t>
        </is>
      </c>
      <c r="Z24" s="18" t="inlineStr">
        <is>
          <t>notes, action, owner, decision, follow-up</t>
        </is>
      </c>
      <c r="AA24" s="18" t="inlineStr">
        <is>
          <t>Customer meetings | Project reviews | Workshops</t>
        </is>
      </c>
      <c r="AB24" s="18" t="inlineStr">
        <is>
          <t>A: What did we agree on the call? | B: It is in the notes I sent yesterday.</t>
        </is>
      </c>
      <c r="AC24" s="18" t="inlineStr">
        <is>
          <t>✗ Everyone remembers the same decisions → ✓ People remember meetings differently without a record</t>
        </is>
      </c>
      <c r="AD24" s="18" t="inlineStr">
        <is>
          <t>Notes vs decision log: a record of one meeting versus a permanent list of decisions.</t>
        </is>
      </c>
      <c r="AE24" s="18" t="inlineStr">
        <is>
          <t>Do not write notes that name no owner for an action.</t>
        </is>
      </c>
      <c r="AF24" s="18" t="inlineStr">
        <is>
          <t>Decisions first, then actions, owners and dates.</t>
        </is>
      </c>
      <c r="AG24" s="18" t="inlineStr">
        <is>
          <t>Prompt notes with named owners got a stuck data request moving within days.</t>
        </is>
      </c>
      <c r="AH24" s="18" t="inlineStr">
        <is>
          <t>An interviewer may ask: How do you follow up after a customer meeting?</t>
        </is>
      </c>
      <c r="AI24" s="18" t="inlineStr">
        <is>
          <t>It is like keeping a receipt after a purchase.</t>
        </is>
      </c>
      <c r="AJ24" s="18" t="inlineStr">
        <is>
          <t>What must each action in the notes have?</t>
        </is>
      </c>
      <c r="AK24" s="18" t="inlineStr">
        <is>
          <t>A) A colour B) An owner and a date C) A long story D) A joke</t>
        </is>
      </c>
      <c r="AL24" s="18" t="inlineStr">
        <is>
          <t>B</t>
        </is>
      </c>
      <c r="AM24" s="18" t="inlineStr">
        <is>
          <t>Without both, actions are easily forgotten.</t>
        </is>
      </c>
      <c r="AN24" s="18" t="inlineStr">
        <is>
          <t>A task assigned in a meeting is recorded as an ____ → action</t>
        </is>
      </c>
      <c r="AO24" s="18" t="inlineStr">
        <is>
          <t>A call ends with several tasks. What do you send afterwards? → Notes with decisions and actions with owners and dates</t>
        </is>
      </c>
      <c r="AP24" s="18" t="inlineStr">
        <is>
          <t>Explain how to write useful meeting notes.</t>
        </is>
      </c>
      <c r="AQ24" s="18" t="inlineStr">
        <is>
          <t>Write sample notes with two decisions and three actions for an imagined kick-off.</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121.5" customHeight="1">
      <c r="A25" s="17" t="inlineStr">
        <is>
          <t>REQ-023</t>
        </is>
      </c>
      <c r="B25" s="17" t="inlineStr">
        <is>
          <t>04 Documentation</t>
        </is>
      </c>
      <c r="C25" s="17" t="inlineStr">
        <is>
          <t>Intermediate</t>
        </is>
      </c>
      <c r="D25" s="17" t="n">
        <v>23</v>
      </c>
      <c r="E25" s="17" t="inlineStr">
        <is>
          <t>Claude knowledge</t>
        </is>
      </c>
      <c r="F25" s="18" t="inlineStr">
        <is>
          <t>Handover document</t>
        </is>
      </c>
      <c r="G25" s="18" t="inlineStr">
        <is>
          <t>Which document lets another team take over your work without you?</t>
        </is>
      </c>
      <c r="H25" s="18" t="inlineStr">
        <is>
          <t>Document</t>
        </is>
      </c>
      <c r="I25" s="18" t="inlineStr">
        <is>
          <t>High</t>
        </is>
      </c>
      <c r="J25" s="18" t="n">
        <v>5</v>
      </c>
      <c r="K25" s="18" t="inlineStr">
        <is>
          <t>People change roles and projects end, so everything the next team needs must be written down and checked.</t>
        </is>
      </c>
      <c r="L25" s="18" t="inlineStr">
        <is>
          <t>Do the handover as a short walkthrough, and then ask the receiver to run something themselves.</t>
        </is>
      </c>
      <c r="M25" s="18" t="inlineStr">
        <is>
          <t>A handover document is the baton that must be handed over, not dropped.</t>
        </is>
      </c>
      <c r="N25" s="18" t="inlineStr">
        <is>
          <t>A folder with architecture, access, runbook, contacts and open issues.</t>
        </is>
      </c>
      <c r="O25" s="18" t="inlineStr">
        <is>
          <t>The pride of leaving work in good hands.</t>
        </is>
      </c>
      <c r="P25" s="18" t="inlineStr">
        <is>
          <t>A handover document gives a receiving team what they need to own a system or project, including what was built, how it works, how to run and fix it, who to contact, and what remains open.</t>
        </is>
      </c>
      <c r="Q25" s="17" t="n"/>
      <c r="R25" s="18" t="inlineStr">
        <is>
          <t>Include a summary of goals and the final scope, an architecture sketch, where code and configuration live, how access is granted without sharing secrets, links to the runbook and decision log, known issues, planned next steps and contacts. Walk through it with the receiving team and let them try the main tasks. Agree a short period of support after the handover.</t>
        </is>
      </c>
      <c r="S25" s="18" t="inlineStr">
        <is>
          <t>Write everything a new team needs to run and fix what you built.</t>
        </is>
      </c>
      <c r="T25" s="18" t="inlineStr">
        <is>
          <t>A handover document is the baton that must be handed over, not dropped.</t>
        </is>
      </c>
      <c r="U25" s="18" t="inlineStr">
        <is>
          <t>What, how, where, who, what is open.</t>
        </is>
      </c>
      <c r="V25" s="18" t="inlineStr">
        <is>
          <t>A list of systems with owners and contacts.</t>
        </is>
      </c>
      <c r="W25" s="18" t="inlineStr">
        <is>
          <t>Links to the runbook and decision log.</t>
        </is>
      </c>
      <c r="X25" s="18" t="inlineStr">
        <is>
          <t>A list of known issues and next steps.</t>
        </is>
      </c>
      <c r="Y25" s="18" t="inlineStr">
        <is>
          <t>README, runbook, decision log, meeting notes</t>
        </is>
      </c>
      <c r="Z25" s="18" t="inlineStr">
        <is>
          <t>handover, ownership, access, contacts, support period</t>
        </is>
      </c>
      <c r="AA25" s="18" t="inlineStr">
        <is>
          <t>Project end | Role changes | Customer go-live</t>
        </is>
      </c>
      <c r="AB25" s="18" t="inlineStr">
        <is>
          <t>A: Who owns the integration after you leave? | B: The customer's team, using the handover document and a walkthrough.</t>
        </is>
      </c>
      <c r="AC25" s="18" t="inlineStr">
        <is>
          <t>✗ A handover is a one-hour meeting → ✓ It needs documents, a walkthrough and the receiver trying tasks</t>
        </is>
      </c>
      <c r="AD25" s="18" t="inlineStr">
        <is>
          <t>Handover vs README: full ownership transfer versus a start guide.</t>
        </is>
      </c>
      <c r="AE25" s="18" t="inlineStr">
        <is>
          <t>Do not hand over passwords in a document.</t>
        </is>
      </c>
      <c r="AF25" s="18" t="inlineStr">
        <is>
          <t>Document it, walk through it, let them try.</t>
        </is>
      </c>
      <c r="AG25" s="18" t="inlineStr">
        <is>
          <t>A walkthrough plus a document let a customer team own an integration alone.</t>
        </is>
      </c>
      <c r="AH25" s="18" t="inlineStr">
        <is>
          <t>An interviewer may ask: How do you hand over a project to a customer?</t>
        </is>
      </c>
      <c r="AI25" s="18" t="inlineStr">
        <is>
          <t>It is like handing over a house with keys, manuals and neighbour contacts.</t>
        </is>
      </c>
      <c r="AJ25" s="18" t="inlineStr">
        <is>
          <t>What proves a handover worked?</t>
        </is>
      </c>
      <c r="AK25" s="18" t="inlineStr">
        <is>
          <t>A) A slide B) A long email C) The receiver runs tasks alone D) A signed photo</t>
        </is>
      </c>
      <c r="AL25" s="18" t="inlineStr">
        <is>
          <t>C</t>
        </is>
      </c>
      <c r="AM25" s="18" t="inlineStr">
        <is>
          <t>Real ownership shows when the receiver can operate it.</t>
        </is>
      </c>
      <c r="AN25" s="18" t="inlineStr">
        <is>
          <t>A short period of help after handover is a ____ period → support</t>
        </is>
      </c>
      <c r="AO25" s="18" t="inlineStr">
        <is>
          <t>A project ends and a customer team takes over. What do you prepare? → A handover document and a walkthrough</t>
        </is>
      </c>
      <c r="AP25" s="18" t="inlineStr">
        <is>
          <t>Explain what a handover document should include.</t>
        </is>
      </c>
      <c r="AQ25" s="18" t="inlineStr">
        <is>
          <t>List the ten headings of a handover document for an integration.</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108" customHeight="1">
      <c r="A26" s="17" t="inlineStr">
        <is>
          <t>REQ-024</t>
        </is>
      </c>
      <c r="B26" s="17" t="inlineStr">
        <is>
          <t>05 Communication</t>
        </is>
      </c>
      <c r="C26" s="17" t="inlineStr">
        <is>
          <t>Beginner</t>
        </is>
      </c>
      <c r="D26" s="17" t="n">
        <v>24</v>
      </c>
      <c r="E26" s="17" t="inlineStr">
        <is>
          <t>Claude knowledge</t>
        </is>
      </c>
      <c r="F26" s="18" t="inlineStr">
        <is>
          <t>Demos</t>
        </is>
      </c>
      <c r="G26" s="18" t="inlineStr">
        <is>
          <t>How do you show your work so the customer sees its value?</t>
        </is>
      </c>
      <c r="H26" s="18" t="inlineStr">
        <is>
          <t>Skill</t>
        </is>
      </c>
      <c r="I26" s="18" t="inlineStr">
        <is>
          <t>Very high</t>
        </is>
      </c>
      <c r="J26" s="18" t="n">
        <v>5</v>
      </c>
      <c r="K26" s="18" t="inlineStr">
        <is>
          <t>Customers judge by what they see, so a clear demo shows value quickly and builds trust.</t>
        </is>
      </c>
      <c r="L26" s="18" t="inlineStr">
        <is>
          <t>Rehearse with real data and have a backup plan if the live system fails.</t>
        </is>
      </c>
      <c r="M26" s="18" t="inlineStr">
        <is>
          <t>A demo is a short story where the customer's problem gets solved on screen.</t>
        </is>
      </c>
      <c r="N26" s="18" t="inlineStr">
        <is>
          <t>A screen showing a customer's problem and its solution in three steps.</t>
        </is>
      </c>
      <c r="O26" s="18" t="inlineStr">
        <is>
          <t>The pride of showing a working solution.</t>
        </is>
      </c>
      <c r="P26" s="18" t="inlineStr">
        <is>
          <t>A demo is a short, prepared walkthrough that shows the customer's own problem being solved, focusing on outcomes they care about rather than every feature.</t>
        </is>
      </c>
      <c r="Q26" s="17" t="n"/>
      <c r="R26" s="18" t="inlineStr">
        <is>
          <t>Start with the customer's goal in their words, show the main workflow end to end, and finish by connecting it to their success measures. Use realistic data that the customer recognises. Keep it short and leave time for questions. Prepare for failure with screenshots or a recorded video as backup. Note questions and follow-ups for later.</t>
        </is>
      </c>
      <c r="S26" s="18" t="inlineStr">
        <is>
          <t>Show the customer's problem being solved, not a tour of every button.</t>
        </is>
      </c>
      <c r="T26" s="18" t="inlineStr">
        <is>
          <t>A demo is a short story where the customer's problem gets solved on screen.</t>
        </is>
      </c>
      <c r="U26" s="18" t="inlineStr">
        <is>
          <t>Goal, workflow, outcome, questions.</t>
        </is>
      </c>
      <c r="V26" s="18" t="inlineStr">
        <is>
          <t>Starting with the weekly report that takes two days.</t>
        </is>
      </c>
      <c r="W26" s="18" t="inlineStr">
        <is>
          <t>Showing the same report built automatically.</t>
        </is>
      </c>
      <c r="X26" s="18" t="inlineStr">
        <is>
          <t>Using a backup recording when the network fails.</t>
        </is>
      </c>
      <c r="Y26" s="18" t="inlineStr">
        <is>
          <t>discovery calls, success measures, status updates, expectation setting</t>
        </is>
      </c>
      <c r="Z26" s="18" t="inlineStr">
        <is>
          <t>demo, walkthrough, backup, outcome, feedback</t>
        </is>
      </c>
      <c r="AA26" s="18" t="inlineStr">
        <is>
          <t>Proposals | Reviews | Go-live</t>
        </is>
      </c>
      <c r="AB26" s="18" t="inlineStr">
        <is>
          <t>A: Should I show every feature? | B: Show only the path that solves their problem.</t>
        </is>
      </c>
      <c r="AC26" s="18" t="inlineStr">
        <is>
          <t>✗ A good demo shows every feature → ✓ A good demo shows the customer's problem solved</t>
        </is>
      </c>
      <c r="AD26" s="18" t="inlineStr">
        <is>
          <t>Demo vs training: a short proof of value versus teaching people to use the tool.</t>
        </is>
      </c>
      <c r="AE26" s="18" t="inlineStr">
        <is>
          <t>Do not demo with untested data or without a backup plan.</t>
        </is>
      </c>
      <c r="AF26" s="18" t="inlineStr">
        <is>
          <t>Their problem, your solution, short.</t>
        </is>
      </c>
      <c r="AG26" s="18" t="inlineStr">
        <is>
          <t>A rehearsed demo on the customer's sample data won approval for the next phase.</t>
        </is>
      </c>
      <c r="AH26" s="18" t="inlineStr">
        <is>
          <t>An interviewer may ask: How do you prepare a customer demo?</t>
        </is>
      </c>
      <c r="AI26" s="18" t="inlineStr">
        <is>
          <t>It is like telling a short story where the hero solves their problem.</t>
        </is>
      </c>
      <c r="AJ26" s="18" t="inlineStr">
        <is>
          <t>What should a demo start with?</t>
        </is>
      </c>
      <c r="AK26" s="18" t="inlineStr">
        <is>
          <t>A) The customer's goal B) The price list C) The code D) A joke</t>
        </is>
      </c>
      <c r="AL26" s="18" t="inlineStr">
        <is>
          <t>A</t>
        </is>
      </c>
      <c r="AM26" s="18" t="inlineStr">
        <is>
          <t>It connects the demo to what the customer cares about.</t>
        </is>
      </c>
      <c r="AN26" s="18" t="inlineStr">
        <is>
          <t>A recorded video used if the live demo fails is a ____ plan → backup</t>
        </is>
      </c>
      <c r="AO26" s="18" t="inlineStr">
        <is>
          <t>A customer wants to see what you built. What do you show first? → Their problem and goal</t>
        </is>
      </c>
      <c r="AP26" s="18" t="inlineStr">
        <is>
          <t>Explain how you would plan a ten-minute demo.</t>
        </is>
      </c>
      <c r="AQ26" s="18" t="inlineStr">
        <is>
          <t>Plan a ten-minute demo in five steps for a reporting automation.</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row r="27" ht="108" customHeight="1">
      <c r="A27" s="17" t="inlineStr">
        <is>
          <t>REQ-025</t>
        </is>
      </c>
      <c r="B27" s="17" t="inlineStr">
        <is>
          <t>05 Communication</t>
        </is>
      </c>
      <c r="C27" s="17" t="inlineStr">
        <is>
          <t>Beginner</t>
        </is>
      </c>
      <c r="D27" s="17" t="n">
        <v>25</v>
      </c>
      <c r="E27" s="17" t="inlineStr">
        <is>
          <t>Claude knowledge</t>
        </is>
      </c>
      <c r="F27" s="18" t="inlineStr">
        <is>
          <t>Status updates</t>
        </is>
      </c>
      <c r="G27" s="18" t="inlineStr">
        <is>
          <t>How do you keep customers and managers informed without long meetings?</t>
        </is>
      </c>
      <c r="H27" s="18" t="inlineStr">
        <is>
          <t>Skill</t>
        </is>
      </c>
      <c r="I27" s="18" t="inlineStr">
        <is>
          <t>Very high</t>
        </is>
      </c>
      <c r="J27" s="18" t="n">
        <v>5</v>
      </c>
      <c r="K27" s="18" t="inlineStr">
        <is>
          <t>Silence breeds worry, so short regular updates build trust even when progress is slow.</t>
        </is>
      </c>
      <c r="L27" s="18" t="inlineStr">
        <is>
          <t>Send updates on a fixed rhythm, and lead with what changed and what you need.</t>
        </is>
      </c>
      <c r="M27" s="18" t="inlineStr">
        <is>
          <t>A postcard from the road tells friends where you are and what is next.</t>
        </is>
      </c>
      <c r="N27" s="18" t="inlineStr">
        <is>
          <t>A short message with done, next, blockers and asks.</t>
        </is>
      </c>
      <c r="O27" s="18" t="inlineStr">
        <is>
          <t>The calm of people who know where things stand.</t>
        </is>
      </c>
      <c r="P27" s="18" t="inlineStr">
        <is>
          <t>A status update is a short, regular message that says what was done, what comes next, what is blocking progress, and what help or decisions are needed.</t>
        </is>
      </c>
      <c r="Q27" s="17" t="n"/>
      <c r="R27" s="18" t="inlineStr">
        <is>
          <t>Keep it brief and consistent. Use plain language rather than internal jargon. Include a clear overall status, such as on track, at risk or blocked, with a reason. Mention dates and decisions needed with names. Share bad news early. Link to detail for people who want it, but make the first lines readable on their own.</t>
        </is>
      </c>
      <c r="S27" s="18" t="inlineStr">
        <is>
          <t>Tell people what is done, what is next, what is stuck and what you need.</t>
        </is>
      </c>
      <c r="T27" s="18" t="inlineStr">
        <is>
          <t>A status update is a short postcard from the project.</t>
        </is>
      </c>
      <c r="U27" s="18" t="inlineStr">
        <is>
          <t>Status, done, next, blockers, asks.</t>
        </is>
      </c>
      <c r="V27" s="18" t="inlineStr">
        <is>
          <t>Status at risk because test access is late.</t>
        </is>
      </c>
      <c r="W27" s="18" t="inlineStr">
        <is>
          <t>A request for a decision by Friday.</t>
        </is>
      </c>
      <c r="X27" s="18" t="inlineStr">
        <is>
          <t>A list of next week's three goals.</t>
        </is>
      </c>
      <c r="Y27" s="18" t="inlineStr">
        <is>
          <t>success measures, bad news, expectation setting, assumptions and risks</t>
        </is>
      </c>
      <c r="Z27" s="18" t="inlineStr">
        <is>
          <t>status, blocker, ask, update, rhythm</t>
        </is>
      </c>
      <c r="AA27" s="18" t="inlineStr">
        <is>
          <t>Weekly reports | Customer emails | Stand-ups</t>
        </is>
      </c>
      <c r="AB27" s="18" t="inlineStr">
        <is>
          <t>A: Why did nobody tell us it was delayed? | B: We should have flagged it in the last update.</t>
        </is>
      </c>
      <c r="AC27" s="18" t="inlineStr">
        <is>
          <t>✗ No news is good news → ✓ Silence makes customers assume the worst</t>
        </is>
      </c>
      <c r="AD27" s="18" t="inlineStr">
        <is>
          <t>Status vs report: a short update versus a full analysis.</t>
        </is>
      </c>
      <c r="AE27" s="18" t="inlineStr">
        <is>
          <t>Do not hide a blocker until it becomes a crisis.</t>
        </is>
      </c>
      <c r="AF27" s="18" t="inlineStr">
        <is>
          <t>Done, next, blocked, and what you need.</t>
        </is>
      </c>
      <c r="AG27" s="18" t="inlineStr">
        <is>
          <t>Weekly three-line updates kept a customer calm during a data delay.</t>
        </is>
      </c>
      <c r="AH27" s="18" t="inlineStr">
        <is>
          <t>An interviewer may ask: How do you communicate project progress?</t>
        </is>
      </c>
      <c r="AI27" s="18" t="inlineStr">
        <is>
          <t>It is like a short message saying where you are on a journey.</t>
        </is>
      </c>
      <c r="AJ27" s="18" t="inlineStr">
        <is>
          <t>Which item belongs in a status update?</t>
        </is>
      </c>
      <c r="AK27" s="18" t="inlineStr">
        <is>
          <t>A) Blockers and asks B) Long code C) Private notes D) Gossip</t>
        </is>
      </c>
      <c r="AL27" s="18" t="inlineStr">
        <is>
          <t>A</t>
        </is>
      </c>
      <c r="AM27" s="18" t="inlineStr">
        <is>
          <t>The reader needs to know what could stop progress and what is needed.</t>
        </is>
      </c>
      <c r="AN27" s="18" t="inlineStr">
        <is>
          <t>Something that stops progress is a ____ → blocker</t>
        </is>
      </c>
      <c r="AO27" s="18" t="inlineStr">
        <is>
          <t>Test access is late and the date may slip. How do you report it? → As at risk, with the reason and the ask</t>
        </is>
      </c>
      <c r="AP27" s="18" t="inlineStr">
        <is>
          <t>Explain what a good status update contains.</t>
        </is>
      </c>
      <c r="AQ27" s="18" t="inlineStr">
        <is>
          <t>Write a five-line weekly status update for an imagined project.</t>
        </is>
      </c>
      <c r="AR27" s="17">
        <f>IF(J27="","",REPT("★",J27)&amp;REPT("☆",5-J27)&amp;" ("&amp;J27&amp;"/5)")</f>
        <v/>
      </c>
      <c r="AS27" s="17">
        <f>IF(Q27="","","Meaning: "&amp;Q27&amp;"  =  ______   (Answer: "&amp;F27&amp;")")</f>
        <v/>
      </c>
      <c r="AT27" s="17" t="inlineStr">
        <is>
          <t>New</t>
        </is>
      </c>
      <c r="AU27" s="17" t="n"/>
      <c r="AV27" s="17" t="n"/>
      <c r="AW27" s="17" t="n"/>
      <c r="AX27" s="17" t="n"/>
      <c r="AY27" s="17" t="n"/>
      <c r="AZ27" s="17" t="n"/>
      <c r="BA27" s="17" t="n"/>
      <c r="BB27" s="17" t="n"/>
    </row>
    <row r="28" ht="108" customHeight="1">
      <c r="A28" s="17" t="inlineStr">
        <is>
          <t>REQ-026</t>
        </is>
      </c>
      <c r="B28" s="17" t="inlineStr">
        <is>
          <t>05 Communication</t>
        </is>
      </c>
      <c r="C28" s="17" t="inlineStr">
        <is>
          <t>Intermediate</t>
        </is>
      </c>
      <c r="D28" s="17" t="n">
        <v>26</v>
      </c>
      <c r="E28" s="17" t="inlineStr">
        <is>
          <t>Claude knowledge</t>
        </is>
      </c>
      <c r="F28" s="18" t="inlineStr">
        <is>
          <t>Saying no</t>
        </is>
      </c>
      <c r="G28" s="18" t="inlineStr">
        <is>
          <t>How do you decline a request without damaging the relationship?</t>
        </is>
      </c>
      <c r="H28" s="18" t="inlineStr">
        <is>
          <t>Skill</t>
        </is>
      </c>
      <c r="I28" s="18" t="inlineStr">
        <is>
          <t>High</t>
        </is>
      </c>
      <c r="J28" s="18" t="n">
        <v>4</v>
      </c>
      <c r="K28" s="18" t="inlineStr">
        <is>
          <t>Teams cannot do everything, and a clear respectful no is better than a yes that later fails.</t>
        </is>
      </c>
      <c r="L28" s="18" t="inlineStr">
        <is>
          <t>Say no to the request, but yes to the need, by offering an alternative.</t>
        </is>
      </c>
      <c r="M28" s="18" t="inlineStr">
        <is>
          <t>A good no is a signpost that points to another road.</t>
        </is>
      </c>
      <c r="N28" s="18" t="inlineStr">
        <is>
          <t>A closed door beside an open door labelled option.</t>
        </is>
      </c>
      <c r="O28" s="18" t="inlineStr">
        <is>
          <t>The courage to protect quality while staying kind.</t>
        </is>
      </c>
      <c r="P28" s="18" t="inlineStr">
        <is>
          <t>Saying no well means declining a request clearly and kindly, explaining the reason, and offering options such as a different approach, a later date or a trade-off.</t>
        </is>
      </c>
      <c r="Q28" s="17" t="n"/>
      <c r="R28" s="18" t="inlineStr">
        <is>
          <t>First show you understood the need, then say what you cannot do and why, focusing on facts such as time, risk or policy. Offer two or three alternatives. Avoid vague maybes that raise hopes. Check the decision with your manager when it affects commitments. Record the outcome so the customer sees it was considered.</t>
        </is>
      </c>
      <c r="S28" s="18" t="inlineStr">
        <is>
          <t>Decline clearly, give the reason, and suggest what you can do instead.</t>
        </is>
      </c>
      <c r="T28" s="18" t="inlineStr">
        <is>
          <t>A good no is a signpost that points to another road.</t>
        </is>
      </c>
      <c r="U28" s="18" t="inlineStr">
        <is>
          <t>Understand, decline, reason, alternatives, confirm.</t>
        </is>
      </c>
      <c r="V28" s="18" t="inlineStr">
        <is>
          <t>Declining a custom feature but offering a workaround.</t>
        </is>
      </c>
      <c r="W28" s="18" t="inlineStr">
        <is>
          <t>Moving a request to the next release.</t>
        </is>
      </c>
      <c r="X28" s="18" t="inlineStr">
        <is>
          <t>Declining a shortcut that breaks a security rule.</t>
        </is>
      </c>
      <c r="Y28" s="18" t="inlineStr">
        <is>
          <t>change requests, expectation setting, bad news, security and data questions</t>
        </is>
      </c>
      <c r="Z28" s="18" t="inlineStr">
        <is>
          <t>decline, alternative, boundary, reason, option</t>
        </is>
      </c>
      <c r="AA28" s="18" t="inlineStr">
        <is>
          <t>Customer calls | Scope talks | Escalations</t>
        </is>
      </c>
      <c r="AB28" s="18" t="inlineStr">
        <is>
          <t>A: Can you ship it tomorrow? | B: Not safely, but we can ship a smaller part tomorrow.</t>
        </is>
      </c>
      <c r="AC28" s="18" t="inlineStr">
        <is>
          <t>✗ Saying yes always keeps the customer happy → ✓ A false yes damages trust when it fails</t>
        </is>
      </c>
      <c r="AD28" s="18" t="inlineStr">
        <is>
          <t>A flat no vs a helpful no: closing the door versus offering another route.</t>
        </is>
      </c>
      <c r="AE28" s="18" t="inlineStr">
        <is>
          <t>Do not say maybe when you mean no.</t>
        </is>
      </c>
      <c r="AF28" s="18" t="inlineStr">
        <is>
          <t>No to the ask, yes to the need.</t>
        </is>
      </c>
      <c r="AG28" s="18" t="inlineStr">
        <is>
          <t>Offering a smaller first release kept a customer after a firm no on the full request.</t>
        </is>
      </c>
      <c r="AH28" s="18" t="inlineStr">
        <is>
          <t>An interviewer may ask: How do you decline an unrealistic customer request?</t>
        </is>
      </c>
      <c r="AI28" s="18" t="inlineStr">
        <is>
          <t>It is like politely turning down a dish and suggesting another.</t>
        </is>
      </c>
      <c r="AJ28" s="18" t="inlineStr">
        <is>
          <t>What makes a no more helpful?</t>
        </is>
      </c>
      <c r="AK28" s="18" t="inlineStr">
        <is>
          <t>A) Blaming others B) Offering alternatives C) Being vague D) Staying silent</t>
        </is>
      </c>
      <c r="AL28" s="18" t="inlineStr">
        <is>
          <t>B</t>
        </is>
      </c>
      <c r="AM28" s="18" t="inlineStr">
        <is>
          <t>Options show you still want to solve their need.</t>
        </is>
      </c>
      <c r="AN28" s="18" t="inlineStr">
        <is>
          <t>A different route you propose after declining is an ____ → alternative</t>
        </is>
      </c>
      <c r="AO28" s="18" t="inlineStr">
        <is>
          <t>A customer asks for a risky shortcut. What do you do? → Decline it, explain why and offer a safe option</t>
        </is>
      </c>
      <c r="AP28" s="18" t="inlineStr">
        <is>
          <t>Explain how to say no while keeping trust.</t>
        </is>
      </c>
      <c r="AQ28" s="18" t="inlineStr">
        <is>
          <t>Write a polite refusal with two alternatives for a request to ship in one day.</t>
        </is>
      </c>
      <c r="AR28" s="17">
        <f>IF(J28="","",REPT("★",J28)&amp;REPT("☆",5-J28)&amp;" ("&amp;J28&amp;"/5)")</f>
        <v/>
      </c>
      <c r="AS28" s="17">
        <f>IF(Q28="","","Meaning: "&amp;Q28&amp;"  =  ______   (Answer: "&amp;F28&amp;")")</f>
        <v/>
      </c>
      <c r="AT28" s="17" t="inlineStr">
        <is>
          <t>New</t>
        </is>
      </c>
      <c r="AU28" s="17" t="n"/>
      <c r="AV28" s="17" t="n"/>
      <c r="AW28" s="17" t="n"/>
      <c r="AX28" s="17" t="n"/>
      <c r="AY28" s="17" t="n"/>
      <c r="AZ28" s="17" t="n"/>
      <c r="BA28" s="17" t="n"/>
      <c r="BB28" s="17" t="n"/>
    </row>
    <row r="29" ht="94.5" customHeight="1">
      <c r="A29" s="17" t="inlineStr">
        <is>
          <t>REQ-027</t>
        </is>
      </c>
      <c r="B29" s="17" t="inlineStr">
        <is>
          <t>05 Communication</t>
        </is>
      </c>
      <c r="C29" s="17" t="inlineStr">
        <is>
          <t>Intermediate</t>
        </is>
      </c>
      <c r="D29" s="17" t="n">
        <v>27</v>
      </c>
      <c r="E29" s="17" t="inlineStr">
        <is>
          <t>Claude knowledge</t>
        </is>
      </c>
      <c r="F29" s="18" t="inlineStr">
        <is>
          <t>Delivering bad news</t>
        </is>
      </c>
      <c r="G29" s="18" t="inlineStr">
        <is>
          <t>How do you tell a customer that something has gone wrong?</t>
        </is>
      </c>
      <c r="H29" s="18" t="inlineStr">
        <is>
          <t>Skill</t>
        </is>
      </c>
      <c r="I29" s="18" t="inlineStr">
        <is>
          <t>High</t>
        </is>
      </c>
      <c r="J29" s="18" t="n">
        <v>5</v>
      </c>
      <c r="K29" s="18" t="inlineStr">
        <is>
          <t>Problems are certain in real projects, and trust depends far more on how you report them than on the problem itself.</t>
        </is>
      </c>
      <c r="L29" s="18" t="inlineStr">
        <is>
          <t>Tell them early, in person or by call for serious issues, and bring a plan.</t>
        </is>
      </c>
      <c r="M29" s="18" t="inlineStr">
        <is>
          <t>Bad news is a spoiled meal, and a quick honest apology with a replacement saves the evening.</t>
        </is>
      </c>
      <c r="N29" s="18" t="inlineStr">
        <is>
          <t>A message with what happened, impact, cause, fix and next steps.</t>
        </is>
      </c>
      <c r="O29" s="18" t="inlineStr">
        <is>
          <t>The courage to be honest early.</t>
        </is>
      </c>
      <c r="P29" s="18" t="inlineStr">
        <is>
          <t>Delivering bad news means telling the affected people promptly and honestly what happened, what the impact is, what you are doing, and when they will hear next.</t>
        </is>
      </c>
      <c r="Q29" s="17" t="n"/>
      <c r="R29" s="18" t="inlineStr">
        <is>
          <t>State the facts without excuses or blame, and say what is known and unknown. Explain the effect on the customer and the immediate fix. Offer a clear next update time and keep it. For serious issues use a call first, then a written summary. Afterwards run a review of the cause and share what will change.</t>
        </is>
      </c>
      <c r="S29" s="18" t="inlineStr">
        <is>
          <t>Say what happened, what it means, what you are doing, and when you will update them.</t>
        </is>
      </c>
      <c r="T29" s="18" t="inlineStr">
        <is>
          <t>Bad news is a spoiled meal, and a quick honest apology with a replacement saves the evening.</t>
        </is>
      </c>
      <c r="U29" s="18" t="inlineStr">
        <is>
          <t>Facts, impact, action, next update.</t>
        </is>
      </c>
      <c r="V29" s="18" t="inlineStr">
        <is>
          <t>Calling a customer about a failed overnight job.</t>
        </is>
      </c>
      <c r="W29" s="18" t="inlineStr">
        <is>
          <t>Sharing a plan after a missed date.</t>
        </is>
      </c>
      <c r="X29" s="18" t="inlineStr">
        <is>
          <t>Sending a written summary after a serious incident.</t>
        </is>
      </c>
      <c r="Y29" s="18" t="inlineStr">
        <is>
          <t>status updates, runbook, postmortems, expectation setting</t>
        </is>
      </c>
      <c r="Z29" s="18" t="inlineStr">
        <is>
          <t>apology, impact, transparency, incident, follow-up</t>
        </is>
      </c>
      <c r="AA29" s="18" t="inlineStr">
        <is>
          <t>Incidents | Delays | Escalations</t>
        </is>
      </c>
      <c r="AB29" s="18" t="inlineStr">
        <is>
          <t>A: Should we wait until we have a fix before telling them? | B: No, tell them now and say when the next update will come.</t>
        </is>
      </c>
      <c r="AC29" s="18" t="inlineStr">
        <is>
          <t>✗ Waiting until the problem is solved is kinder → ✓ Early honesty protects trust</t>
        </is>
      </c>
      <c r="AD29" s="18" t="inlineStr">
        <is>
          <t>Early honesty vs late disclosure: trust kept versus trust broken.</t>
        </is>
      </c>
      <c r="AE29" s="18" t="inlineStr">
        <is>
          <t>Do not guess causes or blame others in the first message.</t>
        </is>
      </c>
      <c r="AF29" s="18" t="inlineStr">
        <is>
          <t>Early, honest, with a plan.</t>
        </is>
      </c>
      <c r="AG29" s="18" t="inlineStr">
        <is>
          <t>A same-hour call about a failed load kept a customer's trust through a bad week.</t>
        </is>
      </c>
      <c r="AH29" s="18" t="inlineStr">
        <is>
          <t>An interviewer may ask: Tell me about a time you gave a customer bad news.</t>
        </is>
      </c>
      <c r="AI29" s="18" t="inlineStr">
        <is>
          <t>It is like telling a friend straight away that a plan has changed.</t>
        </is>
      </c>
      <c r="AJ29" s="18" t="inlineStr">
        <is>
          <t>When should bad news be shared?</t>
        </is>
      </c>
      <c r="AK29" s="18" t="inlineStr">
        <is>
          <t>A) Never B) After a month C) Only in writing later D) As early as possible</t>
        </is>
      </c>
      <c r="AL29" s="18" t="inlineStr">
        <is>
          <t>D</t>
        </is>
      </c>
      <c r="AM29" s="18" t="inlineStr">
        <is>
          <t>Early information lets the customer plan and keeps trust.</t>
        </is>
      </c>
      <c r="AN29" s="18" t="inlineStr">
        <is>
          <t>Giving people a fixed time for your following message is a promise of the ____ update → next</t>
        </is>
      </c>
      <c r="AO29" s="18" t="inlineStr">
        <is>
          <t>An overnight job failed and customers are affected. What is your first step? → Tell them promptly with facts and a plan</t>
        </is>
      </c>
      <c r="AP29" s="18" t="inlineStr">
        <is>
          <t>Explain how to deliver bad news well.</t>
        </is>
      </c>
      <c r="AQ29" s="18" t="inlineStr">
        <is>
          <t>Draft a message for a delayed delivery that covers all four parts of the formula.</t>
        </is>
      </c>
      <c r="AR29" s="17">
        <f>IF(J29="","",REPT("★",J29)&amp;REPT("☆",5-J29)&amp;" ("&amp;J29&amp;"/5)")</f>
        <v/>
      </c>
      <c r="AS29" s="17">
        <f>IF(Q29="","","Meaning: "&amp;Q29&amp;"  =  ______   (Answer: "&amp;F29&amp;")")</f>
        <v/>
      </c>
      <c r="AT29" s="17" t="inlineStr">
        <is>
          <t>New</t>
        </is>
      </c>
      <c r="AU29" s="17" t="n"/>
      <c r="AV29" s="17" t="n"/>
      <c r="AW29" s="17" t="n"/>
      <c r="AX29" s="17" t="n"/>
      <c r="AY29" s="17" t="n"/>
      <c r="AZ29" s="17" t="n"/>
      <c r="BA29" s="17" t="n"/>
      <c r="BB29" s="17" t="n"/>
    </row>
    <row r="30" ht="108" customHeight="1">
      <c r="A30" s="17" t="inlineStr">
        <is>
          <t>REQ-028</t>
        </is>
      </c>
      <c r="B30" s="17" t="inlineStr">
        <is>
          <t>05 Communication</t>
        </is>
      </c>
      <c r="C30" s="17" t="inlineStr">
        <is>
          <t>Intermediate</t>
        </is>
      </c>
      <c r="D30" s="17" t="n">
        <v>28</v>
      </c>
      <c r="E30" s="17" t="inlineStr">
        <is>
          <t>Claude knowledge</t>
        </is>
      </c>
      <c r="F30" s="18" t="inlineStr">
        <is>
          <t>Expectation setting</t>
        </is>
      </c>
      <c r="G30" s="18" t="inlineStr">
        <is>
          <t>How do you make sure both sides expect the same thing?</t>
        </is>
      </c>
      <c r="H30" s="18" t="inlineStr">
        <is>
          <t>Skill</t>
        </is>
      </c>
      <c r="I30" s="18" t="inlineStr">
        <is>
          <t>High</t>
        </is>
      </c>
      <c r="J30" s="18" t="n">
        <v>5</v>
      </c>
      <c r="K30" s="18" t="inlineStr">
        <is>
          <t>Most disappointment comes from a gap between what was expected and what was delivered, not from the work itself.</t>
        </is>
      </c>
      <c r="L30" s="18" t="inlineStr">
        <is>
          <t>Repeat back what you heard, and write down what will and will not happen by when.</t>
        </is>
      </c>
      <c r="M30" s="18" t="inlineStr">
        <is>
          <t>Expectation setting is tuning two radios to the same station before the song starts.</t>
        </is>
      </c>
      <c r="N30" s="18" t="inlineStr">
        <is>
          <t>Two thought bubbles being aligned into one shared picture.</t>
        </is>
      </c>
      <c r="O30" s="18" t="inlineStr">
        <is>
          <t>The ease of everyone knowing what to expect.</t>
        </is>
      </c>
      <c r="P30" s="18" t="inlineStr">
        <is>
          <t>Expectation setting is the practice of agreeing clearly, and in writing, what will be delivered, when, with what limits, and what the customer must do.</t>
        </is>
      </c>
      <c r="Q30" s="17" t="n"/>
      <c r="R30" s="18" t="inlineStr">
        <is>
          <t>Use plain words, examples and dates. Describe not only the best case but the likely and the limits. Confirm the customer's understanding by asking them to say it back. Revisit expectations at each milestone, and when facts change, update them early. Promise only what you control, and say what depends on others.</t>
        </is>
      </c>
      <c r="S30" s="18" t="inlineStr">
        <is>
          <t>Make sure both sides have the same picture of what will happen and when.</t>
        </is>
      </c>
      <c r="T30" s="18" t="inlineStr">
        <is>
          <t>Expectation setting is tuning two radios to the same station before the song starts.</t>
        </is>
      </c>
      <c r="U30" s="18" t="inlineStr">
        <is>
          <t>Say it, write it, check it back, revisit it.</t>
        </is>
      </c>
      <c r="V30" s="18" t="inlineStr">
        <is>
          <t>Telling a customer that the first release has limited reports.</t>
        </is>
      </c>
      <c r="W30" s="18" t="inlineStr">
        <is>
          <t>Confirming who provides test data and by when.</t>
        </is>
      </c>
      <c r="X30" s="18" t="inlineStr">
        <is>
          <t>Updating a date when a dependency slips.</t>
        </is>
      </c>
      <c r="Y30" s="18" t="inlineStr">
        <is>
          <t>scoping, saying no, status updates, demos</t>
        </is>
      </c>
      <c r="Z30" s="18" t="inlineStr">
        <is>
          <t>expectation, alignment, limits, dependency, confirmation</t>
        </is>
      </c>
      <c r="AA30" s="18" t="inlineStr">
        <is>
          <t>Kick-off | Demos | Go-live</t>
        </is>
      </c>
      <c r="AB30" s="18" t="inlineStr">
        <is>
          <t>A: I thought it would do everything. | B: Let us review the scope we agreed and what the first release includes.</t>
        </is>
      </c>
      <c r="AC30" s="18" t="inlineStr">
        <is>
          <t>✗ Under-promising is enough → ✓ Clear, shared understanding matters more</t>
        </is>
      </c>
      <c r="AD30" s="18" t="inlineStr">
        <is>
          <t>Expectation vs promise: what someone believes versus what was agreed.</t>
        </is>
      </c>
      <c r="AE30" s="18" t="inlineStr">
        <is>
          <t>Do not leave limits unsaid hoping nobody asks.</t>
        </is>
      </c>
      <c r="AF30" s="18" t="inlineStr">
        <is>
          <t>Say it, write it, check it.</t>
        </is>
      </c>
      <c r="AG30" s="18" t="inlineStr">
        <is>
          <t>A written first-release list prevented disappointment at the first customer demo.</t>
        </is>
      </c>
      <c r="AH30" s="18" t="inlineStr">
        <is>
          <t>An interviewer may ask: How do you manage customer expectations?</t>
        </is>
      </c>
      <c r="AI30" s="18" t="inlineStr">
        <is>
          <t>It is like telling guests what dinner will be before they arrive.</t>
        </is>
      </c>
      <c r="AJ30" s="18" t="inlineStr">
        <is>
          <t>How do you confirm that someone understood the plan?</t>
        </is>
      </c>
      <c r="AK30" s="18" t="inlineStr">
        <is>
          <t>A) Ignore it B) Send more slides C) Ask them to say it back D) Hope so</t>
        </is>
      </c>
      <c r="AL30" s="18" t="inlineStr">
        <is>
          <t>C</t>
        </is>
      </c>
      <c r="AM30" s="18" t="inlineStr">
        <is>
          <t>Repeating it back shows any gap in understanding.</t>
        </is>
      </c>
      <c r="AN30" s="18" t="inlineStr">
        <is>
          <t>Things that depend on other people are called ____ → dependencies</t>
        </is>
      </c>
      <c r="AO30" s="18" t="inlineStr">
        <is>
          <t>A customer assumes the first release does everything. What do you do? → Review the agreed scope and limits with them</t>
        </is>
      </c>
      <c r="AP30" s="18" t="inlineStr">
        <is>
          <t>Explain how you would set expectations at kick-off.</t>
        </is>
      </c>
      <c r="AQ30" s="18" t="inlineStr">
        <is>
          <t>Write a short expectation note for a first release that has three limits.</t>
        </is>
      </c>
      <c r="AR30" s="17">
        <f>IF(J30="","",REPT("★",J30)&amp;REPT("☆",5-J30)&amp;" ("&amp;J30&amp;"/5)")</f>
        <v/>
      </c>
      <c r="AS30" s="17">
        <f>IF(Q30="","","Meaning: "&amp;Q30&amp;"  =  ______   (Answer: "&amp;F30&amp;")")</f>
        <v/>
      </c>
      <c r="AT30" s="17" t="inlineStr">
        <is>
          <t>New</t>
        </is>
      </c>
      <c r="AU30" s="17" t="n"/>
      <c r="AV30" s="17" t="n"/>
      <c r="AW30" s="17" t="n"/>
      <c r="AX30" s="17" t="n"/>
      <c r="AY30" s="17" t="n"/>
      <c r="AZ30" s="17" t="n"/>
      <c r="BA30" s="17" t="n"/>
      <c r="BB30" s="17" t="n"/>
    </row>
    <row r="31" ht="121.5" customHeight="1">
      <c r="A31" s="17" t="inlineStr">
        <is>
          <t>REQ-029</t>
        </is>
      </c>
      <c r="B31" s="17" t="inlineStr">
        <is>
          <t>05 Communication</t>
        </is>
      </c>
      <c r="C31" s="17" t="inlineStr">
        <is>
          <t>Intermediate</t>
        </is>
      </c>
      <c r="D31" s="17" t="n">
        <v>29</v>
      </c>
      <c r="E31" s="17" t="inlineStr">
        <is>
          <t>Claude knowledge</t>
        </is>
      </c>
      <c r="F31" s="18" t="inlineStr">
        <is>
          <t>Working on site and remotely</t>
        </is>
      </c>
      <c r="G31" s="18" t="inlineStr">
        <is>
          <t>How does working in person differ from working remotely with a customer?</t>
        </is>
      </c>
      <c r="H31" s="18" t="inlineStr">
        <is>
          <t>Skill</t>
        </is>
      </c>
      <c r="I31" s="18" t="inlineStr">
        <is>
          <t>Medium</t>
        </is>
      </c>
      <c r="J31" s="18" t="n">
        <v>4</v>
      </c>
      <c r="K31" s="18" t="inlineStr">
        <is>
          <t>Customer work happens in offices and over video, and each setting needs its own habits for trust and clarity.</t>
        </is>
      </c>
      <c r="L31" s="18" t="inlineStr">
        <is>
          <t>Confirm access, network and equipment before the day, and agree how to communicate when remote.</t>
        </is>
      </c>
      <c r="M31" s="18" t="inlineStr">
        <is>
          <t>On site you lend your presence, remotely you lend your clarity.</t>
        </is>
      </c>
      <c r="N31" s="18" t="inlineStr">
        <is>
          <t>A laptop in a customer office beside a laptop on a video call.</t>
        </is>
      </c>
      <c r="O31" s="18" t="inlineStr">
        <is>
          <t>The ease of preparation done well.</t>
        </is>
      </c>
      <c r="P31" s="18" t="inlineStr">
        <is>
          <t>Working on site means joining the customer's location and rules in person, while working remotely means using calls, screen sharing and written messages, and both need preparation, clear access and agreed communication.</t>
        </is>
      </c>
      <c r="Q31" s="17" t="n"/>
      <c r="R31" s="18" t="inlineStr">
        <is>
          <t>On site, you learn how people really work, but you must follow site rules, security badges and network limits. Prepare accounts, chargers and offline copies. Remotely, write more, summarise calls in text, share screens carefully, and avoid long silences. In both, protect customer data, lock your screen and follow the customer's policies for devices and recording.</t>
        </is>
      </c>
      <c r="S31" s="18" t="inlineStr">
        <is>
          <t>Prepare access and tools in advance, follow the customer's rules, and communicate clearly.</t>
        </is>
      </c>
      <c r="T31" s="18" t="inlineStr">
        <is>
          <t>On site you lend your presence, remotely you lend your clarity.</t>
        </is>
      </c>
      <c r="U31" s="18" t="inlineStr">
        <is>
          <t>Prepare access, follow rules, communicate clearly, protect data.</t>
        </is>
      </c>
      <c r="V31" s="18" t="inlineStr">
        <is>
          <t>Requesting a visitor badge and network access before the visit.</t>
        </is>
      </c>
      <c r="W31" s="18" t="inlineStr">
        <is>
          <t>Writing a recap after a video call.</t>
        </is>
      </c>
      <c r="X31" s="18" t="inlineStr">
        <is>
          <t>Closing private windows before sharing a screen.</t>
        </is>
      </c>
      <c r="Y31" s="18" t="inlineStr">
        <is>
          <t>security and data questions, status updates, stakeholder map, expectation setting</t>
        </is>
      </c>
      <c r="Z31" s="18" t="inlineStr">
        <is>
          <t>on site, remote, access, policy, screen sharing</t>
        </is>
      </c>
      <c r="AA31" s="18" t="inlineStr">
        <is>
          <t>Customer visits | Video calls | Workshops</t>
        </is>
      </c>
      <c r="AB31" s="18" t="inlineStr">
        <is>
          <t>A: I cannot get on the guest network on site. | B: Ask for access before the visit, and keep an offline copy of your demo.</t>
        </is>
      </c>
      <c r="AC31" s="18" t="inlineStr">
        <is>
          <t>✗ Remote work needs less preparation → ✓ It needs more writing and clearer communication</t>
        </is>
      </c>
      <c r="AD31" s="18" t="inlineStr">
        <is>
          <t>On site vs remote: shared space and rules versus screens and written clarity.</t>
        </is>
      </c>
      <c r="AE31" s="18" t="inlineStr">
        <is>
          <t>Do not share a screen that shows private tabs or notifications.</t>
        </is>
      </c>
      <c r="AF31" s="18" t="inlineStr">
        <is>
          <t>Prepare access, follow rules, write clearly.</t>
        </is>
      </c>
      <c r="AG31" s="18" t="inlineStr">
        <is>
          <t>Early network access requests saved a day of waiting on a customer visit.</t>
        </is>
      </c>
      <c r="AH31" s="18" t="inlineStr">
        <is>
          <t>An interviewer may ask: How do you work with a customer remotely?</t>
        </is>
      </c>
      <c r="AI31" s="18" t="inlineStr">
        <is>
          <t>It is like preparing your bag before a trip and checking the address.</t>
        </is>
      </c>
      <c r="AJ31" s="18" t="inlineStr">
        <is>
          <t>What should you check before a customer site visit?</t>
        </is>
      </c>
      <c r="AK31" s="18" t="inlineStr">
        <is>
          <t>A) Access and network B) Lunch menu C) Music D) Favourite colour</t>
        </is>
      </c>
      <c r="AL31" s="18" t="inlineStr">
        <is>
          <t>A</t>
        </is>
      </c>
      <c r="AM31" s="18" t="inlineStr">
        <is>
          <t>Missing access wastes the visit.</t>
        </is>
      </c>
      <c r="AN31" s="18" t="inlineStr">
        <is>
          <t>Showing your display to others during a video call is called screen ____ → sharing</t>
        </is>
      </c>
      <c r="AO31" s="18" t="inlineStr">
        <is>
          <t>You will visit a customer site next week. What do you arrange first? → Badge, accounts and network access</t>
        </is>
      </c>
      <c r="AP31" s="18" t="inlineStr">
        <is>
          <t>Explain two habits for each of on-site and remote work.</t>
        </is>
      </c>
      <c r="AQ31" s="18" t="inlineStr">
        <is>
          <t>Write a pre-visit checklist of six items for a customer site.</t>
        </is>
      </c>
      <c r="AR31" s="17">
        <f>IF(J31="","",REPT("★",J31)&amp;REPT("☆",5-J31)&amp;" ("&amp;J31&amp;"/5)")</f>
        <v/>
      </c>
      <c r="AS31" s="17">
        <f>IF(Q31="","","Meaning: "&amp;Q31&amp;"  =  ______   (Answer: "&amp;F31&amp;")")</f>
        <v/>
      </c>
      <c r="AT31" s="17" t="inlineStr">
        <is>
          <t>New</t>
        </is>
      </c>
      <c r="AU31" s="17" t="n"/>
      <c r="AV31" s="17" t="n"/>
      <c r="AW31" s="17" t="n"/>
      <c r="AX31" s="17" t="n"/>
      <c r="AY31" s="17" t="n"/>
      <c r="AZ31" s="17" t="n"/>
      <c r="BA31" s="17" t="n"/>
      <c r="BB31" s="17" t="n"/>
    </row>
    <row r="32" ht="121.5" customHeight="1">
      <c r="A32" s="17" t="inlineStr">
        <is>
          <t>REQ-030</t>
        </is>
      </c>
      <c r="B32" s="17" t="inlineStr">
        <is>
          <t>05 Communication</t>
        </is>
      </c>
      <c r="C32" s="17" t="inlineStr">
        <is>
          <t>Advanced</t>
        </is>
      </c>
      <c r="D32" s="17" t="n">
        <v>30</v>
      </c>
      <c r="E32" s="17" t="inlineStr">
        <is>
          <t>Claude knowledge</t>
        </is>
      </c>
      <c r="F32" s="18" t="inlineStr">
        <is>
          <t>Security and data questions from customers</t>
        </is>
      </c>
      <c r="G32" s="18" t="inlineStr">
        <is>
          <t>How do you answer customers' questions about security and data safely?</t>
        </is>
      </c>
      <c r="H32" s="18" t="inlineStr">
        <is>
          <t>Skill</t>
        </is>
      </c>
      <c r="I32" s="18" t="inlineStr">
        <is>
          <t>High</t>
        </is>
      </c>
      <c r="J32" s="18" t="n">
        <v>5</v>
      </c>
      <c r="K32" s="18" t="inlineStr">
        <is>
          <t>Customers must trust you with their data, so security questions come early, and wrong or overclaimed answers can cause serious harm.</t>
        </is>
      </c>
      <c r="L32" s="18" t="inlineStr">
        <is>
          <t>Answer only what you know, point to official documents, and bring in the security team for the rest.</t>
        </is>
      </c>
      <c r="M32" s="18" t="inlineStr">
        <is>
          <t>Security answers are signed statements, so only sign what you can prove.</t>
        </is>
      </c>
      <c r="N32" s="18" t="inlineStr">
        <is>
          <t>A questionnaire with answers linked to official policy documents.</t>
        </is>
      </c>
      <c r="O32" s="18" t="inlineStr">
        <is>
          <t>The responsibility of being trusted with data.</t>
        </is>
      </c>
      <c r="P32" s="18" t="inlineStr">
        <is>
          <t>Handling security and data questions means giving accurate, documented answers about how data is stored, accessed and protected, and escalating anything you cannot verify to the right team.</t>
        </is>
      </c>
      <c r="Q32" s="17" t="n"/>
      <c r="R32" s="18" t="inlineStr">
        <is>
          <t>Typical questions cover where data lives, who can see it, encryption, retention, access logs, subprocessors and incident handling. Use approved documents such as security whitepapers or policies instead of guessing. Never overclaim certifications or promises. Ask the customer why they need the data and share the least necessary. Record answers and the source for future questions.</t>
        </is>
      </c>
      <c r="S32" s="18" t="inlineStr">
        <is>
          <t>Answer only what you can prove, link to official documents, and escalate the rest.</t>
        </is>
      </c>
      <c r="T32" s="18" t="inlineStr">
        <is>
          <t>Security answers are signed statements, so only sign what you can prove.</t>
        </is>
      </c>
      <c r="U32" s="18" t="inlineStr">
        <is>
          <t>Know, document, do not overclaim, escalate.</t>
        </is>
      </c>
      <c r="V32" s="18" t="inlineStr">
        <is>
          <t>Linking the official security document for encryption questions.</t>
        </is>
      </c>
      <c r="W32" s="18" t="inlineStr">
        <is>
          <t>Asking the security team about data retention.</t>
        </is>
      </c>
      <c r="X32" s="18" t="inlineStr">
        <is>
          <t>Asking a customer to share only the fields needed.</t>
        </is>
      </c>
      <c r="Y32" s="18" t="inlineStr">
        <is>
          <t>stakeholder map, expectation setting, working on site and remotely, saying no</t>
        </is>
      </c>
      <c r="Z32" s="18" t="inlineStr">
        <is>
          <t>security, privacy, retention, encryption, escalation</t>
        </is>
      </c>
      <c r="AA32" s="18" t="inlineStr">
        <is>
          <t>Onboarding | Questionnaires | Reviews</t>
        </is>
      </c>
      <c r="AB32" s="18" t="inlineStr">
        <is>
          <t>A: Are we certified for this standard? | B: Do not guess, ask the security team and quote their document.</t>
        </is>
      </c>
      <c r="AC32" s="18" t="inlineStr">
        <is>
          <t>✗ A confident guess is better than saying I will check → ✓ A wrong security answer can be a serious breach of trust</t>
        </is>
      </c>
      <c r="AD32" s="18" t="inlineStr">
        <is>
          <t>Verified answer vs guess: sourced from a document versus remembered from a chat.</t>
        </is>
      </c>
      <c r="AE32" s="18" t="inlineStr">
        <is>
          <t>Do not claim certifications or protections you cannot prove.</t>
        </is>
      </c>
      <c r="AF32" s="18" t="inlineStr">
        <is>
          <t>Prove it, point to it, or escalate it.</t>
        </is>
      </c>
      <c r="AG32" s="18" t="inlineStr">
        <is>
          <t>Linking approved documents shortened a customer security review.</t>
        </is>
      </c>
      <c r="AH32" s="18" t="inlineStr">
        <is>
          <t>An interviewer may ask: What would you do if a customer asks a security question you cannot answer?</t>
        </is>
      </c>
      <c r="AI32" s="18" t="inlineStr">
        <is>
          <t>It is like signing a statement only when you have seen the evidence.</t>
        </is>
      </c>
      <c r="AJ32" s="18" t="inlineStr">
        <is>
          <t>What should you do when unsure about a security answer?</t>
        </is>
      </c>
      <c r="AK32" s="18" t="inlineStr">
        <is>
          <t>A) Change the topic B) Guess C) Escalate to the security team D) Ignore the question</t>
        </is>
      </c>
      <c r="AL32" s="18" t="inlineStr">
        <is>
          <t>C</t>
        </is>
      </c>
      <c r="AM32" s="18" t="inlineStr">
        <is>
          <t>Accurate answers need the right owner.</t>
        </is>
      </c>
      <c r="AN32" s="18" t="inlineStr">
        <is>
          <t>Sharing only the data fields that are needed follows the principle of data ____ → minimisation</t>
        </is>
      </c>
      <c r="AO32" s="18" t="inlineStr">
        <is>
          <t>A customer asks about data retention and you are unsure. What do you do? → Ask the security team and quote their document</t>
        </is>
      </c>
      <c r="AP32" s="18" t="inlineStr">
        <is>
          <t>Explain how to answer a customer's security questionnaire responsibly.</t>
        </is>
      </c>
      <c r="AQ32" s="18" t="inlineStr">
        <is>
          <t>Write a short reply policy for security questions that you will follow.</t>
        </is>
      </c>
      <c r="AR32" s="17">
        <f>IF(J32="","",REPT("★",J32)&amp;REPT("☆",5-J32)&amp;" ("&amp;J32&amp;"/5)")</f>
        <v/>
      </c>
      <c r="AS32" s="17">
        <f>IF(Q32="","","Meaning: "&amp;Q32&amp;"  =  ______   (Answer: "&amp;F32&amp;")")</f>
        <v/>
      </c>
      <c r="AT32" s="17" t="inlineStr">
        <is>
          <t>New</t>
        </is>
      </c>
      <c r="AU32" s="17" t="n"/>
      <c r="AV32" s="17" t="n"/>
      <c r="AW32" s="17" t="n"/>
      <c r="AX32" s="17" t="n"/>
      <c r="AY32" s="17" t="n"/>
      <c r="AZ32" s="17" t="n"/>
      <c r="BA32" s="17" t="n"/>
      <c r="BB32" s="17" t="n"/>
    </row>
  </sheetData>
  <autoFilter ref="A2:BB32"/>
  <mergeCells count="6">
    <mergeCell ref="F1:O1"/>
    <mergeCell ref="AT1:BB1"/>
    <mergeCell ref="AR1:AS1"/>
    <mergeCell ref="A1:E1"/>
    <mergeCell ref="AJ1:AQ1"/>
    <mergeCell ref="P1:AI1"/>
  </mergeCells>
  <dataValidations count="2">
    <dataValidation sqref="AT3:AT32" showDropDown="0" showInputMessage="0" showErrorMessage="0" allowBlank="1" type="list">
      <formula1>"New,Learning,Known"</formula1>
    </dataValidation>
    <dataValidation sqref="BA3:BA32"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19" t="inlineStr">
        <is>
          <t>Topic (56-pt) · card view</t>
        </is>
      </c>
    </row>
    <row r="2">
      <c r="A2" s="20" t="inlineStr">
        <is>
          <t>Card ID chuno ▸</t>
        </is>
      </c>
      <c r="B2" s="21" t="inlineStr">
        <is>
          <t>REQ-001</t>
        </is>
      </c>
    </row>
    <row r="4">
      <c r="A4" s="22" t="inlineStr">
        <is>
          <t>FRONT · Recognition (pehchano)</t>
        </is>
      </c>
    </row>
    <row r="5" ht="30" customHeight="1">
      <c r="A5" s="23" t="inlineStr">
        <is>
          <t>ID</t>
        </is>
      </c>
      <c r="B5" s="17">
        <f>INDEX('Topic (56-pt) cards'!$A$3:$BB$32,MATCH($B$2,'Topic (56-pt) cards'!$A$3:$A$32,0),MATCH("ID",'Topic (56-pt) cards'!$A$2:$BB$2,0))&amp;""</f>
        <v/>
      </c>
    </row>
    <row r="6" ht="30" customHeight="1">
      <c r="A6" s="23" t="inlineStr">
        <is>
          <t>Topic</t>
        </is>
      </c>
      <c r="B6" s="17">
        <f>INDEX('Topic (56-pt) cards'!$A$3:$BB$32,MATCH($B$2,'Topic (56-pt) cards'!$A$3:$A$32,0),MATCH("Topic",'Topic (56-pt) cards'!$A$2:$BB$2,0))&amp;""</f>
        <v/>
      </c>
    </row>
    <row r="7" ht="30" customHeight="1">
      <c r="A7" s="23" t="inlineStr">
        <is>
          <t>Level</t>
        </is>
      </c>
      <c r="B7" s="17">
        <f>INDEX('Topic (56-pt) cards'!$A$3:$BB$32,MATCH($B$2,'Topic (56-pt) cards'!$A$3:$A$32,0),MATCH("Level",'Topic (56-pt) cards'!$A$2:$BB$2,0))&amp;""</f>
        <v/>
      </c>
    </row>
    <row r="8" ht="30" customHeight="1">
      <c r="A8" s="23" t="inlineStr">
        <is>
          <t>Term / topic</t>
        </is>
      </c>
      <c r="B8" s="17">
        <f>INDEX('Topic (56-pt) cards'!$A$3:$BB$32,MATCH($B$2,'Topic (56-pt) cards'!$A$3:$A$32,0),MATCH("Term / topic",'Topic (56-pt) cards'!$A$2:$BB$2,0))&amp;""</f>
        <v/>
      </c>
    </row>
    <row r="9" ht="30" customHeight="1">
      <c r="A9" s="23" t="inlineStr">
        <is>
          <t>Recall cue</t>
        </is>
      </c>
      <c r="B9" s="17">
        <f>INDEX('Topic (56-pt) cards'!$A$3:$BB$32,MATCH($B$2,'Topic (56-pt) cards'!$A$3:$A$32,0),MATCH("Recall cue",'Topic (56-pt) cards'!$A$2:$BB$2,0))&amp;""</f>
        <v/>
      </c>
    </row>
    <row r="10" ht="30" customHeight="1">
      <c r="A10" s="23" t="inlineStr">
        <is>
          <t>Category</t>
        </is>
      </c>
      <c r="B10" s="17">
        <f>INDEX('Topic (56-pt) cards'!$A$3:$BB$32,MATCH($B$2,'Topic (56-pt) cards'!$A$3:$A$32,0),MATCH("Category",'Topic (56-pt) cards'!$A$2:$BB$2,0))&amp;""</f>
        <v/>
      </c>
    </row>
    <row r="11" ht="30" customHeight="1">
      <c r="A11" s="23" t="inlineStr">
        <is>
          <t>How often used</t>
        </is>
      </c>
      <c r="B11" s="17">
        <f>INDEX('Topic (56-pt) cards'!$A$3:$BB$32,MATCH($B$2,'Topic (56-pt) cards'!$A$3:$A$32,0),MATCH("How often used",'Topic (56-pt) cards'!$A$2:$BB$2,0))&amp;""</f>
        <v/>
      </c>
    </row>
    <row r="12" ht="30" customHeight="1">
      <c r="A12" s="23" t="inlineStr">
        <is>
          <t>Importance (1-5)</t>
        </is>
      </c>
      <c r="B12" s="17">
        <f>INDEX('Topic (56-pt) cards'!$A$3:$BB$32,MATCH($B$2,'Topic (56-pt) cards'!$A$3:$A$32,0),MATCH("Importance (1-5)",'Topic (56-pt) cards'!$A$2:$BB$2,0))&amp;""</f>
        <v/>
      </c>
    </row>
    <row r="13" ht="30" customHeight="1">
      <c r="A13" s="23" t="inlineStr">
        <is>
          <t>Origin / why it exists</t>
        </is>
      </c>
      <c r="B13" s="17">
        <f>INDEX('Topic (56-pt) cards'!$A$3:$BB$32,MATCH($B$2,'Topic (56-pt) cards'!$A$3:$A$32,0),MATCH("Origin / why it exists",'Topic (56-pt) cards'!$A$2:$BB$2,0))&amp;""</f>
        <v/>
      </c>
    </row>
    <row r="14" ht="30" customHeight="1">
      <c r="A14" s="23" t="inlineStr">
        <is>
          <t>Pro tip</t>
        </is>
      </c>
      <c r="B14" s="17">
        <f>INDEX('Topic (56-pt) cards'!$A$3:$BB$32,MATCH($B$2,'Topic (56-pt) cards'!$A$3:$A$32,0),MATCH("Pro tip",'Topic (56-pt) cards'!$A$2:$BB$2,0))&amp;""</f>
        <v/>
      </c>
    </row>
    <row r="15" ht="30" customHeight="1">
      <c r="A15" s="23" t="inlineStr">
        <is>
          <t>Memory story</t>
        </is>
      </c>
      <c r="B15" s="17">
        <f>INDEX('Topic (56-pt) cards'!$A$3:$BB$32,MATCH($B$2,'Topic (56-pt) cards'!$A$3:$A$32,0),MATCH("Memory story",'Topic (56-pt) cards'!$A$2:$BB$2,0))&amp;""</f>
        <v/>
      </c>
    </row>
    <row r="16" ht="30" customHeight="1">
      <c r="A16" s="23" t="inlineStr">
        <is>
          <t>Picture it</t>
        </is>
      </c>
      <c r="B16" s="17">
        <f>INDEX('Topic (56-pt) cards'!$A$3:$BB$32,MATCH($B$2,'Topic (56-pt) cards'!$A$3:$A$32,0),MATCH("Picture it",'Topic (56-pt) cards'!$A$2:$BB$2,0))&amp;""</f>
        <v/>
      </c>
    </row>
    <row r="17" ht="30" customHeight="1">
      <c r="A17" s="23" t="inlineStr">
        <is>
          <t>Emotion hook</t>
        </is>
      </c>
      <c r="B17" s="17">
        <f>INDEX('Topic (56-pt) cards'!$A$3:$BB$32,MATCH($B$2,'Topic (56-pt) cards'!$A$3:$A$32,0),MATCH("Emotion hook",'Topic (56-pt) cards'!$A$2:$BB$2,0))&amp;""</f>
        <v/>
      </c>
    </row>
    <row r="18" ht="30" customHeight="1">
      <c r="A18" s="23" t="inlineStr">
        <is>
          <t>Importance ★</t>
        </is>
      </c>
      <c r="B18" s="17">
        <f>INDEX('Topic (56-pt) cards'!$A$3:$BB$32,MATCH($B$2,'Topic (56-pt) cards'!$A$3:$A$32,0),MATCH("Importance ★",'Topic (56-pt) cards'!$A$2:$BB$2,0))&amp;""</f>
        <v/>
      </c>
    </row>
    <row r="19">
      <c r="A19" s="24" t="inlineStr">
        <is>
          <t>BACK · Understanding (samjho)</t>
        </is>
      </c>
    </row>
    <row r="20" ht="40.5" customHeight="1">
      <c r="A20" s="23" t="inlineStr">
        <is>
          <t>Definition (simple)</t>
        </is>
      </c>
      <c r="B20" s="17">
        <f>INDEX('Topic (56-pt) cards'!$A$3:$BB$32,MATCH($B$2,'Topic (56-pt) cards'!$A$3:$A$32,0),MATCH("Definition (simple)",'Topic (56-pt) cards'!$A$2:$BB$2,0))&amp;""</f>
        <v/>
      </c>
    </row>
    <row r="21" ht="30" customHeight="1">
      <c r="A21" s="23" t="inlineStr">
        <is>
          <t>Meaning in learner's language</t>
        </is>
      </c>
      <c r="B21" s="17">
        <f>INDEX('Topic (56-pt) cards'!$A$3:$BB$32,MATCH($B$2,'Topic (56-pt) cards'!$A$3:$A$32,0),MATCH("Meaning in learner's language",'Topic (56-pt) cards'!$A$2:$BB$2,0))&amp;""</f>
        <v/>
      </c>
    </row>
    <row r="22" ht="54" customHeight="1">
      <c r="A22" s="23" t="inlineStr">
        <is>
          <t>How / why it works</t>
        </is>
      </c>
      <c r="B22" s="17">
        <f>INDEX('Topic (56-pt) cards'!$A$3:$BB$32,MATCH($B$2,'Topic (56-pt) cards'!$A$3:$A$32,0),MATCH("How / why it works",'Topic (56-pt) cards'!$A$2:$BB$2,0))&amp;""</f>
        <v/>
      </c>
    </row>
    <row r="23" ht="30" customHeight="1">
      <c r="A23" s="23" t="inlineStr">
        <is>
          <t>Simple explanation (Hinglish)</t>
        </is>
      </c>
      <c r="B23" s="17">
        <f>INDEX('Topic (56-pt) cards'!$A$3:$BB$32,MATCH($B$2,'Topic (56-pt) cards'!$A$3:$A$32,0),MATCH("Simple explanation (Hinglish)",'Topic (56-pt) cards'!$A$2:$BB$2,0))&amp;""</f>
        <v/>
      </c>
    </row>
    <row r="24" ht="30" customHeight="1">
      <c r="A24" s="23" t="inlineStr">
        <is>
          <t>Real-life analogy</t>
        </is>
      </c>
      <c r="B24" s="17">
        <f>INDEX('Topic (56-pt) cards'!$A$3:$BB$32,MATCH($B$2,'Topic (56-pt) cards'!$A$3:$A$32,0),MATCH("Real-life analogy",'Topic (56-pt) cards'!$A$2:$BB$2,0))&amp;""</f>
        <v/>
      </c>
    </row>
    <row r="25" ht="30" customHeight="1">
      <c r="A25" s="23" t="inlineStr">
        <is>
          <t>Formula / rule</t>
        </is>
      </c>
      <c r="B25" s="17">
        <f>INDEX('Topic (56-pt) cards'!$A$3:$BB$32,MATCH($B$2,'Topic (56-pt) cards'!$A$3:$A$32,0),MATCH("Formula / rule",'Topic (56-pt) cards'!$A$2:$BB$2,0))&amp;""</f>
        <v/>
      </c>
    </row>
    <row r="26" ht="30" customHeight="1">
      <c r="A26" s="23" t="inlineStr">
        <is>
          <t>Example 1</t>
        </is>
      </c>
      <c r="B26" s="17">
        <f>INDEX('Topic (56-pt) cards'!$A$3:$BB$32,MATCH($B$2,'Topic (56-pt) cards'!$A$3:$A$32,0),MATCH("Example 1",'Topic (56-pt) cards'!$A$2:$BB$2,0))&amp;""</f>
        <v/>
      </c>
    </row>
    <row r="27" ht="30" customHeight="1">
      <c r="A27" s="23" t="inlineStr">
        <is>
          <t>Example 2</t>
        </is>
      </c>
      <c r="B27" s="17">
        <f>INDEX('Topic (56-pt) cards'!$A$3:$BB$32,MATCH($B$2,'Topic (56-pt) cards'!$A$3:$A$32,0),MATCH("Example 2",'Topic (56-pt) cards'!$A$2:$BB$2,0))&amp;""</f>
        <v/>
      </c>
    </row>
    <row r="28" ht="30" customHeight="1">
      <c r="A28" s="23" t="inlineStr">
        <is>
          <t>Example 3</t>
        </is>
      </c>
      <c r="B28" s="17">
        <f>INDEX('Topic (56-pt) cards'!$A$3:$BB$32,MATCH($B$2,'Topic (56-pt) cards'!$A$3:$A$32,0),MATCH("Example 3",'Topic (56-pt) cards'!$A$2:$BB$2,0))&amp;""</f>
        <v/>
      </c>
    </row>
    <row r="29" ht="30" customHeight="1">
      <c r="A29" s="23" t="inlineStr">
        <is>
          <t>Related concepts</t>
        </is>
      </c>
      <c r="B29" s="17">
        <f>INDEX('Topic (56-pt) cards'!$A$3:$BB$32,MATCH($B$2,'Topic (56-pt) cards'!$A$3:$A$32,0),MATCH("Related concepts",'Topic (56-pt) cards'!$A$2:$BB$2,0))&amp;""</f>
        <v/>
      </c>
    </row>
    <row r="30" ht="30" customHeight="1">
      <c r="A30" s="23" t="inlineStr">
        <is>
          <t>Family / group</t>
        </is>
      </c>
      <c r="B30" s="17">
        <f>INDEX('Topic (56-pt) cards'!$A$3:$BB$32,MATCH($B$2,'Topic (56-pt) cards'!$A$3:$A$32,0),MATCH("Family / group",'Topic (56-pt) cards'!$A$2:$BB$2,0))&amp;""</f>
        <v/>
      </c>
    </row>
    <row r="31" ht="30" customHeight="1">
      <c r="A31" s="23" t="inlineStr">
        <is>
          <t>Where it is used</t>
        </is>
      </c>
      <c r="B31" s="17">
        <f>INDEX('Topic (56-pt) cards'!$A$3:$BB$32,MATCH($B$2,'Topic (56-pt) cards'!$A$3:$A$32,0),MATCH("Where it is used",'Topic (56-pt) cards'!$A$2:$BB$2,0))&amp;""</f>
        <v/>
      </c>
    </row>
    <row r="32" ht="30" customHeight="1">
      <c r="A32" s="23" t="inlineStr">
        <is>
          <t>Mini conversation</t>
        </is>
      </c>
      <c r="B32" s="17">
        <f>INDEX('Topic (56-pt) cards'!$A$3:$BB$32,MATCH($B$2,'Topic (56-pt) cards'!$A$3:$A$32,0),MATCH("Mini conversation",'Topic (56-pt) cards'!$A$2:$BB$2,0))&amp;""</f>
        <v/>
      </c>
    </row>
    <row r="33" ht="30" customHeight="1">
      <c r="A33" s="23" t="inlineStr">
        <is>
          <t>Common mistake</t>
        </is>
      </c>
      <c r="B33" s="17">
        <f>INDEX('Topic (56-pt) cards'!$A$3:$BB$32,MATCH($B$2,'Topic (56-pt) cards'!$A$3:$A$32,0),MATCH("Common mistake",'Topic (56-pt) cards'!$A$2:$BB$2,0))&amp;""</f>
        <v/>
      </c>
    </row>
    <row r="34" ht="30" customHeight="1">
      <c r="A34" s="23" t="inlineStr">
        <is>
          <t>Don't confuse with</t>
        </is>
      </c>
      <c r="B34" s="17">
        <f>INDEX('Topic (56-pt) cards'!$A$3:$BB$32,MATCH($B$2,'Topic (56-pt) cards'!$A$3:$A$32,0),MATCH("Don't confuse with",'Topic (56-pt) cards'!$A$2:$BB$2,0))&amp;""</f>
        <v/>
      </c>
    </row>
    <row r="35" ht="30" customHeight="1">
      <c r="A35" s="23" t="inlineStr">
        <is>
          <t>Avoid / don't</t>
        </is>
      </c>
      <c r="B35" s="17">
        <f>INDEX('Topic (56-pt) cards'!$A$3:$BB$32,MATCH($B$2,'Topic (56-pt) cards'!$A$3:$A$32,0),MATCH("Avoid / don't",'Topic (56-pt) cards'!$A$2:$BB$2,0))&amp;""</f>
        <v/>
      </c>
    </row>
    <row r="36" ht="30" customHeight="1">
      <c r="A36" s="23" t="inlineStr">
        <is>
          <t>Memory trick</t>
        </is>
      </c>
      <c r="B36" s="17">
        <f>INDEX('Topic (56-pt) cards'!$A$3:$BB$32,MATCH($B$2,'Topic (56-pt) cards'!$A$3:$A$32,0),MATCH("Memory trick",'Topic (56-pt) cards'!$A$2:$BB$2,0))&amp;""</f>
        <v/>
      </c>
    </row>
    <row r="37" ht="30" customHeight="1">
      <c r="A37" s="23" t="inlineStr">
        <is>
          <t>Real life: project / work</t>
        </is>
      </c>
      <c r="B37" s="17">
        <f>INDEX('Topic (56-pt) cards'!$A$3:$BB$32,MATCH($B$2,'Topic (56-pt) cards'!$A$3:$A$32,0),MATCH("Real life: project / work",'Topic (56-pt) cards'!$A$2:$BB$2,0))&amp;""</f>
        <v/>
      </c>
    </row>
    <row r="38" ht="30" customHeight="1">
      <c r="A38" s="23" t="inlineStr">
        <is>
          <t>Real life: interview / exam</t>
        </is>
      </c>
      <c r="B38" s="17">
        <f>INDEX('Topic (56-pt) cards'!$A$3:$BB$32,MATCH($B$2,'Topic (56-pt) cards'!$A$3:$A$32,0),MATCH("Real life: interview / exam",'Topic (56-pt) cards'!$A$2:$BB$2,0))&amp;""</f>
        <v/>
      </c>
    </row>
    <row r="39" ht="30" customHeight="1">
      <c r="A39" s="23" t="inlineStr">
        <is>
          <t>Real life: daily life</t>
        </is>
      </c>
      <c r="B39" s="17">
        <f>INDEX('Topic (56-pt) cards'!$A$3:$BB$32,MATCH($B$2,'Topic (56-pt) cards'!$A$3:$A$32,0),MATCH("Real life: daily life",'Topic (56-pt) cards'!$A$2:$BB$2,0))&amp;""</f>
        <v/>
      </c>
    </row>
    <row r="40">
      <c r="A40" s="25" t="inlineStr">
        <is>
          <t>PRACTICE · Khud karo</t>
        </is>
      </c>
    </row>
    <row r="41" ht="30" customHeight="1">
      <c r="A41" s="23" t="inlineStr">
        <is>
          <t>MCQ question</t>
        </is>
      </c>
      <c r="B41" s="17">
        <f>INDEX('Topic (56-pt) cards'!$A$3:$BB$32,MATCH($B$2,'Topic (56-pt) cards'!$A$3:$A$32,0),MATCH("MCQ question",'Topic (56-pt) cards'!$A$2:$BB$2,0))&amp;""</f>
        <v/>
      </c>
    </row>
    <row r="42" ht="30" customHeight="1">
      <c r="A42" s="23" t="inlineStr">
        <is>
          <t>MCQ options</t>
        </is>
      </c>
      <c r="B42" s="17">
        <f>INDEX('Topic (56-pt) cards'!$A$3:$BB$32,MATCH($B$2,'Topic (56-pt) cards'!$A$3:$A$32,0),MATCH("MCQ options",'Topic (56-pt) cards'!$A$2:$BB$2,0))&amp;""</f>
        <v/>
      </c>
    </row>
    <row r="43" ht="30" customHeight="1">
      <c r="A43" s="23" t="inlineStr">
        <is>
          <t>MCQ answer</t>
        </is>
      </c>
      <c r="B43" s="17">
        <f>INDEX('Topic (56-pt) cards'!$A$3:$BB$32,MATCH($B$2,'Topic (56-pt) cards'!$A$3:$A$32,0),MATCH("MCQ answer",'Topic (56-pt) cards'!$A$2:$BB$2,0))&amp;""</f>
        <v/>
      </c>
    </row>
    <row r="44" ht="30" customHeight="1">
      <c r="A44" s="23" t="inlineStr">
        <is>
          <t>Why that answer</t>
        </is>
      </c>
      <c r="B44" s="17">
        <f>INDEX('Topic (56-pt) cards'!$A$3:$BB$32,MATCH($B$2,'Topic (56-pt) cards'!$A$3:$A$32,0),MATCH("Why that answer",'Topic (56-pt) cards'!$A$2:$BB$2,0))&amp;""</f>
        <v/>
      </c>
    </row>
    <row r="45" ht="30" customHeight="1">
      <c r="A45" s="23" t="inlineStr">
        <is>
          <t>Fill the blank</t>
        </is>
      </c>
      <c r="B45" s="17">
        <f>INDEX('Topic (56-pt) cards'!$A$3:$BB$32,MATCH($B$2,'Topic (56-pt) cards'!$A$3:$A$32,0),MATCH("Fill the blank",'Topic (56-pt) cards'!$A$2:$BB$2,0))&amp;""</f>
        <v/>
      </c>
    </row>
    <row r="46" ht="30" customHeight="1">
      <c r="A46" s="23" t="inlineStr">
        <is>
          <t>Apply it</t>
        </is>
      </c>
      <c r="B46" s="17">
        <f>INDEX('Topic (56-pt) cards'!$A$3:$BB$32,MATCH($B$2,'Topic (56-pt) cards'!$A$3:$A$32,0),MATCH("Apply it",'Topic (56-pt) cards'!$A$2:$BB$2,0))&amp;""</f>
        <v/>
      </c>
    </row>
    <row r="47" ht="30" customHeight="1">
      <c r="A47" s="23" t="inlineStr">
        <is>
          <t>Explain it yourself</t>
        </is>
      </c>
      <c r="B47" s="17">
        <f>INDEX('Topic (56-pt) cards'!$A$3:$BB$32,MATCH($B$2,'Topic (56-pt) cards'!$A$3:$A$32,0),MATCH("Explain it yourself",'Topic (56-pt) cards'!$A$2:$BB$2,0))&amp;""</f>
        <v/>
      </c>
    </row>
    <row r="48" ht="30" customHeight="1">
      <c r="A48" s="23" t="inlineStr">
        <is>
          <t>Write your own</t>
        </is>
      </c>
      <c r="B48" s="17">
        <f>INDEX('Topic (56-pt) cards'!$A$3:$BB$32,MATCH($B$2,'Topic (56-pt) cards'!$A$3:$A$32,0),MATCH("Write your own",'Topic (56-pt) cards'!$A$2:$BB$2,0))&amp;""</f>
        <v/>
      </c>
    </row>
    <row r="49" ht="30" customHeight="1">
      <c r="A49" s="23" t="inlineStr">
        <is>
          <t>Quick recall (reverse)</t>
        </is>
      </c>
      <c r="B49" s="17">
        <f>INDEX('Topic (56-pt) cards'!$A$3:$BB$32,MATCH($B$2,'Topic (56-pt) cards'!$A$3:$A$32,0),MATCH("Quick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cards'!$A$3:$A$32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6" t="inlineStr">
        <is>
          <t>Front</t>
        </is>
      </c>
      <c r="B1" s="26" t="inlineStr">
        <is>
          <t>Back</t>
        </is>
      </c>
      <c r="C1" s="26" t="inlineStr">
        <is>
          <t>Tags</t>
        </is>
      </c>
    </row>
    <row r="2" ht="409" customHeight="1">
      <c r="A2" s="27" t="inlineStr">
        <is>
          <t>What a forward deployed engineer does
Which engineer works directly with customers to make a product succeed in their setting?</t>
        </is>
      </c>
      <c r="B2" s="27" t="inlineStr">
        <is>
          <t>DEFINITION (SIMPLE):
A forward deployed engineer is a software engineer embedded with customers who configures, integrates and extends a product to solve the customer's real problem, and brings what they learn back to the product team.
HOW / WHY IT WORKS:
The work mixes technical tasks, such as integrations, data pipelines and prototypes, with customer tasks, such as discovery, demos and status updates. Success is measured by customer outcomes, not by lines of code. Titles and exact duties differ between companies, so always ask what the role owns in your team.
SIMPLE EXPLANATION (HINGLISH):
You build and fix things inside the customer's world so the product works for them.
REAL-LIFE ANALOGY:
A forward deployed engineer is the builder who moves onto the customer's street to finish the house.
FORMULA / RULE:
Understand the customer, build the fix, prove the outcome, feed it back.
EXAMPLE 1:
Connecting a customer's database to the product.
EXAMPLE 2:
Building a quick prototype for a new use case.
EXAMPLE 3:
Running a workshop to teach a customer team.
RELATED CONCEPTS:
success measures, discovery calls, stakeholder map, demos
FAMILY / GROUP:
embedded, customer, integration, outcome, deployment
WHERE IT IS USED:
Enterprise software | AI products | Data platforms
MINI CONVERSATION:
A: The product works in our demo but not at the customer. | B: That is where the forward deployed engineer steps in.
COMMON MISTAKE:
✗ The role is only technical support → ✓ It includes building, scoping and owning outcomes
DON'T CONFUSE WITH:
Forward deployed engineer vs support: building and owning the outcome versus answering and fixing tickets.
AVOID / DON'T:
Do not promise features that only the product team can build.
MEMORY TRICK:
Build where the customer lives.
REAL LIFE: PROJECT / WORK:
An embedded engineer connected a client's old database and got a stalled rollout moving.
REAL LIFE: INTERVIEW / EXAM:
An interviewer may ask: How is this role different from a normal software engineer?
REAL LIFE: DAILY LIFE:
It is like a builder who works on the customer's site instead of in a distant factory.</t>
        </is>
      </c>
      <c r="C2" s="27" t="inlineStr">
        <is>
          <t>01_The_role_Beginner_REQ-001</t>
        </is>
      </c>
    </row>
    <row r="3" ht="409" customHeight="1">
      <c r="A3" s="27" t="inlineStr">
        <is>
          <t>FDE vs solutions engineer vs support
How do three customer-facing technical roles differ?</t>
        </is>
      </c>
      <c r="B3" s="27" t="inlineStr">
        <is>
          <t>DEFINITION (SIMPLE):
Support answers and resolves issues, a solutions engineer helps customers choose and evaluate the product before and during the sale, and a forward deployed engineer builds and deploys custom work for the customer after and around the sale.
HOW / WHY IT WORKS:
Boundaries overlap and vary by company. Support is reactive and ticket driven. Solutions engineering is mostly pre-sale demos, proofs of concept and technical answers. Forward deployed work is longer, more hands-on and closer to production. Agree who does what in writing so customers are not passed around.
SIMPLE EXPLANATION (HINGLISH):
Support fixes, solutions engineers show, and forward deployed engineers build and deploy.
REAL-LIFE ANALOGY:
Support fixes the leak, the solutions engineer shows the house, and the forward deployed engineer builds the extension.
FORMULA / RULE:
Reactive fix, pre-sale proof, hands-on delivery.
EXAMPLE 1:
A support engineer resolving a login ticket.
EXAMPLE 2:
A solutions engineer running a proof of concept before purchase.
EXAMPLE 3:
A forward deployed engineer building an integration for go-live.
RELATED CONCEPTS:
what an FDE does, stakeholder map, success measures, scoping
FAMILY / GROUP:
support, pre-sale, delivery, ownership, handoff
WHERE IT IS USED:
Team design | Hiring | Customer projects
MINI CONVERSATION:
A: Who builds the custom connector? | B: That is delivery work for the forward deployed engineer.
COMMON MISTAKE:
✗ All customer-facing engineers do the same job → ✓ The scope, timing and ownership differ
DON'T CONFUSE WITH:
Solutions engineer vs FDE: pre-sale proof versus post-sale build and deployment.
AVOID / DON'T:
Do not take on another role's work without agreeing ownership.
MEMORY TRICK:
Support fixes, sales engineers show, FDEs build.
REAL LIFE: PROJECT / WORK:
A written split of roles stopped a customer being bounced between three teams.
REAL LIFE: INTERVIEW / EXAM:
An interviewer may ask: How does your role differ from support?
REAL LIFE: DAILY LIFE:
It is like a plumber, a showroom guide and a builder working on one home.</t>
        </is>
      </c>
      <c r="C3" s="27" t="inlineStr">
        <is>
          <t>01_The_role_Beginner_REQ-002</t>
        </is>
      </c>
    </row>
    <row r="4" ht="409" customHeight="1">
      <c r="A4" s="27" t="inlineStr">
        <is>
          <t>Success measures
How do you know a customer project is actually going well?</t>
        </is>
      </c>
      <c r="B4" s="27" t="inlineStr">
        <is>
          <t>DEFINITION (SIMPLE):
Success measures are agreed, observable indicators, such as time saved, errors removed, adoption or revenue protected, that show whether the customer's problem is solved.
HOW / WHY IT WORKS:
Good measures link to the customer's goal, have a baseline and a target, and can be checked without argument. Activity counts like meetings held are not outcomes. Leading indicators, such as weekly active users, warn early, while lagging ones, such as renewals, confirm results later. Review them with the customer, and change them in writing if goals change.
SIMPLE EXPLANATION (HINGLISH):
Agree up front which numbers show that the project worked.
REAL-LIFE ANALOGY:
Success measures are the scoreboard that both teams agree to read.
FORMULA / RULE:
Baseline, target, owner, date.
EXAMPLE 1:
Reducing invoice processing time from four days to one.
EXAMPLE 2:
Seventy percent of the support team using the tool weekly.
EXAMPLE 3:
Cutting data errors in a weekly report by half.
RELATED CONCEPTS:
success criteria, scoping, status updates, MVP
FAMILY / GROUP:
measure, baseline, target, outcome, metric
WHERE IT IS USED:
Kick-off | Reviews | Renewals
MINI CONVERSATION:
A: We delivered everything on the list. | B: Did the invoice time actually drop?
COMMON MISTAKE:
✗ Finishing all tasks means the project succeeded → ✓ Only the agreed outcome shows success
DON'T CONFUSE WITH:
Outputs vs outcomes: things delivered versus changes the customer sees.
AVOID / DON'T:
Do not measure success by the number of meetings or messages.
MEMORY TRICK:
Baseline first, target second, review always.
REAL LIFE: PROJECT / WORK:
A client's four-day invoice process, measured at the start, became a clear one-day win.
REAL LIFE: INTERVIEW / EXAM:
An interviewer may ask: How do you measure a customer project?
REAL LIFE: DAILY LIFE:
It is like checking a fitness goal against the scale and the tape measure.</t>
        </is>
      </c>
      <c r="C4" s="27" t="inlineStr">
        <is>
          <t>01_The_role_Beginner_REQ-003</t>
        </is>
      </c>
    </row>
    <row r="5" ht="409" customHeight="1">
      <c r="A5" s="27" t="inlineStr">
        <is>
          <t>Working with product and engineering teams
How does an FDE connect the customer to the people who build the product?</t>
        </is>
      </c>
      <c r="B5" s="27" t="inlineStr">
        <is>
          <t>DEFINITION (SIMPLE):
Working with product and engineering means sharing structured customer evidence, asking for changes with context and impact, and agreeing what is a custom workaround versus a product change.
HOW / WHY IT WORKS:
A good request states the customer problem, the current workaround, how many customers share it and the cost of waiting. Keep custom work separated from product code where possible so it does not become a hidden fork. Close the loop by telling the customer what was decided. Respect that product teams must prioritise across many customers.
SIMPLE EXPLANATION (HINGLISH):
Give the product team clear evidence and keep the customer informed about the decision.
REAL-LIFE ANALOGY:
The forward deployed engineer is the bridge that carries customer evidence back across the river.
FORMULA / RULE:
Problem, evidence, impact, workaround, ask.
EXAMPLE 1:
A short write-up showing three customers need the same export.
EXAMPLE 2:
A custom script kept outside the main product code.
EXAMPLE 3:
Telling a customer that a request was scheduled for later.
RELATED CONCEPTS:
what an FDE does, decision log, saying no, change requests
FAMILY / GROUP:
feedback, roadmap, workaround, priority, escalation
WHERE IT IS USED:
Product reviews | Escalations | Planning
MINI CONVERSATION:
A: Can we add this button for one customer? | B: Show the evidence from other customers so we can prioritise it.
COMMON MISTAKE:
✗ A customer request is the same as a product requirement → ✓ It needs evidence, impact and priority first
DON'T CONFUSE WITH:
Custom work vs product change: one customer's workaround versus a feature for many.
AVOID / DON'T:
Do not hide long-term custom forks that nobody else knows about.
MEMORY TRICK:
Bring evidence, not just wishes.
REAL LIFE: PROJECT / WORK:
Evidence from three customers got a missing export prioritised in one planning cycle.
REAL LIFE: INTERVIEW / EXAM:
An interviewer may ask: How do you pass customer feedback to the product team?
REAL LIFE: DAILY LIFE:
It is like a messenger who brings facts, not rumours, to the decision makers.</t>
        </is>
      </c>
      <c r="C5" s="27" t="inlineStr">
        <is>
          <t>01_The_role_Intermediate_REQ-004</t>
        </is>
      </c>
    </row>
    <row r="6" ht="409" customHeight="1">
      <c r="A6" s="27" t="inlineStr">
        <is>
          <t>Discovery calls
What is the first structured conversation with a customer for?</t>
        </is>
      </c>
      <c r="B6" s="27" t="inlineStr">
        <is>
          <t>DEFINITION (SIMPLE):
A discovery call is a structured conversation where you learn the customer's goals, current process, pain points, constraints and who decides, before proposing any solution.
HOW / WHY IT WORKS:
Prepare by reading what you know about the customer, then agree an agenda at the start. Ask about the current way of working, what hurts, what has been tried and what success looks like. Summarise what you heard at the end and send it afterwards for correction. Avoid jumping to solutions before the problem is clear.
SIMPLE EXPLANATION (HINGLISH):
Ask and listen first, so you know the real problem before suggesting anything.
REAL-LIFE ANALOGY:
A discovery call is a doctor's first visit, where questions come before treatment.
FORMULA / RULE:
Prepare, ask, listen, summarise, confirm.
EXAMPLE 1:
Asking how reports are made today.
EXAMPLE 2:
Asking who must approve a new tool.
EXAMPLE 3:
Sending a recap email with open questions.
RELATED CONCEPTS:
good questions, five whys, stakeholder map, scoping
FAMILY / GROUP:
discovery, agenda, pain point, recap, listening
WHERE IT IS USED:
Kick-off | Sales support | Project start
MINI CONVERSATION:
A: Should I demo the tool in the first call? | B: First learn the problem, then show what fits.
COMMON MISTAKE:
✗ Discovery is a sales pitch → ✓ It is a listening exercise to understand the problem
DON'T CONFUSE WITH:
Discovery vs demo: learning the problem versus showing the product.
AVOID / DON'T:
Do not start proposing solutions in the first ten minutes.
MEMORY TRICK:
Ask first, listen well, show later.
REAL LIFE: PROJECT / WORK:
A listening-first call revealed that the real pain was a manual export, not the dashboard.
REAL LIFE: INTERVIEW / EXAM:
An interviewer may ask: How do you run a first customer call?
REAL LIFE: DAILY LIFE:
It is like a doctor asking questions before writing the prescription.</t>
        </is>
      </c>
      <c r="C6" s="27" t="inlineStr">
        <is>
          <t>02_Discovery_Beginner_REQ-005</t>
        </is>
      </c>
    </row>
    <row r="7" ht="409" customHeight="1">
      <c r="A7" s="27" t="inlineStr">
        <is>
          <t>Good questions
Which kinds of questions uncover what a customer really needs?</t>
        </is>
      </c>
      <c r="B7" s="27" t="inlineStr">
        <is>
          <t>DEFINITION (SIMPLE):
Good discovery questions are open, specific and neutral, so they draw out facts, examples and feelings without leading the customer toward an answer.
HOW / WHY IT WORKS:
Open questions such as what happens today invite explanation. Specific follow-ups such as can you show me the last time it happened give real examples. Neutral wording avoids hinting at the answer you want. Ask about numbers, frequency and cost, and confirm by repeating back. Closed questions are useful at the end to check a detail.
SIMPLE EXPLANATION (HINGLISH):
Ask open questions, ask for examples, and do not hint at the answer.
REAL-LIFE ANALOGY:
Good questions are keys that open rooms the customer did not know to mention.
FORMULA / RULE:
Open, specific, neutral, then confirm.
EXAMPLE 1:
What happens when a report is late?
EXAMPLE 2:
Can you show me the last time that happened?
EXAMPLE 3:
How often does this cost you time each week?
RELATED CONCEPTS:
discovery calls, five whys, stakeholder map, success criteria
FAMILY / GROUP:
open question, closed question, follow-up, probing, neutral
WHERE IT IS USED:
Calls | Workshops | Interviews
MINI CONVERSATION:
A: They said they need a dashboard. | B: Ask what decision the dashboard would help them make.
COMMON MISTAKE:
✗ The first answer is the real requirement → ✓ It is often a solution idea that hides the real need
DON'T CONFUSE WITH:
Open vs closed questions: invite explanation versus allow only yes or no.
AVOID / DON'T:
Do not ask leading questions such as You want it faster, right.
MEMORY TRICK:
What, how, why, then show me.
REAL LIFE: PROJECT / WORK:
Asking what decision the dashboard supported revealed a simple alert was enough.
REAL LIFE: INTERVIEW / EXAM:
An interviewer may ask: How do you find out what a customer truly needs?
REAL LIFE: DAILY LIFE:
It is like asking why someone is thirsty before handing them a drink.</t>
        </is>
      </c>
      <c r="C7" s="27" t="inlineStr">
        <is>
          <t>02_Discovery_Beginner_REQ-006</t>
        </is>
      </c>
    </row>
    <row r="8" ht="409" customHeight="1">
      <c r="A8" s="27" t="inlineStr">
        <is>
          <t>The five whys
Which technique digs from a symptom down to its root cause?</t>
        </is>
      </c>
      <c r="B8" s="27" t="inlineStr">
        <is>
          <t>DEFINITION (SIMPLE):
The five whys is a method of asking why repeatedly, each time about the previous answer, until the underlying cause of a problem is found rather than its visible symptom.
HOW / WHY IT WORKS:
Start with the problem in plain words and ask why it happens, then ask why about that answer, and continue. The number five is a guide, not a rule. Keep to facts rather than blame, and check each answer with evidence. Real problems may have several causes, so branch where needed. Use it for process problems, incidents and unclear requests.
SIMPLE EXPLANATION (HINGLISH):
Keep asking why about each answer until you reach the real cause.
REAL-LIFE ANALOGY:
The five whys peel the onion until you reach the core.
FORMULA / RULE:
Problem, why, why, why, until you can act.
EXAMPLE 1:
Why are reports late, because data arrives late, because the export is manual.
EXAMPLE 2:
Why did the job fail, because the disk was full.
EXAMPLE 3:
Why do users avoid the tool, because it takes too many clicks.
RELATED CONCEPTS:
good questions, discovery calls, runbook, postmortems
FAMILY / GROUP:
root cause, symptom, chain, evidence, blame
WHERE IT IS USED:
Discovery | Incidents | Process review
MINI CONVERSATION:
A: Reports are always late. | B: Why, and why is that step slow.
COMMON MISTAKE:
✗ There is exactly one cause for each problem → ✓ Problems often have several causes
DON'T CONFUSE WITH:
Symptom vs root cause: what you see versus why it happens.
AVOID / DON'T:
Do not use whys to blame people instead of finding causes.
MEMORY TRICK:
Keep peeling until you can act.
REAL LIFE: PROJECT / WORK:
Five whys traced a late weekly report to one manual export step that was easy to automate.
REAL LIFE: INTERVIEW / EXAM:
An interviewer may ask: How do you find the root cause of a customer problem?
REAL LIFE: DAILY LIFE:
It is like asking a child why until the real reason appears.</t>
        </is>
      </c>
      <c r="C8" s="27" t="inlineStr">
        <is>
          <t>02_Discovery_Intermediate_REQ-007</t>
        </is>
      </c>
    </row>
    <row r="9" ht="409" customHeight="1">
      <c r="A9" s="27" t="inlineStr">
        <is>
          <t>Stakeholder map
How do you keep track of who matters in a customer project?</t>
        </is>
      </c>
      <c r="B9" s="27" t="inlineStr">
        <is>
          <t>DEFINITION (SIMPLE):
A stakeholder map lists the people and groups affected by or able to influence a project, with their role, interests, level of influence and how to keep them informed.
HOW / WHY IT WORKS:
Typical roles are sponsor, decision maker, daily users, technical owners, security or legal reviewers and sceptics. A simple grid of high or low influence against high or low interest suggests who to keep close and who to inform. Update it after every meeting. Store only business information, and respect privacy when noting personal details.
SIMPLE EXPLANATION (HINGLISH):
Write down who is involved, what they care about and how much say they have.
REAL-LIFE ANALOGY:
A stakeholder map is a seating chart for everyone who touches the project.
FORMULA / RULE:
Who, role, interest, influence, plan.
EXAMPLE 1:
A sponsor who funds and approves the project.
EXAMPLE 2:
A security reviewer who can block go-live.
EXAMPLE 3:
Daily users who decide whether the tool is adopted.
RELATED CONCEPTS:
discovery calls, scoping, security and data questions, status updates
FAMILY / GROUP:
stakeholder, sponsor, influence, owner, sceptic
WHERE IT IS USED:
Kick-off | Planning | Escalations
MINI CONVERSATION:
A: Who signs off the data access? | B: Add the security lead to the map and meet them early.
COMMON MISTAKE:
✗ Only the person who pays matters → ✓ Users, owners and reviewers can all make or break the project
DON'T CONFUSE WITH:
Sponsor vs user: the person who approves versus the person who uses it daily.
AVOID / DON'T:
Do not ignore the daily users until launch.
MEMORY TRICK:
Everyone with a say gets a seat.
REAL LIFE: PROJECT / WORK:
A late-added security reviewer on the map saved weeks of rework on data access.
REAL LIFE: INTERVIEW / EXAM:
An interviewer may ask: How do you make sure you do not miss an important person on a project?
REAL LIFE: DAILY LIFE:
It is like a seating chart for a wedding where everyone must feel included.</t>
        </is>
      </c>
      <c r="C9" s="27" t="inlineStr">
        <is>
          <t>02_Discovery_Intermediate_REQ-008</t>
        </is>
      </c>
    </row>
    <row r="10" ht="409" customHeight="1">
      <c r="A10" s="27" t="inlineStr">
        <is>
          <t>Scoping
How do you decide what is in and out of a project?</t>
        </is>
      </c>
      <c r="B10" s="27" t="inlineStr">
        <is>
          <t>DEFINITION (SIMPLE):
Scoping is agreeing and writing down what will be delivered, what will not, the assumptions behind it, and what the customer must provide.
HOW / WHY IT WORKS:
A scope statement lists goals, deliverables, exclusions, dependencies, responsibilities of both sides and acceptance rules. It protects both parties from vague expectations. Review it with the customer and have it confirmed in writing. When new requests appear, compare them with the scope and handle them as a change request instead of absorbing them silently.
SIMPLE EXPLANATION (HINGLISH):
Write down what you will do, what you will not, and what you need from the customer.
REAL-LIFE ANALOGY:
Scoping is drawing the fence before you start digging the garden.
FORMULA / RULE:
In, out, assumptions, dependencies, acceptance.
EXAMPLE 1:
Including a data import but excluding a custom dashboard.
EXAMPLE 2:
Stating that the customer provides test accounts.
EXAMPLE 3:
Listing what counts as done for the integration.
RELATED CONCEPTS:
MVP, success criteria, change requests, estimating
FAMILY / GROUP:
scope, exclusion, deliverable, dependency, boundary
WHERE IT IS USED:
Proposals | Kick-off | Contracts
MINI CONVERSATION:
A: Can you also add reporting for finance? | B: That is outside our agreed scope, so let us raise it as a change.
COMMON MISTAKE:
✗ A flexible scope keeps the customer happier → ✓ An unclear scope usually causes disputes and delays
DON'T CONFUSE WITH:
In scope vs out of scope: agreed work versus requests needing a change.
AVOID / DON'T:
Do not accept extra work verbally without recording it.
MEMORY TRICK:
Draw the fence before you dig.
REAL LIFE: PROJECT / WORK:
A written exclusion list kept an integration project on time when new asks arrived.
REAL LIFE: INTERVIEW / EXAM:
An interviewer may ask: How do you stop scope creep?
REAL LIFE: DAILY LIFE:
It is like agreeing the shopping list before entering the shop.</t>
        </is>
      </c>
      <c r="C10" s="27" t="inlineStr">
        <is>
          <t>02_Discovery_Intermediate_REQ-009</t>
        </is>
      </c>
    </row>
    <row r="11" ht="409" customHeight="1">
      <c r="A11" s="27" t="inlineStr">
        <is>
          <t>MVP
What is the smallest useful version you can deliver and learn from?</t>
        </is>
      </c>
      <c r="B11" s="27" t="inlineStr">
        <is>
          <t>DEFINITION (SIMPLE):
A minimum viable product is the smallest version of a solution that delivers real value to real users and teaches you whether the idea is right.
HOW / WHY IT WORKS:
An MVP is a complete thin slice, not a broken full version. It should cover one important workflow from start to finish, be usable by real people, and have a clear question it tests. Agree with the customer what is deliberately left out and when the next step will be decided. In customer work, an MVP often means a pilot with one team.
SIMPLE EXPLANATION (HINGLISH):
Build the smallest thing that really works and learn from using it.
REAL-LIFE ANALOGY:
An MVP is a first bicycle that already rolls, not a half-built car.
FORMULA / RULE:
One workflow, end to end, real users, a question to answer.
EXAMPLE 1:
A pilot with one support team before a company-wide rollout.
EXAMPLE 2:
Automating one weekly report before the whole reporting suite.
EXAMPLE 3:
A prototype that uses a sample of the data.
RELATED CONCEPTS:
scoping, success criteria, prioritising, demos
FAMILY / GROUP:
MVP, pilot, thin slice, prototype, iteration
WHERE IT IS USED:
Proposals | Pilots | Product work
MINI CONVERSATION:
A: Should we build all five reports first? | B: Start with the one that saves the most time and learn from it.
COMMON MISTAKE:
✗ An MVP is a low-quality product → ✓ It is a small but complete and useful version
DON'T CONFUSE WITH:
MVP vs prototype: a usable first version versus a model for testing an idea.
AVOID / DON'T:
Do not call a half-working demo an MVP.
MEMORY TRICK:
Small, whole, useful, and tested by real users.
REAL LIFE: PROJECT / WORK:
A one-team pilot proved value and unlocked budget for the full rollout.
REAL LIFE: INTERVIEW / EXAM:
An interviewer may ask: What would you include in an MVP?
REAL LIFE: DAILY LIFE:
It is like opening one stall before building the whole market.</t>
        </is>
      </c>
      <c r="C11" s="27" t="inlineStr">
        <is>
          <t>02_Discovery_Intermediate_REQ-010</t>
        </is>
      </c>
    </row>
    <row r="12" ht="409" customHeight="1">
      <c r="A12" s="27" t="inlineStr">
        <is>
          <t>Success criteria
How do you agree in advance what done means?</t>
        </is>
      </c>
      <c r="B12" s="27" t="inlineStr">
        <is>
          <t>DEFINITION (SIMPLE):
Success criteria are specific, testable conditions that must be true for the customer to accept the work as complete.
HOW / WHY IT WORKS:
Each criterion should be measurable, such as the import completes in under ten minutes for a given file, rather than vague, such as fast. Link them to the customer's goal and to the acceptance step. Agree who checks them and how. Change them only through a written, agreed update. They differ from success measures in that they judge a delivery, while measures judge the long-term outcome.
SIMPLE EXPLANATION (HINGLISH):
Write clear checks that everyone agrees mean the work is finished.
REAL-LIFE ANALOGY:
Success criteria are the finish line painted on the track before the race.
FORMULA / RULE:
Specific, testable, agreed, checked by someone named.
EXAMPLE 1:
The import handles a file of one hundred thousand rows.
EXAMPLE 2:
Three named users can log in with single sign-on.
EXAMPLE 3:
The report matches the finance team's manual total.
RELATED CONCEPTS:
success measures, acceptance criteria, scoping, MVP
FAMILY / GROUP:
criteria, testable, acceptance, done, checkpoint
WHERE IT IS USED:
Contracts | Kick-off | Handover
MINI CONVERSATION:
A: Is the integration done? | B: Check it against the criteria we agreed in the scope.
COMMON MISTAKE:
✗ Everyone naturally agrees on what done means → ✓ Without written criteria, people often disagree at the end
DON'T CONFUSE WITH:
Success criteria vs success measures: judging a delivery versus judging a long-term outcome.
AVOID / DON'T:
Do not use vague words like fast, easy or better as criteria.
MEMORY TRICK:
Paint the finish line before the race starts.
REAL LIFE: PROJECT / WORK:
Written criteria for an import let both teams accept the work in one meeting.
REAL LIFE: INTERVIEW / EXAM:
An interviewer may ask: How do you define done for a customer project?
REAL LIFE: DAILY LIFE:
It is like agreeing the exact photo of a finished room before painting.</t>
        </is>
      </c>
      <c r="C12" s="27" t="inlineStr">
        <is>
          <t>02_Discovery_Intermediate_REQ-011</t>
        </is>
      </c>
    </row>
    <row r="13" ht="409" customHeight="1">
      <c r="A13" s="27" t="inlineStr">
        <is>
          <t>User stories
Which short format captures a need from the user's point of view?</t>
        </is>
      </c>
      <c r="B13" s="27" t="inlineStr">
        <is>
          <t>DEFINITION (SIMPLE):
A user story is a short description of a need in the form as a type of user, I want a capability, so that I get a benefit.
HOW / WHY IT WORKS:
The format keeps the focus on who needs something and why. Stories should be small enough to finish in one iteration and independent enough to be reordered. Details are added through acceptance criteria and conversation. A story is a promise to discuss, not a full specification. Avoid writing technical tasks as stories.
SIMPLE EXPLANATION (HINGLISH):
Say who needs what, and why, in one sentence.
REAL-LIFE ANALOGY:
A user story is a sticky note that says who, what and why in one line.
FORMULA / RULE:
As a who, I want what, so that why.
EXAMPLE 1:
As an analyst, I want to export the report so that I can share it with finance.
EXAMPLE 2:
As an admin, I want to reset a password so that users are not locked out.
EXAMPLE 3:
As a manager, I want a weekly summary so that I can spot delays.
RELATED CONCEPTS:
acceptance criteria, prioritising, estimating, change requests
FAMILY / GROUP:
story, persona, benefit, backlog, iteration
WHERE IT IS USED:
Backlogs | Planning | Workshops
MINI CONVERSATION:
A: Add a filter to the page. | B: Who needs it and why, so we can write the story.
COMMON MISTAKE:
✗ A user story is a complete specification → ✓ It starts a conversation that needs detail added
DON'T CONFUSE WITH:
User story vs task: a user need versus a piece of technical work.
AVOID / DON'T:
Do not write stories with no user and no reason.
MEMORY TRICK:
Who, what, why on one note.
REAL LIFE: PROJECT / WORK:
Rewriting requests as stories showed that two requests had the same real need.
REAL LIFE: INTERVIEW / EXAM:
An interviewer may ask: How do you write a good user story?
REAL LIFE: DAILY LIFE:
It is like a note that says who wants what and why before shopping.</t>
        </is>
      </c>
      <c r="C13" s="27" t="inlineStr">
        <is>
          <t>03_Requirements_Beginner_REQ-012</t>
        </is>
      </c>
    </row>
    <row r="14" ht="409" customHeight="1">
      <c r="A14" s="27" t="inlineStr">
        <is>
          <t>Acceptance criteria
Which checks decide whether a story is really finished?</t>
        </is>
      </c>
      <c r="B14" s="27" t="inlineStr">
        <is>
          <t>DEFINITION (SIMPLE):
Acceptance criteria are the specific, testable conditions that a story must meet to be accepted, often written as given a situation, when an action, then a result.
HOW / WHY IT WORKS:
Criteria cover the main path, important edge cases and errors. Each should be a clear pass or fail. Writing them before building avoids debate afterwards and gives testers something concrete. Keep them about behaviour the user sees, not about the internal design.
SIMPLE EXPLANATION (HINGLISH):
List the exact conditions that must pass for the story to count as done.
REAL-LIFE ANALOGY:
Acceptance criteria are the exam questions the story must pass.
FORMULA / RULE:
Given, when, then.
EXAMPLE 1:
Given a file with errors, when imported, then a clear error list is shown.
EXAMPLE 2:
Given a valid file, when imported, then all rows appear in the table.
EXAMPLE 3:
Given no permission, when exporting, then access is refused with a message.
RELATED CONCEPTS:
user stories, success criteria, estimating, change requests
FAMILY / GROUP:
criteria, given when then, pass, edge case, behaviour
WHERE IT IS USED:
Backlogs | Testing | Sign-off
MINI CONVERSATION:
A: How do we know the export story is done? | B: Check each acceptance criterion on the card.
COMMON MISTAKE:
✗ Acceptance criteria describe how to build it → ✓ They describe what the user sees when it works
DON'T CONFUSE WITH:
Acceptance criteria vs success criteria: one story's checks versus the project's overall conditions.
AVOID / DON'T:
Do not leave stories without any testable condition.
MEMORY TRICK:
Given, when, then, pass or fail.
REAL LIFE: PROJECT / WORK:
Criteria with edge cases caught a missing error message before the customer test.
REAL LIFE: INTERVIEW / EXAM:
An interviewer may ask: What are acceptance criteria and who writes them?
REAL LIFE: DAILY LIFE:
It is like a checklist of what a finished room must have.</t>
        </is>
      </c>
      <c r="C14" s="27" t="inlineStr">
        <is>
          <t>03_Requirements_Beginner_REQ-013</t>
        </is>
      </c>
    </row>
    <row r="15" ht="409" customHeight="1">
      <c r="A15" s="27" t="inlineStr">
        <is>
          <t>Prioritising with MoSCoW
Which method sorts requirements into must, should, could and will not?</t>
        </is>
      </c>
      <c r="B15" s="27" t="inlineStr">
        <is>
          <t>DEFINITION (SIMPLE):
MoSCoW sorts requirements into Must have, Should have, Could have and Will not have this time, so the team agrees what is essential for the deadline.
HOW / WHY IT WORKS:
Must items are needed for the release to work or be legal. Should items are important but there are workarounds. Could items are nice to have if time allows. Will not items are agreed as out for now, and are not rejected forever. Review the groups with the customer, and be ready to move items when time or facts change.
SIMPLE EXPLANATION (HINGLISH):
Sort every request into must, should, could or will not for this release.
REAL-LIFE ANALOGY:
MoSCoW is a packing list that says what must go in the bag and what can stay at home.
FORMULA / RULE:
Must, Should, Could, Will not.
EXAMPLE 1:
Login is a Must for a secure tool.
EXAMPLE 2:
An export to spreadsheet is a Should.
EXAMPLE 3:
A dark theme is a Could.
RELATED CONCEPTS:
scoping, MVP, estimating, change requests
FAMILY / GROUP:
priority, must, should, could, trade-off
WHERE IT IS USED:
Planning | Workshops | Release decisions
MINI CONVERSATION:
A: Everything is a must. | B: Ask what breaks if each item is missing.
COMMON MISTAKE:
✗ Everything can be a Must → ✓ If everything is a Must, nothing is prioritised
DON'T CONFUSE WITH:
Must vs Should: the release fails without it versus important but has a workaround.
AVOID / DON'T:
Do not let every item become a Must.
MEMORY TRICK:
Ask what breaks if it is missing.
REAL LIFE: PROJECT / WORK:
A MoSCoW session cut a long list to a short Must group and saved time.
REAL LIFE: INTERVIEW / EXAM:
An interviewer may ask: How do you prioritise customer requests?
REAL LIFE: DAILY LIFE:
It is like deciding what goes in a small suitcase.</t>
        </is>
      </c>
      <c r="C15" s="27" t="inlineStr">
        <is>
          <t>03_Requirements_Intermediate_REQ-014</t>
        </is>
      </c>
    </row>
    <row r="16" ht="409" customHeight="1">
      <c r="A16" s="27" t="inlineStr">
        <is>
          <t>Assumptions and risks
How do you record what you are guessing and what could go wrong?</t>
        </is>
      </c>
      <c r="B16" s="27" t="inlineStr">
        <is>
          <t>DEFINITION (SIMPLE):
An assumption is something treated as true without proof, and a risk is an uncertain event that could harm the project, and both are recorded with an owner and a plan.
HOW / WHY IT WORKS:
Typical assumptions are that data will be available by a date, that test accounts exist or that an API can handle the load. Risks are rated by likelihood and impact, with an action to reduce them. Review the list at every status meeting. An assumption that turns out false becomes an issue and may trigger a change request.
SIMPLE EXPLANATION (HINGLISH):
Write down what you are guessing and what could go wrong, and check them early.
REAL-LIFE ANALOGY:
Assumptions are the loose planks in a bridge, and a risk list tells you where to test them.
FORMULA / RULE:
Assumption, owner, check date; risk, likelihood, impact, action.
EXAMPLE 1:
Assuming the customer will provide sample data by Friday.
EXAMPLE 2:
A risk that the security review takes longer than planned.
EXAMPLE 3:
An assumption that the existing API allows bulk export.
RELATED CONCEPTS:
scoping, estimating, change requests, status updates
FAMILY / GROUP:
assumption, risk, issue, likelihood, mitigation
WHERE IT IS USED:
Proposals | Planning | Status meetings
MINI CONVERSATION:
A: We assumed the data would be clean. | B: That should have been on the risk list with a check date.
COMMON MISTAKE:
✗ Risks are only worth listing if they are likely → ✓ High-impact risks matter even when unlikely
DON'T CONFUSE WITH:
Risk vs issue: something that might happen versus something that already has.
AVOID / DON'T:
Do not leave assumptions unwritten and unchecked.
MEMORY TRICK:
Name it, own it, check it early.
REAL LIFE: PROJECT / WORK:
Checking a data assumption in week one prevented a month of rework.
REAL LIFE: INTERVIEW / EXAM:
An interviewer may ask: How do you manage project risks?
REAL LIFE: DAILY LIFE:
It is like checking the weather forecast before a trip.</t>
        </is>
      </c>
      <c r="C16" s="27" t="inlineStr">
        <is>
          <t>03_Requirements_Intermediate_REQ-015</t>
        </is>
      </c>
    </row>
    <row r="17" ht="409" customHeight="1">
      <c r="A17" s="27" t="inlineStr">
        <is>
          <t>Change requests
How do you handle new asks after the scope is agreed?</t>
        </is>
      </c>
      <c r="B17" s="27" t="inlineStr">
        <is>
          <t>DEFINITION (SIMPLE):
A change request is a recorded proposal to alter agreed scope, which is assessed for effort, risk and value, then approved, rejected or scheduled.
HOW / WHY IT WORKS:
Record what is asked, why, who asked and the effect on time, cost and other work. Offer options, such as swapping it with another item, moving the date, or adding it later. Get a decision from someone with authority and write it down. Small changes may need only a quick note, while large ones need formal agreement.
SIMPLE EXPLANATION (HINGLISH):
Write down each new ask, show what it costs, and get a clear decision.
REAL-LIFE ANALOGY:
A change request is a toll gate where new work is weighed before entering the road.
FORMULA / RULE:
Record, assess, offer options, decide, update the plan.
EXAMPLE 1:
A customer asks for an extra report after kick-off.
EXAMPLE 2:
Swapping a low-value feature for a new request.
EXAMPLE 3:
Moving a go-live date to include extra security checks.
RELATED CONCEPTS:
scoping, estimating, saying no, decision log
FAMILY / GROUP:
change, impact, approval, trade-off, baseline
WHERE IT IS USED:
Delivery | Contracts | Status meetings
MINI CONVERSATION:
A: Can you add this by next week? | B: We can, if we swap it with another item or move the date.
COMMON MISTAKE:
✗ Saying yes to every change keeps customers happy → ✓ Unmanaged changes often lead to late, poor delivery
DON'T CONFUSE WITH:
Change request vs bug: new wanted behaviour versus a mistake against the agreement.
AVOID / DON'T:
Do not accept scope changes in hallway conversations.
MEMORY TRICK:
Record it, price it, decide it, update it.
REAL LIFE: PROJECT / WORK:
A written trade-off kept an on-time launch when a late request arrived.
REAL LIFE: INTERVIEW / EXAM:
An interviewer may ask: How do you manage scope changes?
REAL LIFE: DAILY LIFE:
It is like adding a stop to a trip and checking the time and fuel.</t>
        </is>
      </c>
      <c r="C17" s="27" t="inlineStr">
        <is>
          <t>03_Requirements_Intermediate_REQ-016</t>
        </is>
      </c>
    </row>
    <row r="18" ht="409" customHeight="1">
      <c r="A18" s="27" t="inlineStr">
        <is>
          <t>Estimating
How do you give a realistic time or effort for work you have not done yet?</t>
        </is>
      </c>
      <c r="B18" s="27" t="inlineStr">
        <is>
          <t>DEFINITION (SIMPLE):
Estimating is predicting the effort or time needed for work, usually as a range with stated assumptions, and improving the estimate as more is learned.
HOW / WHY IT WORKS:
Break the work into small pieces, estimate each, and add time for testing, reviews, waiting on others and surprises. Use past similar work as evidence. State what the estimate assumes and what would change it. Estimates are not commitments, but dates agreed with a customer become expectations, so communicate the uncertainty plainly.
SIMPLE EXPLANATION (HINGLISH):
Give a range, say what you assumed, and update it as you learn.
REAL-LIFE ANALOGY:
An estimate is a weather forecast, a range with confidence, not a promise.
FORMULA / RULE:
Break down, range, assumptions, buffer, refine.
EXAMPLE 1:
Two to four days for an integration, assuming test access.
EXAMPLE 2:
Adding review and testing time to a build estimate.
EXAMPLE 3:
Re-estimating after the first sample of data arrives.
RELATED CONCEPTS:
scoping, assumptions and risks, change requests, status updates
FAMILY / GROUP:
estimate, range, buffer, assumption, uncertainty
WHERE IT IS USED:
Proposals | Planning | Status updates
MINI CONVERSATION:
A: How long will the integration take? | B: Two to four days, if test access arrives by Monday.
COMMON MISTAKE:
✗ An estimate is a promise → ✓ It is a forecast with stated assumptions
DON'T CONFUSE WITH:
Estimate vs commitment: a forecast versus an agreed delivery date.
AVOID / DON'T:
Do not give a single number without assumptions.
MEMORY TRICK:
Give a range, state the assumptions, refine.
REAL LIFE: PROJECT / WORK:
A range with clear assumptions kept trust when test access arrived late.
REAL LIFE: INTERVIEW / EXAM:
An interviewer may ask: How do you estimate unfamiliar work?
REAL LIFE: DAILY LIFE:
It is like forecasting a journey time with traffic.</t>
        </is>
      </c>
      <c r="C18" s="27" t="inlineStr">
        <is>
          <t>03_Requirements_Intermediate_REQ-017</t>
        </is>
      </c>
    </row>
    <row r="19" ht="409" customHeight="1">
      <c r="A19" s="27" t="inlineStr">
        <is>
          <t>README
Which file tells a newcomer what a project is and how to start?</t>
        </is>
      </c>
      <c r="B19" s="27" t="inlineStr">
        <is>
          <t>DEFINITION (SIMPLE):
A README is the first file a reader sees in a project, explaining its purpose, how to install and run it, how to use it, and who to contact.
HOW / WHY IT WORKS:
A good README starts with one clear sentence on purpose, then gives setup steps in order, a small usage example, configuration notes without secrets, and links to deeper documents. Keep it short and current. Out-of-date setup steps are worse than none. Update it whenever setup changes, and treat it as part of the code review.
SIMPLE EXPLANATION (HINGLISH):
It is the first page that tells people what the project is and how to run it.
REAL-LIFE ANALOGY:
A README is the front door sign and the welcome mat of a project.
FORMULA / RULE:
What, setup, usage, config, contacts.
EXAMPLE 1:
A one-line purpose at the top.
EXAMPLE 2:
Numbered setup steps that work on a fresh machine.
EXAMPLE 3:
A link to the runbook for operations.
RELATED CONCEPTS:
technical spec, runbook, handover document, decision log
FAMILY / GROUP:
README, setup, usage, onboarding, markdown
WHERE IT IS USED:
Repositories | Customer handover | Onboarding
MINI CONVERSATION:
A: How do I run this? | B: Follow the README, and tell me if any step fails.
COMMON MISTAKE:
✗ Documentation can wait until the end → ✓ A short README helps from the first day
DON'T CONFUSE WITH:
README vs technical spec: how to start versus how it is designed.
AVOID / DON'T:
Do not put passwords or keys in a README.
MEMORY TRICK:
Purpose first, steps next, secrets never.
REAL LIFE: PROJECT / WORK:
A tested README let a customer's engineer run the integration without a call.
REAL LIFE: INTERVIEW / EXAM:
An interviewer may ask: What belongs in a good README?
REAL LIFE: DAILY LIFE:
It is like the instructions on the box of a flat-pack cabinet.</t>
        </is>
      </c>
      <c r="C19" s="27" t="inlineStr">
        <is>
          <t>04_Documentation_Beginner_REQ-018</t>
        </is>
      </c>
    </row>
    <row r="20" ht="409" customHeight="1">
      <c r="A20" s="27" t="inlineStr">
        <is>
          <t>Technical spec
Which document explains how a solution will be built and why?</t>
        </is>
      </c>
      <c r="B20" s="27" t="inlineStr">
        <is>
          <t>DEFINITION (SIMPLE):
A technical specification describes the goal, the proposed design, key interfaces and data flows, alternatives considered, risks, and open questions for a piece of work.
HOW / WHY IT WORKS:
A spec lets reviewers challenge the design before effort is spent. It should name what is out of scope, show how components connect, and state how the result will be tested. Alternatives and the reason for the choice help future readers. Keep it versioned and update it when the design changes, or label it as the original plan.
SIMPLE EXPLANATION (HINGLISH):
Write down how you plan to build it so others can check the plan first.
REAL-LIFE ANALOGY:
A technical spec is the blueprint that is reviewed before the walls go up.
FORMULA / RULE:
Goal, design, interfaces, alternatives, risks, tests.
EXAMPLE 1:
A diagram of data moving from the customer system to the product.
EXAMPLE 2:
A list of API calls and expected responses.
EXAMPLE 3:
A section on options considered and why one was chosen.
RELATED CONCEPTS:
README, decision log, scoping, estimating
FAMILY / GROUP:
spec, design, interface, alternative, review
WHERE IT IS USED:
Design reviews | Integrations | Onboarding
MINI CONVERSATION:
A: Should we start coding now? | B: Share a short spec first so the customer's engineers can check it.
COMMON MISTAKE:
✗ A spec must be long to be useful → ✓ A short, clear spec is easier to review
DON'T CONFUSE WITH:
Spec vs README: a design plan versus a how to run guide.
AVOID / DON'T:
Do not leave a spec out of date without saying so.
MEMORY TRICK:
Plan on paper, review, then build.
REAL LIFE: PROJECT / WORK:
A two-page spec exposed a wrong data assumption before any code was written.
REAL LIFE: INTERVIEW / EXAM:
An interviewer may ask: What goes into a technical design document?
REAL LIFE: DAILY LIFE:
It is like a floor plan reviewed before construction.</t>
        </is>
      </c>
      <c r="C20" s="27" t="inlineStr">
        <is>
          <t>04_Documentation_Intermediate_REQ-019</t>
        </is>
      </c>
    </row>
    <row r="21" ht="409" customHeight="1">
      <c r="A21" s="27" t="inlineStr">
        <is>
          <t>Runbook
Which document tells someone exactly what to do when something goes wrong?</t>
        </is>
      </c>
      <c r="B21" s="27" t="inlineStr">
        <is>
          <t>DEFINITION (SIMPLE):
A runbook is a step-by-step guide for operating a system and handling known problems, listing symptoms, checks, fixes, escalation contacts and how to confirm recovery.
HOW / WHY IT WORKS:
Organise by symptom, such as job did not run, then give the checks in order, the fix, and how to confirm it worked. Include who to contact if the steps fail and where logs are. Keep commands copy-ready, and test the runbook in a calm moment. Review it after every incident, and mark owners and last-reviewed dates.
SIMPLE EXPLANATION (HINGLISH):
Write the exact steps to follow when the system has a known problem.
REAL-LIFE ANALOGY:
A runbook is the emergency card in the aeroplane seat pocket.
FORMULA / RULE:
Symptom, checks, fix, confirm, escalate.
EXAMPLE 1:
Steps to restart a failed nightly job.
EXAMPLE 2:
How to check where logs are for an integration.
EXAMPLE 3:
Who to call if the fix does not work.
RELATED CONCEPTS:
README, handover document, postmortems, five whys
FAMILY / GROUP:
runbook, symptom, escalation, recovery, owner
WHERE IT IS USED:
Operations | Handover | On-call
MINI CONVERSATION:
A: The nightly job failed again. | B: Check the runbook entry for it before you escalate.
COMMON MISTAKE:
✗ Only the builder needs to know how to fix things → ✓ Others must be able to recover the system from written steps
DON'T CONFUSE WITH:
Runbook vs README: operating and fixing versus setup and use.
AVOID / DON'T:
Do not write steps that need hidden knowledge.
MEMORY TRICK:
Symptom, check, fix, confirm, escalate.
REAL LIFE: PROJECT / WORK:
A runbook let the customer's team restart a failed job without calling anyone.
REAL LIFE: INTERVIEW / EXAM:
An interviewer may ask: What would you put in a runbook?
REAL LIFE: DAILY LIFE:
It is like an emergency card with the exact steps to follow.</t>
        </is>
      </c>
      <c r="C21" s="27" t="inlineStr">
        <is>
          <t>04_Documentation_Intermediate_REQ-020</t>
        </is>
      </c>
    </row>
    <row r="22" ht="409" customHeight="1">
      <c r="A22" s="27" t="inlineStr">
        <is>
          <t>Decision log
Which record keeps a history of what was decided and why?</t>
        </is>
      </c>
      <c r="B22" s="27" t="inlineStr">
        <is>
          <t>DEFINITION (SIMPLE):
A decision log is a dated list of important decisions, each with its reason, alternatives considered, owner and status, so later readers know why things are as they are.
HOW / WHY IT WORKS:
Log decisions that affect scope, design, cost or risk. When a decision changes, mark the old entry as superseded and link to the new one, rather than deleting it. This avoids repeating old debates and helps new team members. Share the log with the customer where decisions involve them, so there is agreement on what was chosen.
SIMPLE EXPLANATION (HINGLISH):
Write down what was decided, why, and by whom.
REAL-LIFE ANALOGY:
A decision log is the ship's logbook of choices made at sea.
FORMULA / RULE:
Date, decision, reason, alternatives, owner, status.
EXAMPLE 1:
Choosing a nightly import over a live feed, with the reason.
EXAMPLE 2:
Marking an earlier choice as superseded.
EXAMPLE 3:
Recording that the customer approved a data retention period.
RELATED CONCEPTS:
technical spec, change requests, meeting notes, handover document
FAMILY / GROUP:
decision, rationale, superseded, owner, history
WHERE IT IS USED:
Projects | Handover | Audits
MINI CONVERSATION:
A: Why did we choose the nightly import? | B: It is in the decision log with the alternatives.
COMMON MISTAKE:
✗ Decisions are obvious and need no record → ✓ They are forgotten or disputed without a record
DON'T CONFUSE WITH:
Decision log vs meeting notes: final choices versus a record of discussion.
AVOID / DON'T:
Do not delete old decisions when they change.
MEMORY TRICK:
Log the choice and the reason.
REAL LIFE: PROJECT / WORK:
A decision log ended a repeated argument about a data retention period.
REAL LIFE: INTERVIEW / EXAM:
An interviewer may ask: Why keep a decision log?
REAL LIFE: DAILY LIFE:
It is like a diary of why you chose each route.</t>
        </is>
      </c>
      <c r="C22" s="27" t="inlineStr">
        <is>
          <t>04_Documentation_Intermediate_REQ-021</t>
        </is>
      </c>
    </row>
    <row r="23" ht="409" customHeight="1">
      <c r="A23" s="27" t="inlineStr">
        <is>
          <t>Meeting notes
How do you turn a meeting into a useful written record?</t>
        </is>
      </c>
      <c r="B23" s="27" t="inlineStr">
        <is>
          <t>DEFINITION (SIMPLE):
Meeting notes are a short written record of who attended, what was discussed, which decisions were made, and which actions are owned by whom and due when.
HOW / WHY IT WORKS:
Capture decisions and actions first, then key points and open questions. Use names and dates for every action. Send the notes soon after, and invite corrections. Do not record sensitive remarks that do not belong in a shared document. For customer meetings, notes also serve as confirmation of scope and expectations.
SIMPLE EXPLANATION (HINGLISH):
Write down decisions and actions, with names and dates, and send them quickly.
REAL-LIFE ANALOGY:
Meeting notes are the receipt that proves what was agreed.
FORMULA / RULE:
Attendees, decisions, actions with owner and date, open questions.
EXAMPLE 1:
A list of actions with names and due dates.
EXAMPLE 2:
A decision to use a nightly import.
EXAMPLE 3:
An open question about data access.
RELATED CONCEPTS:
decision log, status updates, handover document, expectation setting
FAMILY / GROUP:
notes, action, owner, decision, follow-up
WHERE IT IS USED:
Customer meetings | Project reviews | Workshops
MINI CONVERSATION:
A: What did we agree on the call? | B: It is in the notes I sent yesterday.
COMMON MISTAKE:
✗ Everyone remembers the same decisions → ✓ People remember meetings differently without a record
DON'T CONFUSE WITH:
Notes vs decision log: a record of one meeting versus a permanent list of decisions.
AVOID / DON'T:
Do not write notes that name no owner for an action.
MEMORY TRICK:
Decisions first, then actions, owners and dates.
REAL LIFE: PROJECT / WORK:
Prompt notes with named owners got a stuck data request moving within days.
REAL LIFE: INTERVIEW / EXAM:
An interviewer may ask: How do you follow up after a customer meeting?
REAL LIFE: DAILY LIFE:
It is like keeping a receipt after a purchase.</t>
        </is>
      </c>
      <c r="C23" s="27" t="inlineStr">
        <is>
          <t>04_Documentation_Beginner_REQ-022</t>
        </is>
      </c>
    </row>
    <row r="24" ht="409" customHeight="1">
      <c r="A24" s="27" t="inlineStr">
        <is>
          <t>Handover document
Which document lets another team take over your work without you?</t>
        </is>
      </c>
      <c r="B24" s="27" t="inlineStr">
        <is>
          <t>DEFINITION (SIMPLE):
A handover document gives a receiving team what they need to own a system or project, including what was built, how it works, how to run and fix it, who to contact, and what remains open.
HOW / WHY IT WORKS:
Include a summary of goals and the final scope, an architecture sketch, where code and configuration live, how access is granted without sharing secrets, links to the runbook and decision log, known issues, planned next steps and contacts. Walk through it with the receiving team and let them try the main tasks. Agree a short period of support after the handover.
SIMPLE EXPLANATION (HINGLISH):
Write everything a new team needs to run and fix what you built.
REAL-LIFE ANALOGY:
A handover document is the baton that must be handed over, not dropped.
FORMULA / RULE:
What, how, where, who, what is open.
EXAMPLE 1:
A list of systems with owners and contacts.
EXAMPLE 2:
Links to the runbook and decision log.
EXAMPLE 3:
A list of known issues and next steps.
RELATED CONCEPTS:
README, runbook, decision log, meeting notes
FAMILY / GROUP:
handover, ownership, access, contacts, support period
WHERE IT IS USED:
Project end | Role changes | Customer go-live
MINI CONVERSATION:
A: Who owns the integration after you leave? | B: The customer's team, using the handover document and a walkthrough.
COMMON MISTAKE:
✗ A handover is a one-hour meeting → ✓ It needs documents, a walkthrough and the receiver trying tasks
DON'T CONFUSE WITH:
Handover vs README: full ownership transfer versus a start guide.
AVOID / DON'T:
Do not hand over passwords in a document.
MEMORY TRICK:
Document it, walk through it, let them try.
REAL LIFE: PROJECT / WORK:
A walkthrough plus a document let a customer team own an integration alone.
REAL LIFE: INTERVIEW / EXAM:
An interviewer may ask: How do you hand over a project to a customer?
REAL LIFE: DAILY LIFE:
It is like handing over a house with keys, manuals and neighbour contacts.</t>
        </is>
      </c>
      <c r="C24" s="27" t="inlineStr">
        <is>
          <t>04_Documentation_Intermediate_REQ-023</t>
        </is>
      </c>
    </row>
    <row r="25" ht="409" customHeight="1">
      <c r="A25" s="27" t="inlineStr">
        <is>
          <t>Demos
How do you show your work so the customer sees its value?</t>
        </is>
      </c>
      <c r="B25" s="27" t="inlineStr">
        <is>
          <t>DEFINITION (SIMPLE):
A demo is a short, prepared walkthrough that shows the customer's own problem being solved, focusing on outcomes they care about rather than every feature.
HOW / WHY IT WORKS:
Start with the customer's goal in their words, show the main workflow end to end, and finish by connecting it to their success measures. Use realistic data that the customer recognises. Keep it short and leave time for questions. Prepare for failure with screenshots or a recorded video as backup. Note questions and follow-ups for later.
SIMPLE EXPLANATION (HINGLISH):
Show the customer's problem being solved, not a tour of every button.
REAL-LIFE ANALOGY:
A demo is a short story where the customer's problem gets solved on screen.
FORMULA / RULE:
Goal, workflow, outcome, questions.
EXAMPLE 1:
Starting with the weekly report that takes two days.
EXAMPLE 2:
Showing the same report built automatically.
EXAMPLE 3:
Using a backup recording when the network fails.
RELATED CONCEPTS:
discovery calls, success measures, status updates, expectation setting
FAMILY / GROUP:
demo, walkthrough, backup, outcome, feedback
WHERE IT IS USED:
Proposals | Reviews | Go-live
MINI CONVERSATION:
A: Should I show every feature? | B: Show only the path that solves their problem.
COMMON MISTAKE:
✗ A good demo shows every feature → ✓ A good demo shows the customer's problem solved
DON'T CONFUSE WITH:
Demo vs training: a short proof of value versus teaching people to use the tool.
AVOID / DON'T:
Do not demo with untested data or without a backup plan.
MEMORY TRICK:
Their problem, your solution, short.
REAL LIFE: PROJECT / WORK:
A rehearsed demo on the customer's sample data won approval for the next phase.
REAL LIFE: INTERVIEW / EXAM:
An interviewer may ask: How do you prepare a customer demo?
REAL LIFE: DAILY LIFE:
It is like telling a short story where the hero solves their problem.</t>
        </is>
      </c>
      <c r="C25" s="27" t="inlineStr">
        <is>
          <t>05_Communication_Beginner_REQ-024</t>
        </is>
      </c>
    </row>
    <row r="26" ht="409" customHeight="1">
      <c r="A26" s="27" t="inlineStr">
        <is>
          <t>Status updates
How do you keep customers and managers informed without long meetings?</t>
        </is>
      </c>
      <c r="B26" s="27" t="inlineStr">
        <is>
          <t>DEFINITION (SIMPLE):
A status update is a short, regular message that says what was done, what comes next, what is blocking progress, and what help or decisions are needed.
HOW / WHY IT WORKS:
Keep it brief and consistent. Use plain language rather than internal jargon. Include a clear overall status, such as on track, at risk or blocked, with a reason. Mention dates and decisions needed with names. Share bad news early. Link to detail for people who want it, but make the first lines readable on their own.
SIMPLE EXPLANATION (HINGLISH):
Tell people what is done, what is next, what is stuck and what you need.
REAL-LIFE ANALOGY:
A status update is a short postcard from the project.
FORMULA / RULE:
Status, done, next, blockers, asks.
EXAMPLE 1:
Status at risk because test access is late.
EXAMPLE 2:
A request for a decision by Friday.
EXAMPLE 3:
A list of next week's three goals.
RELATED CONCEPTS:
success measures, bad news, expectation setting, assumptions and risks
FAMILY / GROUP:
status, blocker, ask, update, rhythm
WHERE IT IS USED:
Weekly reports | Customer emails | Stand-ups
MINI CONVERSATION:
A: Why did nobody tell us it was delayed? | B: We should have flagged it in the last update.
COMMON MISTAKE:
✗ No news is good news → ✓ Silence makes customers assume the worst
DON'T CONFUSE WITH:
Status vs report: a short update versus a full analysis.
AVOID / DON'T:
Do not hide a blocker until it becomes a crisis.
MEMORY TRICK:
Done, next, blocked, and what you need.
REAL LIFE: PROJECT / WORK:
Weekly three-line updates kept a customer calm during a data delay.
REAL LIFE: INTERVIEW / EXAM:
An interviewer may ask: How do you communicate project progress?
REAL LIFE: DAILY LIFE:
It is like a short message saying where you are on a journey.</t>
        </is>
      </c>
      <c r="C26" s="27" t="inlineStr">
        <is>
          <t>05_Communication_Beginner_REQ-025</t>
        </is>
      </c>
    </row>
    <row r="27" ht="409" customHeight="1">
      <c r="A27" s="27" t="inlineStr">
        <is>
          <t>Saying no
How do you decline a request without damaging the relationship?</t>
        </is>
      </c>
      <c r="B27" s="27" t="inlineStr">
        <is>
          <t>DEFINITION (SIMPLE):
Saying no well means declining a request clearly and kindly, explaining the reason, and offering options such as a different approach, a later date or a trade-off.
HOW / WHY IT WORKS:
First show you understood the need, then say what you cannot do and why, focusing on facts such as time, risk or policy. Offer two or three alternatives. Avoid vague maybes that raise hopes. Check the decision with your manager when it affects commitments. Record the outcome so the customer sees it was considered.
SIMPLE EXPLANATION (HINGLISH):
Decline clearly, give the reason, and suggest what you can do instead.
REAL-LIFE ANALOGY:
A good no is a signpost that points to another road.
FORMULA / RULE:
Understand, decline, reason, alternatives, confirm.
EXAMPLE 1:
Declining a custom feature but offering a workaround.
EXAMPLE 2:
Moving a request to the next release.
EXAMPLE 3:
Declining a shortcut that breaks a security rule.
RELATED CONCEPTS:
change requests, expectation setting, bad news, security and data questions
FAMILY / GROUP:
decline, alternative, boundary, reason, option
WHERE IT IS USED:
Customer calls | Scope talks | Escalations
MINI CONVERSATION:
A: Can you ship it tomorrow? | B: Not safely, but we can ship a smaller part tomorrow.
COMMON MISTAKE:
✗ Saying yes always keeps the customer happy → ✓ A false yes damages trust when it fails
DON'T CONFUSE WITH:
A flat no vs a helpful no: closing the door versus offering another route.
AVOID / DON'T:
Do not say maybe when you mean no.
MEMORY TRICK:
No to the ask, yes to the need.
REAL LIFE: PROJECT / WORK:
Offering a smaller first release kept a customer after a firm no on the full request.
REAL LIFE: INTERVIEW / EXAM:
An interviewer may ask: How do you decline an unrealistic customer request?
REAL LIFE: DAILY LIFE:
It is like politely turning down a dish and suggesting another.</t>
        </is>
      </c>
      <c r="C27" s="27" t="inlineStr">
        <is>
          <t>05_Communication_Intermediate_REQ-026</t>
        </is>
      </c>
    </row>
    <row r="28" ht="409" customHeight="1">
      <c r="A28" s="27" t="inlineStr">
        <is>
          <t>Delivering bad news
How do you tell a customer that something has gone wrong?</t>
        </is>
      </c>
      <c r="B28" s="27" t="inlineStr">
        <is>
          <t>DEFINITION (SIMPLE):
Delivering bad news means telling the affected people promptly and honestly what happened, what the impact is, what you are doing, and when they will hear next.
HOW / WHY IT WORKS:
State the facts without excuses or blame, and say what is known and unknown. Explain the effect on the customer and the immediate fix. Offer a clear next update time and keep it. For serious issues use a call first, then a written summary. Afterwards run a review of the cause and share what will change.
SIMPLE EXPLANATION (HINGLISH):
Say what happened, what it means, what you are doing, and when you will update them.
REAL-LIFE ANALOGY:
Bad news is a spoiled meal, and a quick honest apology with a replacement saves the evening.
FORMULA / RULE:
Facts, impact, action, next update.
EXAMPLE 1:
Calling a customer about a failed overnight job.
EXAMPLE 2:
Sharing a plan after a missed date.
EXAMPLE 3:
Sending a written summary after a serious incident.
RELATED CONCEPTS:
status updates, runbook, postmortems, expectation setting
FAMILY / GROUP:
apology, impact, transparency, incident, follow-up
WHERE IT IS USED:
Incidents | Delays | Escalations
MINI CONVERSATION:
A: Should we wait until we have a fix before telling them? | B: No, tell them now and say when the next update will come.
COMMON MISTAKE:
✗ Waiting until the problem is solved is kinder → ✓ Early honesty protects trust
DON'T CONFUSE WITH:
Early honesty vs late disclosure: trust kept versus trust broken.
AVOID / DON'T:
Do not guess causes or blame others in the first message.
MEMORY TRICK:
Early, honest, with a plan.
REAL LIFE: PROJECT / WORK:
A same-hour call about a failed load kept a customer's trust through a bad week.
REAL LIFE: INTERVIEW / EXAM:
An interviewer may ask: Tell me about a time you gave a customer bad news.
REAL LIFE: DAILY LIFE:
It is like telling a friend straight away that a plan has changed.</t>
        </is>
      </c>
      <c r="C28" s="27" t="inlineStr">
        <is>
          <t>05_Communication_Intermediate_REQ-027</t>
        </is>
      </c>
    </row>
    <row r="29" ht="409" customHeight="1">
      <c r="A29" s="27" t="inlineStr">
        <is>
          <t>Expectation setting
How do you make sure both sides expect the same thing?</t>
        </is>
      </c>
      <c r="B29" s="27" t="inlineStr">
        <is>
          <t>DEFINITION (SIMPLE):
Expectation setting is the practice of agreeing clearly, and in writing, what will be delivered, when, with what limits, and what the customer must do.
HOW / WHY IT WORKS:
Use plain words, examples and dates. Describe not only the best case but the likely and the limits. Confirm the customer's understanding by asking them to say it back. Revisit expectations at each milestone, and when facts change, update them early. Promise only what you control, and say what depends on others.
SIMPLE EXPLANATION (HINGLISH):
Make sure both sides have the same picture of what will happen and when.
REAL-LIFE ANALOGY:
Expectation setting is tuning two radios to the same station before the song starts.
FORMULA / RULE:
Say it, write it, check it back, revisit it.
EXAMPLE 1:
Telling a customer that the first release has limited reports.
EXAMPLE 2:
Confirming who provides test data and by when.
EXAMPLE 3:
Updating a date when a dependency slips.
RELATED CONCEPTS:
scoping, saying no, status updates, demos
FAMILY / GROUP:
expectation, alignment, limits, dependency, confirmation
WHERE IT IS USED:
Kick-off | Demos | Go-live
MINI CONVERSATION:
A: I thought it would do everything. | B: Let us review the scope we agreed and what the first release includes.
COMMON MISTAKE:
✗ Under-promising is enough → ✓ Clear, shared understanding matters more
DON'T CONFUSE WITH:
Expectation vs promise: what someone believes versus what was agreed.
AVOID / DON'T:
Do not leave limits unsaid hoping nobody asks.
MEMORY TRICK:
Say it, write it, check it.
REAL LIFE: PROJECT / WORK:
A written first-release list prevented disappointment at the first customer demo.
REAL LIFE: INTERVIEW / EXAM:
An interviewer may ask: How do you manage customer expectations?
REAL LIFE: DAILY LIFE:
It is like telling guests what dinner will be before they arrive.</t>
        </is>
      </c>
      <c r="C29" s="27" t="inlineStr">
        <is>
          <t>05_Communication_Intermediate_REQ-028</t>
        </is>
      </c>
    </row>
    <row r="30" ht="409" customHeight="1">
      <c r="A30" s="27" t="inlineStr">
        <is>
          <t>Working on site and remotely
How does working in person differ from working remotely with a customer?</t>
        </is>
      </c>
      <c r="B30" s="27" t="inlineStr">
        <is>
          <t>DEFINITION (SIMPLE):
Working on site means joining the customer's location and rules in person, while working remotely means using calls, screen sharing and written messages, and both need preparation, clear access and agreed communication.
HOW / WHY IT WORKS:
On site, you learn how people really work, but you must follow site rules, security badges and network limits. Prepare accounts, chargers and offline copies. Remotely, write more, summarise calls in text, share screens carefully, and avoid long silences. In both, protect customer data, lock your screen and follow the customer's policies for devices and recording.
SIMPLE EXPLANATION (HINGLISH):
Prepare access and tools in advance, follow the customer's rules, and communicate clearly.
REAL-LIFE ANALOGY:
On site you lend your presence, remotely you lend your clarity.
FORMULA / RULE:
Prepare access, follow rules, communicate clearly, protect data.
EXAMPLE 1:
Requesting a visitor badge and network access before the visit.
EXAMPLE 2:
Writing a recap after a video call.
EXAMPLE 3:
Closing private windows before sharing a screen.
RELATED CONCEPTS:
security and data questions, status updates, stakeholder map, expectation setting
FAMILY / GROUP:
on site, remote, access, policy, screen sharing
WHERE IT IS USED:
Customer visits | Video calls | Workshops
MINI CONVERSATION:
A: I cannot get on the guest network on site. | B: Ask for access before the visit, and keep an offline copy of your demo.
COMMON MISTAKE:
✗ Remote work needs less preparation → ✓ It needs more writing and clearer communication
DON'T CONFUSE WITH:
On site vs remote: shared space and rules versus screens and written clarity.
AVOID / DON'T:
Do not share a screen that shows private tabs or notifications.
MEMORY TRICK:
Prepare access, follow rules, write clearly.
REAL LIFE: PROJECT / WORK:
Early network access requests saved a day of waiting on a customer visit.
REAL LIFE: INTERVIEW / EXAM:
An interviewer may ask: How do you work with a customer remotely?
REAL LIFE: DAILY LIFE:
It is like preparing your bag before a trip and checking the address.</t>
        </is>
      </c>
      <c r="C30" s="27" t="inlineStr">
        <is>
          <t>05_Communication_Intermediate_REQ-029</t>
        </is>
      </c>
    </row>
    <row r="31" ht="409" customHeight="1">
      <c r="A31" s="27" t="inlineStr">
        <is>
          <t>Security and data questions from customers
How do you answer customers' questions about security and data safely?</t>
        </is>
      </c>
      <c r="B31" s="27" t="inlineStr">
        <is>
          <t>DEFINITION (SIMPLE):
Handling security and data questions means giving accurate, documented answers about how data is stored, accessed and protected, and escalating anything you cannot verify to the right team.
HOW / WHY IT WORKS:
Typical questions cover where data lives, who can see it, encryption, retention, access logs, subprocessors and incident handling. Use approved documents such as security whitepapers or policies instead of guessing. Never overclaim certifications or promises. Ask the customer why they need the data and share the least necessary. Record answers and the source for future questions.
SIMPLE EXPLANATION (HINGLISH):
Answer only what you can prove, link to official documents, and escalate the rest.
REAL-LIFE ANALOGY:
Security answers are signed statements, so only sign what you can prove.
FORMULA / RULE:
Know, document, do not overclaim, escalate.
EXAMPLE 1:
Linking the official security document for encryption questions.
EXAMPLE 2:
Asking the security team about data retention.
EXAMPLE 3:
Asking a customer to share only the fields needed.
RELATED CONCEPTS:
stakeholder map, expectation setting, working on site and remotely, saying no
FAMILY / GROUP:
security, privacy, retention, encryption, escalation
WHERE IT IS USED:
Onboarding | Questionnaires | Reviews
MINI CONVERSATION:
A: Are we certified for this standard? | B: Do not guess, ask the security team and quote their document.
COMMON MISTAKE:
✗ A confident guess is better than saying I will check → ✓ A wrong security answer can be a serious breach of trust
DON'T CONFUSE WITH:
Verified answer vs guess: sourced from a document versus remembered from a chat.
AVOID / DON'T:
Do not claim certifications or protections you cannot prove.
MEMORY TRICK:
Prove it, point to it, or escalate it.
REAL LIFE: PROJECT / WORK:
Linking approved documents shortened a customer security review.
REAL LIFE: INTERVIEW / EXAM:
An interviewer may ask: What would you do if a customer asks a security question you cannot answer?
REAL LIFE: DAILY LIFE:
It is like signing a statement only when you have seen the evidence.</t>
        </is>
      </c>
      <c r="C31" s="27" t="inlineStr">
        <is>
          <t>05_Communication_Advanced_REQ-030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6" t="inlineStr">
        <is>
          <t>Front</t>
        </is>
      </c>
      <c r="B1" s="26" t="inlineStr">
        <is>
          <t>Back</t>
        </is>
      </c>
      <c r="C1" s="26" t="inlineStr">
        <is>
          <t>Tags</t>
        </is>
      </c>
    </row>
    <row r="2" ht="121.5" customHeight="1">
      <c r="A2" s="27" t="inlineStr">
        <is>
          <t>MCQ: What mainly measures success in this role?
A) Lines of code B) Number of emails C) Hours in meetings D) Customer outcomes
FILL: An engineer placed inside the customer's setting is called a forward ____ engineer
APPLY: A product works in the demo but fails on a customer's messy data. Who investigates on site?</t>
        </is>
      </c>
      <c r="B2" s="27" t="inlineStr">
        <is>
          <t>MCQ answer: D  The role exists to make the product succeed for the customer.
Fill answer: deployed
Apply: The forward deployed engineer</t>
        </is>
      </c>
      <c r="C2" s="27" t="inlineStr">
        <is>
          <t>01_The_role_Beginner_REQ-001_quiz</t>
        </is>
      </c>
    </row>
    <row r="3" ht="94.5" customHeight="1">
      <c r="A3" s="27" t="inlineStr">
        <is>
          <t>MCQ: Which role mainly runs pre-sale proofs of concept?
A) Solutions engineer B) Support agent C) Auditor D) Accountant
FILL: A role that mostly answers tickets after launch is ____
APPLY: A customer needs a custom connector built before go-live. Which role owns it?</t>
        </is>
      </c>
      <c r="B3" s="27" t="inlineStr">
        <is>
          <t>MCQ answer: A  Pre-sale technical evaluation is their core job.
Fill answer: support
Apply: Forward deployed engineer</t>
        </is>
      </c>
      <c r="C3" s="27" t="inlineStr">
        <is>
          <t>01_The_role_Beginner_REQ-002_quiz</t>
        </is>
      </c>
    </row>
    <row r="4" ht="108" customHeight="1">
      <c r="A4" s="27" t="inlineStr">
        <is>
          <t>MCQ: Which item is an outcome measure?
A) Slides made B) Time saved per invoice C) Emails sent D) Meetings held
FILL: A starting value measured before any change is the ____
APPLY: A customer says the tool should make reports faster. What do you agree first?</t>
        </is>
      </c>
      <c r="B4" s="27" t="inlineStr">
        <is>
          <t>MCQ answer: B  It shows a real change for the customer.
Fill answer: baseline
Apply: A baseline and a target time</t>
        </is>
      </c>
      <c r="C4" s="27" t="inlineStr">
        <is>
          <t>01_The_role_Beginner_REQ-003_quiz</t>
        </is>
      </c>
    </row>
    <row r="5" ht="108" customHeight="1">
      <c r="A5" s="27" t="inlineStr">
        <is>
          <t>MCQ: What makes a feature request strong?
A) Loud wording B) A late-night message C) Evidence and impact D) A long email
FILL: A temporary fix used until the product changes is a ____
APPLY: Three customers ask for the same export. What do you bring the product team?</t>
        </is>
      </c>
      <c r="B5" s="27" t="inlineStr">
        <is>
          <t>MCQ answer: C  Teams prioritise on problems and measurable impact.
Fill answer: workaround
Apply: A short evidence write-up with impact</t>
        </is>
      </c>
      <c r="C5" s="27" t="inlineStr">
        <is>
          <t>01_The_role_Intermediate_REQ-004_quiz</t>
        </is>
      </c>
    </row>
    <row r="6" ht="121.5" customHeight="1">
      <c r="A6" s="27" t="inlineStr">
        <is>
          <t>MCQ: What is the main goal of a discovery call?
A) Understand the problem B) Show every feature C) Collect payment D) Close the sale
FILL: A short email sent after the call to confirm what was heard is a ____
APPLY: A customer starts describing a vague issue. What do you do first?</t>
        </is>
      </c>
      <c r="B6" s="27" t="inlineStr">
        <is>
          <t>MCQ answer: A  A proper solution depends on a clear problem.
Fill answer: recap
Apply: Ask questions and listen</t>
        </is>
      </c>
      <c r="C6" s="27" t="inlineStr">
        <is>
          <t>02_Discovery_Beginner_REQ-005_quiz</t>
        </is>
      </c>
    </row>
    <row r="7" ht="108" customHeight="1">
      <c r="A7" s="27" t="inlineStr">
        <is>
          <t>MCQ: Which is an open question?
A) Is the report late? B) Is it fine? C) What happens today when a report is late? D) Do you like it?
FILL: A question that hints at the answer you want is a ____ question
APPLY: A customer asks for a dashboard. What do you ask next?</t>
        </is>
      </c>
      <c r="B7" s="27" t="inlineStr">
        <is>
          <t>MCQ answer: C  It invites explanation instead of a yes or no.
Fill answer: leading
Apply: What decision will it help you make</t>
        </is>
      </c>
      <c r="C7" s="27" t="inlineStr">
        <is>
          <t>02_Discovery_Beginner_REQ-006_quiz</t>
        </is>
      </c>
    </row>
    <row r="8" ht="94.5" customHeight="1">
      <c r="A8" s="27" t="inlineStr">
        <is>
          <t>MCQ: What is the aim of the five whys?
A) Shorten a meeting B) Fill a form C) Assign blame D) Find the root cause
FILL: The visible problem, as opposed to its cause, is the ____
APPLY: Reports are late every week. What do you ask next?</t>
        </is>
      </c>
      <c r="B8" s="27" t="inlineStr">
        <is>
          <t>MCQ answer: D  Repeated whys move from symptom to underlying cause.
Fill answer: symptom
Apply: Why they are late, then why again</t>
        </is>
      </c>
      <c r="C8" s="27" t="inlineStr">
        <is>
          <t>02_Discovery_Intermediate_REQ-007_quiz</t>
        </is>
      </c>
    </row>
    <row r="9" ht="108" customHeight="1">
      <c r="A9" s="27" t="inlineStr">
        <is>
          <t>MCQ: Who should be on a stakeholder map?
A) Only managers B) Anyone who can influence or is affected C) Only engineers D) Only the payer
FILL: The person who funds and champions the project is the ____
APPLY: A project stalls on data access. Whom do you look for on the map?</t>
        </is>
      </c>
      <c r="B9" s="27" t="inlineStr">
        <is>
          <t>MCQ answer: B  Missing people often cause delays or failed adoption.
Fill answer: sponsor
Apply: The security reviewer</t>
        </is>
      </c>
      <c r="C9" s="27" t="inlineStr">
        <is>
          <t>02_Discovery_Intermediate_REQ-008_quiz</t>
        </is>
      </c>
    </row>
    <row r="10" ht="94.5" customHeight="1">
      <c r="A10" s="27" t="inlineStr">
        <is>
          <t>MCQ: What should a scope statement include besides deliverables?
A) Passwords B) Exclusions and assumptions C) Personal opinions D) Jokes
FILL: Gradual unplanned growth of the work is called scope ____
APPLY: A customer adds a new report halfway through. What do you do?</t>
        </is>
      </c>
      <c r="B10" s="27" t="inlineStr">
        <is>
          <t>MCQ answer: B  Boundaries and assumptions prevent later disputes.
Fill answer: creep
Apply: Compare it with the scope and raise a change request</t>
        </is>
      </c>
      <c r="C10" s="27" t="inlineStr">
        <is>
          <t>02_Discovery_Intermediate_REQ-009_quiz</t>
        </is>
      </c>
    </row>
    <row r="11" ht="94.5" customHeight="1">
      <c r="A11" s="27" t="inlineStr">
        <is>
          <t>MCQ: What describes a good MVP?
A) A small complete workflow B) A broken demo C) A giant plan D) A slide deck only
FILL: A small trial with one team before a wider rollout is a ____
APPLY: A customer wants five reports at once. How do you start?</t>
        </is>
      </c>
      <c r="B11" s="27" t="inlineStr">
        <is>
          <t>MCQ answer: A  It delivers real value end to end on a small scale.
Fill answer: pilot
Apply: Deliver one report end to end as a pilot</t>
        </is>
      </c>
      <c r="C11" s="27" t="inlineStr">
        <is>
          <t>02_Discovery_Intermediate_REQ-010_quiz</t>
        </is>
      </c>
    </row>
    <row r="12" ht="94.5" customHeight="1">
      <c r="A12" s="27" t="inlineStr">
        <is>
          <t>MCQ: Which success criterion is best?
A) The import feels smooth B) The import is good C) The import finishes under ten minutes for the sample file D) The import is fast
FILL: A condition that two people could check and agree on is ____
APPLY: A customer wants the tool to be fast. What do you write down?</t>
        </is>
      </c>
      <c r="B12" s="27" t="inlineStr">
        <is>
          <t>MCQ answer: C  It can be tested with a clear pass or fail.
Fill answer: testable
Apply: A measurable time for a defined task</t>
        </is>
      </c>
      <c r="C12" s="27" t="inlineStr">
        <is>
          <t>02_Discovery_Intermediate_REQ-011_quiz</t>
        </is>
      </c>
    </row>
    <row r="13" ht="81" customHeight="1">
      <c r="A13" s="27" t="inlineStr">
        <is>
          <t>MCQ: Which part of a user story states the benefit?
A) As a B) The title C) I want D) So that
FILL: A story begins with As a ____
APPLY: A customer says Add an export button. How do you reshape it?</t>
        </is>
      </c>
      <c r="B13" s="27" t="inlineStr">
        <is>
          <t>MCQ answer: D  The so that clause gives the reason.
Fill answer: user
Apply: As an analyst, I want to export so that I can share results</t>
        </is>
      </c>
      <c r="C13" s="27" t="inlineStr">
        <is>
          <t>03_Requirements_Beginner_REQ-012_quiz</t>
        </is>
      </c>
    </row>
    <row r="14" ht="94.5" customHeight="1">
      <c r="A14" s="27" t="inlineStr">
        <is>
          <t>MCQ: Which format is common for acceptance criteria?
A) Start, stop, wait B) Given, when, then C) Hope, try, see D) Maybe, perhaps, later
FILL: Each criterion should give a clear pass or ____
APPLY: A story says users can import files. What do you add?</t>
        </is>
      </c>
      <c r="B14" s="27" t="inlineStr">
        <is>
          <t>MCQ answer: B  It states a situation, an action and an expected result.
Fill answer: fail
Apply: Criteria for valid files, errors and edge cases</t>
        </is>
      </c>
      <c r="C14" s="27" t="inlineStr">
        <is>
          <t>03_Requirements_Beginner_REQ-013_quiz</t>
        </is>
      </c>
    </row>
    <row r="15" ht="94.5" customHeight="1">
      <c r="A15" s="27" t="inlineStr">
        <is>
          <t>MCQ: Which group is for items agreed as out for this release?
A) Will not have B) Could have C) Must have D) Should have
FILL: Items needed for the release to work are the ____ group
APPLY: Everything on a list is called urgent. What do you ask for each item?</t>
        </is>
      </c>
      <c r="B15" s="27" t="inlineStr">
        <is>
          <t>MCQ answer: A  It records what is deliberately left out for now.
Fill answer: must
Apply: What breaks if it is missing</t>
        </is>
      </c>
      <c r="C15" s="27" t="inlineStr">
        <is>
          <t>03_Requirements_Intermediate_REQ-014_quiz</t>
        </is>
      </c>
    </row>
    <row r="16" ht="81" customHeight="1">
      <c r="A16" s="27" t="inlineStr">
        <is>
          <t>MCQ: What should each assumption have?
A) A colour B) A price C) A nickname D) An owner and a check date
FILL: A risk that has already happened becomes an ____
APPLY: A plan relies on data arriving Friday. What do you record?</t>
        </is>
      </c>
      <c r="B16" s="27" t="inlineStr">
        <is>
          <t>MCQ answer: D  Without an owner and date, assumptions are never verified.
Fill answer: issue
Apply: An assumption with an owner and a check date</t>
        </is>
      </c>
      <c r="C16" s="27" t="inlineStr">
        <is>
          <t>03_Requirements_Intermediate_REQ-015_quiz</t>
        </is>
      </c>
    </row>
    <row r="17" ht="108" customHeight="1">
      <c r="A17" s="27" t="inlineStr">
        <is>
          <t>MCQ: What should you do with a new request after scope is agreed?
A) Delete the plan B) Accept it secretly C) Assess it and record a decision D) Ignore it
FILL: Offering to swap a new item for an old one is a ____
APPLY: A customer wants an extra report next week without moving the date. What do you offer?</t>
        </is>
      </c>
      <c r="B17" s="27" t="inlineStr">
        <is>
          <t>MCQ answer: C  A recorded decision protects the plan and the relationship.
Fill answer: trade-off
Apply: A trade-off, such as swapping another item</t>
        </is>
      </c>
      <c r="C17" s="27" t="inlineStr">
        <is>
          <t>03_Requirements_Intermediate_REQ-016_quiz</t>
        </is>
      </c>
    </row>
    <row r="18" ht="108" customHeight="1">
      <c r="A18" s="27" t="inlineStr">
        <is>
          <t>MCQ: What makes an estimate more honest?
A) A range with assumptions B) A promise C) One exact number D) A secret date
FILL: Extra time added for surprises is called a ____
APPLY: A customer asks for a date on unfamiliar work. What do you give?</t>
        </is>
      </c>
      <c r="B18" s="27" t="inlineStr">
        <is>
          <t>MCQ answer: A  It shows uncertainty and what could change the answer.
Fill answer: buffer
Apply: A range with assumptions</t>
        </is>
      </c>
      <c r="C18" s="27" t="inlineStr">
        <is>
          <t>03_Requirements_Intermediate_REQ-017_quiz</t>
        </is>
      </c>
    </row>
    <row r="19" ht="94.5" customHeight="1">
      <c r="A19" s="27" t="inlineStr">
        <is>
          <t>MCQ: What should a README never contain?
A) Contacts B) Setup steps C) Secrets and keys D) A purpose line
FILL: A good README begins with the project's ____
APPLY: A new engineer cannot start the project. Which file should have helped?</t>
        </is>
      </c>
      <c r="B19" s="27" t="inlineStr">
        <is>
          <t>MCQ answer: C  Files are shared and stored widely, so secrets must stay out.
Fill answer: purpose
Apply: The README</t>
        </is>
      </c>
      <c r="C19" s="27" t="inlineStr">
        <is>
          <t>04_Documentation_Beginner_REQ-018_quiz</t>
        </is>
      </c>
    </row>
    <row r="20" ht="108" customHeight="1">
      <c r="A20" s="27" t="inlineStr">
        <is>
          <t>MCQ: What helps future readers understand a design choice?
A) A logo B) Alternatives considered C) Bigger fonts D) A longer title
FILL: A short, reviewed design plan is called a technical ____
APPLY: You plan a custom integration. What do you write before coding?</t>
        </is>
      </c>
      <c r="B20" s="27" t="inlineStr">
        <is>
          <t>MCQ answer: B  It shows why the chosen design beat the others.
Fill answer: spec
Apply: A short technical spec</t>
        </is>
      </c>
      <c r="C20" s="27" t="inlineStr">
        <is>
          <t>04_Documentation_Intermediate_REQ-019_quiz</t>
        </is>
      </c>
    </row>
    <row r="21" ht="94.5" customHeight="1">
      <c r="A21" s="27" t="inlineStr">
        <is>
          <t>MCQ: How is a runbook best organised?
A) By author B) By alphabet only C) By colour D) By symptom
FILL: The step that checks that a fix really worked is the ____ step
APPLY: A job fails at night and the builder is away. What helps the on-call person?</t>
        </is>
      </c>
      <c r="B21" s="27" t="inlineStr">
        <is>
          <t>MCQ answer: D  People start from what they see going wrong.
Fill answer: confirm
Apply: A runbook</t>
        </is>
      </c>
      <c r="C21" s="27" t="inlineStr">
        <is>
          <t>04_Documentation_Intermediate_REQ-020_quiz</t>
        </is>
      </c>
    </row>
    <row r="22" ht="108" customHeight="1">
      <c r="A22" s="27" t="inlineStr">
        <is>
          <t>MCQ: How should a changed decision be handled?
A) Hide it B) Delete it C) Ignore it D) Mark it superseded and add the new one
FILL: An old decision replaced by a new one is marked ____
APPLY: A customer asks why you chose a nightly import. Where do you look?</t>
        </is>
      </c>
      <c r="B22" s="27" t="inlineStr">
        <is>
          <t>MCQ answer: D  The history shows how and why choices changed.
Fill answer: superseded
Apply: The decision log</t>
        </is>
      </c>
      <c r="C22" s="27" t="inlineStr">
        <is>
          <t>04_Documentation_Intermediate_REQ-021_quiz</t>
        </is>
      </c>
    </row>
    <row r="23" ht="81" customHeight="1">
      <c r="A23" s="27" t="inlineStr">
        <is>
          <t>MCQ: What must each action in the notes have?
A) A colour B) An owner and a date C) A long story D) A joke
FILL: A task assigned in a meeting is recorded as an ____
APPLY: A call ends with several tasks. What do you send afterwards?</t>
        </is>
      </c>
      <c r="B23" s="27" t="inlineStr">
        <is>
          <t>MCQ answer: B  Without both, actions are easily forgotten.
Fill answer: action
Apply: Notes with decisions and actions with owners and dates</t>
        </is>
      </c>
      <c r="C23" s="27" t="inlineStr">
        <is>
          <t>04_Documentation_Beginner_REQ-022_quiz</t>
        </is>
      </c>
    </row>
    <row r="24" ht="108" customHeight="1">
      <c r="A24" s="27" t="inlineStr">
        <is>
          <t>MCQ: What proves a handover worked?
A) A slide B) A long email C) The receiver runs tasks alone D) A signed photo
FILL: A short period of help after handover is a ____ period
APPLY: A project ends and a customer team takes over. What do you prepare?</t>
        </is>
      </c>
      <c r="B24" s="27" t="inlineStr">
        <is>
          <t>MCQ answer: C  Real ownership shows when the receiver can operate it.
Fill answer: support
Apply: A handover document and a walkthrough</t>
        </is>
      </c>
      <c r="C24" s="27" t="inlineStr">
        <is>
          <t>04_Documentation_Intermediate_REQ-023_quiz</t>
        </is>
      </c>
    </row>
    <row r="25" ht="94.5" customHeight="1">
      <c r="A25" s="27" t="inlineStr">
        <is>
          <t>MCQ: What should a demo start with?
A) The customer's goal B) The price list C) The code D) A joke
FILL: A recorded video used if the live demo fails is a ____ plan
APPLY: A customer wants to see what you built. What do you show first?</t>
        </is>
      </c>
      <c r="B25" s="27" t="inlineStr">
        <is>
          <t>MCQ answer: A  It connects the demo to what the customer cares about.
Fill answer: backup
Apply: Their problem and goal</t>
        </is>
      </c>
      <c r="C25" s="27" t="inlineStr">
        <is>
          <t>05_Communication_Beginner_REQ-024_quiz</t>
        </is>
      </c>
    </row>
    <row r="26" ht="94.5" customHeight="1">
      <c r="A26" s="27" t="inlineStr">
        <is>
          <t>MCQ: Which item belongs in a status update?
A) Blockers and asks B) Long code C) Private notes D) Gossip
FILL: Something that stops progress is a ____
APPLY: Test access is late and the date may slip. How do you report it?</t>
        </is>
      </c>
      <c r="B26" s="27" t="inlineStr">
        <is>
          <t>MCQ answer: A  The reader needs to know what could stop progress and what is needed.
Fill answer: blocker
Apply: As at risk, with the reason and the ask</t>
        </is>
      </c>
      <c r="C26" s="27" t="inlineStr">
        <is>
          <t>05_Communication_Beginner_REQ-025_quiz</t>
        </is>
      </c>
    </row>
    <row r="27" ht="94.5" customHeight="1">
      <c r="A27" s="27" t="inlineStr">
        <is>
          <t>MCQ: What makes a no more helpful?
A) Blaming others B) Offering alternatives C) Being vague D) Staying silent
FILL: A different route you propose after declining is an ____
APPLY: A customer asks for a risky shortcut. What do you do?</t>
        </is>
      </c>
      <c r="B27" s="27" t="inlineStr">
        <is>
          <t>MCQ answer: B  Options show you still want to solve their need.
Fill answer: alternative
Apply: Decline it, explain why and offer a safe option</t>
        </is>
      </c>
      <c r="C27" s="27" t="inlineStr">
        <is>
          <t>05_Communication_Intermediate_REQ-026_quiz</t>
        </is>
      </c>
    </row>
    <row r="28" ht="121.5" customHeight="1">
      <c r="A28" s="27" t="inlineStr">
        <is>
          <t>MCQ: When should bad news be shared?
A) Never B) After a month C) Only in writing later D) As early as possible
FILL: Giving people a fixed time for your following message is a promise of the ____ update
APPLY: An overnight job failed and customers are affected. What is your first step?</t>
        </is>
      </c>
      <c r="B28" s="27" t="inlineStr">
        <is>
          <t>MCQ answer: D  Early information lets the customer plan and keeps trust.
Fill answer: next
Apply: Tell them promptly with facts and a plan</t>
        </is>
      </c>
      <c r="C28" s="27" t="inlineStr">
        <is>
          <t>05_Communication_Intermediate_REQ-027_quiz</t>
        </is>
      </c>
    </row>
    <row r="29" ht="108" customHeight="1">
      <c r="A29" s="27" t="inlineStr">
        <is>
          <t>MCQ: How do you confirm that someone understood the plan?
A) Ignore it B) Send more slides C) Ask them to say it back D) Hope so
FILL: Things that depend on other people are called ____
APPLY: A customer assumes the first release does everything. What do you do?</t>
        </is>
      </c>
      <c r="B29" s="27" t="inlineStr">
        <is>
          <t>MCQ answer: C  Repeating it back shows any gap in understanding.
Fill answer: dependencies
Apply: Review the agreed scope and limits with them</t>
        </is>
      </c>
      <c r="C29" s="27" t="inlineStr">
        <is>
          <t>05_Communication_Intermediate_REQ-028_quiz</t>
        </is>
      </c>
    </row>
    <row r="30" ht="108" customHeight="1">
      <c r="A30" s="27" t="inlineStr">
        <is>
          <t>MCQ: What should you check before a customer site visit?
A) Access and network B) Lunch menu C) Music D) Favourite colour
FILL: Showing your display to others during a video call is called screen ____
APPLY: You will visit a customer site next week. What do you arrange first?</t>
        </is>
      </c>
      <c r="B30" s="27" t="inlineStr">
        <is>
          <t>MCQ answer: A  Missing access wastes the visit.
Fill answer: sharing
Apply: Badge, accounts and network access</t>
        </is>
      </c>
      <c r="C30" s="27" t="inlineStr">
        <is>
          <t>05_Communication_Intermediate_REQ-029_quiz</t>
        </is>
      </c>
    </row>
    <row r="31" ht="121.5" customHeight="1">
      <c r="A31" s="27" t="inlineStr">
        <is>
          <t>MCQ: What should you do when unsure about a security answer?
A) Change the topic B) Guess C) Escalate to the security team D) Ignore the question
FILL: Sharing only the data fields that are needed follows the principle of data ____
APPLY: A customer asks about data retention and you are unsure. What do you do?</t>
        </is>
      </c>
      <c r="B31" s="27" t="inlineStr">
        <is>
          <t>MCQ answer: C  Accurate answers need the right owner.
Fill answer: minimisation
Apply: Ask the security team and quote their document</t>
        </is>
      </c>
      <c r="C31" s="27" t="inlineStr">
        <is>
          <t>05_Communication_Advanced_REQ-030_quiz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90" customWidth="1" min="1" max="1"/>
    <col width="10" customWidth="1" min="2" max="2"/>
  </cols>
  <sheetData>
    <row r="1">
      <c r="A1" s="20" t="inlineStr">
        <is>
          <t>Cards by type</t>
        </is>
      </c>
    </row>
    <row r="2">
      <c r="A2" t="inlineStr">
        <is>
          <t>Topic (56-pt)</t>
        </is>
      </c>
      <c r="B2" t="n">
        <v>30</v>
      </c>
    </row>
    <row r="4">
      <c r="A4" s="20" t="inlineStr">
        <is>
          <t>Cards by topic</t>
        </is>
      </c>
    </row>
    <row r="5">
      <c r="A5" t="inlineStr">
        <is>
          <t>02 Discovery</t>
        </is>
      </c>
      <c r="B5" t="n">
        <v>7</v>
      </c>
    </row>
    <row r="6">
      <c r="A6" t="inlineStr">
        <is>
          <t>05 Communication</t>
        </is>
      </c>
      <c r="B6" t="n">
        <v>7</v>
      </c>
    </row>
    <row r="7">
      <c r="A7" t="inlineStr">
        <is>
          <t>03 Requirements</t>
        </is>
      </c>
      <c r="B7" t="n">
        <v>6</v>
      </c>
    </row>
    <row r="8">
      <c r="A8" t="inlineStr">
        <is>
          <t>04 Documentation</t>
        </is>
      </c>
      <c r="B8" t="n">
        <v>6</v>
      </c>
    </row>
    <row r="9">
      <c r="A9" t="inlineStr">
        <is>
          <t>01 The role</t>
        </is>
      </c>
      <c r="B9" t="n">
        <v>4</v>
      </c>
    </row>
    <row r="11">
      <c r="A11" s="20" t="inlineStr">
        <is>
          <t>Cards by level</t>
        </is>
      </c>
    </row>
    <row r="12">
      <c r="A12" t="inlineStr">
        <is>
          <t>Intermediate</t>
        </is>
      </c>
      <c r="B12" t="n">
        <v>18</v>
      </c>
    </row>
    <row r="13">
      <c r="A13" t="inlineStr">
        <is>
          <t>Beginner</t>
        </is>
      </c>
      <c r="B13" t="n">
        <v>11</v>
      </c>
    </row>
    <row r="14">
      <c r="A14" t="inlineStr">
        <is>
          <t>Advanced</t>
        </is>
      </c>
      <c r="B14" t="n">
        <v>1</v>
      </c>
    </row>
    <row r="16">
      <c r="A16" s="20" t="inlineStr">
        <is>
          <t>Cards by source</t>
        </is>
      </c>
    </row>
    <row r="17">
      <c r="A17" t="inlineStr">
        <is>
          <t>Claude knowledge</t>
        </is>
      </c>
      <c r="B17" t="n">
        <v>30</v>
      </c>
    </row>
    <row r="19">
      <c r="A19" s="20" t="inlineStr">
        <is>
          <t>Error check</t>
        </is>
      </c>
    </row>
    <row r="20">
      <c r="A20"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2026-10-07T12:21:28Z</dcterms:created>
  <dcterms:modified xmlns:dcterms="http://purl.org/dc/terms/" xmlns:xsi="http://www.w3.org/2001/XMLSchema-instance" xsi:type="dcterms:W3CDTF">2026-10-07T12:21:28Z</dcterms:modified>
</cp:coreProperties>
</file>