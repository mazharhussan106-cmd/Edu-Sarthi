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de concept (56-pt) cards" sheetId="2" state="visible" r:id="rId2"/>
    <sheet xmlns:r="http://schemas.openxmlformats.org/officeDocument/2006/relationships" name="Code card view" sheetId="3" state="visible" r:id="rId3"/>
    <sheet xmlns:r="http://schemas.openxmlformats.org/officeDocument/2006/relationships" name="Topic (56-pt) cards" sheetId="4" state="visible" r:id="rId4"/>
    <sheet xmlns:r="http://schemas.openxmlformats.org/officeDocument/2006/relationships" name="Topic card view" sheetId="5" state="visible" r:id="rId5"/>
    <sheet xmlns:r="http://schemas.openxmlformats.org/officeDocument/2006/relationships" name="Anki Import" sheetId="6" state="visible" r:id="rId6"/>
    <sheet xmlns:r="http://schemas.openxmlformats.org/officeDocument/2006/relationships" name="Anki Quiz" sheetId="7" state="visible" r:id="rId7"/>
    <sheet xmlns:r="http://schemas.openxmlformats.org/officeDocument/2006/relationships" name="Summary" sheetId="8" state="visible" r:id="rId8"/>
  </sheets>
  <definedNames>
    <definedName name="_xlnm._FilterDatabase" localSheetId="1" hidden="1">'Code concept (56-pt) cards'!$A$2:$BN$6</definedName>
    <definedName name="_xlnm._FilterDatabase" localSheetId="3" hidden="1">'Topic (56-pt) cards'!$A$2:$BB$28</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sz val="14"/>
    </font>
    <font>
      <sz val="11"/>
    </font>
    <font>
      <b val="1"/>
      <sz val="11"/>
    </font>
    <font>
      <b val="1"/>
      <color rgb="00FFFFFF"/>
    </font>
    <font>
      <b val="1"/>
    </font>
    <font>
      <name val="Consolas"/>
      <sz val="10"/>
    </font>
    <font>
      <b val="1"/>
      <color rgb="001F3864"/>
      <sz val="16"/>
    </font>
    <font>
      <b val="1"/>
      <color rgb="00C00000"/>
      <sz val="12"/>
    </font>
    <font>
      <b val="1"/>
      <color rgb="00FFFFFF"/>
      <sz val="12"/>
    </font>
    <font>
      <b val="1"/>
      <color rgb="001F3864"/>
    </font>
  </fonts>
  <fills count="21">
    <fill>
      <patternFill/>
    </fill>
    <fill>
      <patternFill patternType="gray125"/>
    </fill>
    <fill>
      <patternFill patternType="solid">
        <fgColor rgb="00FFF4D6"/>
      </patternFill>
    </fill>
    <fill>
      <patternFill patternType="solid">
        <fgColor rgb="00374151"/>
      </patternFill>
    </fill>
    <fill>
      <patternFill patternType="solid">
        <fgColor rgb="001F3A68"/>
      </patternFill>
    </fill>
    <fill>
      <patternFill patternType="solid">
        <fgColor rgb="000F7F74"/>
      </patternFill>
    </fill>
    <fill>
      <patternFill patternType="solid">
        <fgColor rgb="00B35500"/>
      </patternFill>
    </fill>
    <fill>
      <patternFill patternType="solid">
        <fgColor rgb="00475569"/>
      </patternFill>
    </fill>
    <fill>
      <patternFill patternType="solid">
        <fgColor rgb="005B21B6"/>
      </patternFill>
    </fill>
    <fill>
      <patternFill patternType="solid">
        <fgColor rgb="00E5E7EB"/>
      </patternFill>
    </fill>
    <fill>
      <patternFill patternType="solid">
        <fgColor rgb="00DBE4F3"/>
      </patternFill>
    </fill>
    <fill>
      <patternFill patternType="solid">
        <fgColor rgb="00D5EFEC"/>
      </patternFill>
    </fill>
    <fill>
      <patternFill patternType="solid">
        <fgColor rgb="00F8E3CF"/>
      </patternFill>
    </fill>
    <fill>
      <patternFill patternType="solid">
        <fgColor rgb="00E2E8F0"/>
      </patternFill>
    </fill>
    <fill>
      <patternFill patternType="solid">
        <fgColor rgb="00E9DDFB"/>
      </patternFill>
    </fill>
    <fill>
      <patternFill patternType="solid">
        <fgColor rgb="00FFF2CC"/>
      </patternFill>
    </fill>
    <fill>
      <patternFill patternType="solid">
        <fgColor rgb="001F5FA8"/>
      </patternFill>
    </fill>
    <fill>
      <patternFill patternType="solid">
        <fgColor rgb="00F2F2F2"/>
      </patternFill>
    </fill>
    <fill>
      <patternFill patternType="solid">
        <fgColor rgb="002F7D4F"/>
      </patternFill>
    </fill>
    <fill>
      <patternFill patternType="solid">
        <fgColor rgb="00C2561A"/>
      </patternFill>
    </fill>
    <fill>
      <patternFill patternType="solid">
        <fgColor rgb="001F3864"/>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0" pivotButton="0" quotePrefix="0" xfId="0"/>
    <xf numFmtId="0" fontId="4" fillId="3" borderId="0" applyAlignment="1" pivotButton="0" quotePrefix="0" xfId="0">
      <alignment horizontal="center"/>
    </xf>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xf>
    <xf numFmtId="0" fontId="4" fillId="8" borderId="0" applyAlignment="1" pivotButton="0" quotePrefix="0" xfId="0">
      <alignment horizontal="center"/>
    </xf>
    <xf numFmtId="0" fontId="5" fillId="9" borderId="1" applyAlignment="1" pivotButton="0" quotePrefix="0" xfId="0">
      <alignment vertical="top" wrapText="1"/>
    </xf>
    <xf numFmtId="0" fontId="5" fillId="10" borderId="1" applyAlignment="1" pivotButton="0" quotePrefix="0" xfId="0">
      <alignment vertical="top" wrapText="1"/>
    </xf>
    <xf numFmtId="0" fontId="5" fillId="11" borderId="1" applyAlignment="1" pivotButton="0" quotePrefix="0" xfId="0">
      <alignment vertical="top" wrapText="1"/>
    </xf>
    <xf numFmtId="0" fontId="5" fillId="12" borderId="1" applyAlignment="1" pivotButton="0" quotePrefix="0" xfId="0">
      <alignment vertical="top" wrapText="1"/>
    </xf>
    <xf numFmtId="0" fontId="5" fillId="13" borderId="1" applyAlignment="1" pivotButton="0" quotePrefix="0" xfId="0">
      <alignment vertical="top" wrapText="1"/>
    </xf>
    <xf numFmtId="0" fontId="5" fillId="14" borderId="1" applyAlignment="1" pivotButton="0" quotePrefix="0" xfId="0">
      <alignment vertical="top" wrapText="1"/>
    </xf>
    <xf numFmtId="0" fontId="0" fillId="0" borderId="1" applyAlignment="1" pivotButton="0" quotePrefix="0" xfId="0">
      <alignment vertical="top" wrapText="1"/>
    </xf>
    <xf numFmtId="0" fontId="0" fillId="2" borderId="1" applyAlignment="1" pivotButton="0" quotePrefix="0" xfId="0">
      <alignment vertical="top" wrapText="1"/>
    </xf>
    <xf numFmtId="0" fontId="6" fillId="2" borderId="1" applyAlignment="1" pivotButton="0" quotePrefix="0" xfId="0">
      <alignment vertical="top" wrapText="1"/>
    </xf>
    <xf numFmtId="0" fontId="7" fillId="0" borderId="0" pivotButton="0" quotePrefix="0" xfId="0"/>
    <xf numFmtId="0" fontId="5" fillId="0" borderId="0" pivotButton="0" quotePrefix="0" xfId="0"/>
    <xf numFmtId="0" fontId="8" fillId="15" borderId="1" pivotButton="0" quotePrefix="0" xfId="0"/>
    <xf numFmtId="0" fontId="9" fillId="16" borderId="0" applyAlignment="1" pivotButton="0" quotePrefix="0" xfId="0">
      <alignment horizontal="center"/>
    </xf>
    <xf numFmtId="0" fontId="10" fillId="17" borderId="1" applyAlignment="1" pivotButton="0" quotePrefix="0" xfId="0">
      <alignment vertical="top" wrapText="1"/>
    </xf>
    <xf numFmtId="0" fontId="9" fillId="18" borderId="0" applyAlignment="1" pivotButton="0" quotePrefix="0" xfId="0">
      <alignment horizontal="center"/>
    </xf>
    <xf numFmtId="0" fontId="6" fillId="0" borderId="1" applyAlignment="1" pivotButton="0" quotePrefix="0" xfId="0">
      <alignment vertical="top" wrapText="1"/>
    </xf>
    <xf numFmtId="0" fontId="9" fillId="19" borderId="0" applyAlignment="1" pivotButton="0" quotePrefix="0" xfId="0">
      <alignment horizontal="center"/>
    </xf>
    <xf numFmtId="0" fontId="4" fillId="2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SSO and Identity – Beginner to Advanced Flashcards</t>
        </is>
      </c>
    </row>
    <row r="2">
      <c r="A2" s="2" t="inlineStr">
        <is>
          <t>Subject: Single sign-on, OAuth, OpenID Connect, SAML and identity   ·   Learner: Self learner, English   ·   Cards: 30</t>
        </is>
      </c>
    </row>
    <row r="3">
      <c r="A3" s="2" t="inlineStr">
        <is>
          <t>Source: Claude knowledge</t>
        </is>
      </c>
    </row>
    <row r="4">
      <c r="A4" s="2" t="inlineStr"/>
    </row>
    <row r="5">
      <c r="A5" s="3" t="inlineStr">
        <is>
          <t>How to study a card</t>
        </is>
      </c>
    </row>
    <row r="6">
      <c r="A6" s="2" t="inlineStr">
        <is>
          <t>1. Read Side 1 only. Try to say the meaning, answer or formula out loud before looking further.</t>
        </is>
      </c>
    </row>
    <row r="7">
      <c r="A7" s="2" t="inlineStr">
        <is>
          <t>2. Check yourself against Side 2. Read the examples and the common mistake.</t>
        </is>
      </c>
    </row>
    <row r="8">
      <c r="A8" s="2" t="inlineStr">
        <is>
          <t>3. Do the practice on Side 3 without looking back. Then mark Status: New → Learning → Known.</t>
        </is>
      </c>
    </row>
    <row r="9">
      <c r="A9" s="2" t="inlineStr">
        <is>
          <t>4. Review on days 1, 3, 7, 15, 30, 60 after first study: write the date or ✓ in that day's column.</t>
        </is>
      </c>
    </row>
    <row r="10">
      <c r="A10" s="2" t="inlineStr">
        <is>
          <t xml:space="preserve">   Got it wrong on a review? Start that card's days again from Day 1.</t>
        </is>
      </c>
    </row>
    <row r="11">
      <c r="A11" s="2" t="inlineStr">
        <is>
          <t>5. Follow 'Study order': prerequisites come first, then easy to hard.</t>
        </is>
      </c>
    </row>
    <row r="12">
      <c r="A12" s="2" t="inlineStr"/>
    </row>
    <row r="13">
      <c r="A13" s="3" t="inlineStr">
        <is>
          <t>Colours</t>
        </is>
      </c>
    </row>
    <row r="14">
      <c r="A14" s="4" t="inlineStr">
        <is>
          <t>Shaded cells were added by Claude, not taken from your own book or notes. Check them against a trusted source,</t>
        </is>
      </c>
    </row>
    <row r="15">
      <c r="A15" s="2" t="inlineStr">
        <is>
          <t>and mark the card 'Fix' in the OK / Fix column if anything is wrong. Unshaded cells came from your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18" customWidth="1" min="11" max="11"/>
    <col width="42" customWidth="1" min="12" max="12"/>
    <col width="42" customWidth="1" min="13" max="13"/>
    <col width="42" customWidth="1" min="14" max="14"/>
    <col width="42" customWidth="1" min="15" max="15"/>
    <col width="42" customWidth="1" min="16" max="16"/>
    <col width="42" customWidth="1" min="17" max="17"/>
    <col width="18" customWidth="1" min="18" max="18"/>
    <col width="18" customWidth="1" min="19" max="19"/>
    <col width="42" customWidth="1" min="20" max="20"/>
    <col width="42" customWidth="1" min="21" max="21"/>
    <col width="42" customWidth="1" min="22" max="22"/>
    <col width="42" customWidth="1" min="23" max="23"/>
    <col width="42" customWidth="1" min="24" max="24"/>
    <col width="18" customWidth="1" min="25" max="25"/>
    <col width="18" customWidth="1" min="26" max="26"/>
    <col width="42" customWidth="1" min="27" max="27"/>
    <col width="42" customWidth="1" min="28" max="28"/>
    <col width="42" customWidth="1" min="29" max="29"/>
    <col width="42" customWidth="1" min="30" max="30"/>
    <col width="18" customWidth="1" min="31" max="31"/>
    <col width="18" customWidth="1" min="32" max="32"/>
    <col width="18"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 width="42" customWidth="1" min="44" max="44"/>
    <col width="42" customWidth="1" min="45" max="45"/>
    <col width="42" customWidth="1" min="46" max="46"/>
    <col width="42" customWidth="1" min="47" max="47"/>
    <col width="18" customWidth="1" min="48" max="48"/>
    <col width="18" customWidth="1" min="49" max="49"/>
    <col width="42" customWidth="1" min="50" max="50"/>
    <col width="42" customWidth="1" min="51" max="51"/>
    <col width="42" customWidth="1" min="52" max="52"/>
    <col width="42" customWidth="1" min="53" max="53"/>
    <col width="42" customWidth="1" min="54" max="54"/>
    <col width="42" customWidth="1" min="55" max="55"/>
    <col width="18" customWidth="1" min="56" max="56"/>
    <col width="42" customWidth="1" min="57" max="57"/>
    <col width="18" customWidth="1" min="58" max="58"/>
    <col width="9" customWidth="1" min="59" max="59"/>
    <col width="9" customWidth="1" min="60" max="60"/>
    <col width="9" customWidth="1" min="61" max="61"/>
    <col width="9" customWidth="1" min="62" max="62"/>
    <col width="9" customWidth="1" min="63" max="63"/>
    <col width="9" customWidth="1" min="64" max="64"/>
    <col width="18" customWidth="1" min="65" max="65"/>
    <col width="18" customWidth="1" min="66" max="66"/>
  </cols>
  <sheetData>
    <row r="1">
      <c r="A1" s="5" t="inlineStr">
        <is>
          <t>Card</t>
        </is>
      </c>
      <c r="F1" s="6" t="inlineStr">
        <is>
          <t>Side 1 · Recognition</t>
        </is>
      </c>
      <c r="R1" s="7" t="inlineStr">
        <is>
          <t>Side 2 · Understanding</t>
        </is>
      </c>
      <c r="AT1" s="8" t="inlineStr">
        <is>
          <t>Side 3 · Real life &amp; Practice</t>
        </is>
      </c>
      <c r="BD1" s="9" t="inlineStr">
        <is>
          <t>Auto</t>
        </is>
      </c>
      <c r="BF1" s="10" t="inlineStr">
        <is>
          <t>My review</t>
        </is>
      </c>
    </row>
    <row r="2">
      <c r="A2" s="11" t="inlineStr">
        <is>
          <t>ID</t>
        </is>
      </c>
      <c r="B2" s="11" t="inlineStr">
        <is>
          <t>Topic</t>
        </is>
      </c>
      <c r="C2" s="11" t="inlineStr">
        <is>
          <t>Level</t>
        </is>
      </c>
      <c r="D2" s="11" t="inlineStr">
        <is>
          <t>Study order</t>
        </is>
      </c>
      <c r="E2" s="11" t="inlineStr">
        <is>
          <t>Source</t>
        </is>
      </c>
      <c r="F2" s="12" t="inlineStr">
        <is>
          <t>Concept</t>
        </is>
      </c>
      <c r="G2" s="12" t="inlineStr">
        <is>
          <t>Recall cue</t>
        </is>
      </c>
      <c r="H2" s="12" t="inlineStr">
        <is>
          <t>Read aloud</t>
        </is>
      </c>
      <c r="I2" s="12" t="inlineStr">
        <is>
          <t>Type</t>
        </is>
      </c>
      <c r="J2" s="12" t="inlineStr">
        <is>
          <t>How often used</t>
        </is>
      </c>
      <c r="K2" s="12" t="inlineStr">
        <is>
          <t>Importance (1-5)</t>
        </is>
      </c>
      <c r="L2" s="12" t="inlineStr">
        <is>
          <t>Origin / why it exists</t>
        </is>
      </c>
      <c r="M2" s="12" t="inlineStr">
        <is>
          <t>Pro tip</t>
        </is>
      </c>
      <c r="N2" s="12" t="inlineStr">
        <is>
          <t>Typing hint</t>
        </is>
      </c>
      <c r="O2" s="12" t="inlineStr">
        <is>
          <t>Memory story</t>
        </is>
      </c>
      <c r="P2" s="12" t="inlineStr">
        <is>
          <t>Picture it</t>
        </is>
      </c>
      <c r="Q2" s="12" t="inlineStr">
        <is>
          <t>Emotion hook</t>
        </is>
      </c>
      <c r="R2" s="13" t="inlineStr">
        <is>
          <t>Meaning (short)</t>
        </is>
      </c>
      <c r="S2" s="13" t="inlineStr">
        <is>
          <t>Meaning in learner's language</t>
        </is>
      </c>
      <c r="T2" s="13" t="inlineStr">
        <is>
          <t>Code</t>
        </is>
      </c>
      <c r="U2" s="13" t="inlineStr">
        <is>
          <t>Output</t>
        </is>
      </c>
      <c r="V2" s="13" t="inlineStr">
        <is>
          <t>Explanation</t>
        </is>
      </c>
      <c r="W2" s="13" t="inlineStr">
        <is>
          <t>Simple explanation (Hinglish)</t>
        </is>
      </c>
      <c r="X2" s="13" t="inlineStr">
        <is>
          <t>Real-life analogy</t>
        </is>
      </c>
      <c r="Y2" s="13" t="inlineStr">
        <is>
          <t>Syntax pattern</t>
        </is>
      </c>
      <c r="Z2" s="13" t="inlineStr">
        <is>
          <t>Anatomy</t>
        </is>
      </c>
      <c r="AA2" s="13" t="inlineStr">
        <is>
          <t>Example 1</t>
        </is>
      </c>
      <c r="AB2" s="13" t="inlineStr">
        <is>
          <t>Example 2</t>
        </is>
      </c>
      <c r="AC2" s="13" t="inlineStr">
        <is>
          <t>Example 3</t>
        </is>
      </c>
      <c r="AD2" s="13" t="inlineStr">
        <is>
          <t>Variation</t>
        </is>
      </c>
      <c r="AE2" s="13" t="inlineStr">
        <is>
          <t>Used with</t>
        </is>
      </c>
      <c r="AF2" s="13" t="inlineStr">
        <is>
          <t>Related concepts</t>
        </is>
      </c>
      <c r="AG2" s="13" t="inlineStr">
        <is>
          <t>Alternatives</t>
        </is>
      </c>
      <c r="AH2" s="13" t="inlineStr">
        <is>
          <t>Family / group</t>
        </is>
      </c>
      <c r="AI2" s="13" t="inlineStr">
        <is>
          <t>Where it is used</t>
        </is>
      </c>
      <c r="AJ2" s="13" t="inlineStr">
        <is>
          <t>Mini conversation</t>
        </is>
      </c>
      <c r="AK2" s="13" t="inlineStr">
        <is>
          <t>Common mistake</t>
        </is>
      </c>
      <c r="AL2" s="13" t="inlineStr">
        <is>
          <t>Commonly confused with</t>
        </is>
      </c>
      <c r="AM2" s="13" t="inlineStr">
        <is>
          <t>Avoid / don't</t>
        </is>
      </c>
      <c r="AN2" s="13" t="inlineStr">
        <is>
          <t>Wrong code</t>
        </is>
      </c>
      <c r="AO2" s="13" t="inlineStr">
        <is>
          <t>Right code</t>
        </is>
      </c>
      <c r="AP2" s="13" t="inlineStr">
        <is>
          <t>Memory trick</t>
        </is>
      </c>
      <c r="AQ2" s="13" t="inlineStr">
        <is>
          <t>Real life: project / work</t>
        </is>
      </c>
      <c r="AR2" s="13" t="inlineStr">
        <is>
          <t>Real life: interview / exam</t>
        </is>
      </c>
      <c r="AS2" s="13" t="inlineStr">
        <is>
          <t>Real life: daily life</t>
        </is>
      </c>
      <c r="AT2" s="14" t="inlineStr">
        <is>
          <t>MCQ question</t>
        </is>
      </c>
      <c r="AU2" s="14" t="inlineStr">
        <is>
          <t>MCQ options</t>
        </is>
      </c>
      <c r="AV2" s="14" t="inlineStr">
        <is>
          <t>MCQ answer</t>
        </is>
      </c>
      <c r="AW2" s="14" t="inlineStr">
        <is>
          <t>Why that answer</t>
        </is>
      </c>
      <c r="AX2" s="14" t="inlineStr">
        <is>
          <t>Fill the blank</t>
        </is>
      </c>
      <c r="AY2" s="14" t="inlineStr">
        <is>
          <t>Try it yourself</t>
        </is>
      </c>
      <c r="AZ2" s="14" t="inlineStr">
        <is>
          <t>Task answer</t>
        </is>
      </c>
      <c r="BA2" s="14" t="inlineStr">
        <is>
          <t>Write your own</t>
        </is>
      </c>
      <c r="BB2" s="14" t="inlineStr">
        <is>
          <t>Practice question</t>
        </is>
      </c>
      <c r="BC2" s="14" t="inlineStr">
        <is>
          <t>Practice answer</t>
        </is>
      </c>
      <c r="BD2" s="15" t="inlineStr">
        <is>
          <t>Importance ★</t>
        </is>
      </c>
      <c r="BE2" s="15" t="inlineStr">
        <is>
          <t>Quick recall (reverse)</t>
        </is>
      </c>
      <c r="BF2" s="16" t="inlineStr">
        <is>
          <t>Status</t>
        </is>
      </c>
      <c r="BG2" s="16" t="inlineStr">
        <is>
          <t>Day 1</t>
        </is>
      </c>
      <c r="BH2" s="16" t="inlineStr">
        <is>
          <t>Day 3</t>
        </is>
      </c>
      <c r="BI2" s="16" t="inlineStr">
        <is>
          <t>Day 7</t>
        </is>
      </c>
      <c r="BJ2" s="16" t="inlineStr">
        <is>
          <t>Day 15</t>
        </is>
      </c>
      <c r="BK2" s="16" t="inlineStr">
        <is>
          <t>Day 30</t>
        </is>
      </c>
      <c r="BL2" s="16" t="inlineStr">
        <is>
          <t>Day 60</t>
        </is>
      </c>
      <c r="BM2" s="16" t="inlineStr">
        <is>
          <t>OK / Fix</t>
        </is>
      </c>
      <c r="BN2" s="16" t="inlineStr">
        <is>
          <t>My note</t>
        </is>
      </c>
    </row>
    <row r="3" ht="189" customHeight="1">
      <c r="A3" s="17" t="inlineStr">
        <is>
          <t>SSO-011</t>
        </is>
      </c>
      <c r="B3" s="17" t="inlineStr">
        <is>
          <t>02 Protocols</t>
        </is>
      </c>
      <c r="C3" s="17" t="inlineStr">
        <is>
          <t>Advanced</t>
        </is>
      </c>
      <c r="D3" s="17" t="n">
        <v>11</v>
      </c>
      <c r="E3" s="17" t="inlineStr">
        <is>
          <t>Claude knowledge</t>
        </is>
      </c>
      <c r="F3" s="18" t="inlineStr">
        <is>
          <t>PKCE</t>
        </is>
      </c>
      <c r="G3" s="18" t="inlineStr">
        <is>
          <t>Which extension protects the authorisation code flow for apps that cannot keep a secret?</t>
        </is>
      </c>
      <c r="H3" s="17" t="n"/>
      <c r="I3" s="18" t="inlineStr">
        <is>
          <t>Security mechanism</t>
        </is>
      </c>
      <c r="J3" s="18" t="inlineStr">
        <is>
          <t>Very high</t>
        </is>
      </c>
      <c r="K3" s="18" t="n">
        <v>5</v>
      </c>
      <c r="L3" s="18" t="inlineStr">
        <is>
          <t>Public clients such as mobile and single page apps cannot hide a secret, so a one-time proof ties the code to the app that asked for it.</t>
        </is>
      </c>
      <c r="M3" s="18" t="inlineStr">
        <is>
          <t>Use PKCE for every authorisation code flow, even with confidential clients.</t>
        </is>
      </c>
      <c r="N3" s="17" t="n"/>
      <c r="O3" s="18" t="inlineStr">
        <is>
          <t>PKCE is a claim ticket that only the person who made the order can match.</t>
        </is>
      </c>
      <c r="P3" s="18" t="inlineStr">
        <is>
          <t>A hashed challenge sent first and a verifier revealed later.</t>
        </is>
      </c>
      <c r="Q3" s="18" t="inlineStr">
        <is>
          <t>The assurance that a stolen code is useless.</t>
        </is>
      </c>
      <c r="R3" s="18" t="inlineStr">
        <is>
          <t>PKCE has the client create a random code verifier, send its hash as the code challenge in the authorisation request, and send the verifier when exchanging the code, so the server can check they match.</t>
        </is>
      </c>
      <c r="S3" s="17" t="n"/>
      <c r="T3" s="19" t="inlineStr">
        <is>
          <t>import base64, hashlib, os
verifier = base64.urlsafe_b64encode(os.urandom(32)).rstrip(b"=").decode()
challenge = base64.urlsafe_b64encode(hashlib.sha256(verifier.encode()).digest()).rstrip(b"=").decode()
auth_url = ("https://idp.example.com/authorize?response_type=code&amp;client_id=APP"
    "&amp;redirect_uri=https://app.example.com/cb&amp;scope=openid%20profile"
    f"&amp;code_challenge={challenge}&amp;code_challenge_method=S256&amp;state=xyz")
# later: POST /token with code and code_verifier=verifier</t>
        </is>
      </c>
      <c r="U3" s="19" t="inlineStr">
        <is>
          <t>The authorisation request carries the challenge, and the token request carries the verifier, which the server hashes and compares.</t>
        </is>
      </c>
      <c r="V3" s="18" t="inlineStr">
        <is>
          <t>An attacker who steals the code from a redirect cannot use it without the verifier, which never travelled in the first request. Use the S256 method, not plain. The state parameter protects against cross-site request forgery. The nonce ties the ID token to the request. Libraries do this automatically.</t>
        </is>
      </c>
      <c r="W3" s="18" t="inlineStr">
        <is>
          <t>Send a hash first and the secret later, so a stolen code is useless.</t>
        </is>
      </c>
      <c r="X3" s="18" t="inlineStr">
        <is>
          <t>PKCE is a claim ticket that only the person who made the order can match.</t>
        </is>
      </c>
      <c r="Y3" s="19" t="inlineStr">
        <is>
          <t>code_challenge = BASE64URL(SHA256(code_verifier))</t>
        </is>
      </c>
      <c r="Z3" s="18" t="inlineStr">
        <is>
          <t>verifier = random secret | challenge = its hash | S256 = method | state = CSRF guard</t>
        </is>
      </c>
      <c r="AA3" s="19" t="inlineStr">
        <is>
          <t>code_challenge_method=S256</t>
        </is>
      </c>
      <c r="AB3" s="19" t="inlineStr">
        <is>
          <t>state=random-string</t>
        </is>
      </c>
      <c r="AC3" s="19" t="inlineStr">
        <is>
          <t>nonce=random-string</t>
        </is>
      </c>
      <c r="AD3" s="19" t="inlineStr">
        <is>
          <t>client secret on a backend   // confidential clients still add PKCE</t>
        </is>
      </c>
      <c r="AE3" s="18" t="inlineStr">
        <is>
          <t>OAuth code flow, OpenID Connect, mobile apps</t>
        </is>
      </c>
      <c r="AF3" s="18" t="inlineStr">
        <is>
          <t>OAuth grants, redirect URI rules, CSRF, token theft</t>
        </is>
      </c>
      <c r="AG3" s="18" t="inlineStr">
        <is>
          <t>Client secrets for server-side apps</t>
        </is>
      </c>
      <c r="AH3" s="17" t="n"/>
      <c r="AI3" s="18" t="inlineStr">
        <is>
          <t>Single page apps | Mobile apps | All modern logins</t>
        </is>
      </c>
      <c r="AJ3" s="18" t="inlineStr">
        <is>
          <t>A: Can a stolen authorisation code be used? | B: Not without the verifier that PKCE requires.</t>
        </is>
      </c>
      <c r="AK3" s="18" t="inlineStr">
        <is>
          <t>✗ PKCE is only for mobile apps → ✓ It is recommended for all authorisation code flows</t>
        </is>
      </c>
      <c r="AL3" s="18" t="inlineStr">
        <is>
          <t>state vs PKCE: state guards the redirect, PKCE guards the code exchange.</t>
        </is>
      </c>
      <c r="AM3" s="18" t="inlineStr">
        <is>
          <t>Do not use the plain challenge method.</t>
        </is>
      </c>
      <c r="AN3" s="19" t="inlineStr">
        <is>
          <t>code_challenge_method=plain</t>
        </is>
      </c>
      <c r="AO3" s="19" t="inlineStr">
        <is>
          <t>code_challenge_method=S256</t>
        </is>
      </c>
      <c r="AP3" s="18" t="inlineStr">
        <is>
          <t>Hash goes first, verifier comes later.</t>
        </is>
      </c>
      <c r="AQ3" s="18" t="inlineStr">
        <is>
          <t>Adding PKCE to a single page app removed the need for any client secret in the browser.</t>
        </is>
      </c>
      <c r="AR3" s="18" t="inlineStr">
        <is>
          <t>An interviewer may ask: What problem does PKCE solve?</t>
        </is>
      </c>
      <c r="AS3" s="18" t="inlineStr">
        <is>
          <t>It is like a claim ticket that only the orderer can match.</t>
        </is>
      </c>
      <c r="AT3" s="18" t="inlineStr">
        <is>
          <t>What does the client send in the token request with PKCE?</t>
        </is>
      </c>
      <c r="AU3" s="18" t="inlineStr">
        <is>
          <t>A) The code challenge only B) The state only C) The password D) The code verifier</t>
        </is>
      </c>
      <c r="AV3" s="18" t="inlineStr">
        <is>
          <t>D</t>
        </is>
      </c>
      <c r="AW3" s="18" t="inlineStr">
        <is>
          <t>The server hashes it to match the challenge.</t>
        </is>
      </c>
      <c r="AX3" s="19" t="inlineStr">
        <is>
          <t>The recommended challenge method is ____ → S256</t>
        </is>
      </c>
      <c r="AY3" s="18" t="inlineStr">
        <is>
          <t>Build the authorisation URL with a code challenge.</t>
        </is>
      </c>
      <c r="AZ3" s="19" t="inlineStr">
        <is>
          <t>https://idp.example.com/authorize?response_type=code&amp;code_challenge=CHALLENGE&amp;code_challenge_method=S256</t>
        </is>
      </c>
      <c r="BA3" s="18" t="inlineStr">
        <is>
          <t>Explain why a stolen code fails without the verifier.</t>
        </is>
      </c>
      <c r="BB3" s="19" t="inlineStr">
        <is>
          <t>Which method should you use for the challenge?</t>
        </is>
      </c>
      <c r="BC3" s="19" t="inlineStr">
        <is>
          <t>S256.</t>
        </is>
      </c>
      <c r="BD3" s="17">
        <f>IF(K3="","",REPT("★",K3)&amp;REPT("☆",5-K3)&amp;" ("&amp;K3&amp;"/5)")</f>
        <v/>
      </c>
      <c r="BE3" s="17">
        <f>IF(S3="","","Meaning: "&amp;S3&amp;"  =  ______   (Answer: "&amp;F3&amp;")")</f>
        <v/>
      </c>
      <c r="BF3" s="17" t="inlineStr">
        <is>
          <t>New</t>
        </is>
      </c>
      <c r="BG3" s="17" t="n"/>
      <c r="BH3" s="17" t="n"/>
      <c r="BI3" s="17" t="n"/>
      <c r="BJ3" s="17" t="n"/>
      <c r="BK3" s="17" t="n"/>
      <c r="BL3" s="17" t="n"/>
      <c r="BM3" s="17" t="n"/>
      <c r="BN3" s="17" t="n"/>
    </row>
    <row r="4" ht="135" customHeight="1">
      <c r="A4" s="17" t="inlineStr">
        <is>
          <t>SSO-012</t>
        </is>
      </c>
      <c r="B4" s="17" t="inlineStr">
        <is>
          <t>02 Protocols</t>
        </is>
      </c>
      <c r="C4" s="17" t="inlineStr">
        <is>
          <t>Intermediate</t>
        </is>
      </c>
      <c r="D4" s="17" t="n">
        <v>12</v>
      </c>
      <c r="E4" s="17" t="inlineStr">
        <is>
          <t>Claude knowledge</t>
        </is>
      </c>
      <c r="F4" s="18" t="inlineStr">
        <is>
          <t>JWT validation</t>
        </is>
      </c>
      <c r="G4" s="18" t="inlineStr">
        <is>
          <t>Which checks must an API make before trusting a JSON Web Token?</t>
        </is>
      </c>
      <c r="H4" s="17" t="n"/>
      <c r="I4" s="18" t="inlineStr">
        <is>
          <t>Security mechanism</t>
        </is>
      </c>
      <c r="J4" s="18" t="inlineStr">
        <is>
          <t>Very high</t>
        </is>
      </c>
      <c r="K4" s="18" t="n">
        <v>5</v>
      </c>
      <c r="L4" s="18" t="inlineStr">
        <is>
          <t>Tokens arrive from outside, so an API must prove that they are genuine, current and meant for it.</t>
        </is>
      </c>
      <c r="M4" s="18" t="inlineStr">
        <is>
          <t>Use a well-tested library and fix the allowed algorithms.</t>
        </is>
      </c>
      <c r="N4" s="17" t="n"/>
      <c r="O4" s="18" t="inlineStr">
        <is>
          <t>Validating a token is checking a banknote for watermark, date and issuer.</t>
        </is>
      </c>
      <c r="P4" s="18" t="inlineStr">
        <is>
          <t>A token split into header, payload and signature with checks beside each.</t>
        </is>
      </c>
      <c r="Q4" s="18" t="inlineStr">
        <is>
          <t>The confidence of rejecting forged tokens.</t>
        </is>
      </c>
      <c r="R4" s="18" t="inlineStr">
        <is>
          <t>A JWT has a header, payload and signature, and validation checks the signature with the issuer's key, the algorithm, issuer, audience, expiry and not-before times.</t>
        </is>
      </c>
      <c r="S4" s="17" t="n"/>
      <c r="T4" s="19" t="inlineStr">
        <is>
          <t>import jwt   # PyJWT
claims = jwt.decode(
    token,
    key=public_key_from_jwks,
    algorithms=["RS256"],
    audience="https://api.example.com",
    issuer="https://idp.example.com/",
    leeway=30,
)
print(claims["sub"], claims.get("scope"))</t>
        </is>
      </c>
      <c r="U4" s="19" t="inlineStr">
        <is>
          <t>The claims are returned only if the signature, issuer, audience and times are valid, with thirty seconds of allowed clock difference.</t>
        </is>
      </c>
      <c r="V4" s="18" t="inlineStr">
        <is>
          <t>Keys come from the provider's JWKS endpoint and are chosen using the kid header. Allow only expected algorithms, because attackers try none or switching to a shared secret. Check exp and nbf with a small leeway. A JWT is signed, not encrypted, so anyone can read it. Revocation needs short lifetimes or introspection.</t>
        </is>
      </c>
      <c r="W4" s="18" t="inlineStr">
        <is>
          <t>Verify signature, algorithm, issuer, audience and time, and never trust an unverified token.</t>
        </is>
      </c>
      <c r="X4" s="18" t="inlineStr">
        <is>
          <t>Validating a token is checking a banknote for watermark, date and issuer.</t>
        </is>
      </c>
      <c r="Y4" s="19" t="inlineStr">
        <is>
          <t>jwt.decode(token, key, algorithms=[...], audience=..., issuer=...)</t>
        </is>
      </c>
      <c r="Z4" s="18" t="inlineStr">
        <is>
          <t>header = algorithm and kid | payload = claims | signature = proof | JWKS = public keys</t>
        </is>
      </c>
      <c r="AA4" s="19" t="inlineStr">
        <is>
          <t>kid selects the key from the JWKS.</t>
        </is>
      </c>
      <c r="AB4" s="19" t="inlineStr">
        <is>
          <t>exp is a Unix time in seconds.</t>
        </is>
      </c>
      <c r="AC4" s="19" t="inlineStr">
        <is>
          <t>aud must match this API.</t>
        </is>
      </c>
      <c r="AD4" s="19" t="inlineStr">
        <is>
          <t>opaque tokens with introspection   // ask the server instead of decoding</t>
        </is>
      </c>
      <c r="AE4" s="18" t="inlineStr">
        <is>
          <t>OIDC, OAuth, APIs</t>
        </is>
      </c>
      <c r="AF4" s="18" t="inlineStr">
        <is>
          <t>scopes and claims, token lifetimes, clock skew, OpenID Connect</t>
        </is>
      </c>
      <c r="AG4" s="18" t="inlineStr">
        <is>
          <t>Token introspection | opaque tokens</t>
        </is>
      </c>
      <c r="AH4" s="17" t="n"/>
      <c r="AI4" s="18" t="inlineStr">
        <is>
          <t>APIs | Gateways | Microservices</t>
        </is>
      </c>
      <c r="AJ4" s="18" t="inlineStr">
        <is>
          <t>A: Can we just decode the token and read the user? | B: No, you must verify the signature and claims first.</t>
        </is>
      </c>
      <c r="AK4" s="18" t="inlineStr">
        <is>
          <t>✗ A JWT is encrypted so its contents are private → ✓ It is only signed, and anyone can decode the payload</t>
        </is>
      </c>
      <c r="AL4" s="18" t="inlineStr">
        <is>
          <t>Decode vs verify: decoding reads the payload, verifying proves it is genuine.</t>
        </is>
      </c>
      <c r="AM4" s="18" t="inlineStr">
        <is>
          <t>Do not accept the none algorithm.</t>
        </is>
      </c>
      <c r="AN4" s="19" t="inlineStr">
        <is>
          <t>claims = jwt.decode(token, options={"verify_signature": False})</t>
        </is>
      </c>
      <c r="AO4" s="19" t="inlineStr">
        <is>
          <t>claims = jwt.decode(token, key, algorithms=["RS256"], audience=AUD, issuer=ISS)</t>
        </is>
      </c>
      <c r="AP4" s="18" t="inlineStr">
        <is>
          <t>Decoding reads it, verifying trusts it.</t>
        </is>
      </c>
      <c r="AQ4" s="18" t="inlineStr">
        <is>
          <t>Adding audience checks stopped tokens meant for another API being accepted.</t>
        </is>
      </c>
      <c r="AR4" s="18" t="inlineStr">
        <is>
          <t>An interviewer may ask: What do you validate in a JWT?</t>
        </is>
      </c>
      <c r="AS4" s="18" t="inlineStr">
        <is>
          <t>It is like checking a banknote.</t>
        </is>
      </c>
      <c r="AT4" s="18" t="inlineStr">
        <is>
          <t>Which part proves a JWT is genuine?</t>
        </is>
      </c>
      <c r="AU4" s="18" t="inlineStr">
        <is>
          <t>A) The token length B) The signature C) The header colour D) The payload size</t>
        </is>
      </c>
      <c r="AV4" s="18" t="inlineStr">
        <is>
          <t>B</t>
        </is>
      </c>
      <c r="AW4" s="18" t="inlineStr">
        <is>
          <t>It is created with the issuer's key.</t>
        </is>
      </c>
      <c r="AX4" s="19" t="inlineStr">
        <is>
          <t>Public keys for validation come from the ____ endpoint → JWKS</t>
        </is>
      </c>
      <c r="AY4" s="18" t="inlineStr">
        <is>
          <t>Decode a token with verification of audience and issuer.</t>
        </is>
      </c>
      <c r="AZ4" s="19" t="inlineStr">
        <is>
          <t>jwt.decode(token, key, algorithms=["RS256"], audience=AUD, issuer=ISS)</t>
        </is>
      </c>
      <c r="BA4" s="18" t="inlineStr">
        <is>
          <t>List the checks an API must make on every token.</t>
        </is>
      </c>
      <c r="BB4" s="19" t="inlineStr">
        <is>
          <t>Is a JWT encrypted?</t>
        </is>
      </c>
      <c r="BC4" s="19" t="inlineStr">
        <is>
          <t>No, it is signed, and anyone can read the payload.</t>
        </is>
      </c>
      <c r="BD4" s="17">
        <f>IF(K4="","",REPT("★",K4)&amp;REPT("☆",5-K4)&amp;" ("&amp;K4&amp;"/5)")</f>
        <v/>
      </c>
      <c r="BE4" s="17">
        <f>IF(S4="","","Meaning: "&amp;S4&amp;"  =  ______   (Answer: "&amp;F4&amp;")")</f>
        <v/>
      </c>
      <c r="BF4" s="17" t="inlineStr">
        <is>
          <t>New</t>
        </is>
      </c>
      <c r="BG4" s="17" t="n"/>
      <c r="BH4" s="17" t="n"/>
      <c r="BI4" s="17" t="n"/>
      <c r="BJ4" s="17" t="n"/>
      <c r="BK4" s="17" t="n"/>
      <c r="BL4" s="17" t="n"/>
      <c r="BM4" s="17" t="n"/>
      <c r="BN4" s="17" t="n"/>
    </row>
    <row r="5" ht="175.5" customHeight="1">
      <c r="A5" s="17" t="inlineStr">
        <is>
          <t>SSO-017</t>
        </is>
      </c>
      <c r="B5" s="17" t="inlineStr">
        <is>
          <t>03 Provisioning and Access</t>
        </is>
      </c>
      <c r="C5" s="17" t="inlineStr">
        <is>
          <t>Intermediate</t>
        </is>
      </c>
      <c r="D5" s="17" t="n">
        <v>17</v>
      </c>
      <c r="E5" s="17" t="inlineStr">
        <is>
          <t>Claude knowledge</t>
        </is>
      </c>
      <c r="F5" s="18" t="inlineStr">
        <is>
          <t>SCIM</t>
        </is>
      </c>
      <c r="G5" s="18" t="inlineStr">
        <is>
          <t>Which standard automatically creates, updates and removes users in applications?</t>
        </is>
      </c>
      <c r="H5" s="17" t="n"/>
      <c r="I5" s="18" t="inlineStr">
        <is>
          <t>Standard</t>
        </is>
      </c>
      <c r="J5" s="18" t="inlineStr">
        <is>
          <t>High</t>
        </is>
      </c>
      <c r="K5" s="18" t="n">
        <v>5</v>
      </c>
      <c r="L5" s="18" t="inlineStr">
        <is>
          <t>Creating accounts by hand in every app is slow and risky, so SCIM lets the identity provider push changes.</t>
        </is>
      </c>
      <c r="M5" s="18" t="inlineStr">
        <is>
          <t>Use SCIM so offboarding in the directory removes access everywhere.</t>
        </is>
      </c>
      <c r="N5" s="17" t="n"/>
      <c r="O5" s="18" t="inlineStr">
        <is>
          <t>SCIM is a mail carrier that delivers every staff change to each app.</t>
        </is>
      </c>
      <c r="P5" s="18" t="inlineStr">
        <is>
          <t>A provider sending user create and delete requests to an app.</t>
        </is>
      </c>
      <c r="Q5" s="18" t="inlineStr">
        <is>
          <t>The relief of accounts that manage themselves.</t>
        </is>
      </c>
      <c r="R5" s="18" t="inlineStr">
        <is>
          <t>SCIM is a REST API standard with JSON for users and groups, which an identity provider calls to create, update, deactivate and delete accounts in an application.</t>
        </is>
      </c>
      <c r="S5" s="17" t="n"/>
      <c r="T5" s="19" t="inlineStr">
        <is>
          <t>curl -X POST https://app.example.com/scim/v2/Users -H "Authorization: Bearer TOKEN" -H "Content-Type: application/scim+json" -d '{"schemas":["urn:ietf:params:scim:schemas:core:2.0:User"],"userName":"asha@example.com","name":{"givenName":"Asha","familyName":"Rao"},"active":true}'
curl -X PATCH https://app.example.com/scim/v2/Users/123 -H "Authorization: Bearer TOKEN" -H "Content-Type: application/scim+json" -d '{"schemas":["urn:ietf:params:scim:api:messages:2.0:PatchOp"],"Operations":[{"op":"replace","path":"active","value":false}]}'</t>
        </is>
      </c>
      <c r="U5" s="19" t="inlineStr">
        <is>
          <t>The first call creates a user, and the second deactivates that user.</t>
        </is>
      </c>
      <c r="V5" s="18" t="inlineStr">
        <is>
          <t>The app exposes endpoints such as /Users and /Groups. The provider maps its attributes to SCIM fields and syncs on changes. Deactivating is preferred to deleting so history is kept. The bearer token must be protected. Errors are returned as SCIM error messages. SCIM complements SSO, since SSO handles login and SCIM handles accounts.</t>
        </is>
      </c>
      <c r="W5" s="18" t="inlineStr">
        <is>
          <t>The provider calls SCIM endpoints to create, change and deactivate accounts automatically.</t>
        </is>
      </c>
      <c r="X5" s="18" t="inlineStr">
        <is>
          <t>SCIM is a mail carrier that delivers every staff change to each app.</t>
        </is>
      </c>
      <c r="Y5" s="19" t="inlineStr">
        <is>
          <t>POST /scim/v2/Users | PATCH /scim/v2/Users/ID</t>
        </is>
      </c>
      <c r="Z5" s="18" t="inlineStr">
        <is>
          <t>schemas = format version | userName = login | active = enabled flag | Operations = changes</t>
        </is>
      </c>
      <c r="AA5" s="19" t="inlineStr">
        <is>
          <t>GET /scim/v2/Users?filter=userName eq "asha@example.com"</t>
        </is>
      </c>
      <c r="AB5" s="19" t="inlineStr">
        <is>
          <t>DELETE /scim/v2/Users/123</t>
        </is>
      </c>
      <c r="AC5" s="19" t="inlineStr">
        <is>
          <t>POST /scim/v2/Groups</t>
        </is>
      </c>
      <c r="AD5" s="19" t="inlineStr">
        <is>
          <t>just-in-time provisioning at first login   // an alternative to SCIM</t>
        </is>
      </c>
      <c r="AE5" s="18" t="inlineStr">
        <is>
          <t>identity providers, groups and roles, offboarding</t>
        </is>
      </c>
      <c r="AF5" s="18" t="inlineStr">
        <is>
          <t>just-in-time provisioning, offboarding, groups and roles, directory services</t>
        </is>
      </c>
      <c r="AG5" s="18" t="inlineStr">
        <is>
          <t>Just-in-time provisioning | manual accounts</t>
        </is>
      </c>
      <c r="AH5" s="17" t="n"/>
      <c r="AI5" s="18" t="inlineStr">
        <is>
          <t>Enterprise SaaS | Onboarding | Offboarding</t>
        </is>
      </c>
      <c r="AJ5" s="18" t="inlineStr">
        <is>
          <t>A: A leaver still has an account in the app. | B: Enable SCIM so deactivation in the directory flows through.</t>
        </is>
      </c>
      <c r="AK5" s="18" t="inlineStr">
        <is>
          <t>✗ SSO also creates and removes accounts → ✓ SSO handles login, and SCIM handles provisioning</t>
        </is>
      </c>
      <c r="AL5" s="18" t="inlineStr">
        <is>
          <t>SSO vs SCIM: login versus account lifecycle.</t>
        </is>
      </c>
      <c r="AM5" s="18" t="inlineStr">
        <is>
          <t>Do not expose SCIM endpoints without strong authentication.</t>
        </is>
      </c>
      <c r="AN5" s="19" t="inlineStr">
        <is>
          <t>DELETE /scim/v2/Users/123   # loses history</t>
        </is>
      </c>
      <c r="AO5" s="19" t="inlineStr">
        <is>
          <t>PATCH ... {"op":"replace","path":"active","value":false}</t>
        </is>
      </c>
      <c r="AP5" s="18" t="inlineStr">
        <is>
          <t>SSO logs in, SCIM manages accounts.</t>
        </is>
      </c>
      <c r="AQ5" s="18" t="inlineStr">
        <is>
          <t>Turning on SCIM removed access for leavers in a customer's apps within minutes.</t>
        </is>
      </c>
      <c r="AR5" s="18" t="inlineStr">
        <is>
          <t>An interviewer may ask: What is the difference between SSO and SCIM?</t>
        </is>
      </c>
      <c r="AS5" s="18" t="inlineStr">
        <is>
          <t>It is like a mail carrier for staff changes.</t>
        </is>
      </c>
      <c r="AT5" s="18" t="inlineStr">
        <is>
          <t>What does SCIM manage?</t>
        </is>
      </c>
      <c r="AU5" s="18" t="inlineStr">
        <is>
          <t>A) Logs B) User account lifecycle C) Passwords only D) Network routes</t>
        </is>
      </c>
      <c r="AV5" s="18" t="inlineStr">
        <is>
          <t>B</t>
        </is>
      </c>
      <c r="AW5" s="18" t="inlineStr">
        <is>
          <t>It creates, updates and deactivates accounts.</t>
        </is>
      </c>
      <c r="AX5" s="19" t="inlineStr">
        <is>
          <t>SCIM user endpoint path ends with ____ → /Users</t>
        </is>
      </c>
      <c r="AY5" s="18" t="inlineStr">
        <is>
          <t>Deactivate a user through SCIM.</t>
        </is>
      </c>
      <c r="AZ5" s="19" t="inlineStr">
        <is>
          <t>PATCH /scim/v2/Users/ID with active set to false</t>
        </is>
      </c>
      <c r="BA5" s="18" t="inlineStr">
        <is>
          <t>List the SCIM calls for onboarding and offboarding.</t>
        </is>
      </c>
      <c r="BB5" s="19" t="inlineStr">
        <is>
          <t>Why deactivate instead of delete?</t>
        </is>
      </c>
      <c r="BC5" s="19" t="inlineStr">
        <is>
          <t>It keeps history for audits.</t>
        </is>
      </c>
      <c r="BD5" s="17">
        <f>IF(K5="","",REPT("★",K5)&amp;REPT("☆",5-K5)&amp;" ("&amp;K5&amp;"/5)")</f>
        <v/>
      </c>
      <c r="BE5" s="17">
        <f>IF(S5="","","Meaning: "&amp;S5&amp;"  =  ______   (Answer: "&amp;F5&amp;")")</f>
        <v/>
      </c>
      <c r="BF5" s="17" t="inlineStr">
        <is>
          <t>New</t>
        </is>
      </c>
      <c r="BG5" s="17" t="n"/>
      <c r="BH5" s="17" t="n"/>
      <c r="BI5" s="17" t="n"/>
      <c r="BJ5" s="17" t="n"/>
      <c r="BK5" s="17" t="n"/>
      <c r="BL5" s="17" t="n"/>
      <c r="BM5" s="17" t="n"/>
      <c r="BN5" s="17" t="n"/>
    </row>
    <row r="6" ht="202.5" customHeight="1">
      <c r="A6" s="17" t="inlineStr">
        <is>
          <t>SSO-029</t>
        </is>
      </c>
      <c r="B6" s="17" t="inlineStr">
        <is>
          <t>04 Operations and Security</t>
        </is>
      </c>
      <c r="C6" s="17" t="inlineStr">
        <is>
          <t>Advanced</t>
        </is>
      </c>
      <c r="D6" s="17" t="n">
        <v>29</v>
      </c>
      <c r="E6" s="17" t="inlineStr">
        <is>
          <t>Claude knowledge</t>
        </is>
      </c>
      <c r="F6" s="18" t="inlineStr">
        <is>
          <t>Debugging a failed login</t>
        </is>
      </c>
      <c r="G6" s="18" t="inlineStr">
        <is>
          <t>What steps help find why an SSO login fails?</t>
        </is>
      </c>
      <c r="H6" s="17" t="n"/>
      <c r="I6" s="18" t="inlineStr">
        <is>
          <t>Debugging skill</t>
        </is>
      </c>
      <c r="J6" s="18" t="inlineStr">
        <is>
          <t>Very high</t>
        </is>
      </c>
      <c r="K6" s="18" t="n">
        <v>5</v>
      </c>
      <c r="L6" s="18" t="inlineStr">
        <is>
          <t>Login failures come from small mismatches, so a structured routine finds the cause faster than guessing.</t>
        </is>
      </c>
      <c r="M6" s="18" t="inlineStr">
        <is>
          <t>Capture the exact error, the time and the request id, and compare both sides' configuration.</t>
        </is>
      </c>
      <c r="N6" s="17" t="n"/>
      <c r="O6" s="18" t="inlineStr">
        <is>
          <t>Debugging a login is following a parcel through each hand-off to see where it got stuck.</t>
        </is>
      </c>
      <c r="P6" s="18" t="inlineStr">
        <is>
          <t>A flow of redirect, login, response and validation with a failing step marked.</t>
        </is>
      </c>
      <c r="Q6" s="18" t="inlineStr">
        <is>
          <t>The calm of a routine for a stressful problem.</t>
        </is>
      </c>
      <c r="R6" s="18" t="inlineStr">
        <is>
          <t>Debugging a failed login means checking each step of the flow, using browser developer tools, provider logs and app logs, and comparing configuration values such as issuer, audience, redirect URI, certificates and clocks.</t>
        </is>
      </c>
      <c r="S6" s="17" t="n"/>
      <c r="T6" s="19" t="inlineStr">
        <is>
          <t># 1. Browser: open developer tools, Network tab, preserve log, repeat the login
# 2. Find the redirect to the IdP and the return to the app, note the status codes
# 3. Decode the token or assertion (never paste real secrets into public sites)
python3 -c 'import sys,base64,json; p=sys.argv[1].split(".")[1]; print(json.dumps(json.loads(base64.urlsafe_b64decode(p+"="*(-len(p)%4))),indent=2))' "$ID_TOKEN"
# 4. Compare iss, aud, exp, nbf, nonce with the app configuration
# 5. Check the IdP sign-in log for the error code and the app log for the validation error</t>
        </is>
      </c>
      <c r="U6" s="19" t="inlineStr">
        <is>
          <t>You see which step fails and the claims that do not match, such as a wrong audience or an expired time.</t>
        </is>
      </c>
      <c r="V6" s="18" t="inlineStr">
        <is>
          <t>Common causes are redirect URI mismatch, wrong audience or entity id, expired or rotated certificates, clock skew, missing claims, blocked cookies and wrong tenant or environment. Read the provider's sign-in log first, since it has precise error codes. Change one thing at a time. Never share real tokens publicly.</t>
        </is>
      </c>
      <c r="W6" s="18" t="inlineStr">
        <is>
          <t>Trace the flow step by step, decode the token locally, and compare each value with the configuration.</t>
        </is>
      </c>
      <c r="X6" s="18" t="inlineStr">
        <is>
          <t>Debugging a login is following a parcel through each hand-off.</t>
        </is>
      </c>
      <c r="Y6" s="19" t="inlineStr">
        <is>
          <t>split the token on dots | base64url-decode part 2 (add = padding) | pretty-print JSON</t>
        </is>
      </c>
      <c r="Z6" s="18" t="inlineStr">
        <is>
          <t>network tab = flow | token claims = facts | provider log = error code | app log = validation error</t>
        </is>
      </c>
      <c r="AA6" s="19" t="inlineStr">
        <is>
          <t>Error: redirect_uri mismatch.</t>
        </is>
      </c>
      <c r="AB6" s="19" t="inlineStr">
        <is>
          <t>Error: audience does not match.</t>
        </is>
      </c>
      <c r="AC6" s="19" t="inlineStr">
        <is>
          <t>Error: token expired by clock skew.</t>
        </is>
      </c>
      <c r="AD6" s="19" t="inlineStr">
        <is>
          <t>A SAML tracer browser extension   // shows assertions and redirects</t>
        </is>
      </c>
      <c r="AE6" s="18" t="inlineStr">
        <is>
          <t>browser tools, provider logs, app logs</t>
        </is>
      </c>
      <c r="AF6" s="18" t="inlineStr">
        <is>
          <t>clock skew, redirect URI rules, certificate rotation, JWT validation</t>
        </is>
      </c>
      <c r="AG6" s="18" t="inlineStr">
        <is>
          <t>Provider test tools</t>
        </is>
      </c>
      <c r="AH6" s="17" t="n"/>
      <c r="AI6" s="18" t="inlineStr">
        <is>
          <t>Support | Customer onboarding | Incidents</t>
        </is>
      </c>
      <c r="AJ6" s="18" t="inlineStr">
        <is>
          <t>A: The customer cannot log in. | B: Capture the error and compare the audience and redirect URI.</t>
        </is>
      </c>
      <c r="AK6" s="18" t="inlineStr">
        <is>
          <t>✗ Pasting real tokens into online decoders is fine → ✓ Tokens are credentials, so decode them locally</t>
        </is>
      </c>
      <c r="AL6" s="18" t="inlineStr">
        <is>
          <t>Decode vs validate: decoding shows claims, validation proves they are genuine.</t>
        </is>
      </c>
      <c r="AM6" s="18" t="inlineStr">
        <is>
          <t>Do not paste live tokens into public tools.</t>
        </is>
      </c>
      <c r="AN6" s="19" t="inlineStr">
        <is>
          <t># paste the production token into a website decoder</t>
        </is>
      </c>
      <c r="AO6" s="19" t="inlineStr">
        <is>
          <t>python3 -c 'import sys,base64,json; p=sys.argv[1].split(".")[1]; print(json.dumps(json.loads(base64.urlsafe_b64decode(p+"="*(-len(p)%4))),indent=2))' "$ID_TOKEN"</t>
        </is>
      </c>
      <c r="AP6" s="18" t="inlineStr">
        <is>
          <t>Step by step, one change at a time.</t>
        </is>
      </c>
      <c r="AQ6" s="18" t="inlineStr">
        <is>
          <t>A routine of decode and compare found a wrong audience in minutes.</t>
        </is>
      </c>
      <c r="AR6" s="18" t="inlineStr">
        <is>
          <t>An interviewer may ask: How do you debug a failed SSO login?</t>
        </is>
      </c>
      <c r="AS6" s="18" t="inlineStr">
        <is>
          <t>It is like following a parcel through each hand-off.</t>
        </is>
      </c>
      <c r="AT6" s="18" t="inlineStr">
        <is>
          <t>Where is the most precise error code usually found?</t>
        </is>
      </c>
      <c r="AU6" s="18" t="inlineStr">
        <is>
          <t>A) The favicon B) The page title C) The identity provider sign-in log D) A screenshot</t>
        </is>
      </c>
      <c r="AV6" s="18" t="inlineStr">
        <is>
          <t>C</t>
        </is>
      </c>
      <c r="AW6" s="18" t="inlineStr">
        <is>
          <t>The provider logs the exact failure reason.</t>
        </is>
      </c>
      <c r="AX6" s="19" t="inlineStr">
        <is>
          <t>A mismatch between request and registered addresses is a redirect ____ mismatch → URI</t>
        </is>
      </c>
      <c r="AY6" s="18" t="inlineStr">
        <is>
          <t>Decode the payload part of a token locally.</t>
        </is>
      </c>
      <c r="AZ6" s="19" t="inlineStr">
        <is>
          <t>python3 -c 'import sys,base64,json; p=sys.argv[1].split(".")[1]; print(json.dumps(json.loads(base64.urlsafe_b64decode(p+"="*(-len(p)%4))),indent=2))' "$ID_TOKEN"</t>
        </is>
      </c>
      <c r="BA6" s="18" t="inlineStr">
        <is>
          <t>Write a five-step checklist for a failed SAML login.</t>
        </is>
      </c>
      <c r="BB6" s="19" t="inlineStr">
        <is>
          <t>Why decode tokens locally?</t>
        </is>
      </c>
      <c r="BC6" s="19" t="inlineStr">
        <is>
          <t>Tokens are credentials and should not be shared.</t>
        </is>
      </c>
      <c r="BD6" s="17">
        <f>IF(K6="","",REPT("★",K6)&amp;REPT("☆",5-K6)&amp;" ("&amp;K6&amp;"/5)")</f>
        <v/>
      </c>
      <c r="BE6" s="17">
        <f>IF(S6="","","Meaning: "&amp;S6&amp;"  =  ______   (Answer: "&amp;F6&amp;")")</f>
        <v/>
      </c>
      <c r="BF6" s="17" t="inlineStr">
        <is>
          <t>New</t>
        </is>
      </c>
      <c r="BG6" s="17" t="n"/>
      <c r="BH6" s="17" t="n"/>
      <c r="BI6" s="17" t="n"/>
      <c r="BJ6" s="17" t="n"/>
      <c r="BK6" s="17" t="n"/>
      <c r="BL6" s="17" t="n"/>
      <c r="BM6" s="17" t="n"/>
      <c r="BN6" s="17" t="n"/>
    </row>
  </sheetData>
  <autoFilter ref="A2:BN6"/>
  <mergeCells count="6">
    <mergeCell ref="AT1:BC1"/>
    <mergeCell ref="BD1:BE1"/>
    <mergeCell ref="F1:Q1"/>
    <mergeCell ref="A1:E1"/>
    <mergeCell ref="BF1:BN1"/>
    <mergeCell ref="R1:AS1"/>
  </mergeCells>
  <dataValidations count="2">
    <dataValidation sqref="BF3:BF6" showDropDown="0" showInputMessage="0" showErrorMessage="0" allowBlank="1" type="list">
      <formula1>"New,Learning,Known"</formula1>
    </dataValidation>
    <dataValidation sqref="BM3:BM6" showDropDown="0" showInputMessage="0" showErrorMessage="0" allowBlank="1" type="list">
      <formula1>"OK,Fix"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1"/>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Code concept (56-pt) · card view</t>
        </is>
      </c>
    </row>
    <row r="2">
      <c r="A2" s="21" t="inlineStr">
        <is>
          <t>Card ID chuno ▸</t>
        </is>
      </c>
      <c r="B2" s="22" t="inlineStr">
        <is>
          <t>SSO-011</t>
        </is>
      </c>
    </row>
    <row r="4">
      <c r="A4" s="23" t="inlineStr">
        <is>
          <t>FRONT · Recognition (pehchano)</t>
        </is>
      </c>
    </row>
    <row r="5" ht="30" customHeight="1">
      <c r="A5" s="24" t="inlineStr">
        <is>
          <t>ID</t>
        </is>
      </c>
      <c r="B5" s="17">
        <f>INDEX('Code concept (56-pt) cards'!$A$3:$BN$6,MATCH($B$2,'Code concept (56-pt) cards'!$A$3:$A$6,0),MATCH("ID",'Code concept (56-pt) cards'!$A$2:$BN$2,0))&amp;""</f>
        <v/>
      </c>
    </row>
    <row r="6" ht="30" customHeight="1">
      <c r="A6" s="24" t="inlineStr">
        <is>
          <t>Topic</t>
        </is>
      </c>
      <c r="B6" s="17">
        <f>INDEX('Code concept (56-pt) cards'!$A$3:$BN$6,MATCH($B$2,'Code concept (56-pt) cards'!$A$3:$A$6,0),MATCH("Topic",'Code concept (56-pt) cards'!$A$2:$BN$2,0))&amp;""</f>
        <v/>
      </c>
    </row>
    <row r="7" ht="30" customHeight="1">
      <c r="A7" s="24" t="inlineStr">
        <is>
          <t>Level</t>
        </is>
      </c>
      <c r="B7" s="17">
        <f>INDEX('Code concept (56-pt) cards'!$A$3:$BN$6,MATCH($B$2,'Code concept (56-pt) cards'!$A$3:$A$6,0),MATCH("Level",'Code concept (56-pt) cards'!$A$2:$BN$2,0))&amp;""</f>
        <v/>
      </c>
    </row>
    <row r="8" ht="30" customHeight="1">
      <c r="A8" s="24" t="inlineStr">
        <is>
          <t>Concept</t>
        </is>
      </c>
      <c r="B8" s="17">
        <f>INDEX('Code concept (56-pt) cards'!$A$3:$BN$6,MATCH($B$2,'Code concept (56-pt) cards'!$A$3:$A$6,0),MATCH("Concept",'Code concept (56-pt) cards'!$A$2:$BN$2,0))&amp;""</f>
        <v/>
      </c>
    </row>
    <row r="9" ht="30" customHeight="1">
      <c r="A9" s="24" t="inlineStr">
        <is>
          <t>Recall cue</t>
        </is>
      </c>
      <c r="B9" s="17">
        <f>INDEX('Code concept (56-pt) cards'!$A$3:$BN$6,MATCH($B$2,'Code concept (56-pt) cards'!$A$3:$A$6,0),MATCH("Recall cue",'Code concept (56-pt) cards'!$A$2:$BN$2,0))&amp;""</f>
        <v/>
      </c>
    </row>
    <row r="10" ht="30" customHeight="1">
      <c r="A10" s="24" t="inlineStr">
        <is>
          <t>Read aloud</t>
        </is>
      </c>
      <c r="B10" s="17">
        <f>INDEX('Code concept (56-pt) cards'!$A$3:$BN$6,MATCH($B$2,'Code concept (56-pt) cards'!$A$3:$A$6,0),MATCH("Read aloud",'Code concept (56-pt) cards'!$A$2:$BN$2,0))&amp;""</f>
        <v/>
      </c>
    </row>
    <row r="11" ht="30" customHeight="1">
      <c r="A11" s="24" t="inlineStr">
        <is>
          <t>Type</t>
        </is>
      </c>
      <c r="B11" s="17">
        <f>INDEX('Code concept (56-pt) cards'!$A$3:$BN$6,MATCH($B$2,'Code concept (56-pt) cards'!$A$3:$A$6,0),MATCH("Type",'Code concept (56-pt) cards'!$A$2:$BN$2,0))&amp;""</f>
        <v/>
      </c>
    </row>
    <row r="12" ht="30" customHeight="1">
      <c r="A12" s="24" t="inlineStr">
        <is>
          <t>How often used</t>
        </is>
      </c>
      <c r="B12" s="17">
        <f>INDEX('Code concept (56-pt) cards'!$A$3:$BN$6,MATCH($B$2,'Code concept (56-pt) cards'!$A$3:$A$6,0),MATCH("How often used",'Code concept (56-pt) cards'!$A$2:$BN$2,0))&amp;""</f>
        <v/>
      </c>
    </row>
    <row r="13" ht="30" customHeight="1">
      <c r="A13" s="24" t="inlineStr">
        <is>
          <t>Importance (1-5)</t>
        </is>
      </c>
      <c r="B13" s="17">
        <f>INDEX('Code concept (56-pt) cards'!$A$3:$BN$6,MATCH($B$2,'Code concept (56-pt) cards'!$A$3:$A$6,0),MATCH("Importance (1-5)",'Code concept (56-pt) cards'!$A$2:$BN$2,0))&amp;""</f>
        <v/>
      </c>
    </row>
    <row r="14" ht="30" customHeight="1">
      <c r="A14" s="24" t="inlineStr">
        <is>
          <t>Origin / why it exists</t>
        </is>
      </c>
      <c r="B14" s="17">
        <f>INDEX('Code concept (56-pt) cards'!$A$3:$BN$6,MATCH($B$2,'Code concept (56-pt) cards'!$A$3:$A$6,0),MATCH("Origin / why it exists",'Code concept (56-pt) cards'!$A$2:$BN$2,0))&amp;""</f>
        <v/>
      </c>
    </row>
    <row r="15" ht="30" customHeight="1">
      <c r="A15" s="24" t="inlineStr">
        <is>
          <t>Pro tip</t>
        </is>
      </c>
      <c r="B15" s="17">
        <f>INDEX('Code concept (56-pt) cards'!$A$3:$BN$6,MATCH($B$2,'Code concept (56-pt) cards'!$A$3:$A$6,0),MATCH("Pro tip",'Code concept (56-pt) cards'!$A$2:$BN$2,0))&amp;""</f>
        <v/>
      </c>
    </row>
    <row r="16" ht="30" customHeight="1">
      <c r="A16" s="24" t="inlineStr">
        <is>
          <t>Typing hint</t>
        </is>
      </c>
      <c r="B16" s="17">
        <f>INDEX('Code concept (56-pt) cards'!$A$3:$BN$6,MATCH($B$2,'Code concept (56-pt) cards'!$A$3:$A$6,0),MATCH("Typing hint",'Code concept (56-pt) cards'!$A$2:$BN$2,0))&amp;""</f>
        <v/>
      </c>
    </row>
    <row r="17" ht="30" customHeight="1">
      <c r="A17" s="24" t="inlineStr">
        <is>
          <t>Memory story</t>
        </is>
      </c>
      <c r="B17" s="17">
        <f>INDEX('Code concept (56-pt) cards'!$A$3:$BN$6,MATCH($B$2,'Code concept (56-pt) cards'!$A$3:$A$6,0),MATCH("Memory story",'Code concept (56-pt) cards'!$A$2:$BN$2,0))&amp;""</f>
        <v/>
      </c>
    </row>
    <row r="18" ht="30" customHeight="1">
      <c r="A18" s="24" t="inlineStr">
        <is>
          <t>Picture it</t>
        </is>
      </c>
      <c r="B18" s="17">
        <f>INDEX('Code concept (56-pt) cards'!$A$3:$BN$6,MATCH($B$2,'Code concept (56-pt) cards'!$A$3:$A$6,0),MATCH("Picture it",'Code concept (56-pt) cards'!$A$2:$BN$2,0))&amp;""</f>
        <v/>
      </c>
    </row>
    <row r="19" ht="30" customHeight="1">
      <c r="A19" s="24" t="inlineStr">
        <is>
          <t>Emotion hook</t>
        </is>
      </c>
      <c r="B19" s="17">
        <f>INDEX('Code concept (56-pt) cards'!$A$3:$BN$6,MATCH($B$2,'Code concept (56-pt) cards'!$A$3:$A$6,0),MATCH("Emotion hook",'Code concept (56-pt) cards'!$A$2:$BN$2,0))&amp;""</f>
        <v/>
      </c>
    </row>
    <row r="20" ht="30" customHeight="1">
      <c r="A20" s="24" t="inlineStr">
        <is>
          <t>Importance ★</t>
        </is>
      </c>
      <c r="B20" s="17">
        <f>INDEX('Code concept (56-pt) cards'!$A$3:$BN$6,MATCH($B$2,'Code concept (56-pt) cards'!$A$3:$A$6,0),MATCH("Importance ★",'Code concept (56-pt) cards'!$A$2:$BN$2,0))&amp;""</f>
        <v/>
      </c>
    </row>
    <row r="21">
      <c r="A21" s="25" t="inlineStr">
        <is>
          <t>BACK · Understanding (samjho)</t>
        </is>
      </c>
    </row>
    <row r="22" ht="40.5" customHeight="1">
      <c r="A22" s="24" t="inlineStr">
        <is>
          <t>Meaning (short)</t>
        </is>
      </c>
      <c r="B22" s="17">
        <f>INDEX('Code concept (56-pt) cards'!$A$3:$BN$6,MATCH($B$2,'Code concept (56-pt) cards'!$A$3:$A$6,0),MATCH("Meaning (short)",'Code concept (56-pt) cards'!$A$2:$BN$2,0))&amp;""</f>
        <v/>
      </c>
    </row>
    <row r="23" ht="30" customHeight="1">
      <c r="A23" s="24" t="inlineStr">
        <is>
          <t>Meaning in learner's language</t>
        </is>
      </c>
      <c r="B23" s="17">
        <f>INDEX('Code concept (56-pt) cards'!$A$3:$BN$6,MATCH($B$2,'Code concept (56-pt) cards'!$A$3:$A$6,0),MATCH("Meaning in learner's language",'Code concept (56-pt) cards'!$A$2:$BN$2,0))&amp;""</f>
        <v/>
      </c>
    </row>
    <row r="24" ht="94.5" customHeight="1">
      <c r="A24" s="24" t="inlineStr">
        <is>
          <t>Code</t>
        </is>
      </c>
      <c r="B24" s="26">
        <f>INDEX('Code concept (56-pt) cards'!$A$3:$BN$6,MATCH($B$2,'Code concept (56-pt) cards'!$A$3:$A$6,0),MATCH("Code",'Code concept (56-pt) cards'!$A$2:$BN$2,0))&amp;""</f>
        <v/>
      </c>
    </row>
    <row r="25" ht="30" customHeight="1">
      <c r="A25" s="24" t="inlineStr">
        <is>
          <t>Output</t>
        </is>
      </c>
      <c r="B25" s="26">
        <f>INDEX('Code concept (56-pt) cards'!$A$3:$BN$6,MATCH($B$2,'Code concept (56-pt) cards'!$A$3:$A$6,0),MATCH("Output",'Code concept (56-pt) cards'!$A$2:$BN$2,0))&amp;""</f>
        <v/>
      </c>
    </row>
    <row r="26" ht="54" customHeight="1">
      <c r="A26" s="24" t="inlineStr">
        <is>
          <t>Explanation</t>
        </is>
      </c>
      <c r="B26" s="17">
        <f>INDEX('Code concept (56-pt) cards'!$A$3:$BN$6,MATCH($B$2,'Code concept (56-pt) cards'!$A$3:$A$6,0),MATCH("Explanation",'Code concept (56-pt) cards'!$A$2:$BN$2,0))&amp;""</f>
        <v/>
      </c>
    </row>
    <row r="27" ht="30" customHeight="1">
      <c r="A27" s="24" t="inlineStr">
        <is>
          <t>Simple explanation (Hinglish)</t>
        </is>
      </c>
      <c r="B27" s="17">
        <f>INDEX('Code concept (56-pt) cards'!$A$3:$BN$6,MATCH($B$2,'Code concept (56-pt) cards'!$A$3:$A$6,0),MATCH("Simple explanation (Hinglish)",'Code concept (56-pt) cards'!$A$2:$BN$2,0))&amp;""</f>
        <v/>
      </c>
    </row>
    <row r="28" ht="30" customHeight="1">
      <c r="A28" s="24" t="inlineStr">
        <is>
          <t>Real-life analogy</t>
        </is>
      </c>
      <c r="B28" s="17">
        <f>INDEX('Code concept (56-pt) cards'!$A$3:$BN$6,MATCH($B$2,'Code concept (56-pt) cards'!$A$3:$A$6,0),MATCH("Real-life analogy",'Code concept (56-pt) cards'!$A$2:$BN$2,0))&amp;""</f>
        <v/>
      </c>
    </row>
    <row r="29" ht="30" customHeight="1">
      <c r="A29" s="24" t="inlineStr">
        <is>
          <t>Syntax pattern</t>
        </is>
      </c>
      <c r="B29" s="26">
        <f>INDEX('Code concept (56-pt) cards'!$A$3:$BN$6,MATCH($B$2,'Code concept (56-pt) cards'!$A$3:$A$6,0),MATCH("Syntax pattern",'Code concept (56-pt) cards'!$A$2:$BN$2,0))&amp;""</f>
        <v/>
      </c>
    </row>
    <row r="30" ht="30" customHeight="1">
      <c r="A30" s="24" t="inlineStr">
        <is>
          <t>Anatomy</t>
        </is>
      </c>
      <c r="B30" s="17">
        <f>INDEX('Code concept (56-pt) cards'!$A$3:$BN$6,MATCH($B$2,'Code concept (56-pt) cards'!$A$3:$A$6,0),MATCH("Anatomy",'Code concept (56-pt) cards'!$A$2:$BN$2,0))&amp;""</f>
        <v/>
      </c>
    </row>
    <row r="31" ht="30" customHeight="1">
      <c r="A31" s="24" t="inlineStr">
        <is>
          <t>Example 1</t>
        </is>
      </c>
      <c r="B31" s="26">
        <f>INDEX('Code concept (56-pt) cards'!$A$3:$BN$6,MATCH($B$2,'Code concept (56-pt) cards'!$A$3:$A$6,0),MATCH("Example 1",'Code concept (56-pt) cards'!$A$2:$BN$2,0))&amp;""</f>
        <v/>
      </c>
    </row>
    <row r="32" ht="30" customHeight="1">
      <c r="A32" s="24" t="inlineStr">
        <is>
          <t>Example 2</t>
        </is>
      </c>
      <c r="B32" s="26">
        <f>INDEX('Code concept (56-pt) cards'!$A$3:$BN$6,MATCH($B$2,'Code concept (56-pt) cards'!$A$3:$A$6,0),MATCH("Example 2",'Code concept (56-pt) cards'!$A$2:$BN$2,0))&amp;""</f>
        <v/>
      </c>
    </row>
    <row r="33" ht="30" customHeight="1">
      <c r="A33" s="24" t="inlineStr">
        <is>
          <t>Example 3</t>
        </is>
      </c>
      <c r="B33" s="26">
        <f>INDEX('Code concept (56-pt) cards'!$A$3:$BN$6,MATCH($B$2,'Code concept (56-pt) cards'!$A$3:$A$6,0),MATCH("Example 3",'Code concept (56-pt) cards'!$A$2:$BN$2,0))&amp;""</f>
        <v/>
      </c>
    </row>
    <row r="34" ht="30" customHeight="1">
      <c r="A34" s="24" t="inlineStr">
        <is>
          <t>Variation</t>
        </is>
      </c>
      <c r="B34" s="26">
        <f>INDEX('Code concept (56-pt) cards'!$A$3:$BN$6,MATCH($B$2,'Code concept (56-pt) cards'!$A$3:$A$6,0),MATCH("Variation",'Code concept (56-pt) cards'!$A$2:$BN$2,0))&amp;""</f>
        <v/>
      </c>
    </row>
    <row r="35" ht="30" customHeight="1">
      <c r="A35" s="24" t="inlineStr">
        <is>
          <t>Used with</t>
        </is>
      </c>
      <c r="B35" s="17">
        <f>INDEX('Code concept (56-pt) cards'!$A$3:$BN$6,MATCH($B$2,'Code concept (56-pt) cards'!$A$3:$A$6,0),MATCH("Used with",'Code concept (56-pt) cards'!$A$2:$BN$2,0))&amp;""</f>
        <v/>
      </c>
    </row>
    <row r="36" ht="30" customHeight="1">
      <c r="A36" s="24" t="inlineStr">
        <is>
          <t>Related concepts</t>
        </is>
      </c>
      <c r="B36" s="17">
        <f>INDEX('Code concept (56-pt) cards'!$A$3:$BN$6,MATCH($B$2,'Code concept (56-pt) cards'!$A$3:$A$6,0),MATCH("Related concepts",'Code concept (56-pt) cards'!$A$2:$BN$2,0))&amp;""</f>
        <v/>
      </c>
    </row>
    <row r="37" ht="30" customHeight="1">
      <c r="A37" s="24" t="inlineStr">
        <is>
          <t>Alternatives</t>
        </is>
      </c>
      <c r="B37" s="17">
        <f>INDEX('Code concept (56-pt) cards'!$A$3:$BN$6,MATCH($B$2,'Code concept (56-pt) cards'!$A$3:$A$6,0),MATCH("Alternatives",'Code concept (56-pt) cards'!$A$2:$BN$2,0))&amp;""</f>
        <v/>
      </c>
    </row>
    <row r="38" ht="30" customHeight="1">
      <c r="A38" s="24" t="inlineStr">
        <is>
          <t>Family / group</t>
        </is>
      </c>
      <c r="B38" s="17">
        <f>INDEX('Code concept (56-pt) cards'!$A$3:$BN$6,MATCH($B$2,'Code concept (56-pt) cards'!$A$3:$A$6,0),MATCH("Family / group",'Code concept (56-pt) cards'!$A$2:$BN$2,0))&amp;""</f>
        <v/>
      </c>
    </row>
    <row r="39" ht="30" customHeight="1">
      <c r="A39" s="24" t="inlineStr">
        <is>
          <t>Where it is used</t>
        </is>
      </c>
      <c r="B39" s="17">
        <f>INDEX('Code concept (56-pt) cards'!$A$3:$BN$6,MATCH($B$2,'Code concept (56-pt) cards'!$A$3:$A$6,0),MATCH("Where it is used",'Code concept (56-pt) cards'!$A$2:$BN$2,0))&amp;""</f>
        <v/>
      </c>
    </row>
    <row r="40" ht="30" customHeight="1">
      <c r="A40" s="24" t="inlineStr">
        <is>
          <t>Mini conversation</t>
        </is>
      </c>
      <c r="B40" s="17">
        <f>INDEX('Code concept (56-pt) cards'!$A$3:$BN$6,MATCH($B$2,'Code concept (56-pt) cards'!$A$3:$A$6,0),MATCH("Mini conversation",'Code concept (56-pt) cards'!$A$2:$BN$2,0))&amp;""</f>
        <v/>
      </c>
    </row>
    <row r="41" ht="30" customHeight="1">
      <c r="A41" s="24" t="inlineStr">
        <is>
          <t>Common mistake</t>
        </is>
      </c>
      <c r="B41" s="17">
        <f>INDEX('Code concept (56-pt) cards'!$A$3:$BN$6,MATCH($B$2,'Code concept (56-pt) cards'!$A$3:$A$6,0),MATCH("Common mistake",'Code concept (56-pt) cards'!$A$2:$BN$2,0))&amp;""</f>
        <v/>
      </c>
    </row>
    <row r="42" ht="30" customHeight="1">
      <c r="A42" s="24" t="inlineStr">
        <is>
          <t>Commonly confused with</t>
        </is>
      </c>
      <c r="B42" s="17">
        <f>INDEX('Code concept (56-pt) cards'!$A$3:$BN$6,MATCH($B$2,'Code concept (56-pt) cards'!$A$3:$A$6,0),MATCH("Commonly confused with",'Code concept (56-pt) cards'!$A$2:$BN$2,0))&amp;""</f>
        <v/>
      </c>
    </row>
    <row r="43" ht="30" customHeight="1">
      <c r="A43" s="24" t="inlineStr">
        <is>
          <t>Avoid / don't</t>
        </is>
      </c>
      <c r="B43" s="17">
        <f>INDEX('Code concept (56-pt) cards'!$A$3:$BN$6,MATCH($B$2,'Code concept (56-pt) cards'!$A$3:$A$6,0),MATCH("Avoid / don't",'Code concept (56-pt) cards'!$A$2:$BN$2,0))&amp;""</f>
        <v/>
      </c>
    </row>
    <row r="44" ht="30" customHeight="1">
      <c r="A44" s="24" t="inlineStr">
        <is>
          <t>Wrong code</t>
        </is>
      </c>
      <c r="B44" s="26">
        <f>INDEX('Code concept (56-pt) cards'!$A$3:$BN$6,MATCH($B$2,'Code concept (56-pt) cards'!$A$3:$A$6,0),MATCH("Wrong code",'Code concept (56-pt) cards'!$A$2:$BN$2,0))&amp;""</f>
        <v/>
      </c>
    </row>
    <row r="45" ht="30" customHeight="1">
      <c r="A45" s="24" t="inlineStr">
        <is>
          <t>Right code</t>
        </is>
      </c>
      <c r="B45" s="26">
        <f>INDEX('Code concept (56-pt) cards'!$A$3:$BN$6,MATCH($B$2,'Code concept (56-pt) cards'!$A$3:$A$6,0),MATCH("Right code",'Code concept (56-pt) cards'!$A$2:$BN$2,0))&amp;""</f>
        <v/>
      </c>
    </row>
    <row r="46" ht="30" customHeight="1">
      <c r="A46" s="24" t="inlineStr">
        <is>
          <t>Memory trick</t>
        </is>
      </c>
      <c r="B46" s="17">
        <f>INDEX('Code concept (56-pt) cards'!$A$3:$BN$6,MATCH($B$2,'Code concept (56-pt) cards'!$A$3:$A$6,0),MATCH("Memory trick",'Code concept (56-pt) cards'!$A$2:$BN$2,0))&amp;""</f>
        <v/>
      </c>
    </row>
    <row r="47" ht="30" customHeight="1">
      <c r="A47" s="24" t="inlineStr">
        <is>
          <t>Real life: project / work</t>
        </is>
      </c>
      <c r="B47" s="17">
        <f>INDEX('Code concept (56-pt) cards'!$A$3:$BN$6,MATCH($B$2,'Code concept (56-pt) cards'!$A$3:$A$6,0),MATCH("Real life: project / work",'Code concept (56-pt) cards'!$A$2:$BN$2,0))&amp;""</f>
        <v/>
      </c>
    </row>
    <row r="48" ht="30" customHeight="1">
      <c r="A48" s="24" t="inlineStr">
        <is>
          <t>Real life: interview / exam</t>
        </is>
      </c>
      <c r="B48" s="17">
        <f>INDEX('Code concept (56-pt) cards'!$A$3:$BN$6,MATCH($B$2,'Code concept (56-pt) cards'!$A$3:$A$6,0),MATCH("Real life: interview / exam",'Code concept (56-pt) cards'!$A$2:$BN$2,0))&amp;""</f>
        <v/>
      </c>
    </row>
    <row r="49" ht="30" customHeight="1">
      <c r="A49" s="24" t="inlineStr">
        <is>
          <t>Real life: daily life</t>
        </is>
      </c>
      <c r="B49" s="17">
        <f>INDEX('Code concept (56-pt) cards'!$A$3:$BN$6,MATCH($B$2,'Code concept (56-pt) cards'!$A$3:$A$6,0),MATCH("Real life: daily life",'Code concept (56-pt) cards'!$A$2:$BN$2,0))&amp;""</f>
        <v/>
      </c>
    </row>
    <row r="50">
      <c r="A50" s="27" t="inlineStr">
        <is>
          <t>PRACTICE · Khud karo</t>
        </is>
      </c>
    </row>
    <row r="51" ht="30" customHeight="1">
      <c r="A51" s="24" t="inlineStr">
        <is>
          <t>MCQ question</t>
        </is>
      </c>
      <c r="B51" s="17">
        <f>INDEX('Code concept (56-pt) cards'!$A$3:$BN$6,MATCH($B$2,'Code concept (56-pt) cards'!$A$3:$A$6,0),MATCH("MCQ question",'Code concept (56-pt) cards'!$A$2:$BN$2,0))&amp;""</f>
        <v/>
      </c>
    </row>
    <row r="52" ht="30" customHeight="1">
      <c r="A52" s="24" t="inlineStr">
        <is>
          <t>MCQ options</t>
        </is>
      </c>
      <c r="B52" s="17">
        <f>INDEX('Code concept (56-pt) cards'!$A$3:$BN$6,MATCH($B$2,'Code concept (56-pt) cards'!$A$3:$A$6,0),MATCH("MCQ options",'Code concept (56-pt) cards'!$A$2:$BN$2,0))&amp;""</f>
        <v/>
      </c>
    </row>
    <row r="53" ht="30" customHeight="1">
      <c r="A53" s="24" t="inlineStr">
        <is>
          <t>MCQ answer</t>
        </is>
      </c>
      <c r="B53" s="17">
        <f>INDEX('Code concept (56-pt) cards'!$A$3:$BN$6,MATCH($B$2,'Code concept (56-pt) cards'!$A$3:$A$6,0),MATCH("MCQ answer",'Code concept (56-pt) cards'!$A$2:$BN$2,0))&amp;""</f>
        <v/>
      </c>
    </row>
    <row r="54" ht="30" customHeight="1">
      <c r="A54" s="24" t="inlineStr">
        <is>
          <t>Why that answer</t>
        </is>
      </c>
      <c r="B54" s="17">
        <f>INDEX('Code concept (56-pt) cards'!$A$3:$BN$6,MATCH($B$2,'Code concept (56-pt) cards'!$A$3:$A$6,0),MATCH("Why that answer",'Code concept (56-pt) cards'!$A$2:$BN$2,0))&amp;""</f>
        <v/>
      </c>
    </row>
    <row r="55" ht="30" customHeight="1">
      <c r="A55" s="24" t="inlineStr">
        <is>
          <t>Fill the blank</t>
        </is>
      </c>
      <c r="B55" s="26">
        <f>INDEX('Code concept (56-pt) cards'!$A$3:$BN$6,MATCH($B$2,'Code concept (56-pt) cards'!$A$3:$A$6,0),MATCH("Fill the blank",'Code concept (56-pt) cards'!$A$2:$BN$2,0))&amp;""</f>
        <v/>
      </c>
    </row>
    <row r="56" ht="30" customHeight="1">
      <c r="A56" s="24" t="inlineStr">
        <is>
          <t>Try it yourself</t>
        </is>
      </c>
      <c r="B56" s="17">
        <f>INDEX('Code concept (56-pt) cards'!$A$3:$BN$6,MATCH($B$2,'Code concept (56-pt) cards'!$A$3:$A$6,0),MATCH("Try it yourself",'Code concept (56-pt) cards'!$A$2:$BN$2,0))&amp;""</f>
        <v/>
      </c>
    </row>
    <row r="57" ht="30" customHeight="1">
      <c r="A57" s="24" t="inlineStr">
        <is>
          <t>Task answer</t>
        </is>
      </c>
      <c r="B57" s="26">
        <f>INDEX('Code concept (56-pt) cards'!$A$3:$BN$6,MATCH($B$2,'Code concept (56-pt) cards'!$A$3:$A$6,0),MATCH("Task answer",'Code concept (56-pt) cards'!$A$2:$BN$2,0))&amp;""</f>
        <v/>
      </c>
    </row>
    <row r="58" ht="30" customHeight="1">
      <c r="A58" s="24" t="inlineStr">
        <is>
          <t>Write your own</t>
        </is>
      </c>
      <c r="B58" s="17">
        <f>INDEX('Code concept (56-pt) cards'!$A$3:$BN$6,MATCH($B$2,'Code concept (56-pt) cards'!$A$3:$A$6,0),MATCH("Write your own",'Code concept (56-pt) cards'!$A$2:$BN$2,0))&amp;""</f>
        <v/>
      </c>
    </row>
    <row r="59" ht="30" customHeight="1">
      <c r="A59" s="24" t="inlineStr">
        <is>
          <t>Practice question</t>
        </is>
      </c>
      <c r="B59" s="26">
        <f>INDEX('Code concept (56-pt) cards'!$A$3:$BN$6,MATCH($B$2,'Code concept (56-pt) cards'!$A$3:$A$6,0),MATCH("Practice question",'Code concept (56-pt) cards'!$A$2:$BN$2,0))&amp;""</f>
        <v/>
      </c>
    </row>
    <row r="60" ht="30" customHeight="1">
      <c r="A60" s="24" t="inlineStr">
        <is>
          <t>Practice answer</t>
        </is>
      </c>
      <c r="B60" s="26">
        <f>INDEX('Code concept (56-pt) cards'!$A$3:$BN$6,MATCH($B$2,'Code concept (56-pt) cards'!$A$3:$A$6,0),MATCH("Practice answer",'Code concept (56-pt) cards'!$A$2:$BN$2,0))&amp;""</f>
        <v/>
      </c>
    </row>
    <row r="61" ht="30" customHeight="1">
      <c r="A61" s="24" t="inlineStr">
        <is>
          <t>Quick recall (reverse)</t>
        </is>
      </c>
      <c r="B61" s="17">
        <f>INDEX('Code concept (56-pt) cards'!$A$3:$BN$6,MATCH($B$2,'Code concept (56-pt) cards'!$A$3:$A$6,0),MATCH("Quick recall (reverse)",'Code concept (56-pt) cards'!$A$2:$BN$2,0))&amp;""</f>
        <v/>
      </c>
    </row>
  </sheetData>
  <mergeCells count="3">
    <mergeCell ref="A4:B4"/>
    <mergeCell ref="A21:B21"/>
    <mergeCell ref="A50:B50"/>
  </mergeCells>
  <dataValidations count="1">
    <dataValidation sqref="B2" showDropDown="0" showInputMessage="0" showErrorMessage="0" allowBlank="0" type="list">
      <formula1>='Code concept (56-pt) cards'!$A$3:$A$6</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B2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42" customWidth="1" min="11" max="11"/>
    <col width="42" customWidth="1" min="12" max="12"/>
    <col width="42" customWidth="1" min="13" max="13"/>
    <col width="42" customWidth="1" min="14" max="14"/>
    <col width="42" customWidth="1" min="15" max="15"/>
    <col width="42" customWidth="1" min="16" max="16"/>
    <col width="18" customWidth="1" min="17" max="17"/>
    <col width="42" customWidth="1" min="18" max="18"/>
    <col width="42" customWidth="1" min="19" max="19"/>
    <col width="42" customWidth="1" min="20" max="20"/>
    <col width="18" customWidth="1" min="21" max="21"/>
    <col width="42" customWidth="1" min="22" max="22"/>
    <col width="42" customWidth="1" min="23" max="23"/>
    <col width="42" customWidth="1" min="24" max="24"/>
    <col width="18"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18" customWidth="1" min="38" max="38"/>
    <col width="18" customWidth="1" min="39" max="39"/>
    <col width="42" customWidth="1" min="40" max="40"/>
    <col width="42" customWidth="1" min="41" max="41"/>
    <col width="42" customWidth="1" min="42" max="42"/>
    <col width="42" customWidth="1" min="43" max="43"/>
    <col width="18" customWidth="1" min="44" max="44"/>
    <col width="42" customWidth="1" min="45" max="45"/>
    <col width="18" customWidth="1" min="46" max="46"/>
    <col width="9" customWidth="1" min="47" max="47"/>
    <col width="9" customWidth="1" min="48" max="48"/>
    <col width="9" customWidth="1" min="49" max="49"/>
    <col width="9" customWidth="1" min="50" max="50"/>
    <col width="9" customWidth="1" min="51" max="51"/>
    <col width="9" customWidth="1" min="52" max="52"/>
    <col width="18" customWidth="1" min="53" max="53"/>
    <col width="18" customWidth="1" min="54" max="54"/>
  </cols>
  <sheetData>
    <row r="1">
      <c r="A1" s="5" t="inlineStr">
        <is>
          <t>Card</t>
        </is>
      </c>
      <c r="F1" s="6" t="inlineStr">
        <is>
          <t>Side 1 · Recognition</t>
        </is>
      </c>
      <c r="P1" s="7" t="inlineStr">
        <is>
          <t>Side 2 · Understanding</t>
        </is>
      </c>
      <c r="AJ1" s="8" t="inlineStr">
        <is>
          <t>Side 3 · Real life &amp; Practice</t>
        </is>
      </c>
      <c r="AR1" s="9" t="inlineStr">
        <is>
          <t>Auto</t>
        </is>
      </c>
      <c r="AT1" s="10" t="inlineStr">
        <is>
          <t>My review</t>
        </is>
      </c>
    </row>
    <row r="2">
      <c r="A2" s="11" t="inlineStr">
        <is>
          <t>ID</t>
        </is>
      </c>
      <c r="B2" s="11" t="inlineStr">
        <is>
          <t>Topic</t>
        </is>
      </c>
      <c r="C2" s="11" t="inlineStr">
        <is>
          <t>Level</t>
        </is>
      </c>
      <c r="D2" s="11" t="inlineStr">
        <is>
          <t>Study order</t>
        </is>
      </c>
      <c r="E2" s="11" t="inlineStr">
        <is>
          <t>Source</t>
        </is>
      </c>
      <c r="F2" s="12" t="inlineStr">
        <is>
          <t>Term / topic</t>
        </is>
      </c>
      <c r="G2" s="12" t="inlineStr">
        <is>
          <t>Recall cue</t>
        </is>
      </c>
      <c r="H2" s="12" t="inlineStr">
        <is>
          <t>Category</t>
        </is>
      </c>
      <c r="I2" s="12" t="inlineStr">
        <is>
          <t>How often used</t>
        </is>
      </c>
      <c r="J2" s="12" t="inlineStr">
        <is>
          <t>Importance (1-5)</t>
        </is>
      </c>
      <c r="K2" s="12" t="inlineStr">
        <is>
          <t>Origin / why it exists</t>
        </is>
      </c>
      <c r="L2" s="12" t="inlineStr">
        <is>
          <t>Pro tip</t>
        </is>
      </c>
      <c r="M2" s="12" t="inlineStr">
        <is>
          <t>Memory story</t>
        </is>
      </c>
      <c r="N2" s="12" t="inlineStr">
        <is>
          <t>Picture it</t>
        </is>
      </c>
      <c r="O2" s="12" t="inlineStr">
        <is>
          <t>Emotion hook</t>
        </is>
      </c>
      <c r="P2" s="13" t="inlineStr">
        <is>
          <t>Definition (simple)</t>
        </is>
      </c>
      <c r="Q2" s="13" t="inlineStr">
        <is>
          <t>Meaning in learner's language</t>
        </is>
      </c>
      <c r="R2" s="13" t="inlineStr">
        <is>
          <t>How / why it works</t>
        </is>
      </c>
      <c r="S2" s="13" t="inlineStr">
        <is>
          <t>Simple explanation (Hinglish)</t>
        </is>
      </c>
      <c r="T2" s="13" t="inlineStr">
        <is>
          <t>Real-life analogy</t>
        </is>
      </c>
      <c r="U2" s="13" t="inlineStr">
        <is>
          <t>Formula / rule</t>
        </is>
      </c>
      <c r="V2" s="13" t="inlineStr">
        <is>
          <t>Example 1</t>
        </is>
      </c>
      <c r="W2" s="13" t="inlineStr">
        <is>
          <t>Example 2</t>
        </is>
      </c>
      <c r="X2" s="13" t="inlineStr">
        <is>
          <t>Example 3</t>
        </is>
      </c>
      <c r="Y2" s="13" t="inlineStr">
        <is>
          <t>Related concepts</t>
        </is>
      </c>
      <c r="Z2" s="13" t="inlineStr">
        <is>
          <t>Family / group</t>
        </is>
      </c>
      <c r="AA2" s="13" t="inlineStr">
        <is>
          <t>Where it is used</t>
        </is>
      </c>
      <c r="AB2" s="13" t="inlineStr">
        <is>
          <t>Mini conversation</t>
        </is>
      </c>
      <c r="AC2" s="13" t="inlineStr">
        <is>
          <t>Common mistake</t>
        </is>
      </c>
      <c r="AD2" s="13" t="inlineStr">
        <is>
          <t>Don't confuse with</t>
        </is>
      </c>
      <c r="AE2" s="13" t="inlineStr">
        <is>
          <t>Avoid / don't</t>
        </is>
      </c>
      <c r="AF2" s="13" t="inlineStr">
        <is>
          <t>Memory trick</t>
        </is>
      </c>
      <c r="AG2" s="13" t="inlineStr">
        <is>
          <t>Real life: project / work</t>
        </is>
      </c>
      <c r="AH2" s="13" t="inlineStr">
        <is>
          <t>Real life: interview / exam</t>
        </is>
      </c>
      <c r="AI2" s="13" t="inlineStr">
        <is>
          <t>Real life: daily life</t>
        </is>
      </c>
      <c r="AJ2" s="14" t="inlineStr">
        <is>
          <t>MCQ question</t>
        </is>
      </c>
      <c r="AK2" s="14" t="inlineStr">
        <is>
          <t>MCQ options</t>
        </is>
      </c>
      <c r="AL2" s="14" t="inlineStr">
        <is>
          <t>MCQ answer</t>
        </is>
      </c>
      <c r="AM2" s="14" t="inlineStr">
        <is>
          <t>Why that answer</t>
        </is>
      </c>
      <c r="AN2" s="14" t="inlineStr">
        <is>
          <t>Fill the blank</t>
        </is>
      </c>
      <c r="AO2" s="14" t="inlineStr">
        <is>
          <t>Apply it</t>
        </is>
      </c>
      <c r="AP2" s="14" t="inlineStr">
        <is>
          <t>Explain it yourself</t>
        </is>
      </c>
      <c r="AQ2" s="14" t="inlineStr">
        <is>
          <t>Write your own</t>
        </is>
      </c>
      <c r="AR2" s="15" t="inlineStr">
        <is>
          <t>Importance ★</t>
        </is>
      </c>
      <c r="AS2" s="15" t="inlineStr">
        <is>
          <t>Quick recall (reverse)</t>
        </is>
      </c>
      <c r="AT2" s="16" t="inlineStr">
        <is>
          <t>Status</t>
        </is>
      </c>
      <c r="AU2" s="16" t="inlineStr">
        <is>
          <t>Day 1</t>
        </is>
      </c>
      <c r="AV2" s="16" t="inlineStr">
        <is>
          <t>Day 3</t>
        </is>
      </c>
      <c r="AW2" s="16" t="inlineStr">
        <is>
          <t>Day 7</t>
        </is>
      </c>
      <c r="AX2" s="16" t="inlineStr">
        <is>
          <t>Day 15</t>
        </is>
      </c>
      <c r="AY2" s="16" t="inlineStr">
        <is>
          <t>Day 30</t>
        </is>
      </c>
      <c r="AZ2" s="16" t="inlineStr">
        <is>
          <t>Day 60</t>
        </is>
      </c>
      <c r="BA2" s="16" t="inlineStr">
        <is>
          <t>OK / Fix</t>
        </is>
      </c>
      <c r="BB2" s="16" t="inlineStr">
        <is>
          <t>My note</t>
        </is>
      </c>
    </row>
    <row r="3" ht="94.5" customHeight="1">
      <c r="A3" s="17" t="inlineStr">
        <is>
          <t>SSO-001</t>
        </is>
      </c>
      <c r="B3" s="17" t="inlineStr">
        <is>
          <t>01 Basics</t>
        </is>
      </c>
      <c r="C3" s="17" t="inlineStr">
        <is>
          <t>Beginner</t>
        </is>
      </c>
      <c r="D3" s="17" t="n">
        <v>1</v>
      </c>
      <c r="E3" s="17" t="inlineStr">
        <is>
          <t>Claude knowledge</t>
        </is>
      </c>
      <c r="F3" s="18" t="inlineStr">
        <is>
          <t>Authentication vs authorisation</t>
        </is>
      </c>
      <c r="G3" s="18" t="inlineStr">
        <is>
          <t>Which two questions separate proving who you are from deciding what you may do?</t>
        </is>
      </c>
      <c r="H3" s="18" t="inlineStr">
        <is>
          <t>Core concept</t>
        </is>
      </c>
      <c r="I3" s="18" t="inlineStr">
        <is>
          <t>Very high</t>
        </is>
      </c>
      <c r="J3" s="18" t="n">
        <v>5</v>
      </c>
      <c r="K3" s="18" t="inlineStr">
        <is>
          <t>Early systems mixed login and permissions, which caused confusion and flaws, so the two ideas were separated.</t>
        </is>
      </c>
      <c r="L3" s="18" t="inlineStr">
        <is>
          <t>Always say which one you mean, since many bugs come from confusing them.</t>
        </is>
      </c>
      <c r="M3" s="18" t="inlineStr">
        <is>
          <t>Authentication is showing your passport at the border, and authorisation is the visa that says where you may go.</t>
        </is>
      </c>
      <c r="N3" s="18" t="inlineStr">
        <is>
          <t>A door with an ID check and then a list of allowed rooms.</t>
        </is>
      </c>
      <c r="O3" s="18" t="inlineStr">
        <is>
          <t>The clarity of separating identity from permission.</t>
        </is>
      </c>
      <c r="P3" s="18" t="inlineStr">
        <is>
          <t>Authentication verifies who a user or system is, and authorisation decides which actions and resources that identity is allowed to use.</t>
        </is>
      </c>
      <c r="Q3" s="17" t="n"/>
      <c r="R3" s="18" t="inlineStr">
        <is>
          <t>Authentication uses passwords, codes, keys or biometrics. Authorisation uses roles, scopes, policies and attributes. A user can be authenticated but still denied. OAuth is about authorisation, while OpenID Connect adds authentication. HTTP status 401 means not authenticated, and 403 means not allowed.</t>
        </is>
      </c>
      <c r="S3" s="18" t="inlineStr">
        <is>
          <t>Authentication answers who you are, authorisation answers what you can do.</t>
        </is>
      </c>
      <c r="T3" s="18" t="inlineStr">
        <is>
          <t>Authentication is showing your passport, and authorisation is the visa for where you may go.</t>
        </is>
      </c>
      <c r="U3" s="18" t="inlineStr">
        <is>
          <t>AuthN = who. AuthZ = what.</t>
        </is>
      </c>
      <c r="V3" s="18" t="inlineStr">
        <is>
          <t>Logging in with a password and a code.</t>
        </is>
      </c>
      <c r="W3" s="18" t="inlineStr">
        <is>
          <t>A user who can read but not delete records.</t>
        </is>
      </c>
      <c r="X3" s="18" t="inlineStr">
        <is>
          <t>A 403 error after a successful login.</t>
        </is>
      </c>
      <c r="Y3" s="18" t="inlineStr">
        <is>
          <t>SSO, MFA, RBAC vs ABAC, scopes and claims</t>
        </is>
      </c>
      <c r="Z3" s="18" t="inlineStr">
        <is>
          <t>authentication, authorisation, identity, permission, access</t>
        </is>
      </c>
      <c r="AA3" s="18" t="inlineStr">
        <is>
          <t>Every application | Security reviews | API design</t>
        </is>
      </c>
      <c r="AB3" s="18" t="inlineStr">
        <is>
          <t>A: The user logged in but sees an error. | B: They are authenticated but not authorised for that page.</t>
        </is>
      </c>
      <c r="AC3" s="18" t="inlineStr">
        <is>
          <t>✗ Logging in gives access to everything → ✓ Authorisation still decides what each identity may do</t>
        </is>
      </c>
      <c r="AD3" s="18" t="inlineStr">
        <is>
          <t>401 vs 403: 401 means not authenticated, 403 means authenticated but not allowed.</t>
        </is>
      </c>
      <c r="AE3" s="18" t="inlineStr">
        <is>
          <t>Do not check only that a user is logged in before sensitive actions.</t>
        </is>
      </c>
      <c r="AF3" s="18" t="inlineStr">
        <is>
          <t>Who are you, then what may you do.</t>
        </is>
      </c>
      <c r="AG3" s="18" t="inlineStr">
        <is>
          <t>Separating the two checks fixed a page that let any logged-in user view admin data.</t>
        </is>
      </c>
      <c r="AH3" s="18" t="inlineStr">
        <is>
          <t>An interviewer may ask: What is the difference between authentication and authorisation?</t>
        </is>
      </c>
      <c r="AI3" s="18" t="inlineStr">
        <is>
          <t>It is like a passport and a visa.</t>
        </is>
      </c>
      <c r="AJ3" s="18" t="inlineStr">
        <is>
          <t>Which status means the caller is known but not allowed?</t>
        </is>
      </c>
      <c r="AK3" s="18" t="inlineStr">
        <is>
          <t>A) 301 B) 401 C) 200 D) 403</t>
        </is>
      </c>
      <c r="AL3" s="18" t="inlineStr">
        <is>
          <t>D</t>
        </is>
      </c>
      <c r="AM3" s="18" t="inlineStr">
        <is>
          <t>403 is forbidden after identification.</t>
        </is>
      </c>
      <c r="AN3" s="18" t="inlineStr">
        <is>
          <t>Verifying who someone is is called ____ → authentication</t>
        </is>
      </c>
      <c r="AO3" s="18" t="inlineStr">
        <is>
          <t>A logged-in user opens an admin page and is blocked. Which check failed? → Authorisation</t>
        </is>
      </c>
      <c r="AP3" s="18" t="inlineStr">
        <is>
          <t>Explain the two ideas in three lines.</t>
        </is>
      </c>
      <c r="AQ3" s="18" t="inlineStr">
        <is>
          <t>Give one example of each in an online shop.</t>
        </is>
      </c>
      <c r="AR3" s="17">
        <f>IF(J3="","",REPT("★",J3)&amp;REPT("☆",5-J3)&amp;" ("&amp;J3&amp;"/5)")</f>
        <v/>
      </c>
      <c r="AS3" s="17">
        <f>IF(Q3="","","Meaning: "&amp;Q3&amp;"  =  ______   (Answer: "&amp;F3&amp;")")</f>
        <v/>
      </c>
      <c r="AT3" s="17" t="inlineStr">
        <is>
          <t>New</t>
        </is>
      </c>
      <c r="AU3" s="17" t="n"/>
      <c r="AV3" s="17" t="n"/>
      <c r="AW3" s="17" t="n"/>
      <c r="AX3" s="17" t="n"/>
      <c r="AY3" s="17" t="n"/>
      <c r="AZ3" s="17" t="n"/>
      <c r="BA3" s="17" t="n"/>
      <c r="BB3" s="17" t="n"/>
    </row>
    <row r="4" ht="108" customHeight="1">
      <c r="A4" s="17" t="inlineStr">
        <is>
          <t>SSO-002</t>
        </is>
      </c>
      <c r="B4" s="17" t="inlineStr">
        <is>
          <t>01 Basics</t>
        </is>
      </c>
      <c r="C4" s="17" t="inlineStr">
        <is>
          <t>Beginner</t>
        </is>
      </c>
      <c r="D4" s="17" t="n">
        <v>2</v>
      </c>
      <c r="E4" s="17" t="inlineStr">
        <is>
          <t>Claude knowledge</t>
        </is>
      </c>
      <c r="F4" s="18" t="inlineStr">
        <is>
          <t>Identity provider and service provider</t>
        </is>
      </c>
      <c r="G4" s="18" t="inlineStr">
        <is>
          <t>Which two roles divide who proves identity and who relies on that proof?</t>
        </is>
      </c>
      <c r="H4" s="18" t="inlineStr">
        <is>
          <t>Core concept</t>
        </is>
      </c>
      <c r="I4" s="18" t="inlineStr">
        <is>
          <t>Very high</t>
        </is>
      </c>
      <c r="J4" s="18" t="n">
        <v>5</v>
      </c>
      <c r="K4" s="18" t="inlineStr">
        <is>
          <t>Separating login from each application lets one trusted system manage identities while many apps use it.</t>
        </is>
      </c>
      <c r="L4" s="18" t="inlineStr">
        <is>
          <t>Learn the names in each protocol, such as relying party and service provider.</t>
        </is>
      </c>
      <c r="M4" s="18" t="inlineStr">
        <is>
          <t>The identity provider is the passport office, and the service provider is the border that trusts its passports.</t>
        </is>
      </c>
      <c r="N4" s="18" t="inlineStr">
        <is>
          <t>A user, an identity provider box and an application box with arrows between them.</t>
        </is>
      </c>
      <c r="O4" s="18" t="inlineStr">
        <is>
          <t>The ease of one login for many apps.</t>
        </is>
      </c>
      <c r="P4" s="18" t="inlineStr">
        <is>
          <t>An identity provider authenticates users and issues proof of identity, and a service provider, also called a relying party or client, trusts that proof to grant access to its application.</t>
        </is>
      </c>
      <c r="Q4" s="17" t="n"/>
      <c r="R4" s="18" t="inlineStr">
        <is>
          <t>Examples of identity providers are Microsoft Entra ID, Okta and Google. The application redirects the user to the provider, which authenticates them and returns a signed assertion or token. A trust relationship, set up with metadata and keys, lets the app verify it. SAML uses the terms IdP and SP, and OIDC uses provider and relying party.</t>
        </is>
      </c>
      <c r="S4" s="18" t="inlineStr">
        <is>
          <t>The identity provider logs people in, and apps trust its answer.</t>
        </is>
      </c>
      <c r="T4" s="18" t="inlineStr">
        <is>
          <t>The identity provider is the passport office, and the service provider is the border that trusts its passports.</t>
        </is>
      </c>
      <c r="U4" s="18" t="inlineStr">
        <is>
          <t>IdP issues proof, SP verifies and trusts it.</t>
        </is>
      </c>
      <c r="V4" s="18" t="inlineStr">
        <is>
          <t>A company login page run by Entra ID.</t>
        </is>
      </c>
      <c r="W4" s="18" t="inlineStr">
        <is>
          <t>A SaaS app trusting that company login.</t>
        </is>
      </c>
      <c r="X4" s="18" t="inlineStr">
        <is>
          <t>Google acting as identity provider for a small app.</t>
        </is>
      </c>
      <c r="Y4" s="18" t="inlineStr">
        <is>
          <t>what SSO is, SAML flow, OpenID Connect, directory services</t>
        </is>
      </c>
      <c r="Z4" s="18" t="inlineStr">
        <is>
          <t>IdP, SP, relying party, trust, metadata</t>
        </is>
      </c>
      <c r="AA4" s="18" t="inlineStr">
        <is>
          <t>Enterprise apps | SaaS integrations | Customer onboarding</t>
        </is>
      </c>
      <c r="AB4" s="18" t="inlineStr">
        <is>
          <t>A: Who stores the passwords for our app users? | B: The identity provider does, our app never sees them.</t>
        </is>
      </c>
      <c r="AC4" s="18" t="inlineStr">
        <is>
          <t>✗ The application checks the user's password itself with SSO → ✓ The identity provider checks it and the app trusts the result</t>
        </is>
      </c>
      <c r="AD4" s="18" t="inlineStr">
        <is>
          <t>IdP vs SP: one proves identity, the other relies on it.</t>
        </is>
      </c>
      <c r="AE4" s="18" t="inlineStr">
        <is>
          <t>Do not trust assertions without verifying their signature.</t>
        </is>
      </c>
      <c r="AF4" s="18" t="inlineStr">
        <is>
          <t>The IdP proves, and the SP relies on it.</t>
        </is>
      </c>
      <c r="AG4" s="18" t="inlineStr">
        <is>
          <t>Connecting a customer's identity provider let their staff sign in without new passwords.</t>
        </is>
      </c>
      <c r="AH4" s="18" t="inlineStr">
        <is>
          <t>An interviewer may ask: What is the role of an identity provider?</t>
        </is>
      </c>
      <c r="AI4" s="18" t="inlineStr">
        <is>
          <t>It is like a passport office and a border.</t>
        </is>
      </c>
      <c r="AJ4" s="18" t="inlineStr">
        <is>
          <t>Which party authenticates the user in SSO?</t>
        </is>
      </c>
      <c r="AK4" s="18" t="inlineStr">
        <is>
          <t>A) The service provider B) The identity provider C) The browser D) The database</t>
        </is>
      </c>
      <c r="AL4" s="18" t="inlineStr">
        <is>
          <t>B</t>
        </is>
      </c>
      <c r="AM4" s="18" t="inlineStr">
        <is>
          <t>The identity provider performs the login.</t>
        </is>
      </c>
      <c r="AN4" s="18" t="inlineStr">
        <is>
          <t>Another name for the app that trusts the provider in OIDC is the relying ____ → party</t>
        </is>
      </c>
      <c r="AO4" s="18" t="inlineStr">
        <is>
          <t>A customer wants staff to use their company login in your app. What do you set up? → Trust with their identity provider</t>
        </is>
      </c>
      <c r="AP4" s="18" t="inlineStr">
        <is>
          <t>Explain IdP and SP in three lines.</t>
        </is>
      </c>
      <c r="AQ4" s="18" t="inlineStr">
        <is>
          <t>Draw the three parties in an SSO login.</t>
        </is>
      </c>
      <c r="AR4" s="17">
        <f>IF(J4="","",REPT("★",J4)&amp;REPT("☆",5-J4)&amp;" ("&amp;J4&amp;"/5)")</f>
        <v/>
      </c>
      <c r="AS4" s="17">
        <f>IF(Q4="","","Meaning: "&amp;Q4&amp;"  =  ______   (Answer: "&amp;F4&amp;")")</f>
        <v/>
      </c>
      <c r="AT4" s="17" t="inlineStr">
        <is>
          <t>New</t>
        </is>
      </c>
      <c r="AU4" s="17" t="n"/>
      <c r="AV4" s="17" t="n"/>
      <c r="AW4" s="17" t="n"/>
      <c r="AX4" s="17" t="n"/>
      <c r="AY4" s="17" t="n"/>
      <c r="AZ4" s="17" t="n"/>
      <c r="BA4" s="17" t="n"/>
      <c r="BB4" s="17" t="n"/>
    </row>
    <row r="5" ht="108" customHeight="1">
      <c r="A5" s="17" t="inlineStr">
        <is>
          <t>SSO-003</t>
        </is>
      </c>
      <c r="B5" s="17" t="inlineStr">
        <is>
          <t>01 Basics</t>
        </is>
      </c>
      <c r="C5" s="17" t="inlineStr">
        <is>
          <t>Beginner</t>
        </is>
      </c>
      <c r="D5" s="17" t="n">
        <v>3</v>
      </c>
      <c r="E5" s="17" t="inlineStr">
        <is>
          <t>Claude knowledge</t>
        </is>
      </c>
      <c r="F5" s="18" t="inlineStr">
        <is>
          <t>What SSO is</t>
        </is>
      </c>
      <c r="G5" s="18" t="inlineStr">
        <is>
          <t>Which approach lets one login give access to many applications?</t>
        </is>
      </c>
      <c r="H5" s="18" t="inlineStr">
        <is>
          <t>Core concept</t>
        </is>
      </c>
      <c r="I5" s="18" t="inlineStr">
        <is>
          <t>Very high</t>
        </is>
      </c>
      <c r="J5" s="18" t="n">
        <v>5</v>
      </c>
      <c r="K5" s="18" t="inlineStr">
        <is>
          <t>People forget many passwords and companies struggle to manage them, so one central login was created for all apps.</t>
        </is>
      </c>
      <c r="L5" s="18" t="inlineStr">
        <is>
          <t>Combine SSO with MFA, because one stolen login now opens many doors.</t>
        </is>
      </c>
      <c r="M5" s="18" t="inlineStr">
        <is>
          <t>SSO is one key card that opens every door in the office building.</t>
        </is>
      </c>
      <c r="N5" s="18" t="inlineStr">
        <is>
          <t>One login screen leading to several app icons.</t>
        </is>
      </c>
      <c r="O5" s="18" t="inlineStr">
        <is>
          <t>The comfort of signing in once for the whole day.</t>
        </is>
      </c>
      <c r="P5" s="18" t="inlineStr">
        <is>
          <t>Single sign-on lets a user authenticate once with an identity provider and then access multiple applications without logging in again for each.</t>
        </is>
      </c>
      <c r="Q5" s="17" t="n"/>
      <c r="R5" s="18" t="inlineStr">
        <is>
          <t>The first login creates a session at the identity provider. When another app asks for proof, the provider can answer using that session with no new password. Benefits are fewer passwords, central control, easier offboarding and consistent MFA. The risk is concentration, so the provider must be strongly protected.</t>
        </is>
      </c>
      <c r="S5" s="18" t="inlineStr">
        <is>
          <t>Log in once, and reach many apps through the central identity provider.</t>
        </is>
      </c>
      <c r="T5" s="18" t="inlineStr">
        <is>
          <t>SSO is one key card that opens every door in the building.</t>
        </is>
      </c>
      <c r="U5" s="18" t="inlineStr">
        <is>
          <t>One session at the IdP, many apps trust it.</t>
        </is>
      </c>
      <c r="V5" s="18" t="inlineStr">
        <is>
          <t>Opening email, chat and HR apps after one login.</t>
        </is>
      </c>
      <c r="W5" s="18" t="inlineStr">
        <is>
          <t>Disabling one account to remove access everywhere.</t>
        </is>
      </c>
      <c r="X5" s="18" t="inlineStr">
        <is>
          <t>Enforcing MFA once at the provider.</t>
        </is>
      </c>
      <c r="Y5" s="18" t="inlineStr">
        <is>
          <t>identity provider, MFA, sessions, single logout</t>
        </is>
      </c>
      <c r="Z5" s="18" t="inlineStr">
        <is>
          <t>SSO, session, federation, central login, trust</t>
        </is>
      </c>
      <c r="AA5" s="18" t="inlineStr">
        <is>
          <t>Enterprises | SaaS | Education</t>
        </is>
      </c>
      <c r="AB5" s="18" t="inlineStr">
        <is>
          <t>A: Do users type passwords in every app? | B: No, with SSO they log in once at the provider.</t>
        </is>
      </c>
      <c r="AC5" s="18" t="inlineStr">
        <is>
          <t>✗ SSO means the same password is used everywhere → ✓ Apps never see the password, and they trust the provider's proof</t>
        </is>
      </c>
      <c r="AD5" s="18" t="inlineStr">
        <is>
          <t>SSO vs password reuse: SSO uses one trusted login, reuse copies a secret into many places.</t>
        </is>
      </c>
      <c r="AE5" s="18" t="inlineStr">
        <is>
          <t>Do not use SSO without MFA on the identity provider.</t>
        </is>
      </c>
      <c r="AF5" s="18" t="inlineStr">
        <is>
          <t>One login, many doors, one strong lock.</t>
        </is>
      </c>
      <c r="AG5" s="18" t="inlineStr">
        <is>
          <t>Rolling out SSO cut password reset tickets for a customer.</t>
        </is>
      </c>
      <c r="AH5" s="18" t="inlineStr">
        <is>
          <t>An interviewer may ask: What are the benefits and risks of SSO?</t>
        </is>
      </c>
      <c r="AI5" s="18" t="inlineStr">
        <is>
          <t>It is like one key card for a building.</t>
        </is>
      </c>
      <c r="AJ5" s="18" t="inlineStr">
        <is>
          <t>What is the main idea of SSO?</t>
        </is>
      </c>
      <c r="AK5" s="18" t="inlineStr">
        <is>
          <t>A) One login for many apps B) Many logins for one app C) No login D) Shared passwords</t>
        </is>
      </c>
      <c r="AL5" s="18" t="inlineStr">
        <is>
          <t>A</t>
        </is>
      </c>
      <c r="AM5" s="18" t="inlineStr">
        <is>
          <t>Apps trust a single identity provider.</t>
        </is>
      </c>
      <c r="AN5" s="18" t="inlineStr">
        <is>
          <t>A user's logged-in state at the provider is a ____ → session</t>
        </is>
      </c>
      <c r="AO5" s="18" t="inlineStr">
        <is>
          <t>A user leaves the company. How does SSO help? → Disable one account to remove access everywhere</t>
        </is>
      </c>
      <c r="AP5" s="18" t="inlineStr">
        <is>
          <t>Explain SSO in three lines.</t>
        </is>
      </c>
      <c r="AQ5" s="18" t="inlineStr">
        <is>
          <t>List three benefits and two risks of SSO.</t>
        </is>
      </c>
      <c r="AR5" s="17">
        <f>IF(J5="","",REPT("★",J5)&amp;REPT("☆",5-J5)&amp;" ("&amp;J5&amp;"/5)")</f>
        <v/>
      </c>
      <c r="AS5" s="17">
        <f>IF(Q5="","","Meaning: "&amp;Q5&amp;"  =  ______   (Answer: "&amp;F5&amp;")")</f>
        <v/>
      </c>
      <c r="AT5" s="17" t="inlineStr">
        <is>
          <t>New</t>
        </is>
      </c>
      <c r="AU5" s="17" t="n"/>
      <c r="AV5" s="17" t="n"/>
      <c r="AW5" s="17" t="n"/>
      <c r="AX5" s="17" t="n"/>
      <c r="AY5" s="17" t="n"/>
      <c r="AZ5" s="17" t="n"/>
      <c r="BA5" s="17" t="n"/>
      <c r="BB5" s="17" t="n"/>
    </row>
    <row r="6" ht="94.5" customHeight="1">
      <c r="A6" s="17" t="inlineStr">
        <is>
          <t>SSO-004</t>
        </is>
      </c>
      <c r="B6" s="17" t="inlineStr">
        <is>
          <t>01 Basics</t>
        </is>
      </c>
      <c r="C6" s="17" t="inlineStr">
        <is>
          <t>Beginner</t>
        </is>
      </c>
      <c r="D6" s="17" t="n">
        <v>4</v>
      </c>
      <c r="E6" s="17" t="inlineStr">
        <is>
          <t>Claude knowledge</t>
        </is>
      </c>
      <c r="F6" s="18" t="inlineStr">
        <is>
          <t>MFA in identity systems</t>
        </is>
      </c>
      <c r="G6" s="18" t="inlineStr">
        <is>
          <t>How is a second factor added to the login for all connected apps?</t>
        </is>
      </c>
      <c r="H6" s="18" t="inlineStr">
        <is>
          <t>Core concept</t>
        </is>
      </c>
      <c r="I6" s="18" t="inlineStr">
        <is>
          <t>Very high</t>
        </is>
      </c>
      <c r="J6" s="18" t="n">
        <v>5</v>
      </c>
      <c r="K6" s="18" t="inlineStr">
        <is>
          <t>Passwords alone are weak, so identity providers require a second proof for every sign-in.</t>
        </is>
      </c>
      <c r="L6" s="18" t="inlineStr">
        <is>
          <t>Prefer phishing-resistant factors such as passkeys and hardware keys.</t>
        </is>
      </c>
      <c r="M6" s="18" t="inlineStr">
        <is>
          <t>MFA is the second lock on the one door that guards the whole building.</t>
        </is>
      </c>
      <c r="N6" s="18" t="inlineStr">
        <is>
          <t>A password prompt followed by an authenticator approval.</t>
        </is>
      </c>
      <c r="O6" s="18" t="inlineStr">
        <is>
          <t>The assurance that a stolen password is not enough.</t>
        </is>
      </c>
      <c r="P6" s="18" t="inlineStr">
        <is>
          <t>Multi-factor authentication at the identity provider requires two or more independent proofs, such as a password plus a one-time code, a push approval or a hardware key.</t>
        </is>
      </c>
      <c r="Q6" s="17" t="n"/>
      <c r="R6" s="18" t="inlineStr">
        <is>
          <t>With SSO, MFA is enforced once at the provider and covers all apps. Policies can require stronger factors for risky sign-ins or admin apps. Weak factors such as SMS can be intercepted. Recovery options must be protected, since attackers target them. Conditional access can consider device, location and risk.</t>
        </is>
      </c>
      <c r="S6" s="18" t="inlineStr">
        <is>
          <t>Enforce MFA at the identity provider so every app is protected.</t>
        </is>
      </c>
      <c r="T6" s="18" t="inlineStr">
        <is>
          <t>MFA is the second lock on the one door that guards the whole building.</t>
        </is>
      </c>
      <c r="U6" s="18" t="inlineStr">
        <is>
          <t>Know + have + are, with strong factors preferred.</t>
        </is>
      </c>
      <c r="V6" s="18" t="inlineStr">
        <is>
          <t>An authenticator app code after the password.</t>
        </is>
      </c>
      <c r="W6" s="18" t="inlineStr">
        <is>
          <t>A hardware key required for admins.</t>
        </is>
      </c>
      <c r="X6" s="18" t="inlineStr">
        <is>
          <t>A conditional access rule for sign-ins from new countries.</t>
        </is>
      </c>
      <c r="Y6" s="18" t="inlineStr">
        <is>
          <t>what SSO is, passkeys, sessions, conditional access</t>
        </is>
      </c>
      <c r="Z6" s="18" t="inlineStr">
        <is>
          <t>MFA, factor, authenticator, hardware key, conditional access</t>
        </is>
      </c>
      <c r="AA6" s="18" t="inlineStr">
        <is>
          <t>Identity providers | Admin access | Compliance</t>
        </is>
      </c>
      <c r="AB6" s="18" t="inlineStr">
        <is>
          <t>A: Do we need MFA in every app? | B: No, enforce it at the identity provider.</t>
        </is>
      </c>
      <c r="AC6" s="18" t="inlineStr">
        <is>
          <t>✗ SMS codes are as strong as hardware keys → ✓ SMS can be intercepted or swapped, so stronger factors are better</t>
        </is>
      </c>
      <c r="AD6" s="18" t="inlineStr">
        <is>
          <t>Phishing-resistant vs one-time codes: the first cannot be tricked into approving a fake site.</t>
        </is>
      </c>
      <c r="AE6" s="18" t="inlineStr">
        <is>
          <t>Do not leave recovery paths weaker than the login.</t>
        </is>
      </c>
      <c r="AF6" s="18" t="inlineStr">
        <is>
          <t>Strong second lock at the shared door.</t>
        </is>
      </c>
      <c r="AG6" s="18" t="inlineStr">
        <is>
          <t>Requiring hardware keys for admins closed a major account takeover risk.</t>
        </is>
      </c>
      <c r="AH6" s="18" t="inlineStr">
        <is>
          <t>An interviewer may ask: Which MFA methods are strongest?</t>
        </is>
      </c>
      <c r="AI6" s="18" t="inlineStr">
        <is>
          <t>It is like a second lock on the main door.</t>
        </is>
      </c>
      <c r="AJ6" s="18" t="inlineStr">
        <is>
          <t>Where should MFA be enforced with SSO?</t>
        </is>
      </c>
      <c r="AK6" s="18" t="inlineStr">
        <is>
          <t>A) At the browser only B) In every app separately C) At the identity provider D) Nowhere</t>
        </is>
      </c>
      <c r="AL6" s="18" t="inlineStr">
        <is>
          <t>C</t>
        </is>
      </c>
      <c r="AM6" s="18" t="inlineStr">
        <is>
          <t>One policy covers all apps.</t>
        </is>
      </c>
      <c r="AN6" s="18" t="inlineStr">
        <is>
          <t>Rules that consider device and location use ____ access → conditional</t>
        </is>
      </c>
      <c r="AO6" s="18" t="inlineStr">
        <is>
          <t>Admin accounts need the strongest protection. What do you require? → Hardware keys or passkeys</t>
        </is>
      </c>
      <c r="AP6" s="18" t="inlineStr">
        <is>
          <t>Explain MFA with SSO in three lines.</t>
        </is>
      </c>
      <c r="AQ6" s="18" t="inlineStr">
        <is>
          <t>Rank four MFA methods from weakest to strongest.</t>
        </is>
      </c>
      <c r="AR6" s="17">
        <f>IF(J6="","",REPT("★",J6)&amp;REPT("☆",5-J6)&amp;" ("&amp;J6&amp;"/5)")</f>
        <v/>
      </c>
      <c r="AS6" s="17">
        <f>IF(Q6="","","Meaning: "&amp;Q6&amp;"  =  ______   (Answer: "&amp;F6&amp;")")</f>
        <v/>
      </c>
      <c r="AT6" s="17" t="inlineStr">
        <is>
          <t>New</t>
        </is>
      </c>
      <c r="AU6" s="17" t="n"/>
      <c r="AV6" s="17" t="n"/>
      <c r="AW6" s="17" t="n"/>
      <c r="AX6" s="17" t="n"/>
      <c r="AY6" s="17" t="n"/>
      <c r="AZ6" s="17" t="n"/>
      <c r="BA6" s="17" t="n"/>
      <c r="BB6" s="17" t="n"/>
    </row>
    <row r="7" ht="108" customHeight="1">
      <c r="A7" s="17" t="inlineStr">
        <is>
          <t>SSO-005</t>
        </is>
      </c>
      <c r="B7" s="17" t="inlineStr">
        <is>
          <t>01 Basics</t>
        </is>
      </c>
      <c r="C7" s="17" t="inlineStr">
        <is>
          <t>Beginner</t>
        </is>
      </c>
      <c r="D7" s="17" t="n">
        <v>5</v>
      </c>
      <c r="E7" s="17" t="inlineStr">
        <is>
          <t>Claude knowledge</t>
        </is>
      </c>
      <c r="F7" s="18" t="inlineStr">
        <is>
          <t>Sessions</t>
        </is>
      </c>
      <c r="G7" s="18" t="inlineStr">
        <is>
          <t>How does an application remember that you are logged in?</t>
        </is>
      </c>
      <c r="H7" s="18" t="inlineStr">
        <is>
          <t>Core concept</t>
        </is>
      </c>
      <c r="I7" s="18" t="inlineStr">
        <is>
          <t>Very high</t>
        </is>
      </c>
      <c r="J7" s="18" t="n">
        <v>5</v>
      </c>
      <c r="K7" s="18" t="inlineStr">
        <is>
          <t>HTTP forgets requests, so a session ties repeated requests to one authenticated user.</t>
        </is>
      </c>
      <c r="L7" s="18" t="inlineStr">
        <is>
          <t>Set short lifetimes for sensitive apps and mark cookies secure and HttpOnly.</t>
        </is>
      </c>
      <c r="M7" s="18" t="inlineStr">
        <is>
          <t>A session is a wristband given at the entrance that you show at every ride.</t>
        </is>
      </c>
      <c r="N7" s="18" t="inlineStr">
        <is>
          <t>A browser sending a cookie with each request.</t>
        </is>
      </c>
      <c r="O7" s="18" t="inlineStr">
        <is>
          <t>The ease of staying logged in safely.</t>
        </is>
      </c>
      <c r="P7" s="18" t="inlineStr">
        <is>
          <t>A session is the period during which a user remains authenticated, tracked by a session cookie or token that the server validates on each request.</t>
        </is>
      </c>
      <c r="Q7" s="17" t="n"/>
      <c r="R7" s="18" t="inlineStr">
        <is>
          <t>After login the server creates a session id stored in a cookie or issues a token. The cookie should be Secure, HttpOnly and SameSite to reduce theft and cross-site misuse. Sessions expire after idle time or a maximum lifetime. With SSO there are two sessions, one at the identity provider and one at each app, with separate lifetimes.</t>
        </is>
      </c>
      <c r="S7" s="18" t="inlineStr">
        <is>
          <t>A session cookie proves you logged in, and it should be protected and short lived.</t>
        </is>
      </c>
      <c r="T7" s="18" t="inlineStr">
        <is>
          <t>A session is a wristband given at the entrance that you show at every ride.</t>
        </is>
      </c>
      <c r="U7" s="18" t="inlineStr">
        <is>
          <t>Login creates a session, each request proves it.</t>
        </is>
      </c>
      <c r="V7" s="18" t="inlineStr">
        <is>
          <t>A cookie named session with HttpOnly set.</t>
        </is>
      </c>
      <c r="W7" s="18" t="inlineStr">
        <is>
          <t>Logging out after thirty minutes idle.</t>
        </is>
      </c>
      <c r="X7" s="18" t="inlineStr">
        <is>
          <t>An app session lasting while the IdP session expires.</t>
        </is>
      </c>
      <c r="Y7" s="18" t="inlineStr">
        <is>
          <t>what SSO is, token lifetimes, single logout, CSRF</t>
        </is>
      </c>
      <c r="Z7" s="18" t="inlineStr">
        <is>
          <t>session, cookie, HttpOnly, SameSite, idle timeout</t>
        </is>
      </c>
      <c r="AA7" s="18" t="inlineStr">
        <is>
          <t>Web apps | SSO | Security reviews</t>
        </is>
      </c>
      <c r="AB7" s="18" t="inlineStr">
        <is>
          <t>A: I signed out of the app but the identity provider still logs me in. | B: There are two sessions, one in each place.</t>
        </is>
      </c>
      <c r="AC7" s="18" t="inlineStr">
        <is>
          <t>✗ Logging out of one app ends all sessions → ✓ Each app and the provider keep their own sessions</t>
        </is>
      </c>
      <c r="AD7" s="18" t="inlineStr">
        <is>
          <t>IdP session vs app session: the provider's session may outlive the app's.</t>
        </is>
      </c>
      <c r="AE7" s="18" t="inlineStr">
        <is>
          <t>Do not store session ids in places scripts can read.</t>
        </is>
      </c>
      <c r="AF7" s="18" t="inlineStr">
        <is>
          <t>Secure, HttpOnly, SameSite on every cookie.</t>
        </is>
      </c>
      <c r="AG7" s="18" t="inlineStr">
        <is>
          <t>Setting cookie flags stopped session theft through a script injection test.</t>
        </is>
      </c>
      <c r="AH7" s="18" t="inlineStr">
        <is>
          <t>An interviewer may ask: How do you protect session cookies?</t>
        </is>
      </c>
      <c r="AI7" s="18" t="inlineStr">
        <is>
          <t>It is like a wristband shown at every ride.</t>
        </is>
      </c>
      <c r="AJ7" s="18" t="inlineStr">
        <is>
          <t>Which cookie flag stops scripts reading it?</t>
        </is>
      </c>
      <c r="AK7" s="18" t="inlineStr">
        <is>
          <t>A) SameSite B) Path C) Secure D) HttpOnly</t>
        </is>
      </c>
      <c r="AL7" s="18" t="inlineStr">
        <is>
          <t>D</t>
        </is>
      </c>
      <c r="AM7" s="18" t="inlineStr">
        <is>
          <t>HttpOnly hides it from JavaScript.</t>
        </is>
      </c>
      <c r="AN7" s="18" t="inlineStr">
        <is>
          <t>A cookie sent only over HTTPS has the ____ flag → Secure</t>
        </is>
      </c>
      <c r="AO7" s="18" t="inlineStr">
        <is>
          <t>A cookie must not be readable by page scripts. Which flag? → HttpOnly</t>
        </is>
      </c>
      <c r="AP7" s="18" t="inlineStr">
        <is>
          <t>Explain sessions in three lines.</t>
        </is>
      </c>
      <c r="AQ7" s="18" t="inlineStr">
        <is>
          <t>Write a cookie policy for a banking app.</t>
        </is>
      </c>
      <c r="AR7" s="17">
        <f>IF(J7="","",REPT("★",J7)&amp;REPT("☆",5-J7)&amp;" ("&amp;J7&amp;"/5)")</f>
        <v/>
      </c>
      <c r="AS7" s="17">
        <f>IF(Q7="","","Meaning: "&amp;Q7&amp;"  =  ______   (Answer: "&amp;F7&amp;")")</f>
        <v/>
      </c>
      <c r="AT7" s="17" t="inlineStr">
        <is>
          <t>New</t>
        </is>
      </c>
      <c r="AU7" s="17" t="n"/>
      <c r="AV7" s="17" t="n"/>
      <c r="AW7" s="17" t="n"/>
      <c r="AX7" s="17" t="n"/>
      <c r="AY7" s="17" t="n"/>
      <c r="AZ7" s="17" t="n"/>
      <c r="BA7" s="17" t="n"/>
      <c r="BB7" s="17" t="n"/>
    </row>
    <row r="8" ht="108" customHeight="1">
      <c r="A8" s="17" t="inlineStr">
        <is>
          <t>SSO-006</t>
        </is>
      </c>
      <c r="B8" s="17" t="inlineStr">
        <is>
          <t>01 Basics</t>
        </is>
      </c>
      <c r="C8" s="17" t="inlineStr">
        <is>
          <t>Intermediate</t>
        </is>
      </c>
      <c r="D8" s="17" t="n">
        <v>6</v>
      </c>
      <c r="E8" s="17" t="inlineStr">
        <is>
          <t>Claude knowledge</t>
        </is>
      </c>
      <c r="F8" s="18" t="inlineStr">
        <is>
          <t>Directory services: LDAP and Active Directory</t>
        </is>
      </c>
      <c r="G8" s="18" t="inlineStr">
        <is>
          <t>Which systems store users, groups and credentials centrally for organisations?</t>
        </is>
      </c>
      <c r="H8" s="18" t="inlineStr">
        <is>
          <t>Core concept</t>
        </is>
      </c>
      <c r="I8" s="18" t="inlineStr">
        <is>
          <t>High</t>
        </is>
      </c>
      <c r="J8" s="18" t="n">
        <v>4</v>
      </c>
      <c r="K8" s="18" t="inlineStr">
        <is>
          <t>Organisations need one place to manage people and computers, so directory services store them and answer queries.</t>
        </is>
      </c>
      <c r="L8" s="18" t="inlineStr">
        <is>
          <t>Learn the distinguished name format, since LDAP queries use it.</t>
        </is>
      </c>
      <c r="M8" s="18" t="inlineStr">
        <is>
          <t>A directory is the company phone book that also decides who may sign in.</t>
        </is>
      </c>
      <c r="N8" s="18" t="inlineStr">
        <is>
          <t>A tree of users and groups under an organisation.</t>
        </is>
      </c>
      <c r="O8" s="18" t="inlineStr">
        <is>
          <t>The tidiness of one central directory.</t>
        </is>
      </c>
      <c r="P8" s="18" t="inlineStr">
        <is>
          <t>A directory service stores identities, groups and attributes in a hierarchy, with LDAP as the standard query protocol and Active Directory as Microsoft's widely used implementation.</t>
        </is>
      </c>
      <c r="Q8" s="17" t="n"/>
      <c r="R8" s="18" t="inlineStr">
        <is>
          <t>Entries have a distinguished name such as cn=asha,ou=staff,dc=example,dc=com. Applications can bind to the directory to check credentials or search for groups. Active Directory also provides Kerberos login for Windows networks. Cloud systems such as Entra ID sync with or replace it. LDAP should always use encryption.</t>
        </is>
      </c>
      <c r="S8" s="18" t="inlineStr">
        <is>
          <t>A directory holds users and groups, and apps query it through LDAP.</t>
        </is>
      </c>
      <c r="T8" s="18" t="inlineStr">
        <is>
          <t>A directory is the company phone book that also decides who may sign in.</t>
        </is>
      </c>
      <c r="U8" s="18" t="inlineStr">
        <is>
          <t>Directory = users + groups + attributes in a tree.</t>
        </is>
      </c>
      <c r="V8" s="18" t="inlineStr">
        <is>
          <t>A search for members of the engineering group.</t>
        </is>
      </c>
      <c r="W8" s="18" t="inlineStr">
        <is>
          <t>A Windows login checked by Active Directory.</t>
        </is>
      </c>
      <c r="X8" s="18" t="inlineStr">
        <is>
          <t>Entra Connect syncing users to the cloud.</t>
        </is>
      </c>
      <c r="Y8" s="18" t="inlineStr">
        <is>
          <t>identity provider, groups and roles, SCIM, Kerberos</t>
        </is>
      </c>
      <c r="Z8" s="18" t="inlineStr">
        <is>
          <t>LDAP, Active Directory, DN, bind, Kerberos</t>
        </is>
      </c>
      <c r="AA8" s="18" t="inlineStr">
        <is>
          <t>Enterprises | Legacy apps | Hybrid identity</t>
        </is>
      </c>
      <c r="AB8" s="18" t="inlineStr">
        <is>
          <t>A: Our old app logs in against LDAP. | B: Use LDAPS or move it to the identity provider.</t>
        </is>
      </c>
      <c r="AC8" s="18" t="inlineStr">
        <is>
          <t>✗ LDAP and Active Directory are the same → ✓ LDAP is a protocol, and Active Directory is a product that uses it</t>
        </is>
      </c>
      <c r="AD8" s="18" t="inlineStr">
        <is>
          <t>LDAP vs Active Directory: protocol versus product.</t>
        </is>
      </c>
      <c r="AE8" s="18" t="inlineStr">
        <is>
          <t>Do not send LDAP binds in clear text.</t>
        </is>
      </c>
      <c r="AF8" s="18" t="inlineStr">
        <is>
          <t>LDAP is the language, AD is the library.</t>
        </is>
      </c>
      <c r="AG8" s="18" t="inlineStr">
        <is>
          <t>Replacing direct LDAP logins with the identity provider removed passwords from the app.</t>
        </is>
      </c>
      <c r="AH8" s="18" t="inlineStr">
        <is>
          <t>An interviewer may ask: What is LDAP?</t>
        </is>
      </c>
      <c r="AI8" s="18" t="inlineStr">
        <is>
          <t>It is like a company phone book.</t>
        </is>
      </c>
      <c r="AJ8" s="18" t="inlineStr">
        <is>
          <t>What is LDAP?</t>
        </is>
      </c>
      <c r="AK8" s="18" t="inlineStr">
        <is>
          <t>A) A web server B) A directory query protocol C) A cloud D) A database engine</t>
        </is>
      </c>
      <c r="AL8" s="18" t="inlineStr">
        <is>
          <t>B</t>
        </is>
      </c>
      <c r="AM8" s="18" t="inlineStr">
        <is>
          <t>It is the standard way to query directories.</t>
        </is>
      </c>
      <c r="AN8" s="18" t="inlineStr">
        <is>
          <t>The unique name of a directory entry is its ____ name → distinguished</t>
        </is>
      </c>
      <c r="AO8" s="18" t="inlineStr">
        <is>
          <t>A legacy app needs to authenticate users against the company directory. Which protocol? → LDAP over TLS</t>
        </is>
      </c>
      <c r="AP8" s="18" t="inlineStr">
        <is>
          <t>Explain directory services in three lines.</t>
        </is>
      </c>
      <c r="AQ8" s="18" t="inlineStr">
        <is>
          <t>Write a distinguished name for a user in the sales unit.</t>
        </is>
      </c>
      <c r="AR8" s="17">
        <f>IF(J8="","",REPT("★",J8)&amp;REPT("☆",5-J8)&amp;" ("&amp;J8&amp;"/5)")</f>
        <v/>
      </c>
      <c r="AS8" s="17">
        <f>IF(Q8="","","Meaning: "&amp;Q8&amp;"  =  ______   (Answer: "&amp;F8&amp;")")</f>
        <v/>
      </c>
      <c r="AT8" s="17" t="inlineStr">
        <is>
          <t>New</t>
        </is>
      </c>
      <c r="AU8" s="17" t="n"/>
      <c r="AV8" s="17" t="n"/>
      <c r="AW8" s="17" t="n"/>
      <c r="AX8" s="17" t="n"/>
      <c r="AY8" s="17" t="n"/>
      <c r="AZ8" s="17" t="n"/>
      <c r="BA8" s="17" t="n"/>
      <c r="BB8" s="17" t="n"/>
    </row>
    <row r="9" ht="121.5" customHeight="1">
      <c r="A9" s="17" t="inlineStr">
        <is>
          <t>SSO-007</t>
        </is>
      </c>
      <c r="B9" s="17" t="inlineStr">
        <is>
          <t>02 Protocols</t>
        </is>
      </c>
      <c r="C9" s="17" t="inlineStr">
        <is>
          <t>Intermediate</t>
        </is>
      </c>
      <c r="D9" s="17" t="n">
        <v>7</v>
      </c>
      <c r="E9" s="17" t="inlineStr">
        <is>
          <t>Claude knowledge</t>
        </is>
      </c>
      <c r="F9" s="18" t="inlineStr">
        <is>
          <t>SAML flow and assertions</t>
        </is>
      </c>
      <c r="G9" s="18" t="inlineStr">
        <is>
          <t>How does SAML move a user from an app to the identity provider and back with a signed statement?</t>
        </is>
      </c>
      <c r="H9" s="18" t="inlineStr">
        <is>
          <t>Core concept</t>
        </is>
      </c>
      <c r="I9" s="18" t="inlineStr">
        <is>
          <t>High</t>
        </is>
      </c>
      <c r="J9" s="18" t="n">
        <v>5</v>
      </c>
      <c r="K9" s="18" t="inlineStr">
        <is>
          <t>Enterprises needed browser-based SSO between organisations, so SAML defined XML assertions passed through the browser.</t>
        </is>
      </c>
      <c r="L9" s="18" t="inlineStr">
        <is>
          <t>Always verify the signature, audience and time window of the assertion.</t>
        </is>
      </c>
      <c r="M9" s="18" t="inlineStr">
        <is>
          <t>SAML is a sealed letter from the passport office carried by the traveller to the border.</t>
        </is>
      </c>
      <c r="N9" s="18" t="inlineStr">
        <is>
          <t>Redirects between browser, app and identity provider with an assertion.</t>
        </is>
      </c>
      <c r="O9" s="18" t="inlineStr">
        <is>
          <t>The understanding of a flow that looks magical at first.</t>
        </is>
      </c>
      <c r="P9" s="18" t="inlineStr">
        <is>
          <t>SAML is an XML-based standard where the service provider redirects the browser to the identity provider, which authenticates the user and returns a signed assertion containing the identity and attributes.</t>
        </is>
      </c>
      <c r="Q9" s="17" t="n"/>
      <c r="R9" s="18" t="inlineStr">
        <is>
          <t>In the SP-initiated flow, the app sends an authentication request, the user logs in at the IdP, and the IdP posts a response with a signed assertion to the app's assertion consumer service URL. The app checks signature, issuer, audience, validity times and the request id. Metadata files exchange entity ids, endpoints and certificates. Assertions are typically valid for minutes.</t>
        </is>
      </c>
      <c r="S9" s="18" t="inlineStr">
        <is>
          <t>The app redirects to the IdP, the user logs in, and a signed assertion returns to the app.</t>
        </is>
      </c>
      <c r="T9" s="18" t="inlineStr">
        <is>
          <t>SAML is a sealed letter from the passport office carried by the traveller to the border.</t>
        </is>
      </c>
      <c r="U9" s="18" t="inlineStr">
        <is>
          <t>Redirect, login, signed assertion, verify.</t>
        </is>
      </c>
      <c r="V9" s="18" t="inlineStr">
        <is>
          <t>An SP-initiated login from a SaaS app.</t>
        </is>
      </c>
      <c r="W9" s="18" t="inlineStr">
        <is>
          <t>An IdP-initiated login from a company portal.</t>
        </is>
      </c>
      <c r="X9" s="18" t="inlineStr">
        <is>
          <t>An assertion with email and group attributes.</t>
        </is>
      </c>
      <c r="Y9" s="18" t="inlineStr">
        <is>
          <t>identity provider, JWT validation, certificate rotation, clock skew</t>
        </is>
      </c>
      <c r="Z9" s="18" t="inlineStr">
        <is>
          <t>assertion, ACS, entity id, metadata, audience</t>
        </is>
      </c>
      <c r="AA9" s="18" t="inlineStr">
        <is>
          <t>Enterprise SaaS | Federation | Customer SSO setups</t>
        </is>
      </c>
      <c r="AB9" s="18" t="inlineStr">
        <is>
          <t>A: The login returns an invalid audience error. | B: The entity id in the app does not match the IdP configuration.</t>
        </is>
      </c>
      <c r="AC9" s="18" t="inlineStr">
        <is>
          <t>✗ The assertion can be trusted if it came through the user's browser → ✓ Only the verified signature makes it trustworthy</t>
        </is>
      </c>
      <c r="AD9" s="18" t="inlineStr">
        <is>
          <t>SP-initiated vs IdP-initiated: the app starts the first, the provider portal starts the second.</t>
        </is>
      </c>
      <c r="AE9" s="18" t="inlineStr">
        <is>
          <t>Do not skip signature or audience checks.</t>
        </is>
      </c>
      <c r="AF9" s="18" t="inlineStr">
        <is>
          <t>Check signature, issuer, audience and time.</t>
        </is>
      </c>
      <c r="AG9" s="18" t="inlineStr">
        <is>
          <t>Fixing an audience mismatch got a customer's SAML login working.</t>
        </is>
      </c>
      <c r="AH9" s="18" t="inlineStr">
        <is>
          <t>An interviewer may ask: What does an app verify in a SAML assertion?</t>
        </is>
      </c>
      <c r="AI9" s="18" t="inlineStr">
        <is>
          <t>It is like a sealed letter carried by the traveller.</t>
        </is>
      </c>
      <c r="AJ9" s="18" t="inlineStr">
        <is>
          <t>What must an app verify first on an assertion?</t>
        </is>
      </c>
      <c r="AK9" s="18" t="inlineStr">
        <is>
          <t>A) The signature B) The file size C) The font D) The colour</t>
        </is>
      </c>
      <c r="AL9" s="18" t="inlineStr">
        <is>
          <t>A</t>
        </is>
      </c>
      <c r="AM9" s="18" t="inlineStr">
        <is>
          <t>A valid signature proves it came from the IdP.</t>
        </is>
      </c>
      <c r="AN9" s="18" t="inlineStr">
        <is>
          <t>The app URL that receives the assertion is the assertion ____ service → consumer</t>
        </is>
      </c>
      <c r="AO9" s="18" t="inlineStr">
        <is>
          <t>A login fails with an audience error. What do you check? → The entity id values on both sides</t>
        </is>
      </c>
      <c r="AP9" s="18" t="inlineStr">
        <is>
          <t>Explain the SAML flow in three lines.</t>
        </is>
      </c>
      <c r="AQ9" s="18" t="inlineStr">
        <is>
          <t>List the fields you must exchange when setting up SAML.</t>
        </is>
      </c>
      <c r="AR9" s="17">
        <f>IF(J9="","",REPT("★",J9)&amp;REPT("☆",5-J9)&amp;" ("&amp;J9&amp;"/5)")</f>
        <v/>
      </c>
      <c r="AS9" s="17">
        <f>IF(Q9="","","Meaning: "&amp;Q9&amp;"  =  ______   (Answer: "&amp;F9&amp;")")</f>
        <v/>
      </c>
      <c r="AT9" s="17" t="inlineStr">
        <is>
          <t>New</t>
        </is>
      </c>
      <c r="AU9" s="17" t="n"/>
      <c r="AV9" s="17" t="n"/>
      <c r="AW9" s="17" t="n"/>
      <c r="AX9" s="17" t="n"/>
      <c r="AY9" s="17" t="n"/>
      <c r="AZ9" s="17" t="n"/>
      <c r="BA9" s="17" t="n"/>
      <c r="BB9" s="17" t="n"/>
    </row>
    <row r="10" ht="108" customHeight="1">
      <c r="A10" s="17" t="inlineStr">
        <is>
          <t>SSO-008</t>
        </is>
      </c>
      <c r="B10" s="17" t="inlineStr">
        <is>
          <t>02 Protocols</t>
        </is>
      </c>
      <c r="C10" s="17" t="inlineStr">
        <is>
          <t>Intermediate</t>
        </is>
      </c>
      <c r="D10" s="17" t="n">
        <v>8</v>
      </c>
      <c r="E10" s="17" t="inlineStr">
        <is>
          <t>Claude knowledge</t>
        </is>
      </c>
      <c r="F10" s="18" t="inlineStr">
        <is>
          <t>OAuth 2.0 grants</t>
        </is>
      </c>
      <c r="G10" s="18" t="inlineStr">
        <is>
          <t>Which flows let an app obtain an access token, and when is each used?</t>
        </is>
      </c>
      <c r="H10" s="18" t="inlineStr">
        <is>
          <t>Core concept</t>
        </is>
      </c>
      <c r="I10" s="18" t="inlineStr">
        <is>
          <t>Very high</t>
        </is>
      </c>
      <c r="J10" s="18" t="n">
        <v>5</v>
      </c>
      <c r="K10" s="18" t="inlineStr">
        <is>
          <t>Apps needed to access user data without handling passwords, so OAuth defined flows for getting tokens with limited rights.</t>
        </is>
      </c>
      <c r="L10" s="18" t="inlineStr">
        <is>
          <t>Use the authorisation code flow with PKCE for user logins, and client credentials for machine to machine calls.</t>
        </is>
      </c>
      <c r="M10" s="18" t="inlineStr">
        <is>
          <t>OAuth is a valet key that opens the car but not the glove box.</t>
        </is>
      </c>
      <c r="N10" s="18" t="inlineStr">
        <is>
          <t>A client, a user, an authorisation server and an API with token arrows.</t>
        </is>
      </c>
      <c r="O10" s="18" t="inlineStr">
        <is>
          <t>The relief of delegating access without sharing passwords.</t>
        </is>
      </c>
      <c r="P10" s="18" t="inlineStr">
        <is>
          <t>OAuth 2.0 is an authorisation framework with grants such as authorisation code with PKCE for users, client credentials for services and refresh tokens, which give clients access tokens with limited scopes.</t>
        </is>
      </c>
      <c r="Q10" s="17" t="n"/>
      <c r="R10" s="18" t="inlineStr">
        <is>
          <t>In the authorisation code flow, the user logs in at the authorisation server and the app exchanges a short-lived code for tokens. The implicit and password grants are deprecated. Client credentials suit backend calls with no user. Device code suits televisions and command line tools. Tokens carry scopes that limit what they allow.</t>
        </is>
      </c>
      <c r="S10" s="18" t="inlineStr">
        <is>
          <t>Use code with PKCE for users, client credentials for services, and avoid implicit and password grants.</t>
        </is>
      </c>
      <c r="T10" s="18" t="inlineStr">
        <is>
          <t>OAuth is a valet key that opens the car but not the glove box.</t>
        </is>
      </c>
      <c r="U10" s="18" t="inlineStr">
        <is>
          <t>User present = code with PKCE. No user = client credentials.</t>
        </is>
      </c>
      <c r="V10" s="18" t="inlineStr">
        <is>
          <t>A web app signing in a user with code flow.</t>
        </is>
      </c>
      <c r="W10" s="18" t="inlineStr">
        <is>
          <t>A backend job calling an API with client credentials.</t>
        </is>
      </c>
      <c r="X10" s="18" t="inlineStr">
        <is>
          <t>A TV app using device code.</t>
        </is>
      </c>
      <c r="Y10" s="18" t="inlineStr">
        <is>
          <t>OpenID Connect, PKCE, scopes and claims, refresh tokens</t>
        </is>
      </c>
      <c r="Z10" s="18" t="inlineStr">
        <is>
          <t>grant, access token, scope, authorisation server, client</t>
        </is>
      </c>
      <c r="AA10" s="18" t="inlineStr">
        <is>
          <t>APIs | Mobile apps | Integrations</t>
        </is>
      </c>
      <c r="AB10" s="18" t="inlineStr">
        <is>
          <t>A: Can our backend job use a user login flow? | B: No, use client credentials since no user is present.</t>
        </is>
      </c>
      <c r="AC10" s="18" t="inlineStr">
        <is>
          <t>✗ OAuth is an authentication protocol → ✓ OAuth is for authorisation, and OpenID Connect adds authentication</t>
        </is>
      </c>
      <c r="AD10" s="18" t="inlineStr">
        <is>
          <t>Code flow vs client credentials: one acts for a user, the other for the app itself.</t>
        </is>
      </c>
      <c r="AE10" s="18" t="inlineStr">
        <is>
          <t>Do not use the implicit or password grants.</t>
        </is>
      </c>
      <c r="AF10" s="18" t="inlineStr">
        <is>
          <t>A user means code, no user means credentials.</t>
        </is>
      </c>
      <c r="AG10" s="18" t="inlineStr">
        <is>
          <t>Moving from the password grant to the code flow removed passwords from a client app.</t>
        </is>
      </c>
      <c r="AH10" s="18" t="inlineStr">
        <is>
          <t>An interviewer may ask: Which OAuth flow would you use for a single page app?</t>
        </is>
      </c>
      <c r="AI10" s="18" t="inlineStr">
        <is>
          <t>It is like a valet key.</t>
        </is>
      </c>
      <c r="AJ10" s="18" t="inlineStr">
        <is>
          <t>Which grant suits a backend with no user?</t>
        </is>
      </c>
      <c r="AK10" s="18" t="inlineStr">
        <is>
          <t>A) Password B) Device code C) Client credentials D) Implicit</t>
        </is>
      </c>
      <c r="AL10" s="18" t="inlineStr">
        <is>
          <t>C</t>
        </is>
      </c>
      <c r="AM10" s="18" t="inlineStr">
        <is>
          <t>The app authenticates as itself.</t>
        </is>
      </c>
      <c r="AN10" s="18" t="inlineStr">
        <is>
          <t>A limited right in a token is called a ____ → scope</t>
        </is>
      </c>
      <c r="AO10" s="18" t="inlineStr">
        <is>
          <t>A mobile app signs users in. Which flow? → Authorisation code with PKCE</t>
        </is>
      </c>
      <c r="AP10" s="18" t="inlineStr">
        <is>
          <t>Explain OAuth grants in three lines.</t>
        </is>
      </c>
      <c r="AQ10" s="18" t="inlineStr">
        <is>
          <t>Match three apps to their best grant.</t>
        </is>
      </c>
      <c r="AR10" s="17">
        <f>IF(J10="","",REPT("★",J10)&amp;REPT("☆",5-J10)&amp;" ("&amp;J10&amp;"/5)")</f>
        <v/>
      </c>
      <c r="AS10" s="17">
        <f>IF(Q10="","","Meaning: "&amp;Q10&amp;"  =  ______   (Answer: "&amp;F10&amp;")")</f>
        <v/>
      </c>
      <c r="AT10" s="17" t="inlineStr">
        <is>
          <t>New</t>
        </is>
      </c>
      <c r="AU10" s="17" t="n"/>
      <c r="AV10" s="17" t="n"/>
      <c r="AW10" s="17" t="n"/>
      <c r="AX10" s="17" t="n"/>
      <c r="AY10" s="17" t="n"/>
      <c r="AZ10" s="17" t="n"/>
      <c r="BA10" s="17" t="n"/>
      <c r="BB10" s="17" t="n"/>
    </row>
    <row r="11" ht="94.5" customHeight="1">
      <c r="A11" s="17" t="inlineStr">
        <is>
          <t>SSO-009</t>
        </is>
      </c>
      <c r="B11" s="17" t="inlineStr">
        <is>
          <t>02 Protocols</t>
        </is>
      </c>
      <c r="C11" s="17" t="inlineStr">
        <is>
          <t>Intermediate</t>
        </is>
      </c>
      <c r="D11" s="17" t="n">
        <v>9</v>
      </c>
      <c r="E11" s="17" t="inlineStr">
        <is>
          <t>Claude knowledge</t>
        </is>
      </c>
      <c r="F11" s="18" t="inlineStr">
        <is>
          <t>OpenID Connect and ID tokens</t>
        </is>
      </c>
      <c r="G11" s="18" t="inlineStr">
        <is>
          <t>Which layer on OAuth tells an app who the user is?</t>
        </is>
      </c>
      <c r="H11" s="18" t="inlineStr">
        <is>
          <t>Core concept</t>
        </is>
      </c>
      <c r="I11" s="18" t="inlineStr">
        <is>
          <t>Very high</t>
        </is>
      </c>
      <c r="J11" s="18" t="n">
        <v>5</v>
      </c>
      <c r="K11" s="18" t="inlineStr">
        <is>
          <t>OAuth gave access but no standard way to learn the user's identity, so OpenID Connect added an ID token.</t>
        </is>
      </c>
      <c r="L11" s="18" t="inlineStr">
        <is>
          <t>Use the ID token to learn who logged in, and the access token only to call APIs.</t>
        </is>
      </c>
      <c r="M11" s="18" t="inlineStr">
        <is>
          <t>The ID token is the name badge, and the access token is the key card.</t>
        </is>
      </c>
      <c r="N11" s="18" t="inlineStr">
        <is>
          <t>An authorisation response containing an ID token and an access token.</t>
        </is>
      </c>
      <c r="O11" s="18" t="inlineStr">
        <is>
          <t>The clarity of a standard login on top of OAuth.</t>
        </is>
      </c>
      <c r="P11" s="18" t="inlineStr">
        <is>
          <t>OpenID Connect is an identity layer on OAuth 2.0 that returns a signed JWT ID token with claims about the authenticated user, using the openid scope.</t>
        </is>
      </c>
      <c r="Q11" s="17" t="n"/>
      <c r="R11" s="18" t="inlineStr">
        <is>
          <t>The app requests the openid scope plus profile or email. The ID token contains claims such as issuer, subject, audience, expiry and nonce. The app validates it and creates its own session. A discovery document at a well-known URL lists endpoints and keys. The userinfo endpoint returns more claims.</t>
        </is>
      </c>
      <c r="S11" s="18" t="inlineStr">
        <is>
          <t>Ask for the openid scope, validate the ID token, and read the user's claims.</t>
        </is>
      </c>
      <c r="T11" s="18" t="inlineStr">
        <is>
          <t>The ID token is the name badge, and the access token is the key card.</t>
        </is>
      </c>
      <c r="U11" s="18" t="inlineStr">
        <is>
          <t>OIDC = OAuth + ID token + openid scope.</t>
        </is>
      </c>
      <c r="V11" s="18" t="inlineStr">
        <is>
          <t>Scope: openid profile email.</t>
        </is>
      </c>
      <c r="W11" s="18" t="inlineStr">
        <is>
          <t>A discovery document at /.well-known/openid-configuration.</t>
        </is>
      </c>
      <c r="X11" s="18" t="inlineStr">
        <is>
          <t>Claims sub, iss, aud, exp and nonce.</t>
        </is>
      </c>
      <c r="Y11" s="18" t="inlineStr">
        <is>
          <t>OAuth grants, JWT validation, scopes and claims, PKCE</t>
        </is>
      </c>
      <c r="Z11" s="18" t="inlineStr">
        <is>
          <t>OIDC, ID token, claim, discovery, nonce</t>
        </is>
      </c>
      <c r="AA11" s="18" t="inlineStr">
        <is>
          <t>Modern logins | Social login | Enterprise SSO</t>
        </is>
      </c>
      <c r="AB11" s="18" t="inlineStr">
        <is>
          <t>A: Which token tells us the user's email? | B: The ID token, since the access token is for APIs.</t>
        </is>
      </c>
      <c r="AC11" s="18" t="inlineStr">
        <is>
          <t>✗ The access token proves who the user is → ✓ The ID token carries identity, the access token is for the API</t>
        </is>
      </c>
      <c r="AD11" s="18" t="inlineStr">
        <is>
          <t>ID token vs access token: identity for the app versus permission for the API.</t>
        </is>
      </c>
      <c r="AE11" s="18" t="inlineStr">
        <is>
          <t>Do not use an access token as proof of login.</t>
        </is>
      </c>
      <c r="AF11" s="18" t="inlineStr">
        <is>
          <t>ID token for identity, access token for APIs.</t>
        </is>
      </c>
      <c r="AG11" s="18" t="inlineStr">
        <is>
          <t>Reading the discovery document simplified connecting a new OIDC provider.</t>
        </is>
      </c>
      <c r="AH11" s="18" t="inlineStr">
        <is>
          <t>An interviewer may ask: What is the difference between an ID token and an access token?</t>
        </is>
      </c>
      <c r="AI11" s="18" t="inlineStr">
        <is>
          <t>It is like a name badge and a key card.</t>
        </is>
      </c>
      <c r="AJ11" s="18" t="inlineStr">
        <is>
          <t>Which scope value turns an OAuth request into an identity request?</t>
        </is>
      </c>
      <c r="AK11" s="18" t="inlineStr">
        <is>
          <t>A) openid B) admin C) write D) read</t>
        </is>
      </c>
      <c r="AL11" s="18" t="inlineStr">
        <is>
          <t>A</t>
        </is>
      </c>
      <c r="AM11" s="18" t="inlineStr">
        <is>
          <t>The openid scope triggers the identity layer.</t>
        </is>
      </c>
      <c r="AN11" s="18" t="inlineStr">
        <is>
          <t>The claim holding a stable user identifier is ____ → sub</t>
        </is>
      </c>
      <c r="AO11" s="18" t="inlineStr">
        <is>
          <t>An app needs to know who logged in. Which token do you read? → The ID token</t>
        </is>
      </c>
      <c r="AP11" s="18" t="inlineStr">
        <is>
          <t>Explain OpenID Connect in three lines.</t>
        </is>
      </c>
      <c r="AQ11" s="18" t="inlineStr">
        <is>
          <t>List five claims in an ID token and their meaning.</t>
        </is>
      </c>
      <c r="AR11" s="17">
        <f>IF(J11="","",REPT("★",J11)&amp;REPT("☆",5-J11)&amp;" ("&amp;J11&amp;"/5)")</f>
        <v/>
      </c>
      <c r="AS11" s="17">
        <f>IF(Q11="","","Meaning: "&amp;Q11&amp;"  =  ______   (Answer: "&amp;F11&amp;")")</f>
        <v/>
      </c>
      <c r="AT11" s="17" t="inlineStr">
        <is>
          <t>New</t>
        </is>
      </c>
      <c r="AU11" s="17" t="n"/>
      <c r="AV11" s="17" t="n"/>
      <c r="AW11" s="17" t="n"/>
      <c r="AX11" s="17" t="n"/>
      <c r="AY11" s="17" t="n"/>
      <c r="AZ11" s="17" t="n"/>
      <c r="BA11" s="17" t="n"/>
      <c r="BB11" s="17" t="n"/>
    </row>
    <row r="12" ht="94.5" customHeight="1">
      <c r="A12" s="17" t="inlineStr">
        <is>
          <t>SSO-010</t>
        </is>
      </c>
      <c r="B12" s="17" t="inlineStr">
        <is>
          <t>02 Protocols</t>
        </is>
      </c>
      <c r="C12" s="17" t="inlineStr">
        <is>
          <t>Advanced</t>
        </is>
      </c>
      <c r="D12" s="17" t="n">
        <v>10</v>
      </c>
      <c r="E12" s="17" t="inlineStr">
        <is>
          <t>Claude knowledge</t>
        </is>
      </c>
      <c r="F12" s="18" t="inlineStr">
        <is>
          <t>Scopes and claims</t>
        </is>
      </c>
      <c r="G12" s="18" t="inlineStr">
        <is>
          <t>Which two ideas describe what a token allows and what facts it states about the user?</t>
        </is>
      </c>
      <c r="H12" s="18" t="inlineStr">
        <is>
          <t>Core concept</t>
        </is>
      </c>
      <c r="I12" s="18" t="inlineStr">
        <is>
          <t>Very high</t>
        </is>
      </c>
      <c r="J12" s="18" t="n">
        <v>5</v>
      </c>
      <c r="K12" s="18" t="inlineStr">
        <is>
          <t>Tokens must be limited and descriptive, so scopes restrict what a client may do and claims carry facts about the subject.</t>
        </is>
      </c>
      <c r="L12" s="18" t="inlineStr">
        <is>
          <t>Request only the fewest scopes that you need.</t>
        </is>
      </c>
      <c r="M12" s="18" t="inlineStr">
        <is>
          <t>Scopes are the rooms a key card opens, and claims are the details printed on the badge.</t>
        </is>
      </c>
      <c r="N12" s="18" t="inlineStr">
        <is>
          <t>A token decoded into scopes and claims.</t>
        </is>
      </c>
      <c r="O12" s="18" t="inlineStr">
        <is>
          <t>The satisfaction of reading a token and understanding it.</t>
        </is>
      </c>
      <c r="P12" s="18" t="inlineStr">
        <is>
          <t>Scopes are permissions requested by a client and granted in a token, and claims are statements in a token about the user or the token, such as email, roles, issuer and expiry.</t>
        </is>
      </c>
      <c r="Q12" s="17" t="n"/>
      <c r="R12" s="18" t="inlineStr">
        <is>
          <t>A scope like read:orders lets the client read orders only. Claims may include groups or roles that the API uses for decisions. The audience claim says which API the token is meant for. Do not put sensitive data in tokens that clients can read. Custom claims should be documented and kept small.</t>
        </is>
      </c>
      <c r="S12" s="18" t="inlineStr">
        <is>
          <t>Scopes limit what the client can do, and claims describe the user and the token.</t>
        </is>
      </c>
      <c r="T12" s="18" t="inlineStr">
        <is>
          <t>Scopes are the rooms a key card opens, and claims are the details printed on the badge.</t>
        </is>
      </c>
      <c r="U12" s="18" t="inlineStr">
        <is>
          <t>Scopes = allowed actions. Claims = facts.</t>
        </is>
      </c>
      <c r="V12" s="18" t="inlineStr">
        <is>
          <t>scope: read:orders write:orders</t>
        </is>
      </c>
      <c r="W12" s="18" t="inlineStr">
        <is>
          <t>claim roles: ["admin"]</t>
        </is>
      </c>
      <c r="X12" s="18" t="inlineStr">
        <is>
          <t>claim aud: https://api.example.com</t>
        </is>
      </c>
      <c r="Y12" s="18" t="inlineStr">
        <is>
          <t>OAuth grants, OpenID Connect, JWT validation, RBAC vs ABAC</t>
        </is>
      </c>
      <c r="Z12" s="18" t="inlineStr">
        <is>
          <t>scope, claim, audience, role, subject</t>
        </is>
      </c>
      <c r="AA12" s="18" t="inlineStr">
        <is>
          <t>APIs | Authorisation | Token design</t>
        </is>
      </c>
      <c r="AB12" s="18" t="inlineStr">
        <is>
          <t>A: Why can the app read orders but not delete them? | B: The token has only the read scope.</t>
        </is>
      </c>
      <c r="AC12" s="18" t="inlineStr">
        <is>
          <t>✗ Claims in a token are private → ✓ Anyone holding the token can read them, so keep sensitive data out</t>
        </is>
      </c>
      <c r="AD12" s="18" t="inlineStr">
        <is>
          <t>Scope vs claim: scope is permission, claim is information.</t>
        </is>
      </c>
      <c r="AE12" s="18" t="inlineStr">
        <is>
          <t>Do not put secrets in tokens.</t>
        </is>
      </c>
      <c r="AF12" s="18" t="inlineStr">
        <is>
          <t>Scopes limit access, claims describe the user.</t>
        </is>
      </c>
      <c r="AG12" s="18" t="inlineStr">
        <is>
          <t>Narrowing scopes cut what a leaked token could do.</t>
        </is>
      </c>
      <c r="AH12" s="18" t="inlineStr">
        <is>
          <t>An interviewer may ask: What is the difference between a scope and a claim?</t>
        </is>
      </c>
      <c r="AI12" s="18" t="inlineStr">
        <is>
          <t>It is like rooms a key card opens and the badge details.</t>
        </is>
      </c>
      <c r="AJ12" s="18" t="inlineStr">
        <is>
          <t>Which tells an API what the token is meant for?</t>
        </is>
      </c>
      <c r="AK12" s="18" t="inlineStr">
        <is>
          <t>A) The colour B) The file name C) The audience claim D) The font</t>
        </is>
      </c>
      <c r="AL12" s="18" t="inlineStr">
        <is>
          <t>C</t>
        </is>
      </c>
      <c r="AM12" s="18" t="inlineStr">
        <is>
          <t>The aud claim names the intended recipient.</t>
        </is>
      </c>
      <c r="AN12" s="18" t="inlineStr">
        <is>
          <t>A claim naming the intended API is ____ → aud</t>
        </is>
      </c>
      <c r="AO12" s="18" t="inlineStr">
        <is>
          <t>A client only needs to read data. What do you request? → A read scope only</t>
        </is>
      </c>
      <c r="AP12" s="18" t="inlineStr">
        <is>
          <t>Explain scopes and claims in three lines.</t>
        </is>
      </c>
      <c r="AQ12" s="18" t="inlineStr">
        <is>
          <t>Design a small set of scopes for an orders API.</t>
        </is>
      </c>
      <c r="AR12" s="17">
        <f>IF(J12="","",REPT("★",J12)&amp;REPT("☆",5-J12)&amp;" ("&amp;J12&amp;"/5)")</f>
        <v/>
      </c>
      <c r="AS12" s="17">
        <f>IF(Q12="","","Meaning: "&amp;Q12&amp;"  =  ______   (Answer: "&amp;F12&amp;")")</f>
        <v/>
      </c>
      <c r="AT12" s="17" t="inlineStr">
        <is>
          <t>New</t>
        </is>
      </c>
      <c r="AU12" s="17" t="n"/>
      <c r="AV12" s="17" t="n"/>
      <c r="AW12" s="17" t="n"/>
      <c r="AX12" s="17" t="n"/>
      <c r="AY12" s="17" t="n"/>
      <c r="AZ12" s="17" t="n"/>
      <c r="BA12" s="17" t="n"/>
      <c r="BB12" s="17" t="n"/>
    </row>
    <row r="13" ht="108" customHeight="1">
      <c r="A13" s="17" t="inlineStr">
        <is>
          <t>SSO-013</t>
        </is>
      </c>
      <c r="B13" s="17" t="inlineStr">
        <is>
          <t>02 Protocols</t>
        </is>
      </c>
      <c r="C13" s="17" t="inlineStr">
        <is>
          <t>Intermediate</t>
        </is>
      </c>
      <c r="D13" s="17" t="n">
        <v>13</v>
      </c>
      <c r="E13" s="17" t="inlineStr">
        <is>
          <t>Claude knowledge</t>
        </is>
      </c>
      <c r="F13" s="18" t="inlineStr">
        <is>
          <t>Token lifetimes</t>
        </is>
      </c>
      <c r="G13" s="18" t="inlineStr">
        <is>
          <t>How long should access, ID and refresh tokens live?</t>
        </is>
      </c>
      <c r="H13" s="18" t="inlineStr">
        <is>
          <t>Core concept</t>
        </is>
      </c>
      <c r="I13" s="18" t="inlineStr">
        <is>
          <t>High</t>
        </is>
      </c>
      <c r="J13" s="18" t="n">
        <v>5</v>
      </c>
      <c r="K13" s="18" t="inlineStr">
        <is>
          <t>Stolen tokens stay useful until they expire, so lifetimes trade safety against convenience.</t>
        </is>
      </c>
      <c r="L13" s="18" t="inlineStr">
        <is>
          <t>Keep access tokens short, usually minutes, and use refresh tokens to renew them.</t>
        </is>
      </c>
      <c r="M13" s="18" t="inlineStr">
        <is>
          <t>Token lifetimes are the validity of a ticket, where shorter means less damage if lost.</t>
        </is>
      </c>
      <c r="N13" s="18" t="inlineStr">
        <is>
          <t>Three bars of different lengths for access, ID and refresh tokens.</t>
        </is>
      </c>
      <c r="O13" s="18" t="inlineStr">
        <is>
          <t>The balance between safety and ease.</t>
        </is>
      </c>
      <c r="P13" s="18" t="inlineStr">
        <is>
          <t>Token lifetime is the time a token stays valid, with access tokens typically short, ID tokens short and refresh tokens longer, set by the authorisation server.</t>
        </is>
      </c>
      <c r="Q13" s="17" t="n"/>
      <c r="R13" s="18" t="inlineStr">
        <is>
          <t>Short access tokens limit the damage of theft because they expire quickly. Refresh tokens allow getting new ones without another login, but are powerful and need protection and rotation. Session lifetimes at the provider decide how often users must log in. Revoking a JWT before expiry needs extra mechanisms, which short lifetimes avoid.</t>
        </is>
      </c>
      <c r="S13" s="18" t="inlineStr">
        <is>
          <t>Short access tokens, protected longer refresh tokens, and clear session limits.</t>
        </is>
      </c>
      <c r="T13" s="18" t="inlineStr">
        <is>
          <t>Token lifetimes are the validity of a ticket, where shorter means less damage if lost.</t>
        </is>
      </c>
      <c r="U13" s="18" t="inlineStr">
        <is>
          <t>Shorter life = smaller risk, more renewals.</t>
        </is>
      </c>
      <c r="V13" s="18" t="inlineStr">
        <is>
          <t>An access token valid for ten minutes.</t>
        </is>
      </c>
      <c r="W13" s="18" t="inlineStr">
        <is>
          <t>A refresh token valid for a day with rotation.</t>
        </is>
      </c>
      <c r="X13" s="18" t="inlineStr">
        <is>
          <t>A session ending after eight hours.</t>
        </is>
      </c>
      <c r="Y13" s="18" t="inlineStr">
        <is>
          <t>refresh tokens, JWT validation, sessions, token theft</t>
        </is>
      </c>
      <c r="Z13" s="18" t="inlineStr">
        <is>
          <t>expiry, lifetime, renewal, rotation, revocation</t>
        </is>
      </c>
      <c r="AA13" s="18" t="inlineStr">
        <is>
          <t>Authorisation servers | APIs | Security reviews</t>
        </is>
      </c>
      <c r="AB13" s="18" t="inlineStr">
        <is>
          <t>A: Users are logged out too often. | B: Use refresh tokens rather than longer access tokens.</t>
        </is>
      </c>
      <c r="AC13" s="18" t="inlineStr">
        <is>
          <t>✗ Long-lived access tokens are more convenient and fine → ✓ A stolen long-lived token stays dangerous for a long time</t>
        </is>
      </c>
      <c r="AD13" s="18" t="inlineStr">
        <is>
          <t>Access vs refresh token: access is short and used on APIs, refresh is longer and used to get new access tokens.</t>
        </is>
      </c>
      <c r="AE13" s="18" t="inlineStr">
        <is>
          <t>Do not issue access tokens that last for days.</t>
        </is>
      </c>
      <c r="AF13" s="18" t="inlineStr">
        <is>
          <t>Keep access short and guard the refresh.</t>
        </is>
      </c>
      <c r="AG13" s="18" t="inlineStr">
        <is>
          <t>Shortening access token lifetimes cut the window for abuse of leaked tokens.</t>
        </is>
      </c>
      <c r="AH13" s="18" t="inlineStr">
        <is>
          <t>An interviewer may ask: How long should access tokens live?</t>
        </is>
      </c>
      <c r="AI13" s="18" t="inlineStr">
        <is>
          <t>It is like the validity of a ticket.</t>
        </is>
      </c>
      <c r="AJ13" s="18" t="inlineStr">
        <is>
          <t>Which token should be shortest lived?</t>
        </is>
      </c>
      <c r="AK13" s="18" t="inlineStr">
        <is>
          <t>A) Refresh token B) Access token C) Session cookie always D) Password</t>
        </is>
      </c>
      <c r="AL13" s="18" t="inlineStr">
        <is>
          <t>B</t>
        </is>
      </c>
      <c r="AM13" s="18" t="inlineStr">
        <is>
          <t>It is sent often and can leak.</t>
        </is>
      </c>
      <c r="AN13" s="18" t="inlineStr">
        <is>
          <t>Replacing a refresh token with a new one on use is ____ → rotation</t>
        </is>
      </c>
      <c r="AO13" s="18" t="inlineStr">
        <is>
          <t>Users complain about frequent logins. What do you use? → Refresh tokens</t>
        </is>
      </c>
      <c r="AP13" s="18" t="inlineStr">
        <is>
          <t>Explain token lifetimes in three lines.</t>
        </is>
      </c>
      <c r="AQ13" s="18" t="inlineStr">
        <is>
          <t>Choose lifetimes for access, refresh and session.</t>
        </is>
      </c>
      <c r="AR13" s="17">
        <f>IF(J13="","",REPT("★",J13)&amp;REPT("☆",5-J13)&amp;" ("&amp;J13&amp;"/5)")</f>
        <v/>
      </c>
      <c r="AS13" s="17">
        <f>IF(Q13="","","Meaning: "&amp;Q13&amp;"  =  ______   (Answer: "&amp;F13&amp;")")</f>
        <v/>
      </c>
      <c r="AT13" s="17" t="inlineStr">
        <is>
          <t>New</t>
        </is>
      </c>
      <c r="AU13" s="17" t="n"/>
      <c r="AV13" s="17" t="n"/>
      <c r="AW13" s="17" t="n"/>
      <c r="AX13" s="17" t="n"/>
      <c r="AY13" s="17" t="n"/>
      <c r="AZ13" s="17" t="n"/>
      <c r="BA13" s="17" t="n"/>
      <c r="BB13" s="17" t="n"/>
    </row>
    <row r="14" ht="121.5" customHeight="1">
      <c r="A14" s="17" t="inlineStr">
        <is>
          <t>SSO-014</t>
        </is>
      </c>
      <c r="B14" s="17" t="inlineStr">
        <is>
          <t>02 Protocols</t>
        </is>
      </c>
      <c r="C14" s="17" t="inlineStr">
        <is>
          <t>Intermediate</t>
        </is>
      </c>
      <c r="D14" s="17" t="n">
        <v>14</v>
      </c>
      <c r="E14" s="17" t="inlineStr">
        <is>
          <t>Claude knowledge</t>
        </is>
      </c>
      <c r="F14" s="18" t="inlineStr">
        <is>
          <t>Refresh tokens</t>
        </is>
      </c>
      <c r="G14" s="18" t="inlineStr">
        <is>
          <t>Which long-lived credentials obtain new access tokens without another login?</t>
        </is>
      </c>
      <c r="H14" s="18" t="inlineStr">
        <is>
          <t>Core concept</t>
        </is>
      </c>
      <c r="I14" s="18" t="inlineStr">
        <is>
          <t>High</t>
        </is>
      </c>
      <c r="J14" s="18" t="n">
        <v>5</v>
      </c>
      <c r="K14" s="18" t="inlineStr">
        <is>
          <t>Short access tokens would force constant logins, so refresh tokens let apps renew them quietly.</t>
        </is>
      </c>
      <c r="L14" s="18" t="inlineStr">
        <is>
          <t>Rotate refresh tokens and detect reuse, and store them securely.</t>
        </is>
      </c>
      <c r="M14" s="18" t="inlineStr">
        <is>
          <t>A refresh token is a season pass used to get a day ticket each morning.</t>
        </is>
      </c>
      <c r="N14" s="18" t="inlineStr">
        <is>
          <t>An app exchanging a refresh token for a new access token.</t>
        </is>
      </c>
      <c r="O14" s="18" t="inlineStr">
        <is>
          <t>The comfort of staying signed in safely.</t>
        </is>
      </c>
      <c r="P14" s="18" t="inlineStr">
        <is>
          <t>A refresh token is a credential issued with an access token that a client presents to the authorisation server to receive a new access token, usually with rotation and limits.</t>
        </is>
      </c>
      <c r="Q14" s="17" t="n"/>
      <c r="R14" s="18" t="inlineStr">
        <is>
          <t>Refresh tokens are sent only to the token endpoint, never to APIs. Rotation issues a new refresh token each time and invalidates the old one, so reuse signals theft. They can be bound to the client and have absolute expiry. Browser apps need extra care, such as secure cookies via a backend. Revoking a refresh token stops further renewals, and the current access token ends at its expiry.</t>
        </is>
      </c>
      <c r="S14" s="18" t="inlineStr">
        <is>
          <t>Use a refresh token only at the token endpoint, rotate it, and revoke it on logout.</t>
        </is>
      </c>
      <c r="T14" s="18" t="inlineStr">
        <is>
          <t>A refresh token is a season pass used to get a day ticket each morning.</t>
        </is>
      </c>
      <c r="U14" s="18" t="inlineStr">
        <is>
          <t>Refresh token buys new access tokens, rotated on each use.</t>
        </is>
      </c>
      <c r="V14" s="18" t="inlineStr">
        <is>
          <t>A mobile app renewing its access token silently.</t>
        </is>
      </c>
      <c r="W14" s="18" t="inlineStr">
        <is>
          <t>Reuse of an old refresh token revoking the session.</t>
        </is>
      </c>
      <c r="X14" s="18" t="inlineStr">
        <is>
          <t>Revocation at logout.</t>
        </is>
      </c>
      <c r="Y14" s="18" t="inlineStr">
        <is>
          <t>token lifetimes, OAuth grants, token theft, sessions</t>
        </is>
      </c>
      <c r="Z14" s="18" t="inlineStr">
        <is>
          <t>refresh, rotation, reuse detection, revoke, token endpoint</t>
        </is>
      </c>
      <c r="AA14" s="18" t="inlineStr">
        <is>
          <t>Mobile apps | Web apps | Authorisation servers</t>
        </is>
      </c>
      <c r="AB14" s="18" t="inlineStr">
        <is>
          <t>A: Should the refresh token go to the API? | B: No, only to the token endpoint.</t>
        </is>
      </c>
      <c r="AC14" s="18" t="inlineStr">
        <is>
          <t>✗ Refresh tokens can be stored anywhere in the browser → ✓ They are powerful and need secure storage, ideally server-side</t>
        </is>
      </c>
      <c r="AD14" s="18" t="inlineStr">
        <is>
          <t>Access vs refresh token: one calls APIs, the other renews access.</t>
        </is>
      </c>
      <c r="AE14" s="18" t="inlineStr">
        <is>
          <t>Do not send refresh tokens to resource APIs.</t>
        </is>
      </c>
      <c r="AF14" s="18" t="inlineStr">
        <is>
          <t>Refresh tokens rotate and stay hidden.</t>
        </is>
      </c>
      <c r="AG14" s="18" t="inlineStr">
        <is>
          <t>Rotation with reuse detection flagged a stolen token at a customer.</t>
        </is>
      </c>
      <c r="AH14" s="18" t="inlineStr">
        <is>
          <t>An interviewer may ask: What is refresh token rotation?</t>
        </is>
      </c>
      <c r="AI14" s="18" t="inlineStr">
        <is>
          <t>It is like a season pass for day tickets.</t>
        </is>
      </c>
      <c r="AJ14" s="18" t="inlineStr">
        <is>
          <t>Where is a refresh token sent?</t>
        </is>
      </c>
      <c r="AK14" s="18" t="inlineStr">
        <is>
          <t>A) The token endpoint B) Every API C) A log D) The browser address bar</t>
        </is>
      </c>
      <c r="AL14" s="18" t="inlineStr">
        <is>
          <t>A</t>
        </is>
      </c>
      <c r="AM14" s="18" t="inlineStr">
        <is>
          <t>Only the authorisation server accepts it.</t>
        </is>
      </c>
      <c r="AN14" s="18" t="inlineStr">
        <is>
          <t>Using an old rotated token again is called ____ → reuse</t>
        </is>
      </c>
      <c r="AO14" s="18" t="inlineStr">
        <is>
          <t>A rotated refresh token is used twice. What does it suggest? → Possible theft</t>
        </is>
      </c>
      <c r="AP14" s="18" t="inlineStr">
        <is>
          <t>Explain refresh tokens in three lines.</t>
        </is>
      </c>
      <c r="AQ14" s="18" t="inlineStr">
        <is>
          <t>Describe how to store refresh tokens in a web app safely.</t>
        </is>
      </c>
      <c r="AR14" s="17">
        <f>IF(J14="","",REPT("★",J14)&amp;REPT("☆",5-J14)&amp;" ("&amp;J14&amp;"/5)")</f>
        <v/>
      </c>
      <c r="AS14" s="17">
        <f>IF(Q14="","","Meaning: "&amp;Q14&amp;"  =  ______   (Answer: "&amp;F14&amp;")")</f>
        <v/>
      </c>
      <c r="AT14" s="17" t="inlineStr">
        <is>
          <t>New</t>
        </is>
      </c>
      <c r="AU14" s="17" t="n"/>
      <c r="AV14" s="17" t="n"/>
      <c r="AW14" s="17" t="n"/>
      <c r="AX14" s="17" t="n"/>
      <c r="AY14" s="17" t="n"/>
      <c r="AZ14" s="17" t="n"/>
      <c r="BA14" s="17" t="n"/>
      <c r="BB14" s="17" t="n"/>
    </row>
    <row r="15" ht="94.5" customHeight="1">
      <c r="A15" s="17" t="inlineStr">
        <is>
          <t>SSO-015</t>
        </is>
      </c>
      <c r="B15" s="17" t="inlineStr">
        <is>
          <t>02 Protocols</t>
        </is>
      </c>
      <c r="C15" s="17" t="inlineStr">
        <is>
          <t>Intermediate</t>
        </is>
      </c>
      <c r="D15" s="17" t="n">
        <v>15</v>
      </c>
      <c r="E15" s="17" t="inlineStr">
        <is>
          <t>Claude knowledge</t>
        </is>
      </c>
      <c r="F15" s="18" t="inlineStr">
        <is>
          <t>Client credentials</t>
        </is>
      </c>
      <c r="G15" s="18" t="inlineStr">
        <is>
          <t>Which grant lets a service get a token for itself with no user?</t>
        </is>
      </c>
      <c r="H15" s="18" t="inlineStr">
        <is>
          <t>Core concept</t>
        </is>
      </c>
      <c r="I15" s="18" t="inlineStr">
        <is>
          <t>Very high</t>
        </is>
      </c>
      <c r="J15" s="18" t="n">
        <v>5</v>
      </c>
      <c r="K15" s="18" t="inlineStr">
        <is>
          <t>Backend jobs have no user to log in, so they authenticate as themselves with their own credentials.</t>
        </is>
      </c>
      <c r="L15" s="18" t="inlineStr">
        <is>
          <t>Prefer certificates or workload identity over long-lived client secrets.</t>
        </is>
      </c>
      <c r="M15" s="18" t="inlineStr">
        <is>
          <t>Client credentials are a staff badge for a robot with its own job.</t>
        </is>
      </c>
      <c r="N15" s="18" t="inlineStr">
        <is>
          <t>A service sending its id and secret and receiving a token.</t>
        </is>
      </c>
      <c r="O15" s="18" t="inlineStr">
        <is>
          <t>The ease of safe machine access.</t>
        </is>
      </c>
      <c r="P15" s="18" t="inlineStr">
        <is>
          <t>The client credentials grant lets a confidential client authenticate with its client id and a secret or certificate and receive an access token with scopes granted to the application itself.</t>
        </is>
      </c>
      <c r="Q15" s="17" t="n"/>
      <c r="R15" s="18" t="inlineStr">
        <is>
          <t>There is no user and no ID token. Scopes represent application permissions. Secrets must be stored in a vault and rotated. Certificates or federated identities avoid stored secrets. Tokens are cached until near expiry. Give each service its own client and minimal scopes.</t>
        </is>
      </c>
      <c r="S15" s="18" t="inlineStr">
        <is>
          <t>A service proves itself and receives a token for its own permissions.</t>
        </is>
      </c>
      <c r="T15" s="18" t="inlineStr">
        <is>
          <t>Client credentials are a staff badge for a robot with its own job.</t>
        </is>
      </c>
      <c r="U15" s="18" t="inlineStr">
        <is>
          <t>No user, app identity, app permissions.</t>
        </is>
      </c>
      <c r="V15" s="18" t="inlineStr">
        <is>
          <t>A nightly job calling an internal API.</t>
        </is>
      </c>
      <c r="W15" s="18" t="inlineStr">
        <is>
          <t>A service using a certificate instead of a secret.</t>
        </is>
      </c>
      <c r="X15" s="18" t="inlineStr">
        <is>
          <t>A token cached for fifty minutes.</t>
        </is>
      </c>
      <c r="Y15" s="18" t="inlineStr">
        <is>
          <t>OAuth grants, service accounts, scopes and claims, secrets</t>
        </is>
      </c>
      <c r="Z15" s="18" t="inlineStr">
        <is>
          <t>client id, secret, machine to machine, certificate, app permission</t>
        </is>
      </c>
      <c r="AA15" s="18" t="inlineStr">
        <is>
          <t>Backend jobs | Microservices | Integrations</t>
        </is>
      </c>
      <c r="AB15" s="18" t="inlineStr">
        <is>
          <t>A: How does the batch job call the API? | B: With client credentials and a narrow scope.</t>
        </is>
      </c>
      <c r="AC15" s="18" t="inlineStr">
        <is>
          <t>✗ One shared client is fine for all services → ✓ Each service needs its own client with minimal scopes</t>
        </is>
      </c>
      <c r="AD15" s="18" t="inlineStr">
        <is>
          <t>Client credentials vs code flow: no user versus a user present.</t>
        </is>
      </c>
      <c r="AE15" s="18" t="inlineStr">
        <is>
          <t>Do not share one client secret across many services.</t>
        </is>
      </c>
      <c r="AF15" s="18" t="inlineStr">
        <is>
          <t>Machine in, no user, own scopes.</t>
        </is>
      </c>
      <c r="AG15" s="18" t="inlineStr">
        <is>
          <t>Giving each service its own client made access reviews and revocation simple.</t>
        </is>
      </c>
      <c r="AH15" s="18" t="inlineStr">
        <is>
          <t>An interviewer may ask: When do you use client credentials?</t>
        </is>
      </c>
      <c r="AI15" s="18" t="inlineStr">
        <is>
          <t>It is like a staff badge for a robot.</t>
        </is>
      </c>
      <c r="AJ15" s="18" t="inlineStr">
        <is>
          <t>Is a user involved in client credentials?</t>
        </is>
      </c>
      <c r="AK15" s="18" t="inlineStr">
        <is>
          <t>A) Sometimes by email B) Yes always C) No D) Only admins</t>
        </is>
      </c>
      <c r="AL15" s="18" t="inlineStr">
        <is>
          <t>C</t>
        </is>
      </c>
      <c r="AM15" s="18" t="inlineStr">
        <is>
          <t>The app authenticates as itself.</t>
        </is>
      </c>
      <c r="AN15" s="18" t="inlineStr">
        <is>
          <t>The secret of a client is stored in a ____ → vault</t>
        </is>
      </c>
      <c r="AO15" s="18" t="inlineStr">
        <is>
          <t>Two services must call each other with no user. What do you use? → Client credentials</t>
        </is>
      </c>
      <c r="AP15" s="18" t="inlineStr">
        <is>
          <t>Explain client credentials in three lines.</t>
        </is>
      </c>
      <c r="AQ15" s="18" t="inlineStr">
        <is>
          <t>Design clients and scopes for three backend services.</t>
        </is>
      </c>
      <c r="AR15" s="17">
        <f>IF(J15="","",REPT("★",J15)&amp;REPT("☆",5-J15)&amp;" ("&amp;J15&amp;"/5)")</f>
        <v/>
      </c>
      <c r="AS15" s="17">
        <f>IF(Q15="","","Meaning: "&amp;Q15&amp;"  =  ______   (Answer: "&amp;F15&amp;")")</f>
        <v/>
      </c>
      <c r="AT15" s="17" t="inlineStr">
        <is>
          <t>New</t>
        </is>
      </c>
      <c r="AU15" s="17" t="n"/>
      <c r="AV15" s="17" t="n"/>
      <c r="AW15" s="17" t="n"/>
      <c r="AX15" s="17" t="n"/>
      <c r="AY15" s="17" t="n"/>
      <c r="AZ15" s="17" t="n"/>
      <c r="BA15" s="17" t="n"/>
      <c r="BB15" s="17" t="n"/>
    </row>
    <row r="16" ht="94.5" customHeight="1">
      <c r="A16" s="17" t="inlineStr">
        <is>
          <t>SSO-016</t>
        </is>
      </c>
      <c r="B16" s="17" t="inlineStr">
        <is>
          <t>02 Protocols</t>
        </is>
      </c>
      <c r="C16" s="17" t="inlineStr">
        <is>
          <t>Intermediate</t>
        </is>
      </c>
      <c r="D16" s="17" t="n">
        <v>16</v>
      </c>
      <c r="E16" s="17" t="inlineStr">
        <is>
          <t>Claude knowledge</t>
        </is>
      </c>
      <c r="F16" s="18" t="inlineStr">
        <is>
          <t>Redirect URI rules</t>
        </is>
      </c>
      <c r="G16" s="18" t="inlineStr">
        <is>
          <t>Why must the redirect address be registered and matched exactly?</t>
        </is>
      </c>
      <c r="H16" s="18" t="inlineStr">
        <is>
          <t>Core concept</t>
        </is>
      </c>
      <c r="I16" s="18" t="inlineStr">
        <is>
          <t>Very high</t>
        </is>
      </c>
      <c r="J16" s="18" t="n">
        <v>5</v>
      </c>
      <c r="K16" s="18" t="inlineStr">
        <is>
          <t>Codes and tokens return through redirects, so loose matching would let attackers send them to their own sites.</t>
        </is>
      </c>
      <c r="L16" s="18" t="inlineStr">
        <is>
          <t>Register full exact URIs and avoid wildcards.</t>
        </is>
      </c>
      <c r="M16" s="18" t="inlineStr">
        <is>
          <t>The redirect URI is the delivery address that must match the registered one exactly.</t>
        </is>
      </c>
      <c r="N16" s="18" t="inlineStr">
        <is>
          <t>A request with a registered address and an attacker's address rejected.</t>
        </is>
      </c>
      <c r="O16" s="18" t="inlineStr">
        <is>
          <t>The importance of one strict comparison.</t>
        </is>
      </c>
      <c r="P16" s="18" t="inlineStr">
        <is>
          <t>A redirect URI is the address where the authorisation server sends the user and the code or token after login, and servers should compare it exactly with the values registered for the client.</t>
        </is>
      </c>
      <c r="Q16" s="17" t="n"/>
      <c r="R16" s="18" t="inlineStr">
        <is>
          <t>If matching is loose, an attacker can craft a login link that sends the code to their site and take over accounts. Use HTTPS, exact string matches and no wildcards or open redirects on the app. Mobile apps use claimed links or custom schemes with care. Separate redirect URIs per environment.</t>
        </is>
      </c>
      <c r="S16" s="18" t="inlineStr">
        <is>
          <t>Register exact HTTPS addresses and let the server reject any other.</t>
        </is>
      </c>
      <c r="T16" s="18" t="inlineStr">
        <is>
          <t>The redirect URI is the delivery address that must match the registered one exactly.</t>
        </is>
      </c>
      <c r="U16" s="18" t="inlineStr">
        <is>
          <t>Exact match, HTTPS, no wildcards.</t>
        </is>
      </c>
      <c r="V16" s="18" t="inlineStr">
        <is>
          <t>https://app.example.com/callback registered exactly.</t>
        </is>
      </c>
      <c r="W16" s="18" t="inlineStr">
        <is>
          <t>A rejected request with an unregistered address.</t>
        </is>
      </c>
      <c r="X16" s="18" t="inlineStr">
        <is>
          <t>Different URIs for staging and production.</t>
        </is>
      </c>
      <c r="Y16" s="18" t="inlineStr">
        <is>
          <t>OAuth grants, PKCE, token theft, CSRF</t>
        </is>
      </c>
      <c r="Z16" s="18" t="inlineStr">
        <is>
          <t>redirect, callback, exact match, open redirect, wildcard</t>
        </is>
      </c>
      <c r="AA16" s="18" t="inlineStr">
        <is>
          <t>OAuth setup | Security reviews | Integrations</t>
        </is>
      </c>
      <c r="AB16" s="18" t="inlineStr">
        <is>
          <t>A: The login says redirect URI mismatch. | B: The address in the request differs from the registered one.</t>
        </is>
      </c>
      <c r="AC16" s="18" t="inlineStr">
        <is>
          <t>✗ A wildcard redirect URI is convenient and safe → ✓ It can let attackers capture codes</t>
        </is>
      </c>
      <c r="AD16" s="18" t="inlineStr">
        <is>
          <t>Exact vs prefix match: exact blocks variants, prefix can be abused.</t>
        </is>
      </c>
      <c r="AE16" s="18" t="inlineStr">
        <is>
          <t>Do not register wildcard redirect URIs.</t>
        </is>
      </c>
      <c r="AF16" s="18" t="inlineStr">
        <is>
          <t>Exact, secure, and one per environment.</t>
        </is>
      </c>
      <c r="AG16" s="18" t="inlineStr">
        <is>
          <t>Replacing a wildcard with exact URIs closed an account takeover path.</t>
        </is>
      </c>
      <c r="AH16" s="18" t="inlineStr">
        <is>
          <t>An interviewer may ask: Why must redirect URIs be exact?</t>
        </is>
      </c>
      <c r="AI16" s="18" t="inlineStr">
        <is>
          <t>It is like a delivery address that must match.</t>
        </is>
      </c>
      <c r="AJ16" s="18" t="inlineStr">
        <is>
          <t>What should redirect URI matching be?</t>
        </is>
      </c>
      <c r="AK16" s="18" t="inlineStr">
        <is>
          <t>A) Approximate B) Ignored C) Wildcard D) Exact</t>
        </is>
      </c>
      <c r="AL16" s="18" t="inlineStr">
        <is>
          <t>D</t>
        </is>
      </c>
      <c r="AM16" s="18" t="inlineStr">
        <is>
          <t>Looseness lets attackers redirect codes.</t>
        </is>
      </c>
      <c r="AN16" s="18" t="inlineStr">
        <is>
          <t>An app flaw that forwards users to any address an attacker picks is an open ____ → redirect</t>
        </is>
      </c>
      <c r="AO16" s="18" t="inlineStr">
        <is>
          <t>A login fails with a mismatch error. What do you compare? → The request URI and the registered URI</t>
        </is>
      </c>
      <c r="AP16" s="18" t="inlineStr">
        <is>
          <t>Explain redirect URI rules in three lines.</t>
        </is>
      </c>
      <c r="AQ16" s="18" t="inlineStr">
        <is>
          <t>List the URIs for dev, staging and production.</t>
        </is>
      </c>
      <c r="AR16" s="17">
        <f>IF(J16="","",REPT("★",J16)&amp;REPT("☆",5-J16)&amp;" ("&amp;J16&amp;"/5)")</f>
        <v/>
      </c>
      <c r="AS16" s="17">
        <f>IF(Q16="","","Meaning: "&amp;Q16&amp;"  =  ______   (Answer: "&amp;F16&amp;")")</f>
        <v/>
      </c>
      <c r="AT16" s="17" t="inlineStr">
        <is>
          <t>New</t>
        </is>
      </c>
      <c r="AU16" s="17" t="n"/>
      <c r="AV16" s="17" t="n"/>
      <c r="AW16" s="17" t="n"/>
      <c r="AX16" s="17" t="n"/>
      <c r="AY16" s="17" t="n"/>
      <c r="AZ16" s="17" t="n"/>
      <c r="BA16" s="17" t="n"/>
      <c r="BB16" s="17" t="n"/>
    </row>
    <row r="17" ht="94.5" customHeight="1">
      <c r="A17" s="17" t="inlineStr">
        <is>
          <t>SSO-018</t>
        </is>
      </c>
      <c r="B17" s="17" t="inlineStr">
        <is>
          <t>03 Provisioning and Access</t>
        </is>
      </c>
      <c r="C17" s="17" t="inlineStr">
        <is>
          <t>Beginner</t>
        </is>
      </c>
      <c r="D17" s="17" t="n">
        <v>18</v>
      </c>
      <c r="E17" s="17" t="inlineStr">
        <is>
          <t>Claude knowledge</t>
        </is>
      </c>
      <c r="F17" s="18" t="inlineStr">
        <is>
          <t>Groups and roles</t>
        </is>
      </c>
      <c r="G17" s="18" t="inlineStr">
        <is>
          <t>How do people get permissions through membership instead of individual grants?</t>
        </is>
      </c>
      <c r="H17" s="18" t="inlineStr">
        <is>
          <t>Core concept</t>
        </is>
      </c>
      <c r="I17" s="18" t="inlineStr">
        <is>
          <t>Very high</t>
        </is>
      </c>
      <c r="J17" s="18" t="n">
        <v>5</v>
      </c>
      <c r="K17" s="18" t="inlineStr">
        <is>
          <t>Granting rights person by person does not scale, so groups and roles bundle permissions.</t>
        </is>
      </c>
      <c r="L17" s="18" t="inlineStr">
        <is>
          <t>Map directory groups to application roles, and review them regularly.</t>
        </is>
      </c>
      <c r="M17" s="18" t="inlineStr">
        <is>
          <t>Groups are teams, and roles are the job descriptions the team receives.</t>
        </is>
      </c>
      <c r="N17" s="18" t="inlineStr">
        <is>
          <t>Users inside a group linked to a role with permissions.</t>
        </is>
      </c>
      <c r="O17" s="18" t="inlineStr">
        <is>
          <t>The tidiness of access by membership.</t>
        </is>
      </c>
      <c r="P17" s="18" t="inlineStr">
        <is>
          <t>A group is a set of users, and a role is a named set of permissions, so membership in a group grants the role and its permissions.</t>
        </is>
      </c>
      <c r="Q17" s="17" t="n"/>
      <c r="R17" s="18" t="inlineStr">
        <is>
          <t>Identity providers send group or role claims in tokens or assertions, or provision them through SCIM. Apps map those to internal permissions. Changes in the directory then flow to all apps. Least privilege means small, purposeful roles. Access reviews check membership. Avoid very large catch-all groups.</t>
        </is>
      </c>
      <c r="S17" s="18" t="inlineStr">
        <is>
          <t>Put users in groups, give groups roles, and review membership.</t>
        </is>
      </c>
      <c r="T17" s="18" t="inlineStr">
        <is>
          <t>Groups are teams, and roles are the job descriptions the team receives.</t>
        </is>
      </c>
      <c r="U17" s="18" t="inlineStr">
        <is>
          <t>User → group → role → permissions.</t>
        </is>
      </c>
      <c r="V17" s="18" t="inlineStr">
        <is>
          <t>A finance group mapped to a reporting role.</t>
        </is>
      </c>
      <c r="W17" s="18" t="inlineStr">
        <is>
          <t>A groups claim in the token.</t>
        </is>
      </c>
      <c r="X17" s="18" t="inlineStr">
        <is>
          <t>A quarterly access review.</t>
        </is>
      </c>
      <c r="Y17" s="18" t="inlineStr">
        <is>
          <t>RBAC vs ABAC, SCIM, scopes and claims, offboarding</t>
        </is>
      </c>
      <c r="Z17" s="18" t="inlineStr">
        <is>
          <t>group, role, membership, mapping, review</t>
        </is>
      </c>
      <c r="AA17" s="18" t="inlineStr">
        <is>
          <t>Access management | Enterprise apps | Audits</t>
        </is>
      </c>
      <c r="AB17" s="18" t="inlineStr">
        <is>
          <t>A: How do we give the new hire access? | B: Add them to the sales group.</t>
        </is>
      </c>
      <c r="AC17" s="18" t="inlineStr">
        <is>
          <t>✗ Granting permissions to individuals is easier long term → ✓ Groups scale and make audits simpler</t>
        </is>
      </c>
      <c r="AD17" s="18" t="inlineStr">
        <is>
          <t>Group vs role: a group is people, a role is permissions.</t>
        </is>
      </c>
      <c r="AE17" s="18" t="inlineStr">
        <is>
          <t>Do not create one giant admin group.</t>
        </is>
      </c>
      <c r="AF17" s="18" t="inlineStr">
        <is>
          <t>People in groups, permissions in roles.</t>
        </is>
      </c>
      <c r="AG17" s="18" t="inlineStr">
        <is>
          <t>Mapping directory groups to roles removed manual access requests.</t>
        </is>
      </c>
      <c r="AH17" s="18" t="inlineStr">
        <is>
          <t>An interviewer may ask: What is the difference between a group and a role?</t>
        </is>
      </c>
      <c r="AI17" s="18" t="inlineStr">
        <is>
          <t>It is like a team and its job description.</t>
        </is>
      </c>
      <c r="AJ17" s="18" t="inlineStr">
        <is>
          <t>What does a role contain?</t>
        </is>
      </c>
      <c r="AK17" s="18" t="inlineStr">
        <is>
          <t>A) A set of permissions B) A log C) A list of passwords D) A server</t>
        </is>
      </c>
      <c r="AL17" s="18" t="inlineStr">
        <is>
          <t>A</t>
        </is>
      </c>
      <c r="AM17" s="18" t="inlineStr">
        <is>
          <t>Roles bundle permissions.</t>
        </is>
      </c>
      <c r="AN17" s="18" t="inlineStr">
        <is>
          <t>A set of users is a ____ → group</t>
        </is>
      </c>
      <c r="AO17" s="18" t="inlineStr">
        <is>
          <t>A new hire joins sales. How do you grant access? → Add them to the sales group</t>
        </is>
      </c>
      <c r="AP17" s="18" t="inlineStr">
        <is>
          <t>Explain groups and roles in three lines.</t>
        </is>
      </c>
      <c r="AQ17" s="18" t="inlineStr">
        <is>
          <t>Design three groups and their roles for a small company.</t>
        </is>
      </c>
      <c r="AR17" s="17">
        <f>IF(J17="","",REPT("★",J17)&amp;REPT("☆",5-J17)&amp;" ("&amp;J17&amp;"/5)")</f>
        <v/>
      </c>
      <c r="AS17" s="17">
        <f>IF(Q17="","","Meaning: "&amp;Q17&amp;"  =  ______   (Answer: "&amp;F17&amp;")")</f>
        <v/>
      </c>
      <c r="AT17" s="17" t="inlineStr">
        <is>
          <t>New</t>
        </is>
      </c>
      <c r="AU17" s="17" t="n"/>
      <c r="AV17" s="17" t="n"/>
      <c r="AW17" s="17" t="n"/>
      <c r="AX17" s="17" t="n"/>
      <c r="AY17" s="17" t="n"/>
      <c r="AZ17" s="17" t="n"/>
      <c r="BA17" s="17" t="n"/>
      <c r="BB17" s="17" t="n"/>
    </row>
    <row r="18" ht="94.5" customHeight="1">
      <c r="A18" s="17" t="inlineStr">
        <is>
          <t>SSO-019</t>
        </is>
      </c>
      <c r="B18" s="17" t="inlineStr">
        <is>
          <t>03 Provisioning and Access</t>
        </is>
      </c>
      <c r="C18" s="17" t="inlineStr">
        <is>
          <t>Advanced</t>
        </is>
      </c>
      <c r="D18" s="17" t="n">
        <v>19</v>
      </c>
      <c r="E18" s="17" t="inlineStr">
        <is>
          <t>Claude knowledge</t>
        </is>
      </c>
      <c r="F18" s="18" t="inlineStr">
        <is>
          <t>RBAC vs ABAC</t>
        </is>
      </c>
      <c r="G18" s="18" t="inlineStr">
        <is>
          <t>Which two access models decide by role or by attributes?</t>
        </is>
      </c>
      <c r="H18" s="18" t="inlineStr">
        <is>
          <t>Core concept</t>
        </is>
      </c>
      <c r="I18" s="18" t="inlineStr">
        <is>
          <t>High</t>
        </is>
      </c>
      <c r="J18" s="18" t="n">
        <v>4</v>
      </c>
      <c r="K18" s="18" t="inlineStr">
        <is>
          <t>Role lists grow too large for complex rules, so attribute-based models decide using user, resource and context facts.</t>
        </is>
      </c>
      <c r="L18" s="18" t="inlineStr">
        <is>
          <t>Start with RBAC and add attributes where roles become too many.</t>
        </is>
      </c>
      <c r="M18" s="18" t="inlineStr">
        <is>
          <t>RBAC checks your job title at the door, and ABAC also checks the time, place and what you are opening.</t>
        </is>
      </c>
      <c r="N18" s="18" t="inlineStr">
        <is>
          <t>A role box and an attribute rule box feeding a decision.</t>
        </is>
      </c>
      <c r="O18" s="18" t="inlineStr">
        <is>
          <t>The satisfaction of rules that match real policy.</t>
        </is>
      </c>
      <c r="P18" s="18" t="inlineStr">
        <is>
          <t>Role-based access control grants permissions through roles, and attribute-based access control evaluates policies over attributes of the user, the resource, the action and the environment.</t>
        </is>
      </c>
      <c r="Q18" s="17" t="n"/>
      <c r="R18" s="18" t="inlineStr">
        <is>
          <t>RBAC is simple and easy to audit, but can lead to role explosion. ABAC can express rules such as managers may approve expenses under a limit in their own department during working hours. Policies need good attribute data and testing. Many systems combine both. Policy engines such as OPA evaluate such rules.</t>
        </is>
      </c>
      <c r="S18" s="18" t="inlineStr">
        <is>
          <t>Roles are simple, and attributes allow finer rules.</t>
        </is>
      </c>
      <c r="T18" s="18" t="inlineStr">
        <is>
          <t>RBAC checks your job title at the door, and ABAC also checks the time, place and what you open.</t>
        </is>
      </c>
      <c r="U18" s="18" t="inlineStr">
        <is>
          <t>RBAC = who you are. ABAC = who, what, where and when.</t>
        </is>
      </c>
      <c r="V18" s="18" t="inlineStr">
        <is>
          <t>Role editor can edit articles.</t>
        </is>
      </c>
      <c r="W18" s="18" t="inlineStr">
        <is>
          <t>Managers approve expenses in their own department under a limit.</t>
        </is>
      </c>
      <c r="X18" s="18" t="inlineStr">
        <is>
          <t>Access only from a managed device.</t>
        </is>
      </c>
      <c r="Y18" s="18" t="inlineStr">
        <is>
          <t>groups and roles, scopes and claims, least privilege, policy engines</t>
        </is>
      </c>
      <c r="Z18" s="18" t="inlineStr">
        <is>
          <t>RBAC, ABAC, attribute, policy, role explosion</t>
        </is>
      </c>
      <c r="AA18" s="18" t="inlineStr">
        <is>
          <t>Enterprise apps | Data platforms | Compliance</t>
        </is>
      </c>
      <c r="AB18" s="18" t="inlineStr">
        <is>
          <t>A: We have hundreds of roles now. | B: Use attributes such as department for finer rules.</t>
        </is>
      </c>
      <c r="AC18" s="18" t="inlineStr">
        <is>
          <t>✗ ABAC replaces RBAC completely → ✓ Most systems combine both</t>
        </is>
      </c>
      <c r="AD18" s="18" t="inlineStr">
        <is>
          <t>RBAC vs ABAC: roles are coarse and simple, attributes are fine and flexible.</t>
        </is>
      </c>
      <c r="AE18" s="18" t="inlineStr">
        <is>
          <t>Do not build attribute rules without reliable attribute data.</t>
        </is>
      </c>
      <c r="AF18" s="18" t="inlineStr">
        <is>
          <t>Roles are simple, attributes are precise.</t>
        </is>
      </c>
      <c r="AG18" s="18" t="inlineStr">
        <is>
          <t>Adding a department attribute removed dozens of near-duplicate roles.</t>
        </is>
      </c>
      <c r="AH18" s="18" t="inlineStr">
        <is>
          <t>An interviewer may ask: When would you choose ABAC over RBAC?</t>
        </is>
      </c>
      <c r="AI18" s="18" t="inlineStr">
        <is>
          <t>It is like checking a job title versus time and place too.</t>
        </is>
      </c>
      <c r="AJ18" s="18" t="inlineStr">
        <is>
          <t>What does ABAC evaluate?</t>
        </is>
      </c>
      <c r="AK18" s="18" t="inlineStr">
        <is>
          <t>A) Only passwords B) Only roles C) Attributes of user, resource and context D) Only IP</t>
        </is>
      </c>
      <c r="AL18" s="18" t="inlineStr">
        <is>
          <t>C</t>
        </is>
      </c>
      <c r="AM18" s="18" t="inlineStr">
        <is>
          <t>Policies use many facts.</t>
        </is>
      </c>
      <c r="AN18" s="18" t="inlineStr">
        <is>
          <t>Too many near-duplicate roles is role ____ → explosion</t>
        </is>
      </c>
      <c r="AO18" s="18" t="inlineStr">
        <is>
          <t>Rules depend on department and amount. Which model helps? → ABAC</t>
        </is>
      </c>
      <c r="AP18" s="18" t="inlineStr">
        <is>
          <t>Explain RBAC and ABAC in three lines.</t>
        </is>
      </c>
      <c r="AQ18" s="18" t="inlineStr">
        <is>
          <t>Write one access policy that truly needs attributes.</t>
        </is>
      </c>
      <c r="AR18" s="17">
        <f>IF(J18="","",REPT("★",J18)&amp;REPT("☆",5-J18)&amp;" ("&amp;J18&amp;"/5)")</f>
        <v/>
      </c>
      <c r="AS18" s="17">
        <f>IF(Q18="","","Meaning: "&amp;Q18&amp;"  =  ______   (Answer: "&amp;F18&amp;")")</f>
        <v/>
      </c>
      <c r="AT18" s="17" t="inlineStr">
        <is>
          <t>New</t>
        </is>
      </c>
      <c r="AU18" s="17" t="n"/>
      <c r="AV18" s="17" t="n"/>
      <c r="AW18" s="17" t="n"/>
      <c r="AX18" s="17" t="n"/>
      <c r="AY18" s="17" t="n"/>
      <c r="AZ18" s="17" t="n"/>
      <c r="BA18" s="17" t="n"/>
      <c r="BB18" s="17" t="n"/>
    </row>
    <row r="19" ht="94.5" customHeight="1">
      <c r="A19" s="17" t="inlineStr">
        <is>
          <t>SSO-020</t>
        </is>
      </c>
      <c r="B19" s="17" t="inlineStr">
        <is>
          <t>03 Provisioning and Access</t>
        </is>
      </c>
      <c r="C19" s="17" t="inlineStr">
        <is>
          <t>Intermediate</t>
        </is>
      </c>
      <c r="D19" s="17" t="n">
        <v>20</v>
      </c>
      <c r="E19" s="17" t="inlineStr">
        <is>
          <t>Claude knowledge</t>
        </is>
      </c>
      <c r="F19" s="18" t="inlineStr">
        <is>
          <t>Service accounts</t>
        </is>
      </c>
      <c r="G19" s="18" t="inlineStr">
        <is>
          <t>Which non-human identities let applications access systems?</t>
        </is>
      </c>
      <c r="H19" s="18" t="inlineStr">
        <is>
          <t>Core concept</t>
        </is>
      </c>
      <c r="I19" s="18" t="inlineStr">
        <is>
          <t>High</t>
        </is>
      </c>
      <c r="J19" s="18" t="n">
        <v>4</v>
      </c>
      <c r="K19" s="18" t="inlineStr">
        <is>
          <t>Programs need access too, and sharing a person's login is unsafe, so dedicated machine identities are used.</t>
        </is>
      </c>
      <c r="L19" s="18" t="inlineStr">
        <is>
          <t>Give each service its own identity with minimal rights and an owner.</t>
        </is>
      </c>
      <c r="M19" s="18" t="inlineStr">
        <is>
          <t>A service account is a badge for a robot, issued with a named owner.</t>
        </is>
      </c>
      <c r="N19" s="18" t="inlineStr">
        <is>
          <t>A service using its own identity to call an API.</t>
        </is>
      </c>
      <c r="O19" s="18" t="inlineStr">
        <is>
          <t>The tidiness of clear machine identities.</t>
        </is>
      </c>
      <c r="P19" s="18" t="inlineStr">
        <is>
          <t>A service account is a non-human identity used by an application or automation to authenticate and access resources, with its own credentials and permissions.</t>
        </is>
      </c>
      <c r="Q19" s="17" t="n"/>
      <c r="R19" s="18" t="inlineStr">
        <is>
          <t>Risks include forgotten accounts, shared keys and over-broad rights. Prefer short-lived tokens, workload identity and certificates to static keys. Record an owner and purpose, rotate secrets, monitor use and remove unused accounts. Do not use them for human logins.</t>
        </is>
      </c>
      <c r="S19" s="18" t="inlineStr">
        <is>
          <t>Use a separate machine identity per service, with an owner and least rights.</t>
        </is>
      </c>
      <c r="T19" s="18" t="inlineStr">
        <is>
          <t>A service account is a badge for a robot, issued with a named owner.</t>
        </is>
      </c>
      <c r="U19" s="18" t="inlineStr">
        <is>
          <t>One service, one identity, one owner.</t>
        </is>
      </c>
      <c r="V19" s="18" t="inlineStr">
        <is>
          <t>A pipeline identity with deploy rights only.</t>
        </is>
      </c>
      <c r="W19" s="18" t="inlineStr">
        <is>
          <t>A workload identity replacing a stored key.</t>
        </is>
      </c>
      <c r="X19" s="18" t="inlineStr">
        <is>
          <t>A quarterly review of unused service accounts.</t>
        </is>
      </c>
      <c r="Y19" s="18" t="inlineStr">
        <is>
          <t>client credentials, offboarding, least privilege, secrets</t>
        </is>
      </c>
      <c r="Z19" s="18" t="inlineStr">
        <is>
          <t>service account, workload identity, owner, rotation, machine identity</t>
        </is>
      </c>
      <c r="AA19" s="18" t="inlineStr">
        <is>
          <t>Automation | Cloud | Integrations</t>
        </is>
      </c>
      <c r="AB19" s="18" t="inlineStr">
        <is>
          <t>A: Nobody knows who owns this account. | B: Every service account needs a recorded owner.</t>
        </is>
      </c>
      <c r="AC19" s="18" t="inlineStr">
        <is>
          <t>✗ Service accounts are safe because no person uses them → ✓ They are prized targets and often over-privileged</t>
        </is>
      </c>
      <c r="AD19" s="18" t="inlineStr">
        <is>
          <t>User vs service account: users are people, service accounts are programs.</t>
        </is>
      </c>
      <c r="AE19" s="18" t="inlineStr">
        <is>
          <t>Do not share one service account across many systems.</t>
        </is>
      </c>
      <c r="AF19" s="18" t="inlineStr">
        <is>
          <t>One robot badge per job.</t>
        </is>
      </c>
      <c r="AG19" s="18" t="inlineStr">
        <is>
          <t>Reviewing service accounts found several unused ones with admin rights.</t>
        </is>
      </c>
      <c r="AH19" s="18" t="inlineStr">
        <is>
          <t>An interviewer may ask: How do you manage service accounts?</t>
        </is>
      </c>
      <c r="AI19" s="18" t="inlineStr">
        <is>
          <t>It is like a badge for a robot.</t>
        </is>
      </c>
      <c r="AJ19" s="18" t="inlineStr">
        <is>
          <t>What should every service account have?</t>
        </is>
      </c>
      <c r="AK19" s="18" t="inlineStr">
        <is>
          <t>A) A shared password B) No monitoring C) Admin rights D) A recorded owner</t>
        </is>
      </c>
      <c r="AL19" s="18" t="inlineStr">
        <is>
          <t>D</t>
        </is>
      </c>
      <c r="AM19" s="18" t="inlineStr">
        <is>
          <t>Owners make reviews and offboarding possible.</t>
        </is>
      </c>
      <c r="AN19" s="18" t="inlineStr">
        <is>
          <t>Cloud identity for programs without static keys is ____ identity → workload</t>
        </is>
      </c>
      <c r="AO19" s="18" t="inlineStr">
        <is>
          <t>A script uses an engineer's login. What should replace it? → A dedicated service account</t>
        </is>
      </c>
      <c r="AP19" s="18" t="inlineStr">
        <is>
          <t>Explain service accounts in three lines.</t>
        </is>
      </c>
      <c r="AQ19" s="18" t="inlineStr">
        <is>
          <t>List five fields to record for each service account.</t>
        </is>
      </c>
      <c r="AR19" s="17">
        <f>IF(J19="","",REPT("★",J19)&amp;REPT("☆",5-J19)&amp;" ("&amp;J19&amp;"/5)")</f>
        <v/>
      </c>
      <c r="AS19" s="17">
        <f>IF(Q19="","","Meaning: "&amp;Q19&amp;"  =  ______   (Answer: "&amp;F19&amp;")")</f>
        <v/>
      </c>
      <c r="AT19" s="17" t="inlineStr">
        <is>
          <t>New</t>
        </is>
      </c>
      <c r="AU19" s="17" t="n"/>
      <c r="AV19" s="17" t="n"/>
      <c r="AW19" s="17" t="n"/>
      <c r="AX19" s="17" t="n"/>
      <c r="AY19" s="17" t="n"/>
      <c r="AZ19" s="17" t="n"/>
      <c r="BA19" s="17" t="n"/>
      <c r="BB19" s="17" t="n"/>
    </row>
    <row r="20" ht="108" customHeight="1">
      <c r="A20" s="17" t="inlineStr">
        <is>
          <t>SSO-021</t>
        </is>
      </c>
      <c r="B20" s="17" t="inlineStr">
        <is>
          <t>03 Provisioning and Access</t>
        </is>
      </c>
      <c r="C20" s="17" t="inlineStr">
        <is>
          <t>Intermediate</t>
        </is>
      </c>
      <c r="D20" s="17" t="n">
        <v>21</v>
      </c>
      <c r="E20" s="17" t="inlineStr">
        <is>
          <t>Claude knowledge</t>
        </is>
      </c>
      <c r="F20" s="18" t="inlineStr">
        <is>
          <t>Just-in-time provisioning</t>
        </is>
      </c>
      <c r="G20" s="18" t="inlineStr">
        <is>
          <t>How can an app create an account automatically the first time someone logs in?</t>
        </is>
      </c>
      <c r="H20" s="18" t="inlineStr">
        <is>
          <t>Core concept</t>
        </is>
      </c>
      <c r="I20" s="18" t="inlineStr">
        <is>
          <t>Medium</t>
        </is>
      </c>
      <c r="J20" s="18" t="n">
        <v>4</v>
      </c>
      <c r="K20" s="18" t="inlineStr">
        <is>
          <t>Pre-creating every account is work, so the app creates the account from the identity provider's claims on first login.</t>
        </is>
      </c>
      <c r="L20" s="18" t="inlineStr">
        <is>
          <t>Combine it with SCIM or periodic cleanup, because it cannot remove accounts.</t>
        </is>
      </c>
      <c r="M20" s="18" t="inlineStr">
        <is>
          <t>JIT provisioning is a hotel that registers a guest the moment they arrive.</t>
        </is>
      </c>
      <c r="N20" s="18" t="inlineStr">
        <is>
          <t>A first login creating a new profile from token claims.</t>
        </is>
      </c>
      <c r="O20" s="18" t="inlineStr">
        <is>
          <t>The convenience of no setup before first use.</t>
        </is>
      </c>
      <c r="P20" s="18" t="inlineStr">
        <is>
          <t>Just-in-time provisioning creates or updates a user account in the application at login time, using the identity and attributes from the assertion or ID token.</t>
        </is>
      </c>
      <c r="Q20" s="17" t="n"/>
      <c r="R20" s="18" t="inlineStr">
        <is>
          <t>It needs no separate sync and works with SAML and OIDC. The app maps claims to fields and roles. The weakness is that it cannot deactivate users who never log in again, so offboarding must be handled by SCIM or by disabling at the provider. Role changes happen only at the next login. Validate claims before trusting them for roles.</t>
        </is>
      </c>
      <c r="S20" s="18" t="inlineStr">
        <is>
          <t>Create or update the account at login, and handle removal separately.</t>
        </is>
      </c>
      <c r="T20" s="18" t="inlineStr">
        <is>
          <t>JIT provisioning is a hotel that registers a guest the moment they arrive.</t>
        </is>
      </c>
      <c r="U20" s="18" t="inlineStr">
        <is>
          <t>First login creates, later logins update, removal needs another path.</t>
        </is>
      </c>
      <c r="V20" s="18" t="inlineStr">
        <is>
          <t>A new user appearing after first SSO login.</t>
        </is>
      </c>
      <c r="W20" s="18" t="inlineStr">
        <is>
          <t>A role updated from a groups claim at login.</t>
        </is>
      </c>
      <c r="X20" s="18" t="inlineStr">
        <is>
          <t>A leaver with a lingering account.</t>
        </is>
      </c>
      <c r="Y20" s="18" t="inlineStr">
        <is>
          <t>SCIM, offboarding, groups and roles, OpenID Connect</t>
        </is>
      </c>
      <c r="Z20" s="18" t="inlineStr">
        <is>
          <t>JIT, provisioning, claims mapping, first login, sync</t>
        </is>
      </c>
      <c r="AA20" s="18" t="inlineStr">
        <is>
          <t>SaaS apps | Small integrations | Federation</t>
        </is>
      </c>
      <c r="AB20" s="18" t="inlineStr">
        <is>
          <t>A: Do we need SCIM for every customer? | B: JIT is enough for creation, but not for removal.</t>
        </is>
      </c>
      <c r="AC20" s="18" t="inlineStr">
        <is>
          <t>✗ JIT also removes leavers → ✓ It cannot remove accounts of users who stop logging in</t>
        </is>
      </c>
      <c r="AD20" s="18" t="inlineStr">
        <is>
          <t>JIT vs SCIM: JIT acts at login, SCIM acts on directory changes.</t>
        </is>
      </c>
      <c r="AE20" s="18" t="inlineStr">
        <is>
          <t>Do not grant admin roles from unchecked claims.</t>
        </is>
      </c>
      <c r="AF20" s="18" t="inlineStr">
        <is>
          <t>JIT creates at login, never removes.</t>
        </is>
      </c>
      <c r="AG20" s="18" t="inlineStr">
        <is>
          <t>JIT let a customer start quickly, and SCIM was added later for offboarding.</t>
        </is>
      </c>
      <c r="AH20" s="18" t="inlineStr">
        <is>
          <t>An interviewer may ask: What are the limits of just-in-time provisioning?</t>
        </is>
      </c>
      <c r="AI20" s="18" t="inlineStr">
        <is>
          <t>It is like registering a guest on arrival.</t>
        </is>
      </c>
      <c r="AJ20" s="18" t="inlineStr">
        <is>
          <t>When does JIT create the account?</t>
        </is>
      </c>
      <c r="AK20" s="18" t="inlineStr">
        <is>
          <t>A) At first login B) At logout C) At midnight D) At hiring</t>
        </is>
      </c>
      <c r="AL20" s="18" t="inlineStr">
        <is>
          <t>A</t>
        </is>
      </c>
      <c r="AM20" s="18" t="inlineStr">
        <is>
          <t>The account appears when the user first signs in.</t>
        </is>
      </c>
      <c r="AN20" s="18" t="inlineStr">
        <is>
          <t>JIT cannot ____ accounts of users who never return → remove</t>
        </is>
      </c>
      <c r="AO20" s="18" t="inlineStr">
        <is>
          <t>You need leavers removed automatically. What do you add? → SCIM or provider-driven deactivation</t>
        </is>
      </c>
      <c r="AP20" s="18" t="inlineStr">
        <is>
          <t>Explain JIT provisioning in three lines.</t>
        </is>
      </c>
      <c r="AQ20" s="18" t="inlineStr">
        <is>
          <t>List two benefits and two limits of JIT.</t>
        </is>
      </c>
      <c r="AR20" s="17">
        <f>IF(J20="","",REPT("★",J20)&amp;REPT("☆",5-J20)&amp;" ("&amp;J20&amp;"/5)")</f>
        <v/>
      </c>
      <c r="AS20" s="17">
        <f>IF(Q20="","","Meaning: "&amp;Q20&amp;"  =  ______   (Answer: "&amp;F20&amp;")")</f>
        <v/>
      </c>
      <c r="AT20" s="17" t="inlineStr">
        <is>
          <t>New</t>
        </is>
      </c>
      <c r="AU20" s="17" t="n"/>
      <c r="AV20" s="17" t="n"/>
      <c r="AW20" s="17" t="n"/>
      <c r="AX20" s="17" t="n"/>
      <c r="AY20" s="17" t="n"/>
      <c r="AZ20" s="17" t="n"/>
      <c r="BA20" s="17" t="n"/>
      <c r="BB20" s="17" t="n"/>
    </row>
    <row r="21" ht="94.5" customHeight="1">
      <c r="A21" s="17" t="inlineStr">
        <is>
          <t>SSO-022</t>
        </is>
      </c>
      <c r="B21" s="17" t="inlineStr">
        <is>
          <t>03 Provisioning and Access</t>
        </is>
      </c>
      <c r="C21" s="17" t="inlineStr">
        <is>
          <t>Intermediate</t>
        </is>
      </c>
      <c r="D21" s="17" t="n">
        <v>22</v>
      </c>
      <c r="E21" s="17" t="inlineStr">
        <is>
          <t>Claude knowledge</t>
        </is>
      </c>
      <c r="F21" s="18" t="inlineStr">
        <is>
          <t>Offboarding</t>
        </is>
      </c>
      <c r="G21" s="18" t="inlineStr">
        <is>
          <t>How do you remove all access quickly when someone leaves?</t>
        </is>
      </c>
      <c r="H21" s="18" t="inlineStr">
        <is>
          <t>Core concept</t>
        </is>
      </c>
      <c r="I21" s="18" t="inlineStr">
        <is>
          <t>Very high</t>
        </is>
      </c>
      <c r="J21" s="18" t="n">
        <v>5</v>
      </c>
      <c r="K21" s="18" t="inlineStr">
        <is>
          <t>Leavers who keep access are a serious risk, so identity systems make removal fast and complete.</t>
        </is>
      </c>
      <c r="L21" s="18" t="inlineStr">
        <is>
          <t>Disable the identity first, then revoke sessions and tokens, then clean up apps.</t>
        </is>
      </c>
      <c r="M21" s="18" t="inlineStr">
        <is>
          <t>Offboarding is collecting the key cards, then changing the locks.</t>
        </is>
      </c>
      <c r="N21" s="18" t="inlineStr">
        <is>
          <t>A checklist with disable, revoke sessions, remove from groups and review shared secrets.</t>
        </is>
      </c>
      <c r="O21" s="18" t="inlineStr">
        <is>
          <t>The peace of knowing leavers lose access at once.</t>
        </is>
      </c>
      <c r="P21" s="18" t="inlineStr">
        <is>
          <t>Offboarding is the process of disabling a leaver's identity, ending their sessions and tokens, removing group memberships and handling data, devices and shared credentials.</t>
        </is>
      </c>
      <c r="Q21" s="17" t="n"/>
      <c r="R21" s="18" t="inlineStr">
        <is>
          <t>With SSO, disabling one account blocks new logins. Existing app sessions and refresh tokens may continue, so revoke them and keep lifetimes short. SCIM deactivates accounts in connected apps. Service accounts and shared secrets they knew must be rotated. Transfer ownership of documents. Keep an audit trail.</t>
        </is>
      </c>
      <c r="S21" s="18" t="inlineStr">
        <is>
          <t>Disable, revoke sessions, remove from groups, rotate shared secrets and keep a record.</t>
        </is>
      </c>
      <c r="T21" s="18" t="inlineStr">
        <is>
          <t>Offboarding is collecting the key cards, then changing the locks.</t>
        </is>
      </c>
      <c r="U21" s="18" t="inlineStr">
        <is>
          <t>Disable, revoke, remove, rotate, record.</t>
        </is>
      </c>
      <c r="V21" s="18" t="inlineStr">
        <is>
          <t>Disabling the account in the identity provider.</t>
        </is>
      </c>
      <c r="W21" s="18" t="inlineStr">
        <is>
          <t>Revoking refresh tokens.</t>
        </is>
      </c>
      <c r="X21" s="18" t="inlineStr">
        <is>
          <t>Rotating a shared API key the person knew.</t>
        </is>
      </c>
      <c r="Y21" s="18" t="inlineStr">
        <is>
          <t>SCIM, sessions, token lifetimes, service accounts</t>
        </is>
      </c>
      <c r="Z21" s="18" t="inlineStr">
        <is>
          <t>offboarding, revoke, disable, rotate, audit</t>
        </is>
      </c>
      <c r="AA21" s="18" t="inlineStr">
        <is>
          <t>HR processes | Security | Audits</t>
        </is>
      </c>
      <c r="AB21" s="18" t="inlineStr">
        <is>
          <t>A: The leaver can still open the app. | B: Their app session is alive, so revoke it.</t>
        </is>
      </c>
      <c r="AC21" s="18" t="inlineStr">
        <is>
          <t>✗ Disabling the account ends every active session immediately → ✓ Existing sessions and tokens may remain until revoked or expired</t>
        </is>
      </c>
      <c r="AD21" s="18" t="inlineStr">
        <is>
          <t>Disable vs revoke: disabling blocks new logins, revoking ends existing access.</t>
        </is>
      </c>
      <c r="AE21" s="18" t="inlineStr">
        <is>
          <t>Do not forget shared secrets the leaver knew.</t>
        </is>
      </c>
      <c r="AF21" s="18" t="inlineStr">
        <is>
          <t>Disable, then revoke, then rotate.</t>
        </is>
      </c>
      <c r="AG21" s="18" t="inlineStr">
        <is>
          <t>Adding session revocation to the checklist closed a gap where leavers stayed signed in.</t>
        </is>
      </c>
      <c r="AH21" s="18" t="inlineStr">
        <is>
          <t>An interviewer may ask: What steps do you take when an employee leaves?</t>
        </is>
      </c>
      <c r="AI21" s="18" t="inlineStr">
        <is>
          <t>It is like collecting key cards and changing locks.</t>
        </is>
      </c>
      <c r="AJ21" s="18" t="inlineStr">
        <is>
          <t>What should happen after disabling the identity?</t>
        </is>
      </c>
      <c r="AK21" s="18" t="inlineStr">
        <is>
          <t>A) Delete logs B) Rename the account C) Nothing D) Revoke sessions and tokens</t>
        </is>
      </c>
      <c r="AL21" s="18" t="inlineStr">
        <is>
          <t>D</t>
        </is>
      </c>
      <c r="AM21" s="18" t="inlineStr">
        <is>
          <t>Existing access may continue otherwise.</t>
        </is>
      </c>
      <c r="AN21" s="18" t="inlineStr">
        <is>
          <t>Ending a live session or token early is to ____ it → revoke</t>
        </is>
      </c>
      <c r="AO21" s="18" t="inlineStr">
        <is>
          <t>A leaver knew a shared API key. What do you do? → Rotate the key</t>
        </is>
      </c>
      <c r="AP21" s="18" t="inlineStr">
        <is>
          <t>Explain offboarding in three lines.</t>
        </is>
      </c>
      <c r="AQ21" s="18" t="inlineStr">
        <is>
          <t>Write an offboarding checklist with six steps.</t>
        </is>
      </c>
      <c r="AR21" s="17">
        <f>IF(J21="","",REPT("★",J21)&amp;REPT("☆",5-J21)&amp;" ("&amp;J21&amp;"/5)")</f>
        <v/>
      </c>
      <c r="AS21" s="17">
        <f>IF(Q21="","","Meaning: "&amp;Q21&amp;"  =  ______   (Answer: "&amp;F21&amp;")")</f>
        <v/>
      </c>
      <c r="AT21" s="17" t="inlineStr">
        <is>
          <t>New</t>
        </is>
      </c>
      <c r="AU21" s="17" t="n"/>
      <c r="AV21" s="17" t="n"/>
      <c r="AW21" s="17" t="n"/>
      <c r="AX21" s="17" t="n"/>
      <c r="AY21" s="17" t="n"/>
      <c r="AZ21" s="17" t="n"/>
      <c r="BA21" s="17" t="n"/>
      <c r="BB21" s="17" t="n"/>
    </row>
    <row r="22" ht="108" customHeight="1">
      <c r="A22" s="17" t="inlineStr">
        <is>
          <t>SSO-023</t>
        </is>
      </c>
      <c r="B22" s="17" t="inlineStr">
        <is>
          <t>04 Operations and Security</t>
        </is>
      </c>
      <c r="C22" s="17" t="inlineStr">
        <is>
          <t>Advanced</t>
        </is>
      </c>
      <c r="D22" s="17" t="n">
        <v>23</v>
      </c>
      <c r="E22" s="17" t="inlineStr">
        <is>
          <t>Claude knowledge</t>
        </is>
      </c>
      <c r="F22" s="18" t="inlineStr">
        <is>
          <t>Single logout</t>
        </is>
      </c>
      <c r="G22" s="18" t="inlineStr">
        <is>
          <t>How can logging out in one place end sessions everywhere?</t>
        </is>
      </c>
      <c r="H22" s="18" t="inlineStr">
        <is>
          <t>Core concept</t>
        </is>
      </c>
      <c r="I22" s="18" t="inlineStr">
        <is>
          <t>Medium</t>
        </is>
      </c>
      <c r="J22" s="18" t="n">
        <v>4</v>
      </c>
      <c r="K22" s="18" t="inlineStr">
        <is>
          <t>Users expect logging out to sign them out of everything, but each app keeps its own session, so protocols define logout messages.</t>
        </is>
      </c>
      <c r="L22" s="18" t="inlineStr">
        <is>
          <t>Test logout early, since support varies between apps and providers.</t>
        </is>
      </c>
      <c r="M22" s="18" t="inlineStr">
        <is>
          <t>Single logout is pulling the fire alarm so every room is told to empty.</t>
        </is>
      </c>
      <c r="N22" s="18" t="inlineStr">
        <is>
          <t>An IdP sending logout messages to several apps.</t>
        </is>
      </c>
      <c r="O22" s="18" t="inlineStr">
        <is>
          <t>The expectation of a clean sign-out.</t>
        </is>
      </c>
      <c r="P22" s="18" t="inlineStr">
        <is>
          <t>Single logout is a mechanism where signing out at the identity provider or one app notifies the other connected apps to end their sessions, using SAML logout messages or OIDC front-channel and back-channel logout.</t>
        </is>
      </c>
      <c r="Q22" s="17" t="n"/>
      <c r="R22" s="18" t="inlineStr">
        <is>
          <t>Front-channel logout uses the browser to load logout URLs in each app, and can fail if cookies are blocked. Back-channel logout sends server-to-server messages and is more reliable. Not all apps support it, so sessions may linger. Short session lifetimes reduce the risk. Users on shared computers need clear logout.</t>
        </is>
      </c>
      <c r="S22" s="18" t="inlineStr">
        <is>
          <t>Notify apps when the provider session ends, and keep session lifetimes short as a backup.</t>
        </is>
      </c>
      <c r="T22" s="18" t="inlineStr">
        <is>
          <t>Single logout is pulling the fire alarm so every room is told to empty.</t>
        </is>
      </c>
      <c r="U22" s="18" t="inlineStr">
        <is>
          <t>Logout at one place, messages to all apps.</t>
        </is>
      </c>
      <c r="V22" s="18" t="inlineStr">
        <is>
          <t>Back-channel logout calling an app's endpoint.</t>
        </is>
      </c>
      <c r="W22" s="18" t="inlineStr">
        <is>
          <t>Front-channel logout loading hidden pages.</t>
        </is>
      </c>
      <c r="X22" s="18" t="inlineStr">
        <is>
          <t>An app that ignores logout and keeps its session.</t>
        </is>
      </c>
      <c r="Y22" s="18" t="inlineStr">
        <is>
          <t>sessions, what SSO is, token lifetimes, offboarding</t>
        </is>
      </c>
      <c r="Z22" s="18" t="inlineStr">
        <is>
          <t>logout, front-channel, back-channel, session, notification</t>
        </is>
      </c>
      <c r="AA22" s="18" t="inlineStr">
        <is>
          <t>Enterprise SSO | Shared devices | Compliance</t>
        </is>
      </c>
      <c r="AB22" s="18" t="inlineStr">
        <is>
          <t>A: I logged out but the other app is still open. | B: That app does not support single logout.</t>
        </is>
      </c>
      <c r="AC22" s="18" t="inlineStr">
        <is>
          <t>✗ Single logout works the same in all apps → ✓ Support varies and sessions can linger</t>
        </is>
      </c>
      <c r="AD22" s="18" t="inlineStr">
        <is>
          <t>Front vs back channel: browser-based versus server-to-server.</t>
        </is>
      </c>
      <c r="AE22" s="18" t="inlineStr">
        <is>
          <t>Do not rely on single logout alone.</t>
        </is>
      </c>
      <c r="AF22" s="18" t="inlineStr">
        <is>
          <t>Prefer back-channel, back it with short sessions.</t>
        </is>
      </c>
      <c r="AG22" s="18" t="inlineStr">
        <is>
          <t>Back-channel logout closed lingering sessions on shared workstations.</t>
        </is>
      </c>
      <c r="AH22" s="18" t="inlineStr">
        <is>
          <t>An interviewer may ask: What is the difference between front-channel and back-channel logout?</t>
        </is>
      </c>
      <c r="AI22" s="18" t="inlineStr">
        <is>
          <t>It is like a fire alarm telling every room to empty.</t>
        </is>
      </c>
      <c r="AJ22" s="18" t="inlineStr">
        <is>
          <t>Which logout is server-to-server?</t>
        </is>
      </c>
      <c r="AK22" s="18" t="inlineStr">
        <is>
          <t>A) Front-channel B) Back-channel C) Browser tab D) Cookie</t>
        </is>
      </c>
      <c r="AL22" s="18" t="inlineStr">
        <is>
          <t>B</t>
        </is>
      </c>
      <c r="AM22" s="18" t="inlineStr">
        <is>
          <t>It does not depend on the browser.</t>
        </is>
      </c>
      <c r="AN22" s="18" t="inlineStr">
        <is>
          <t>Logout messages sent through the browser use the ____ channel → front</t>
        </is>
      </c>
      <c r="AO22" s="18" t="inlineStr">
        <is>
          <t>Sessions linger on shared PCs. What reduces risk? → Back-channel logout and short sessions</t>
        </is>
      </c>
      <c r="AP22" s="18" t="inlineStr">
        <is>
          <t>Explain single logout in three lines.</t>
        </is>
      </c>
      <c r="AQ22" s="18" t="inlineStr">
        <is>
          <t>List two reasons single logout can fail.</t>
        </is>
      </c>
      <c r="AR22" s="17">
        <f>IF(J22="","",REPT("★",J22)&amp;REPT("☆",5-J22)&amp;" ("&amp;J22&amp;"/5)")</f>
        <v/>
      </c>
      <c r="AS22" s="17">
        <f>IF(Q22="","","Meaning: "&amp;Q22&amp;"  =  ______   (Answer: "&amp;F22&amp;")")</f>
        <v/>
      </c>
      <c r="AT22" s="17" t="inlineStr">
        <is>
          <t>New</t>
        </is>
      </c>
      <c r="AU22" s="17" t="n"/>
      <c r="AV22" s="17" t="n"/>
      <c r="AW22" s="17" t="n"/>
      <c r="AX22" s="17" t="n"/>
      <c r="AY22" s="17" t="n"/>
      <c r="AZ22" s="17" t="n"/>
      <c r="BA22" s="17" t="n"/>
      <c r="BB22" s="17" t="n"/>
    </row>
    <row r="23" ht="108" customHeight="1">
      <c r="A23" s="17" t="inlineStr">
        <is>
          <t>SSO-024</t>
        </is>
      </c>
      <c r="B23" s="17" t="inlineStr">
        <is>
          <t>04 Operations and Security</t>
        </is>
      </c>
      <c r="C23" s="17" t="inlineStr">
        <is>
          <t>Advanced</t>
        </is>
      </c>
      <c r="D23" s="17" t="n">
        <v>24</v>
      </c>
      <c r="E23" s="17" t="inlineStr">
        <is>
          <t>Claude knowledge</t>
        </is>
      </c>
      <c r="F23" s="18" t="inlineStr">
        <is>
          <t>Certificate rotation</t>
        </is>
      </c>
      <c r="G23" s="18" t="inlineStr">
        <is>
          <t>How do you replace signing certificates without breaking logins?</t>
        </is>
      </c>
      <c r="H23" s="18" t="inlineStr">
        <is>
          <t>Core concept</t>
        </is>
      </c>
      <c r="I23" s="18" t="inlineStr">
        <is>
          <t>High</t>
        </is>
      </c>
      <c r="J23" s="18" t="n">
        <v>5</v>
      </c>
      <c r="K23" s="18" t="inlineStr">
        <is>
          <t>Certificates expire, and SAML and token validation depend on them, so rotation must be planned.</t>
        </is>
      </c>
      <c r="L23" s="18" t="inlineStr">
        <is>
          <t>Publish the new certificate before switching, and keep both during the overlap.</t>
        </is>
      </c>
      <c r="M23" s="18" t="inlineStr">
        <is>
          <t>Rotation is changing a lock while the old and new keys both work for a short time.</t>
        </is>
      </c>
      <c r="N23" s="18" t="inlineStr">
        <is>
          <t>Two certificates in metadata during an overlap period.</t>
        </is>
      </c>
      <c r="O23" s="18" t="inlineStr">
        <is>
          <t>The relief of a rotation without downtime.</t>
        </is>
      </c>
      <c r="P23" s="18" t="inlineStr">
        <is>
          <t>Certificate rotation is replacing the certificate or key used to sign assertions and tokens before it expires, with an overlap period in which relying parties trust both.</t>
        </is>
      </c>
      <c r="Q23" s="17" t="n"/>
      <c r="R23" s="18" t="inlineStr">
        <is>
          <t>For SAML, the IdP metadata lists signing certificates, and apps must import the new one before the IdP starts using it. For OIDC, the JWKS endpoint publishes several keys identified by kid, so apps pick the right one. Expired certificates cause sudden login outages. Monitor expiry dates and automate where possible. Document who owns each certificate.</t>
        </is>
      </c>
      <c r="S23" s="18" t="inlineStr">
        <is>
          <t>Add the new certificate first, switch later, and remove the old one after.</t>
        </is>
      </c>
      <c r="T23" s="18" t="inlineStr">
        <is>
          <t>Rotation is changing a lock while old and new keys both work for a short time.</t>
        </is>
      </c>
      <c r="U23" s="18" t="inlineStr">
        <is>
          <t>Publish new, switch, retire old.</t>
        </is>
      </c>
      <c r="V23" s="18" t="inlineStr">
        <is>
          <t>An IdP certificate expiring and breaking all logins.</t>
        </is>
      </c>
      <c r="W23" s="18" t="inlineStr">
        <is>
          <t>A JWKS with two keys during rotation.</t>
        </is>
      </c>
      <c r="X23" s="18" t="inlineStr">
        <is>
          <t>A calendar alert sixty days before expiry.</t>
        </is>
      </c>
      <c r="Y23" s="18" t="inlineStr">
        <is>
          <t>SAML flow, JWT validation, clock skew, monitoring</t>
        </is>
      </c>
      <c r="Z23" s="18" t="inlineStr">
        <is>
          <t>rotation, JWKS, kid, expiry, overlap</t>
        </is>
      </c>
      <c r="AA23" s="18" t="inlineStr">
        <is>
          <t>Federation | Operations | Outages</t>
        </is>
      </c>
      <c r="AB23" s="18" t="inlineStr">
        <is>
          <t>A: All logins failed this morning. | B: The signing certificate expired.</t>
        </is>
      </c>
      <c r="AC23" s="18" t="inlineStr">
        <is>
          <t>✗ Certificates can be replaced on the day they expire → ✓ Both sides need the new one in advance</t>
        </is>
      </c>
      <c r="AD23" s="18" t="inlineStr">
        <is>
          <t>SAML vs OIDC rotation: SAML needs metadata updates, OIDC uses a key set with kid.</t>
        </is>
      </c>
      <c r="AE23" s="18" t="inlineStr">
        <is>
          <t>Do not let signing certificates expire unnoticed.</t>
        </is>
      </c>
      <c r="AF23" s="18" t="inlineStr">
        <is>
          <t>Publish early, switch calmly, retire late.</t>
        </is>
      </c>
      <c r="AG23" s="18" t="inlineStr">
        <is>
          <t>Monitoring certificate expiry avoided a repeat of a company-wide login outage.</t>
        </is>
      </c>
      <c r="AH23" s="18" t="inlineStr">
        <is>
          <t>An interviewer may ask: How do you rotate SAML certificates safely?</t>
        </is>
      </c>
      <c r="AI23" s="18" t="inlineStr">
        <is>
          <t>It is like changing a lock with both keys working briefly.</t>
        </is>
      </c>
      <c r="AJ23" s="18" t="inlineStr">
        <is>
          <t>What identifies the right key in a JWKS?</t>
        </is>
      </c>
      <c r="AK23" s="18" t="inlineStr">
        <is>
          <t>A) The file size B) The colour C) The kid D) The date only</t>
        </is>
      </c>
      <c r="AL23" s="18" t="inlineStr">
        <is>
          <t>C</t>
        </is>
      </c>
      <c r="AM23" s="18" t="inlineStr">
        <is>
          <t>Tokens name the key id they used.</t>
        </is>
      </c>
      <c r="AN23" s="18" t="inlineStr">
        <is>
          <t>Time when old and new keys are both trusted is the ____ → overlap</t>
        </is>
      </c>
      <c r="AO23" s="18" t="inlineStr">
        <is>
          <t>The IdP certificate expires next month. What do you do first? → Publish the new certificate to all relying parties</t>
        </is>
      </c>
      <c r="AP23" s="18" t="inlineStr">
        <is>
          <t>Explain certificate rotation in three lines.</t>
        </is>
      </c>
      <c r="AQ23" s="18" t="inlineStr">
        <is>
          <t>Write a certificate rotation plan with clear dates.</t>
        </is>
      </c>
      <c r="AR23" s="17">
        <f>IF(J23="","",REPT("★",J23)&amp;REPT("☆",5-J23)&amp;" ("&amp;J23&amp;"/5)")</f>
        <v/>
      </c>
      <c r="AS23" s="17">
        <f>IF(Q23="","","Meaning: "&amp;Q23&amp;"  =  ______   (Answer: "&amp;F23&amp;")")</f>
        <v/>
      </c>
      <c r="AT23" s="17" t="inlineStr">
        <is>
          <t>New</t>
        </is>
      </c>
      <c r="AU23" s="17" t="n"/>
      <c r="AV23" s="17" t="n"/>
      <c r="AW23" s="17" t="n"/>
      <c r="AX23" s="17" t="n"/>
      <c r="AY23" s="17" t="n"/>
      <c r="AZ23" s="17" t="n"/>
      <c r="BA23" s="17" t="n"/>
      <c r="BB23" s="17" t="n"/>
    </row>
    <row r="24" ht="94.5" customHeight="1">
      <c r="A24" s="17" t="inlineStr">
        <is>
          <t>SSO-025</t>
        </is>
      </c>
      <c r="B24" s="17" t="inlineStr">
        <is>
          <t>04 Operations and Security</t>
        </is>
      </c>
      <c r="C24" s="17" t="inlineStr">
        <is>
          <t>Intermediate</t>
        </is>
      </c>
      <c r="D24" s="17" t="n">
        <v>25</v>
      </c>
      <c r="E24" s="17" t="inlineStr">
        <is>
          <t>Claude knowledge</t>
        </is>
      </c>
      <c r="F24" s="18" t="inlineStr">
        <is>
          <t>Clock skew</t>
        </is>
      </c>
      <c r="G24" s="18" t="inlineStr">
        <is>
          <t>Why can logins fail because two servers disagree about the time?</t>
        </is>
      </c>
      <c r="H24" s="18" t="inlineStr">
        <is>
          <t>Core concept</t>
        </is>
      </c>
      <c r="I24" s="18" t="inlineStr">
        <is>
          <t>High</t>
        </is>
      </c>
      <c r="J24" s="18" t="n">
        <v>4</v>
      </c>
      <c r="K24" s="18" t="inlineStr">
        <is>
          <t>Assertions and tokens have validity windows, so clocks that differ cause valid proofs to look expired or not yet valid.</t>
        </is>
      </c>
      <c r="L24" s="18" t="inlineStr">
        <is>
          <t>Keep servers synced with NTP and allow a small leeway.</t>
        </is>
      </c>
      <c r="M24" s="18" t="inlineStr">
        <is>
          <t>Clock skew is two watches that disagree, so a ticket looks expired to one and early to the other.</t>
        </is>
      </c>
      <c r="N24" s="18" t="inlineStr">
        <is>
          <t>Two clocks a few minutes apart and a token between them.</t>
        </is>
      </c>
      <c r="O24" s="18" t="inlineStr">
        <is>
          <t>The surprise of a bug caused by a clock.</t>
        </is>
      </c>
      <c r="P24" s="18" t="inlineStr">
        <is>
          <t>Clock skew is the difference between the clocks of two systems, which can make time-limited assertions and tokens fail validation with errors such as expired or not yet valid.</t>
        </is>
      </c>
      <c r="Q24" s="17" t="n"/>
      <c r="R24" s="18" t="inlineStr">
        <is>
          <t>SAML assertions have NotBefore and NotOnOrAfter times, and JWTs have nbf and exp. If the app clock is behind or ahead, tokens fail. Use NTP to synchronise, and allow leeway of a minute or so. Do not set huge tolerances. Check times in the error message first when logins fail oddly.</t>
        </is>
      </c>
      <c r="S24" s="18" t="inlineStr">
        <is>
          <t>Sync clocks with NTP, allow a small leeway, and read the time claims when debugging.</t>
        </is>
      </c>
      <c r="T24" s="18" t="inlineStr">
        <is>
          <t>Clock skew is two watches that disagree, so a ticket looks expired to one and early to the other.</t>
        </is>
      </c>
      <c r="U24" s="18" t="inlineStr">
        <is>
          <t>Valid only if now is inside the time window with small leeway.</t>
        </is>
      </c>
      <c r="V24" s="18" t="inlineStr">
        <is>
          <t>Error: assertion not yet valid.</t>
        </is>
      </c>
      <c r="W24" s="18" t="inlineStr">
        <is>
          <t>A VM whose clock drifted five minutes.</t>
        </is>
      </c>
      <c r="X24" s="18" t="inlineStr">
        <is>
          <t>A leeway of thirty seconds in the validator.</t>
        </is>
      </c>
      <c r="Y24" s="18" t="inlineStr">
        <is>
          <t>SAML flow, JWT validation, debugging a failed login, token lifetimes</t>
        </is>
      </c>
      <c r="Z24" s="18" t="inlineStr">
        <is>
          <t>skew, NTP, leeway, nbf, exp</t>
        </is>
      </c>
      <c r="AA24" s="18" t="inlineStr">
        <is>
          <t>Troubleshooting | Servers | Federation</t>
        </is>
      </c>
      <c r="AB24" s="18" t="inlineStr">
        <is>
          <t>A: The token is not yet valid. | B: Our server clock is behind, so sync it.</t>
        </is>
      </c>
      <c r="AC24" s="18" t="inlineStr">
        <is>
          <t>✗ Increasing leeway to an hour is a good fix → ✓ It weakens security, so fix the clock instead</t>
        </is>
      </c>
      <c r="AD24" s="18" t="inlineStr">
        <is>
          <t>Skew vs expiry: skew is a clock mismatch, expiry is real age.</t>
        </is>
      </c>
      <c r="AE24" s="18" t="inlineStr">
        <is>
          <t>Do not set a large leeway to hide bad clocks.</t>
        </is>
      </c>
      <c r="AF24" s="18" t="inlineStr">
        <is>
          <t>Sync the clocks before blaming the tokens.</t>
        </is>
      </c>
      <c r="AG24" s="18" t="inlineStr">
        <is>
          <t>Fixing NTP on one server cleared random login failures across a customer site.</t>
        </is>
      </c>
      <c r="AH24" s="18" t="inlineStr">
        <is>
          <t>An interviewer may ask: Why would a valid token be rejected as not yet valid?</t>
        </is>
      </c>
      <c r="AI24" s="18" t="inlineStr">
        <is>
          <t>It is like two watches that disagree.</t>
        </is>
      </c>
      <c r="AJ24" s="18" t="inlineStr">
        <is>
          <t>Which service keeps clocks in sync?</t>
        </is>
      </c>
      <c r="AK24" s="18" t="inlineStr">
        <is>
          <t>A) SMTP B) NTP C) DHCP D) DNS</t>
        </is>
      </c>
      <c r="AL24" s="18" t="inlineStr">
        <is>
          <t>B</t>
        </is>
      </c>
      <c r="AM24" s="18" t="inlineStr">
        <is>
          <t>Network Time Protocol aligns clocks.</t>
        </is>
      </c>
      <c r="AN24" s="18" t="inlineStr">
        <is>
          <t>A small allowed time difference in validation is called ____ → leeway</t>
        </is>
      </c>
      <c r="AO24" s="18" t="inlineStr">
        <is>
          <t>Tokens fail as not yet valid on one server. What do you check? → That server's clock</t>
        </is>
      </c>
      <c r="AP24" s="18" t="inlineStr">
        <is>
          <t>Explain clock skew in three lines.</t>
        </is>
      </c>
      <c r="AQ24" s="18" t="inlineStr">
        <is>
          <t>List the claims that carry time limits.</t>
        </is>
      </c>
      <c r="AR24" s="17">
        <f>IF(J24="","",REPT("★",J24)&amp;REPT("☆",5-J24)&amp;" ("&amp;J24&amp;"/5)")</f>
        <v/>
      </c>
      <c r="AS24" s="17">
        <f>IF(Q24="","","Meaning: "&amp;Q24&amp;"  =  ______   (Answer: "&amp;F24&amp;")")</f>
        <v/>
      </c>
      <c r="AT24" s="17" t="inlineStr">
        <is>
          <t>New</t>
        </is>
      </c>
      <c r="AU24" s="17" t="n"/>
      <c r="AV24" s="17" t="n"/>
      <c r="AW24" s="17" t="n"/>
      <c r="AX24" s="17" t="n"/>
      <c r="AY24" s="17" t="n"/>
      <c r="AZ24" s="17" t="n"/>
      <c r="BA24" s="17" t="n"/>
      <c r="BB24" s="17" t="n"/>
    </row>
    <row r="25" ht="108" customHeight="1">
      <c r="A25" s="17" t="inlineStr">
        <is>
          <t>SSO-026</t>
        </is>
      </c>
      <c r="B25" s="17" t="inlineStr">
        <is>
          <t>04 Operations and Security</t>
        </is>
      </c>
      <c r="C25" s="17" t="inlineStr">
        <is>
          <t>Advanced</t>
        </is>
      </c>
      <c r="D25" s="17" t="n">
        <v>26</v>
      </c>
      <c r="E25" s="17" t="inlineStr">
        <is>
          <t>Claude knowledge</t>
        </is>
      </c>
      <c r="F25" s="18" t="inlineStr">
        <is>
          <t>Common attacks: CSRF and token theft</t>
        </is>
      </c>
      <c r="G25" s="18" t="inlineStr">
        <is>
          <t>Which attacks target login flows, and how are they stopped?</t>
        </is>
      </c>
      <c r="H25" s="18" t="inlineStr">
        <is>
          <t>Core concept</t>
        </is>
      </c>
      <c r="I25" s="18" t="inlineStr">
        <is>
          <t>Very high</t>
        </is>
      </c>
      <c r="J25" s="18" t="n">
        <v>5</v>
      </c>
      <c r="K25" s="18" t="inlineStr">
        <is>
          <t>Login flows move secrets through browsers, so attackers try forged requests and stealing tokens.</t>
        </is>
      </c>
      <c r="L25" s="18" t="inlineStr">
        <is>
          <t>Use state, PKCE, SameSite cookies, short lifetimes and strict redirect URIs together.</t>
        </is>
      </c>
      <c r="M25" s="18" t="inlineStr">
        <is>
          <t>CSRF tricks your browser into sending a signed request you never meant to make, and token theft steals the ticket itself.</t>
        </is>
      </c>
      <c r="N25" s="18" t="inlineStr">
        <is>
          <t>An attacker page triggering a request and a stolen token being reused.</t>
        </is>
      </c>
      <c r="O25" s="18" t="inlineStr">
        <is>
          <t>The alertness of knowing the common traps.</t>
        </is>
      </c>
      <c r="P25" s="18" t="inlineStr">
        <is>
          <t>CSRF forces a user's browser to send an unwanted authenticated request, and token theft steals tokens or session cookies through scripts, logs, redirects or insecure storage to impersonate the user.</t>
        </is>
      </c>
      <c r="Q25" s="17" t="n"/>
      <c r="R25" s="18" t="inlineStr">
        <is>
          <t>The OAuth state parameter and SameSite cookies defend against CSRF in login flows. Token theft is reduced by HttpOnly cookies, avoiding tokens in URLs and logs, short lifetimes, refresh rotation, PKCE and strict redirect URIs. Content security policy limits script injection. Detect abnormal use and revoke quickly.</t>
        </is>
      </c>
      <c r="S25" s="18" t="inlineStr">
        <is>
          <t>Use state and SameSite against CSRF, and short lifetimes and protected storage against theft.</t>
        </is>
      </c>
      <c r="T25" s="18" t="inlineStr">
        <is>
          <t>CSRF tricks your browser into sending a request you never meant to make, and token theft steals the ticket itself.</t>
        </is>
      </c>
      <c r="U25" s="18" t="inlineStr">
        <is>
          <t>state + SameSite for CSRF, short life + safe storage for theft.</t>
        </is>
      </c>
      <c r="V25" s="18" t="inlineStr">
        <is>
          <t>A forged form submit using the user's cookie.</t>
        </is>
      </c>
      <c r="W25" s="18" t="inlineStr">
        <is>
          <t>A token leaked in a URL log.</t>
        </is>
      </c>
      <c r="X25" s="18" t="inlineStr">
        <is>
          <t>A script reading a token from local storage.</t>
        </is>
      </c>
      <c r="Y25" s="18" t="inlineStr">
        <is>
          <t>PKCE, sessions, redirect URI rules, refresh tokens</t>
        </is>
      </c>
      <c r="Z25" s="18" t="inlineStr">
        <is>
          <t>CSRF, XSS, token theft, state, SameSite</t>
        </is>
      </c>
      <c r="AA25" s="18" t="inlineStr">
        <is>
          <t>Security reviews | Penetration tests | App design</t>
        </is>
      </c>
      <c r="AB25" s="18" t="inlineStr">
        <is>
          <t>A: Where should the SPA store tokens? | B: Prefer a backend session with HttpOnly cookies over local storage.</t>
        </is>
      </c>
      <c r="AC25" s="18" t="inlineStr">
        <is>
          <t>✗ HTTPS alone stops these attacks → ✓ It protects transport, and other defences are still needed</t>
        </is>
      </c>
      <c r="AD25" s="18" t="inlineStr">
        <is>
          <t>CSRF vs XSS: CSRF abuses the browser's cookies, XSS runs attacker code in the page.</t>
        </is>
      </c>
      <c r="AE25" s="18" t="inlineStr">
        <is>
          <t>Do not put tokens in URLs.</t>
        </is>
      </c>
      <c r="AF25" s="18" t="inlineStr">
        <is>
          <t>State blocks forgery, short life limits theft.</t>
        </is>
      </c>
      <c r="AG25" s="18" t="inlineStr">
        <is>
          <t>Moving tokens out of local storage removed a theft route found in a review.</t>
        </is>
      </c>
      <c r="AH25" s="18" t="inlineStr">
        <is>
          <t>An interviewer may ask: How do you defend an OAuth flow against CSRF?</t>
        </is>
      </c>
      <c r="AI25" s="18" t="inlineStr">
        <is>
          <t>It is like a forged signature and a stolen ticket.</t>
        </is>
      </c>
      <c r="AJ25" s="18" t="inlineStr">
        <is>
          <t>Which parameter protects the OAuth redirect against CSRF?</t>
        </is>
      </c>
      <c r="AK25" s="18" t="inlineStr">
        <is>
          <t>A) scope B) aud C) state D) kid</t>
        </is>
      </c>
      <c r="AL25" s="18" t="inlineStr">
        <is>
          <t>C</t>
        </is>
      </c>
      <c r="AM25" s="18" t="inlineStr">
        <is>
          <t>It ties the response to the request.</t>
        </is>
      </c>
      <c r="AN25" s="18" t="inlineStr">
        <is>
          <t>A cookie setting that limits cross-site sending is ____ → SameSite</t>
        </is>
      </c>
      <c r="AO25" s="18" t="inlineStr">
        <is>
          <t>A single page app stores tokens in local storage. What risk? → Script injection can steal them</t>
        </is>
      </c>
      <c r="AP25" s="18" t="inlineStr">
        <is>
          <t>Explain CSRF and token theft in three lines.</t>
        </is>
      </c>
      <c r="AQ25" s="18" t="inlineStr">
        <is>
          <t>List five defences for a login flow.</t>
        </is>
      </c>
      <c r="AR25" s="17">
        <f>IF(J25="","",REPT("★",J25)&amp;REPT("☆",5-J25)&amp;" ("&amp;J25&amp;"/5)")</f>
        <v/>
      </c>
      <c r="AS25" s="17">
        <f>IF(Q25="","","Meaning: "&amp;Q25&amp;"  =  ______   (Answer: "&amp;F25&amp;")")</f>
        <v/>
      </c>
      <c r="AT25" s="17" t="inlineStr">
        <is>
          <t>New</t>
        </is>
      </c>
      <c r="AU25" s="17" t="n"/>
      <c r="AV25" s="17" t="n"/>
      <c r="AW25" s="17" t="n"/>
      <c r="AX25" s="17" t="n"/>
      <c r="AY25" s="17" t="n"/>
      <c r="AZ25" s="17" t="n"/>
      <c r="BA25" s="17" t="n"/>
      <c r="BB25" s="17" t="n"/>
    </row>
    <row r="26" ht="121.5" customHeight="1">
      <c r="A26" s="17" t="inlineStr">
        <is>
          <t>SSO-027</t>
        </is>
      </c>
      <c r="B26" s="17" t="inlineStr">
        <is>
          <t>04 Operations and Security</t>
        </is>
      </c>
      <c r="C26" s="17" t="inlineStr">
        <is>
          <t>Intermediate</t>
        </is>
      </c>
      <c r="D26" s="17" t="n">
        <v>27</v>
      </c>
      <c r="E26" s="17" t="inlineStr">
        <is>
          <t>Claude knowledge</t>
        </is>
      </c>
      <c r="F26" s="18" t="inlineStr">
        <is>
          <t>Passkeys</t>
        </is>
      </c>
      <c r="G26" s="18" t="inlineStr">
        <is>
          <t>Which passwordless credentials use cryptographic keys bound to a device and site?</t>
        </is>
      </c>
      <c r="H26" s="18" t="inlineStr">
        <is>
          <t>Core concept</t>
        </is>
      </c>
      <c r="I26" s="18" t="inlineStr">
        <is>
          <t>High</t>
        </is>
      </c>
      <c r="J26" s="18" t="n">
        <v>5</v>
      </c>
      <c r="K26" s="18" t="inlineStr">
        <is>
          <t>Passwords are phished and reused, so passkeys replace them with key pairs that cannot be tricked into working on fake sites.</t>
        </is>
      </c>
      <c r="L26" s="18" t="inlineStr">
        <is>
          <t>Offer passkeys alongside recovery options, and enrol more than one device.</t>
        </is>
      </c>
      <c r="M26" s="18" t="inlineStr">
        <is>
          <t>A passkey is a key that only fits the real door and never works on a copy.</t>
        </is>
      </c>
      <c r="N26" s="18" t="inlineStr">
        <is>
          <t>A device unlocking with a fingerprint and signing a challenge.</t>
        </is>
      </c>
      <c r="O26" s="18" t="inlineStr">
        <is>
          <t>The relief of nothing to type or remember.</t>
        </is>
      </c>
      <c r="P26" s="18" t="inlineStr">
        <is>
          <t>A passkey is a FIDO2 and WebAuthn credential made of a public and private key pair, where the private key stays on the device or in a secure sync service and signs a challenge for one specific site.</t>
        </is>
      </c>
      <c r="Q26" s="17" t="n"/>
      <c r="R26" s="18" t="inlineStr">
        <is>
          <t>The site stores the public key. At login, the device unlocks the private key with a fingerprint, face or PIN and signs a challenge that includes the site's origin, so fake sites cannot reuse it. Passkeys resist phishing and cannot be leaked from the server. Synced passkeys ease recovery, while hardware keys give high assurance. Provide fallback and recovery carefully.</t>
        </is>
      </c>
      <c r="S26" s="18" t="inlineStr">
        <is>
          <t>Sign in with a device-bound key, and phishing sites cannot use it.</t>
        </is>
      </c>
      <c r="T26" s="18" t="inlineStr">
        <is>
          <t>A passkey is a key that only fits the real door and never works on a copy.</t>
        </is>
      </c>
      <c r="U26" s="18" t="inlineStr">
        <is>
          <t>Private key on device + public key on site + origin-bound signature.</t>
        </is>
      </c>
      <c r="V26" s="18" t="inlineStr">
        <is>
          <t>Logging in with a fingerprint on a phone.</t>
        </is>
      </c>
      <c r="W26" s="18" t="inlineStr">
        <is>
          <t>A hardware security key tap.</t>
        </is>
      </c>
      <c r="X26" s="18" t="inlineStr">
        <is>
          <t>A synced passkey on a new laptop.</t>
        </is>
      </c>
      <c r="Y26" s="18" t="inlineStr">
        <is>
          <t>MFA, sessions, phishing, mTLS</t>
        </is>
      </c>
      <c r="Z26" s="18" t="inlineStr">
        <is>
          <t>passkey, FIDO2, WebAuthn, origin, challenge</t>
        </is>
      </c>
      <c r="AA26" s="18" t="inlineStr">
        <is>
          <t>Modern logins | Admin access | Consumer apps</t>
        </is>
      </c>
      <c r="AB26" s="18" t="inlineStr">
        <is>
          <t>A: Can phishing steal a passkey login? | B: No, the signature is tied to the real site.</t>
        </is>
      </c>
      <c r="AC26" s="18" t="inlineStr">
        <is>
          <t>✗ A passkey is just a stored password → ✓ It is a key pair, and no secret is sent to the site</t>
        </is>
      </c>
      <c r="AD26" s="18" t="inlineStr">
        <is>
          <t>Password vs passkey: a shared secret versus a signed challenge.</t>
        </is>
      </c>
      <c r="AE26" s="18" t="inlineStr">
        <is>
          <t>Do not make recovery weaker than the passkey.</t>
        </is>
      </c>
      <c r="AF26" s="18" t="inlineStr">
        <is>
          <t>Private key stays, signature goes.</t>
        </is>
      </c>
      <c r="AG26" s="18" t="inlineStr">
        <is>
          <t>Offering passkeys cut phishing-related account takeovers for a customer.</t>
        </is>
      </c>
      <c r="AH26" s="18" t="inlineStr">
        <is>
          <t>An interviewer may ask: Why are passkeys phishing resistant?</t>
        </is>
      </c>
      <c r="AI26" s="18" t="inlineStr">
        <is>
          <t>It is like a key that fits only the real door.</t>
        </is>
      </c>
      <c r="AJ26" s="18" t="inlineStr">
        <is>
          <t>What does the site store for a passkey?</t>
        </is>
      </c>
      <c r="AK26" s="18" t="inlineStr">
        <is>
          <t>A) The password B) The private key C) The fingerprint D) The public key</t>
        </is>
      </c>
      <c r="AL26" s="18" t="inlineStr">
        <is>
          <t>D</t>
        </is>
      </c>
      <c r="AM26" s="18" t="inlineStr">
        <is>
          <t>The private key never leaves the device.</t>
        </is>
      </c>
      <c r="AN26" s="18" t="inlineStr">
        <is>
          <t>The browser standard behind passkeys is ____ → WebAuthn</t>
        </is>
      </c>
      <c r="AO26" s="18" t="inlineStr">
        <is>
          <t>A team fears phishing of staff logins. What do you roll out? → Passkeys or hardware keys</t>
        </is>
      </c>
      <c r="AP26" s="18" t="inlineStr">
        <is>
          <t>Explain passkeys in three lines.</t>
        </is>
      </c>
      <c r="AQ26" s="18" t="inlineStr">
        <is>
          <t>Plan how users recover access if they lose a device.</t>
        </is>
      </c>
      <c r="AR26" s="17">
        <f>IF(J26="","",REPT("★",J26)&amp;REPT("☆",5-J26)&amp;" ("&amp;J26&amp;"/5)")</f>
        <v/>
      </c>
      <c r="AS26" s="17">
        <f>IF(Q26="","","Meaning: "&amp;Q26&amp;"  =  ______   (Answer: "&amp;F26&amp;")")</f>
        <v/>
      </c>
      <c r="AT26" s="17" t="inlineStr">
        <is>
          <t>New</t>
        </is>
      </c>
      <c r="AU26" s="17" t="n"/>
      <c r="AV26" s="17" t="n"/>
      <c r="AW26" s="17" t="n"/>
      <c r="AX26" s="17" t="n"/>
      <c r="AY26" s="17" t="n"/>
      <c r="AZ26" s="17" t="n"/>
      <c r="BA26" s="17" t="n"/>
      <c r="BB26" s="17" t="n"/>
    </row>
    <row r="27" ht="108" customHeight="1">
      <c r="A27" s="17" t="inlineStr">
        <is>
          <t>SSO-028</t>
        </is>
      </c>
      <c r="B27" s="17" t="inlineStr">
        <is>
          <t>04 Operations and Security</t>
        </is>
      </c>
      <c r="C27" s="17" t="inlineStr">
        <is>
          <t>Advanced</t>
        </is>
      </c>
      <c r="D27" s="17" t="n">
        <v>28</v>
      </c>
      <c r="E27" s="17" t="inlineStr">
        <is>
          <t>Claude knowledge</t>
        </is>
      </c>
      <c r="F27" s="18" t="inlineStr">
        <is>
          <t>mTLS</t>
        </is>
      </c>
      <c r="G27" s="18" t="inlineStr">
        <is>
          <t>Which TLS mode makes both client and server prove identity with certificates?</t>
        </is>
      </c>
      <c r="H27" s="18" t="inlineStr">
        <is>
          <t>Core concept</t>
        </is>
      </c>
      <c r="I27" s="18" t="inlineStr">
        <is>
          <t>Medium</t>
        </is>
      </c>
      <c r="J27" s="18" t="n">
        <v>4</v>
      </c>
      <c r="K27" s="18" t="inlineStr">
        <is>
          <t>Services need to trust each other, so both sides present certificates instead of only the server doing so.</t>
        </is>
      </c>
      <c r="L27" s="18" t="inlineStr">
        <is>
          <t>Automate certificate issue and rotation, since manual handling does not scale.</t>
        </is>
      </c>
      <c r="M27" s="18" t="inlineStr">
        <is>
          <t>Mutual TLS is a handshake where both parties show ID before talking.</t>
        </is>
      </c>
      <c r="N27" s="18" t="inlineStr">
        <is>
          <t>Two services exchanging certificates before sending data.</t>
        </is>
      </c>
      <c r="O27" s="18" t="inlineStr">
        <is>
          <t>The assurance of known peers only.</t>
        </is>
      </c>
      <c r="P27" s="18" t="inlineStr">
        <is>
          <t>Mutual TLS is TLS in which the server and the client both present certificates and verify each other, giving strong service identity and encrypted traffic.</t>
        </is>
      </c>
      <c r="Q27" s="17" t="n"/>
      <c r="R27" s="18" t="inlineStr">
        <is>
          <t>The client certificate identifies the caller, often with a service name in it. It is common in service meshes, financial APIs and zero trust networks. Short-lived certificates issued by an internal authority reduce risk. Certificate-bound tokens tie OAuth tokens to the client certificate. Operations need monitoring of expiry and revocation.</t>
        </is>
      </c>
      <c r="S27" s="18" t="inlineStr">
        <is>
          <t>Both sides show certificates, so each knows exactly who the other is.</t>
        </is>
      </c>
      <c r="T27" s="18" t="inlineStr">
        <is>
          <t>Mutual TLS is a handshake where both parties show ID before talking.</t>
        </is>
      </c>
      <c r="U27" s="18" t="inlineStr">
        <is>
          <t>Server cert + client cert, both verified.</t>
        </is>
      </c>
      <c r="V27" s="18" t="inlineStr">
        <is>
          <t>Two microservices authenticating in a mesh.</t>
        </is>
      </c>
      <c r="W27" s="18" t="inlineStr">
        <is>
          <t>A bank API requiring client certificates.</t>
        </is>
      </c>
      <c r="X27" s="18" t="inlineStr">
        <is>
          <t>Short-lived certificates issued every day.</t>
        </is>
      </c>
      <c r="Y27" s="18" t="inlineStr">
        <is>
          <t>HTTPS and TLS, certificates, service mesh, client credentials</t>
        </is>
      </c>
      <c r="Z27" s="18" t="inlineStr">
        <is>
          <t>mTLS, client certificate, authority, mesh, identity</t>
        </is>
      </c>
      <c r="AA27" s="18" t="inlineStr">
        <is>
          <t>Service meshes | Finance | Zero trust</t>
        </is>
      </c>
      <c r="AB27" s="18" t="inlineStr">
        <is>
          <t>A: How does the API know which service is calling? | B: Through its client certificate in mutual TLS.</t>
        </is>
      </c>
      <c r="AC27" s="18" t="inlineStr">
        <is>
          <t>✗ Normal HTTPS authenticates both sides → ✓ Normally only the server proves its identity</t>
        </is>
      </c>
      <c r="AD27" s="18" t="inlineStr">
        <is>
          <t>TLS vs mTLS: one-way versus mutual authentication.</t>
        </is>
      </c>
      <c r="AE27" s="18" t="inlineStr">
        <is>
          <t>Do not manage client certificates by hand at scale.</t>
        </is>
      </c>
      <c r="AF27" s="18" t="inlineStr">
        <is>
          <t>Mutual means both show certificates.</t>
        </is>
      </c>
      <c r="AG27" s="18" t="inlineStr">
        <is>
          <t>Mutual TLS gave a customer strong service identity between internal APIs.</t>
        </is>
      </c>
      <c r="AH27" s="18" t="inlineStr">
        <is>
          <t>An interviewer may ask: What is mutual TLS?</t>
        </is>
      </c>
      <c r="AI27" s="18" t="inlineStr">
        <is>
          <t>It is like both parties showing ID.</t>
        </is>
      </c>
      <c r="AJ27" s="18" t="inlineStr">
        <is>
          <t>Who presents a certificate in mTLS?</t>
        </is>
      </c>
      <c r="AK27" s="18" t="inlineStr">
        <is>
          <t>A) Both client and server B) Nobody C) Only the server D) Only the client</t>
        </is>
      </c>
      <c r="AL27" s="18" t="inlineStr">
        <is>
          <t>A</t>
        </is>
      </c>
      <c r="AM27" s="18" t="inlineStr">
        <is>
          <t>Both authenticate.</t>
        </is>
      </c>
      <c r="AN27" s="18" t="inlineStr">
        <is>
          <t>A certificate that identifies the caller is a ____ certificate → client</t>
        </is>
      </c>
      <c r="AO27" s="18" t="inlineStr">
        <is>
          <t>Services must prove identity to each other. What do you use? → Mutual TLS</t>
        </is>
      </c>
      <c r="AP27" s="18" t="inlineStr">
        <is>
          <t>Explain mTLS in three lines.</t>
        </is>
      </c>
      <c r="AQ27" s="18" t="inlineStr">
        <is>
          <t>List what you need to run mTLS between two services.</t>
        </is>
      </c>
      <c r="AR27" s="17">
        <f>IF(J27="","",REPT("★",J27)&amp;REPT("☆",5-J27)&amp;" ("&amp;J27&amp;"/5)")</f>
        <v/>
      </c>
      <c r="AS27" s="17">
        <f>IF(Q27="","","Meaning: "&amp;Q27&amp;"  =  ______   (Answer: "&amp;F27&amp;")")</f>
        <v/>
      </c>
      <c r="AT27" s="17" t="inlineStr">
        <is>
          <t>New</t>
        </is>
      </c>
      <c r="AU27" s="17" t="n"/>
      <c r="AV27" s="17" t="n"/>
      <c r="AW27" s="17" t="n"/>
      <c r="AX27" s="17" t="n"/>
      <c r="AY27" s="17" t="n"/>
      <c r="AZ27" s="17" t="n"/>
      <c r="BA27" s="17" t="n"/>
      <c r="BB27" s="17" t="n"/>
    </row>
    <row r="28" ht="121.5" customHeight="1">
      <c r="A28" s="17" t="inlineStr">
        <is>
          <t>SSO-030</t>
        </is>
      </c>
      <c r="B28" s="17" t="inlineStr">
        <is>
          <t>04 Operations and Security</t>
        </is>
      </c>
      <c r="C28" s="17" t="inlineStr">
        <is>
          <t>Intermediate</t>
        </is>
      </c>
      <c r="D28" s="17" t="n">
        <v>30</v>
      </c>
      <c r="E28" s="17" t="inlineStr">
        <is>
          <t>Claude knowledge</t>
        </is>
      </c>
      <c r="F28" s="18" t="inlineStr">
        <is>
          <t>Vendor SSO setup checklist</t>
        </is>
      </c>
      <c r="G28" s="18" t="inlineStr">
        <is>
          <t>What do you collect and check when connecting a customer's identity provider?</t>
        </is>
      </c>
      <c r="H28" s="18" t="inlineStr">
        <is>
          <t>Practice</t>
        </is>
      </c>
      <c r="I28" s="18" t="inlineStr">
        <is>
          <t>High</t>
        </is>
      </c>
      <c r="J28" s="18" t="n">
        <v>5</v>
      </c>
      <c r="K28" s="18" t="inlineStr">
        <is>
          <t>Most SSO projects fail on small configuration details, so a checklist keeps both sides aligned.</t>
        </is>
      </c>
      <c r="L28" s="18" t="inlineStr">
        <is>
          <t>Exchange metadata, test with one user first, and agree attribute names before go-live.</t>
        </is>
      </c>
      <c r="M28" s="18" t="inlineStr">
        <is>
          <t>A setup checklist is a pilot's pre-flight list that prevents silly mistakes.</t>
        </is>
      </c>
      <c r="N28" s="18" t="inlineStr">
        <is>
          <t>A two-column list of items for the app and for the customer's IdP.</t>
        </is>
      </c>
      <c r="O28" s="18" t="inlineStr">
        <is>
          <t>The confidence of a repeatable setup.</t>
        </is>
      </c>
      <c r="P28" s="18" t="inlineStr">
        <is>
          <t>A vendor SSO checklist lists the protocol, endpoints, entity ids, redirect URIs, certificates, attribute and group mappings, session settings, test users, provisioning method and support contacts needed to connect an identity provider.</t>
        </is>
      </c>
      <c r="Q28" s="17" t="n"/>
      <c r="R28" s="18" t="inlineStr">
        <is>
          <t>Decide SAML or OIDC. Exchange metadata or the discovery URL. Agree attribute names such as email and groups, and the unique user identifier. Confirm clock sync, certificate expiry dates and rotation plan. Test with a pilot user, a user without access and a leaver. Plan SCIM or offboarding, logout behaviour and an emergency local admin login. Document everything.</t>
        </is>
      </c>
      <c r="S28" s="18" t="inlineStr">
        <is>
          <t>Agree protocol, endpoints, attributes and certificates, then test with real users before go-live.</t>
        </is>
      </c>
      <c r="T28" s="18" t="inlineStr">
        <is>
          <t>A setup checklist is a pilot's pre-flight list.</t>
        </is>
      </c>
      <c r="U28" s="18" t="inlineStr">
        <is>
          <t>Protocol, endpoints, attributes, certificates, tests, offboarding.</t>
        </is>
      </c>
      <c r="V28" s="18" t="inlineStr">
        <is>
          <t>Metadata exchanged and certificates noted with expiry dates.</t>
        </is>
      </c>
      <c r="W28" s="18" t="inlineStr">
        <is>
          <t>A pilot user logging in successfully.</t>
        </is>
      </c>
      <c r="X28" s="18" t="inlineStr">
        <is>
          <t>A break-glass admin account tested.</t>
        </is>
      </c>
      <c r="Y28" s="18" t="inlineStr">
        <is>
          <t>SAML flow, OpenID Connect, SCIM, certificate rotation</t>
        </is>
      </c>
      <c r="Z28" s="18" t="inlineStr">
        <is>
          <t>checklist, metadata, mapping, pilot, break-glass</t>
        </is>
      </c>
      <c r="AA28" s="18" t="inlineStr">
        <is>
          <t>Customer onboarding | Integration projects | Support</t>
        </is>
      </c>
      <c r="AB28" s="18" t="inlineStr">
        <is>
          <t>A: Can we go live tomorrow? | B: Not until the pilot user and the leaver tests pass.</t>
        </is>
      </c>
      <c r="AC28" s="18" t="inlineStr">
        <is>
          <t>✗ SSO is finished when the first login works → ✓ Offboarding, rotation and recovery must also be planned</t>
        </is>
      </c>
      <c r="AD28" s="18" t="inlineStr">
        <is>
          <t>Pilot vs go-live: the pilot proves the setup, go-live scales it.</t>
        </is>
      </c>
      <c r="AE28" s="18" t="inlineStr">
        <is>
          <t>Do not enable mandatory SSO without a break-glass admin path.</t>
        </is>
      </c>
      <c r="AF28" s="18" t="inlineStr">
        <is>
          <t>Test the leaver, not only the joiner.</t>
        </is>
      </c>
      <c r="AG28" s="18" t="inlineStr">
        <is>
          <t>A checklist caught an expiring certificate before a customer launch.</t>
        </is>
      </c>
      <c r="AH28" s="18" t="inlineStr">
        <is>
          <t>An interviewer may ask: What do you check when setting up SSO for a customer?</t>
        </is>
      </c>
      <c r="AI28" s="18" t="inlineStr">
        <is>
          <t>It is like a pilot's pre-flight list.</t>
        </is>
      </c>
      <c r="AJ28" s="18" t="inlineStr">
        <is>
          <t>What should you keep when SSO is mandatory?</t>
        </is>
      </c>
      <c r="AK28" s="18" t="inlineStr">
        <is>
          <t>A) Open signup B) A break-glass admin path C) Shared passwords D) No fallback</t>
        </is>
      </c>
      <c r="AL28" s="18" t="inlineStr">
        <is>
          <t>B</t>
        </is>
      </c>
      <c r="AM28" s="18" t="inlineStr">
        <is>
          <t>A broken provider could lock everyone out.</t>
        </is>
      </c>
      <c r="AN28" s="18" t="inlineStr">
        <is>
          <t>An emergency admin login outside SSO is a ____ account → break-glass</t>
        </is>
      </c>
      <c r="AO28" s="18" t="inlineStr">
        <is>
          <t>A customer's IdP certificate expires in a month. What do you note? → The expiry date and the rotation plan</t>
        </is>
      </c>
      <c r="AP28" s="18" t="inlineStr">
        <is>
          <t>Explain a vendor SSO checklist in three lines.</t>
        </is>
      </c>
      <c r="AQ28" s="18" t="inlineStr">
        <is>
          <t>Write the checklist for connecting one customer's identity provider.</t>
        </is>
      </c>
      <c r="AR28" s="17">
        <f>IF(J28="","",REPT("★",J28)&amp;REPT("☆",5-J28)&amp;" ("&amp;J28&amp;"/5)")</f>
        <v/>
      </c>
      <c r="AS28" s="17">
        <f>IF(Q28="","","Meaning: "&amp;Q28&amp;"  =  ______   (Answer: "&amp;F28&amp;")")</f>
        <v/>
      </c>
      <c r="AT28" s="17" t="inlineStr">
        <is>
          <t>New</t>
        </is>
      </c>
      <c r="AU28" s="17" t="n"/>
      <c r="AV28" s="17" t="n"/>
      <c r="AW28" s="17" t="n"/>
      <c r="AX28" s="17" t="n"/>
      <c r="AY28" s="17" t="n"/>
      <c r="AZ28" s="17" t="n"/>
      <c r="BA28" s="17" t="n"/>
      <c r="BB28" s="17" t="n"/>
    </row>
  </sheetData>
  <autoFilter ref="A2:BB28"/>
  <mergeCells count="6">
    <mergeCell ref="F1:O1"/>
    <mergeCell ref="AT1:BB1"/>
    <mergeCell ref="AR1:AS1"/>
    <mergeCell ref="A1:E1"/>
    <mergeCell ref="AJ1:AQ1"/>
    <mergeCell ref="P1:AI1"/>
  </mergeCells>
  <dataValidations count="2">
    <dataValidation sqref="AT3:AT28" showDropDown="0" showInputMessage="0" showErrorMessage="0" allowBlank="1" type="list">
      <formula1>"New,Learning,Known"</formula1>
    </dataValidation>
    <dataValidation sqref="BA3:BA28" showDropDown="0" showInputMessage="0" showErrorMessage="0" allowBlank="1" type="list">
      <formula1>"OK,Fix"</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9"/>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Topic (56-pt) · card view</t>
        </is>
      </c>
    </row>
    <row r="2">
      <c r="A2" s="21" t="inlineStr">
        <is>
          <t>Card ID chuno ▸</t>
        </is>
      </c>
      <c r="B2" s="22" t="inlineStr">
        <is>
          <t>SSO-001</t>
        </is>
      </c>
    </row>
    <row r="4">
      <c r="A4" s="23" t="inlineStr">
        <is>
          <t>FRONT · Recognition (pehchano)</t>
        </is>
      </c>
    </row>
    <row r="5" ht="30" customHeight="1">
      <c r="A5" s="24" t="inlineStr">
        <is>
          <t>ID</t>
        </is>
      </c>
      <c r="B5" s="17">
        <f>INDEX('Topic (56-pt) cards'!$A$3:$BB$28,MATCH($B$2,'Topic (56-pt) cards'!$A$3:$A$28,0),MATCH("ID",'Topic (56-pt) cards'!$A$2:$BB$2,0))&amp;""</f>
        <v/>
      </c>
    </row>
    <row r="6" ht="30" customHeight="1">
      <c r="A6" s="24" t="inlineStr">
        <is>
          <t>Topic</t>
        </is>
      </c>
      <c r="B6" s="17">
        <f>INDEX('Topic (56-pt) cards'!$A$3:$BB$28,MATCH($B$2,'Topic (56-pt) cards'!$A$3:$A$28,0),MATCH("Topic",'Topic (56-pt) cards'!$A$2:$BB$2,0))&amp;""</f>
        <v/>
      </c>
    </row>
    <row r="7" ht="30" customHeight="1">
      <c r="A7" s="24" t="inlineStr">
        <is>
          <t>Level</t>
        </is>
      </c>
      <c r="B7" s="17">
        <f>INDEX('Topic (56-pt) cards'!$A$3:$BB$28,MATCH($B$2,'Topic (56-pt) cards'!$A$3:$A$28,0),MATCH("Level",'Topic (56-pt) cards'!$A$2:$BB$2,0))&amp;""</f>
        <v/>
      </c>
    </row>
    <row r="8" ht="30" customHeight="1">
      <c r="A8" s="24" t="inlineStr">
        <is>
          <t>Term / topic</t>
        </is>
      </c>
      <c r="B8" s="17">
        <f>INDEX('Topic (56-pt) cards'!$A$3:$BB$28,MATCH($B$2,'Topic (56-pt) cards'!$A$3:$A$28,0),MATCH("Term / topic",'Topic (56-pt) cards'!$A$2:$BB$2,0))&amp;""</f>
        <v/>
      </c>
    </row>
    <row r="9" ht="30" customHeight="1">
      <c r="A9" s="24" t="inlineStr">
        <is>
          <t>Recall cue</t>
        </is>
      </c>
      <c r="B9" s="17">
        <f>INDEX('Topic (56-pt) cards'!$A$3:$BB$28,MATCH($B$2,'Topic (56-pt) cards'!$A$3:$A$28,0),MATCH("Recall cue",'Topic (56-pt) cards'!$A$2:$BB$2,0))&amp;""</f>
        <v/>
      </c>
    </row>
    <row r="10" ht="30" customHeight="1">
      <c r="A10" s="24" t="inlineStr">
        <is>
          <t>Category</t>
        </is>
      </c>
      <c r="B10" s="17">
        <f>INDEX('Topic (56-pt) cards'!$A$3:$BB$28,MATCH($B$2,'Topic (56-pt) cards'!$A$3:$A$28,0),MATCH("Category",'Topic (56-pt) cards'!$A$2:$BB$2,0))&amp;""</f>
        <v/>
      </c>
    </row>
    <row r="11" ht="30" customHeight="1">
      <c r="A11" s="24" t="inlineStr">
        <is>
          <t>How often used</t>
        </is>
      </c>
      <c r="B11" s="17">
        <f>INDEX('Topic (56-pt) cards'!$A$3:$BB$28,MATCH($B$2,'Topic (56-pt) cards'!$A$3:$A$28,0),MATCH("How often used",'Topic (56-pt) cards'!$A$2:$BB$2,0))&amp;""</f>
        <v/>
      </c>
    </row>
    <row r="12" ht="30" customHeight="1">
      <c r="A12" s="24" t="inlineStr">
        <is>
          <t>Importance (1-5)</t>
        </is>
      </c>
      <c r="B12" s="17">
        <f>INDEX('Topic (56-pt) cards'!$A$3:$BB$28,MATCH($B$2,'Topic (56-pt) cards'!$A$3:$A$28,0),MATCH("Importance (1-5)",'Topic (56-pt) cards'!$A$2:$BB$2,0))&amp;""</f>
        <v/>
      </c>
    </row>
    <row r="13" ht="30" customHeight="1">
      <c r="A13" s="24" t="inlineStr">
        <is>
          <t>Origin / why it exists</t>
        </is>
      </c>
      <c r="B13" s="17">
        <f>INDEX('Topic (56-pt) cards'!$A$3:$BB$28,MATCH($B$2,'Topic (56-pt) cards'!$A$3:$A$28,0),MATCH("Origin / why it exists",'Topic (56-pt) cards'!$A$2:$BB$2,0))&amp;""</f>
        <v/>
      </c>
    </row>
    <row r="14" ht="30" customHeight="1">
      <c r="A14" s="24" t="inlineStr">
        <is>
          <t>Pro tip</t>
        </is>
      </c>
      <c r="B14" s="17">
        <f>INDEX('Topic (56-pt) cards'!$A$3:$BB$28,MATCH($B$2,'Topic (56-pt) cards'!$A$3:$A$28,0),MATCH("Pro tip",'Topic (56-pt) cards'!$A$2:$BB$2,0))&amp;""</f>
        <v/>
      </c>
    </row>
    <row r="15" ht="30" customHeight="1">
      <c r="A15" s="24" t="inlineStr">
        <is>
          <t>Memory story</t>
        </is>
      </c>
      <c r="B15" s="17">
        <f>INDEX('Topic (56-pt) cards'!$A$3:$BB$28,MATCH($B$2,'Topic (56-pt) cards'!$A$3:$A$28,0),MATCH("Memory story",'Topic (56-pt) cards'!$A$2:$BB$2,0))&amp;""</f>
        <v/>
      </c>
    </row>
    <row r="16" ht="30" customHeight="1">
      <c r="A16" s="24" t="inlineStr">
        <is>
          <t>Picture it</t>
        </is>
      </c>
      <c r="B16" s="17">
        <f>INDEX('Topic (56-pt) cards'!$A$3:$BB$28,MATCH($B$2,'Topic (56-pt) cards'!$A$3:$A$28,0),MATCH("Picture it",'Topic (56-pt) cards'!$A$2:$BB$2,0))&amp;""</f>
        <v/>
      </c>
    </row>
    <row r="17" ht="30" customHeight="1">
      <c r="A17" s="24" t="inlineStr">
        <is>
          <t>Emotion hook</t>
        </is>
      </c>
      <c r="B17" s="17">
        <f>INDEX('Topic (56-pt) cards'!$A$3:$BB$28,MATCH($B$2,'Topic (56-pt) cards'!$A$3:$A$28,0),MATCH("Emotion hook",'Topic (56-pt) cards'!$A$2:$BB$2,0))&amp;""</f>
        <v/>
      </c>
    </row>
    <row r="18" ht="30" customHeight="1">
      <c r="A18" s="24" t="inlineStr">
        <is>
          <t>Importance ★</t>
        </is>
      </c>
      <c r="B18" s="17">
        <f>INDEX('Topic (56-pt) cards'!$A$3:$BB$28,MATCH($B$2,'Topic (56-pt) cards'!$A$3:$A$28,0),MATCH("Importance ★",'Topic (56-pt) cards'!$A$2:$BB$2,0))&amp;""</f>
        <v/>
      </c>
    </row>
    <row r="19">
      <c r="A19" s="25" t="inlineStr">
        <is>
          <t>BACK · Understanding (samjho)</t>
        </is>
      </c>
    </row>
    <row r="20" ht="40.5" customHeight="1">
      <c r="A20" s="24" t="inlineStr">
        <is>
          <t>Definition (simple)</t>
        </is>
      </c>
      <c r="B20" s="17">
        <f>INDEX('Topic (56-pt) cards'!$A$3:$BB$28,MATCH($B$2,'Topic (56-pt) cards'!$A$3:$A$28,0),MATCH("Definition (simple)",'Topic (56-pt) cards'!$A$2:$BB$2,0))&amp;""</f>
        <v/>
      </c>
    </row>
    <row r="21" ht="30" customHeight="1">
      <c r="A21" s="24" t="inlineStr">
        <is>
          <t>Meaning in learner's language</t>
        </is>
      </c>
      <c r="B21" s="17">
        <f>INDEX('Topic (56-pt) cards'!$A$3:$BB$28,MATCH($B$2,'Topic (56-pt) cards'!$A$3:$A$28,0),MATCH("Meaning in learner's language",'Topic (56-pt) cards'!$A$2:$BB$2,0))&amp;""</f>
        <v/>
      </c>
    </row>
    <row r="22" ht="54" customHeight="1">
      <c r="A22" s="24" t="inlineStr">
        <is>
          <t>How / why it works</t>
        </is>
      </c>
      <c r="B22" s="17">
        <f>INDEX('Topic (56-pt) cards'!$A$3:$BB$28,MATCH($B$2,'Topic (56-pt) cards'!$A$3:$A$28,0),MATCH("How / why it works",'Topic (56-pt) cards'!$A$2:$BB$2,0))&amp;""</f>
        <v/>
      </c>
    </row>
    <row r="23" ht="30" customHeight="1">
      <c r="A23" s="24" t="inlineStr">
        <is>
          <t>Simple explanation (Hinglish)</t>
        </is>
      </c>
      <c r="B23" s="17">
        <f>INDEX('Topic (56-pt) cards'!$A$3:$BB$28,MATCH($B$2,'Topic (56-pt) cards'!$A$3:$A$28,0),MATCH("Simple explanation (Hinglish)",'Topic (56-pt) cards'!$A$2:$BB$2,0))&amp;""</f>
        <v/>
      </c>
    </row>
    <row r="24" ht="30" customHeight="1">
      <c r="A24" s="24" t="inlineStr">
        <is>
          <t>Real-life analogy</t>
        </is>
      </c>
      <c r="B24" s="17">
        <f>INDEX('Topic (56-pt) cards'!$A$3:$BB$28,MATCH($B$2,'Topic (56-pt) cards'!$A$3:$A$28,0),MATCH("Real-life analogy",'Topic (56-pt) cards'!$A$2:$BB$2,0))&amp;""</f>
        <v/>
      </c>
    </row>
    <row r="25" ht="30" customHeight="1">
      <c r="A25" s="24" t="inlineStr">
        <is>
          <t>Formula / rule</t>
        </is>
      </c>
      <c r="B25" s="17">
        <f>INDEX('Topic (56-pt) cards'!$A$3:$BB$28,MATCH($B$2,'Topic (56-pt) cards'!$A$3:$A$28,0),MATCH("Formula / rule",'Topic (56-pt) cards'!$A$2:$BB$2,0))&amp;""</f>
        <v/>
      </c>
    </row>
    <row r="26" ht="30" customHeight="1">
      <c r="A26" s="24" t="inlineStr">
        <is>
          <t>Example 1</t>
        </is>
      </c>
      <c r="B26" s="17">
        <f>INDEX('Topic (56-pt) cards'!$A$3:$BB$28,MATCH($B$2,'Topic (56-pt) cards'!$A$3:$A$28,0),MATCH("Example 1",'Topic (56-pt) cards'!$A$2:$BB$2,0))&amp;""</f>
        <v/>
      </c>
    </row>
    <row r="27" ht="30" customHeight="1">
      <c r="A27" s="24" t="inlineStr">
        <is>
          <t>Example 2</t>
        </is>
      </c>
      <c r="B27" s="17">
        <f>INDEX('Topic (56-pt) cards'!$A$3:$BB$28,MATCH($B$2,'Topic (56-pt) cards'!$A$3:$A$28,0),MATCH("Example 2",'Topic (56-pt) cards'!$A$2:$BB$2,0))&amp;""</f>
        <v/>
      </c>
    </row>
    <row r="28" ht="30" customHeight="1">
      <c r="A28" s="24" t="inlineStr">
        <is>
          <t>Example 3</t>
        </is>
      </c>
      <c r="B28" s="17">
        <f>INDEX('Topic (56-pt) cards'!$A$3:$BB$28,MATCH($B$2,'Topic (56-pt) cards'!$A$3:$A$28,0),MATCH("Example 3",'Topic (56-pt) cards'!$A$2:$BB$2,0))&amp;""</f>
        <v/>
      </c>
    </row>
    <row r="29" ht="30" customHeight="1">
      <c r="A29" s="24" t="inlineStr">
        <is>
          <t>Related concepts</t>
        </is>
      </c>
      <c r="B29" s="17">
        <f>INDEX('Topic (56-pt) cards'!$A$3:$BB$28,MATCH($B$2,'Topic (56-pt) cards'!$A$3:$A$28,0),MATCH("Related concepts",'Topic (56-pt) cards'!$A$2:$BB$2,0))&amp;""</f>
        <v/>
      </c>
    </row>
    <row r="30" ht="30" customHeight="1">
      <c r="A30" s="24" t="inlineStr">
        <is>
          <t>Family / group</t>
        </is>
      </c>
      <c r="B30" s="17">
        <f>INDEX('Topic (56-pt) cards'!$A$3:$BB$28,MATCH($B$2,'Topic (56-pt) cards'!$A$3:$A$28,0),MATCH("Family / group",'Topic (56-pt) cards'!$A$2:$BB$2,0))&amp;""</f>
        <v/>
      </c>
    </row>
    <row r="31" ht="30" customHeight="1">
      <c r="A31" s="24" t="inlineStr">
        <is>
          <t>Where it is used</t>
        </is>
      </c>
      <c r="B31" s="17">
        <f>INDEX('Topic (56-pt) cards'!$A$3:$BB$28,MATCH($B$2,'Topic (56-pt) cards'!$A$3:$A$28,0),MATCH("Where it is used",'Topic (56-pt) cards'!$A$2:$BB$2,0))&amp;""</f>
        <v/>
      </c>
    </row>
    <row r="32" ht="30" customHeight="1">
      <c r="A32" s="24" t="inlineStr">
        <is>
          <t>Mini conversation</t>
        </is>
      </c>
      <c r="B32" s="17">
        <f>INDEX('Topic (56-pt) cards'!$A$3:$BB$28,MATCH($B$2,'Topic (56-pt) cards'!$A$3:$A$28,0),MATCH("Mini conversation",'Topic (56-pt) cards'!$A$2:$BB$2,0))&amp;""</f>
        <v/>
      </c>
    </row>
    <row r="33" ht="30" customHeight="1">
      <c r="A33" s="24" t="inlineStr">
        <is>
          <t>Common mistake</t>
        </is>
      </c>
      <c r="B33" s="17">
        <f>INDEX('Topic (56-pt) cards'!$A$3:$BB$28,MATCH($B$2,'Topic (56-pt) cards'!$A$3:$A$28,0),MATCH("Common mistake",'Topic (56-pt) cards'!$A$2:$BB$2,0))&amp;""</f>
        <v/>
      </c>
    </row>
    <row r="34" ht="30" customHeight="1">
      <c r="A34" s="24" t="inlineStr">
        <is>
          <t>Don't confuse with</t>
        </is>
      </c>
      <c r="B34" s="17">
        <f>INDEX('Topic (56-pt) cards'!$A$3:$BB$28,MATCH($B$2,'Topic (56-pt) cards'!$A$3:$A$28,0),MATCH("Don't confuse with",'Topic (56-pt) cards'!$A$2:$BB$2,0))&amp;""</f>
        <v/>
      </c>
    </row>
    <row r="35" ht="30" customHeight="1">
      <c r="A35" s="24" t="inlineStr">
        <is>
          <t>Avoid / don't</t>
        </is>
      </c>
      <c r="B35" s="17">
        <f>INDEX('Topic (56-pt) cards'!$A$3:$BB$28,MATCH($B$2,'Topic (56-pt) cards'!$A$3:$A$28,0),MATCH("Avoid / don't",'Topic (56-pt) cards'!$A$2:$BB$2,0))&amp;""</f>
        <v/>
      </c>
    </row>
    <row r="36" ht="30" customHeight="1">
      <c r="A36" s="24" t="inlineStr">
        <is>
          <t>Memory trick</t>
        </is>
      </c>
      <c r="B36" s="17">
        <f>INDEX('Topic (56-pt) cards'!$A$3:$BB$28,MATCH($B$2,'Topic (56-pt) cards'!$A$3:$A$28,0),MATCH("Memory trick",'Topic (56-pt) cards'!$A$2:$BB$2,0))&amp;""</f>
        <v/>
      </c>
    </row>
    <row r="37" ht="30" customHeight="1">
      <c r="A37" s="24" t="inlineStr">
        <is>
          <t>Real life: project / work</t>
        </is>
      </c>
      <c r="B37" s="17">
        <f>INDEX('Topic (56-pt) cards'!$A$3:$BB$28,MATCH($B$2,'Topic (56-pt) cards'!$A$3:$A$28,0),MATCH("Real life: project / work",'Topic (56-pt) cards'!$A$2:$BB$2,0))&amp;""</f>
        <v/>
      </c>
    </row>
    <row r="38" ht="30" customHeight="1">
      <c r="A38" s="24" t="inlineStr">
        <is>
          <t>Real life: interview / exam</t>
        </is>
      </c>
      <c r="B38" s="17">
        <f>INDEX('Topic (56-pt) cards'!$A$3:$BB$28,MATCH($B$2,'Topic (56-pt) cards'!$A$3:$A$28,0),MATCH("Real life: interview / exam",'Topic (56-pt) cards'!$A$2:$BB$2,0))&amp;""</f>
        <v/>
      </c>
    </row>
    <row r="39" ht="30" customHeight="1">
      <c r="A39" s="24" t="inlineStr">
        <is>
          <t>Real life: daily life</t>
        </is>
      </c>
      <c r="B39" s="17">
        <f>INDEX('Topic (56-pt) cards'!$A$3:$BB$28,MATCH($B$2,'Topic (56-pt) cards'!$A$3:$A$28,0),MATCH("Real life: daily life",'Topic (56-pt) cards'!$A$2:$BB$2,0))&amp;""</f>
        <v/>
      </c>
    </row>
    <row r="40">
      <c r="A40" s="27" t="inlineStr">
        <is>
          <t>PRACTICE · Khud karo</t>
        </is>
      </c>
    </row>
    <row r="41" ht="30" customHeight="1">
      <c r="A41" s="24" t="inlineStr">
        <is>
          <t>MCQ question</t>
        </is>
      </c>
      <c r="B41" s="17">
        <f>INDEX('Topic (56-pt) cards'!$A$3:$BB$28,MATCH($B$2,'Topic (56-pt) cards'!$A$3:$A$28,0),MATCH("MCQ question",'Topic (56-pt) cards'!$A$2:$BB$2,0))&amp;""</f>
        <v/>
      </c>
    </row>
    <row r="42" ht="30" customHeight="1">
      <c r="A42" s="24" t="inlineStr">
        <is>
          <t>MCQ options</t>
        </is>
      </c>
      <c r="B42" s="17">
        <f>INDEX('Topic (56-pt) cards'!$A$3:$BB$28,MATCH($B$2,'Topic (56-pt) cards'!$A$3:$A$28,0),MATCH("MCQ options",'Topic (56-pt) cards'!$A$2:$BB$2,0))&amp;""</f>
        <v/>
      </c>
    </row>
    <row r="43" ht="30" customHeight="1">
      <c r="A43" s="24" t="inlineStr">
        <is>
          <t>MCQ answer</t>
        </is>
      </c>
      <c r="B43" s="17">
        <f>INDEX('Topic (56-pt) cards'!$A$3:$BB$28,MATCH($B$2,'Topic (56-pt) cards'!$A$3:$A$28,0),MATCH("MCQ answer",'Topic (56-pt) cards'!$A$2:$BB$2,0))&amp;""</f>
        <v/>
      </c>
    </row>
    <row r="44" ht="30" customHeight="1">
      <c r="A44" s="24" t="inlineStr">
        <is>
          <t>Why that answer</t>
        </is>
      </c>
      <c r="B44" s="17">
        <f>INDEX('Topic (56-pt) cards'!$A$3:$BB$28,MATCH($B$2,'Topic (56-pt) cards'!$A$3:$A$28,0),MATCH("Why that answer",'Topic (56-pt) cards'!$A$2:$BB$2,0))&amp;""</f>
        <v/>
      </c>
    </row>
    <row r="45" ht="30" customHeight="1">
      <c r="A45" s="24" t="inlineStr">
        <is>
          <t>Fill the blank</t>
        </is>
      </c>
      <c r="B45" s="17">
        <f>INDEX('Topic (56-pt) cards'!$A$3:$BB$28,MATCH($B$2,'Topic (56-pt) cards'!$A$3:$A$28,0),MATCH("Fill the blank",'Topic (56-pt) cards'!$A$2:$BB$2,0))&amp;""</f>
        <v/>
      </c>
    </row>
    <row r="46" ht="30" customHeight="1">
      <c r="A46" s="24" t="inlineStr">
        <is>
          <t>Apply it</t>
        </is>
      </c>
      <c r="B46" s="17">
        <f>INDEX('Topic (56-pt) cards'!$A$3:$BB$28,MATCH($B$2,'Topic (56-pt) cards'!$A$3:$A$28,0),MATCH("Apply it",'Topic (56-pt) cards'!$A$2:$BB$2,0))&amp;""</f>
        <v/>
      </c>
    </row>
    <row r="47" ht="30" customHeight="1">
      <c r="A47" s="24" t="inlineStr">
        <is>
          <t>Explain it yourself</t>
        </is>
      </c>
      <c r="B47" s="17">
        <f>INDEX('Topic (56-pt) cards'!$A$3:$BB$28,MATCH($B$2,'Topic (56-pt) cards'!$A$3:$A$28,0),MATCH("Explain it yourself",'Topic (56-pt) cards'!$A$2:$BB$2,0))&amp;""</f>
        <v/>
      </c>
    </row>
    <row r="48" ht="30" customHeight="1">
      <c r="A48" s="24" t="inlineStr">
        <is>
          <t>Write your own</t>
        </is>
      </c>
      <c r="B48" s="17">
        <f>INDEX('Topic (56-pt) cards'!$A$3:$BB$28,MATCH($B$2,'Topic (56-pt) cards'!$A$3:$A$28,0),MATCH("Write your own",'Topic (56-pt) cards'!$A$2:$BB$2,0))&amp;""</f>
        <v/>
      </c>
    </row>
    <row r="49" ht="30" customHeight="1">
      <c r="A49" s="24" t="inlineStr">
        <is>
          <t>Quick recall (reverse)</t>
        </is>
      </c>
      <c r="B49" s="17">
        <f>INDEX('Topic (56-pt) cards'!$A$3:$BB$28,MATCH($B$2,'Topic (56-pt) cards'!$A$3:$A$28,0),MATCH("Quick recall (reverse)",'Topic (56-pt) cards'!$A$2:$BB$2,0))&amp;""</f>
        <v/>
      </c>
    </row>
  </sheetData>
  <mergeCells count="3">
    <mergeCell ref="A4:B4"/>
    <mergeCell ref="A19:B19"/>
    <mergeCell ref="A40:B40"/>
  </mergeCells>
  <dataValidations count="1">
    <dataValidation sqref="B2" showDropDown="0" showInputMessage="0" showErrorMessage="0" allowBlank="0" type="list">
      <formula1>='Topic (56-pt) cards'!$A$3:$A$28</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1"/>
  <sheetViews>
    <sheetView workbookViewId="0">
      <pane ySplit="1" topLeftCell="A2" activePane="bottomLeft" state="frozen"/>
      <selection pane="bottomLeft" activeCell="A1" sqref="A1"/>
    </sheetView>
  </sheetViews>
  <sheetFormatPr baseColWidth="8" defaultRowHeight="15"/>
  <cols>
    <col width="55" customWidth="1" min="1" max="1"/>
    <col width="90" customWidth="1" min="2" max="2"/>
    <col width="30" customWidth="1" min="3" max="3"/>
  </cols>
  <sheetData>
    <row r="1">
      <c r="A1" s="28" t="inlineStr">
        <is>
          <t>Front</t>
        </is>
      </c>
      <c r="B1" s="28" t="inlineStr">
        <is>
          <t>Back</t>
        </is>
      </c>
      <c r="C1" s="28" t="inlineStr">
        <is>
          <t>Tags</t>
        </is>
      </c>
    </row>
    <row r="2" ht="409" customHeight="1">
      <c r="A2" s="29" t="inlineStr">
        <is>
          <t>Authentication vs authorisation
Which two questions separate proving who you are from deciding what you may do?</t>
        </is>
      </c>
      <c r="B2" s="29" t="inlineStr">
        <is>
          <t>DEFINITION (SIMPLE):
Authentication verifies who a user or system is, and authorisation decides which actions and resources that identity is allowed to use.
HOW / WHY IT WORKS:
Authentication uses passwords, codes, keys or biometrics. Authorisation uses roles, scopes, policies and attributes. A user can be authenticated but still denied. OAuth is about authorisation, while OpenID Connect adds authentication. HTTP status 401 means not authenticated, and 403 means not allowed.
SIMPLE EXPLANATION (HINGLISH):
Authentication answers who you are, authorisation answers what you can do.
REAL-LIFE ANALOGY:
Authentication is showing your passport, and authorisation is the visa for where you may go.
FORMULA / RULE:
AuthN = who. AuthZ = what.
EXAMPLE 1:
Logging in with a password and a code.
EXAMPLE 2:
A user who can read but not delete records.
EXAMPLE 3:
A 403 error after a successful login.
RELATED CONCEPTS:
SSO, MFA, RBAC vs ABAC, scopes and claims
FAMILY / GROUP:
authentication, authorisation, identity, permission, access
WHERE IT IS USED:
Every application | Security reviews | API design
MINI CONVERSATION:
A: The user logged in but sees an error. | B: They are authenticated but not authorised for that page.
COMMON MISTAKE:
✗ Logging in gives access to everything → ✓ Authorisation still decides what each identity may do
DON'T CONFUSE WITH:
401 vs 403: 401 means not authenticated, 403 means authenticated but not allowed.
AVOID / DON'T:
Do not check only that a user is logged in before sensitive actions.
MEMORY TRICK:
Who are you, then what may you do.
REAL LIFE: PROJECT / WORK:
Separating the two checks fixed a page that let any logged-in user view admin data.
REAL LIFE: INTERVIEW / EXAM:
An interviewer may ask: What is the difference between authentication and authorisation?
REAL LIFE: DAILY LIFE:
It is like a passport and a visa.</t>
        </is>
      </c>
      <c r="C2" s="29" t="inlineStr">
        <is>
          <t>01_Basics_Beginner_SSO-001</t>
        </is>
      </c>
    </row>
    <row r="3" ht="409" customHeight="1">
      <c r="A3" s="29" t="inlineStr">
        <is>
          <t>Identity provider and service provider
Which two roles divide who proves identity and who relies on that proof?</t>
        </is>
      </c>
      <c r="B3" s="29" t="inlineStr">
        <is>
          <t>DEFINITION (SIMPLE):
An identity provider authenticates users and issues proof of identity, and a service provider, also called a relying party or client, trusts that proof to grant access to its application.
HOW / WHY IT WORKS:
Examples of identity providers are Microsoft Entra ID, Okta and Google. The application redirects the user to the provider, which authenticates them and returns a signed assertion or token. A trust relationship, set up with metadata and keys, lets the app verify it. SAML uses the terms IdP and SP, and OIDC uses provider and relying party.
SIMPLE EXPLANATION (HINGLISH):
The identity provider logs people in, and apps trust its answer.
REAL-LIFE ANALOGY:
The identity provider is the passport office, and the service provider is the border that trusts its passports.
FORMULA / RULE:
IdP issues proof, SP verifies and trusts it.
EXAMPLE 1:
A company login page run by Entra ID.
EXAMPLE 2:
A SaaS app trusting that company login.
EXAMPLE 3:
Google acting as identity provider for a small app.
RELATED CONCEPTS:
what SSO is, SAML flow, OpenID Connect, directory services
FAMILY / GROUP:
IdP, SP, relying party, trust, metadata
WHERE IT IS USED:
Enterprise apps | SaaS integrations | Customer onboarding
MINI CONVERSATION:
A: Who stores the passwords for our app users? | B: The identity provider does, our app never sees them.
COMMON MISTAKE:
✗ The application checks the user's password itself with SSO → ✓ The identity provider checks it and the app trusts the result
DON'T CONFUSE WITH:
IdP vs SP: one proves identity, the other relies on it.
AVOID / DON'T:
Do not trust assertions without verifying their signature.
MEMORY TRICK:
The IdP proves, and the SP relies on it.
REAL LIFE: PROJECT / WORK:
Connecting a customer's identity provider let their staff sign in without new passwords.
REAL LIFE: INTERVIEW / EXAM:
An interviewer may ask: What is the role of an identity provider?
REAL LIFE: DAILY LIFE:
It is like a passport office and a border.</t>
        </is>
      </c>
      <c r="C3" s="29" t="inlineStr">
        <is>
          <t>01_Basics_Beginner_SSO-002</t>
        </is>
      </c>
    </row>
    <row r="4" ht="409" customHeight="1">
      <c r="A4" s="29" t="inlineStr">
        <is>
          <t>What SSO is
Which approach lets one login give access to many applications?</t>
        </is>
      </c>
      <c r="B4" s="29" t="inlineStr">
        <is>
          <t>DEFINITION (SIMPLE):
Single sign-on lets a user authenticate once with an identity provider and then access multiple applications without logging in again for each.
HOW / WHY IT WORKS:
The first login creates a session at the identity provider. When another app asks for proof, the provider can answer using that session with no new password. Benefits are fewer passwords, central control, easier offboarding and consistent MFA. The risk is concentration, so the provider must be strongly protected.
SIMPLE EXPLANATION (HINGLISH):
Log in once, and reach many apps through the central identity provider.
REAL-LIFE ANALOGY:
SSO is one key card that opens every door in the building.
FORMULA / RULE:
One session at the IdP, many apps trust it.
EXAMPLE 1:
Opening email, chat and HR apps after one login.
EXAMPLE 2:
Disabling one account to remove access everywhere.
EXAMPLE 3:
Enforcing MFA once at the provider.
RELATED CONCEPTS:
identity provider, MFA, sessions, single logout
FAMILY / GROUP:
SSO, session, federation, central login, trust
WHERE IT IS USED:
Enterprises | SaaS | Education
MINI CONVERSATION:
A: Do users type passwords in every app? | B: No, with SSO they log in once at the provider.
COMMON MISTAKE:
✗ SSO means the same password is used everywhere → ✓ Apps never see the password, and they trust the provider's proof
DON'T CONFUSE WITH:
SSO vs password reuse: SSO uses one trusted login, reuse copies a secret into many places.
AVOID / DON'T:
Do not use SSO without MFA on the identity provider.
MEMORY TRICK:
One login, many doors, one strong lock.
REAL LIFE: PROJECT / WORK:
Rolling out SSO cut password reset tickets for a customer.
REAL LIFE: INTERVIEW / EXAM:
An interviewer may ask: What are the benefits and risks of SSO?
REAL LIFE: DAILY LIFE:
It is like one key card for a building.</t>
        </is>
      </c>
      <c r="C4" s="29" t="inlineStr">
        <is>
          <t>01_Basics_Beginner_SSO-003</t>
        </is>
      </c>
    </row>
    <row r="5" ht="409" customHeight="1">
      <c r="A5" s="29" t="inlineStr">
        <is>
          <t>MFA in identity systems
How is a second factor added to the login for all connected apps?</t>
        </is>
      </c>
      <c r="B5" s="29" t="inlineStr">
        <is>
          <t>DEFINITION (SIMPLE):
Multi-factor authentication at the identity provider requires two or more independent proofs, such as a password plus a one-time code, a push approval or a hardware key.
HOW / WHY IT WORKS:
With SSO, MFA is enforced once at the provider and covers all apps. Policies can require stronger factors for risky sign-ins or admin apps. Weak factors such as SMS can be intercepted. Recovery options must be protected, since attackers target them. Conditional access can consider device, location and risk.
SIMPLE EXPLANATION (HINGLISH):
Enforce MFA at the identity provider so every app is protected.
REAL-LIFE ANALOGY:
MFA is the second lock on the one door that guards the whole building.
FORMULA / RULE:
Know + have + are, with strong factors preferred.
EXAMPLE 1:
An authenticator app code after the password.
EXAMPLE 2:
A hardware key required for admins.
EXAMPLE 3:
A conditional access rule for sign-ins from new countries.
RELATED CONCEPTS:
what SSO is, passkeys, sessions, conditional access
FAMILY / GROUP:
MFA, factor, authenticator, hardware key, conditional access
WHERE IT IS USED:
Identity providers | Admin access | Compliance
MINI CONVERSATION:
A: Do we need MFA in every app? | B: No, enforce it at the identity provider.
COMMON MISTAKE:
✗ SMS codes are as strong as hardware keys → ✓ SMS can be intercepted or swapped, so stronger factors are better
DON'T CONFUSE WITH:
Phishing-resistant vs one-time codes: the first cannot be tricked into approving a fake site.
AVOID / DON'T:
Do not leave recovery paths weaker than the login.
MEMORY TRICK:
Strong second lock at the shared door.
REAL LIFE: PROJECT / WORK:
Requiring hardware keys for admins closed a major account takeover risk.
REAL LIFE: INTERVIEW / EXAM:
An interviewer may ask: Which MFA methods are strongest?
REAL LIFE: DAILY LIFE:
It is like a second lock on the main door.</t>
        </is>
      </c>
      <c r="C5" s="29" t="inlineStr">
        <is>
          <t>01_Basics_Beginner_SSO-004</t>
        </is>
      </c>
    </row>
    <row r="6" ht="409" customHeight="1">
      <c r="A6" s="29" t="inlineStr">
        <is>
          <t>Sessions
How does an application remember that you are logged in?</t>
        </is>
      </c>
      <c r="B6" s="29" t="inlineStr">
        <is>
          <t>DEFINITION (SIMPLE):
A session is the period during which a user remains authenticated, tracked by a session cookie or token that the server validates on each request.
HOW / WHY IT WORKS:
After login the server creates a session id stored in a cookie or issues a token. The cookie should be Secure, HttpOnly and SameSite to reduce theft and cross-site misuse. Sessions expire after idle time or a maximum lifetime. With SSO there are two sessions, one at the identity provider and one at each app, with separate lifetimes.
SIMPLE EXPLANATION (HINGLISH):
A session cookie proves you logged in, and it should be protected and short lived.
REAL-LIFE ANALOGY:
A session is a wristband given at the entrance that you show at every ride.
FORMULA / RULE:
Login creates a session, each request proves it.
EXAMPLE 1:
A cookie named session with HttpOnly set.
EXAMPLE 2:
Logging out after thirty minutes idle.
EXAMPLE 3:
An app session lasting while the IdP session expires.
RELATED CONCEPTS:
what SSO is, token lifetimes, single logout, CSRF
FAMILY / GROUP:
session, cookie, HttpOnly, SameSite, idle timeout
WHERE IT IS USED:
Web apps | SSO | Security reviews
MINI CONVERSATION:
A: I signed out of the app but the identity provider still logs me in. | B: There are two sessions, one in each place.
COMMON MISTAKE:
✗ Logging out of one app ends all sessions → ✓ Each app and the provider keep their own sessions
DON'T CONFUSE WITH:
IdP session vs app session: the provider's session may outlive the app's.
AVOID / DON'T:
Do not store session ids in places scripts can read.
MEMORY TRICK:
Secure, HttpOnly, SameSite on every cookie.
REAL LIFE: PROJECT / WORK:
Setting cookie flags stopped session theft through a script injection test.
REAL LIFE: INTERVIEW / EXAM:
An interviewer may ask: How do you protect session cookies?
REAL LIFE: DAILY LIFE:
It is like a wristband shown at every ride.</t>
        </is>
      </c>
      <c r="C6" s="29" t="inlineStr">
        <is>
          <t>01_Basics_Beginner_SSO-005</t>
        </is>
      </c>
    </row>
    <row r="7" ht="409" customHeight="1">
      <c r="A7" s="29" t="inlineStr">
        <is>
          <t>Directory services: LDAP and Active Directory
Which systems store users, groups and credentials centrally for organisations?</t>
        </is>
      </c>
      <c r="B7" s="29" t="inlineStr">
        <is>
          <t>DEFINITION (SIMPLE):
A directory service stores identities, groups and attributes in a hierarchy, with LDAP as the standard query protocol and Active Directory as Microsoft's widely used implementation.
HOW / WHY IT WORKS:
Entries have a distinguished name such as cn=asha,ou=staff,dc=example,dc=com. Applications can bind to the directory to check credentials or search for groups. Active Directory also provides Kerberos login for Windows networks. Cloud systems such as Entra ID sync with or replace it. LDAP should always use encryption.
SIMPLE EXPLANATION (HINGLISH):
A directory holds users and groups, and apps query it through LDAP.
REAL-LIFE ANALOGY:
A directory is the company phone book that also decides who may sign in.
FORMULA / RULE:
Directory = users + groups + attributes in a tree.
EXAMPLE 1:
A search for members of the engineering group.
EXAMPLE 2:
A Windows login checked by Active Directory.
EXAMPLE 3:
Entra Connect syncing users to the cloud.
RELATED CONCEPTS:
identity provider, groups and roles, SCIM, Kerberos
FAMILY / GROUP:
LDAP, Active Directory, DN, bind, Kerberos
WHERE IT IS USED:
Enterprises | Legacy apps | Hybrid identity
MINI CONVERSATION:
A: Our old app logs in against LDAP. | B: Use LDAPS or move it to the identity provider.
COMMON MISTAKE:
✗ LDAP and Active Directory are the same → ✓ LDAP is a protocol, and Active Directory is a product that uses it
DON'T CONFUSE WITH:
LDAP vs Active Directory: protocol versus product.
AVOID / DON'T:
Do not send LDAP binds in clear text.
MEMORY TRICK:
LDAP is the language, AD is the library.
REAL LIFE: PROJECT / WORK:
Replacing direct LDAP logins with the identity provider removed passwords from the app.
REAL LIFE: INTERVIEW / EXAM:
An interviewer may ask: What is LDAP?
REAL LIFE: DAILY LIFE:
It is like a company phone book.</t>
        </is>
      </c>
      <c r="C7" s="29" t="inlineStr">
        <is>
          <t>01_Basics_Intermediate_SSO-006</t>
        </is>
      </c>
    </row>
    <row r="8" ht="409" customHeight="1">
      <c r="A8" s="29" t="inlineStr">
        <is>
          <t>SAML flow and assertions
How does SAML move a user from an app to the identity provider and back with a signed statement?</t>
        </is>
      </c>
      <c r="B8" s="29" t="inlineStr">
        <is>
          <t>DEFINITION (SIMPLE):
SAML is an XML-based standard where the service provider redirects the browser to the identity provider, which authenticates the user and returns a signed assertion containing the identity and attributes.
HOW / WHY IT WORKS:
In the SP-initiated flow, the app sends an authentication request, the user logs in at the IdP, and the IdP posts a response with a signed assertion to the app's assertion consumer service URL. The app checks signature, issuer, audience, validity times and the request id. Metadata files exchange entity ids, endpoints and certificates. Assertions are typically valid for minutes.
SIMPLE EXPLANATION (HINGLISH):
The app redirects to the IdP, the user logs in, and a signed assertion returns to the app.
REAL-LIFE ANALOGY:
SAML is a sealed letter from the passport office carried by the traveller to the border.
FORMULA / RULE:
Redirect, login, signed assertion, verify.
EXAMPLE 1:
An SP-initiated login from a SaaS app.
EXAMPLE 2:
An IdP-initiated login from a company portal.
EXAMPLE 3:
An assertion with email and group attributes.
RELATED CONCEPTS:
identity provider, JWT validation, certificate rotation, clock skew
FAMILY / GROUP:
assertion, ACS, entity id, metadata, audience
WHERE IT IS USED:
Enterprise SaaS | Federation | Customer SSO setups
MINI CONVERSATION:
A: The login returns an invalid audience error. | B: The entity id in the app does not match the IdP configuration.
COMMON MISTAKE:
✗ The assertion can be trusted if it came through the user's browser → ✓ Only the verified signature makes it trustworthy
DON'T CONFUSE WITH:
SP-initiated vs IdP-initiated: the app starts the first, the provider portal starts the second.
AVOID / DON'T:
Do not skip signature or audience checks.
MEMORY TRICK:
Check signature, issuer, audience and time.
REAL LIFE: PROJECT / WORK:
Fixing an audience mismatch got a customer's SAML login working.
REAL LIFE: INTERVIEW / EXAM:
An interviewer may ask: What does an app verify in a SAML assertion?
REAL LIFE: DAILY LIFE:
It is like a sealed letter carried by the traveller.</t>
        </is>
      </c>
      <c r="C8" s="29" t="inlineStr">
        <is>
          <t>02_Protocols_Intermediate_SSO-007</t>
        </is>
      </c>
    </row>
    <row r="9" ht="409" customHeight="1">
      <c r="A9" s="29" t="inlineStr">
        <is>
          <t>OAuth 2.0 grants
Which flows let an app obtain an access token, and when is each used?</t>
        </is>
      </c>
      <c r="B9" s="29" t="inlineStr">
        <is>
          <t>DEFINITION (SIMPLE):
OAuth 2.0 is an authorisation framework with grants such as authorisation code with PKCE for users, client credentials for services and refresh tokens, which give clients access tokens with limited scopes.
HOW / WHY IT WORKS:
In the authorisation code flow, the user logs in at the authorisation server and the app exchanges a short-lived code for tokens. The implicit and password grants are deprecated. Client credentials suit backend calls with no user. Device code suits televisions and command line tools. Tokens carry scopes that limit what they allow.
SIMPLE EXPLANATION (HINGLISH):
Use code with PKCE for users, client credentials for services, and avoid implicit and password grants.
REAL-LIFE ANALOGY:
OAuth is a valet key that opens the car but not the glove box.
FORMULA / RULE:
User present = code with PKCE. No user = client credentials.
EXAMPLE 1:
A web app signing in a user with code flow.
EXAMPLE 2:
A backend job calling an API with client credentials.
EXAMPLE 3:
A TV app using device code.
RELATED CONCEPTS:
OpenID Connect, PKCE, scopes and claims, refresh tokens
FAMILY / GROUP:
grant, access token, scope, authorisation server, client
WHERE IT IS USED:
APIs | Mobile apps | Integrations
MINI CONVERSATION:
A: Can our backend job use a user login flow? | B: No, use client credentials since no user is present.
COMMON MISTAKE:
✗ OAuth is an authentication protocol → ✓ OAuth is for authorisation, and OpenID Connect adds authentication
DON'T CONFUSE WITH:
Code flow vs client credentials: one acts for a user, the other for the app itself.
AVOID / DON'T:
Do not use the implicit or password grants.
MEMORY TRICK:
A user means code, no user means credentials.
REAL LIFE: PROJECT / WORK:
Moving from the password grant to the code flow removed passwords from a client app.
REAL LIFE: INTERVIEW / EXAM:
An interviewer may ask: Which OAuth flow would you use for a single page app?
REAL LIFE: DAILY LIFE:
It is like a valet key.</t>
        </is>
      </c>
      <c r="C9" s="29" t="inlineStr">
        <is>
          <t>02_Protocols_Intermediate_SSO-008</t>
        </is>
      </c>
    </row>
    <row r="10" ht="409" customHeight="1">
      <c r="A10" s="29" t="inlineStr">
        <is>
          <t>OpenID Connect and ID tokens
Which layer on OAuth tells an app who the user is?</t>
        </is>
      </c>
      <c r="B10" s="29" t="inlineStr">
        <is>
          <t>DEFINITION (SIMPLE):
OpenID Connect is an identity layer on OAuth 2.0 that returns a signed JWT ID token with claims about the authenticated user, using the openid scope.
HOW / WHY IT WORKS:
The app requests the openid scope plus profile or email. The ID token contains claims such as issuer, subject, audience, expiry and nonce. The app validates it and creates its own session. A discovery document at a well-known URL lists endpoints and keys. The userinfo endpoint returns more claims.
SIMPLE EXPLANATION (HINGLISH):
Ask for the openid scope, validate the ID token, and read the user's claims.
REAL-LIFE ANALOGY:
The ID token is the name badge, and the access token is the key card.
FORMULA / RULE:
OIDC = OAuth + ID token + openid scope.
EXAMPLE 1:
Scope: openid profile email.
EXAMPLE 2:
A discovery document at /.well-known/openid-configuration.
EXAMPLE 3:
Claims sub, iss, aud, exp and nonce.
RELATED CONCEPTS:
OAuth grants, JWT validation, scopes and claims, PKCE
FAMILY / GROUP:
OIDC, ID token, claim, discovery, nonce
WHERE IT IS USED:
Modern logins | Social login | Enterprise SSO
MINI CONVERSATION:
A: Which token tells us the user's email? | B: The ID token, since the access token is for APIs.
COMMON MISTAKE:
✗ The access token proves who the user is → ✓ The ID token carries identity, the access token is for the API
DON'T CONFUSE WITH:
ID token vs access token: identity for the app versus permission for the API.
AVOID / DON'T:
Do not use an access token as proof of login.
MEMORY TRICK:
ID token for identity, access token for APIs.
REAL LIFE: PROJECT / WORK:
Reading the discovery document simplified connecting a new OIDC provider.
REAL LIFE: INTERVIEW / EXAM:
An interviewer may ask: What is the difference between an ID token and an access token?
REAL LIFE: DAILY LIFE:
It is like a name badge and a key card.</t>
        </is>
      </c>
      <c r="C10" s="29" t="inlineStr">
        <is>
          <t>02_Protocols_Intermediate_SSO-009</t>
        </is>
      </c>
    </row>
    <row r="11" ht="409" customHeight="1">
      <c r="A11" s="29" t="inlineStr">
        <is>
          <t>Scopes and claims
Which two ideas describe what a token allows and what facts it states about the user?</t>
        </is>
      </c>
      <c r="B11" s="29" t="inlineStr">
        <is>
          <t>DEFINITION (SIMPLE):
Scopes are permissions requested by a client and granted in a token, and claims are statements in a token about the user or the token, such as email, roles, issuer and expiry.
HOW / WHY IT WORKS:
A scope like read:orders lets the client read orders only. Claims may include groups or roles that the API uses for decisions. The audience claim says which API the token is meant for. Do not put sensitive data in tokens that clients can read. Custom claims should be documented and kept small.
SIMPLE EXPLANATION (HINGLISH):
Scopes limit what the client can do, and claims describe the user and the token.
REAL-LIFE ANALOGY:
Scopes are the rooms a key card opens, and claims are the details printed on the badge.
FORMULA / RULE:
Scopes = allowed actions. Claims = facts.
EXAMPLE 1:
scope: read:orders write:orders
EXAMPLE 2:
claim roles: ["admin"]
EXAMPLE 3:
claim aud: https://api.example.com
RELATED CONCEPTS:
OAuth grants, OpenID Connect, JWT validation, RBAC vs ABAC
FAMILY / GROUP:
scope, claim, audience, role, subject
WHERE IT IS USED:
APIs | Authorisation | Token design
MINI CONVERSATION:
A: Why can the app read orders but not delete them? | B: The token has only the read scope.
COMMON MISTAKE:
✗ Claims in a token are private → ✓ Anyone holding the token can read them, so keep sensitive data out
DON'T CONFUSE WITH:
Scope vs claim: scope is permission, claim is information.
AVOID / DON'T:
Do not put secrets in tokens.
MEMORY TRICK:
Scopes limit access, claims describe the user.
REAL LIFE: PROJECT / WORK:
Narrowing scopes cut what a leaked token could do.
REAL LIFE: INTERVIEW / EXAM:
An interviewer may ask: What is the difference between a scope and a claim?
REAL LIFE: DAILY LIFE:
It is like rooms a key card opens and the badge details.</t>
        </is>
      </c>
      <c r="C11" s="29" t="inlineStr">
        <is>
          <t>02_Protocols_Advanced_SSO-010</t>
        </is>
      </c>
    </row>
    <row r="12" ht="409" customHeight="1">
      <c r="A12" s="29" t="inlineStr">
        <is>
          <t>PKCE
Which extension protects the authorisation code flow for apps that cannot keep a secret?
import base64, hashlib, os
verifier = base64.urlsafe_b64encode(os.urandom(32)).rstrip(b"=").decode()
challenge = base64.urlsafe_b64encode(hashlib.sha256(verifier.encode()).digest()).rstrip(b"=").decode()
auth_url = ("https://idp.example.com/authorize?response_type=code&amp;client_id=APP"
    "&amp;redirect_uri=https://app.example.com/cb&amp;scope=openid%20profile"
    f"&amp;code_challenge={challenge}&amp;code_challenge_method=S256&amp;state=xyz")
# later: POST /token with code and code_verifier=verifier</t>
        </is>
      </c>
      <c r="B12" s="29" t="inlineStr">
        <is>
          <t>MEANING (SHORT):
PKCE has the client create a random code verifier, send its hash as the code challenge in the authorisation request, and send the verifier when exchanging the code, so the server can check they match.
CODE:
import base64, hashlib, os
verifier = base64.urlsafe_b64encode(os.urandom(32)).rstrip(b"=").decode()
challenge = base64.urlsafe_b64encode(hashlib.sha256(verifier.encode()).digest()).rstrip(b"=").decode()
auth_url = ("https://idp.example.com/authorize?response_type=code&amp;client_id=APP"
    "&amp;redirect_uri=https://app.example.com/cb&amp;scope=openid%20profile"
    f"&amp;code_challenge={challenge}&amp;code_challenge_method=S256&amp;state=xyz")
# later: POST /token with code and code_verifier=verifier
OUTPUT:
The authorisation request carries the challenge, and the token request carries the verifier, which the server hashes and compares.
EXPLANATION:
An attacker who steals the code from a redirect cannot use it without the verifier, which never travelled in the first request. Use the S256 method, not plain. The state parameter protects against cross-site request forgery. The nonce ties the ID token to the request. Libraries do this automatically.
SIMPLE EXPLANATION (HINGLISH):
Send a hash first and the secret later, so a stolen code is useless.
REAL-LIFE ANALOGY:
PKCE is a claim ticket that only the person who made the order can match.
SYNTAX PATTERN:
code_challenge = BASE64URL(SHA256(code_verifier))
ANATOMY:
verifier = random secret | challenge = its hash | S256 = method | state = CSRF guard
EXAMPLE 1:
code_challenge_method=S256
EXAMPLE 2:
state=random-string
EXAMPLE 3:
nonce=random-string
VARIATION:
client secret on a backend   // confidential clients still add PKCE
USED WITH:
OAuth code flow, OpenID Connect, mobile apps
RELATED CONCEPTS:
OAuth grants, redirect URI rules, CSRF, token theft
ALTERNATIVES:
Client secrets for server-side apps
WHERE IT IS USED:
Single page apps | Mobile apps | All modern logins
MINI CONVERSATION:
A: Can a stolen authorisation code be used? | B: Not without the verifier that PKCE requires.
COMMON MISTAKE:
✗ PKCE is only for mobile apps → ✓ It is recommended for all authorisation code flows
COMMONLY CONFUSED WITH:
state vs PKCE: state guards the redirect, PKCE guards the code exchange.
AVOID / DON'T:
Do not use the plain challenge method.
WRONG CODE:
code_challenge_method=plain
RIGHT CODE:
code_challenge_method=S256
MEMORY TRICK:
Hash goes first, verifier comes later.
REAL LIFE: PROJECT / WORK:
Adding PKCE to a single page app removed the need for any client secret in the browser.
REAL LIFE: INTERVIEW / EXAM:
An interviewer may ask: What problem does PKCE solve?
REAL LIFE: DAILY LIFE:
It is like a claim ticket that only the orderer can match.</t>
        </is>
      </c>
      <c r="C12" s="29" t="inlineStr">
        <is>
          <t>02_Protocols_Advanced_SSO-011</t>
        </is>
      </c>
    </row>
    <row r="13" ht="409" customHeight="1">
      <c r="A13" s="29" t="inlineStr">
        <is>
          <t>JWT validation
Which checks must an API make before trusting a JSON Web Token?
import jwt   # PyJWT
claims = jwt.decode(
    token,
    key=public_key_from_jwks,
    algorithms=["RS256"],
    audience="https://api.example.com",
    issuer="https://idp.example.com/",
    leeway=30,
)
print(claims["sub"], claims.get("scope"))</t>
        </is>
      </c>
      <c r="B13" s="29" t="inlineStr">
        <is>
          <t>MEANING (SHORT):
A JWT has a header, payload and signature, and validation checks the signature with the issuer's key, the algorithm, issuer, audience, expiry and not-before times.
CODE:
import jwt   # PyJWT
claims = jwt.decode(
    token,
    key=public_key_from_jwks,
    algorithms=["RS256"],
    audience="https://api.example.com",
    issuer="https://idp.example.com/",
    leeway=30,
)
print(claims["sub"], claims.get("scope"))
OUTPUT:
The claims are returned only if the signature, issuer, audience and times are valid, with thirty seconds of allowed clock difference.
EXPLANATION:
Keys come from the provider's JWKS endpoint and are chosen using the kid header. Allow only expected algorithms, because attackers try none or switching to a shared secret. Check exp and nbf with a small leeway. A JWT is signed, not encrypted, so anyone can read it. Revocation needs short lifetimes or introspection.
SIMPLE EXPLANATION (HINGLISH):
Verify signature, algorithm, issuer, audience and time, and never trust an unverified token.
REAL-LIFE ANALOGY:
Validating a token is checking a banknote for watermark, date and issuer.
SYNTAX PATTERN:
jwt.decode(token, key, algorithms=[...], audience=..., issuer=...)
ANATOMY:
header = algorithm and kid | payload = claims | signature = proof | JWKS = public keys
EXAMPLE 1:
kid selects the key from the JWKS.
EXAMPLE 2:
exp is a Unix time in seconds.
EXAMPLE 3:
aud must match this API.
VARIATION:
opaque tokens with introspection   // ask the server instead of decoding
USED WITH:
OIDC, OAuth, APIs
RELATED CONCEPTS:
scopes and claims, token lifetimes, clock skew, OpenID Connect
ALTERNATIVES:
Token introspection | opaque tokens
WHERE IT IS USED:
APIs | Gateways | Microservices
MINI CONVERSATION:
A: Can we just decode the token and read the user? | B: No, you must verify the signature and claims first.
COMMON MISTAKE:
✗ A JWT is encrypted so its contents are private → ✓ It is only signed, and anyone can decode the payload
COMMONLY CONFUSED WITH:
Decode vs verify: decoding reads the payload, verifying proves it is genuine.
AVOID / DON'T:
Do not accept the none algorithm.
WRONG CODE:
claims = jwt.decode(token, options={"verify_signature": False})
RIGHT CODE:
claims = jwt.decode(token, key, algorithms=["RS256"], audience=AUD, issuer=ISS)
MEMORY TRICK:
Decoding reads it, verifying trusts it.
REAL LIFE: PROJECT / WORK:
Adding audience checks stopped tokens meant for another API being accepted.
REAL LIFE: INTERVIEW / EXAM:
An interviewer may ask: What do you validate in a JWT?
REAL LIFE: DAILY LIFE:
It is like checking a banknote.</t>
        </is>
      </c>
      <c r="C13" s="29" t="inlineStr">
        <is>
          <t>02_Protocols_Intermediate_SSO-012</t>
        </is>
      </c>
    </row>
    <row r="14" ht="409" customHeight="1">
      <c r="A14" s="29" t="inlineStr">
        <is>
          <t>Token lifetimes
How long should access, ID and refresh tokens live?</t>
        </is>
      </c>
      <c r="B14" s="29" t="inlineStr">
        <is>
          <t>DEFINITION (SIMPLE):
Token lifetime is the time a token stays valid, with access tokens typically short, ID tokens short and refresh tokens longer, set by the authorisation server.
HOW / WHY IT WORKS:
Short access tokens limit the damage of theft because they expire quickly. Refresh tokens allow getting new ones without another login, but are powerful and need protection and rotation. Session lifetimes at the provider decide how often users must log in. Revoking a JWT before expiry needs extra mechanisms, which short lifetimes avoid.
SIMPLE EXPLANATION (HINGLISH):
Short access tokens, protected longer refresh tokens, and clear session limits.
REAL-LIFE ANALOGY:
Token lifetimes are the validity of a ticket, where shorter means less damage if lost.
FORMULA / RULE:
Shorter life = smaller risk, more renewals.
EXAMPLE 1:
An access token valid for ten minutes.
EXAMPLE 2:
A refresh token valid for a day with rotation.
EXAMPLE 3:
A session ending after eight hours.
RELATED CONCEPTS:
refresh tokens, JWT validation, sessions, token theft
FAMILY / GROUP:
expiry, lifetime, renewal, rotation, revocation
WHERE IT IS USED:
Authorisation servers | APIs | Security reviews
MINI CONVERSATION:
A: Users are logged out too often. | B: Use refresh tokens rather than longer access tokens.
COMMON MISTAKE:
✗ Long-lived access tokens are more convenient and fine → ✓ A stolen long-lived token stays dangerous for a long time
DON'T CONFUSE WITH:
Access vs refresh token: access is short and used on APIs, refresh is longer and used to get new access tokens.
AVOID / DON'T:
Do not issue access tokens that last for days.
MEMORY TRICK:
Keep access short and guard the refresh.
REAL LIFE: PROJECT / WORK:
Shortening access token lifetimes cut the window for abuse of leaked tokens.
REAL LIFE: INTERVIEW / EXAM:
An interviewer may ask: How long should access tokens live?
REAL LIFE: DAILY LIFE:
It is like the validity of a ticket.</t>
        </is>
      </c>
      <c r="C14" s="29" t="inlineStr">
        <is>
          <t>02_Protocols_Intermediate_SSO-013</t>
        </is>
      </c>
    </row>
    <row r="15" ht="409" customHeight="1">
      <c r="A15" s="29" t="inlineStr">
        <is>
          <t>Refresh tokens
Which long-lived credentials obtain new access tokens without another login?</t>
        </is>
      </c>
      <c r="B15" s="29" t="inlineStr">
        <is>
          <t>DEFINITION (SIMPLE):
A refresh token is a credential issued with an access token that a client presents to the authorisation server to receive a new access token, usually with rotation and limits.
HOW / WHY IT WORKS:
Refresh tokens are sent only to the token endpoint, never to APIs. Rotation issues a new refresh token each time and invalidates the old one, so reuse signals theft. They can be bound to the client and have absolute expiry. Browser apps need extra care, such as secure cookies via a backend. Revoking a refresh token stops further renewals, and the current access token ends at its expiry.
SIMPLE EXPLANATION (HINGLISH):
Use a refresh token only at the token endpoint, rotate it, and revoke it on logout.
REAL-LIFE ANALOGY:
A refresh token is a season pass used to get a day ticket each morning.
FORMULA / RULE:
Refresh token buys new access tokens, rotated on each use.
EXAMPLE 1:
A mobile app renewing its access token silently.
EXAMPLE 2:
Reuse of an old refresh token revoking the session.
EXAMPLE 3:
Revocation at logout.
RELATED CONCEPTS:
token lifetimes, OAuth grants, token theft, sessions
FAMILY / GROUP:
refresh, rotation, reuse detection, revoke, token endpoint
WHERE IT IS USED:
Mobile apps | Web apps | Authorisation servers
MINI CONVERSATION:
A: Should the refresh token go to the API? | B: No, only to the token endpoint.
COMMON MISTAKE:
✗ Refresh tokens can be stored anywhere in the browser → ✓ They are powerful and need secure storage, ideally server-side
DON'T CONFUSE WITH:
Access vs refresh token: one calls APIs, the other renews access.
AVOID / DON'T:
Do not send refresh tokens to resource APIs.
MEMORY TRICK:
Refresh tokens rotate and stay hidden.
REAL LIFE: PROJECT / WORK:
Rotation with reuse detection flagged a stolen token at a customer.
REAL LIFE: INTERVIEW / EXAM:
An interviewer may ask: What is refresh token rotation?
REAL LIFE: DAILY LIFE:
It is like a season pass for day tickets.</t>
        </is>
      </c>
      <c r="C15" s="29" t="inlineStr">
        <is>
          <t>02_Protocols_Intermediate_SSO-014</t>
        </is>
      </c>
    </row>
    <row r="16" ht="409" customHeight="1">
      <c r="A16" s="29" t="inlineStr">
        <is>
          <t>Client credentials
Which grant lets a service get a token for itself with no user?</t>
        </is>
      </c>
      <c r="B16" s="29" t="inlineStr">
        <is>
          <t>DEFINITION (SIMPLE):
The client credentials grant lets a confidential client authenticate with its client id and a secret or certificate and receive an access token with scopes granted to the application itself.
HOW / WHY IT WORKS:
There is no user and no ID token. Scopes represent application permissions. Secrets must be stored in a vault and rotated. Certificates or federated identities avoid stored secrets. Tokens are cached until near expiry. Give each service its own client and minimal scopes.
SIMPLE EXPLANATION (HINGLISH):
A service proves itself and receives a token for its own permissions.
REAL-LIFE ANALOGY:
Client credentials are a staff badge for a robot with its own job.
FORMULA / RULE:
No user, app identity, app permissions.
EXAMPLE 1:
A nightly job calling an internal API.
EXAMPLE 2:
A service using a certificate instead of a secret.
EXAMPLE 3:
A token cached for fifty minutes.
RELATED CONCEPTS:
OAuth grants, service accounts, scopes and claims, secrets
FAMILY / GROUP:
client id, secret, machine to machine, certificate, app permission
WHERE IT IS USED:
Backend jobs | Microservices | Integrations
MINI CONVERSATION:
A: How does the batch job call the API? | B: With client credentials and a narrow scope.
COMMON MISTAKE:
✗ One shared client is fine for all services → ✓ Each service needs its own client with minimal scopes
DON'T CONFUSE WITH:
Client credentials vs code flow: no user versus a user present.
AVOID / DON'T:
Do not share one client secret across many services.
MEMORY TRICK:
Machine in, no user, own scopes.
REAL LIFE: PROJECT / WORK:
Giving each service its own client made access reviews and revocation simple.
REAL LIFE: INTERVIEW / EXAM:
An interviewer may ask: When do you use client credentials?
REAL LIFE: DAILY LIFE:
It is like a staff badge for a robot.</t>
        </is>
      </c>
      <c r="C16" s="29" t="inlineStr">
        <is>
          <t>02_Protocols_Intermediate_SSO-015</t>
        </is>
      </c>
    </row>
    <row r="17" ht="409" customHeight="1">
      <c r="A17" s="29" t="inlineStr">
        <is>
          <t>Redirect URI rules
Why must the redirect address be registered and matched exactly?</t>
        </is>
      </c>
      <c r="B17" s="29" t="inlineStr">
        <is>
          <t>DEFINITION (SIMPLE):
A redirect URI is the address where the authorisation server sends the user and the code or token after login, and servers should compare it exactly with the values registered for the client.
HOW / WHY IT WORKS:
If matching is loose, an attacker can craft a login link that sends the code to their site and take over accounts. Use HTTPS, exact string matches and no wildcards or open redirects on the app. Mobile apps use claimed links or custom schemes with care. Separate redirect URIs per environment.
SIMPLE EXPLANATION (HINGLISH):
Register exact HTTPS addresses and let the server reject any other.
REAL-LIFE ANALOGY:
The redirect URI is the delivery address that must match the registered one exactly.
FORMULA / RULE:
Exact match, HTTPS, no wildcards.
EXAMPLE 1:
https://app.example.com/callback registered exactly.
EXAMPLE 2:
A rejected request with an unregistered address.
EXAMPLE 3:
Different URIs for staging and production.
RELATED CONCEPTS:
OAuth grants, PKCE, token theft, CSRF
FAMILY / GROUP:
redirect, callback, exact match, open redirect, wildcard
WHERE IT IS USED:
OAuth setup | Security reviews | Integrations
MINI CONVERSATION:
A: The login says redirect URI mismatch. | B: The address in the request differs from the registered one.
COMMON MISTAKE:
✗ A wildcard redirect URI is convenient and safe → ✓ It can let attackers capture codes
DON'T CONFUSE WITH:
Exact vs prefix match: exact blocks variants, prefix can be abused.
AVOID / DON'T:
Do not register wildcard redirect URIs.
MEMORY TRICK:
Exact, secure, and one per environment.
REAL LIFE: PROJECT / WORK:
Replacing a wildcard with exact URIs closed an account takeover path.
REAL LIFE: INTERVIEW / EXAM:
An interviewer may ask: Why must redirect URIs be exact?
REAL LIFE: DAILY LIFE:
It is like a delivery address that must match.</t>
        </is>
      </c>
      <c r="C17" s="29" t="inlineStr">
        <is>
          <t>02_Protocols_Intermediate_SSO-016</t>
        </is>
      </c>
    </row>
    <row r="18" ht="409" customHeight="1">
      <c r="A18" s="29" t="inlineStr">
        <is>
          <t>SCIM
Which standard automatically creates, updates and removes users in applications?
curl -X POST https://app.example.com/scim/v2/Users -H "Authorization: Bearer TOKEN" -H "Content-Type: application/scim+json" -d '{"schemas":["urn:ietf:params:scim:schemas:core:2.0:User"],"userName":"asha@example.com","name":{"givenName":"Asha","familyName":"Rao"},"active":true}'
curl -X PATCH https://app.example.com/scim/v2/Users/123 -H "Authorization: Bearer TOKEN" -H "Content-Type: application/scim+json" -d '{"schemas":["urn:ietf:params:scim:api:messages:2.0:PatchOp"],"Operations":[{"op":"replace","path":"active","value":false}]}'</t>
        </is>
      </c>
      <c r="B18" s="29" t="inlineStr">
        <is>
          <t>MEANING (SHORT):
SCIM is a REST API standard with JSON for users and groups, which an identity provider calls to create, update, deactivate and delete accounts in an application.
CODE:
curl -X POST https://app.example.com/scim/v2/Users -H "Authorization: Bearer TOKEN" -H "Content-Type: application/scim+json" -d '{"schemas":["urn:ietf:params:scim:schemas:core:2.0:User"],"userName":"asha@example.com","name":{"givenName":"Asha","familyName":"Rao"},"active":true}'
curl -X PATCH https://app.example.com/scim/v2/Users/123 -H "Authorization: Bearer TOKEN" -H "Content-Type: application/scim+json" -d '{"schemas":["urn:ietf:params:scim:api:messages:2.0:PatchOp"],"Operations":[{"op":"replace","path":"active","value":false}]}'
OUTPUT:
The first call creates a user, and the second deactivates that user.
EXPLANATION:
The app exposes endpoints such as /Users and /Groups. The provider maps its attributes to SCIM fields and syncs on changes. Deactivating is preferred to deleting so history is kept. The bearer token must be protected. Errors are returned as SCIM error messages. SCIM complements SSO, since SSO handles login and SCIM handles accounts.
SIMPLE EXPLANATION (HINGLISH):
The provider calls SCIM endpoints to create, change and deactivate accounts automatically.
REAL-LIFE ANALOGY:
SCIM is a mail carrier that delivers every staff change to each app.
SYNTAX PATTERN:
POST /scim/v2/Users | PATCH /scim/v2/Users/ID
ANATOMY:
schemas = format version | userName = login | active = enabled flag | Operations = changes
EXAMPLE 1:
GET /scim/v2/Users?filter=userName eq "asha@example.com"
EXAMPLE 2:
DELETE /scim/v2/Users/123
EXAMPLE 3:
POST /scim/v2/Groups
VARIATION:
just-in-time provisioning at first login   // an alternative to SCIM
USED WITH:
identity providers, groups and roles, offboarding
RELATED CONCEPTS:
just-in-time provisioning, offboarding, groups and roles, directory services
ALTERNATIVES:
Just-in-time provisioning | manual accounts
WHERE IT IS USED:
Enterprise SaaS | Onboarding | Offboarding
MINI CONVERSATION:
A: A leaver still has an account in the app. | B: Enable SCIM so deactivation in the directory flows through.
COMMON MISTAKE:
✗ SSO also creates and removes accounts → ✓ SSO handles login, and SCIM handles provisioning
COMMONLY CONFUSED WITH:
SSO vs SCIM: login versus account lifecycle.
AVOID / DON'T:
Do not expose SCIM endpoints without strong authentication.
WRONG CODE:
DELETE /scim/v2/Users/123   # loses history
RIGHT CODE:
PATCH ... {"op":"replace","path":"active","value":false}
MEMORY TRICK:
SSO logs in, SCIM manages accounts.
REAL LIFE: PROJECT / WORK:
Turning on SCIM removed access for leavers in a customer's apps within minutes.
REAL LIFE: INTERVIEW / EXAM:
An interviewer may ask: What is the difference between SSO and SCIM?
REAL LIFE: DAILY LIFE:
It is like a mail carrier for staff changes.</t>
        </is>
      </c>
      <c r="C18" s="29" t="inlineStr">
        <is>
          <t>03_Provisioning_and_Access_Intermediate_SSO-017</t>
        </is>
      </c>
    </row>
    <row r="19" ht="409" customHeight="1">
      <c r="A19" s="29" t="inlineStr">
        <is>
          <t>Groups and roles
How do people get permissions through membership instead of individual grants?</t>
        </is>
      </c>
      <c r="B19" s="29" t="inlineStr">
        <is>
          <t>DEFINITION (SIMPLE):
A group is a set of users, and a role is a named set of permissions, so membership in a group grants the role and its permissions.
HOW / WHY IT WORKS:
Identity providers send group or role claims in tokens or assertions, or provision them through SCIM. Apps map those to internal permissions. Changes in the directory then flow to all apps. Least privilege means small, purposeful roles. Access reviews check membership. Avoid very large catch-all groups.
SIMPLE EXPLANATION (HINGLISH):
Put users in groups, give groups roles, and review membership.
REAL-LIFE ANALOGY:
Groups are teams, and roles are the job descriptions the team receives.
FORMULA / RULE:
User → group → role → permissions.
EXAMPLE 1:
A finance group mapped to a reporting role.
EXAMPLE 2:
A groups claim in the token.
EXAMPLE 3:
A quarterly access review.
RELATED CONCEPTS:
RBAC vs ABAC, SCIM, scopes and claims, offboarding
FAMILY / GROUP:
group, role, membership, mapping, review
WHERE IT IS USED:
Access management | Enterprise apps | Audits
MINI CONVERSATION:
A: How do we give the new hire access? | B: Add them to the sales group.
COMMON MISTAKE:
✗ Granting permissions to individuals is easier long term → ✓ Groups scale and make audits simpler
DON'T CONFUSE WITH:
Group vs role: a group is people, a role is permissions.
AVOID / DON'T:
Do not create one giant admin group.
MEMORY TRICK:
People in groups, permissions in roles.
REAL LIFE: PROJECT / WORK:
Mapping directory groups to roles removed manual access requests.
REAL LIFE: INTERVIEW / EXAM:
An interviewer may ask: What is the difference between a group and a role?
REAL LIFE: DAILY LIFE:
It is like a team and its job description.</t>
        </is>
      </c>
      <c r="C19" s="29" t="inlineStr">
        <is>
          <t>03_Provisioning_and_Access_Beginner_SSO-018</t>
        </is>
      </c>
    </row>
    <row r="20" ht="409" customHeight="1">
      <c r="A20" s="29" t="inlineStr">
        <is>
          <t>RBAC vs ABAC
Which two access models decide by role or by attributes?</t>
        </is>
      </c>
      <c r="B20" s="29" t="inlineStr">
        <is>
          <t>DEFINITION (SIMPLE):
Role-based access control grants permissions through roles, and attribute-based access control evaluates policies over attributes of the user, the resource, the action and the environment.
HOW / WHY IT WORKS:
RBAC is simple and easy to audit, but can lead to role explosion. ABAC can express rules such as managers may approve expenses under a limit in their own department during working hours. Policies need good attribute data and testing. Many systems combine both. Policy engines such as OPA evaluate such rules.
SIMPLE EXPLANATION (HINGLISH):
Roles are simple, and attributes allow finer rules.
REAL-LIFE ANALOGY:
RBAC checks your job title at the door, and ABAC also checks the time, place and what you open.
FORMULA / RULE:
RBAC = who you are. ABAC = who, what, where and when.
EXAMPLE 1:
Role editor can edit articles.
EXAMPLE 2:
Managers approve expenses in their own department under a limit.
EXAMPLE 3:
Access only from a managed device.
RELATED CONCEPTS:
groups and roles, scopes and claims, least privilege, policy engines
FAMILY / GROUP:
RBAC, ABAC, attribute, policy, role explosion
WHERE IT IS USED:
Enterprise apps | Data platforms | Compliance
MINI CONVERSATION:
A: We have hundreds of roles now. | B: Use attributes such as department for finer rules.
COMMON MISTAKE:
✗ ABAC replaces RBAC completely → ✓ Most systems combine both
DON'T CONFUSE WITH:
RBAC vs ABAC: roles are coarse and simple, attributes are fine and flexible.
AVOID / DON'T:
Do not build attribute rules without reliable attribute data.
MEMORY TRICK:
Roles are simple, attributes are precise.
REAL LIFE: PROJECT / WORK:
Adding a department attribute removed dozens of near-duplicate roles.
REAL LIFE: INTERVIEW / EXAM:
An interviewer may ask: When would you choose ABAC over RBAC?
REAL LIFE: DAILY LIFE:
It is like checking a job title versus time and place too.</t>
        </is>
      </c>
      <c r="C20" s="29" t="inlineStr">
        <is>
          <t>03_Provisioning_and_Access_Advanced_SSO-019</t>
        </is>
      </c>
    </row>
    <row r="21" ht="409" customHeight="1">
      <c r="A21" s="29" t="inlineStr">
        <is>
          <t>Service accounts
Which non-human identities let applications access systems?</t>
        </is>
      </c>
      <c r="B21" s="29" t="inlineStr">
        <is>
          <t>DEFINITION (SIMPLE):
A service account is a non-human identity used by an application or automation to authenticate and access resources, with its own credentials and permissions.
HOW / WHY IT WORKS:
Risks include forgotten accounts, shared keys and over-broad rights. Prefer short-lived tokens, workload identity and certificates to static keys. Record an owner and purpose, rotate secrets, monitor use and remove unused accounts. Do not use them for human logins.
SIMPLE EXPLANATION (HINGLISH):
Use a separate machine identity per service, with an owner and least rights.
REAL-LIFE ANALOGY:
A service account is a badge for a robot, issued with a named owner.
FORMULA / RULE:
One service, one identity, one owner.
EXAMPLE 1:
A pipeline identity with deploy rights only.
EXAMPLE 2:
A workload identity replacing a stored key.
EXAMPLE 3:
A quarterly review of unused service accounts.
RELATED CONCEPTS:
client credentials, offboarding, least privilege, secrets
FAMILY / GROUP:
service account, workload identity, owner, rotation, machine identity
WHERE IT IS USED:
Automation | Cloud | Integrations
MINI CONVERSATION:
A: Nobody knows who owns this account. | B: Every service account needs a recorded owner.
COMMON MISTAKE:
✗ Service accounts are safe because no person uses them → ✓ They are prized targets and often over-privileged
DON'T CONFUSE WITH:
User vs service account: users are people, service accounts are programs.
AVOID / DON'T:
Do not share one service account across many systems.
MEMORY TRICK:
One robot badge per job.
REAL LIFE: PROJECT / WORK:
Reviewing service accounts found several unused ones with admin rights.
REAL LIFE: INTERVIEW / EXAM:
An interviewer may ask: How do you manage service accounts?
REAL LIFE: DAILY LIFE:
It is like a badge for a robot.</t>
        </is>
      </c>
      <c r="C21" s="29" t="inlineStr">
        <is>
          <t>03_Provisioning_and_Access_Intermediate_SSO-020</t>
        </is>
      </c>
    </row>
    <row r="22" ht="409" customHeight="1">
      <c r="A22" s="29" t="inlineStr">
        <is>
          <t>Just-in-time provisioning
How can an app create an account automatically the first time someone logs in?</t>
        </is>
      </c>
      <c r="B22" s="29" t="inlineStr">
        <is>
          <t>DEFINITION (SIMPLE):
Just-in-time provisioning creates or updates a user account in the application at login time, using the identity and attributes from the assertion or ID token.
HOW / WHY IT WORKS:
It needs no separate sync and works with SAML and OIDC. The app maps claims to fields and roles. The weakness is that it cannot deactivate users who never log in again, so offboarding must be handled by SCIM or by disabling at the provider. Role changes happen only at the next login. Validate claims before trusting them for roles.
SIMPLE EXPLANATION (HINGLISH):
Create or update the account at login, and handle removal separately.
REAL-LIFE ANALOGY:
JIT provisioning is a hotel that registers a guest the moment they arrive.
FORMULA / RULE:
First login creates, later logins update, removal needs another path.
EXAMPLE 1:
A new user appearing after first SSO login.
EXAMPLE 2:
A role updated from a groups claim at login.
EXAMPLE 3:
A leaver with a lingering account.
RELATED CONCEPTS:
SCIM, offboarding, groups and roles, OpenID Connect
FAMILY / GROUP:
JIT, provisioning, claims mapping, first login, sync
WHERE IT IS USED:
SaaS apps | Small integrations | Federation
MINI CONVERSATION:
A: Do we need SCIM for every customer? | B: JIT is enough for creation, but not for removal.
COMMON MISTAKE:
✗ JIT also removes leavers → ✓ It cannot remove accounts of users who stop logging in
DON'T CONFUSE WITH:
JIT vs SCIM: JIT acts at login, SCIM acts on directory changes.
AVOID / DON'T:
Do not grant admin roles from unchecked claims.
MEMORY TRICK:
JIT creates at login, never removes.
REAL LIFE: PROJECT / WORK:
JIT let a customer start quickly, and SCIM was added later for offboarding.
REAL LIFE: INTERVIEW / EXAM:
An interviewer may ask: What are the limits of just-in-time provisioning?
REAL LIFE: DAILY LIFE:
It is like registering a guest on arrival.</t>
        </is>
      </c>
      <c r="C22" s="29" t="inlineStr">
        <is>
          <t>03_Provisioning_and_Access_Intermediate_SSO-021</t>
        </is>
      </c>
    </row>
    <row r="23" ht="409" customHeight="1">
      <c r="A23" s="29" t="inlineStr">
        <is>
          <t>Offboarding
How do you remove all access quickly when someone leaves?</t>
        </is>
      </c>
      <c r="B23" s="29" t="inlineStr">
        <is>
          <t>DEFINITION (SIMPLE):
Offboarding is the process of disabling a leaver's identity, ending their sessions and tokens, removing group memberships and handling data, devices and shared credentials.
HOW / WHY IT WORKS:
With SSO, disabling one account blocks new logins. Existing app sessions and refresh tokens may continue, so revoke them and keep lifetimes short. SCIM deactivates accounts in connected apps. Service accounts and shared secrets they knew must be rotated. Transfer ownership of documents. Keep an audit trail.
SIMPLE EXPLANATION (HINGLISH):
Disable, revoke sessions, remove from groups, rotate shared secrets and keep a record.
REAL-LIFE ANALOGY:
Offboarding is collecting the key cards, then changing the locks.
FORMULA / RULE:
Disable, revoke, remove, rotate, record.
EXAMPLE 1:
Disabling the account in the identity provider.
EXAMPLE 2:
Revoking refresh tokens.
EXAMPLE 3:
Rotating a shared API key the person knew.
RELATED CONCEPTS:
SCIM, sessions, token lifetimes, service accounts
FAMILY / GROUP:
offboarding, revoke, disable, rotate, audit
WHERE IT IS USED:
HR processes | Security | Audits
MINI CONVERSATION:
A: The leaver can still open the app. | B: Their app session is alive, so revoke it.
COMMON MISTAKE:
✗ Disabling the account ends every active session immediately → ✓ Existing sessions and tokens may remain until revoked or expired
DON'T CONFUSE WITH:
Disable vs revoke: disabling blocks new logins, revoking ends existing access.
AVOID / DON'T:
Do not forget shared secrets the leaver knew.
MEMORY TRICK:
Disable, then revoke, then rotate.
REAL LIFE: PROJECT / WORK:
Adding session revocation to the checklist closed a gap where leavers stayed signed in.
REAL LIFE: INTERVIEW / EXAM:
An interviewer may ask: What steps do you take when an employee leaves?
REAL LIFE: DAILY LIFE:
It is like collecting key cards and changing locks.</t>
        </is>
      </c>
      <c r="C23" s="29" t="inlineStr">
        <is>
          <t>03_Provisioning_and_Access_Intermediate_SSO-022</t>
        </is>
      </c>
    </row>
    <row r="24" ht="409" customHeight="1">
      <c r="A24" s="29" t="inlineStr">
        <is>
          <t>Single logout
How can logging out in one place end sessions everywhere?</t>
        </is>
      </c>
      <c r="B24" s="29" t="inlineStr">
        <is>
          <t>DEFINITION (SIMPLE):
Single logout is a mechanism where signing out at the identity provider or one app notifies the other connected apps to end their sessions, using SAML logout messages or OIDC front-channel and back-channel logout.
HOW / WHY IT WORKS:
Front-channel logout uses the browser to load logout URLs in each app, and can fail if cookies are blocked. Back-channel logout sends server-to-server messages and is more reliable. Not all apps support it, so sessions may linger. Short session lifetimes reduce the risk. Users on shared computers need clear logout.
SIMPLE EXPLANATION (HINGLISH):
Notify apps when the provider session ends, and keep session lifetimes short as a backup.
REAL-LIFE ANALOGY:
Single logout is pulling the fire alarm so every room is told to empty.
FORMULA / RULE:
Logout at one place, messages to all apps.
EXAMPLE 1:
Back-channel logout calling an app's endpoint.
EXAMPLE 2:
Front-channel logout loading hidden pages.
EXAMPLE 3:
An app that ignores logout and keeps its session.
RELATED CONCEPTS:
sessions, what SSO is, token lifetimes, offboarding
FAMILY / GROUP:
logout, front-channel, back-channel, session, notification
WHERE IT IS USED:
Enterprise SSO | Shared devices | Compliance
MINI CONVERSATION:
A: I logged out but the other app is still open. | B: That app does not support single logout.
COMMON MISTAKE:
✗ Single logout works the same in all apps → ✓ Support varies and sessions can linger
DON'T CONFUSE WITH:
Front vs back channel: browser-based versus server-to-server.
AVOID / DON'T:
Do not rely on single logout alone.
MEMORY TRICK:
Prefer back-channel, back it with short sessions.
REAL LIFE: PROJECT / WORK:
Back-channel logout closed lingering sessions on shared workstations.
REAL LIFE: INTERVIEW / EXAM:
An interviewer may ask: What is the difference between front-channel and back-channel logout?
REAL LIFE: DAILY LIFE:
It is like a fire alarm telling every room to empty.</t>
        </is>
      </c>
      <c r="C24" s="29" t="inlineStr">
        <is>
          <t>04_Operations_and_Security_Advanced_SSO-023</t>
        </is>
      </c>
    </row>
    <row r="25" ht="409" customHeight="1">
      <c r="A25" s="29" t="inlineStr">
        <is>
          <t>Certificate rotation
How do you replace signing certificates without breaking logins?</t>
        </is>
      </c>
      <c r="B25" s="29" t="inlineStr">
        <is>
          <t>DEFINITION (SIMPLE):
Certificate rotation is replacing the certificate or key used to sign assertions and tokens before it expires, with an overlap period in which relying parties trust both.
HOW / WHY IT WORKS:
For SAML, the IdP metadata lists signing certificates, and apps must import the new one before the IdP starts using it. For OIDC, the JWKS endpoint publishes several keys identified by kid, so apps pick the right one. Expired certificates cause sudden login outages. Monitor expiry dates and automate where possible. Document who owns each certificate.
SIMPLE EXPLANATION (HINGLISH):
Add the new certificate first, switch later, and remove the old one after.
REAL-LIFE ANALOGY:
Rotation is changing a lock while old and new keys both work for a short time.
FORMULA / RULE:
Publish new, switch, retire old.
EXAMPLE 1:
An IdP certificate expiring and breaking all logins.
EXAMPLE 2:
A JWKS with two keys during rotation.
EXAMPLE 3:
A calendar alert sixty days before expiry.
RELATED CONCEPTS:
SAML flow, JWT validation, clock skew, monitoring
FAMILY / GROUP:
rotation, JWKS, kid, expiry, overlap
WHERE IT IS USED:
Federation | Operations | Outages
MINI CONVERSATION:
A: All logins failed this morning. | B: The signing certificate expired.
COMMON MISTAKE:
✗ Certificates can be replaced on the day they expire → ✓ Both sides need the new one in advance
DON'T CONFUSE WITH:
SAML vs OIDC rotation: SAML needs metadata updates, OIDC uses a key set with kid.
AVOID / DON'T:
Do not let signing certificates expire unnoticed.
MEMORY TRICK:
Publish early, switch calmly, retire late.
REAL LIFE: PROJECT / WORK:
Monitoring certificate expiry avoided a repeat of a company-wide login outage.
REAL LIFE: INTERVIEW / EXAM:
An interviewer may ask: How do you rotate SAML certificates safely?
REAL LIFE: DAILY LIFE:
It is like changing a lock with both keys working briefly.</t>
        </is>
      </c>
      <c r="C25" s="29" t="inlineStr">
        <is>
          <t>04_Operations_and_Security_Advanced_SSO-024</t>
        </is>
      </c>
    </row>
    <row r="26" ht="409" customHeight="1">
      <c r="A26" s="29" t="inlineStr">
        <is>
          <t>Clock skew
Why can logins fail because two servers disagree about the time?</t>
        </is>
      </c>
      <c r="B26" s="29" t="inlineStr">
        <is>
          <t>DEFINITION (SIMPLE):
Clock skew is the difference between the clocks of two systems, which can make time-limited assertions and tokens fail validation with errors such as expired or not yet valid.
HOW / WHY IT WORKS:
SAML assertions have NotBefore and NotOnOrAfter times, and JWTs have nbf and exp. If the app clock is behind or ahead, tokens fail. Use NTP to synchronise, and allow leeway of a minute or so. Do not set huge tolerances. Check times in the error message first when logins fail oddly.
SIMPLE EXPLANATION (HINGLISH):
Sync clocks with NTP, allow a small leeway, and read the time claims when debugging.
REAL-LIFE ANALOGY:
Clock skew is two watches that disagree, so a ticket looks expired to one and early to the other.
FORMULA / RULE:
Valid only if now is inside the time window with small leeway.
EXAMPLE 1:
Error: assertion not yet valid.
EXAMPLE 2:
A VM whose clock drifted five minutes.
EXAMPLE 3:
A leeway of thirty seconds in the validator.
RELATED CONCEPTS:
SAML flow, JWT validation, debugging a failed login, token lifetimes
FAMILY / GROUP:
skew, NTP, leeway, nbf, exp
WHERE IT IS USED:
Troubleshooting | Servers | Federation
MINI CONVERSATION:
A: The token is not yet valid. | B: Our server clock is behind, so sync it.
COMMON MISTAKE:
✗ Increasing leeway to an hour is a good fix → ✓ It weakens security, so fix the clock instead
DON'T CONFUSE WITH:
Skew vs expiry: skew is a clock mismatch, expiry is real age.
AVOID / DON'T:
Do not set a large leeway to hide bad clocks.
MEMORY TRICK:
Sync the clocks before blaming the tokens.
REAL LIFE: PROJECT / WORK:
Fixing NTP on one server cleared random login failures across a customer site.
REAL LIFE: INTERVIEW / EXAM:
An interviewer may ask: Why would a valid token be rejected as not yet valid?
REAL LIFE: DAILY LIFE:
It is like two watches that disagree.</t>
        </is>
      </c>
      <c r="C26" s="29" t="inlineStr">
        <is>
          <t>04_Operations_and_Security_Intermediate_SSO-025</t>
        </is>
      </c>
    </row>
    <row r="27" ht="409" customHeight="1">
      <c r="A27" s="29" t="inlineStr">
        <is>
          <t>Common attacks: CSRF and token theft
Which attacks target login flows, and how are they stopped?</t>
        </is>
      </c>
      <c r="B27" s="29" t="inlineStr">
        <is>
          <t>DEFINITION (SIMPLE):
CSRF forces a user's browser to send an unwanted authenticated request, and token theft steals tokens or session cookies through scripts, logs, redirects or insecure storage to impersonate the user.
HOW / WHY IT WORKS:
The OAuth state parameter and SameSite cookies defend against CSRF in login flows. Token theft is reduced by HttpOnly cookies, avoiding tokens in URLs and logs, short lifetimes, refresh rotation, PKCE and strict redirect URIs. Content security policy limits script injection. Detect abnormal use and revoke quickly.
SIMPLE EXPLANATION (HINGLISH):
Use state and SameSite against CSRF, and short lifetimes and protected storage against theft.
REAL-LIFE ANALOGY:
CSRF tricks your browser into sending a request you never meant to make, and token theft steals the ticket itself.
FORMULA / RULE:
state + SameSite for CSRF, short life + safe storage for theft.
EXAMPLE 1:
A forged form submit using the user's cookie.
EXAMPLE 2:
A token leaked in a URL log.
EXAMPLE 3:
A script reading a token from local storage.
RELATED CONCEPTS:
PKCE, sessions, redirect URI rules, refresh tokens
FAMILY / GROUP:
CSRF, XSS, token theft, state, SameSite
WHERE IT IS USED:
Security reviews | Penetration tests | App design
MINI CONVERSATION:
A: Where should the SPA store tokens? | B: Prefer a backend session with HttpOnly cookies over local storage.
COMMON MISTAKE:
✗ HTTPS alone stops these attacks → ✓ It protects transport, and other defences are still needed
DON'T CONFUSE WITH:
CSRF vs XSS: CSRF abuses the browser's cookies, XSS runs attacker code in the page.
AVOID / DON'T:
Do not put tokens in URLs.
MEMORY TRICK:
State blocks forgery, short life limits theft.
REAL LIFE: PROJECT / WORK:
Moving tokens out of local storage removed a theft route found in a review.
REAL LIFE: INTERVIEW / EXAM:
An interviewer may ask: How do you defend an OAuth flow against CSRF?
REAL LIFE: DAILY LIFE:
It is like a forged signature and a stolen ticket.</t>
        </is>
      </c>
      <c r="C27" s="29" t="inlineStr">
        <is>
          <t>04_Operations_and_Security_Advanced_SSO-026</t>
        </is>
      </c>
    </row>
    <row r="28" ht="409" customHeight="1">
      <c r="A28" s="29" t="inlineStr">
        <is>
          <t>Passkeys
Which passwordless credentials use cryptographic keys bound to a device and site?</t>
        </is>
      </c>
      <c r="B28" s="29" t="inlineStr">
        <is>
          <t>DEFINITION (SIMPLE):
A passkey is a FIDO2 and WebAuthn credential made of a public and private key pair, where the private key stays on the device or in a secure sync service and signs a challenge for one specific site.
HOW / WHY IT WORKS:
The site stores the public key. At login, the device unlocks the private key with a fingerprint, face or PIN and signs a challenge that includes the site's origin, so fake sites cannot reuse it. Passkeys resist phishing and cannot be leaked from the server. Synced passkeys ease recovery, while hardware keys give high assurance. Provide fallback and recovery carefully.
SIMPLE EXPLANATION (HINGLISH):
Sign in with a device-bound key, and phishing sites cannot use it.
REAL-LIFE ANALOGY:
A passkey is a key that only fits the real door and never works on a copy.
FORMULA / RULE:
Private key on device + public key on site + origin-bound signature.
EXAMPLE 1:
Logging in with a fingerprint on a phone.
EXAMPLE 2:
A hardware security key tap.
EXAMPLE 3:
A synced passkey on a new laptop.
RELATED CONCEPTS:
MFA, sessions, phishing, mTLS
FAMILY / GROUP:
passkey, FIDO2, WebAuthn, origin, challenge
WHERE IT IS USED:
Modern logins | Admin access | Consumer apps
MINI CONVERSATION:
A: Can phishing steal a passkey login? | B: No, the signature is tied to the real site.
COMMON MISTAKE:
✗ A passkey is just a stored password → ✓ It is a key pair, and no secret is sent to the site
DON'T CONFUSE WITH:
Password vs passkey: a shared secret versus a signed challenge.
AVOID / DON'T:
Do not make recovery weaker than the passkey.
MEMORY TRICK:
Private key stays, signature goes.
REAL LIFE: PROJECT / WORK:
Offering passkeys cut phishing-related account takeovers for a customer.
REAL LIFE: INTERVIEW / EXAM:
An interviewer may ask: Why are passkeys phishing resistant?
REAL LIFE: DAILY LIFE:
It is like a key that fits only the real door.</t>
        </is>
      </c>
      <c r="C28" s="29" t="inlineStr">
        <is>
          <t>04_Operations_and_Security_Intermediate_SSO-027</t>
        </is>
      </c>
    </row>
    <row r="29" ht="409" customHeight="1">
      <c r="A29" s="29" t="inlineStr">
        <is>
          <t>mTLS
Which TLS mode makes both client and server prove identity with certificates?</t>
        </is>
      </c>
      <c r="B29" s="29" t="inlineStr">
        <is>
          <t>DEFINITION (SIMPLE):
Mutual TLS is TLS in which the server and the client both present certificates and verify each other, giving strong service identity and encrypted traffic.
HOW / WHY IT WORKS:
The client certificate identifies the caller, often with a service name in it. It is common in service meshes, financial APIs and zero trust networks. Short-lived certificates issued by an internal authority reduce risk. Certificate-bound tokens tie OAuth tokens to the client certificate. Operations need monitoring of expiry and revocation.
SIMPLE EXPLANATION (HINGLISH):
Both sides show certificates, so each knows exactly who the other is.
REAL-LIFE ANALOGY:
Mutual TLS is a handshake where both parties show ID before talking.
FORMULA / RULE:
Server cert + client cert, both verified.
EXAMPLE 1:
Two microservices authenticating in a mesh.
EXAMPLE 2:
A bank API requiring client certificates.
EXAMPLE 3:
Short-lived certificates issued every day.
RELATED CONCEPTS:
HTTPS and TLS, certificates, service mesh, client credentials
FAMILY / GROUP:
mTLS, client certificate, authority, mesh, identity
WHERE IT IS USED:
Service meshes | Finance | Zero trust
MINI CONVERSATION:
A: How does the API know which service is calling? | B: Through its client certificate in mutual TLS.
COMMON MISTAKE:
✗ Normal HTTPS authenticates both sides → ✓ Normally only the server proves its identity
DON'T CONFUSE WITH:
TLS vs mTLS: one-way versus mutual authentication.
AVOID / DON'T:
Do not manage client certificates by hand at scale.
MEMORY TRICK:
Mutual means both show certificates.
REAL LIFE: PROJECT / WORK:
Mutual TLS gave a customer strong service identity between internal APIs.
REAL LIFE: INTERVIEW / EXAM:
An interviewer may ask: What is mutual TLS?
REAL LIFE: DAILY LIFE:
It is like both parties showing ID.</t>
        </is>
      </c>
      <c r="C29" s="29" t="inlineStr">
        <is>
          <t>04_Operations_and_Security_Advanced_SSO-028</t>
        </is>
      </c>
    </row>
    <row r="30" ht="409" customHeight="1">
      <c r="A30" s="29" t="inlineStr">
        <is>
          <t>Debugging a failed login
What steps help find why an SSO login fails?
# 1. Browser: open developer tools, Network tab, preserve log, repeat the login
# 2. Find the redirect to the IdP and the return to the app, note the status codes
# 3. Decode the token or assertion (never paste real secrets into public sites)
python3 -c 'import sys,base64,json; p=sys.argv[1].split(".")[1]; print(json.dumps(json.loads(base64.urlsafe_b64decode(p+"="*(-len(p)%4))),indent=2))' "$ID_TOKEN"
# 4. Compare iss, aud, exp, nbf, nonce with the app configuration
# 5. Check the IdP sign-in log for the error code and the app log for the validation error</t>
        </is>
      </c>
      <c r="B30" s="29" t="inlineStr">
        <is>
          <t>MEANING (SHORT):
Debugging a failed login means checking each step of the flow, using browser developer tools, provider logs and app logs, and comparing configuration values such as issuer, audience, redirect URI, certificates and clocks.
CODE:
# 1. Browser: open developer tools, Network tab, preserve log, repeat the login
# 2. Find the redirect to the IdP and the return to the app, note the status codes
# 3. Decode the token or assertion (never paste real secrets into public sites)
python3 -c 'import sys,base64,json; p=sys.argv[1].split(".")[1]; print(json.dumps(json.loads(base64.urlsafe_b64decode(p+"="*(-len(p)%4))),indent=2))' "$ID_TOKEN"
# 4. Compare iss, aud, exp, nbf, nonce with the app configuration
# 5. Check the IdP sign-in log for the error code and the app log for the validation error
OUTPUT:
You see which step fails and the claims that do not match, such as a wrong audience or an expired time.
EXPLANATION:
Common causes are redirect URI mismatch, wrong audience or entity id, expired or rotated certificates, clock skew, missing claims, blocked cookies and wrong tenant or environment. Read the provider's sign-in log first, since it has precise error codes. Change one thing at a time. Never share real tokens publicly.
SIMPLE EXPLANATION (HINGLISH):
Trace the flow step by step, decode the token locally, and compare each value with the configuration.
REAL-LIFE ANALOGY:
Debugging a login is following a parcel through each hand-off.
SYNTAX PATTERN:
split the token on dots | base64url-decode part 2 (add = padding) | pretty-print JSON
ANATOMY:
network tab = flow | token claims = facts | provider log = error code | app log = validation error
EXAMPLE 1:
Error: redirect_uri mismatch.
EXAMPLE 2:
Error: audience does not match.
EXAMPLE 3:
Error: token expired by clock skew.
VARIATION:
A SAML tracer browser extension   // shows assertions and redirects
USED WITH:
browser tools, provider logs, app logs
RELATED CONCEPTS:
clock skew, redirect URI rules, certificate rotation, JWT validation
ALTERNATIVES:
Provider test tools
WHERE IT IS USED:
Support | Customer onboarding | Incidents
MINI CONVERSATION:
A: The customer cannot log in. | B: Capture the error and compare the audience and redirect URI.
COMMON MISTAKE:
✗ Pasting real tokens into online decoders is fine → ✓ Tokens are credentials, so decode them locally
COMMONLY CONFUSED WITH:
Decode vs validate: decoding shows claims, validation proves they are genuine.
AVOID / DON'T:
Do not paste live tokens into public tools.
WRONG CODE:
# paste the production token into a website decoder
RIGHT CODE:
python3 -c 'import sys,base64,json; p=sys.argv[1].split(".")[1]; print(json.dumps(json.loads(base64.urlsafe_b64decode(p+"="*(-len(p)%4))),indent=2))' "$ID_TOKEN"
MEMORY TRICK:
Step by step, one change at a time.
REAL LIFE: PROJECT / WORK:
A routine of decode and compare found a wrong audience in minutes.
REAL LIFE: INTERVIEW / EXAM:
An interviewer may ask: How do you debug a failed SSO login?
REAL LIFE: DAILY LIFE:
It is like following a parcel through each hand-off.</t>
        </is>
      </c>
      <c r="C30" s="29" t="inlineStr">
        <is>
          <t>04_Operations_and_Security_Advanced_SSO-029</t>
        </is>
      </c>
    </row>
    <row r="31" ht="409" customHeight="1">
      <c r="A31" s="29" t="inlineStr">
        <is>
          <t>Vendor SSO setup checklist
What do you collect and check when connecting a customer's identity provider?</t>
        </is>
      </c>
      <c r="B31" s="29" t="inlineStr">
        <is>
          <t>DEFINITION (SIMPLE):
A vendor SSO checklist lists the protocol, endpoints, entity ids, redirect URIs, certificates, attribute and group mappings, session settings, test users, provisioning method and support contacts needed to connect an identity provider.
HOW / WHY IT WORKS:
Decide SAML or OIDC. Exchange metadata or the discovery URL. Agree attribute names such as email and groups, and the unique user identifier. Confirm clock sync, certificate expiry dates and rotation plan. Test with a pilot user, a user without access and a leaver. Plan SCIM or offboarding, logout behaviour and an emergency local admin login. Document everything.
SIMPLE EXPLANATION (HINGLISH):
Agree protocol, endpoints, attributes and certificates, then test with real users before go-live.
REAL-LIFE ANALOGY:
A setup checklist is a pilot's pre-flight list.
FORMULA / RULE:
Protocol, endpoints, attributes, certificates, tests, offboarding.
EXAMPLE 1:
Metadata exchanged and certificates noted with expiry dates.
EXAMPLE 2:
A pilot user logging in successfully.
EXAMPLE 3:
A break-glass admin account tested.
RELATED CONCEPTS:
SAML flow, OpenID Connect, SCIM, certificate rotation
FAMILY / GROUP:
checklist, metadata, mapping, pilot, break-glass
WHERE IT IS USED:
Customer onboarding | Integration projects | Support
MINI CONVERSATION:
A: Can we go live tomorrow? | B: Not until the pilot user and the leaver tests pass.
COMMON MISTAKE:
✗ SSO is finished when the first login works → ✓ Offboarding, rotation and recovery must also be planned
DON'T CONFUSE WITH:
Pilot vs go-live: the pilot proves the setup, go-live scales it.
AVOID / DON'T:
Do not enable mandatory SSO without a break-glass admin path.
MEMORY TRICK:
Test the leaver, not only the joiner.
REAL LIFE: PROJECT / WORK:
A checklist caught an expiring certificate before a customer launch.
REAL LIFE: INTERVIEW / EXAM:
An interviewer may ask: What do you check when setting up SSO for a customer?
REAL LIFE: DAILY LIFE:
It is like a pilot's pre-flight list.</t>
        </is>
      </c>
      <c r="C31" s="29" t="inlineStr">
        <is>
          <t>04_Operations_and_Security_Intermediate_SSO-030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1"/>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30" customWidth="1" min="3" max="3"/>
  </cols>
  <sheetData>
    <row r="1">
      <c r="A1" s="28" t="inlineStr">
        <is>
          <t>Front</t>
        </is>
      </c>
      <c r="B1" s="28" t="inlineStr">
        <is>
          <t>Back</t>
        </is>
      </c>
      <c r="C1" s="28" t="inlineStr">
        <is>
          <t>Tags</t>
        </is>
      </c>
    </row>
    <row r="2" ht="94.5" customHeight="1">
      <c r="A2" s="29" t="inlineStr">
        <is>
          <t>MCQ: Which status means the caller is known but not allowed?
A) 301 B) 401 C) 200 D) 403
FILL: Verifying who someone is is called ____
APPLY: A logged-in user opens an admin page and is blocked. Which check failed?</t>
        </is>
      </c>
      <c r="B2" s="29" t="inlineStr">
        <is>
          <t>MCQ answer: D  403 is forbidden after identification.
Fill answer: authentication
Apply: Authorisation</t>
        </is>
      </c>
      <c r="C2" s="29" t="inlineStr">
        <is>
          <t>01_Basics_Beginner_SSO-001_quiz</t>
        </is>
      </c>
    </row>
    <row r="3" ht="121.5" customHeight="1">
      <c r="A3" s="29" t="inlineStr">
        <is>
          <t>MCQ: Which party authenticates the user in SSO?
A) The service provider B) The identity provider C) The browser D) The database
FILL: Another name for the app that trusts the provider in OIDC is the relying ____
APPLY: A customer wants staff to use their company login in your app. What do you set up?</t>
        </is>
      </c>
      <c r="B3" s="29" t="inlineStr">
        <is>
          <t>MCQ answer: B  The identity provider performs the login.
Fill answer: party
Apply: Trust with their identity provider</t>
        </is>
      </c>
      <c r="C3" s="29" t="inlineStr">
        <is>
          <t>01_Basics_Beginner_SSO-002_quiz</t>
        </is>
      </c>
    </row>
    <row r="4" ht="94.5" customHeight="1">
      <c r="A4" s="29" t="inlineStr">
        <is>
          <t>MCQ: What is the main idea of SSO?
A) One login for many apps B) Many logins for one app C) No login D) Shared passwords
FILL: A user's logged-in state at the provider is a ____
APPLY: A user leaves the company. How does SSO help?</t>
        </is>
      </c>
      <c r="B4" s="29" t="inlineStr">
        <is>
          <t>MCQ answer: A  Apps trust a single identity provider.
Fill answer: session
Apply: Disable one account to remove access everywhere</t>
        </is>
      </c>
      <c r="C4" s="29" t="inlineStr">
        <is>
          <t>01_Basics_Beginner_SSO-003_quiz</t>
        </is>
      </c>
    </row>
    <row r="5" ht="108" customHeight="1">
      <c r="A5" s="29" t="inlineStr">
        <is>
          <t>MCQ: Where should MFA be enforced with SSO?
A) At the browser only B) In every app separately C) At the identity provider D) Nowhere
FILL: Rules that consider device and location use ____ access
APPLY: Admin accounts need the strongest protection. What do you require?</t>
        </is>
      </c>
      <c r="B5" s="29" t="inlineStr">
        <is>
          <t>MCQ answer: C  One policy covers all apps.
Fill answer: conditional
Apply: Hardware keys or passkeys</t>
        </is>
      </c>
      <c r="C5" s="29" t="inlineStr">
        <is>
          <t>01_Basics_Beginner_SSO-004_quiz</t>
        </is>
      </c>
    </row>
    <row r="6" ht="81" customHeight="1">
      <c r="A6" s="29" t="inlineStr">
        <is>
          <t>MCQ: Which cookie flag stops scripts reading it?
A) SameSite B) Path C) Secure D) HttpOnly
FILL: A cookie sent only over HTTPS has the ____ flag
APPLY: A cookie must not be readable by page scripts. Which flag?</t>
        </is>
      </c>
      <c r="B6" s="29" t="inlineStr">
        <is>
          <t>MCQ answer: D  HttpOnly hides it from JavaScript.
Fill answer: Secure
Apply: HttpOnly</t>
        </is>
      </c>
      <c r="C6" s="29" t="inlineStr">
        <is>
          <t>01_Basics_Beginner_SSO-005_quiz</t>
        </is>
      </c>
    </row>
    <row r="7" ht="108" customHeight="1">
      <c r="A7" s="29" t="inlineStr">
        <is>
          <t>MCQ: What is LDAP?
A) A web server B) A directory query protocol C) A cloud D) A database engine
FILL: The unique name of a directory entry is its ____ name
APPLY: A legacy app needs to authenticate users against the company directory. Which protocol?</t>
        </is>
      </c>
      <c r="B7" s="29" t="inlineStr">
        <is>
          <t>MCQ answer: B  It is the standard way to query directories.
Fill answer: distinguished
Apply: LDAP over TLS</t>
        </is>
      </c>
      <c r="C7" s="29" t="inlineStr">
        <is>
          <t>01_Basics_Intermediate_SSO-006_quiz</t>
        </is>
      </c>
    </row>
    <row r="8" ht="94.5" customHeight="1">
      <c r="A8" s="29" t="inlineStr">
        <is>
          <t>MCQ: What must an app verify first on an assertion?
A) The signature B) The file size C) The font D) The colour
FILL: The app URL that receives the assertion is the assertion ____ service
APPLY: A login fails with an audience error. What do you check?</t>
        </is>
      </c>
      <c r="B8" s="29" t="inlineStr">
        <is>
          <t>MCQ answer: A  A valid signature proves it came from the IdP.
Fill answer: consumer
Apply: The entity id values on both sides</t>
        </is>
      </c>
      <c r="C8" s="29" t="inlineStr">
        <is>
          <t>02_Protocols_Intermediate_SSO-007_quiz</t>
        </is>
      </c>
    </row>
    <row r="9" ht="81" customHeight="1">
      <c r="A9" s="29" t="inlineStr">
        <is>
          <t>MCQ: Which grant suits a backend with no user?
A) Password B) Device code C) Client credentials D) Implicit
FILL: A limited right in a token is called a ____
APPLY: A mobile app signs users in. Which flow?</t>
        </is>
      </c>
      <c r="B9" s="29" t="inlineStr">
        <is>
          <t>MCQ answer: C  The app authenticates as itself.
Fill answer: scope
Apply: Authorisation code with PKCE</t>
        </is>
      </c>
      <c r="C9" s="29" t="inlineStr">
        <is>
          <t>02_Protocols_Intermediate_SSO-008_quiz</t>
        </is>
      </c>
    </row>
    <row r="10" ht="94.5" customHeight="1">
      <c r="A10" s="29" t="inlineStr">
        <is>
          <t>MCQ: Which scope value turns an OAuth request into an identity request?
A) openid B) admin C) write D) read
FILL: The claim holding a stable user identifier is ____
APPLY: An app needs to know who logged in. Which token do you read?</t>
        </is>
      </c>
      <c r="B10" s="29" t="inlineStr">
        <is>
          <t>MCQ answer: A  The openid scope triggers the identity layer.
Fill answer: sub
Apply: The ID token</t>
        </is>
      </c>
      <c r="C10" s="29" t="inlineStr">
        <is>
          <t>02_Protocols_Intermediate_SSO-009_quiz</t>
        </is>
      </c>
    </row>
    <row r="11" ht="81" customHeight="1">
      <c r="A11" s="29" t="inlineStr">
        <is>
          <t>MCQ: Which tells an API what the token is meant for?
A) The colour B) The file name C) The audience claim D) The font
FILL: A claim naming the intended API is ____
APPLY: A client only needs to read data. What do you request?</t>
        </is>
      </c>
      <c r="B11" s="29" t="inlineStr">
        <is>
          <t>MCQ answer: C  The aud claim names the intended recipient.
Fill answer: aud
Apply: A read scope only</t>
        </is>
      </c>
      <c r="C11" s="29" t="inlineStr">
        <is>
          <t>02_Protocols_Advanced_SSO-010_quiz</t>
        </is>
      </c>
    </row>
    <row r="12" ht="121.5" customHeight="1">
      <c r="A12" s="29" t="inlineStr">
        <is>
          <t>MCQ: What does the client send in the token request with PKCE?
A) The code challenge only B) The state only C) The password D) The code verifier
FILL: The recommended challenge method is ____
HINDI TO TASK: Build the authorisation URL with a code challenge.
PRACTICE QUESTION: Which method should you use for the challenge?</t>
        </is>
      </c>
      <c r="B12" s="29" t="inlineStr">
        <is>
          <t>MCQ answer: D  The server hashes it to match the challenge.
Fill answer: S256
Task answer:
https://idp.example.com/authorize?response_type=code&amp;code_challenge=CHALLENGE&amp;code_challenge_method=S256
Practice answer:
S256.</t>
        </is>
      </c>
      <c r="C12" s="29" t="inlineStr">
        <is>
          <t>02_Protocols_Advanced_SSO-011_quiz</t>
        </is>
      </c>
    </row>
    <row r="13" ht="135" customHeight="1">
      <c r="A13" s="29" t="inlineStr">
        <is>
          <t>MCQ: Which part proves a JWT is genuine?
A) The token length B) The signature C) The header colour D) The payload size
FILL: Public keys for validation come from the ____ endpoint
HINDI TO TASK: Decode a token with verification of audience and issuer.
PRACTICE QUESTION: Is a JWT encrypted?</t>
        </is>
      </c>
      <c r="B13" s="29" t="inlineStr">
        <is>
          <t>MCQ answer: B  It is created with the issuer's key.
Fill answer: JWKS
Task answer:
jwt.decode(token, key, algorithms=["RS256"], audience=AUD, issuer=ISS)
Practice answer:
No, it is signed, and anyone can read the payload.</t>
        </is>
      </c>
      <c r="C13" s="29" t="inlineStr">
        <is>
          <t>02_Protocols_Intermediate_SSO-012_quiz</t>
        </is>
      </c>
    </row>
    <row r="14" ht="94.5" customHeight="1">
      <c r="A14" s="29" t="inlineStr">
        <is>
          <t>MCQ: Which token should be shortest lived?
A) Refresh token B) Access token C) Session cookie always D) Password
FILL: Replacing a refresh token with a new one on use is ____
APPLY: Users complain about frequent logins. What do you use?</t>
        </is>
      </c>
      <c r="B14" s="29" t="inlineStr">
        <is>
          <t>MCQ answer: B  It is sent often and can leak.
Fill answer: rotation
Apply: Refresh tokens</t>
        </is>
      </c>
      <c r="C14" s="29" t="inlineStr">
        <is>
          <t>02_Protocols_Intermediate_SSO-013_quiz</t>
        </is>
      </c>
    </row>
    <row r="15" ht="94.5" customHeight="1">
      <c r="A15" s="29" t="inlineStr">
        <is>
          <t>MCQ: Where is a refresh token sent?
A) The token endpoint B) Every API C) A log D) The browser address bar
FILL: Using an old rotated token again is called ____
APPLY: A rotated refresh token is used twice. What does it suggest?</t>
        </is>
      </c>
      <c r="B15" s="29" t="inlineStr">
        <is>
          <t>MCQ answer: A  Only the authorisation server accepts it.
Fill answer: reuse
Apply: Possible theft</t>
        </is>
      </c>
      <c r="C15" s="29" t="inlineStr">
        <is>
          <t>02_Protocols_Intermediate_SSO-014_quiz</t>
        </is>
      </c>
    </row>
    <row r="16" ht="94.5" customHeight="1">
      <c r="A16" s="29" t="inlineStr">
        <is>
          <t>MCQ: Is a user involved in client credentials?
A) Sometimes by email B) Yes always C) No D) Only admins
FILL: The secret of a client is stored in a ____
APPLY: Two services must call each other with no user. What do you use?</t>
        </is>
      </c>
      <c r="B16" s="29" t="inlineStr">
        <is>
          <t>MCQ answer: C  The app authenticates as itself.
Fill answer: vault
Apply: Client credentials</t>
        </is>
      </c>
      <c r="C16" s="29" t="inlineStr">
        <is>
          <t>02_Protocols_Intermediate_SSO-015_quiz</t>
        </is>
      </c>
    </row>
    <row r="17" ht="94.5" customHeight="1">
      <c r="A17" s="29" t="inlineStr">
        <is>
          <t>MCQ: What should redirect URI matching be?
A) Approximate B) Ignored C) Wildcard D) Exact
FILL: An app flaw that forwards users to any address an attacker picks is an open ____
APPLY: A login fails with a mismatch error. What do you compare?</t>
        </is>
      </c>
      <c r="B17" s="29" t="inlineStr">
        <is>
          <t>MCQ answer: D  Looseness lets attackers redirect codes.
Fill answer: redirect
Apply: The request URI and the registered URI</t>
        </is>
      </c>
      <c r="C17" s="29" t="inlineStr">
        <is>
          <t>02_Protocols_Intermediate_SSO-016_quiz</t>
        </is>
      </c>
    </row>
    <row r="18" ht="121.5" customHeight="1">
      <c r="A18" s="29" t="inlineStr">
        <is>
          <t>MCQ: What does SCIM manage?
A) Logs B) User account lifecycle C) Passwords only D) Network routes
FILL: SCIM user endpoint path ends with ____
HINDI TO TASK: Deactivate a user through SCIM.
PRACTICE QUESTION: Why deactivate instead of delete?</t>
        </is>
      </c>
      <c r="B18" s="29" t="inlineStr">
        <is>
          <t>MCQ answer: B  It creates, updates and deactivates accounts.
Fill answer: /Users
Task answer:
PATCH /scim/v2/Users/ID with active set to false
Practice answer:
It keeps history for audits.</t>
        </is>
      </c>
      <c r="C18" s="29" t="inlineStr">
        <is>
          <t>03_Provisioning_and_Access_Intermediate_SSO-017_quiz</t>
        </is>
      </c>
    </row>
    <row r="19" ht="81" customHeight="1">
      <c r="A19" s="29" t="inlineStr">
        <is>
          <t>MCQ: What does a role contain?
A) A set of permissions B) A log C) A list of passwords D) A server
FILL: A set of users is a ____
APPLY: A new hire joins sales. How do you grant access?</t>
        </is>
      </c>
      <c r="B19" s="29" t="inlineStr">
        <is>
          <t>MCQ answer: A  Roles bundle permissions.
Fill answer: group
Apply: Add them to the sales group</t>
        </is>
      </c>
      <c r="C19" s="29" t="inlineStr">
        <is>
          <t>03_Provisioning_and_Access_Beginner_SSO-018_quiz</t>
        </is>
      </c>
    </row>
    <row r="20" ht="94.5" customHeight="1">
      <c r="A20" s="29" t="inlineStr">
        <is>
          <t>MCQ: What does ABAC evaluate?
A) Only passwords B) Only roles C) Attributes of user, resource and context D) Only IP
FILL: Too many near-duplicate roles is role ____
APPLY: Rules depend on department and amount. Which model helps?</t>
        </is>
      </c>
      <c r="B20" s="29" t="inlineStr">
        <is>
          <t>MCQ answer: C  Policies use many facts.
Fill answer: explosion
Apply: ABAC</t>
        </is>
      </c>
      <c r="C20" s="29" t="inlineStr">
        <is>
          <t>03_Provisioning_and_Access_Advanced_SSO-019_quiz</t>
        </is>
      </c>
    </row>
    <row r="21" ht="108" customHeight="1">
      <c r="A21" s="29" t="inlineStr">
        <is>
          <t>MCQ: What should every service account have?
A) A shared password B) No monitoring C) Admin rights D) A recorded owner
FILL: Cloud identity for programs without static keys is ____ identity
APPLY: A script uses an engineer's login. What should replace it?</t>
        </is>
      </c>
      <c r="B21" s="29" t="inlineStr">
        <is>
          <t>MCQ answer: D  Owners make reviews and offboarding possible.
Fill answer: workload
Apply: A dedicated service account</t>
        </is>
      </c>
      <c r="C21" s="29" t="inlineStr">
        <is>
          <t>03_Provisioning_and_Access_Intermediate_SSO-020_quiz</t>
        </is>
      </c>
    </row>
    <row r="22" ht="81" customHeight="1">
      <c r="A22" s="29" t="inlineStr">
        <is>
          <t>MCQ: When does JIT create the account?
A) At first login B) At logout C) At midnight D) At hiring
FILL: JIT cannot ____ accounts of users who never return
APPLY: You need leavers removed automatically. What do you add?</t>
        </is>
      </c>
      <c r="B22" s="29" t="inlineStr">
        <is>
          <t>MCQ answer: A  The account appears when the user first signs in.
Fill answer: remove
Apply: SCIM or provider-driven deactivation</t>
        </is>
      </c>
      <c r="C22" s="29" t="inlineStr">
        <is>
          <t>03_Provisioning_and_Access_Intermediate_SSO-021_quiz</t>
        </is>
      </c>
    </row>
    <row r="23" ht="94.5" customHeight="1">
      <c r="A23" s="29" t="inlineStr">
        <is>
          <t>MCQ: What should happen after disabling the identity?
A) Delete logs B) Rename the account C) Nothing D) Revoke sessions and tokens
FILL: Ending a live session or token early is to ____ it
APPLY: A leaver knew a shared API key. What do you do?</t>
        </is>
      </c>
      <c r="B23" s="29" t="inlineStr">
        <is>
          <t>MCQ answer: D  Existing access may continue otherwise.
Fill answer: revoke
Apply: Rotate the key</t>
        </is>
      </c>
      <c r="C23" s="29" t="inlineStr">
        <is>
          <t>03_Provisioning_and_Access_Intermediate_SSO-022_quiz</t>
        </is>
      </c>
    </row>
    <row r="24" ht="81" customHeight="1">
      <c r="A24" s="29" t="inlineStr">
        <is>
          <t>MCQ: Which logout is server-to-server?
A) Front-channel B) Back-channel C) Browser tab D) Cookie
FILL: Logout messages sent through the browser use the ____ channel
APPLY: Sessions linger on shared PCs. What reduces risk?</t>
        </is>
      </c>
      <c r="B24" s="29" t="inlineStr">
        <is>
          <t>MCQ answer: B  It does not depend on the browser.
Fill answer: front
Apply: Back-channel logout and short sessions</t>
        </is>
      </c>
      <c r="C24" s="29" t="inlineStr">
        <is>
          <t>04_Operations_and_Security_Advanced_SSO-023_quiz</t>
        </is>
      </c>
    </row>
    <row r="25" ht="81" customHeight="1">
      <c r="A25" s="29" t="inlineStr">
        <is>
          <t>MCQ: What identifies the right key in a JWKS?
A) The file size B) The colour C) The kid D) The date only
FILL: Time when old and new keys are both trusted is the ____
APPLY: The IdP certificate expires next month. What do you do first?</t>
        </is>
      </c>
      <c r="B25" s="29" t="inlineStr">
        <is>
          <t>MCQ answer: C  Tokens name the key id they used.
Fill answer: overlap
Apply: Publish the new certificate to all relying parties</t>
        </is>
      </c>
      <c r="C25" s="29" t="inlineStr">
        <is>
          <t>04_Operations_and_Security_Advanced_SSO-024_quiz</t>
        </is>
      </c>
    </row>
    <row r="26" ht="94.5" customHeight="1">
      <c r="A26" s="29" t="inlineStr">
        <is>
          <t>MCQ: Which service keeps clocks in sync?
A) SMTP B) NTP C) DHCP D) DNS
FILL: A small allowed time difference in validation is called ____
APPLY: Tokens fail as not yet valid on one server. What do you check?</t>
        </is>
      </c>
      <c r="B26" s="29" t="inlineStr">
        <is>
          <t>MCQ answer: B  Network Time Protocol aligns clocks.
Fill answer: leeway
Apply: That server's clock</t>
        </is>
      </c>
      <c r="C26" s="29" t="inlineStr">
        <is>
          <t>04_Operations_and_Security_Intermediate_SSO-025_quiz</t>
        </is>
      </c>
    </row>
    <row r="27" ht="81" customHeight="1">
      <c r="A27" s="29" t="inlineStr">
        <is>
          <t>MCQ: Which parameter protects the OAuth redirect against CSRF?
A) scope B) aud C) state D) kid
FILL: A cookie setting that limits cross-site sending is ____
APPLY: A single page app stores tokens in local storage. What risk?</t>
        </is>
      </c>
      <c r="B27" s="29" t="inlineStr">
        <is>
          <t>MCQ answer: C  It ties the response to the request.
Fill answer: SameSite
Apply: Script injection can steal them</t>
        </is>
      </c>
      <c r="C27" s="29" t="inlineStr">
        <is>
          <t>04_Operations_and_Security_Advanced_SSO-026_quiz</t>
        </is>
      </c>
    </row>
    <row r="28" ht="94.5" customHeight="1">
      <c r="A28" s="29" t="inlineStr">
        <is>
          <t>MCQ: What does the site store for a passkey?
A) The password B) The private key C) The fingerprint D) The public key
FILL: The browser standard behind passkeys is ____
APPLY: A team fears phishing of staff logins. What do you roll out?</t>
        </is>
      </c>
      <c r="B28" s="29" t="inlineStr">
        <is>
          <t>MCQ answer: D  The private key never leaves the device.
Fill answer: WebAuthn
Apply: Passkeys or hardware keys</t>
        </is>
      </c>
      <c r="C28" s="29" t="inlineStr">
        <is>
          <t>04_Operations_and_Security_Intermediate_SSO-027_quiz</t>
        </is>
      </c>
    </row>
    <row r="29" ht="94.5" customHeight="1">
      <c r="A29" s="29" t="inlineStr">
        <is>
          <t>MCQ: Who presents a certificate in mTLS?
A) Both client and server B) Nobody C) Only the server D) Only the client
FILL: A certificate that identifies the caller is a ____ certificate
APPLY: Services must prove identity to each other. What do you use?</t>
        </is>
      </c>
      <c r="B29" s="29" t="inlineStr">
        <is>
          <t>MCQ answer: A  Both authenticate.
Fill answer: client
Apply: Mutual TLS</t>
        </is>
      </c>
      <c r="C29" s="29" t="inlineStr">
        <is>
          <t>04_Operations_and_Security_Advanced_SSO-028_quiz</t>
        </is>
      </c>
    </row>
    <row r="30" ht="135" customHeight="1">
      <c r="A30" s="29" t="inlineStr">
        <is>
          <t>MCQ: Where is the most precise error code usually found?
A) The favicon B) The page title C) The identity provider sign-in log D) A screenshot
FILL: A mismatch between request and registered addresses is a redirect ____ mismatch
HINDI TO TASK: Decode the payload part of a token locally.
PRACTICE QUESTION: Why decode tokens locally?</t>
        </is>
      </c>
      <c r="B30" s="29" t="inlineStr">
        <is>
          <t>MCQ answer: C  The provider logs the exact failure reason.
Fill answer: URI
Task answer:
python3 -c 'import sys,base64,json; p=sys.argv[1].split(".")[1]; print(json.dumps(json.loads(base64.urlsafe_b64decode(p+"="*(-len(p)%4))),indent=2))' "$ID_TOKEN"
Practice answer:
Tokens are credentials and should not be shared.</t>
        </is>
      </c>
      <c r="C30" s="29" t="inlineStr">
        <is>
          <t>04_Operations_and_Security_Advanced_SSO-029_quiz</t>
        </is>
      </c>
    </row>
    <row r="31" ht="108" customHeight="1">
      <c r="A31" s="29" t="inlineStr">
        <is>
          <t>MCQ: What should you keep when SSO is mandatory?
A) Open signup B) A break-glass admin path C) Shared passwords D) No fallback
FILL: An emergency admin login outside SSO is a ____ account
APPLY: A customer's IdP certificate expires in a month. What do you note?</t>
        </is>
      </c>
      <c r="B31" s="29" t="inlineStr">
        <is>
          <t>MCQ answer: B  A broken provider could lock everyone out.
Fill answer: break-glass
Apply: The expiry date and the rotation plan</t>
        </is>
      </c>
      <c r="C31" s="29" t="inlineStr">
        <is>
          <t>04_Operations_and_Security_Intermediate_SSO-030_quiz</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90" customWidth="1" min="1" max="1"/>
    <col width="10" customWidth="1" min="2" max="2"/>
  </cols>
  <sheetData>
    <row r="1">
      <c r="A1" s="21" t="inlineStr">
        <is>
          <t>Cards by type</t>
        </is>
      </c>
    </row>
    <row r="2">
      <c r="A2" t="inlineStr">
        <is>
          <t>Topic (56-pt)</t>
        </is>
      </c>
      <c r="B2" t="n">
        <v>26</v>
      </c>
    </row>
    <row r="3">
      <c r="A3" t="inlineStr">
        <is>
          <t>Code concept (56-pt)</t>
        </is>
      </c>
      <c r="B3" t="n">
        <v>4</v>
      </c>
    </row>
    <row r="5">
      <c r="A5" s="21" t="inlineStr">
        <is>
          <t>Cards by topic</t>
        </is>
      </c>
    </row>
    <row r="6">
      <c r="A6" t="inlineStr">
        <is>
          <t>02 Protocols</t>
        </is>
      </c>
      <c r="B6" t="n">
        <v>10</v>
      </c>
    </row>
    <row r="7">
      <c r="A7" t="inlineStr">
        <is>
          <t>04 Operations and Security</t>
        </is>
      </c>
      <c r="B7" t="n">
        <v>8</v>
      </c>
    </row>
    <row r="8">
      <c r="A8" t="inlineStr">
        <is>
          <t>01 Basics</t>
        </is>
      </c>
      <c r="B8" t="n">
        <v>6</v>
      </c>
    </row>
    <row r="9">
      <c r="A9" t="inlineStr">
        <is>
          <t>03 Provisioning and Access</t>
        </is>
      </c>
      <c r="B9" t="n">
        <v>6</v>
      </c>
    </row>
    <row r="11">
      <c r="A11" s="21" t="inlineStr">
        <is>
          <t>Cards by level</t>
        </is>
      </c>
    </row>
    <row r="12">
      <c r="A12" t="inlineStr">
        <is>
          <t>Intermediate</t>
        </is>
      </c>
      <c r="B12" t="n">
        <v>16</v>
      </c>
    </row>
    <row r="13">
      <c r="A13" t="inlineStr">
        <is>
          <t>Advanced</t>
        </is>
      </c>
      <c r="B13" t="n">
        <v>8</v>
      </c>
    </row>
    <row r="14">
      <c r="A14" t="inlineStr">
        <is>
          <t>Beginner</t>
        </is>
      </c>
      <c r="B14" t="n">
        <v>6</v>
      </c>
    </row>
    <row r="16">
      <c r="A16" s="21" t="inlineStr">
        <is>
          <t>Cards by source</t>
        </is>
      </c>
    </row>
    <row r="17">
      <c r="A17" t="inlineStr">
        <is>
          <t>Claude knowledge</t>
        </is>
      </c>
      <c r="B17" t="n">
        <v>30</v>
      </c>
    </row>
    <row r="19">
      <c r="A19" s="21" t="inlineStr">
        <is>
          <t>Error check</t>
        </is>
      </c>
    </row>
    <row r="20">
      <c r="A20" t="inlineStr">
        <is>
          <t>0 errors, 0 warnings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2026-10-07T12:21:16Z</dcterms:created>
  <dcterms:modified xmlns:dcterms="http://purl.org/dc/terms/" xmlns:xsi="http://www.w3.org/2001/XMLSchema-instance" xsi:type="dcterms:W3CDTF">2026-10-07T12:21:17Z</dcterms:modified>
</cp:coreProperties>
</file>